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vin/Desktop/"/>
    </mc:Choice>
  </mc:AlternateContent>
  <xr:revisionPtr revIDLastSave="0" documentId="8_{3207930C-B84E-5E43-A860-DB6F4DF7730C}" xr6:coauthVersionLast="47" xr6:coauthVersionMax="47" xr10:uidLastSave="{00000000-0000-0000-0000-000000000000}"/>
  <bookViews>
    <workbookView xWindow="1940" yWindow="1260" windowWidth="22480" windowHeight="14520" tabRatio="648" xr2:uid="{0382972B-FA6B-4770-A26A-C06BD50E4D86}"/>
  </bookViews>
  <sheets>
    <sheet name="Prepare Gantt Chart" sheetId="2" r:id="rId1"/>
    <sheet name="Project types" sheetId="6" r:id="rId2"/>
    <sheet name="Cost graph" sheetId="9" r:id="rId3"/>
    <sheet name="Gantt Chart" sheetId="1" r:id="rId4"/>
    <sheet name="Transpose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0" i="9" l="1"/>
  <c r="D140" i="9" l="1"/>
  <c r="E140" i="9"/>
  <c r="F140" i="9"/>
  <c r="G140" i="9"/>
  <c r="H140" i="9"/>
  <c r="I140" i="9"/>
  <c r="J140" i="9"/>
  <c r="K140" i="9"/>
  <c r="L140" i="9"/>
  <c r="M140" i="9"/>
  <c r="N140" i="9"/>
  <c r="O140" i="9"/>
  <c r="P140" i="9"/>
  <c r="Q140" i="9"/>
  <c r="R140" i="9"/>
  <c r="S140" i="9"/>
  <c r="T140" i="9"/>
  <c r="U140" i="9"/>
  <c r="V140" i="9"/>
  <c r="W140" i="9"/>
  <c r="X140" i="9"/>
  <c r="Y140" i="9"/>
  <c r="Z140" i="9"/>
  <c r="AA140" i="9"/>
  <c r="AB140" i="9"/>
  <c r="J3" i="6" l="1"/>
  <c r="P125" i="6" l="1"/>
  <c r="L125" i="6"/>
  <c r="J125" i="6"/>
  <c r="G3" i="6" l="1"/>
  <c r="M21" i="6" l="1"/>
  <c r="M6" i="6" l="1"/>
  <c r="T6" i="6" l="1"/>
  <c r="T122" i="6"/>
  <c r="M22" i="6"/>
  <c r="M23" i="6"/>
  <c r="B5" i="7" l="1"/>
  <c r="C9" i="7" l="1"/>
  <c r="B9" i="7"/>
  <c r="A9" i="7" l="1"/>
  <c r="V6" i="6" l="1"/>
  <c r="W6" i="6"/>
  <c r="W7" i="6" s="1"/>
  <c r="W8" i="6" s="1"/>
  <c r="W9" i="6" s="1"/>
  <c r="W10" i="6" s="1"/>
  <c r="W11" i="6" s="1"/>
  <c r="W12" i="6" s="1"/>
  <c r="W13" i="6" s="1"/>
  <c r="W14" i="6" s="1"/>
  <c r="W15" i="6" s="1"/>
  <c r="W16" i="6" s="1"/>
  <c r="W17" i="6" s="1"/>
  <c r="W18" i="6" s="1"/>
  <c r="W19" i="6" s="1"/>
  <c r="W20" i="6" s="1"/>
  <c r="W21" i="6" s="1"/>
  <c r="W22" i="6" s="1"/>
  <c r="W23" i="6" s="1"/>
  <c r="W24" i="6" s="1"/>
  <c r="W25" i="6" s="1"/>
  <c r="W26" i="6" s="1"/>
  <c r="W27" i="6" s="1"/>
  <c r="W28" i="6" s="1"/>
  <c r="W29" i="6" s="1"/>
  <c r="W30" i="6" s="1"/>
  <c r="W31" i="6" s="1"/>
  <c r="W32" i="6" s="1"/>
  <c r="W33" i="6" s="1"/>
  <c r="W34" i="6" s="1"/>
  <c r="W35" i="6" s="1"/>
  <c r="W36" i="6" s="1"/>
  <c r="W37" i="6" s="1"/>
  <c r="W38" i="6" s="1"/>
  <c r="W39" i="6" s="1"/>
  <c r="W40" i="6" s="1"/>
  <c r="W41" i="6" s="1"/>
  <c r="W42" i="6" s="1"/>
  <c r="W43" i="6" s="1"/>
  <c r="W44" i="6" s="1"/>
  <c r="W45" i="6" s="1"/>
  <c r="W46" i="6" s="1"/>
  <c r="W47" i="6" s="1"/>
  <c r="W48" i="6" s="1"/>
  <c r="W49" i="6" s="1"/>
  <c r="W50" i="6" s="1"/>
  <c r="W51" i="6" s="1"/>
  <c r="W52" i="6" s="1"/>
  <c r="W53" i="6" s="1"/>
  <c r="W54" i="6" s="1"/>
  <c r="W55" i="6" s="1"/>
  <c r="W56" i="6" s="1"/>
  <c r="W57" i="6" s="1"/>
  <c r="W58" i="6" s="1"/>
  <c r="W59" i="6" s="1"/>
  <c r="W60" i="6" s="1"/>
  <c r="W61" i="6" s="1"/>
  <c r="W62" i="6" s="1"/>
  <c r="W63" i="6" s="1"/>
  <c r="W64" i="6" s="1"/>
  <c r="W65" i="6" s="1"/>
  <c r="W66" i="6" s="1"/>
  <c r="W67" i="6" s="1"/>
  <c r="W68" i="6" s="1"/>
  <c r="W69" i="6" s="1"/>
  <c r="W70" i="6" s="1"/>
  <c r="W71" i="6" s="1"/>
  <c r="W72" i="6" s="1"/>
  <c r="W73" i="6" s="1"/>
  <c r="W74" i="6" s="1"/>
  <c r="W75" i="6" s="1"/>
  <c r="W76" i="6" s="1"/>
  <c r="W77" i="6" s="1"/>
  <c r="W78" i="6" s="1"/>
  <c r="W79" i="6" s="1"/>
  <c r="W80" i="6" s="1"/>
  <c r="W81" i="6" s="1"/>
  <c r="W82" i="6" s="1"/>
  <c r="W83" i="6" s="1"/>
  <c r="W84" i="6" s="1"/>
  <c r="W85" i="6" s="1"/>
  <c r="W86" i="6" s="1"/>
  <c r="W87" i="6" s="1"/>
  <c r="W88" i="6" s="1"/>
  <c r="W89" i="6" s="1"/>
  <c r="W90" i="6" s="1"/>
  <c r="W91" i="6" s="1"/>
  <c r="W92" i="6" s="1"/>
  <c r="W93" i="6" s="1"/>
  <c r="W94" i="6" s="1"/>
  <c r="W95" i="6" s="1"/>
  <c r="W96" i="6" s="1"/>
  <c r="W97" i="6" s="1"/>
  <c r="W98" i="6" s="1"/>
  <c r="W99" i="6" s="1"/>
  <c r="W100" i="6" s="1"/>
  <c r="W101" i="6" s="1"/>
  <c r="W102" i="6" s="1"/>
  <c r="W103" i="6" s="1"/>
  <c r="W104" i="6" s="1"/>
  <c r="W105" i="6" s="1"/>
  <c r="W106" i="6" s="1"/>
  <c r="W107" i="6" s="1"/>
  <c r="W108" i="6" s="1"/>
  <c r="W109" i="6" s="1"/>
  <c r="W110" i="6" s="1"/>
  <c r="W111" i="6" s="1"/>
  <c r="W112" i="6" s="1"/>
  <c r="W113" i="6" s="1"/>
  <c r="W114" i="6" s="1"/>
  <c r="W115" i="6" s="1"/>
  <c r="W116" i="6" s="1"/>
  <c r="W117" i="6" s="1"/>
  <c r="W118" i="6" s="1"/>
  <c r="W119" i="6" s="1"/>
  <c r="W120" i="6" s="1"/>
  <c r="W121" i="6" s="1"/>
  <c r="W122" i="6" s="1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BO5" i="7" l="1"/>
  <c r="BR5" i="7"/>
  <c r="BU5" i="7"/>
  <c r="BX5" i="7"/>
  <c r="CA5" i="7"/>
  <c r="CB5" i="7"/>
  <c r="CD5" i="7"/>
  <c r="CE5" i="7"/>
  <c r="CG5" i="7"/>
  <c r="CJ5" i="7"/>
  <c r="CK5" i="7"/>
  <c r="CM5" i="7"/>
  <c r="CN5" i="7"/>
  <c r="CP5" i="7"/>
  <c r="CS5" i="7"/>
  <c r="CV5" i="7"/>
  <c r="CY5" i="7"/>
  <c r="DB5" i="7"/>
  <c r="DE5" i="7"/>
  <c r="DH5" i="7"/>
  <c r="DK5" i="7"/>
  <c r="DN5" i="7"/>
  <c r="DO5" i="7"/>
  <c r="DQ5" i="7"/>
  <c r="DR5" i="7"/>
  <c r="DT5" i="7"/>
  <c r="DU5" i="7"/>
  <c r="DW5" i="7"/>
  <c r="DX5" i="7"/>
  <c r="DZ5" i="7"/>
  <c r="EC5" i="7"/>
  <c r="EF5" i="7"/>
  <c r="EI5" i="7"/>
  <c r="EJ5" i="7"/>
  <c r="EL5" i="7"/>
  <c r="EM5" i="7"/>
  <c r="EO5" i="7"/>
  <c r="ER5" i="7"/>
  <c r="ES5" i="7"/>
  <c r="EU5" i="7"/>
  <c r="EV5" i="7"/>
  <c r="EX5" i="7"/>
  <c r="EY5" i="7"/>
  <c r="FA5" i="7"/>
  <c r="FB5" i="7"/>
  <c r="FD5" i="7"/>
  <c r="FG5" i="7"/>
  <c r="FJ5" i="7"/>
  <c r="FM5" i="7"/>
  <c r="FP5" i="7"/>
  <c r="FS5" i="7"/>
  <c r="FV5" i="7"/>
  <c r="FW5" i="7"/>
  <c r="FY5" i="7"/>
  <c r="GB5" i="7"/>
  <c r="GE5" i="7"/>
  <c r="GH5" i="7"/>
  <c r="GK5" i="7"/>
  <c r="GN5" i="7"/>
  <c r="GO5" i="7"/>
  <c r="GQ5" i="7"/>
  <c r="GT5" i="7"/>
  <c r="GW5" i="7"/>
  <c r="GX5" i="7"/>
  <c r="GZ5" i="7"/>
  <c r="HC5" i="7"/>
  <c r="HF5" i="7"/>
  <c r="HI5" i="7"/>
  <c r="HL5" i="7"/>
  <c r="HO5" i="7"/>
  <c r="HR5" i="7"/>
  <c r="HU5" i="7"/>
  <c r="HV5" i="7"/>
  <c r="HX5" i="7"/>
  <c r="IA5" i="7"/>
  <c r="ID5" i="7"/>
  <c r="IG5" i="7"/>
  <c r="IJ5" i="7"/>
  <c r="IM5" i="7"/>
  <c r="IN5" i="7"/>
  <c r="IP5" i="7"/>
  <c r="IS5" i="7"/>
  <c r="IV5" i="7"/>
  <c r="IY5" i="7"/>
  <c r="JB5" i="7"/>
  <c r="JE5" i="7"/>
  <c r="JF5" i="7"/>
  <c r="JH5" i="7"/>
  <c r="JI5" i="7"/>
  <c r="JK5" i="7"/>
  <c r="JN5" i="7"/>
  <c r="JQ5" i="7"/>
  <c r="JT5" i="7"/>
  <c r="JW5" i="7"/>
  <c r="JX5" i="7"/>
  <c r="JZ5" i="7"/>
  <c r="KC5" i="7"/>
  <c r="KF5" i="7"/>
  <c r="KG5" i="7"/>
  <c r="KI5" i="7"/>
  <c r="KL5" i="7"/>
  <c r="KM5" i="7"/>
  <c r="KO5" i="7"/>
  <c r="KP5" i="7"/>
  <c r="KR5" i="7"/>
  <c r="KU5" i="7"/>
  <c r="KV5" i="7"/>
  <c r="KX5" i="7"/>
  <c r="KY5" i="7"/>
  <c r="LA5" i="7"/>
  <c r="LB5" i="7"/>
  <c r="LD5" i="7"/>
  <c r="LE5" i="7"/>
  <c r="LG5" i="7"/>
  <c r="LH5" i="7"/>
  <c r="LJ5" i="7"/>
  <c r="LK5" i="7"/>
  <c r="LM5" i="7"/>
  <c r="LN5" i="7"/>
  <c r="LP5" i="7"/>
  <c r="LS5" i="7"/>
  <c r="LT5" i="7"/>
  <c r="LV5" i="7"/>
  <c r="LY5" i="7"/>
  <c r="MB5" i="7"/>
  <c r="ME5" i="7"/>
  <c r="MF5" i="7"/>
  <c r="MH5" i="7"/>
  <c r="MI5" i="7"/>
  <c r="MK5" i="7"/>
  <c r="ML5" i="7"/>
  <c r="MN5" i="7"/>
  <c r="G5" i="7"/>
  <c r="J5" i="7"/>
  <c r="K5" i="7"/>
  <c r="M5" i="7"/>
  <c r="P5" i="7"/>
  <c r="Q5" i="7"/>
  <c r="S5" i="7"/>
  <c r="V5" i="7"/>
  <c r="W5" i="7"/>
  <c r="Y5" i="7"/>
  <c r="Z5" i="7"/>
  <c r="AB5" i="7"/>
  <c r="AE5" i="7"/>
  <c r="AH5" i="7"/>
  <c r="AK5" i="7"/>
  <c r="AN5" i="7"/>
  <c r="AQ5" i="7"/>
  <c r="AT5" i="7"/>
  <c r="AW5" i="7"/>
  <c r="AZ5" i="7"/>
  <c r="BA5" i="7"/>
  <c r="BC5" i="7"/>
  <c r="BF5" i="7"/>
  <c r="BI5" i="7"/>
  <c r="BJ5" i="7"/>
  <c r="BL5" i="7"/>
  <c r="D5" i="7"/>
  <c r="E5" i="7"/>
  <c r="AH123" i="1" l="1"/>
  <c r="AH122" i="1"/>
  <c r="U3" i="6" l="1"/>
  <c r="T109" i="6" l="1"/>
  <c r="T108" i="6"/>
  <c r="O17" i="2" l="1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6" i="2"/>
  <c r="O7" i="2"/>
  <c r="O8" i="2"/>
  <c r="O9" i="2"/>
  <c r="O10" i="2"/>
  <c r="O11" i="2"/>
  <c r="O12" i="2"/>
  <c r="O13" i="2"/>
  <c r="O14" i="2"/>
  <c r="O15" i="2"/>
  <c r="O16" i="2"/>
  <c r="O5" i="2"/>
  <c r="U122" i="6" l="1"/>
  <c r="U121" i="6"/>
  <c r="U120" i="6"/>
  <c r="U119" i="6"/>
  <c r="U118" i="6"/>
  <c r="U117" i="6"/>
  <c r="U116" i="6"/>
  <c r="U115" i="6"/>
  <c r="U114" i="6"/>
  <c r="U113" i="6"/>
  <c r="U112" i="6"/>
  <c r="U111" i="6"/>
  <c r="U110" i="6"/>
  <c r="U109" i="6"/>
  <c r="U108" i="6"/>
  <c r="U107" i="6"/>
  <c r="U106" i="6"/>
  <c r="U105" i="6"/>
  <c r="U104" i="6"/>
  <c r="U103" i="6"/>
  <c r="U102" i="6"/>
  <c r="U101" i="6"/>
  <c r="U100" i="6"/>
  <c r="U99" i="6"/>
  <c r="U98" i="6"/>
  <c r="U97" i="6"/>
  <c r="U96" i="6"/>
  <c r="U95" i="6"/>
  <c r="U94" i="6"/>
  <c r="U93" i="6"/>
  <c r="U92" i="6"/>
  <c r="U91" i="6"/>
  <c r="U90" i="6"/>
  <c r="U89" i="6"/>
  <c r="U88" i="6"/>
  <c r="U87" i="6"/>
  <c r="U86" i="6"/>
  <c r="U85" i="6"/>
  <c r="U84" i="6"/>
  <c r="U83" i="6"/>
  <c r="U82" i="6"/>
  <c r="U81" i="6"/>
  <c r="U80" i="6"/>
  <c r="U79" i="6"/>
  <c r="U78" i="6"/>
  <c r="U77" i="6"/>
  <c r="U76" i="6"/>
  <c r="U75" i="6"/>
  <c r="U74" i="6"/>
  <c r="U73" i="6"/>
  <c r="U72" i="6"/>
  <c r="U71" i="6"/>
  <c r="U70" i="6"/>
  <c r="U69" i="6"/>
  <c r="U68" i="6"/>
  <c r="U67" i="6"/>
  <c r="U66" i="6"/>
  <c r="U65" i="6"/>
  <c r="U64" i="6"/>
  <c r="U63" i="6"/>
  <c r="U62" i="6"/>
  <c r="U61" i="6"/>
  <c r="U60" i="6"/>
  <c r="U59" i="6"/>
  <c r="U58" i="6"/>
  <c r="U57" i="6"/>
  <c r="U56" i="6"/>
  <c r="U55" i="6"/>
  <c r="U54" i="6"/>
  <c r="U53" i="6"/>
  <c r="U52" i="6"/>
  <c r="U51" i="6"/>
  <c r="U50" i="6"/>
  <c r="U49" i="6"/>
  <c r="U48" i="6"/>
  <c r="U47" i="6"/>
  <c r="U46" i="6"/>
  <c r="U45" i="6"/>
  <c r="U44" i="6"/>
  <c r="U43" i="6"/>
  <c r="U42" i="6"/>
  <c r="U41" i="6"/>
  <c r="U40" i="6"/>
  <c r="U39" i="6"/>
  <c r="U38" i="6"/>
  <c r="U37" i="6"/>
  <c r="U36" i="6"/>
  <c r="U35" i="6"/>
  <c r="U34" i="6"/>
  <c r="U33" i="6"/>
  <c r="U32" i="6"/>
  <c r="U31" i="6"/>
  <c r="U30" i="6"/>
  <c r="U29" i="6"/>
  <c r="U28" i="6"/>
  <c r="U27" i="6"/>
  <c r="U26" i="6"/>
  <c r="U25" i="6"/>
  <c r="U24" i="6"/>
  <c r="U23" i="6"/>
  <c r="U22" i="6"/>
  <c r="U21" i="6"/>
  <c r="U20" i="6"/>
  <c r="U19" i="6"/>
  <c r="U18" i="6"/>
  <c r="U17" i="6"/>
  <c r="U16" i="6"/>
  <c r="U15" i="6"/>
  <c r="U14" i="6"/>
  <c r="U13" i="6"/>
  <c r="U12" i="6"/>
  <c r="U11" i="6"/>
  <c r="U10" i="6"/>
  <c r="U9" i="6"/>
  <c r="U8" i="6"/>
  <c r="U7" i="6"/>
  <c r="U6" i="6"/>
  <c r="T121" i="6"/>
  <c r="T120" i="6"/>
  <c r="T119" i="6"/>
  <c r="T118" i="6"/>
  <c r="T117" i="6"/>
  <c r="T116" i="6"/>
  <c r="T115" i="6"/>
  <c r="T114" i="6"/>
  <c r="T113" i="6"/>
  <c r="T112" i="6"/>
  <c r="T111" i="6"/>
  <c r="T110" i="6"/>
  <c r="T107" i="6"/>
  <c r="T106" i="6"/>
  <c r="T105" i="6"/>
  <c r="T104" i="6"/>
  <c r="T103" i="6"/>
  <c r="T102" i="6"/>
  <c r="T101" i="6"/>
  <c r="T100" i="6"/>
  <c r="T99" i="6"/>
  <c r="T98" i="6"/>
  <c r="T97" i="6"/>
  <c r="T96" i="6"/>
  <c r="T95" i="6"/>
  <c r="T94" i="6"/>
  <c r="T93" i="6"/>
  <c r="T92" i="6"/>
  <c r="T91" i="6"/>
  <c r="T90" i="6"/>
  <c r="T89" i="6"/>
  <c r="T88" i="6"/>
  <c r="T87" i="6"/>
  <c r="T86" i="6"/>
  <c r="T85" i="6"/>
  <c r="T84" i="6"/>
  <c r="T83" i="6"/>
  <c r="T82" i="6"/>
  <c r="T81" i="6"/>
  <c r="T80" i="6"/>
  <c r="T79" i="6"/>
  <c r="T78" i="6"/>
  <c r="T77" i="6"/>
  <c r="T76" i="6"/>
  <c r="T75" i="6"/>
  <c r="T74" i="6"/>
  <c r="T73" i="6"/>
  <c r="T72" i="6"/>
  <c r="T71" i="6"/>
  <c r="T70" i="6"/>
  <c r="T69" i="6"/>
  <c r="T68" i="6"/>
  <c r="T67" i="6"/>
  <c r="T66" i="6"/>
  <c r="T65" i="6"/>
  <c r="T64" i="6"/>
  <c r="T63" i="6"/>
  <c r="T62" i="6"/>
  <c r="T61" i="6"/>
  <c r="T60" i="6"/>
  <c r="T59" i="6"/>
  <c r="T58" i="6"/>
  <c r="T57" i="6"/>
  <c r="T56" i="6"/>
  <c r="T55" i="6"/>
  <c r="T54" i="6"/>
  <c r="T53" i="6"/>
  <c r="T52" i="6"/>
  <c r="T51" i="6"/>
  <c r="T50" i="6"/>
  <c r="T49" i="6"/>
  <c r="T48" i="6"/>
  <c r="T47" i="6"/>
  <c r="T46" i="6"/>
  <c r="T45" i="6"/>
  <c r="T44" i="6"/>
  <c r="T43" i="6"/>
  <c r="T42" i="6"/>
  <c r="T41" i="6"/>
  <c r="T40" i="6"/>
  <c r="T39" i="6"/>
  <c r="T38" i="6"/>
  <c r="T37" i="6"/>
  <c r="T36" i="6"/>
  <c r="T35" i="6"/>
  <c r="T34" i="6"/>
  <c r="T33" i="6"/>
  <c r="T32" i="6"/>
  <c r="T31" i="6"/>
  <c r="T30" i="6"/>
  <c r="T29" i="6"/>
  <c r="T28" i="6"/>
  <c r="T27" i="6"/>
  <c r="T26" i="6"/>
  <c r="T25" i="6"/>
  <c r="T24" i="6"/>
  <c r="T23" i="6"/>
  <c r="T22" i="6"/>
  <c r="T21" i="6"/>
  <c r="T20" i="6"/>
  <c r="T19" i="6"/>
  <c r="T18" i="6"/>
  <c r="T17" i="6"/>
  <c r="T16" i="6"/>
  <c r="T15" i="6"/>
  <c r="T14" i="6"/>
  <c r="T13" i="6"/>
  <c r="T12" i="6"/>
  <c r="T11" i="6"/>
  <c r="T10" i="6"/>
  <c r="T9" i="6"/>
  <c r="T8" i="6"/>
  <c r="T7" i="6"/>
  <c r="S124" i="6"/>
  <c r="M122" i="6"/>
  <c r="M121" i="6"/>
  <c r="M120" i="6"/>
  <c r="M119" i="6"/>
  <c r="M118" i="6"/>
  <c r="M117" i="6"/>
  <c r="M116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L124" i="6"/>
  <c r="J124" i="6"/>
  <c r="M125" i="6" l="1"/>
  <c r="T125" i="6"/>
  <c r="T124" i="6"/>
  <c r="M124" i="6"/>
  <c r="C110" i="1"/>
  <c r="C111" i="1"/>
  <c r="C112" i="1"/>
  <c r="C113" i="1"/>
  <c r="C114" i="1"/>
  <c r="C115" i="1"/>
  <c r="C116" i="1"/>
  <c r="C117" i="1"/>
  <c r="C118" i="1"/>
  <c r="C119" i="1"/>
  <c r="C120" i="1"/>
  <c r="C109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I5" i="7" l="1"/>
  <c r="L5" i="7"/>
  <c r="O5" i="7"/>
  <c r="R5" i="7"/>
  <c r="U5" i="7"/>
  <c r="X5" i="7"/>
  <c r="AA5" i="7"/>
  <c r="AD5" i="7"/>
  <c r="AG5" i="7"/>
  <c r="AJ5" i="7"/>
  <c r="AM5" i="7"/>
  <c r="AP5" i="7"/>
  <c r="AS5" i="7"/>
  <c r="AV5" i="7"/>
  <c r="AY5" i="7"/>
  <c r="BB5" i="7"/>
  <c r="BE5" i="7"/>
  <c r="BH5" i="7"/>
  <c r="BK5" i="7"/>
  <c r="BN5" i="7"/>
  <c r="BQ5" i="7"/>
  <c r="BT5" i="7"/>
  <c r="BW5" i="7"/>
  <c r="BZ5" i="7"/>
  <c r="CC5" i="7"/>
  <c r="CF5" i="7"/>
  <c r="CI5" i="7"/>
  <c r="CL5" i="7"/>
  <c r="CO5" i="7"/>
  <c r="CR5" i="7"/>
  <c r="CU5" i="7"/>
  <c r="CX5" i="7"/>
  <c r="DA5" i="7"/>
  <c r="DD5" i="7"/>
  <c r="DG5" i="7"/>
  <c r="DJ5" i="7"/>
  <c r="DM5" i="7"/>
  <c r="DP5" i="7"/>
  <c r="DS5" i="7"/>
  <c r="DV5" i="7"/>
  <c r="DY5" i="7"/>
  <c r="EB5" i="7"/>
  <c r="EE5" i="7"/>
  <c r="EH5" i="7"/>
  <c r="EK5" i="7"/>
  <c r="EN5" i="7"/>
  <c r="EQ5" i="7"/>
  <c r="ET5" i="7"/>
  <c r="EW5" i="7"/>
  <c r="EZ5" i="7"/>
  <c r="FC5" i="7"/>
  <c r="FF5" i="7"/>
  <c r="FI5" i="7"/>
  <c r="FL5" i="7"/>
  <c r="FO5" i="7"/>
  <c r="FR5" i="7"/>
  <c r="FU5" i="7"/>
  <c r="FX5" i="7"/>
  <c r="GA5" i="7"/>
  <c r="GD5" i="7"/>
  <c r="GG5" i="7"/>
  <c r="GJ5" i="7"/>
  <c r="GM5" i="7"/>
  <c r="GP5" i="7"/>
  <c r="GS5" i="7"/>
  <c r="GV5" i="7"/>
  <c r="GY5" i="7"/>
  <c r="HB5" i="7"/>
  <c r="HE5" i="7"/>
  <c r="HH5" i="7"/>
  <c r="HK5" i="7"/>
  <c r="HN5" i="7"/>
  <c r="HQ5" i="7"/>
  <c r="HT5" i="7"/>
  <c r="HW5" i="7"/>
  <c r="HZ5" i="7"/>
  <c r="IC5" i="7"/>
  <c r="IF5" i="7"/>
  <c r="II5" i="7"/>
  <c r="IL5" i="7"/>
  <c r="IO5" i="7"/>
  <c r="IR5" i="7"/>
  <c r="IU5" i="7"/>
  <c r="IX5" i="7"/>
  <c r="JA5" i="7"/>
  <c r="JD5" i="7"/>
  <c r="JG5" i="7"/>
  <c r="JJ5" i="7"/>
  <c r="JM5" i="7"/>
  <c r="JP5" i="7"/>
  <c r="JS5" i="7"/>
  <c r="JV5" i="7"/>
  <c r="JY5" i="7"/>
  <c r="KB5" i="7"/>
  <c r="KE5" i="7"/>
  <c r="KH5" i="7"/>
  <c r="KK5" i="7"/>
  <c r="KN5" i="7"/>
  <c r="KQ5" i="7"/>
  <c r="KT5" i="7"/>
  <c r="KW5" i="7"/>
  <c r="KZ5" i="7"/>
  <c r="LC5" i="7"/>
  <c r="LF5" i="7"/>
  <c r="LI5" i="7"/>
  <c r="LL5" i="7"/>
  <c r="LO5" i="7"/>
  <c r="LR5" i="7"/>
  <c r="LU5" i="7"/>
  <c r="LX5" i="7"/>
  <c r="MA5" i="7"/>
  <c r="MD5" i="7"/>
  <c r="MG5" i="7"/>
  <c r="MJ5" i="7"/>
  <c r="MM5" i="7"/>
  <c r="MP5" i="7"/>
  <c r="F5" i="7"/>
  <c r="BU10" i="2" l="1"/>
  <c r="AH110" i="1" l="1"/>
  <c r="AH111" i="1"/>
  <c r="AH112" i="1"/>
  <c r="AH113" i="1"/>
  <c r="AH114" i="1"/>
  <c r="AH115" i="1"/>
  <c r="AH116" i="1"/>
  <c r="AH117" i="1"/>
  <c r="AH118" i="1"/>
  <c r="AH119" i="1"/>
  <c r="AH120" i="1"/>
  <c r="BU6" i="2" l="1"/>
  <c r="BU7" i="2"/>
  <c r="BU8" i="2"/>
  <c r="BU9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38" i="2"/>
  <c r="BU39" i="2"/>
  <c r="BU40" i="2"/>
  <c r="BU41" i="2"/>
  <c r="BU42" i="2"/>
  <c r="BU43" i="2"/>
  <c r="BU44" i="2"/>
  <c r="BU45" i="2"/>
  <c r="BU46" i="2"/>
  <c r="BU47" i="2"/>
  <c r="BU48" i="2"/>
  <c r="BU49" i="2"/>
  <c r="BU50" i="2"/>
  <c r="BU51" i="2"/>
  <c r="BU52" i="2"/>
  <c r="BU53" i="2"/>
  <c r="BU54" i="2"/>
  <c r="BU55" i="2"/>
  <c r="BU56" i="2"/>
  <c r="BU57" i="2"/>
  <c r="BU58" i="2"/>
  <c r="BU59" i="2"/>
  <c r="BU60" i="2"/>
  <c r="BU61" i="2"/>
  <c r="BU62" i="2"/>
  <c r="BU63" i="2"/>
  <c r="BU64" i="2"/>
  <c r="BU65" i="2"/>
  <c r="BU66" i="2"/>
  <c r="BU67" i="2"/>
  <c r="BU68" i="2"/>
  <c r="BU69" i="2"/>
  <c r="BU70" i="2"/>
  <c r="BU71" i="2"/>
  <c r="BU72" i="2"/>
  <c r="BU73" i="2"/>
  <c r="BU74" i="2"/>
  <c r="BU75" i="2"/>
  <c r="BU76" i="2"/>
  <c r="BU77" i="2"/>
  <c r="BU78" i="2"/>
  <c r="BU79" i="2"/>
  <c r="BU80" i="2"/>
  <c r="BU81" i="2"/>
  <c r="BU82" i="2"/>
  <c r="BU83" i="2"/>
  <c r="BU84" i="2"/>
  <c r="BU85" i="2"/>
  <c r="BU86" i="2"/>
  <c r="BU87" i="2"/>
  <c r="BU88" i="2"/>
  <c r="BU89" i="2"/>
  <c r="BU90" i="2"/>
  <c r="BU91" i="2"/>
  <c r="BU92" i="2"/>
  <c r="BU93" i="2"/>
  <c r="BU94" i="2"/>
  <c r="BU95" i="2"/>
  <c r="BU96" i="2"/>
  <c r="BU97" i="2"/>
  <c r="BU98" i="2"/>
  <c r="BU99" i="2"/>
  <c r="BU100" i="2"/>
  <c r="BU101" i="2"/>
  <c r="BU102" i="2"/>
  <c r="BU103" i="2"/>
  <c r="BU104" i="2"/>
  <c r="BU105" i="2"/>
  <c r="BU106" i="2"/>
  <c r="BU107" i="2"/>
  <c r="BU108" i="2"/>
  <c r="BU109" i="2"/>
  <c r="BU110" i="2"/>
  <c r="BU111" i="2"/>
  <c r="BU112" i="2"/>
  <c r="BU113" i="2"/>
  <c r="BU114" i="2"/>
  <c r="BU115" i="2"/>
  <c r="BU116" i="2"/>
  <c r="BU117" i="2"/>
  <c r="BU118" i="2"/>
  <c r="BU119" i="2"/>
  <c r="BU120" i="2"/>
  <c r="BU121" i="2"/>
  <c r="BU5" i="2"/>
  <c r="M15" i="2" l="1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AF116" i="1" s="1"/>
  <c r="M118" i="2"/>
  <c r="AF117" i="1" s="1"/>
  <c r="M119" i="2"/>
  <c r="AF118" i="1" s="1"/>
  <c r="M120" i="2"/>
  <c r="M121" i="2"/>
  <c r="M6" i="2"/>
  <c r="M7" i="2"/>
  <c r="M8" i="2"/>
  <c r="M9" i="2"/>
  <c r="M10" i="2"/>
  <c r="M11" i="2"/>
  <c r="M12" i="2"/>
  <c r="M13" i="2"/>
  <c r="M14" i="2"/>
  <c r="AF113" i="1" l="1"/>
  <c r="AF111" i="1"/>
  <c r="AF119" i="1"/>
  <c r="AF115" i="1"/>
  <c r="AF114" i="1"/>
  <c r="AF112" i="1"/>
  <c r="AF110" i="1"/>
  <c r="AF7" i="1" l="1"/>
  <c r="AF8" i="1"/>
  <c r="AF9" i="1"/>
  <c r="M5" i="2"/>
  <c r="AF120" i="1" s="1"/>
  <c r="AF103" i="1"/>
  <c r="AF83" i="1"/>
  <c r="A5" i="1"/>
  <c r="AH5" i="1"/>
  <c r="A6" i="1"/>
  <c r="AH6" i="1"/>
  <c r="A7" i="1"/>
  <c r="AH7" i="1"/>
  <c r="A8" i="1"/>
  <c r="AH8" i="1"/>
  <c r="A9" i="1"/>
  <c r="AH9" i="1"/>
  <c r="A10" i="1"/>
  <c r="AH10" i="1"/>
  <c r="A11" i="1"/>
  <c r="AH11" i="1"/>
  <c r="A12" i="1"/>
  <c r="AH12" i="1"/>
  <c r="A13" i="1"/>
  <c r="AH13" i="1"/>
  <c r="A14" i="1"/>
  <c r="AH14" i="1"/>
  <c r="A15" i="1"/>
  <c r="AH15" i="1"/>
  <c r="A16" i="1"/>
  <c r="AH16" i="1"/>
  <c r="A17" i="1"/>
  <c r="AH17" i="1"/>
  <c r="A18" i="1"/>
  <c r="AH18" i="1"/>
  <c r="A19" i="1"/>
  <c r="AH19" i="1"/>
  <c r="A20" i="1"/>
  <c r="AH20" i="1"/>
  <c r="A21" i="1"/>
  <c r="AH21" i="1"/>
  <c r="A22" i="1"/>
  <c r="AH22" i="1"/>
  <c r="A23" i="1"/>
  <c r="AH23" i="1"/>
  <c r="A24" i="1"/>
  <c r="AH24" i="1"/>
  <c r="A25" i="1"/>
  <c r="AH25" i="1"/>
  <c r="A26" i="1"/>
  <c r="AH26" i="1"/>
  <c r="A27" i="1"/>
  <c r="AH27" i="1"/>
  <c r="A28" i="1"/>
  <c r="AH28" i="1"/>
  <c r="A29" i="1"/>
  <c r="AH29" i="1"/>
  <c r="A30" i="1"/>
  <c r="AH30" i="1"/>
  <c r="A31" i="1"/>
  <c r="AH31" i="1"/>
  <c r="A32" i="1"/>
  <c r="AH32" i="1"/>
  <c r="A33" i="1"/>
  <c r="AH33" i="1"/>
  <c r="A34" i="1"/>
  <c r="AH34" i="1"/>
  <c r="A35" i="1"/>
  <c r="AH35" i="1"/>
  <c r="A36" i="1"/>
  <c r="AH36" i="1"/>
  <c r="A37" i="1"/>
  <c r="AH37" i="1"/>
  <c r="A38" i="1"/>
  <c r="AH38" i="1"/>
  <c r="A39" i="1"/>
  <c r="AH39" i="1"/>
  <c r="A40" i="1"/>
  <c r="AH40" i="1"/>
  <c r="A41" i="1"/>
  <c r="AH41" i="1"/>
  <c r="A42" i="1"/>
  <c r="AH42" i="1"/>
  <c r="A43" i="1"/>
  <c r="AH43" i="1"/>
  <c r="A44" i="1"/>
  <c r="AH44" i="1"/>
  <c r="A45" i="1"/>
  <c r="AH45" i="1"/>
  <c r="A46" i="1"/>
  <c r="AH46" i="1"/>
  <c r="A47" i="1"/>
  <c r="AH47" i="1"/>
  <c r="A48" i="1"/>
  <c r="AH48" i="1"/>
  <c r="A49" i="1"/>
  <c r="AH49" i="1"/>
  <c r="A50" i="1"/>
  <c r="AH50" i="1"/>
  <c r="A51" i="1"/>
  <c r="AH51" i="1"/>
  <c r="A52" i="1"/>
  <c r="AH52" i="1"/>
  <c r="A53" i="1"/>
  <c r="AH53" i="1"/>
  <c r="A54" i="1"/>
  <c r="AH54" i="1"/>
  <c r="A55" i="1"/>
  <c r="AH55" i="1"/>
  <c r="A56" i="1"/>
  <c r="AH56" i="1"/>
  <c r="A57" i="1"/>
  <c r="AH57" i="1"/>
  <c r="A58" i="1"/>
  <c r="AH58" i="1"/>
  <c r="A59" i="1"/>
  <c r="AH59" i="1"/>
  <c r="A60" i="1"/>
  <c r="AH60" i="1"/>
  <c r="A61" i="1"/>
  <c r="AH61" i="1"/>
  <c r="A62" i="1"/>
  <c r="AH62" i="1"/>
  <c r="A63" i="1"/>
  <c r="AH63" i="1"/>
  <c r="A64" i="1"/>
  <c r="AH64" i="1"/>
  <c r="A65" i="1"/>
  <c r="AH65" i="1"/>
  <c r="A66" i="1"/>
  <c r="AH66" i="1"/>
  <c r="A67" i="1"/>
  <c r="AH67" i="1"/>
  <c r="A68" i="1"/>
  <c r="AH68" i="1"/>
  <c r="A69" i="1"/>
  <c r="AH69" i="1"/>
  <c r="A70" i="1"/>
  <c r="AH70" i="1"/>
  <c r="A71" i="1"/>
  <c r="AH71" i="1"/>
  <c r="A72" i="1"/>
  <c r="AH72" i="1"/>
  <c r="A73" i="1"/>
  <c r="AH73" i="1"/>
  <c r="A74" i="1"/>
  <c r="AH74" i="1"/>
  <c r="A75" i="1"/>
  <c r="AH75" i="1"/>
  <c r="A76" i="1"/>
  <c r="AH76" i="1"/>
  <c r="A77" i="1"/>
  <c r="AH77" i="1"/>
  <c r="A78" i="1"/>
  <c r="AH78" i="1"/>
  <c r="A79" i="1"/>
  <c r="AH79" i="1"/>
  <c r="A80" i="1"/>
  <c r="AH80" i="1"/>
  <c r="A81" i="1"/>
  <c r="AH81" i="1"/>
  <c r="A82" i="1"/>
  <c r="AH82" i="1"/>
  <c r="A83" i="1"/>
  <c r="AH83" i="1"/>
  <c r="A84" i="1"/>
  <c r="AH84" i="1"/>
  <c r="A85" i="1"/>
  <c r="AH85" i="1"/>
  <c r="A86" i="1"/>
  <c r="AH86" i="1"/>
  <c r="A87" i="1"/>
  <c r="AH87" i="1"/>
  <c r="A88" i="1"/>
  <c r="AH88" i="1"/>
  <c r="A89" i="1"/>
  <c r="AH89" i="1"/>
  <c r="A90" i="1"/>
  <c r="AH90" i="1"/>
  <c r="A91" i="1"/>
  <c r="AH91" i="1"/>
  <c r="A92" i="1"/>
  <c r="AH92" i="1"/>
  <c r="A93" i="1"/>
  <c r="AH93" i="1"/>
  <c r="A94" i="1"/>
  <c r="AH94" i="1"/>
  <c r="A95" i="1"/>
  <c r="AH95" i="1"/>
  <c r="A96" i="1"/>
  <c r="AH96" i="1"/>
  <c r="A97" i="1"/>
  <c r="AH97" i="1"/>
  <c r="A98" i="1"/>
  <c r="AH98" i="1"/>
  <c r="A99" i="1"/>
  <c r="AH99" i="1"/>
  <c r="A100" i="1"/>
  <c r="AH100" i="1"/>
  <c r="A101" i="1"/>
  <c r="AH101" i="1"/>
  <c r="A102" i="1"/>
  <c r="AH102" i="1"/>
  <c r="A103" i="1"/>
  <c r="AH103" i="1"/>
  <c r="A104" i="1"/>
  <c r="AH104" i="1"/>
  <c r="A105" i="1"/>
  <c r="AH105" i="1"/>
  <c r="A106" i="1"/>
  <c r="AH106" i="1"/>
  <c r="A107" i="1"/>
  <c r="AH107" i="1"/>
  <c r="A108" i="1"/>
  <c r="AH108" i="1"/>
  <c r="A109" i="1"/>
  <c r="AH109" i="1"/>
  <c r="N6" i="2" l="1"/>
  <c r="H5" i="7" s="1"/>
  <c r="N22" i="2"/>
  <c r="BD5" i="7" s="1"/>
  <c r="N38" i="2"/>
  <c r="CZ5" i="7" s="1"/>
  <c r="N54" i="2"/>
  <c r="N70" i="2"/>
  <c r="GR5" i="7" s="1"/>
  <c r="N86" i="2"/>
  <c r="N102" i="2"/>
  <c r="KJ5" i="7" s="1"/>
  <c r="N118" i="2"/>
  <c r="N42" i="2"/>
  <c r="DL5" i="7" s="1"/>
  <c r="N7" i="2"/>
  <c r="N23" i="2"/>
  <c r="BG5" i="7" s="1"/>
  <c r="N39" i="2"/>
  <c r="DC5" i="7" s="1"/>
  <c r="N55" i="2"/>
  <c r="N71" i="2"/>
  <c r="GU5" i="7" s="1"/>
  <c r="N87" i="2"/>
  <c r="IQ5" i="7" s="1"/>
  <c r="N103" i="2"/>
  <c r="N119" i="2"/>
  <c r="N108" i="2"/>
  <c r="N8" i="2"/>
  <c r="N5" i="7" s="1"/>
  <c r="N24" i="2"/>
  <c r="N40" i="2"/>
  <c r="DF5" i="7" s="1"/>
  <c r="N56" i="2"/>
  <c r="N72" i="2"/>
  <c r="N88" i="2"/>
  <c r="IT5" i="7" s="1"/>
  <c r="N104" i="2"/>
  <c r="N120" i="2"/>
  <c r="N26" i="2"/>
  <c r="BP5" i="7" s="1"/>
  <c r="N58" i="2"/>
  <c r="FH5" i="7" s="1"/>
  <c r="N74" i="2"/>
  <c r="HD5" i="7" s="1"/>
  <c r="N106" i="2"/>
  <c r="N92" i="2"/>
  <c r="N9" i="2"/>
  <c r="N25" i="2"/>
  <c r="BM5" i="7" s="1"/>
  <c r="N41" i="2"/>
  <c r="DI5" i="7" s="1"/>
  <c r="N57" i="2"/>
  <c r="FE5" i="7" s="1"/>
  <c r="N73" i="2"/>
  <c r="HA5" i="7" s="1"/>
  <c r="N89" i="2"/>
  <c r="IW5" i="7" s="1"/>
  <c r="N105" i="2"/>
  <c r="KS5" i="7" s="1"/>
  <c r="N121" i="2"/>
  <c r="MO5" i="7" s="1"/>
  <c r="N10" i="2"/>
  <c r="T5" i="7" s="1"/>
  <c r="N90" i="2"/>
  <c r="IZ5" i="7" s="1"/>
  <c r="N11" i="2"/>
  <c r="N27" i="2"/>
  <c r="BS5" i="7" s="1"/>
  <c r="N43" i="2"/>
  <c r="N59" i="2"/>
  <c r="FK5" i="7" s="1"/>
  <c r="N75" i="2"/>
  <c r="HG5" i="7" s="1"/>
  <c r="N91" i="2"/>
  <c r="JC5" i="7" s="1"/>
  <c r="N107" i="2"/>
  <c r="N12" i="2"/>
  <c r="N28" i="2"/>
  <c r="BV5" i="7" s="1"/>
  <c r="N44" i="2"/>
  <c r="N60" i="2"/>
  <c r="FN5" i="7" s="1"/>
  <c r="N76" i="2"/>
  <c r="HJ5" i="7" s="1"/>
  <c r="N13" i="2"/>
  <c r="AC5" i="7" s="1"/>
  <c r="N29" i="2"/>
  <c r="BY5" i="7" s="1"/>
  <c r="N45" i="2"/>
  <c r="N61" i="2"/>
  <c r="FQ5" i="7" s="1"/>
  <c r="N77" i="2"/>
  <c r="HM5" i="7" s="1"/>
  <c r="N93" i="2"/>
  <c r="N109" i="2"/>
  <c r="N100" i="2"/>
  <c r="KD5" i="7" s="1"/>
  <c r="N117" i="2"/>
  <c r="MC5" i="7" s="1"/>
  <c r="N14" i="2"/>
  <c r="AF5" i="7" s="1"/>
  <c r="N30" i="2"/>
  <c r="N46" i="2"/>
  <c r="N62" i="2"/>
  <c r="FT5" i="7" s="1"/>
  <c r="N78" i="2"/>
  <c r="HP5" i="7" s="1"/>
  <c r="N94" i="2"/>
  <c r="JL5" i="7" s="1"/>
  <c r="N110" i="2"/>
  <c r="N84" i="2"/>
  <c r="IH5" i="7" s="1"/>
  <c r="N101" i="2"/>
  <c r="N15" i="2"/>
  <c r="AI5" i="7" s="1"/>
  <c r="N31" i="2"/>
  <c r="N47" i="2"/>
  <c r="EA5" i="7" s="1"/>
  <c r="N63" i="2"/>
  <c r="N79" i="2"/>
  <c r="HS5" i="7" s="1"/>
  <c r="N95" i="2"/>
  <c r="JO5" i="7" s="1"/>
  <c r="N111" i="2"/>
  <c r="N37" i="2"/>
  <c r="CW5" i="7" s="1"/>
  <c r="N16" i="2"/>
  <c r="AL5" i="7" s="1"/>
  <c r="N32" i="2"/>
  <c r="CH5" i="7" s="1"/>
  <c r="N48" i="2"/>
  <c r="ED5" i="7" s="1"/>
  <c r="N64" i="2"/>
  <c r="FZ5" i="7" s="1"/>
  <c r="N80" i="2"/>
  <c r="N96" i="2"/>
  <c r="JR5" i="7" s="1"/>
  <c r="N112" i="2"/>
  <c r="N68" i="2"/>
  <c r="GL5" i="7" s="1"/>
  <c r="N21" i="2"/>
  <c r="N17" i="2"/>
  <c r="AO5" i="7" s="1"/>
  <c r="N33" i="2"/>
  <c r="N49" i="2"/>
  <c r="EG5" i="7" s="1"/>
  <c r="N65" i="2"/>
  <c r="GC5" i="7" s="1"/>
  <c r="N81" i="2"/>
  <c r="HY5" i="7" s="1"/>
  <c r="N97" i="2"/>
  <c r="JU5" i="7" s="1"/>
  <c r="N113" i="2"/>
  <c r="LQ5" i="7" s="1"/>
  <c r="N36" i="2"/>
  <c r="CT5" i="7" s="1"/>
  <c r="N69" i="2"/>
  <c r="N18" i="2"/>
  <c r="AR5" i="7" s="1"/>
  <c r="N34" i="2"/>
  <c r="N50" i="2"/>
  <c r="N66" i="2"/>
  <c r="GF5" i="7" s="1"/>
  <c r="N82" i="2"/>
  <c r="IB5" i="7" s="1"/>
  <c r="N98" i="2"/>
  <c r="N114" i="2"/>
  <c r="N52" i="2"/>
  <c r="EP5" i="7" s="1"/>
  <c r="N116" i="2"/>
  <c r="LZ5" i="7" s="1"/>
  <c r="N53" i="2"/>
  <c r="N19" i="2"/>
  <c r="AU5" i="7" s="1"/>
  <c r="N35" i="2"/>
  <c r="CQ5" i="7" s="1"/>
  <c r="N51" i="2"/>
  <c r="N67" i="2"/>
  <c r="GI5" i="7" s="1"/>
  <c r="N83" i="2"/>
  <c r="IE5" i="7" s="1"/>
  <c r="N99" i="2"/>
  <c r="KA5" i="7" s="1"/>
  <c r="N115" i="2"/>
  <c r="LW5" i="7" s="1"/>
  <c r="N20" i="2"/>
  <c r="AX5" i="7" s="1"/>
  <c r="N85" i="2"/>
  <c r="IK5" i="7" s="1"/>
  <c r="AF12" i="1"/>
  <c r="AF109" i="1"/>
  <c r="AF93" i="1"/>
  <c r="AF99" i="1"/>
  <c r="AF24" i="1"/>
  <c r="AF39" i="1"/>
  <c r="AF98" i="1"/>
  <c r="AF30" i="1"/>
  <c r="AF36" i="1"/>
  <c r="AF57" i="1"/>
  <c r="AF97" i="1"/>
  <c r="AF91" i="1"/>
  <c r="AF73" i="1"/>
  <c r="AF67" i="1"/>
  <c r="AF61" i="1"/>
  <c r="AF55" i="1"/>
  <c r="AF102" i="1"/>
  <c r="AF84" i="1"/>
  <c r="AF78" i="1"/>
  <c r="AF72" i="1"/>
  <c r="AF66" i="1"/>
  <c r="AF60" i="1"/>
  <c r="AF107" i="1"/>
  <c r="AF41" i="1"/>
  <c r="AF35" i="1"/>
  <c r="AF29" i="1"/>
  <c r="AF89" i="1"/>
  <c r="AF77" i="1"/>
  <c r="AF71" i="1"/>
  <c r="AF65" i="1"/>
  <c r="AF100" i="1"/>
  <c r="AF94" i="1"/>
  <c r="AF52" i="1"/>
  <c r="AF46" i="1"/>
  <c r="AF40" i="1"/>
  <c r="AF34" i="1"/>
  <c r="AF28" i="1"/>
  <c r="AF88" i="1"/>
  <c r="AF105" i="1"/>
  <c r="AF82" i="1"/>
  <c r="AF76" i="1"/>
  <c r="AF33" i="1"/>
  <c r="AF87" i="1"/>
  <c r="AF104" i="1"/>
  <c r="AF81" i="1"/>
  <c r="AF92" i="1"/>
  <c r="AF68" i="1"/>
  <c r="AF62" i="1"/>
  <c r="AF56" i="1"/>
  <c r="AF50" i="1"/>
  <c r="AF25" i="1"/>
  <c r="AF70" i="1"/>
  <c r="AF54" i="1"/>
  <c r="AF38" i="1"/>
  <c r="AF6" i="1"/>
  <c r="AF75" i="1"/>
  <c r="AF59" i="1"/>
  <c r="AF43" i="1"/>
  <c r="AF27" i="1"/>
  <c r="AF96" i="1"/>
  <c r="AF80" i="1"/>
  <c r="AF64" i="1"/>
  <c r="AF48" i="1"/>
  <c r="AF32" i="1"/>
  <c r="AF101" i="1"/>
  <c r="AF69" i="1"/>
  <c r="AF53" i="1"/>
  <c r="AF37" i="1"/>
  <c r="AF5" i="1"/>
  <c r="AF106" i="1"/>
  <c r="AF90" i="1"/>
  <c r="AF74" i="1"/>
  <c r="AF58" i="1"/>
  <c r="AF42" i="1"/>
  <c r="AF26" i="1"/>
  <c r="AF95" i="1"/>
  <c r="AF79" i="1"/>
  <c r="AF63" i="1"/>
  <c r="AF31" i="1"/>
  <c r="Y113" i="2" l="1"/>
  <c r="P6" i="2"/>
  <c r="R83" i="2"/>
  <c r="U83" i="2"/>
  <c r="AH83" i="2"/>
  <c r="W83" i="2"/>
  <c r="Y83" i="2"/>
  <c r="S83" i="2"/>
  <c r="AA83" i="2"/>
  <c r="AB83" i="2"/>
  <c r="AI83" i="2"/>
  <c r="AC83" i="2"/>
  <c r="T83" i="2"/>
  <c r="AK83" i="2"/>
  <c r="AD83" i="2"/>
  <c r="AJ83" i="2"/>
  <c r="X83" i="2"/>
  <c r="V83" i="2"/>
  <c r="AE83" i="2"/>
  <c r="AL83" i="2"/>
  <c r="Z83" i="2"/>
  <c r="P83" i="2"/>
  <c r="AF83" i="2"/>
  <c r="AM83" i="2"/>
  <c r="AN83" i="2"/>
  <c r="Q83" i="2"/>
  <c r="AO83" i="2"/>
  <c r="AG83" i="2"/>
  <c r="AL113" i="2"/>
  <c r="AG113" i="2"/>
  <c r="W113" i="2"/>
  <c r="AM113" i="2"/>
  <c r="P113" i="2"/>
  <c r="X113" i="2"/>
  <c r="S113" i="2"/>
  <c r="AN113" i="2"/>
  <c r="AB113" i="2"/>
  <c r="AF113" i="2"/>
  <c r="AO113" i="2"/>
  <c r="Z113" i="2"/>
  <c r="R113" i="2"/>
  <c r="AI113" i="2"/>
  <c r="AH113" i="2"/>
  <c r="AA113" i="2"/>
  <c r="AE113" i="2"/>
  <c r="T113" i="2"/>
  <c r="AC113" i="2"/>
  <c r="AJ113" i="2"/>
  <c r="U113" i="2"/>
  <c r="AD113" i="2"/>
  <c r="AK113" i="2"/>
  <c r="V113" i="2"/>
  <c r="Q113" i="2"/>
  <c r="T74" i="2"/>
  <c r="AD74" i="2"/>
  <c r="U74" i="2"/>
  <c r="X74" i="2"/>
  <c r="AE74" i="2"/>
  <c r="W74" i="2"/>
  <c r="Q74" i="2"/>
  <c r="AJ74" i="2"/>
  <c r="AG74" i="2"/>
  <c r="AK74" i="2"/>
  <c r="Y74" i="2"/>
  <c r="AL74" i="2"/>
  <c r="AO74" i="2"/>
  <c r="AM74" i="2"/>
  <c r="AH74" i="2"/>
  <c r="Z74" i="2"/>
  <c r="AN74" i="2"/>
  <c r="AF74" i="2"/>
  <c r="P74" i="2"/>
  <c r="AA74" i="2"/>
  <c r="R74" i="2"/>
  <c r="AB74" i="2"/>
  <c r="S74" i="2"/>
  <c r="AC74" i="2"/>
  <c r="V74" i="2"/>
  <c r="AI74" i="2"/>
  <c r="AF55" i="2"/>
  <c r="W55" i="2"/>
  <c r="AO55" i="2"/>
  <c r="Q55" i="2"/>
  <c r="Z55" i="2"/>
  <c r="AG55" i="2"/>
  <c r="AA55" i="2"/>
  <c r="AB55" i="2"/>
  <c r="R55" i="2"/>
  <c r="AC55" i="2"/>
  <c r="AH55" i="2"/>
  <c r="AM55" i="2"/>
  <c r="AD55" i="2"/>
  <c r="S55" i="2"/>
  <c r="AE55" i="2"/>
  <c r="AI55" i="2"/>
  <c r="AJ55" i="2"/>
  <c r="U55" i="2"/>
  <c r="AK55" i="2"/>
  <c r="V55" i="2"/>
  <c r="P55" i="2"/>
  <c r="AN55" i="2"/>
  <c r="Y55" i="2"/>
  <c r="AL55" i="2"/>
  <c r="X55" i="2"/>
  <c r="T55" i="2"/>
  <c r="R36" i="2"/>
  <c r="Z36" i="2"/>
  <c r="AH36" i="2"/>
  <c r="AA36" i="2"/>
  <c r="S36" i="2"/>
  <c r="AB36" i="2"/>
  <c r="AD36" i="2"/>
  <c r="AC36" i="2"/>
  <c r="T36" i="2"/>
  <c r="AJ36" i="2"/>
  <c r="AN36" i="2"/>
  <c r="U36" i="2"/>
  <c r="AK36" i="2"/>
  <c r="AM36" i="2"/>
  <c r="P36" i="2"/>
  <c r="V36" i="2"/>
  <c r="AF36" i="2"/>
  <c r="AL36" i="2"/>
  <c r="AE36" i="2"/>
  <c r="W36" i="2"/>
  <c r="AI36" i="2"/>
  <c r="AO36" i="2"/>
  <c r="Q36" i="2"/>
  <c r="AG36" i="2"/>
  <c r="X36" i="2"/>
  <c r="Y36" i="2"/>
  <c r="AG67" i="2"/>
  <c r="AO67" i="2"/>
  <c r="R67" i="2"/>
  <c r="AH67" i="2"/>
  <c r="U67" i="2"/>
  <c r="S67" i="2"/>
  <c r="AI67" i="2"/>
  <c r="X67" i="2"/>
  <c r="T67" i="2"/>
  <c r="Y67" i="2"/>
  <c r="AD67" i="2"/>
  <c r="AJ67" i="2"/>
  <c r="Z67" i="2"/>
  <c r="V67" i="2"/>
  <c r="AA67" i="2"/>
  <c r="AE67" i="2"/>
  <c r="AL67" i="2"/>
  <c r="W67" i="2"/>
  <c r="AB67" i="2"/>
  <c r="P67" i="2"/>
  <c r="AC67" i="2"/>
  <c r="AF67" i="2"/>
  <c r="AK67" i="2"/>
  <c r="AM67" i="2"/>
  <c r="Q67" i="2"/>
  <c r="AN67" i="2"/>
  <c r="S51" i="2"/>
  <c r="AE51" i="2"/>
  <c r="U51" i="2"/>
  <c r="V51" i="2"/>
  <c r="P51" i="2"/>
  <c r="AA51" i="2"/>
  <c r="AF51" i="2"/>
  <c r="W51" i="2"/>
  <c r="X51" i="2"/>
  <c r="Q51" i="2"/>
  <c r="Y51" i="2"/>
  <c r="AG51" i="2"/>
  <c r="Z51" i="2"/>
  <c r="AL51" i="2"/>
  <c r="R51" i="2"/>
  <c r="AM51" i="2"/>
  <c r="AH51" i="2"/>
  <c r="AN51" i="2"/>
  <c r="AB51" i="2"/>
  <c r="AO51" i="2"/>
  <c r="T51" i="2"/>
  <c r="AK51" i="2"/>
  <c r="AC51" i="2"/>
  <c r="AJ51" i="2"/>
  <c r="AI51" i="2"/>
  <c r="AD51" i="2"/>
  <c r="AA65" i="2"/>
  <c r="T65" i="2"/>
  <c r="P65" i="2"/>
  <c r="AC65" i="2"/>
  <c r="AJ65" i="2"/>
  <c r="AF65" i="2"/>
  <c r="AD65" i="2"/>
  <c r="U65" i="2"/>
  <c r="R65" i="2"/>
  <c r="AK65" i="2"/>
  <c r="AE65" i="2"/>
  <c r="V65" i="2"/>
  <c r="AG65" i="2"/>
  <c r="AL65" i="2"/>
  <c r="AH65" i="2"/>
  <c r="W65" i="2"/>
  <c r="AI65" i="2"/>
  <c r="AM65" i="2"/>
  <c r="X65" i="2"/>
  <c r="AN65" i="2"/>
  <c r="Y65" i="2"/>
  <c r="Q65" i="2"/>
  <c r="AO65" i="2"/>
  <c r="Z65" i="2"/>
  <c r="AB65" i="2"/>
  <c r="S65" i="2"/>
  <c r="AH39" i="2"/>
  <c r="AI39" i="2"/>
  <c r="AB39" i="2"/>
  <c r="AN39" i="2"/>
  <c r="AA39" i="2"/>
  <c r="T39" i="2"/>
  <c r="AC39" i="2"/>
  <c r="AJ39" i="2"/>
  <c r="AD39" i="2"/>
  <c r="U39" i="2"/>
  <c r="AE39" i="2"/>
  <c r="AK39" i="2"/>
  <c r="S39" i="2"/>
  <c r="V39" i="2"/>
  <c r="AO39" i="2"/>
  <c r="AL39" i="2"/>
  <c r="P39" i="2"/>
  <c r="W39" i="2"/>
  <c r="AF39" i="2"/>
  <c r="AM39" i="2"/>
  <c r="Z39" i="2"/>
  <c r="X39" i="2"/>
  <c r="Q39" i="2"/>
  <c r="R39" i="2"/>
  <c r="AG39" i="2"/>
  <c r="Y39" i="2"/>
  <c r="AB91" i="2"/>
  <c r="AG91" i="2"/>
  <c r="AK91" i="2"/>
  <c r="AC91" i="2"/>
  <c r="AJ91" i="2"/>
  <c r="V91" i="2"/>
  <c r="S91" i="2"/>
  <c r="AL91" i="2"/>
  <c r="AI91" i="2"/>
  <c r="W91" i="2"/>
  <c r="AM91" i="2"/>
  <c r="P91" i="2"/>
  <c r="X91" i="2"/>
  <c r="Q91" i="2"/>
  <c r="AN91" i="2"/>
  <c r="R91" i="2"/>
  <c r="Y91" i="2"/>
  <c r="U91" i="2"/>
  <c r="AO91" i="2"/>
  <c r="AA91" i="2"/>
  <c r="Z91" i="2"/>
  <c r="AD91" i="2"/>
  <c r="T91" i="2"/>
  <c r="AE91" i="2"/>
  <c r="AF91" i="2"/>
  <c r="AH91" i="2"/>
  <c r="T81" i="2"/>
  <c r="AD81" i="2"/>
  <c r="AJ81" i="2"/>
  <c r="U81" i="2"/>
  <c r="P81" i="2"/>
  <c r="AK81" i="2"/>
  <c r="AF81" i="2"/>
  <c r="V81" i="2"/>
  <c r="AL81" i="2"/>
  <c r="Q81" i="2"/>
  <c r="W81" i="2"/>
  <c r="S81" i="2"/>
  <c r="AM81" i="2"/>
  <c r="AA81" i="2"/>
  <c r="X81" i="2"/>
  <c r="AN81" i="2"/>
  <c r="AC81" i="2"/>
  <c r="Y81" i="2"/>
  <c r="AE81" i="2"/>
  <c r="AO81" i="2"/>
  <c r="AG81" i="2"/>
  <c r="Z81" i="2"/>
  <c r="R81" i="2"/>
  <c r="AI81" i="2"/>
  <c r="AH81" i="2"/>
  <c r="AB81" i="2"/>
  <c r="U26" i="2"/>
  <c r="P26" i="2"/>
  <c r="Y26" i="2"/>
  <c r="AF26" i="2"/>
  <c r="AO26" i="2"/>
  <c r="Q26" i="2"/>
  <c r="AG26" i="2"/>
  <c r="Z26" i="2"/>
  <c r="AK26" i="2"/>
  <c r="R26" i="2"/>
  <c r="AA26" i="2"/>
  <c r="AH26" i="2"/>
  <c r="S26" i="2"/>
  <c r="V26" i="2"/>
  <c r="AB26" i="2"/>
  <c r="AI26" i="2"/>
  <c r="AL26" i="2"/>
  <c r="T26" i="2"/>
  <c r="W26" i="2"/>
  <c r="AC26" i="2"/>
  <c r="AJ26" i="2"/>
  <c r="AM26" i="2"/>
  <c r="AD26" i="2"/>
  <c r="X26" i="2"/>
  <c r="AN26" i="2"/>
  <c r="AE26" i="2"/>
  <c r="AG23" i="2"/>
  <c r="AI23" i="2"/>
  <c r="T23" i="2"/>
  <c r="AA23" i="2"/>
  <c r="R23" i="2"/>
  <c r="AJ23" i="2"/>
  <c r="AH23" i="2"/>
  <c r="U23" i="2"/>
  <c r="AB23" i="2"/>
  <c r="AK23" i="2"/>
  <c r="S23" i="2"/>
  <c r="AC23" i="2"/>
  <c r="V23" i="2"/>
  <c r="AL23" i="2"/>
  <c r="AD23" i="2"/>
  <c r="W23" i="2"/>
  <c r="AM23" i="2"/>
  <c r="AE23" i="2"/>
  <c r="X23" i="2"/>
  <c r="AN23" i="2"/>
  <c r="P23" i="2"/>
  <c r="Y23" i="2"/>
  <c r="AO23" i="2"/>
  <c r="Z23" i="2"/>
  <c r="AF23" i="2"/>
  <c r="Q23" i="2"/>
  <c r="AI30" i="2"/>
  <c r="Y30" i="2"/>
  <c r="Q30" i="2"/>
  <c r="S30" i="2"/>
  <c r="AJ30" i="2"/>
  <c r="AB30" i="2"/>
  <c r="U30" i="2"/>
  <c r="AK30" i="2"/>
  <c r="AC30" i="2"/>
  <c r="AL30" i="2"/>
  <c r="AD30" i="2"/>
  <c r="V30" i="2"/>
  <c r="AE30" i="2"/>
  <c r="Z30" i="2"/>
  <c r="AG30" i="2"/>
  <c r="W30" i="2"/>
  <c r="R30" i="2"/>
  <c r="AM30" i="2"/>
  <c r="T30" i="2"/>
  <c r="X30" i="2"/>
  <c r="AH30" i="2"/>
  <c r="AN30" i="2"/>
  <c r="P30" i="2"/>
  <c r="AF30" i="2"/>
  <c r="AO30" i="2"/>
  <c r="AA30" i="2"/>
  <c r="AK106" i="2"/>
  <c r="W106" i="2"/>
  <c r="P106" i="2"/>
  <c r="T106" i="2"/>
  <c r="AM106" i="2"/>
  <c r="AF106" i="2"/>
  <c r="X106" i="2"/>
  <c r="Y106" i="2"/>
  <c r="AJ106" i="2"/>
  <c r="Z106" i="2"/>
  <c r="AH106" i="2"/>
  <c r="AA106" i="2"/>
  <c r="S106" i="2"/>
  <c r="AI106" i="2"/>
  <c r="AB106" i="2"/>
  <c r="V106" i="2"/>
  <c r="AL106" i="2"/>
  <c r="AC106" i="2"/>
  <c r="AN106" i="2"/>
  <c r="AD106" i="2"/>
  <c r="Q106" i="2"/>
  <c r="U106" i="2"/>
  <c r="AO106" i="2"/>
  <c r="AE106" i="2"/>
  <c r="R106" i="2"/>
  <c r="AG106" i="2"/>
  <c r="AF58" i="2"/>
  <c r="Y58" i="2"/>
  <c r="AO58" i="2"/>
  <c r="Q58" i="2"/>
  <c r="Z58" i="2"/>
  <c r="AG58" i="2"/>
  <c r="AL58" i="2"/>
  <c r="R58" i="2"/>
  <c r="AB58" i="2"/>
  <c r="AH58" i="2"/>
  <c r="T58" i="2"/>
  <c r="AN58" i="2"/>
  <c r="AC58" i="2"/>
  <c r="S58" i="2"/>
  <c r="AM58" i="2"/>
  <c r="AI58" i="2"/>
  <c r="W58" i="2"/>
  <c r="AD58" i="2"/>
  <c r="V58" i="2"/>
  <c r="X58" i="2"/>
  <c r="AE58" i="2"/>
  <c r="AJ58" i="2"/>
  <c r="U58" i="2"/>
  <c r="P58" i="2"/>
  <c r="AK58" i="2"/>
  <c r="AA58" i="2"/>
  <c r="AH11" i="2"/>
  <c r="AC11" i="2"/>
  <c r="AA11" i="2"/>
  <c r="AG11" i="2"/>
  <c r="U11" i="2"/>
  <c r="AI11" i="2"/>
  <c r="Q11" i="2"/>
  <c r="X11" i="2"/>
  <c r="AJ11" i="2"/>
  <c r="AB11" i="2"/>
  <c r="AF11" i="2"/>
  <c r="AK11" i="2"/>
  <c r="Y11" i="2"/>
  <c r="P11" i="2"/>
  <c r="AM11" i="2"/>
  <c r="AE11" i="2"/>
  <c r="AL11" i="2"/>
  <c r="R11" i="2"/>
  <c r="W11" i="2"/>
  <c r="S11" i="2"/>
  <c r="T11" i="2"/>
  <c r="AN11" i="2"/>
  <c r="V11" i="2"/>
  <c r="AO11" i="2"/>
  <c r="AD11" i="2"/>
  <c r="Z11" i="2"/>
  <c r="P120" i="2"/>
  <c r="AL120" i="2"/>
  <c r="AF120" i="2"/>
  <c r="X120" i="2"/>
  <c r="AN120" i="2"/>
  <c r="Q120" i="2"/>
  <c r="Y120" i="2"/>
  <c r="AB120" i="2"/>
  <c r="R120" i="2"/>
  <c r="AH120" i="2"/>
  <c r="W120" i="2"/>
  <c r="Z120" i="2"/>
  <c r="S120" i="2"/>
  <c r="AI120" i="2"/>
  <c r="AD120" i="2"/>
  <c r="T120" i="2"/>
  <c r="AM120" i="2"/>
  <c r="AC120" i="2"/>
  <c r="AJ120" i="2"/>
  <c r="U120" i="2"/>
  <c r="AE120" i="2"/>
  <c r="AK120" i="2"/>
  <c r="AG120" i="2"/>
  <c r="V120" i="2"/>
  <c r="AO120" i="2"/>
  <c r="AA120" i="2"/>
  <c r="S7" i="2"/>
  <c r="AI7" i="2"/>
  <c r="AK7" i="2"/>
  <c r="V7" i="2"/>
  <c r="AC7" i="2"/>
  <c r="AL7" i="2"/>
  <c r="Z7" i="2"/>
  <c r="AD7" i="2"/>
  <c r="Y7" i="2"/>
  <c r="AG7" i="2"/>
  <c r="AJ7" i="2"/>
  <c r="W7" i="2"/>
  <c r="R7" i="2"/>
  <c r="AE7" i="2"/>
  <c r="AM7" i="2"/>
  <c r="T7" i="2"/>
  <c r="X7" i="2"/>
  <c r="U7" i="2"/>
  <c r="P7" i="2"/>
  <c r="AN7" i="2"/>
  <c r="AB7" i="2"/>
  <c r="AF7" i="2"/>
  <c r="AO7" i="2"/>
  <c r="Q7" i="2"/>
  <c r="AA7" i="2"/>
  <c r="AH7" i="2"/>
  <c r="X87" i="2"/>
  <c r="P87" i="2"/>
  <c r="AN87" i="2"/>
  <c r="AF87" i="2"/>
  <c r="Y87" i="2"/>
  <c r="AO87" i="2"/>
  <c r="AH87" i="2"/>
  <c r="AB87" i="2"/>
  <c r="S87" i="2"/>
  <c r="AI87" i="2"/>
  <c r="AE87" i="2"/>
  <c r="AJ87" i="2"/>
  <c r="Q87" i="2"/>
  <c r="U87" i="2"/>
  <c r="Z87" i="2"/>
  <c r="AK87" i="2"/>
  <c r="AC87" i="2"/>
  <c r="AL87" i="2"/>
  <c r="AG87" i="2"/>
  <c r="R87" i="2"/>
  <c r="T87" i="2"/>
  <c r="V87" i="2"/>
  <c r="W87" i="2"/>
  <c r="AA87" i="2"/>
  <c r="AM87" i="2"/>
  <c r="AD87" i="2"/>
  <c r="AA52" i="2"/>
  <c r="R52" i="2"/>
  <c r="AB52" i="2"/>
  <c r="S52" i="2"/>
  <c r="AC52" i="2"/>
  <c r="T52" i="2"/>
  <c r="AD52" i="2"/>
  <c r="V52" i="2"/>
  <c r="X52" i="2"/>
  <c r="AE52" i="2"/>
  <c r="U52" i="2"/>
  <c r="W52" i="2"/>
  <c r="Q52" i="2"/>
  <c r="AI52" i="2"/>
  <c r="AG52" i="2"/>
  <c r="AJ52" i="2"/>
  <c r="AK52" i="2"/>
  <c r="Y52" i="2"/>
  <c r="AM52" i="2"/>
  <c r="AL52" i="2"/>
  <c r="AO52" i="2"/>
  <c r="AN52" i="2"/>
  <c r="AF52" i="2"/>
  <c r="Z52" i="2"/>
  <c r="P52" i="2"/>
  <c r="AH52" i="2"/>
  <c r="P42" i="2"/>
  <c r="W42" i="2"/>
  <c r="Q42" i="2"/>
  <c r="AM42" i="2"/>
  <c r="AG42" i="2"/>
  <c r="Z42" i="2"/>
  <c r="AC42" i="2"/>
  <c r="X42" i="2"/>
  <c r="AH42" i="2"/>
  <c r="Y42" i="2"/>
  <c r="AA42" i="2"/>
  <c r="AO42" i="2"/>
  <c r="S42" i="2"/>
  <c r="AI42" i="2"/>
  <c r="U42" i="2"/>
  <c r="T42" i="2"/>
  <c r="AJ42" i="2"/>
  <c r="AK42" i="2"/>
  <c r="AD42" i="2"/>
  <c r="V42" i="2"/>
  <c r="AF42" i="2"/>
  <c r="AL42" i="2"/>
  <c r="AE42" i="2"/>
  <c r="R42" i="2"/>
  <c r="AB42" i="2"/>
  <c r="AN42" i="2"/>
  <c r="AI37" i="2"/>
  <c r="AD37" i="2"/>
  <c r="T37" i="2"/>
  <c r="AJ37" i="2"/>
  <c r="U37" i="2"/>
  <c r="AM37" i="2"/>
  <c r="AB37" i="2"/>
  <c r="P37" i="2"/>
  <c r="V37" i="2"/>
  <c r="AF37" i="2"/>
  <c r="AL37" i="2"/>
  <c r="AH37" i="2"/>
  <c r="W37" i="2"/>
  <c r="Q37" i="2"/>
  <c r="X37" i="2"/>
  <c r="AG37" i="2"/>
  <c r="AN37" i="2"/>
  <c r="R37" i="2"/>
  <c r="Y37" i="2"/>
  <c r="AC37" i="2"/>
  <c r="AO37" i="2"/>
  <c r="AE37" i="2"/>
  <c r="Z37" i="2"/>
  <c r="AA37" i="2"/>
  <c r="AK37" i="2"/>
  <c r="S37" i="2"/>
  <c r="AI10" i="2"/>
  <c r="AL10" i="2"/>
  <c r="AE10" i="2"/>
  <c r="S10" i="2"/>
  <c r="P10" i="2"/>
  <c r="AG10" i="2"/>
  <c r="AM10" i="2"/>
  <c r="R10" i="2"/>
  <c r="Q10" i="2"/>
  <c r="AN10" i="2"/>
  <c r="U10" i="2"/>
  <c r="AA10" i="2"/>
  <c r="AO10" i="2"/>
  <c r="W10" i="2"/>
  <c r="V10" i="2"/>
  <c r="X10" i="2"/>
  <c r="T10" i="2"/>
  <c r="Z10" i="2"/>
  <c r="AF10" i="2"/>
  <c r="Y10" i="2"/>
  <c r="AK10" i="2"/>
  <c r="AB10" i="2"/>
  <c r="AC10" i="2"/>
  <c r="AH10" i="2"/>
  <c r="AD10" i="2"/>
  <c r="AJ10" i="2"/>
  <c r="Y103" i="2"/>
  <c r="R103" i="2"/>
  <c r="AO103" i="2"/>
  <c r="AH103" i="2"/>
  <c r="AA103" i="2"/>
  <c r="AI103" i="2"/>
  <c r="T103" i="2"/>
  <c r="AE103" i="2"/>
  <c r="AJ103" i="2"/>
  <c r="U103" i="2"/>
  <c r="Q103" i="2"/>
  <c r="V103" i="2"/>
  <c r="AC103" i="2"/>
  <c r="AL103" i="2"/>
  <c r="AD103" i="2"/>
  <c r="W103" i="2"/>
  <c r="AG103" i="2"/>
  <c r="P103" i="2"/>
  <c r="X103" i="2"/>
  <c r="S103" i="2"/>
  <c r="AK103" i="2"/>
  <c r="AM103" i="2"/>
  <c r="AN103" i="2"/>
  <c r="AB103" i="2"/>
  <c r="Z103" i="2"/>
  <c r="AF103" i="2"/>
  <c r="Z111" i="2"/>
  <c r="AG111" i="2"/>
  <c r="AO111" i="2"/>
  <c r="AA111" i="2"/>
  <c r="S111" i="2"/>
  <c r="AI111" i="2"/>
  <c r="AB111" i="2"/>
  <c r="T111" i="2"/>
  <c r="AJ111" i="2"/>
  <c r="AC111" i="2"/>
  <c r="W111" i="2"/>
  <c r="AM111" i="2"/>
  <c r="AD111" i="2"/>
  <c r="R111" i="2"/>
  <c r="AE111" i="2"/>
  <c r="V111" i="2"/>
  <c r="Y111" i="2"/>
  <c r="P111" i="2"/>
  <c r="AH111" i="2"/>
  <c r="AF111" i="2"/>
  <c r="AL111" i="2"/>
  <c r="X111" i="2"/>
  <c r="AN111" i="2"/>
  <c r="Q111" i="2"/>
  <c r="U111" i="2"/>
  <c r="AK111" i="2"/>
  <c r="V43" i="2"/>
  <c r="AE43" i="2"/>
  <c r="R43" i="2"/>
  <c r="AF43" i="2"/>
  <c r="W43" i="2"/>
  <c r="S43" i="2"/>
  <c r="AM43" i="2"/>
  <c r="AH43" i="2"/>
  <c r="X43" i="2"/>
  <c r="AN43" i="2"/>
  <c r="AA43" i="2"/>
  <c r="Y43" i="2"/>
  <c r="T43" i="2"/>
  <c r="AO43" i="2"/>
  <c r="AJ43" i="2"/>
  <c r="Z43" i="2"/>
  <c r="AL43" i="2"/>
  <c r="AB43" i="2"/>
  <c r="AG43" i="2"/>
  <c r="Q43" i="2"/>
  <c r="AK43" i="2"/>
  <c r="P43" i="2"/>
  <c r="AI43" i="2"/>
  <c r="U43" i="2"/>
  <c r="AC43" i="2"/>
  <c r="AD43" i="2"/>
  <c r="P47" i="2"/>
  <c r="AK47" i="2"/>
  <c r="S47" i="2"/>
  <c r="AL47" i="2"/>
  <c r="Y47" i="2"/>
  <c r="AM47" i="2"/>
  <c r="Q47" i="2"/>
  <c r="AG47" i="2"/>
  <c r="AI47" i="2"/>
  <c r="W47" i="2"/>
  <c r="AN47" i="2"/>
  <c r="AB47" i="2"/>
  <c r="R47" i="2"/>
  <c r="AO47" i="2"/>
  <c r="AH47" i="2"/>
  <c r="AC47" i="2"/>
  <c r="T47" i="2"/>
  <c r="AD47" i="2"/>
  <c r="AJ47" i="2"/>
  <c r="AE47" i="2"/>
  <c r="Z47" i="2"/>
  <c r="X47" i="2"/>
  <c r="AF47" i="2"/>
  <c r="AA47" i="2"/>
  <c r="U47" i="2"/>
  <c r="V47" i="2"/>
  <c r="T17" i="2"/>
  <c r="AA17" i="2"/>
  <c r="AJ17" i="2"/>
  <c r="Z17" i="2"/>
  <c r="R17" i="2"/>
  <c r="AO17" i="2"/>
  <c r="AN17" i="2"/>
  <c r="Y17" i="2"/>
  <c r="AI17" i="2"/>
  <c r="Q17" i="2"/>
  <c r="AH17" i="2"/>
  <c r="P17" i="2"/>
  <c r="AG17" i="2"/>
  <c r="U17" i="2"/>
  <c r="AM17" i="2"/>
  <c r="AF17" i="2"/>
  <c r="W17" i="2"/>
  <c r="S17" i="2"/>
  <c r="AL17" i="2"/>
  <c r="AE17" i="2"/>
  <c r="V17" i="2"/>
  <c r="X17" i="2"/>
  <c r="AB17" i="2"/>
  <c r="AK17" i="2"/>
  <c r="AD17" i="2"/>
  <c r="AC17" i="2"/>
  <c r="AH15" i="2"/>
  <c r="AN15" i="2"/>
  <c r="AK15" i="2"/>
  <c r="S15" i="2"/>
  <c r="Q15" i="2"/>
  <c r="AI15" i="2"/>
  <c r="AA15" i="2"/>
  <c r="T15" i="2"/>
  <c r="AC15" i="2"/>
  <c r="AJ15" i="2"/>
  <c r="AO15" i="2"/>
  <c r="AD15" i="2"/>
  <c r="Y15" i="2"/>
  <c r="X15" i="2"/>
  <c r="AB15" i="2"/>
  <c r="U15" i="2"/>
  <c r="AE15" i="2"/>
  <c r="V15" i="2"/>
  <c r="AG15" i="2"/>
  <c r="P15" i="2"/>
  <c r="AL15" i="2"/>
  <c r="AF15" i="2"/>
  <c r="AM15" i="2"/>
  <c r="Z15" i="2"/>
  <c r="W15" i="2"/>
  <c r="R15" i="2"/>
  <c r="U101" i="2"/>
  <c r="AE101" i="2"/>
  <c r="W101" i="2"/>
  <c r="AF101" i="2"/>
  <c r="AH101" i="2"/>
  <c r="V101" i="2"/>
  <c r="AI101" i="2"/>
  <c r="AC101" i="2"/>
  <c r="X101" i="2"/>
  <c r="AJ101" i="2"/>
  <c r="T101" i="2"/>
  <c r="AN101" i="2"/>
  <c r="AK101" i="2"/>
  <c r="AG101" i="2"/>
  <c r="Y101" i="2"/>
  <c r="AL101" i="2"/>
  <c r="AO101" i="2"/>
  <c r="P101" i="2"/>
  <c r="Z101" i="2"/>
  <c r="AM101" i="2"/>
  <c r="Q101" i="2"/>
  <c r="AA101" i="2"/>
  <c r="R101" i="2"/>
  <c r="AB101" i="2"/>
  <c r="S101" i="2"/>
  <c r="AD101" i="2"/>
  <c r="AJ29" i="2"/>
  <c r="U29" i="2"/>
  <c r="Y29" i="2"/>
  <c r="V29" i="2"/>
  <c r="P29" i="2"/>
  <c r="AL29" i="2"/>
  <c r="AF29" i="2"/>
  <c r="Z29" i="2"/>
  <c r="Q29" i="2"/>
  <c r="AE29" i="2"/>
  <c r="AG29" i="2"/>
  <c r="W29" i="2"/>
  <c r="R29" i="2"/>
  <c r="AM29" i="2"/>
  <c r="AH29" i="2"/>
  <c r="AO29" i="2"/>
  <c r="S29" i="2"/>
  <c r="AA29" i="2"/>
  <c r="AI29" i="2"/>
  <c r="AD29" i="2"/>
  <c r="AK29" i="2"/>
  <c r="X29" i="2"/>
  <c r="T29" i="2"/>
  <c r="AC29" i="2"/>
  <c r="AB29" i="2"/>
  <c r="AN29" i="2"/>
  <c r="AF121" i="2"/>
  <c r="W121" i="2"/>
  <c r="AM121" i="2"/>
  <c r="Q121" i="2"/>
  <c r="X121" i="2"/>
  <c r="AG121" i="2"/>
  <c r="AN121" i="2"/>
  <c r="Z121" i="2"/>
  <c r="Y121" i="2"/>
  <c r="R121" i="2"/>
  <c r="AO121" i="2"/>
  <c r="AA121" i="2"/>
  <c r="AH121" i="2"/>
  <c r="AB121" i="2"/>
  <c r="S121" i="2"/>
  <c r="AI121" i="2"/>
  <c r="AC121" i="2"/>
  <c r="T121" i="2"/>
  <c r="AJ121" i="2"/>
  <c r="AD121" i="2"/>
  <c r="U121" i="2"/>
  <c r="P121" i="2"/>
  <c r="AL121" i="2"/>
  <c r="AE121" i="2"/>
  <c r="AK121" i="2"/>
  <c r="V121" i="2"/>
  <c r="S72" i="2"/>
  <c r="AC72" i="2"/>
  <c r="AI72" i="2"/>
  <c r="AO72" i="2"/>
  <c r="T72" i="2"/>
  <c r="AJ72" i="2"/>
  <c r="AE72" i="2"/>
  <c r="AK72" i="2"/>
  <c r="W72" i="2"/>
  <c r="AL72" i="2"/>
  <c r="P72" i="2"/>
  <c r="AM72" i="2"/>
  <c r="AN72" i="2"/>
  <c r="AF72" i="2"/>
  <c r="Q72" i="2"/>
  <c r="X72" i="2"/>
  <c r="AG72" i="2"/>
  <c r="AD72" i="2"/>
  <c r="Y72" i="2"/>
  <c r="R72" i="2"/>
  <c r="Z72" i="2"/>
  <c r="AH72" i="2"/>
  <c r="AB72" i="2"/>
  <c r="U72" i="2"/>
  <c r="V72" i="2"/>
  <c r="AA72" i="2"/>
  <c r="W102" i="2"/>
  <c r="AL102" i="2"/>
  <c r="V102" i="2"/>
  <c r="AJ102" i="2"/>
  <c r="T102" i="2"/>
  <c r="AI102" i="2"/>
  <c r="AE102" i="2"/>
  <c r="S102" i="2"/>
  <c r="AC102" i="2"/>
  <c r="AF102" i="2"/>
  <c r="AB102" i="2"/>
  <c r="P102" i="2"/>
  <c r="AA102" i="2"/>
  <c r="AD102" i="2"/>
  <c r="Z102" i="2"/>
  <c r="U102" i="2"/>
  <c r="AO102" i="2"/>
  <c r="R102" i="2"/>
  <c r="Y102" i="2"/>
  <c r="Q102" i="2"/>
  <c r="AM102" i="2"/>
  <c r="AH102" i="2"/>
  <c r="AK102" i="2"/>
  <c r="AG102" i="2"/>
  <c r="AN102" i="2"/>
  <c r="X102" i="2"/>
  <c r="AM107" i="2"/>
  <c r="AF107" i="2"/>
  <c r="X107" i="2"/>
  <c r="AN107" i="2"/>
  <c r="S107" i="2"/>
  <c r="Y107" i="2"/>
  <c r="AI107" i="2"/>
  <c r="Z107" i="2"/>
  <c r="R107" i="2"/>
  <c r="U107" i="2"/>
  <c r="AA107" i="2"/>
  <c r="AD107" i="2"/>
  <c r="AG107" i="2"/>
  <c r="AB107" i="2"/>
  <c r="AH107" i="2"/>
  <c r="AK107" i="2"/>
  <c r="T107" i="2"/>
  <c r="AC107" i="2"/>
  <c r="AJ107" i="2"/>
  <c r="V107" i="2"/>
  <c r="AE107" i="2"/>
  <c r="AL107" i="2"/>
  <c r="W107" i="2"/>
  <c r="AO107" i="2"/>
  <c r="P107" i="2"/>
  <c r="Q107" i="2"/>
  <c r="Y117" i="2"/>
  <c r="AO117" i="2"/>
  <c r="R117" i="2"/>
  <c r="Z117" i="2"/>
  <c r="AH117" i="2"/>
  <c r="AA117" i="2"/>
  <c r="U117" i="2"/>
  <c r="AK117" i="2"/>
  <c r="AB117" i="2"/>
  <c r="AM117" i="2"/>
  <c r="AC117" i="2"/>
  <c r="P117" i="2"/>
  <c r="T117" i="2"/>
  <c r="AD117" i="2"/>
  <c r="AF117" i="2"/>
  <c r="AJ117" i="2"/>
  <c r="V117" i="2"/>
  <c r="AE117" i="2"/>
  <c r="S117" i="2"/>
  <c r="AN117" i="2"/>
  <c r="AG117" i="2"/>
  <c r="Q117" i="2"/>
  <c r="W117" i="2"/>
  <c r="AI117" i="2"/>
  <c r="AL117" i="2"/>
  <c r="X117" i="2"/>
  <c r="AB35" i="2"/>
  <c r="S35" i="2"/>
  <c r="Z35" i="2"/>
  <c r="AF35" i="2"/>
  <c r="AO35" i="2"/>
  <c r="AH35" i="2"/>
  <c r="AE35" i="2"/>
  <c r="AG35" i="2"/>
  <c r="AN35" i="2"/>
  <c r="AD35" i="2"/>
  <c r="X35" i="2"/>
  <c r="AM35" i="2"/>
  <c r="W35" i="2"/>
  <c r="AJ35" i="2"/>
  <c r="AL35" i="2"/>
  <c r="V35" i="2"/>
  <c r="AC35" i="2"/>
  <c r="AK35" i="2"/>
  <c r="U35" i="2"/>
  <c r="AA35" i="2"/>
  <c r="T35" i="2"/>
  <c r="Y35" i="2"/>
  <c r="AI35" i="2"/>
  <c r="Q35" i="2"/>
  <c r="P35" i="2"/>
  <c r="R35" i="2"/>
  <c r="AC19" i="2"/>
  <c r="AO19" i="2"/>
  <c r="AD19" i="2"/>
  <c r="T19" i="2"/>
  <c r="Z19" i="2"/>
  <c r="AJ19" i="2"/>
  <c r="AE19" i="2"/>
  <c r="U19" i="2"/>
  <c r="P19" i="2"/>
  <c r="AK19" i="2"/>
  <c r="AF19" i="2"/>
  <c r="V19" i="2"/>
  <c r="Q19" i="2"/>
  <c r="AL19" i="2"/>
  <c r="AG19" i="2"/>
  <c r="W19" i="2"/>
  <c r="R19" i="2"/>
  <c r="AM19" i="2"/>
  <c r="AH19" i="2"/>
  <c r="AA19" i="2"/>
  <c r="AB19" i="2"/>
  <c r="AI19" i="2"/>
  <c r="Y19" i="2"/>
  <c r="X19" i="2"/>
  <c r="S19" i="2"/>
  <c r="AN19" i="2"/>
  <c r="AB49" i="2"/>
  <c r="AJ49" i="2"/>
  <c r="AM49" i="2"/>
  <c r="AC49" i="2"/>
  <c r="X49" i="2"/>
  <c r="AE49" i="2"/>
  <c r="AN49" i="2"/>
  <c r="AI49" i="2"/>
  <c r="Z49" i="2"/>
  <c r="AD49" i="2"/>
  <c r="T49" i="2"/>
  <c r="P49" i="2"/>
  <c r="V49" i="2"/>
  <c r="AF49" i="2"/>
  <c r="Y49" i="2"/>
  <c r="Q49" i="2"/>
  <c r="AO49" i="2"/>
  <c r="AG49" i="2"/>
  <c r="AL49" i="2"/>
  <c r="U49" i="2"/>
  <c r="AA49" i="2"/>
  <c r="R49" i="2"/>
  <c r="S49" i="2"/>
  <c r="AH49" i="2"/>
  <c r="AK49" i="2"/>
  <c r="W49" i="2"/>
  <c r="U104" i="2"/>
  <c r="AD104" i="2"/>
  <c r="AE104" i="2"/>
  <c r="AK104" i="2"/>
  <c r="V104" i="2"/>
  <c r="P104" i="2"/>
  <c r="AL104" i="2"/>
  <c r="AN104" i="2"/>
  <c r="Q104" i="2"/>
  <c r="Y104" i="2"/>
  <c r="AG104" i="2"/>
  <c r="AO104" i="2"/>
  <c r="AB104" i="2"/>
  <c r="AH104" i="2"/>
  <c r="W104" i="2"/>
  <c r="S104" i="2"/>
  <c r="AA104" i="2"/>
  <c r="AI104" i="2"/>
  <c r="AM104" i="2"/>
  <c r="T104" i="2"/>
  <c r="Z104" i="2"/>
  <c r="AC104" i="2"/>
  <c r="AF104" i="2"/>
  <c r="X104" i="2"/>
  <c r="R104" i="2"/>
  <c r="AJ104" i="2"/>
  <c r="AL13" i="2"/>
  <c r="U13" i="2"/>
  <c r="AE13" i="2"/>
  <c r="AB13" i="2"/>
  <c r="AG13" i="2"/>
  <c r="W13" i="2"/>
  <c r="R13" i="2"/>
  <c r="AM13" i="2"/>
  <c r="AD13" i="2"/>
  <c r="X13" i="2"/>
  <c r="AA13" i="2"/>
  <c r="AK13" i="2"/>
  <c r="P13" i="2"/>
  <c r="AN13" i="2"/>
  <c r="AF13" i="2"/>
  <c r="Y13" i="2"/>
  <c r="Q13" i="2"/>
  <c r="AO13" i="2"/>
  <c r="AH13" i="2"/>
  <c r="S13" i="2"/>
  <c r="Z13" i="2"/>
  <c r="AI13" i="2"/>
  <c r="AC13" i="2"/>
  <c r="T13" i="2"/>
  <c r="AJ13" i="2"/>
  <c r="V13" i="2"/>
  <c r="Y105" i="2"/>
  <c r="P105" i="2"/>
  <c r="AO105" i="2"/>
  <c r="AF105" i="2"/>
  <c r="T105" i="2"/>
  <c r="W105" i="2"/>
  <c r="AG105" i="2"/>
  <c r="AA105" i="2"/>
  <c r="AJ105" i="2"/>
  <c r="Z105" i="2"/>
  <c r="R105" i="2"/>
  <c r="AM105" i="2"/>
  <c r="AH105" i="2"/>
  <c r="AN105" i="2"/>
  <c r="AB105" i="2"/>
  <c r="S105" i="2"/>
  <c r="AC105" i="2"/>
  <c r="AI105" i="2"/>
  <c r="U105" i="2"/>
  <c r="AD105" i="2"/>
  <c r="AK105" i="2"/>
  <c r="V105" i="2"/>
  <c r="AE105" i="2"/>
  <c r="Q105" i="2"/>
  <c r="AL105" i="2"/>
  <c r="X105" i="2"/>
  <c r="V56" i="2"/>
  <c r="AF56" i="2"/>
  <c r="AL56" i="2"/>
  <c r="AG56" i="2"/>
  <c r="W56" i="2"/>
  <c r="AB56" i="2"/>
  <c r="AJ56" i="2"/>
  <c r="X56" i="2"/>
  <c r="P56" i="2"/>
  <c r="AN56" i="2"/>
  <c r="AD56" i="2"/>
  <c r="S56" i="2"/>
  <c r="Y56" i="2"/>
  <c r="U56" i="2"/>
  <c r="AO56" i="2"/>
  <c r="AI56" i="2"/>
  <c r="AA56" i="2"/>
  <c r="Q56" i="2"/>
  <c r="T56" i="2"/>
  <c r="AE56" i="2"/>
  <c r="AK56" i="2"/>
  <c r="AM56" i="2"/>
  <c r="Z56" i="2"/>
  <c r="AH56" i="2"/>
  <c r="AC56" i="2"/>
  <c r="R56" i="2"/>
  <c r="AJ86" i="2"/>
  <c r="X86" i="2"/>
  <c r="T86" i="2"/>
  <c r="W86" i="2"/>
  <c r="AI86" i="2"/>
  <c r="V86" i="2"/>
  <c r="S86" i="2"/>
  <c r="U86" i="2"/>
  <c r="AH86" i="2"/>
  <c r="AO86" i="2"/>
  <c r="R86" i="2"/>
  <c r="AM86" i="2"/>
  <c r="AG86" i="2"/>
  <c r="AK86" i="2"/>
  <c r="Q86" i="2"/>
  <c r="AN86" i="2"/>
  <c r="AF86" i="2"/>
  <c r="AL86" i="2"/>
  <c r="P86" i="2"/>
  <c r="AE86" i="2"/>
  <c r="AD86" i="2"/>
  <c r="AC86" i="2"/>
  <c r="AB86" i="2"/>
  <c r="Y86" i="2"/>
  <c r="AA86" i="2"/>
  <c r="Z86" i="2"/>
  <c r="W14" i="2"/>
  <c r="AH14" i="2"/>
  <c r="AK14" i="2"/>
  <c r="X14" i="2"/>
  <c r="R14" i="2"/>
  <c r="V14" i="2"/>
  <c r="AF14" i="2"/>
  <c r="AM14" i="2"/>
  <c r="AI14" i="2"/>
  <c r="AN14" i="2"/>
  <c r="S14" i="2"/>
  <c r="AE14" i="2"/>
  <c r="AO14" i="2"/>
  <c r="P14" i="2"/>
  <c r="T14" i="2"/>
  <c r="AG14" i="2"/>
  <c r="U14" i="2"/>
  <c r="Y14" i="2"/>
  <c r="Z14" i="2"/>
  <c r="AA14" i="2"/>
  <c r="AB14" i="2"/>
  <c r="Q14" i="2"/>
  <c r="AC14" i="2"/>
  <c r="AJ14" i="2"/>
  <c r="AL14" i="2"/>
  <c r="AD14" i="2"/>
  <c r="AB59" i="2"/>
  <c r="R59" i="2"/>
  <c r="AK59" i="2"/>
  <c r="AH59" i="2"/>
  <c r="S59" i="2"/>
  <c r="AC59" i="2"/>
  <c r="V59" i="2"/>
  <c r="AI59" i="2"/>
  <c r="AN59" i="2"/>
  <c r="AD59" i="2"/>
  <c r="AA59" i="2"/>
  <c r="W59" i="2"/>
  <c r="AG59" i="2"/>
  <c r="AM59" i="2"/>
  <c r="AE59" i="2"/>
  <c r="X59" i="2"/>
  <c r="Y59" i="2"/>
  <c r="AO59" i="2"/>
  <c r="P59" i="2"/>
  <c r="AF59" i="2"/>
  <c r="T59" i="2"/>
  <c r="Z59" i="2"/>
  <c r="AJ59" i="2"/>
  <c r="Q59" i="2"/>
  <c r="AL59" i="2"/>
  <c r="U59" i="2"/>
  <c r="V93" i="2"/>
  <c r="AD93" i="2"/>
  <c r="AL93" i="2"/>
  <c r="X93" i="2"/>
  <c r="W93" i="2"/>
  <c r="U93" i="2"/>
  <c r="P93" i="2"/>
  <c r="AM93" i="2"/>
  <c r="AC93" i="2"/>
  <c r="Q93" i="2"/>
  <c r="AG93" i="2"/>
  <c r="Z93" i="2"/>
  <c r="AA93" i="2"/>
  <c r="R93" i="2"/>
  <c r="AB93" i="2"/>
  <c r="AH93" i="2"/>
  <c r="AE93" i="2"/>
  <c r="AK93" i="2"/>
  <c r="S93" i="2"/>
  <c r="AN93" i="2"/>
  <c r="AI93" i="2"/>
  <c r="AO93" i="2"/>
  <c r="T93" i="2"/>
  <c r="AF93" i="2"/>
  <c r="AJ93" i="2"/>
  <c r="Y93" i="2"/>
  <c r="AL61" i="2"/>
  <c r="AF61" i="2"/>
  <c r="W61" i="2"/>
  <c r="AM61" i="2"/>
  <c r="AH61" i="2"/>
  <c r="Q61" i="2"/>
  <c r="AN61" i="2"/>
  <c r="AC61" i="2"/>
  <c r="R61" i="2"/>
  <c r="Y61" i="2"/>
  <c r="AO61" i="2"/>
  <c r="S61" i="2"/>
  <c r="AI61" i="2"/>
  <c r="Z61" i="2"/>
  <c r="AE61" i="2"/>
  <c r="AK61" i="2"/>
  <c r="AA61" i="2"/>
  <c r="T61" i="2"/>
  <c r="AB61" i="2"/>
  <c r="AJ61" i="2"/>
  <c r="AD61" i="2"/>
  <c r="P61" i="2"/>
  <c r="AG61" i="2"/>
  <c r="U61" i="2"/>
  <c r="X61" i="2"/>
  <c r="V61" i="2"/>
  <c r="AJ114" i="2"/>
  <c r="Y114" i="2"/>
  <c r="U114" i="2"/>
  <c r="AB114" i="2"/>
  <c r="AK114" i="2"/>
  <c r="AC114" i="2"/>
  <c r="V114" i="2"/>
  <c r="AF114" i="2"/>
  <c r="AL114" i="2"/>
  <c r="AO114" i="2"/>
  <c r="AE114" i="2"/>
  <c r="W114" i="2"/>
  <c r="AM114" i="2"/>
  <c r="Q114" i="2"/>
  <c r="X114" i="2"/>
  <c r="AG114" i="2"/>
  <c r="AN114" i="2"/>
  <c r="Z114" i="2"/>
  <c r="R114" i="2"/>
  <c r="AH114" i="2"/>
  <c r="AA114" i="2"/>
  <c r="S114" i="2"/>
  <c r="AD114" i="2"/>
  <c r="AI114" i="2"/>
  <c r="T114" i="2"/>
  <c r="P114" i="2"/>
  <c r="AK76" i="2"/>
  <c r="AC76" i="2"/>
  <c r="AL76" i="2"/>
  <c r="AM76" i="2"/>
  <c r="AD76" i="2"/>
  <c r="AN76" i="2"/>
  <c r="P76" i="2"/>
  <c r="AF76" i="2"/>
  <c r="U76" i="2"/>
  <c r="W76" i="2"/>
  <c r="Q76" i="2"/>
  <c r="R76" i="2"/>
  <c r="AG76" i="2"/>
  <c r="T76" i="2"/>
  <c r="V76" i="2"/>
  <c r="Z76" i="2"/>
  <c r="Y76" i="2"/>
  <c r="X76" i="2"/>
  <c r="AE76" i="2"/>
  <c r="AO76" i="2"/>
  <c r="AA76" i="2"/>
  <c r="AH76" i="2"/>
  <c r="AI76" i="2"/>
  <c r="AB76" i="2"/>
  <c r="AJ76" i="2"/>
  <c r="S76" i="2"/>
  <c r="AD89" i="2"/>
  <c r="AL89" i="2"/>
  <c r="AM89" i="2"/>
  <c r="AE89" i="2"/>
  <c r="AN89" i="2"/>
  <c r="AF89" i="2"/>
  <c r="Q89" i="2"/>
  <c r="T89" i="2"/>
  <c r="R89" i="2"/>
  <c r="W89" i="2"/>
  <c r="AH89" i="2"/>
  <c r="AA89" i="2"/>
  <c r="AJ89" i="2"/>
  <c r="Z89" i="2"/>
  <c r="S89" i="2"/>
  <c r="V89" i="2"/>
  <c r="AI89" i="2"/>
  <c r="X89" i="2"/>
  <c r="AB89" i="2"/>
  <c r="U89" i="2"/>
  <c r="AG89" i="2"/>
  <c r="AK89" i="2"/>
  <c r="AC89" i="2"/>
  <c r="Y89" i="2"/>
  <c r="AO89" i="2"/>
  <c r="P89" i="2"/>
  <c r="AI40" i="2"/>
  <c r="AG40" i="2"/>
  <c r="AJ40" i="2"/>
  <c r="AA40" i="2"/>
  <c r="U40" i="2"/>
  <c r="AE40" i="2"/>
  <c r="AK40" i="2"/>
  <c r="AB40" i="2"/>
  <c r="V40" i="2"/>
  <c r="AL40" i="2"/>
  <c r="Q40" i="2"/>
  <c r="W40" i="2"/>
  <c r="AO40" i="2"/>
  <c r="R40" i="2"/>
  <c r="X40" i="2"/>
  <c r="AH40" i="2"/>
  <c r="AN40" i="2"/>
  <c r="T40" i="2"/>
  <c r="Y40" i="2"/>
  <c r="AD40" i="2"/>
  <c r="AF40" i="2"/>
  <c r="S40" i="2"/>
  <c r="P40" i="2"/>
  <c r="AM40" i="2"/>
  <c r="Z40" i="2"/>
  <c r="AC40" i="2"/>
  <c r="X70" i="2"/>
  <c r="AF70" i="2"/>
  <c r="AN70" i="2"/>
  <c r="AG70" i="2"/>
  <c r="Y70" i="2"/>
  <c r="AH70" i="2"/>
  <c r="AO70" i="2"/>
  <c r="AI70" i="2"/>
  <c r="Z70" i="2"/>
  <c r="P70" i="2"/>
  <c r="AA70" i="2"/>
  <c r="Q70" i="2"/>
  <c r="AC70" i="2"/>
  <c r="R70" i="2"/>
  <c r="U70" i="2"/>
  <c r="S70" i="2"/>
  <c r="AK70" i="2"/>
  <c r="T70" i="2"/>
  <c r="V70" i="2"/>
  <c r="AB70" i="2"/>
  <c r="AM70" i="2"/>
  <c r="AJ70" i="2"/>
  <c r="AL70" i="2"/>
  <c r="W70" i="2"/>
  <c r="AD70" i="2"/>
  <c r="AE70" i="2"/>
  <c r="AN9" i="2"/>
  <c r="AK9" i="2"/>
  <c r="AD9" i="2"/>
  <c r="AL9" i="2"/>
  <c r="AM9" i="2"/>
  <c r="AC9" i="2"/>
  <c r="P9" i="2"/>
  <c r="W9" i="2"/>
  <c r="AF9" i="2"/>
  <c r="AO9" i="2"/>
  <c r="Q9" i="2"/>
  <c r="Z9" i="2"/>
  <c r="AG9" i="2"/>
  <c r="R9" i="2"/>
  <c r="AH9" i="2"/>
  <c r="S9" i="2"/>
  <c r="AI9" i="2"/>
  <c r="AJ9" i="2"/>
  <c r="AB9" i="2"/>
  <c r="Y9" i="2"/>
  <c r="AE9" i="2"/>
  <c r="AA9" i="2"/>
  <c r="X9" i="2"/>
  <c r="T9" i="2"/>
  <c r="V9" i="2"/>
  <c r="U9" i="2"/>
  <c r="AK97" i="2"/>
  <c r="AI97" i="2"/>
  <c r="V97" i="2"/>
  <c r="AO97" i="2"/>
  <c r="AL97" i="2"/>
  <c r="W97" i="2"/>
  <c r="AM97" i="2"/>
  <c r="X97" i="2"/>
  <c r="P97" i="2"/>
  <c r="AN97" i="2"/>
  <c r="Z97" i="2"/>
  <c r="S97" i="2"/>
  <c r="AA97" i="2"/>
  <c r="AB97" i="2"/>
  <c r="R97" i="2"/>
  <c r="AC97" i="2"/>
  <c r="AH97" i="2"/>
  <c r="AD97" i="2"/>
  <c r="Q97" i="2"/>
  <c r="T97" i="2"/>
  <c r="AE97" i="2"/>
  <c r="Y97" i="2"/>
  <c r="AJ97" i="2"/>
  <c r="AF97" i="2"/>
  <c r="U97" i="2"/>
  <c r="AG97" i="2"/>
  <c r="Q95" i="2"/>
  <c r="Y95" i="2"/>
  <c r="AN95" i="2"/>
  <c r="T95" i="2"/>
  <c r="Z95" i="2"/>
  <c r="W95" i="2"/>
  <c r="V95" i="2"/>
  <c r="AM95" i="2"/>
  <c r="AA95" i="2"/>
  <c r="AE95" i="2"/>
  <c r="AH95" i="2"/>
  <c r="AB95" i="2"/>
  <c r="AI95" i="2"/>
  <c r="AJ95" i="2"/>
  <c r="AL95" i="2"/>
  <c r="AD95" i="2"/>
  <c r="AO95" i="2"/>
  <c r="P95" i="2"/>
  <c r="AF95" i="2"/>
  <c r="S95" i="2"/>
  <c r="AK95" i="2"/>
  <c r="U95" i="2"/>
  <c r="R95" i="2"/>
  <c r="X95" i="2"/>
  <c r="AC95" i="2"/>
  <c r="AG95" i="2"/>
  <c r="AD27" i="2"/>
  <c r="AL27" i="2"/>
  <c r="AE27" i="2"/>
  <c r="W27" i="2"/>
  <c r="P27" i="2"/>
  <c r="AM27" i="2"/>
  <c r="AF27" i="2"/>
  <c r="Q27" i="2"/>
  <c r="X27" i="2"/>
  <c r="AG27" i="2"/>
  <c r="AN27" i="2"/>
  <c r="R27" i="2"/>
  <c r="AH27" i="2"/>
  <c r="Y27" i="2"/>
  <c r="S27" i="2"/>
  <c r="AO27" i="2"/>
  <c r="AI27" i="2"/>
  <c r="T27" i="2"/>
  <c r="AA27" i="2"/>
  <c r="AB27" i="2"/>
  <c r="AJ27" i="2"/>
  <c r="Z27" i="2"/>
  <c r="AK27" i="2"/>
  <c r="V27" i="2"/>
  <c r="AC27" i="2"/>
  <c r="U27" i="2"/>
  <c r="AE90" i="2"/>
  <c r="X90" i="2"/>
  <c r="AG90" i="2"/>
  <c r="P90" i="2"/>
  <c r="AJ90" i="2"/>
  <c r="AF90" i="2"/>
  <c r="AN90" i="2"/>
  <c r="AM90" i="2"/>
  <c r="R90" i="2"/>
  <c r="AI90" i="2"/>
  <c r="Y90" i="2"/>
  <c r="AH90" i="2"/>
  <c r="AK90" i="2"/>
  <c r="AO90" i="2"/>
  <c r="Z90" i="2"/>
  <c r="V90" i="2"/>
  <c r="AL90" i="2"/>
  <c r="AA90" i="2"/>
  <c r="AB90" i="2"/>
  <c r="Q90" i="2"/>
  <c r="S90" i="2"/>
  <c r="AC90" i="2"/>
  <c r="T90" i="2"/>
  <c r="U90" i="2"/>
  <c r="AD90" i="2"/>
  <c r="W90" i="2"/>
  <c r="AE21" i="2"/>
  <c r="AJ21" i="2"/>
  <c r="P21" i="2"/>
  <c r="U21" i="2"/>
  <c r="X21" i="2"/>
  <c r="AF21" i="2"/>
  <c r="AK21" i="2"/>
  <c r="AN21" i="2"/>
  <c r="V21" i="2"/>
  <c r="Y21" i="2"/>
  <c r="W21" i="2"/>
  <c r="AL21" i="2"/>
  <c r="AO21" i="2"/>
  <c r="Q21" i="2"/>
  <c r="Z21" i="2"/>
  <c r="AG21" i="2"/>
  <c r="AA21" i="2"/>
  <c r="AM21" i="2"/>
  <c r="R21" i="2"/>
  <c r="AB21" i="2"/>
  <c r="AH21" i="2"/>
  <c r="AC21" i="2"/>
  <c r="S21" i="2"/>
  <c r="T21" i="2"/>
  <c r="AD21" i="2"/>
  <c r="AI21" i="2"/>
  <c r="R68" i="2"/>
  <c r="AE68" i="2"/>
  <c r="AL68" i="2"/>
  <c r="P68" i="2"/>
  <c r="AM68" i="2"/>
  <c r="AF68" i="2"/>
  <c r="AN68" i="2"/>
  <c r="Q68" i="2"/>
  <c r="AO68" i="2"/>
  <c r="AG68" i="2"/>
  <c r="U68" i="2"/>
  <c r="V68" i="2"/>
  <c r="AA68" i="2"/>
  <c r="S68" i="2"/>
  <c r="W68" i="2"/>
  <c r="AI68" i="2"/>
  <c r="X68" i="2"/>
  <c r="AB68" i="2"/>
  <c r="Y68" i="2"/>
  <c r="T68" i="2"/>
  <c r="Z68" i="2"/>
  <c r="AC68" i="2"/>
  <c r="AH68" i="2"/>
  <c r="AJ68" i="2"/>
  <c r="AD68" i="2"/>
  <c r="AK68" i="2"/>
  <c r="AF50" i="2"/>
  <c r="AN50" i="2"/>
  <c r="P50" i="2"/>
  <c r="X50" i="2"/>
  <c r="AB50" i="2"/>
  <c r="AL50" i="2"/>
  <c r="Z50" i="2"/>
  <c r="V50" i="2"/>
  <c r="AA50" i="2"/>
  <c r="AK50" i="2"/>
  <c r="AO50" i="2"/>
  <c r="U50" i="2"/>
  <c r="Y50" i="2"/>
  <c r="T50" i="2"/>
  <c r="AC50" i="2"/>
  <c r="Q50" i="2"/>
  <c r="AM50" i="2"/>
  <c r="AJ50" i="2"/>
  <c r="AD50" i="2"/>
  <c r="AG50" i="2"/>
  <c r="W50" i="2"/>
  <c r="AI50" i="2"/>
  <c r="S50" i="2"/>
  <c r="AE50" i="2"/>
  <c r="AH50" i="2"/>
  <c r="R50" i="2"/>
  <c r="Y60" i="2"/>
  <c r="AO60" i="2"/>
  <c r="S60" i="2"/>
  <c r="Z60" i="2"/>
  <c r="AI60" i="2"/>
  <c r="AK60" i="2"/>
  <c r="AA60" i="2"/>
  <c r="AJ60" i="2"/>
  <c r="U60" i="2"/>
  <c r="AB60" i="2"/>
  <c r="V60" i="2"/>
  <c r="AL60" i="2"/>
  <c r="P60" i="2"/>
  <c r="AN60" i="2"/>
  <c r="AC60" i="2"/>
  <c r="Q60" i="2"/>
  <c r="R60" i="2"/>
  <c r="AH60" i="2"/>
  <c r="W60" i="2"/>
  <c r="AF60" i="2"/>
  <c r="AG60" i="2"/>
  <c r="AM60" i="2"/>
  <c r="AD60" i="2"/>
  <c r="AE60" i="2"/>
  <c r="T60" i="2"/>
  <c r="X60" i="2"/>
  <c r="AD73" i="2"/>
  <c r="S73" i="2"/>
  <c r="AE73" i="2"/>
  <c r="U73" i="2"/>
  <c r="P73" i="2"/>
  <c r="W73" i="2"/>
  <c r="AF73" i="2"/>
  <c r="AA73" i="2"/>
  <c r="X73" i="2"/>
  <c r="Q73" i="2"/>
  <c r="Y73" i="2"/>
  <c r="AG73" i="2"/>
  <c r="Z73" i="2"/>
  <c r="AL73" i="2"/>
  <c r="R73" i="2"/>
  <c r="AM73" i="2"/>
  <c r="AH73" i="2"/>
  <c r="AN73" i="2"/>
  <c r="AB73" i="2"/>
  <c r="AO73" i="2"/>
  <c r="T73" i="2"/>
  <c r="AI73" i="2"/>
  <c r="AC73" i="2"/>
  <c r="AJ73" i="2"/>
  <c r="V73" i="2"/>
  <c r="AK73" i="2"/>
  <c r="U24" i="2"/>
  <c r="AE24" i="2"/>
  <c r="AK24" i="2"/>
  <c r="V24" i="2"/>
  <c r="Y24" i="2"/>
  <c r="AL24" i="2"/>
  <c r="P24" i="2"/>
  <c r="W24" i="2"/>
  <c r="AF24" i="2"/>
  <c r="AM24" i="2"/>
  <c r="Z24" i="2"/>
  <c r="Q24" i="2"/>
  <c r="X24" i="2"/>
  <c r="AO24" i="2"/>
  <c r="AG24" i="2"/>
  <c r="AN24" i="2"/>
  <c r="AA24" i="2"/>
  <c r="R24" i="2"/>
  <c r="AB24" i="2"/>
  <c r="AH24" i="2"/>
  <c r="S24" i="2"/>
  <c r="AI24" i="2"/>
  <c r="T24" i="2"/>
  <c r="AJ24" i="2"/>
  <c r="AC24" i="2"/>
  <c r="AD24" i="2"/>
  <c r="AJ54" i="2"/>
  <c r="AH54" i="2"/>
  <c r="U54" i="2"/>
  <c r="AM54" i="2"/>
  <c r="AK54" i="2"/>
  <c r="V54" i="2"/>
  <c r="AL54" i="2"/>
  <c r="X54" i="2"/>
  <c r="R54" i="2"/>
  <c r="AN54" i="2"/>
  <c r="Y54" i="2"/>
  <c r="W54" i="2"/>
  <c r="AO54" i="2"/>
  <c r="AA54" i="2"/>
  <c r="Z54" i="2"/>
  <c r="AC54" i="2"/>
  <c r="AB54" i="2"/>
  <c r="AD54" i="2"/>
  <c r="T54" i="2"/>
  <c r="AG54" i="2"/>
  <c r="P54" i="2"/>
  <c r="S54" i="2"/>
  <c r="AI54" i="2"/>
  <c r="AE54" i="2"/>
  <c r="AF54" i="2"/>
  <c r="Q54" i="2"/>
  <c r="AK92" i="2"/>
  <c r="AA92" i="2"/>
  <c r="V92" i="2"/>
  <c r="AC92" i="2"/>
  <c r="AL92" i="2"/>
  <c r="AD92" i="2"/>
  <c r="W92" i="2"/>
  <c r="AE92" i="2"/>
  <c r="Y92" i="2"/>
  <c r="AN92" i="2"/>
  <c r="AO92" i="2"/>
  <c r="Z92" i="2"/>
  <c r="Q92" i="2"/>
  <c r="AG92" i="2"/>
  <c r="AB92" i="2"/>
  <c r="S92" i="2"/>
  <c r="P92" i="2"/>
  <c r="AI92" i="2"/>
  <c r="AF92" i="2"/>
  <c r="T92" i="2"/>
  <c r="AJ92" i="2"/>
  <c r="R92" i="2"/>
  <c r="U92" i="2"/>
  <c r="AM92" i="2"/>
  <c r="X92" i="2"/>
  <c r="AH92" i="2"/>
  <c r="R100" i="2"/>
  <c r="AI100" i="2"/>
  <c r="AH100" i="2"/>
  <c r="AK100" i="2"/>
  <c r="Y100" i="2"/>
  <c r="AA100" i="2"/>
  <c r="AM100" i="2"/>
  <c r="AF100" i="2"/>
  <c r="AN100" i="2"/>
  <c r="AJ100" i="2"/>
  <c r="AB100" i="2"/>
  <c r="P100" i="2"/>
  <c r="AL100" i="2"/>
  <c r="AO100" i="2"/>
  <c r="AC100" i="2"/>
  <c r="S100" i="2"/>
  <c r="AD100" i="2"/>
  <c r="T100" i="2"/>
  <c r="AE100" i="2"/>
  <c r="U100" i="2"/>
  <c r="V100" i="2"/>
  <c r="Q100" i="2"/>
  <c r="W100" i="2"/>
  <c r="AG100" i="2"/>
  <c r="X100" i="2"/>
  <c r="Z100" i="2"/>
  <c r="AM63" i="2"/>
  <c r="AO63" i="2"/>
  <c r="P63" i="2"/>
  <c r="Q63" i="2"/>
  <c r="AF63" i="2"/>
  <c r="T63" i="2"/>
  <c r="R63" i="2"/>
  <c r="U63" i="2"/>
  <c r="Z63" i="2"/>
  <c r="AH63" i="2"/>
  <c r="W63" i="2"/>
  <c r="X63" i="2"/>
  <c r="AL63" i="2"/>
  <c r="AB63" i="2"/>
  <c r="Y63" i="2"/>
  <c r="AG63" i="2"/>
  <c r="AC63" i="2"/>
  <c r="AI63" i="2"/>
  <c r="AJ63" i="2"/>
  <c r="AA63" i="2"/>
  <c r="AD63" i="2"/>
  <c r="AE63" i="2"/>
  <c r="V63" i="2"/>
  <c r="AK63" i="2"/>
  <c r="AN63" i="2"/>
  <c r="S63" i="2"/>
  <c r="U33" i="2"/>
  <c r="AN33" i="2"/>
  <c r="P33" i="2"/>
  <c r="Y33" i="2"/>
  <c r="Q33" i="2"/>
  <c r="AO33" i="2"/>
  <c r="T33" i="2"/>
  <c r="AD33" i="2"/>
  <c r="AJ33" i="2"/>
  <c r="AE33" i="2"/>
  <c r="AK33" i="2"/>
  <c r="AB33" i="2"/>
  <c r="AF33" i="2"/>
  <c r="AC33" i="2"/>
  <c r="V33" i="2"/>
  <c r="R33" i="2"/>
  <c r="AL33" i="2"/>
  <c r="Z33" i="2"/>
  <c r="AA33" i="2"/>
  <c r="AH33" i="2"/>
  <c r="W33" i="2"/>
  <c r="AM33" i="2"/>
  <c r="S33" i="2"/>
  <c r="AG33" i="2"/>
  <c r="X33" i="2"/>
  <c r="AI33" i="2"/>
  <c r="T31" i="2"/>
  <c r="AC31" i="2"/>
  <c r="S31" i="2"/>
  <c r="W31" i="2"/>
  <c r="AJ31" i="2"/>
  <c r="AM31" i="2"/>
  <c r="AK31" i="2"/>
  <c r="AO31" i="2"/>
  <c r="AL31" i="2"/>
  <c r="X31" i="2"/>
  <c r="AE31" i="2"/>
  <c r="AN31" i="2"/>
  <c r="U31" i="2"/>
  <c r="Z31" i="2"/>
  <c r="AF31" i="2"/>
  <c r="AD31" i="2"/>
  <c r="AG31" i="2"/>
  <c r="AA31" i="2"/>
  <c r="Q31" i="2"/>
  <c r="AH31" i="2"/>
  <c r="AI31" i="2"/>
  <c r="AB31" i="2"/>
  <c r="Y31" i="2"/>
  <c r="R31" i="2"/>
  <c r="V31" i="2"/>
  <c r="P31" i="2"/>
  <c r="AF45" i="2"/>
  <c r="AM45" i="2"/>
  <c r="R45" i="2"/>
  <c r="AC45" i="2"/>
  <c r="Q45" i="2"/>
  <c r="AE45" i="2"/>
  <c r="AG45" i="2"/>
  <c r="X45" i="2"/>
  <c r="AH45" i="2"/>
  <c r="AN45" i="2"/>
  <c r="AB45" i="2"/>
  <c r="Y45" i="2"/>
  <c r="S45" i="2"/>
  <c r="AO45" i="2"/>
  <c r="AI45" i="2"/>
  <c r="AA45" i="2"/>
  <c r="T45" i="2"/>
  <c r="Z45" i="2"/>
  <c r="AJ45" i="2"/>
  <c r="U45" i="2"/>
  <c r="AK45" i="2"/>
  <c r="W45" i="2"/>
  <c r="P45" i="2"/>
  <c r="AL45" i="2"/>
  <c r="AD45" i="2"/>
  <c r="V45" i="2"/>
  <c r="T98" i="2"/>
  <c r="AL98" i="2"/>
  <c r="AJ98" i="2"/>
  <c r="AO98" i="2"/>
  <c r="U98" i="2"/>
  <c r="AK98" i="2"/>
  <c r="W98" i="2"/>
  <c r="V98" i="2"/>
  <c r="AM98" i="2"/>
  <c r="X98" i="2"/>
  <c r="P98" i="2"/>
  <c r="AN98" i="2"/>
  <c r="Q98" i="2"/>
  <c r="Y98" i="2"/>
  <c r="AG98" i="2"/>
  <c r="Z98" i="2"/>
  <c r="AA98" i="2"/>
  <c r="R98" i="2"/>
  <c r="AB98" i="2"/>
  <c r="AH98" i="2"/>
  <c r="AC98" i="2"/>
  <c r="AD98" i="2"/>
  <c r="S98" i="2"/>
  <c r="AE98" i="2"/>
  <c r="AI98" i="2"/>
  <c r="AF98" i="2"/>
  <c r="R82" i="2"/>
  <c r="AH82" i="2"/>
  <c r="AB82" i="2"/>
  <c r="AD82" i="2"/>
  <c r="S82" i="2"/>
  <c r="AF82" i="2"/>
  <c r="AI82" i="2"/>
  <c r="AN82" i="2"/>
  <c r="T82" i="2"/>
  <c r="AJ82" i="2"/>
  <c r="U82" i="2"/>
  <c r="AK82" i="2"/>
  <c r="V82" i="2"/>
  <c r="AL82" i="2"/>
  <c r="P82" i="2"/>
  <c r="AE82" i="2"/>
  <c r="W82" i="2"/>
  <c r="X82" i="2"/>
  <c r="AM82" i="2"/>
  <c r="Z82" i="2"/>
  <c r="Q82" i="2"/>
  <c r="Y82" i="2"/>
  <c r="AA82" i="2"/>
  <c r="AG82" i="2"/>
  <c r="AO82" i="2"/>
  <c r="AC82" i="2"/>
  <c r="AC66" i="2"/>
  <c r="X66" i="2"/>
  <c r="R66" i="2"/>
  <c r="AE66" i="2"/>
  <c r="AH66" i="2"/>
  <c r="AF66" i="2"/>
  <c r="AN66" i="2"/>
  <c r="S66" i="2"/>
  <c r="AI66" i="2"/>
  <c r="P66" i="2"/>
  <c r="T66" i="2"/>
  <c r="AJ66" i="2"/>
  <c r="U66" i="2"/>
  <c r="AK66" i="2"/>
  <c r="V66" i="2"/>
  <c r="AL66" i="2"/>
  <c r="W66" i="2"/>
  <c r="Z66" i="2"/>
  <c r="AM66" i="2"/>
  <c r="AA66" i="2"/>
  <c r="Q66" i="2"/>
  <c r="Y66" i="2"/>
  <c r="AB66" i="2"/>
  <c r="AG66" i="2"/>
  <c r="AO66" i="2"/>
  <c r="AD66" i="2"/>
  <c r="AC64" i="2"/>
  <c r="AE64" i="2"/>
  <c r="U64" i="2"/>
  <c r="V64" i="2"/>
  <c r="W64" i="2"/>
  <c r="S64" i="2"/>
  <c r="AD64" i="2"/>
  <c r="AM64" i="2"/>
  <c r="AI64" i="2"/>
  <c r="R64" i="2"/>
  <c r="X64" i="2"/>
  <c r="AF64" i="2"/>
  <c r="AG64" i="2"/>
  <c r="AN64" i="2"/>
  <c r="AH64" i="2"/>
  <c r="Y64" i="2"/>
  <c r="AJ64" i="2"/>
  <c r="Z64" i="2"/>
  <c r="AL64" i="2"/>
  <c r="AA64" i="2"/>
  <c r="AB64" i="2"/>
  <c r="P64" i="2"/>
  <c r="AK64" i="2"/>
  <c r="Q64" i="2"/>
  <c r="T64" i="2"/>
  <c r="AO64" i="2"/>
  <c r="AI78" i="2"/>
  <c r="AE78" i="2"/>
  <c r="P78" i="2"/>
  <c r="AB78" i="2"/>
  <c r="T78" i="2"/>
  <c r="AD78" i="2"/>
  <c r="AJ78" i="2"/>
  <c r="Q78" i="2"/>
  <c r="AF78" i="2"/>
  <c r="U78" i="2"/>
  <c r="AH78" i="2"/>
  <c r="AK78" i="2"/>
  <c r="R78" i="2"/>
  <c r="V78" i="2"/>
  <c r="W78" i="2"/>
  <c r="AM78" i="2"/>
  <c r="Y78" i="2"/>
  <c r="AN78" i="2"/>
  <c r="AA78" i="2"/>
  <c r="Z78" i="2"/>
  <c r="AG78" i="2"/>
  <c r="AL78" i="2"/>
  <c r="X78" i="2"/>
  <c r="AO78" i="2"/>
  <c r="S78" i="2"/>
  <c r="AC78" i="2"/>
  <c r="AG44" i="2"/>
  <c r="Z44" i="2"/>
  <c r="AN44" i="2"/>
  <c r="AL44" i="2"/>
  <c r="R44" i="2"/>
  <c r="X44" i="2"/>
  <c r="AH44" i="2"/>
  <c r="AB44" i="2"/>
  <c r="AI44" i="2"/>
  <c r="AC44" i="2"/>
  <c r="T44" i="2"/>
  <c r="Q44" i="2"/>
  <c r="AJ44" i="2"/>
  <c r="V44" i="2"/>
  <c r="U44" i="2"/>
  <c r="W44" i="2"/>
  <c r="AK44" i="2"/>
  <c r="AD44" i="2"/>
  <c r="AM44" i="2"/>
  <c r="AO44" i="2"/>
  <c r="AE44" i="2"/>
  <c r="Y44" i="2"/>
  <c r="P44" i="2"/>
  <c r="S44" i="2"/>
  <c r="AA44" i="2"/>
  <c r="AF44" i="2"/>
  <c r="P57" i="2"/>
  <c r="AL57" i="2"/>
  <c r="AF57" i="2"/>
  <c r="W57" i="2"/>
  <c r="Z57" i="2"/>
  <c r="Y57" i="2"/>
  <c r="Q57" i="2"/>
  <c r="X57" i="2"/>
  <c r="AH57" i="2"/>
  <c r="AB57" i="2"/>
  <c r="S57" i="2"/>
  <c r="AI57" i="2"/>
  <c r="AC57" i="2"/>
  <c r="AM57" i="2"/>
  <c r="T57" i="2"/>
  <c r="AD57" i="2"/>
  <c r="AJ57" i="2"/>
  <c r="AE57" i="2"/>
  <c r="U57" i="2"/>
  <c r="AK57" i="2"/>
  <c r="AG57" i="2"/>
  <c r="AO57" i="2"/>
  <c r="R57" i="2"/>
  <c r="V57" i="2"/>
  <c r="AN57" i="2"/>
  <c r="AA57" i="2"/>
  <c r="Z8" i="2"/>
  <c r="AC8" i="2"/>
  <c r="AN8" i="2"/>
  <c r="AD8" i="2"/>
  <c r="S8" i="2"/>
  <c r="AF8" i="2"/>
  <c r="AE8" i="2"/>
  <c r="AK8" i="2"/>
  <c r="AG8" i="2"/>
  <c r="AL8" i="2"/>
  <c r="P8" i="2"/>
  <c r="AM8" i="2"/>
  <c r="Q8" i="2"/>
  <c r="R8" i="2"/>
  <c r="AJ8" i="2"/>
  <c r="AA8" i="2"/>
  <c r="AI8" i="2"/>
  <c r="AH8" i="2"/>
  <c r="T8" i="2"/>
  <c r="U8" i="2"/>
  <c r="X8" i="2"/>
  <c r="AO8" i="2"/>
  <c r="V8" i="2"/>
  <c r="W8" i="2"/>
  <c r="Y8" i="2"/>
  <c r="AB8" i="2"/>
  <c r="V38" i="2"/>
  <c r="AB38" i="2"/>
  <c r="AL38" i="2"/>
  <c r="S38" i="2"/>
  <c r="AJ38" i="2"/>
  <c r="AD38" i="2"/>
  <c r="W38" i="2"/>
  <c r="AE38" i="2"/>
  <c r="AM38" i="2"/>
  <c r="P38" i="2"/>
  <c r="X38" i="2"/>
  <c r="AF38" i="2"/>
  <c r="AN38" i="2"/>
  <c r="U38" i="2"/>
  <c r="Y38" i="2"/>
  <c r="Q38" i="2"/>
  <c r="AO38" i="2"/>
  <c r="AG38" i="2"/>
  <c r="AH38" i="2"/>
  <c r="AI38" i="2"/>
  <c r="Z38" i="2"/>
  <c r="AC38" i="2"/>
  <c r="R38" i="2"/>
  <c r="AK38" i="2"/>
  <c r="AA38" i="2"/>
  <c r="T38" i="2"/>
  <c r="AK16" i="2"/>
  <c r="P16" i="2"/>
  <c r="Y16" i="2"/>
  <c r="V16" i="2"/>
  <c r="AO16" i="2"/>
  <c r="Q16" i="2"/>
  <c r="AA16" i="2"/>
  <c r="AG16" i="2"/>
  <c r="Z16" i="2"/>
  <c r="R16" i="2"/>
  <c r="AE16" i="2"/>
  <c r="AH16" i="2"/>
  <c r="AL16" i="2"/>
  <c r="AI16" i="2"/>
  <c r="S16" i="2"/>
  <c r="AB16" i="2"/>
  <c r="AC16" i="2"/>
  <c r="T16" i="2"/>
  <c r="AD16" i="2"/>
  <c r="AN16" i="2"/>
  <c r="AJ16" i="2"/>
  <c r="AF16" i="2"/>
  <c r="W16" i="2"/>
  <c r="X16" i="2"/>
  <c r="AM16" i="2"/>
  <c r="U16" i="2"/>
  <c r="AM75" i="2"/>
  <c r="AO75" i="2"/>
  <c r="AK75" i="2"/>
  <c r="Y75" i="2"/>
  <c r="U75" i="2"/>
  <c r="AJ75" i="2"/>
  <c r="AN75" i="2"/>
  <c r="AI75" i="2"/>
  <c r="AD75" i="2"/>
  <c r="S75" i="2"/>
  <c r="AB75" i="2"/>
  <c r="AH75" i="2"/>
  <c r="AA75" i="2"/>
  <c r="R75" i="2"/>
  <c r="X75" i="2"/>
  <c r="AG75" i="2"/>
  <c r="Z75" i="2"/>
  <c r="Q75" i="2"/>
  <c r="V75" i="2"/>
  <c r="AF75" i="2"/>
  <c r="W75" i="2"/>
  <c r="P75" i="2"/>
  <c r="AE75" i="2"/>
  <c r="T75" i="2"/>
  <c r="AC75" i="2"/>
  <c r="AL75" i="2"/>
  <c r="W79" i="2"/>
  <c r="AB79" i="2"/>
  <c r="Y79" i="2"/>
  <c r="AC79" i="2"/>
  <c r="AA79" i="2"/>
  <c r="Q79" i="2"/>
  <c r="AD79" i="2"/>
  <c r="AG79" i="2"/>
  <c r="AE79" i="2"/>
  <c r="AF79" i="2"/>
  <c r="R79" i="2"/>
  <c r="AL79" i="2"/>
  <c r="AH79" i="2"/>
  <c r="AN79" i="2"/>
  <c r="S79" i="2"/>
  <c r="AI79" i="2"/>
  <c r="P79" i="2"/>
  <c r="T79" i="2"/>
  <c r="AJ79" i="2"/>
  <c r="X79" i="2"/>
  <c r="U79" i="2"/>
  <c r="AK79" i="2"/>
  <c r="AM79" i="2"/>
  <c r="AO79" i="2"/>
  <c r="Z79" i="2"/>
  <c r="V79" i="2"/>
  <c r="AA53" i="2"/>
  <c r="R53" i="2"/>
  <c r="AB53" i="2"/>
  <c r="S53" i="2"/>
  <c r="AD53" i="2"/>
  <c r="AC53" i="2"/>
  <c r="AE53" i="2"/>
  <c r="AH53" i="2"/>
  <c r="AF53" i="2"/>
  <c r="AJ53" i="2"/>
  <c r="AG53" i="2"/>
  <c r="V53" i="2"/>
  <c r="AK53" i="2"/>
  <c r="AI53" i="2"/>
  <c r="AL53" i="2"/>
  <c r="T53" i="2"/>
  <c r="Z53" i="2"/>
  <c r="W53" i="2"/>
  <c r="U53" i="2"/>
  <c r="AM53" i="2"/>
  <c r="P53" i="2"/>
  <c r="X53" i="2"/>
  <c r="AN53" i="2"/>
  <c r="Y53" i="2"/>
  <c r="Q53" i="2"/>
  <c r="AO53" i="2"/>
  <c r="Y116" i="2"/>
  <c r="AG116" i="2"/>
  <c r="AL116" i="2"/>
  <c r="AO116" i="2"/>
  <c r="AM116" i="2"/>
  <c r="AA116" i="2"/>
  <c r="R116" i="2"/>
  <c r="AH116" i="2"/>
  <c r="AB116" i="2"/>
  <c r="T116" i="2"/>
  <c r="AC116" i="2"/>
  <c r="AJ116" i="2"/>
  <c r="U116" i="2"/>
  <c r="AD116" i="2"/>
  <c r="AK116" i="2"/>
  <c r="X116" i="2"/>
  <c r="AE116" i="2"/>
  <c r="AN116" i="2"/>
  <c r="S116" i="2"/>
  <c r="P116" i="2"/>
  <c r="V116" i="2"/>
  <c r="AF116" i="2"/>
  <c r="W116" i="2"/>
  <c r="Z116" i="2"/>
  <c r="Q116" i="2"/>
  <c r="AI116" i="2"/>
  <c r="AF118" i="2"/>
  <c r="AA118" i="2"/>
  <c r="AG118" i="2"/>
  <c r="AJ118" i="2"/>
  <c r="S118" i="2"/>
  <c r="AB118" i="2"/>
  <c r="AI118" i="2"/>
  <c r="U118" i="2"/>
  <c r="AD118" i="2"/>
  <c r="AK118" i="2"/>
  <c r="V118" i="2"/>
  <c r="AE118" i="2"/>
  <c r="AL118" i="2"/>
  <c r="W118" i="2"/>
  <c r="R118" i="2"/>
  <c r="AM118" i="2"/>
  <c r="AH118" i="2"/>
  <c r="X118" i="2"/>
  <c r="AN118" i="2"/>
  <c r="P118" i="2"/>
  <c r="Z118" i="2"/>
  <c r="AC118" i="2"/>
  <c r="Y118" i="2"/>
  <c r="AO118" i="2"/>
  <c r="Q118" i="2"/>
  <c r="T118" i="2"/>
  <c r="AN112" i="2"/>
  <c r="Q112" i="2"/>
  <c r="Y112" i="2"/>
  <c r="AG112" i="2"/>
  <c r="AO112" i="2"/>
  <c r="Z112" i="2"/>
  <c r="T112" i="2"/>
  <c r="AJ112" i="2"/>
  <c r="AA112" i="2"/>
  <c r="V112" i="2"/>
  <c r="AE112" i="2"/>
  <c r="AB112" i="2"/>
  <c r="AH112" i="2"/>
  <c r="AI112" i="2"/>
  <c r="AC112" i="2"/>
  <c r="AL112" i="2"/>
  <c r="U112" i="2"/>
  <c r="AD112" i="2"/>
  <c r="AK112" i="2"/>
  <c r="S112" i="2"/>
  <c r="W112" i="2"/>
  <c r="P112" i="2"/>
  <c r="R112" i="2"/>
  <c r="AM112" i="2"/>
  <c r="AF112" i="2"/>
  <c r="X112" i="2"/>
  <c r="AC110" i="2"/>
  <c r="AI110" i="2"/>
  <c r="X110" i="2"/>
  <c r="AD110" i="2"/>
  <c r="AJ110" i="2"/>
  <c r="V110" i="2"/>
  <c r="AE110" i="2"/>
  <c r="AL110" i="2"/>
  <c r="W110" i="2"/>
  <c r="P110" i="2"/>
  <c r="AM110" i="2"/>
  <c r="AF110" i="2"/>
  <c r="Z110" i="2"/>
  <c r="AG110" i="2"/>
  <c r="AK110" i="2"/>
  <c r="AN110" i="2"/>
  <c r="R110" i="2"/>
  <c r="AO110" i="2"/>
  <c r="AH110" i="2"/>
  <c r="AA110" i="2"/>
  <c r="U110" i="2"/>
  <c r="Q110" i="2"/>
  <c r="S110" i="2"/>
  <c r="T110" i="2"/>
  <c r="AB110" i="2"/>
  <c r="Y110" i="2"/>
  <c r="AJ80" i="2"/>
  <c r="Q80" i="2"/>
  <c r="R80" i="2"/>
  <c r="AC80" i="2"/>
  <c r="T80" i="2"/>
  <c r="U80" i="2"/>
  <c r="AE80" i="2"/>
  <c r="AK80" i="2"/>
  <c r="W80" i="2"/>
  <c r="AG80" i="2"/>
  <c r="AM80" i="2"/>
  <c r="AN80" i="2"/>
  <c r="Y80" i="2"/>
  <c r="AD80" i="2"/>
  <c r="AO80" i="2"/>
  <c r="S80" i="2"/>
  <c r="Z80" i="2"/>
  <c r="AF80" i="2"/>
  <c r="V80" i="2"/>
  <c r="P80" i="2"/>
  <c r="X80" i="2"/>
  <c r="AA80" i="2"/>
  <c r="AB80" i="2"/>
  <c r="AI80" i="2"/>
  <c r="AH80" i="2"/>
  <c r="AL80" i="2"/>
  <c r="W18" i="2"/>
  <c r="R18" i="2"/>
  <c r="AM18" i="2"/>
  <c r="AH18" i="2"/>
  <c r="X18" i="2"/>
  <c r="AK18" i="2"/>
  <c r="AN18" i="2"/>
  <c r="S18" i="2"/>
  <c r="Y18" i="2"/>
  <c r="AI18" i="2"/>
  <c r="AO18" i="2"/>
  <c r="U18" i="2"/>
  <c r="Z18" i="2"/>
  <c r="T18" i="2"/>
  <c r="AA18" i="2"/>
  <c r="AJ18" i="2"/>
  <c r="AB18" i="2"/>
  <c r="AC18" i="2"/>
  <c r="AD18" i="2"/>
  <c r="AE18" i="2"/>
  <c r="P18" i="2"/>
  <c r="AL18" i="2"/>
  <c r="AG18" i="2"/>
  <c r="V18" i="2"/>
  <c r="AF18" i="2"/>
  <c r="Q18" i="2"/>
  <c r="V48" i="2"/>
  <c r="Q48" i="2"/>
  <c r="AC48" i="2"/>
  <c r="P48" i="2"/>
  <c r="W48" i="2"/>
  <c r="AM48" i="2"/>
  <c r="X48" i="2"/>
  <c r="R48" i="2"/>
  <c r="AN48" i="2"/>
  <c r="AH48" i="2"/>
  <c r="Y48" i="2"/>
  <c r="S48" i="2"/>
  <c r="Z48" i="2"/>
  <c r="AI48" i="2"/>
  <c r="AE48" i="2"/>
  <c r="AJ48" i="2"/>
  <c r="AG48" i="2"/>
  <c r="U48" i="2"/>
  <c r="AA48" i="2"/>
  <c r="AK48" i="2"/>
  <c r="AD48" i="2"/>
  <c r="T48" i="2"/>
  <c r="AO48" i="2"/>
  <c r="AL48" i="2"/>
  <c r="AF48" i="2"/>
  <c r="AB48" i="2"/>
  <c r="AI62" i="2"/>
  <c r="S62" i="2"/>
  <c r="AG62" i="2"/>
  <c r="AF62" i="2"/>
  <c r="AJ62" i="2"/>
  <c r="AK62" i="2"/>
  <c r="AH62" i="2"/>
  <c r="Y62" i="2"/>
  <c r="R62" i="2"/>
  <c r="X62" i="2"/>
  <c r="P62" i="2"/>
  <c r="V62" i="2"/>
  <c r="AE62" i="2"/>
  <c r="AB62" i="2"/>
  <c r="AD62" i="2"/>
  <c r="Z62" i="2"/>
  <c r="AC62" i="2"/>
  <c r="AA62" i="2"/>
  <c r="U62" i="2"/>
  <c r="T62" i="2"/>
  <c r="AL62" i="2"/>
  <c r="AO62" i="2"/>
  <c r="AN62" i="2"/>
  <c r="Q62" i="2"/>
  <c r="AM62" i="2"/>
  <c r="W62" i="2"/>
  <c r="AH28" i="2"/>
  <c r="R28" i="2"/>
  <c r="AO28" i="2"/>
  <c r="AG28" i="2"/>
  <c r="Y28" i="2"/>
  <c r="Q28" i="2"/>
  <c r="AN28" i="2"/>
  <c r="AF28" i="2"/>
  <c r="X28" i="2"/>
  <c r="P28" i="2"/>
  <c r="AM28" i="2"/>
  <c r="AE28" i="2"/>
  <c r="W28" i="2"/>
  <c r="AD28" i="2"/>
  <c r="AL28" i="2"/>
  <c r="AC28" i="2"/>
  <c r="V28" i="2"/>
  <c r="AB28" i="2"/>
  <c r="AK28" i="2"/>
  <c r="AA28" i="2"/>
  <c r="U28" i="2"/>
  <c r="Z28" i="2"/>
  <c r="AJ28" i="2"/>
  <c r="T28" i="2"/>
  <c r="AI28" i="2"/>
  <c r="S28" i="2"/>
  <c r="W41" i="2"/>
  <c r="P41" i="2"/>
  <c r="AF41" i="2"/>
  <c r="X41" i="2"/>
  <c r="AJ41" i="2"/>
  <c r="Z41" i="2"/>
  <c r="AG41" i="2"/>
  <c r="AK41" i="2"/>
  <c r="V41" i="2"/>
  <c r="Y41" i="2"/>
  <c r="R41" i="2"/>
  <c r="AO41" i="2"/>
  <c r="AH41" i="2"/>
  <c r="T41" i="2"/>
  <c r="U41" i="2"/>
  <c r="AL41" i="2"/>
  <c r="S41" i="2"/>
  <c r="AA41" i="2"/>
  <c r="AI41" i="2"/>
  <c r="AB41" i="2"/>
  <c r="AM41" i="2"/>
  <c r="AC41" i="2"/>
  <c r="AD41" i="2"/>
  <c r="AN41" i="2"/>
  <c r="AE41" i="2"/>
  <c r="Q41" i="2"/>
  <c r="W108" i="2"/>
  <c r="AM108" i="2"/>
  <c r="X108" i="2"/>
  <c r="AN108" i="2"/>
  <c r="Q108" i="2"/>
  <c r="AO108" i="2"/>
  <c r="AE108" i="2"/>
  <c r="AG108" i="2"/>
  <c r="Z108" i="2"/>
  <c r="R108" i="2"/>
  <c r="AD108" i="2"/>
  <c r="S108" i="2"/>
  <c r="AB108" i="2"/>
  <c r="AI108" i="2"/>
  <c r="T108" i="2"/>
  <c r="AC108" i="2"/>
  <c r="AJ108" i="2"/>
  <c r="U108" i="2"/>
  <c r="P108" i="2"/>
  <c r="AK108" i="2"/>
  <c r="AF108" i="2"/>
  <c r="V108" i="2"/>
  <c r="AL108" i="2"/>
  <c r="AA108" i="2"/>
  <c r="Y108" i="2"/>
  <c r="AH108" i="2"/>
  <c r="Q22" i="2"/>
  <c r="AL22" i="2"/>
  <c r="AG22" i="2"/>
  <c r="W22" i="2"/>
  <c r="AM22" i="2"/>
  <c r="R22" i="2"/>
  <c r="X22" i="2"/>
  <c r="AH22" i="2"/>
  <c r="AN22" i="2"/>
  <c r="Y22" i="2"/>
  <c r="S22" i="2"/>
  <c r="AO22" i="2"/>
  <c r="AI22" i="2"/>
  <c r="Z22" i="2"/>
  <c r="AJ22" i="2"/>
  <c r="AB22" i="2"/>
  <c r="AE22" i="2"/>
  <c r="AD22" i="2"/>
  <c r="AA22" i="2"/>
  <c r="P22" i="2"/>
  <c r="AF22" i="2"/>
  <c r="T22" i="2"/>
  <c r="U22" i="2"/>
  <c r="AK22" i="2"/>
  <c r="V22" i="2"/>
  <c r="AC22" i="2"/>
  <c r="AM71" i="2"/>
  <c r="X71" i="2"/>
  <c r="AN71" i="2"/>
  <c r="Z71" i="2"/>
  <c r="AH71" i="2"/>
  <c r="P71" i="2"/>
  <c r="S71" i="2"/>
  <c r="Q71" i="2"/>
  <c r="AI71" i="2"/>
  <c r="AJ71" i="2"/>
  <c r="AA71" i="2"/>
  <c r="U71" i="2"/>
  <c r="AB71" i="2"/>
  <c r="AK71" i="2"/>
  <c r="AC71" i="2"/>
  <c r="AL71" i="2"/>
  <c r="AG71" i="2"/>
  <c r="R71" i="2"/>
  <c r="T71" i="2"/>
  <c r="V71" i="2"/>
  <c r="W71" i="2"/>
  <c r="Y71" i="2"/>
  <c r="AD71" i="2"/>
  <c r="AE71" i="2"/>
  <c r="AF71" i="2"/>
  <c r="AO71" i="2"/>
  <c r="AJ109" i="2"/>
  <c r="AE109" i="2"/>
  <c r="U109" i="2"/>
  <c r="AN109" i="2"/>
  <c r="AD109" i="2"/>
  <c r="AK109" i="2"/>
  <c r="V109" i="2"/>
  <c r="AF109" i="2"/>
  <c r="W109" i="2"/>
  <c r="AM109" i="2"/>
  <c r="Q109" i="2"/>
  <c r="Y109" i="2"/>
  <c r="AG109" i="2"/>
  <c r="AO109" i="2"/>
  <c r="Z109" i="2"/>
  <c r="R109" i="2"/>
  <c r="AH109" i="2"/>
  <c r="AC109" i="2"/>
  <c r="S109" i="2"/>
  <c r="X109" i="2"/>
  <c r="AI109" i="2"/>
  <c r="AA109" i="2"/>
  <c r="P109" i="2"/>
  <c r="T109" i="2"/>
  <c r="AL109" i="2"/>
  <c r="AB109" i="2"/>
  <c r="AA77" i="2"/>
  <c r="AJ77" i="2"/>
  <c r="P77" i="2"/>
  <c r="AC77" i="2"/>
  <c r="AL77" i="2"/>
  <c r="R77" i="2"/>
  <c r="U77" i="2"/>
  <c r="Q77" i="2"/>
  <c r="S77" i="2"/>
  <c r="W77" i="2"/>
  <c r="V77" i="2"/>
  <c r="AK77" i="2"/>
  <c r="X77" i="2"/>
  <c r="AB77" i="2"/>
  <c r="AN77" i="2"/>
  <c r="AD77" i="2"/>
  <c r="Y77" i="2"/>
  <c r="AE77" i="2"/>
  <c r="AO77" i="2"/>
  <c r="AF77" i="2"/>
  <c r="Z77" i="2"/>
  <c r="AG77" i="2"/>
  <c r="AM77" i="2"/>
  <c r="T77" i="2"/>
  <c r="AH77" i="2"/>
  <c r="AI77" i="2"/>
  <c r="AI88" i="2"/>
  <c r="U88" i="2"/>
  <c r="AC88" i="2"/>
  <c r="AK88" i="2"/>
  <c r="V88" i="2"/>
  <c r="W88" i="2"/>
  <c r="X88" i="2"/>
  <c r="P88" i="2"/>
  <c r="AN88" i="2"/>
  <c r="AF88" i="2"/>
  <c r="Y88" i="2"/>
  <c r="AO88" i="2"/>
  <c r="AG88" i="2"/>
  <c r="Z88" i="2"/>
  <c r="R88" i="2"/>
  <c r="AA88" i="2"/>
  <c r="AH88" i="2"/>
  <c r="AD88" i="2"/>
  <c r="AJ88" i="2"/>
  <c r="AE88" i="2"/>
  <c r="Q88" i="2"/>
  <c r="S88" i="2"/>
  <c r="AL88" i="2"/>
  <c r="AB88" i="2"/>
  <c r="AM88" i="2"/>
  <c r="T88" i="2"/>
  <c r="AE84" i="2"/>
  <c r="U84" i="2"/>
  <c r="T84" i="2"/>
  <c r="P84" i="2"/>
  <c r="X84" i="2"/>
  <c r="AF84" i="2"/>
  <c r="V84" i="2"/>
  <c r="AJ84" i="2"/>
  <c r="Q84" i="2"/>
  <c r="AK84" i="2"/>
  <c r="Y84" i="2"/>
  <c r="AG84" i="2"/>
  <c r="AL84" i="2"/>
  <c r="AO84" i="2"/>
  <c r="AN84" i="2"/>
  <c r="AA84" i="2"/>
  <c r="S84" i="2"/>
  <c r="AH84" i="2"/>
  <c r="AI84" i="2"/>
  <c r="AB84" i="2"/>
  <c r="W84" i="2"/>
  <c r="AM84" i="2"/>
  <c r="AC84" i="2"/>
  <c r="AD84" i="2"/>
  <c r="Z84" i="2"/>
  <c r="R84" i="2"/>
  <c r="W96" i="2"/>
  <c r="AG96" i="2"/>
  <c r="AM96" i="2"/>
  <c r="AH96" i="2"/>
  <c r="X96" i="2"/>
  <c r="AI96" i="2"/>
  <c r="AN96" i="2"/>
  <c r="AJ96" i="2"/>
  <c r="Y96" i="2"/>
  <c r="AL96" i="2"/>
  <c r="AO96" i="2"/>
  <c r="Z96" i="2"/>
  <c r="AA96" i="2"/>
  <c r="P96" i="2"/>
  <c r="AC96" i="2"/>
  <c r="R96" i="2"/>
  <c r="V96" i="2"/>
  <c r="AD96" i="2"/>
  <c r="AE96" i="2"/>
  <c r="Q96" i="2"/>
  <c r="U96" i="2"/>
  <c r="T96" i="2"/>
  <c r="S96" i="2"/>
  <c r="AK96" i="2"/>
  <c r="AF96" i="2"/>
  <c r="AB96" i="2"/>
  <c r="AO85" i="2"/>
  <c r="Q85" i="2"/>
  <c r="AI85" i="2"/>
  <c r="AA85" i="2"/>
  <c r="S85" i="2"/>
  <c r="AH85" i="2"/>
  <c r="AB85" i="2"/>
  <c r="U85" i="2"/>
  <c r="W85" i="2"/>
  <c r="AC85" i="2"/>
  <c r="AE85" i="2"/>
  <c r="AG85" i="2"/>
  <c r="V85" i="2"/>
  <c r="P85" i="2"/>
  <c r="AL85" i="2"/>
  <c r="AF85" i="2"/>
  <c r="X85" i="2"/>
  <c r="AK85" i="2"/>
  <c r="AN85" i="2"/>
  <c r="T85" i="2"/>
  <c r="Z85" i="2"/>
  <c r="AD85" i="2"/>
  <c r="AJ85" i="2"/>
  <c r="R85" i="2"/>
  <c r="AM85" i="2"/>
  <c r="Y85" i="2"/>
  <c r="AI94" i="2"/>
  <c r="V94" i="2"/>
  <c r="AJ94" i="2"/>
  <c r="U94" i="2"/>
  <c r="AC94" i="2"/>
  <c r="Z94" i="2"/>
  <c r="W94" i="2"/>
  <c r="AD94" i="2"/>
  <c r="Y94" i="2"/>
  <c r="AB94" i="2"/>
  <c r="AE94" i="2"/>
  <c r="AH94" i="2"/>
  <c r="AK94" i="2"/>
  <c r="AF94" i="2"/>
  <c r="AM94" i="2"/>
  <c r="AN94" i="2"/>
  <c r="Q94" i="2"/>
  <c r="AG94" i="2"/>
  <c r="AA94" i="2"/>
  <c r="P94" i="2"/>
  <c r="S94" i="2"/>
  <c r="T94" i="2"/>
  <c r="AL94" i="2"/>
  <c r="AO94" i="2"/>
  <c r="R94" i="2"/>
  <c r="X94" i="2"/>
  <c r="R20" i="2"/>
  <c r="AM20" i="2"/>
  <c r="P20" i="2"/>
  <c r="AH20" i="2"/>
  <c r="X20" i="2"/>
  <c r="AF20" i="2"/>
  <c r="AN20" i="2"/>
  <c r="S20" i="2"/>
  <c r="Y20" i="2"/>
  <c r="AI20" i="2"/>
  <c r="AO20" i="2"/>
  <c r="Z20" i="2"/>
  <c r="T20" i="2"/>
  <c r="AA20" i="2"/>
  <c r="AJ20" i="2"/>
  <c r="Q20" i="2"/>
  <c r="AB20" i="2"/>
  <c r="AG20" i="2"/>
  <c r="U20" i="2"/>
  <c r="AC20" i="2"/>
  <c r="AK20" i="2"/>
  <c r="AD20" i="2"/>
  <c r="W20" i="2"/>
  <c r="V20" i="2"/>
  <c r="AL20" i="2"/>
  <c r="AE20" i="2"/>
  <c r="AA34" i="2"/>
  <c r="AH34" i="2"/>
  <c r="AB34" i="2"/>
  <c r="S34" i="2"/>
  <c r="P34" i="2"/>
  <c r="AI34" i="2"/>
  <c r="AG34" i="2"/>
  <c r="U34" i="2"/>
  <c r="AJ34" i="2"/>
  <c r="T34" i="2"/>
  <c r="AL34" i="2"/>
  <c r="AC34" i="2"/>
  <c r="AD34" i="2"/>
  <c r="AE34" i="2"/>
  <c r="AF34" i="2"/>
  <c r="W34" i="2"/>
  <c r="Y34" i="2"/>
  <c r="AN34" i="2"/>
  <c r="AO34" i="2"/>
  <c r="AM34" i="2"/>
  <c r="AK34" i="2"/>
  <c r="Q34" i="2"/>
  <c r="X34" i="2"/>
  <c r="V34" i="2"/>
  <c r="Z34" i="2"/>
  <c r="R34" i="2"/>
  <c r="T115" i="2"/>
  <c r="AC115" i="2"/>
  <c r="AD115" i="2"/>
  <c r="AJ115" i="2"/>
  <c r="AO115" i="2"/>
  <c r="U115" i="2"/>
  <c r="AE115" i="2"/>
  <c r="AK115" i="2"/>
  <c r="W115" i="2"/>
  <c r="P115" i="2"/>
  <c r="AM115" i="2"/>
  <c r="AF115" i="2"/>
  <c r="X115" i="2"/>
  <c r="AN115" i="2"/>
  <c r="Q115" i="2"/>
  <c r="AA115" i="2"/>
  <c r="AG115" i="2"/>
  <c r="R115" i="2"/>
  <c r="V115" i="2"/>
  <c r="AH115" i="2"/>
  <c r="Z115" i="2"/>
  <c r="AL115" i="2"/>
  <c r="S115" i="2"/>
  <c r="AB115" i="2"/>
  <c r="AI115" i="2"/>
  <c r="Y115" i="2"/>
  <c r="AJ99" i="2"/>
  <c r="U99" i="2"/>
  <c r="AI99" i="2"/>
  <c r="AD99" i="2"/>
  <c r="AK99" i="2"/>
  <c r="AM99" i="2"/>
  <c r="S99" i="2"/>
  <c r="AO99" i="2"/>
  <c r="AE99" i="2"/>
  <c r="V99" i="2"/>
  <c r="P99" i="2"/>
  <c r="AF99" i="2"/>
  <c r="W99" i="2"/>
  <c r="X99" i="2"/>
  <c r="Q99" i="2"/>
  <c r="Y99" i="2"/>
  <c r="AG99" i="2"/>
  <c r="Z99" i="2"/>
  <c r="AA99" i="2"/>
  <c r="R99" i="2"/>
  <c r="AB99" i="2"/>
  <c r="AH99" i="2"/>
  <c r="AC99" i="2"/>
  <c r="AL99" i="2"/>
  <c r="T99" i="2"/>
  <c r="AN99" i="2"/>
  <c r="AL69" i="2"/>
  <c r="AD69" i="2"/>
  <c r="R69" i="2"/>
  <c r="P69" i="2"/>
  <c r="S69" i="2"/>
  <c r="X69" i="2"/>
  <c r="U69" i="2"/>
  <c r="AN69" i="2"/>
  <c r="V69" i="2"/>
  <c r="Y69" i="2"/>
  <c r="W69" i="2"/>
  <c r="Q69" i="2"/>
  <c r="AO69" i="2"/>
  <c r="AE69" i="2"/>
  <c r="AH69" i="2"/>
  <c r="AA69" i="2"/>
  <c r="AI69" i="2"/>
  <c r="AK69" i="2"/>
  <c r="AB69" i="2"/>
  <c r="AM69" i="2"/>
  <c r="AJ69" i="2"/>
  <c r="T69" i="2"/>
  <c r="Z69" i="2"/>
  <c r="AC69" i="2"/>
  <c r="AF69" i="2"/>
  <c r="AG69" i="2"/>
  <c r="AN32" i="2"/>
  <c r="AD32" i="2"/>
  <c r="AI32" i="2"/>
  <c r="AE32" i="2"/>
  <c r="U32" i="2"/>
  <c r="AA32" i="2"/>
  <c r="AK32" i="2"/>
  <c r="AB32" i="2"/>
  <c r="V32" i="2"/>
  <c r="P32" i="2"/>
  <c r="AL32" i="2"/>
  <c r="AF32" i="2"/>
  <c r="AM32" i="2"/>
  <c r="T32" i="2"/>
  <c r="W32" i="2"/>
  <c r="Y32" i="2"/>
  <c r="X32" i="2"/>
  <c r="Q32" i="2"/>
  <c r="AG32" i="2"/>
  <c r="Z32" i="2"/>
  <c r="R32" i="2"/>
  <c r="AC32" i="2"/>
  <c r="AJ32" i="2"/>
  <c r="AH32" i="2"/>
  <c r="S32" i="2"/>
  <c r="AO32" i="2"/>
  <c r="AJ46" i="2"/>
  <c r="AG46" i="2"/>
  <c r="U46" i="2"/>
  <c r="AH46" i="2"/>
  <c r="Y46" i="2"/>
  <c r="AO46" i="2"/>
  <c r="Z46" i="2"/>
  <c r="AA46" i="2"/>
  <c r="S46" i="2"/>
  <c r="V46" i="2"/>
  <c r="AB46" i="2"/>
  <c r="AL46" i="2"/>
  <c r="Q46" i="2"/>
  <c r="AN46" i="2"/>
  <c r="R46" i="2"/>
  <c r="AK46" i="2"/>
  <c r="AD46" i="2"/>
  <c r="W46" i="2"/>
  <c r="AE46" i="2"/>
  <c r="AM46" i="2"/>
  <c r="T46" i="2"/>
  <c r="X46" i="2"/>
  <c r="P46" i="2"/>
  <c r="AI46" i="2"/>
  <c r="AC46" i="2"/>
  <c r="AF46" i="2"/>
  <c r="AF12" i="2"/>
  <c r="U12" i="2"/>
  <c r="Q12" i="2"/>
  <c r="AG12" i="2"/>
  <c r="AN12" i="2"/>
  <c r="AD12" i="2"/>
  <c r="S12" i="2"/>
  <c r="AH12" i="2"/>
  <c r="X12" i="2"/>
  <c r="AL12" i="2"/>
  <c r="P12" i="2"/>
  <c r="V12" i="2"/>
  <c r="AI12" i="2"/>
  <c r="Z12" i="2"/>
  <c r="AO12" i="2"/>
  <c r="Y12" i="2"/>
  <c r="R12" i="2"/>
  <c r="AA12" i="2"/>
  <c r="T12" i="2"/>
  <c r="W12" i="2"/>
  <c r="AK12" i="2"/>
  <c r="AB12" i="2"/>
  <c r="AM12" i="2"/>
  <c r="AC12" i="2"/>
  <c r="AE12" i="2"/>
  <c r="AJ12" i="2"/>
  <c r="AH25" i="2"/>
  <c r="Y25" i="2"/>
  <c r="S25" i="2"/>
  <c r="AO25" i="2"/>
  <c r="AI25" i="2"/>
  <c r="T25" i="2"/>
  <c r="Z25" i="2"/>
  <c r="AJ25" i="2"/>
  <c r="AE25" i="2"/>
  <c r="AA25" i="2"/>
  <c r="U25" i="2"/>
  <c r="AK25" i="2"/>
  <c r="AB25" i="2"/>
  <c r="V25" i="2"/>
  <c r="AC25" i="2"/>
  <c r="P25" i="2"/>
  <c r="AL25" i="2"/>
  <c r="AF25" i="2"/>
  <c r="W25" i="2"/>
  <c r="AD25" i="2"/>
  <c r="AM25" i="2"/>
  <c r="Q25" i="2"/>
  <c r="AG25" i="2"/>
  <c r="R25" i="2"/>
  <c r="X25" i="2"/>
  <c r="AN25" i="2"/>
  <c r="S119" i="2"/>
  <c r="AB119" i="2"/>
  <c r="AI119" i="2"/>
  <c r="T119" i="2"/>
  <c r="AE119" i="2"/>
  <c r="U119" i="2"/>
  <c r="AG119" i="2"/>
  <c r="AK119" i="2"/>
  <c r="V119" i="2"/>
  <c r="AL119" i="2"/>
  <c r="AM119" i="2"/>
  <c r="Z119" i="2"/>
  <c r="P119" i="2"/>
  <c r="X119" i="2"/>
  <c r="AD119" i="2"/>
  <c r="AF119" i="2"/>
  <c r="AN119" i="2"/>
  <c r="Q119" i="2"/>
  <c r="Y119" i="2"/>
  <c r="R119" i="2"/>
  <c r="AO119" i="2"/>
  <c r="AH119" i="2"/>
  <c r="AJ119" i="2"/>
  <c r="W119" i="2"/>
  <c r="AA119" i="2"/>
  <c r="AC119" i="2"/>
  <c r="T6" i="2"/>
  <c r="AL6" i="2"/>
  <c r="V6" i="2"/>
  <c r="AE6" i="2"/>
  <c r="Y6" i="2"/>
  <c r="AJ6" i="2"/>
  <c r="AO6" i="2"/>
  <c r="X6" i="2"/>
  <c r="AN6" i="2"/>
  <c r="Q6" i="2"/>
  <c r="AM6" i="2"/>
  <c r="W6" i="2"/>
  <c r="AG6" i="2"/>
  <c r="S6" i="2"/>
  <c r="Z6" i="2"/>
  <c r="R6" i="2"/>
  <c r="AA6" i="2"/>
  <c r="AB6" i="2"/>
  <c r="U6" i="2"/>
  <c r="AD6" i="2"/>
  <c r="AK6" i="2"/>
  <c r="AH6" i="2"/>
  <c r="AI6" i="2"/>
  <c r="AF6" i="2"/>
  <c r="AC6" i="2"/>
  <c r="AF17" i="1"/>
  <c r="AF11" i="1"/>
  <c r="AF21" i="1"/>
  <c r="AF15" i="1"/>
  <c r="AF20" i="1"/>
  <c r="AF14" i="1"/>
  <c r="AF16" i="1"/>
  <c r="AF22" i="1"/>
  <c r="AF13" i="1"/>
  <c r="AF23" i="1"/>
  <c r="AF19" i="1"/>
  <c r="AF10" i="1"/>
  <c r="AF18" i="1"/>
  <c r="AF86" i="1"/>
  <c r="AF108" i="1"/>
  <c r="AF44" i="1"/>
  <c r="AF45" i="1"/>
  <c r="AF51" i="1"/>
  <c r="AF49" i="1"/>
  <c r="AF85" i="1"/>
  <c r="AF47" i="1"/>
  <c r="AW7" i="9" l="1"/>
  <c r="N17" i="7"/>
  <c r="AO17" i="7"/>
  <c r="BC9" i="9"/>
  <c r="T19" i="7"/>
  <c r="AU19" i="7"/>
  <c r="AZ10" i="9"/>
  <c r="Q20" i="7"/>
  <c r="AR20" i="7"/>
  <c r="AS9" i="9"/>
  <c r="J19" i="7"/>
  <c r="AK19" i="7"/>
  <c r="BG9" i="9"/>
  <c r="AY19" i="7"/>
  <c r="X19" i="7"/>
  <c r="BF10" i="9"/>
  <c r="W20" i="7"/>
  <c r="AX20" i="7"/>
  <c r="BG10" i="9"/>
  <c r="X20" i="7"/>
  <c r="AY20" i="7"/>
  <c r="BA15" i="9"/>
  <c r="AS25" i="7"/>
  <c r="R25" i="7"/>
  <c r="AO14" i="9"/>
  <c r="F24" i="7"/>
  <c r="AG24" i="7"/>
  <c r="AX14" i="9"/>
  <c r="O24" i="7"/>
  <c r="AP24" i="7"/>
  <c r="BD11" i="9"/>
  <c r="AV21" i="7"/>
  <c r="U21" i="7"/>
  <c r="AN11" i="9"/>
  <c r="AF21" i="7"/>
  <c r="E21" i="7"/>
  <c r="BD8" i="9"/>
  <c r="U18" i="7"/>
  <c r="AV18" i="7"/>
  <c r="BC8" i="9"/>
  <c r="T18" i="7"/>
  <c r="AU18" i="7"/>
  <c r="AL12" i="9"/>
  <c r="C22" i="7"/>
  <c r="AD22" i="7"/>
  <c r="BC14" i="9"/>
  <c r="T24" i="7"/>
  <c r="AU24" i="7"/>
  <c r="AZ11" i="9"/>
  <c r="AR21" i="7"/>
  <c r="Q21" i="7"/>
  <c r="BI12" i="9"/>
  <c r="BA22" i="7"/>
  <c r="Z22" i="7"/>
  <c r="AV7" i="9"/>
  <c r="M17" i="7"/>
  <c r="AN17" i="7"/>
  <c r="BE13" i="9"/>
  <c r="AW23" i="7"/>
  <c r="V23" i="7"/>
  <c r="AR9" i="9"/>
  <c r="AJ19" i="7"/>
  <c r="I19" i="7"/>
  <c r="BA9" i="9"/>
  <c r="R19" i="7"/>
  <c r="AS19" i="7"/>
  <c r="BE10" i="9"/>
  <c r="V20" i="7"/>
  <c r="AW20" i="7"/>
  <c r="BJ10" i="9"/>
  <c r="BB20" i="7"/>
  <c r="AA20" i="7"/>
  <c r="AO15" i="9"/>
  <c r="F25" i="7"/>
  <c r="AG25" i="7"/>
  <c r="BD14" i="9"/>
  <c r="U24" i="7"/>
  <c r="AV24" i="7"/>
  <c r="BA14" i="9"/>
  <c r="R24" i="7"/>
  <c r="AS24" i="7"/>
  <c r="AY11" i="9"/>
  <c r="P21" i="7"/>
  <c r="AQ21" i="7"/>
  <c r="BI11" i="9"/>
  <c r="Z21" i="7"/>
  <c r="BA21" i="7"/>
  <c r="AW8" i="9"/>
  <c r="AO18" i="7"/>
  <c r="N18" i="7"/>
  <c r="AU8" i="9"/>
  <c r="AM18" i="7"/>
  <c r="L18" i="7"/>
  <c r="AU12" i="9"/>
  <c r="AM22" i="7"/>
  <c r="L22" i="7"/>
  <c r="AN7" i="9"/>
  <c r="AF17" i="7"/>
  <c r="E17" i="7"/>
  <c r="AV13" i="9"/>
  <c r="M23" i="7"/>
  <c r="AN23" i="7"/>
  <c r="AO7" i="9"/>
  <c r="AG17" i="7"/>
  <c r="F17" i="7"/>
  <c r="AR13" i="9"/>
  <c r="I23" i="7"/>
  <c r="AJ23" i="7"/>
  <c r="BK9" i="9"/>
  <c r="AB19" i="7"/>
  <c r="BC19" i="7"/>
  <c r="BB9" i="9"/>
  <c r="AT19" i="7"/>
  <c r="S19" i="7"/>
  <c r="AO10" i="9"/>
  <c r="F20" i="7"/>
  <c r="AG20" i="7"/>
  <c r="AZ15" i="9"/>
  <c r="AR25" i="7"/>
  <c r="Q25" i="7"/>
  <c r="BJ15" i="9"/>
  <c r="AA25" i="7"/>
  <c r="BB25" i="7"/>
  <c r="BK14" i="9"/>
  <c r="BC24" i="7"/>
  <c r="AB24" i="7"/>
  <c r="AQ14" i="9"/>
  <c r="AI24" i="7"/>
  <c r="H24" i="7"/>
  <c r="AX11" i="9"/>
  <c r="O21" i="7"/>
  <c r="AP21" i="7"/>
  <c r="BC11" i="9"/>
  <c r="AU21" i="7"/>
  <c r="T21" i="7"/>
  <c r="AM8" i="9"/>
  <c r="D18" i="7"/>
  <c r="AE18" i="7"/>
  <c r="AZ8" i="9"/>
  <c r="AR18" i="7"/>
  <c r="Q18" i="7"/>
  <c r="BG12" i="9"/>
  <c r="X22" i="7"/>
  <c r="AY22" i="7"/>
  <c r="BC7" i="9"/>
  <c r="T17" i="7"/>
  <c r="AU17" i="7"/>
  <c r="AL13" i="9"/>
  <c r="AD23" i="7"/>
  <c r="C23" i="7"/>
  <c r="AT9" i="9"/>
  <c r="AL19" i="7"/>
  <c r="K19" i="7"/>
  <c r="AO9" i="9"/>
  <c r="AG19" i="7"/>
  <c r="F19" i="7"/>
  <c r="BD10" i="9"/>
  <c r="U20" i="7"/>
  <c r="AV20" i="7"/>
  <c r="BH15" i="9"/>
  <c r="Y25" i="7"/>
  <c r="AZ25" i="7"/>
  <c r="BE15" i="9"/>
  <c r="V25" i="7"/>
  <c r="AW25" i="7"/>
  <c r="AM14" i="9"/>
  <c r="D24" i="7"/>
  <c r="AE24" i="7"/>
  <c r="BH14" i="9"/>
  <c r="AZ24" i="7"/>
  <c r="Y24" i="7"/>
  <c r="BG11" i="9"/>
  <c r="X21" i="7"/>
  <c r="AY21" i="7"/>
  <c r="AL11" i="9"/>
  <c r="AD21" i="7"/>
  <c r="C21" i="7"/>
  <c r="BK8" i="9"/>
  <c r="AB18" i="7"/>
  <c r="BC18" i="7"/>
  <c r="AV8" i="9"/>
  <c r="M18" i="7"/>
  <c r="AN18" i="7"/>
  <c r="BB12" i="9"/>
  <c r="S22" i="7"/>
  <c r="AT22" i="7"/>
  <c r="AS7" i="9"/>
  <c r="AK17" i="7"/>
  <c r="J17" i="7"/>
  <c r="BF13" i="9"/>
  <c r="AX23" i="7"/>
  <c r="W23" i="7"/>
  <c r="BH13" i="9"/>
  <c r="Y23" i="7"/>
  <c r="AZ23" i="7"/>
  <c r="AQ9" i="9"/>
  <c r="AI19" i="7"/>
  <c r="H19" i="7"/>
  <c r="AZ9" i="9"/>
  <c r="Q19" i="7"/>
  <c r="AR19" i="7"/>
  <c r="AN10" i="9"/>
  <c r="E20" i="7"/>
  <c r="AF20" i="7"/>
  <c r="BF15" i="9"/>
  <c r="W25" i="7"/>
  <c r="AX25" i="7"/>
  <c r="BI15" i="9"/>
  <c r="Z25" i="7"/>
  <c r="BA25" i="7"/>
  <c r="AU14" i="9"/>
  <c r="AM24" i="7"/>
  <c r="L24" i="7"/>
  <c r="AU11" i="9"/>
  <c r="L21" i="7"/>
  <c r="AM21" i="7"/>
  <c r="AO11" i="9"/>
  <c r="AG21" i="7"/>
  <c r="F21" i="7"/>
  <c r="BB8" i="9"/>
  <c r="AT18" i="7"/>
  <c r="S18" i="7"/>
  <c r="BH8" i="9"/>
  <c r="Y18" i="7"/>
  <c r="AZ18" i="7"/>
  <c r="AV12" i="9"/>
  <c r="AN22" i="7"/>
  <c r="M22" i="7"/>
  <c r="AX12" i="9"/>
  <c r="O22" i="7"/>
  <c r="AP22" i="7"/>
  <c r="BK15" i="9"/>
  <c r="AB25" i="7"/>
  <c r="BC25" i="7"/>
  <c r="BI7" i="9"/>
  <c r="BA17" i="7"/>
  <c r="Z17" i="7"/>
  <c r="BA13" i="9"/>
  <c r="AS23" i="7"/>
  <c r="R23" i="7"/>
  <c r="AT13" i="9"/>
  <c r="K23" i="7"/>
  <c r="AL23" i="7"/>
  <c r="AP9" i="9"/>
  <c r="AH19" i="7"/>
  <c r="G19" i="7"/>
  <c r="BJ9" i="9"/>
  <c r="BB19" i="7"/>
  <c r="AA19" i="7"/>
  <c r="BC10" i="9"/>
  <c r="T20" i="7"/>
  <c r="AU20" i="7"/>
  <c r="AY15" i="9"/>
  <c r="AQ25" i="7"/>
  <c r="P25" i="7"/>
  <c r="BB15" i="9"/>
  <c r="S25" i="7"/>
  <c r="AT25" i="7"/>
  <c r="BB14" i="9"/>
  <c r="S24" i="7"/>
  <c r="AT24" i="7"/>
  <c r="BB11" i="9"/>
  <c r="AT21" i="7"/>
  <c r="S21" i="7"/>
  <c r="BA11" i="9"/>
  <c r="AS21" i="7"/>
  <c r="R21" i="7"/>
  <c r="AX8" i="9"/>
  <c r="AP18" i="7"/>
  <c r="O18" i="7"/>
  <c r="AY8" i="9"/>
  <c r="AQ18" i="7"/>
  <c r="P18" i="7"/>
  <c r="AZ12" i="9"/>
  <c r="Q22" i="7"/>
  <c r="AR22" i="7"/>
  <c r="BF12" i="9"/>
  <c r="W22" i="7"/>
  <c r="AX22" i="7"/>
  <c r="AV14" i="9"/>
  <c r="AN24" i="7"/>
  <c r="M24" i="7"/>
  <c r="AM7" i="9"/>
  <c r="D17" i="7"/>
  <c r="AE17" i="7"/>
  <c r="AY13" i="9"/>
  <c r="AQ23" i="7"/>
  <c r="P23" i="7"/>
  <c r="BD13" i="9"/>
  <c r="AV23" i="7"/>
  <c r="U23" i="7"/>
  <c r="BD9" i="9"/>
  <c r="AV19" i="7"/>
  <c r="U19" i="7"/>
  <c r="AY9" i="9"/>
  <c r="P19" i="7"/>
  <c r="AQ19" i="7"/>
  <c r="AV10" i="9"/>
  <c r="AN20" i="7"/>
  <c r="M20" i="7"/>
  <c r="AM15" i="9"/>
  <c r="AE25" i="7"/>
  <c r="D25" i="7"/>
  <c r="AR15" i="9"/>
  <c r="I25" i="7"/>
  <c r="AJ25" i="7"/>
  <c r="BJ14" i="9"/>
  <c r="AA24" i="7"/>
  <c r="BB24" i="7"/>
  <c r="AV11" i="9"/>
  <c r="M21" i="7"/>
  <c r="AN21" i="7"/>
  <c r="BH11" i="9"/>
  <c r="Y21" i="7"/>
  <c r="AZ21" i="7"/>
  <c r="BJ8" i="9"/>
  <c r="AA18" i="7"/>
  <c r="BB18" i="7"/>
  <c r="AR8" i="9"/>
  <c r="I18" i="7"/>
  <c r="AJ18" i="7"/>
  <c r="BK12" i="9"/>
  <c r="BC22" i="7"/>
  <c r="AB22" i="7"/>
  <c r="AT12" i="9"/>
  <c r="AL22" i="7"/>
  <c r="K22" i="7"/>
  <c r="BF8" i="9"/>
  <c r="W18" i="7"/>
  <c r="AX18" i="7"/>
  <c r="AY7" i="9"/>
  <c r="P17" i="7"/>
  <c r="AQ17" i="7"/>
  <c r="BJ7" i="9"/>
  <c r="BB17" i="7"/>
  <c r="AA17" i="7"/>
  <c r="BI13" i="9"/>
  <c r="Z23" i="7"/>
  <c r="BA23" i="7"/>
  <c r="AO13" i="9"/>
  <c r="AG23" i="7"/>
  <c r="F23" i="7"/>
  <c r="BE9" i="9"/>
  <c r="AW19" i="7"/>
  <c r="V19" i="7"/>
  <c r="AV9" i="9"/>
  <c r="M19" i="7"/>
  <c r="AN19" i="7"/>
  <c r="AM10" i="9"/>
  <c r="D20" i="7"/>
  <c r="AE20" i="7"/>
  <c r="AX15" i="9"/>
  <c r="AP25" i="7"/>
  <c r="O25" i="7"/>
  <c r="AN15" i="9"/>
  <c r="E25" i="7"/>
  <c r="AF25" i="7"/>
  <c r="AL14" i="9"/>
  <c r="AD24" i="7"/>
  <c r="C24" i="7"/>
  <c r="AP11" i="9"/>
  <c r="AH21" i="7"/>
  <c r="G21" i="7"/>
  <c r="BE11" i="9"/>
  <c r="AW21" i="7"/>
  <c r="V21" i="7"/>
  <c r="AL8" i="9"/>
  <c r="C18" i="7"/>
  <c r="AD18" i="7"/>
  <c r="BG8" i="9"/>
  <c r="X18" i="7"/>
  <c r="AY18" i="7"/>
  <c r="AR12" i="9"/>
  <c r="AJ22" i="7"/>
  <c r="I22" i="7"/>
  <c r="AM12" i="9"/>
  <c r="D22" i="7"/>
  <c r="AE22" i="7"/>
  <c r="AU9" i="9"/>
  <c r="L19" i="7"/>
  <c r="AM19" i="7"/>
  <c r="BB7" i="9"/>
  <c r="S17" i="7"/>
  <c r="AT17" i="7"/>
  <c r="AT7" i="9"/>
  <c r="AL17" i="7"/>
  <c r="K17" i="7"/>
  <c r="AX13" i="9"/>
  <c r="AP23" i="7"/>
  <c r="O23" i="7"/>
  <c r="AZ13" i="9"/>
  <c r="AR23" i="7"/>
  <c r="Q23" i="7"/>
  <c r="AW9" i="9"/>
  <c r="N19" i="7"/>
  <c r="AO19" i="7"/>
  <c r="AQ10" i="9"/>
  <c r="H20" i="7"/>
  <c r="AI20" i="7"/>
  <c r="BK10" i="9"/>
  <c r="BC20" i="7"/>
  <c r="AB20" i="7"/>
  <c r="AW15" i="9"/>
  <c r="AO25" i="7"/>
  <c r="N25" i="7"/>
  <c r="AT15" i="9"/>
  <c r="K25" i="7"/>
  <c r="AL25" i="7"/>
  <c r="BG14" i="9"/>
  <c r="AY24" i="7"/>
  <c r="X24" i="7"/>
  <c r="AT11" i="9"/>
  <c r="K21" i="7"/>
  <c r="AL21" i="7"/>
  <c r="AQ8" i="9"/>
  <c r="H18" i="7"/>
  <c r="AI18" i="7"/>
  <c r="BE8" i="9"/>
  <c r="V18" i="7"/>
  <c r="AW18" i="7"/>
  <c r="BJ12" i="9"/>
  <c r="BB22" i="7"/>
  <c r="AA22" i="7"/>
  <c r="BE12" i="9"/>
  <c r="V22" i="7"/>
  <c r="AW22" i="7"/>
  <c r="BE7" i="9"/>
  <c r="V17" i="7"/>
  <c r="AW17" i="7"/>
  <c r="BK7" i="9"/>
  <c r="BC17" i="7"/>
  <c r="AB17" i="7"/>
  <c r="BG13" i="9"/>
  <c r="X23" i="7"/>
  <c r="AY23" i="7"/>
  <c r="BJ13" i="9"/>
  <c r="AA23" i="7"/>
  <c r="BB23" i="7"/>
  <c r="BF9" i="9"/>
  <c r="AX19" i="7"/>
  <c r="W19" i="7"/>
  <c r="AR10" i="9"/>
  <c r="I20" i="7"/>
  <c r="AJ20" i="7"/>
  <c r="BB10" i="9"/>
  <c r="S20" i="7"/>
  <c r="AT20" i="7"/>
  <c r="AV15" i="9"/>
  <c r="M25" i="7"/>
  <c r="AN25" i="7"/>
  <c r="BG15" i="9"/>
  <c r="X25" i="7"/>
  <c r="AY25" i="7"/>
  <c r="AW14" i="9"/>
  <c r="N24" i="7"/>
  <c r="AO24" i="7"/>
  <c r="AR11" i="9"/>
  <c r="AJ21" i="7"/>
  <c r="I21" i="7"/>
  <c r="AT8" i="9"/>
  <c r="K18" i="7"/>
  <c r="AL18" i="7"/>
  <c r="AO8" i="9"/>
  <c r="F18" i="7"/>
  <c r="AG18" i="7"/>
  <c r="AP12" i="9"/>
  <c r="G22" i="7"/>
  <c r="AH22" i="7"/>
  <c r="AQ12" i="9"/>
  <c r="AI22" i="7"/>
  <c r="H22" i="7"/>
  <c r="BK13" i="9"/>
  <c r="AB23" i="7"/>
  <c r="BC23" i="7"/>
  <c r="AX10" i="9"/>
  <c r="AP20" i="7"/>
  <c r="O20" i="7"/>
  <c r="BD7" i="9"/>
  <c r="U17" i="7"/>
  <c r="AV17" i="7"/>
  <c r="BF7" i="9"/>
  <c r="AX17" i="7"/>
  <c r="W17" i="7"/>
  <c r="AS13" i="9"/>
  <c r="J23" i="7"/>
  <c r="AK23" i="7"/>
  <c r="BC13" i="9"/>
  <c r="AU23" i="7"/>
  <c r="T23" i="7"/>
  <c r="AN9" i="9"/>
  <c r="AF19" i="7"/>
  <c r="E19" i="7"/>
  <c r="AP10" i="9"/>
  <c r="G20" i="7"/>
  <c r="AH20" i="7"/>
  <c r="AS10" i="9"/>
  <c r="AK20" i="7"/>
  <c r="J20" i="7"/>
  <c r="AU15" i="9"/>
  <c r="L25" i="7"/>
  <c r="AM25" i="7"/>
  <c r="BD15" i="9"/>
  <c r="AV25" i="7"/>
  <c r="U25" i="7"/>
  <c r="AR14" i="9"/>
  <c r="AJ24" i="7"/>
  <c r="I24" i="7"/>
  <c r="AT14" i="9"/>
  <c r="AL24" i="7"/>
  <c r="K24" i="7"/>
  <c r="AS11" i="9"/>
  <c r="J21" i="7"/>
  <c r="AK21" i="7"/>
  <c r="AP8" i="9"/>
  <c r="G18" i="7"/>
  <c r="AH18" i="7"/>
  <c r="AO12" i="9"/>
  <c r="F22" i="7"/>
  <c r="AG22" i="7"/>
  <c r="BC12" i="9"/>
  <c r="T22" i="7"/>
  <c r="AU22" i="7"/>
  <c r="AP7" i="9"/>
  <c r="AH17" i="7"/>
  <c r="G17" i="7"/>
  <c r="AM11" i="9"/>
  <c r="AE21" i="7"/>
  <c r="D21" i="7"/>
  <c r="BG7" i="9"/>
  <c r="AY17" i="7"/>
  <c r="X17" i="7"/>
  <c r="AU7" i="9"/>
  <c r="AM17" i="7"/>
  <c r="L17" i="7"/>
  <c r="AP13" i="9"/>
  <c r="AH23" i="7"/>
  <c r="G23" i="7"/>
  <c r="AM13" i="9"/>
  <c r="AE23" i="7"/>
  <c r="D23" i="7"/>
  <c r="AM9" i="9"/>
  <c r="AE19" i="7"/>
  <c r="D19" i="7"/>
  <c r="AT10" i="9"/>
  <c r="K20" i="7"/>
  <c r="AL20" i="7"/>
  <c r="AL10" i="9"/>
  <c r="AD20" i="7"/>
  <c r="C20" i="7"/>
  <c r="AQ15" i="9"/>
  <c r="H25" i="7"/>
  <c r="AI25" i="7"/>
  <c r="AS15" i="9"/>
  <c r="J25" i="7"/>
  <c r="AK25" i="7"/>
  <c r="BF14" i="9"/>
  <c r="W24" i="7"/>
  <c r="AX24" i="7"/>
  <c r="AZ14" i="9"/>
  <c r="Q24" i="7"/>
  <c r="AR24" i="7"/>
  <c r="BK11" i="9"/>
  <c r="AB21" i="7"/>
  <c r="BC21" i="7"/>
  <c r="BI8" i="9"/>
  <c r="Z18" i="7"/>
  <c r="BA18" i="7"/>
  <c r="AS12" i="9"/>
  <c r="AK22" i="7"/>
  <c r="J22" i="7"/>
  <c r="AW12" i="9"/>
  <c r="BO12" i="9" s="1"/>
  <c r="AO22" i="7"/>
  <c r="N22" i="7"/>
  <c r="AZ7" i="9"/>
  <c r="Q17" i="7"/>
  <c r="AR17" i="7"/>
  <c r="BA7" i="9"/>
  <c r="R17" i="7"/>
  <c r="AS17" i="7"/>
  <c r="AW13" i="9"/>
  <c r="N23" i="7"/>
  <c r="AO23" i="7"/>
  <c r="AQ13" i="9"/>
  <c r="H23" i="7"/>
  <c r="AI23" i="7"/>
  <c r="BI9" i="9"/>
  <c r="Z19" i="7"/>
  <c r="BA19" i="7"/>
  <c r="AW10" i="9"/>
  <c r="AO20" i="7"/>
  <c r="N20" i="7"/>
  <c r="AY10" i="9"/>
  <c r="AQ20" i="7"/>
  <c r="P20" i="7"/>
  <c r="BC15" i="9"/>
  <c r="AU25" i="7"/>
  <c r="T25" i="7"/>
  <c r="AP14" i="9"/>
  <c r="G24" i="7"/>
  <c r="AH24" i="7"/>
  <c r="BI14" i="9"/>
  <c r="BA24" i="7"/>
  <c r="Z24" i="7"/>
  <c r="AW11" i="9"/>
  <c r="N21" i="7"/>
  <c r="AO21" i="7"/>
  <c r="BA8" i="9"/>
  <c r="AS18" i="7"/>
  <c r="R18" i="7"/>
  <c r="AN12" i="9"/>
  <c r="E22" i="7"/>
  <c r="AF22" i="7"/>
  <c r="AY12" i="9"/>
  <c r="AQ22" i="7"/>
  <c r="P22" i="7"/>
  <c r="AQ7" i="9"/>
  <c r="AI17" i="7"/>
  <c r="H17" i="7"/>
  <c r="AR7" i="9"/>
  <c r="BN7" i="9" s="1"/>
  <c r="AJ17" i="7"/>
  <c r="I17" i="7"/>
  <c r="AN13" i="9"/>
  <c r="AF23" i="7"/>
  <c r="E23" i="7"/>
  <c r="BB13" i="9"/>
  <c r="AT23" i="7"/>
  <c r="S23" i="7"/>
  <c r="AL9" i="9"/>
  <c r="AD19" i="7"/>
  <c r="C19" i="7"/>
  <c r="BA10" i="9"/>
  <c r="R20" i="7"/>
  <c r="AS20" i="7"/>
  <c r="BI10" i="9"/>
  <c r="Z20" i="7"/>
  <c r="BA20" i="7"/>
  <c r="AP15" i="9"/>
  <c r="G25" i="7"/>
  <c r="AH25" i="7"/>
  <c r="AY14" i="9"/>
  <c r="P24" i="7"/>
  <c r="AQ24" i="7"/>
  <c r="AN14" i="9"/>
  <c r="E24" i="7"/>
  <c r="AF24" i="7"/>
  <c r="AQ11" i="9"/>
  <c r="AI21" i="7"/>
  <c r="H21" i="7"/>
  <c r="AN8" i="9"/>
  <c r="E18" i="7"/>
  <c r="AF18" i="7"/>
  <c r="BH12" i="9"/>
  <c r="AZ22" i="7"/>
  <c r="Y22" i="7"/>
  <c r="BD12" i="9"/>
  <c r="U22" i="7"/>
  <c r="AV22" i="7"/>
  <c r="AL7" i="9"/>
  <c r="AD17" i="7"/>
  <c r="C17" i="7"/>
  <c r="AX7" i="9"/>
  <c r="O17" i="7"/>
  <c r="AP17" i="7"/>
  <c r="BH7" i="9"/>
  <c r="AZ17" i="7"/>
  <c r="Y17" i="7"/>
  <c r="AU13" i="9"/>
  <c r="BN13" i="9" s="1"/>
  <c r="L23" i="7"/>
  <c r="AM23" i="7"/>
  <c r="AX9" i="9"/>
  <c r="O19" i="7"/>
  <c r="AP19" i="7"/>
  <c r="BH9" i="9"/>
  <c r="AZ19" i="7"/>
  <c r="Y19" i="7"/>
  <c r="AU10" i="9"/>
  <c r="AM20" i="7"/>
  <c r="L20" i="7"/>
  <c r="BH10" i="9"/>
  <c r="Y20" i="7"/>
  <c r="AZ20" i="7"/>
  <c r="AL15" i="9"/>
  <c r="AD25" i="7"/>
  <c r="C25" i="7"/>
  <c r="BE14" i="9"/>
  <c r="V24" i="7"/>
  <c r="AW24" i="7"/>
  <c r="AS14" i="9"/>
  <c r="AK24" i="7"/>
  <c r="J24" i="7"/>
  <c r="BF11" i="9"/>
  <c r="AX21" i="7"/>
  <c r="W21" i="7"/>
  <c r="BJ11" i="9"/>
  <c r="AA21" i="7"/>
  <c r="BB21" i="7"/>
  <c r="AS8" i="9"/>
  <c r="J18" i="7"/>
  <c r="AK18" i="7"/>
  <c r="BA12" i="9"/>
  <c r="R22" i="7"/>
  <c r="AS22" i="7"/>
  <c r="AX33" i="9"/>
  <c r="AP43" i="7"/>
  <c r="O43" i="7"/>
  <c r="BD85" i="9"/>
  <c r="AV95" i="7"/>
  <c r="U95" i="7"/>
  <c r="AX29" i="9"/>
  <c r="AP39" i="7"/>
  <c r="O39" i="7"/>
  <c r="BC117" i="9"/>
  <c r="AU127" i="7"/>
  <c r="T127" i="7"/>
  <c r="AL65" i="9"/>
  <c r="AD75" i="7"/>
  <c r="C75" i="7"/>
  <c r="AW101" i="9"/>
  <c r="AO111" i="7"/>
  <c r="N111" i="7"/>
  <c r="BB22" i="9"/>
  <c r="AT32" i="7"/>
  <c r="S32" i="7"/>
  <c r="BG90" i="9"/>
  <c r="AY100" i="7"/>
  <c r="X100" i="7"/>
  <c r="BI57" i="9"/>
  <c r="BA67" i="7"/>
  <c r="Z67" i="7"/>
  <c r="AQ103" i="9"/>
  <c r="AI113" i="7"/>
  <c r="H113" i="7"/>
  <c r="AV44" i="9"/>
  <c r="AN54" i="7"/>
  <c r="M54" i="7"/>
  <c r="AS53" i="9"/>
  <c r="AK63" i="7"/>
  <c r="J63" i="7"/>
  <c r="BI31" i="9"/>
  <c r="BA41" i="7"/>
  <c r="Z41" i="7"/>
  <c r="AM27" i="9"/>
  <c r="AE37" i="7"/>
  <c r="D37" i="7"/>
  <c r="BC56" i="9"/>
  <c r="AU66" i="7"/>
  <c r="T66" i="7"/>
  <c r="BI120" i="9"/>
  <c r="BA130" i="7"/>
  <c r="Z130" i="7"/>
  <c r="BI26" i="9"/>
  <c r="BA36" i="7"/>
  <c r="Z36" i="7"/>
  <c r="BE26" i="9"/>
  <c r="AW36" i="7"/>
  <c r="V36" i="7"/>
  <c r="AY47" i="9"/>
  <c r="AQ57" i="7"/>
  <c r="P57" i="7"/>
  <c r="AO47" i="9"/>
  <c r="AG57" i="7"/>
  <c r="F57" i="7"/>
  <c r="BC33" i="9"/>
  <c r="AU43" i="7"/>
  <c r="T43" i="7"/>
  <c r="BE33" i="9"/>
  <c r="AW43" i="7"/>
  <c r="V43" i="7"/>
  <c r="BK70" i="9"/>
  <c r="BC80" i="7"/>
  <c r="AB80" i="7"/>
  <c r="AY100" i="9"/>
  <c r="AQ110" i="7"/>
  <c r="P110" i="7"/>
  <c r="AO100" i="9"/>
  <c r="AG110" i="7"/>
  <c r="F110" i="7"/>
  <c r="BC116" i="9"/>
  <c r="AU126" i="7"/>
  <c r="T126" i="7"/>
  <c r="AP116" i="9"/>
  <c r="AH126" i="7"/>
  <c r="G126" i="7"/>
  <c r="BH35" i="9"/>
  <c r="AZ45" i="7"/>
  <c r="Y45" i="7"/>
  <c r="BG21" i="9"/>
  <c r="AY31" i="7"/>
  <c r="X31" i="7"/>
  <c r="AT21" i="9"/>
  <c r="AL31" i="7"/>
  <c r="K31" i="7"/>
  <c r="BI95" i="9"/>
  <c r="BA105" i="7"/>
  <c r="Z105" i="7"/>
  <c r="BI86" i="9"/>
  <c r="BA96" i="7"/>
  <c r="Z96" i="7"/>
  <c r="AS86" i="9"/>
  <c r="AK96" i="7"/>
  <c r="J96" i="7"/>
  <c r="BA97" i="9"/>
  <c r="AS107" i="7"/>
  <c r="R107" i="7"/>
  <c r="BI97" i="9"/>
  <c r="BA107" i="7"/>
  <c r="Z107" i="7"/>
  <c r="BH85" i="9"/>
  <c r="AZ95" i="7"/>
  <c r="Y95" i="7"/>
  <c r="BH89" i="9"/>
  <c r="AZ99" i="7"/>
  <c r="Y99" i="7"/>
  <c r="AT89" i="9"/>
  <c r="AL99" i="7"/>
  <c r="K99" i="7"/>
  <c r="AU78" i="9"/>
  <c r="AM88" i="7"/>
  <c r="L88" i="7"/>
  <c r="AW78" i="9"/>
  <c r="AO88" i="7"/>
  <c r="N88" i="7"/>
  <c r="AM110" i="9"/>
  <c r="AE120" i="7"/>
  <c r="D120" i="7"/>
  <c r="AS72" i="9"/>
  <c r="AK82" i="7"/>
  <c r="J82" i="7"/>
  <c r="BD72" i="9"/>
  <c r="AV82" i="7"/>
  <c r="U82" i="7"/>
  <c r="BF23" i="9"/>
  <c r="AX33" i="7"/>
  <c r="W33" i="7"/>
  <c r="AU109" i="9"/>
  <c r="AM119" i="7"/>
  <c r="L119" i="7"/>
  <c r="AV109" i="9"/>
  <c r="AN119" i="7"/>
  <c r="M119" i="7"/>
  <c r="BE42" i="9"/>
  <c r="AW52" i="7"/>
  <c r="V52" i="7"/>
  <c r="BB42" i="9"/>
  <c r="AT52" i="7"/>
  <c r="S52" i="7"/>
  <c r="AS29" i="9"/>
  <c r="AK39" i="7"/>
  <c r="J39" i="7"/>
  <c r="BJ63" i="9"/>
  <c r="BB73" i="7"/>
  <c r="AA73" i="7"/>
  <c r="BD63" i="9"/>
  <c r="AV73" i="7"/>
  <c r="U73" i="7"/>
  <c r="BC49" i="9"/>
  <c r="AU59" i="7"/>
  <c r="T59" i="7"/>
  <c r="AR49" i="9"/>
  <c r="AJ59" i="7"/>
  <c r="I59" i="7"/>
  <c r="BK19" i="9"/>
  <c r="BC29" i="7"/>
  <c r="AB29" i="7"/>
  <c r="AT81" i="9"/>
  <c r="AL91" i="7"/>
  <c r="K91" i="7"/>
  <c r="AP81" i="9"/>
  <c r="AH91" i="7"/>
  <c r="G91" i="7"/>
  <c r="BG111" i="9"/>
  <c r="AY121" i="7"/>
  <c r="X121" i="7"/>
  <c r="BB113" i="9"/>
  <c r="AT123" i="7"/>
  <c r="S123" i="7"/>
  <c r="AW113" i="9"/>
  <c r="AO123" i="7"/>
  <c r="N123" i="7"/>
  <c r="BJ119" i="9"/>
  <c r="BB129" i="7"/>
  <c r="AA129" i="7"/>
  <c r="BC119" i="9"/>
  <c r="AU129" i="7"/>
  <c r="T129" i="7"/>
  <c r="AQ117" i="9"/>
  <c r="AI127" i="7"/>
  <c r="H127" i="7"/>
  <c r="BJ54" i="9"/>
  <c r="BB64" i="7"/>
  <c r="AA64" i="7"/>
  <c r="BA54" i="9"/>
  <c r="AS64" i="7"/>
  <c r="R64" i="7"/>
  <c r="AL80" i="9"/>
  <c r="AD90" i="7"/>
  <c r="C90" i="7"/>
  <c r="AS80" i="9"/>
  <c r="AK90" i="7"/>
  <c r="J90" i="7"/>
  <c r="AX76" i="9"/>
  <c r="AP86" i="7"/>
  <c r="O86" i="7"/>
  <c r="BF17" i="9"/>
  <c r="AX27" i="7"/>
  <c r="W27" i="7"/>
  <c r="BK17" i="9"/>
  <c r="BC27" i="7"/>
  <c r="AB27" i="7"/>
  <c r="AU39" i="9"/>
  <c r="AM49" i="7"/>
  <c r="L49" i="7"/>
  <c r="AQ58" i="9"/>
  <c r="AI68" i="7"/>
  <c r="H68" i="7"/>
  <c r="BB58" i="9"/>
  <c r="AT68" i="7"/>
  <c r="S68" i="7"/>
  <c r="BF45" i="9"/>
  <c r="AX55" i="7"/>
  <c r="W55" i="7"/>
  <c r="AT79" i="9"/>
  <c r="AL89" i="7"/>
  <c r="K89" i="7"/>
  <c r="BF79" i="9"/>
  <c r="AX89" i="7"/>
  <c r="W89" i="7"/>
  <c r="BF65" i="9"/>
  <c r="AX75" i="7"/>
  <c r="W75" i="7"/>
  <c r="AY65" i="9"/>
  <c r="AQ75" i="7"/>
  <c r="P75" i="7"/>
  <c r="AP67" i="9"/>
  <c r="AH77" i="7"/>
  <c r="G77" i="7"/>
  <c r="AM83" i="9"/>
  <c r="AE93" i="7"/>
  <c r="D93" i="7"/>
  <c r="AO83" i="9"/>
  <c r="AG93" i="7"/>
  <c r="F93" i="7"/>
  <c r="BC99" i="9"/>
  <c r="AU109" i="7"/>
  <c r="T109" i="7"/>
  <c r="AZ46" i="9"/>
  <c r="AR56" i="7"/>
  <c r="Q56" i="7"/>
  <c r="BD46" i="9"/>
  <c r="AV56" i="7"/>
  <c r="U56" i="7"/>
  <c r="AM32" i="9"/>
  <c r="AE42" i="7"/>
  <c r="D42" i="7"/>
  <c r="AO32" i="9"/>
  <c r="AG42" i="7"/>
  <c r="F42" i="7"/>
  <c r="BB34" i="9"/>
  <c r="AT44" i="7"/>
  <c r="S44" i="7"/>
  <c r="AR64" i="9"/>
  <c r="AJ74" i="7"/>
  <c r="I74" i="7"/>
  <c r="AN64" i="9"/>
  <c r="AF74" i="7"/>
  <c r="E74" i="7"/>
  <c r="AZ101" i="9"/>
  <c r="AR111" i="7"/>
  <c r="Q111" i="7"/>
  <c r="AN101" i="9"/>
  <c r="AF111" i="7"/>
  <c r="E111" i="7"/>
  <c r="BK93" i="9"/>
  <c r="BC103" i="7"/>
  <c r="AB103" i="7"/>
  <c r="AL55" i="9"/>
  <c r="AD65" i="7"/>
  <c r="C65" i="7"/>
  <c r="BG55" i="9"/>
  <c r="AY65" i="7"/>
  <c r="X65" i="7"/>
  <c r="BC25" i="9"/>
  <c r="AU35" i="7"/>
  <c r="T35" i="7"/>
  <c r="AR74" i="9"/>
  <c r="AJ84" i="7"/>
  <c r="I84" i="7"/>
  <c r="AT74" i="9"/>
  <c r="AL84" i="7"/>
  <c r="K84" i="7"/>
  <c r="AS61" i="9"/>
  <c r="AK71" i="7"/>
  <c r="J71" i="7"/>
  <c r="AO61" i="9"/>
  <c r="AG71" i="7"/>
  <c r="F71" i="7"/>
  <c r="AU51" i="9"/>
  <c r="AM61" i="7"/>
  <c r="L61" i="7"/>
  <c r="BD69" i="9"/>
  <c r="AV79" i="7"/>
  <c r="U79" i="7"/>
  <c r="BJ69" i="9"/>
  <c r="BB79" i="7"/>
  <c r="AA79" i="7"/>
  <c r="AW22" i="9"/>
  <c r="AO32" i="7"/>
  <c r="N32" i="7"/>
  <c r="BA22" i="9"/>
  <c r="AS32" i="7"/>
  <c r="R32" i="7"/>
  <c r="AU91" i="9"/>
  <c r="AM101" i="7"/>
  <c r="L101" i="7"/>
  <c r="BF28" i="9"/>
  <c r="AX38" i="7"/>
  <c r="W38" i="7"/>
  <c r="AL28" i="9"/>
  <c r="AD38" i="7"/>
  <c r="C38" i="7"/>
  <c r="BH96" i="9"/>
  <c r="AZ106" i="7"/>
  <c r="Y106" i="7"/>
  <c r="AQ98" i="9"/>
  <c r="AI108" i="7"/>
  <c r="H108" i="7"/>
  <c r="AL98" i="9"/>
  <c r="AD108" i="7"/>
  <c r="C108" i="7"/>
  <c r="AY71" i="9"/>
  <c r="AQ81" i="7"/>
  <c r="P81" i="7"/>
  <c r="AL41" i="9"/>
  <c r="AD51" i="7"/>
  <c r="C51" i="7"/>
  <c r="BG41" i="9"/>
  <c r="AY51" i="7"/>
  <c r="X51" i="7"/>
  <c r="BE90" i="9"/>
  <c r="AW100" i="7"/>
  <c r="V100" i="7"/>
  <c r="AZ90" i="9"/>
  <c r="AR100" i="7"/>
  <c r="Q100" i="7"/>
  <c r="AM77" i="9"/>
  <c r="AE87" i="7"/>
  <c r="D87" i="7"/>
  <c r="AW115" i="9"/>
  <c r="AO125" i="7"/>
  <c r="N125" i="7"/>
  <c r="BG115" i="9"/>
  <c r="AY125" i="7"/>
  <c r="X125" i="7"/>
  <c r="BA62" i="9"/>
  <c r="AS72" i="7"/>
  <c r="R72" i="7"/>
  <c r="BF94" i="9"/>
  <c r="AX104" i="7"/>
  <c r="W104" i="7"/>
  <c r="AY94" i="9"/>
  <c r="AQ104" i="7"/>
  <c r="P104" i="7"/>
  <c r="AL60" i="9"/>
  <c r="AD70" i="7"/>
  <c r="C70" i="7"/>
  <c r="BG60" i="9"/>
  <c r="AY70" i="7"/>
  <c r="X70" i="7"/>
  <c r="AX87" i="9"/>
  <c r="AP97" i="7"/>
  <c r="O97" i="7"/>
  <c r="AO87" i="9"/>
  <c r="AG97" i="7"/>
  <c r="F97" i="7"/>
  <c r="AW57" i="9"/>
  <c r="AO67" i="7"/>
  <c r="N67" i="7"/>
  <c r="AR57" i="9"/>
  <c r="AJ67" i="7"/>
  <c r="I67" i="7"/>
  <c r="AN106" i="9"/>
  <c r="AF116" i="7"/>
  <c r="E116" i="7"/>
  <c r="AS105" i="9"/>
  <c r="AK115" i="7"/>
  <c r="J115" i="7"/>
  <c r="BG50" i="9"/>
  <c r="AY60" i="7"/>
  <c r="X60" i="7"/>
  <c r="AV50" i="9"/>
  <c r="AN60" i="7"/>
  <c r="M60" i="7"/>
  <c r="BD20" i="9"/>
  <c r="AV30" i="7"/>
  <c r="U30" i="7"/>
  <c r="AZ20" i="9"/>
  <c r="AR30" i="7"/>
  <c r="Q30" i="7"/>
  <c r="AS36" i="9"/>
  <c r="AK46" i="7"/>
  <c r="J46" i="7"/>
  <c r="AS118" i="9"/>
  <c r="AK128" i="7"/>
  <c r="J128" i="7"/>
  <c r="AQ118" i="9"/>
  <c r="AI128" i="7"/>
  <c r="H128" i="7"/>
  <c r="AP108" i="9"/>
  <c r="AH118" i="7"/>
  <c r="G118" i="7"/>
  <c r="BI108" i="9"/>
  <c r="BA118" i="7"/>
  <c r="Z118" i="7"/>
  <c r="AX103" i="9"/>
  <c r="AP113" i="7"/>
  <c r="O113" i="7"/>
  <c r="AV73" i="9"/>
  <c r="AN83" i="7"/>
  <c r="M83" i="7"/>
  <c r="AP73" i="9"/>
  <c r="AH83" i="7"/>
  <c r="G83" i="7"/>
  <c r="AO122" i="9"/>
  <c r="AG132" i="7"/>
  <c r="F132" i="7"/>
  <c r="AX30" i="9"/>
  <c r="AP40" i="7"/>
  <c r="O40" i="7"/>
  <c r="AM30" i="9"/>
  <c r="AE40" i="7"/>
  <c r="D40" i="7"/>
  <c r="AV102" i="9"/>
  <c r="AN112" i="7"/>
  <c r="M112" i="7"/>
  <c r="AS102" i="9"/>
  <c r="AK112" i="7"/>
  <c r="J112" i="7"/>
  <c r="AU16" i="9"/>
  <c r="L26" i="7"/>
  <c r="AM26" i="7"/>
  <c r="AX18" i="9"/>
  <c r="AP28" i="7"/>
  <c r="O28" i="7"/>
  <c r="BJ18" i="9"/>
  <c r="BB28" i="7"/>
  <c r="AA28" i="7"/>
  <c r="AP48" i="9"/>
  <c r="AH58" i="7"/>
  <c r="G58" i="7"/>
  <c r="AL48" i="9"/>
  <c r="AD58" i="7"/>
  <c r="C58" i="7"/>
  <c r="AW44" i="9"/>
  <c r="AO54" i="7"/>
  <c r="N54" i="7"/>
  <c r="BH112" i="9"/>
  <c r="AZ122" i="7"/>
  <c r="Y122" i="7"/>
  <c r="AO112" i="9"/>
  <c r="AG122" i="7"/>
  <c r="F122" i="7"/>
  <c r="AZ104" i="9"/>
  <c r="AR114" i="7"/>
  <c r="Q114" i="7"/>
  <c r="AU38" i="9"/>
  <c r="AM48" i="7"/>
  <c r="L48" i="7"/>
  <c r="AP38" i="9"/>
  <c r="AH48" i="7"/>
  <c r="G48" i="7"/>
  <c r="AO43" i="9"/>
  <c r="AG53" i="7"/>
  <c r="F53" i="7"/>
  <c r="BB53" i="9"/>
  <c r="AT63" i="7"/>
  <c r="S63" i="7"/>
  <c r="AZ53" i="9"/>
  <c r="AR63" i="7"/>
  <c r="Q63" i="7"/>
  <c r="AY88" i="9"/>
  <c r="AQ98" i="7"/>
  <c r="P98" i="7"/>
  <c r="AT88" i="9"/>
  <c r="AL98" i="7"/>
  <c r="K98" i="7"/>
  <c r="BA121" i="9"/>
  <c r="AS131" i="7"/>
  <c r="R131" i="7"/>
  <c r="BJ121" i="9"/>
  <c r="BB131" i="7"/>
  <c r="AA131" i="7"/>
  <c r="BG59" i="9"/>
  <c r="AY69" i="7"/>
  <c r="X69" i="7"/>
  <c r="AX59" i="9"/>
  <c r="AP69" i="7"/>
  <c r="O69" i="7"/>
  <c r="BJ107" i="9"/>
  <c r="BB117" i="7"/>
  <c r="AA117" i="7"/>
  <c r="AL107" i="9"/>
  <c r="AD117" i="7"/>
  <c r="C117" i="7"/>
  <c r="BA31" i="9"/>
  <c r="AS41" i="7"/>
  <c r="R41" i="7"/>
  <c r="BK24" i="9"/>
  <c r="BC34" i="7"/>
  <c r="AB34" i="7"/>
  <c r="BD24" i="9"/>
  <c r="AV34" i="7"/>
  <c r="U34" i="7"/>
  <c r="BH27" i="9"/>
  <c r="AZ37" i="7"/>
  <c r="Y37" i="7"/>
  <c r="AQ27" i="9"/>
  <c r="AI37" i="7"/>
  <c r="H37" i="7"/>
  <c r="AS82" i="9"/>
  <c r="AK92" i="7"/>
  <c r="J92" i="7"/>
  <c r="AV92" i="9"/>
  <c r="AN102" i="7"/>
  <c r="M102" i="7"/>
  <c r="BF92" i="9"/>
  <c r="AX102" i="7"/>
  <c r="W102" i="7"/>
  <c r="BK40" i="9"/>
  <c r="BC50" i="7"/>
  <c r="AB50" i="7"/>
  <c r="AX66" i="9"/>
  <c r="AP76" i="7"/>
  <c r="O76" i="7"/>
  <c r="AN66" i="9"/>
  <c r="AF76" i="7"/>
  <c r="E76" i="7"/>
  <c r="AX52" i="9"/>
  <c r="AP62" i="7"/>
  <c r="O62" i="7"/>
  <c r="AQ52" i="9"/>
  <c r="AI62" i="7"/>
  <c r="H62" i="7"/>
  <c r="AV68" i="9"/>
  <c r="AN78" i="7"/>
  <c r="M78" i="7"/>
  <c r="AM37" i="9"/>
  <c r="AE47" i="7"/>
  <c r="D47" i="7"/>
  <c r="AZ37" i="9"/>
  <c r="AR47" i="7"/>
  <c r="Q47" i="7"/>
  <c r="BF56" i="9"/>
  <c r="AX66" i="7"/>
  <c r="W66" i="7"/>
  <c r="BB56" i="9"/>
  <c r="AT66" i="7"/>
  <c r="S66" i="7"/>
  <c r="AU75" i="9"/>
  <c r="AM85" i="7"/>
  <c r="L85" i="7"/>
  <c r="BF114" i="9"/>
  <c r="AX124" i="7"/>
  <c r="W124" i="7"/>
  <c r="BI114" i="9"/>
  <c r="BA124" i="7"/>
  <c r="Z124" i="7"/>
  <c r="BF84" i="9"/>
  <c r="AX94" i="7"/>
  <c r="W94" i="7"/>
  <c r="BB120" i="9"/>
  <c r="AT130" i="7"/>
  <c r="S130" i="7"/>
  <c r="BE21" i="9"/>
  <c r="AW31" i="7"/>
  <c r="V31" i="7"/>
  <c r="AL23" i="9"/>
  <c r="AD33" i="7"/>
  <c r="C33" i="7"/>
  <c r="AZ111" i="9"/>
  <c r="AR121" i="7"/>
  <c r="Q121" i="7"/>
  <c r="AO39" i="9"/>
  <c r="AG49" i="7"/>
  <c r="F49" i="7"/>
  <c r="AN32" i="9"/>
  <c r="AF42" i="7"/>
  <c r="E42" i="7"/>
  <c r="BA61" i="9"/>
  <c r="AS71" i="7"/>
  <c r="R71" i="7"/>
  <c r="AP71" i="9"/>
  <c r="AH81" i="7"/>
  <c r="G81" i="7"/>
  <c r="BE60" i="9"/>
  <c r="AW70" i="7"/>
  <c r="V70" i="7"/>
  <c r="AQ20" i="9"/>
  <c r="H30" i="7"/>
  <c r="AI30" i="7"/>
  <c r="AX102" i="9"/>
  <c r="AP112" i="7"/>
  <c r="O112" i="7"/>
  <c r="AW38" i="9"/>
  <c r="AO48" i="7"/>
  <c r="N48" i="7"/>
  <c r="AO59" i="9"/>
  <c r="AG69" i="7"/>
  <c r="F69" i="7"/>
  <c r="BK68" i="9"/>
  <c r="BC78" i="7"/>
  <c r="AB78" i="7"/>
  <c r="BH120" i="9"/>
  <c r="AZ130" i="7"/>
  <c r="Y130" i="7"/>
  <c r="AZ26" i="9"/>
  <c r="AR36" i="7"/>
  <c r="Q36" i="7"/>
  <c r="BK26" i="9"/>
  <c r="BC36" i="7"/>
  <c r="AB36" i="7"/>
  <c r="BE47" i="9"/>
  <c r="AW57" i="7"/>
  <c r="V57" i="7"/>
  <c r="AW47" i="9"/>
  <c r="AO57" i="7"/>
  <c r="N57" i="7"/>
  <c r="AM33" i="9"/>
  <c r="AE43" i="7"/>
  <c r="D43" i="7"/>
  <c r="AZ33" i="9"/>
  <c r="AR43" i="7"/>
  <c r="Q43" i="7"/>
  <c r="AM70" i="9"/>
  <c r="AE80" i="7"/>
  <c r="D80" i="7"/>
  <c r="BD100" i="9"/>
  <c r="AV110" i="7"/>
  <c r="U110" i="7"/>
  <c r="BI100" i="9"/>
  <c r="BA110" i="7"/>
  <c r="Z110" i="7"/>
  <c r="AW116" i="9"/>
  <c r="AO126" i="7"/>
  <c r="N126" i="7"/>
  <c r="AN35" i="9"/>
  <c r="AF45" i="7"/>
  <c r="E45" i="7"/>
  <c r="AP35" i="9"/>
  <c r="AH45" i="7"/>
  <c r="G45" i="7"/>
  <c r="AY21" i="9"/>
  <c r="AQ31" i="7"/>
  <c r="P31" i="7"/>
  <c r="BD21" i="9"/>
  <c r="AV31" i="7"/>
  <c r="U31" i="7"/>
  <c r="BB95" i="9"/>
  <c r="AT105" i="7"/>
  <c r="S105" i="7"/>
  <c r="AN86" i="9"/>
  <c r="AF96" i="7"/>
  <c r="E96" i="7"/>
  <c r="AQ86" i="9"/>
  <c r="AI96" i="7"/>
  <c r="H96" i="7"/>
  <c r="AZ97" i="9"/>
  <c r="AR107" i="7"/>
  <c r="Q107" i="7"/>
  <c r="BC97" i="9"/>
  <c r="AU107" i="7"/>
  <c r="T107" i="7"/>
  <c r="BC85" i="9"/>
  <c r="AU95" i="7"/>
  <c r="T95" i="7"/>
  <c r="AO89" i="9"/>
  <c r="AG99" i="7"/>
  <c r="F99" i="7"/>
  <c r="AS89" i="9"/>
  <c r="AK99" i="7"/>
  <c r="J99" i="7"/>
  <c r="AZ78" i="9"/>
  <c r="AR88" i="7"/>
  <c r="Q88" i="7"/>
  <c r="AX110" i="9"/>
  <c r="AP120" i="7"/>
  <c r="O120" i="7"/>
  <c r="BI110" i="9"/>
  <c r="BA120" i="7"/>
  <c r="Z120" i="7"/>
  <c r="AR72" i="9"/>
  <c r="AJ82" i="7"/>
  <c r="I82" i="7"/>
  <c r="AV72" i="9"/>
  <c r="AN82" i="7"/>
  <c r="M82" i="7"/>
  <c r="AV23" i="9"/>
  <c r="AN33" i="7"/>
  <c r="M33" i="7"/>
  <c r="AW109" i="9"/>
  <c r="AO119" i="7"/>
  <c r="N119" i="7"/>
  <c r="BC109" i="9"/>
  <c r="AU119" i="7"/>
  <c r="T119" i="7"/>
  <c r="AW42" i="9"/>
  <c r="AO52" i="7"/>
  <c r="N52" i="7"/>
  <c r="AL42" i="9"/>
  <c r="AD52" i="7"/>
  <c r="C52" i="7"/>
  <c r="BA29" i="9"/>
  <c r="AS39" i="7"/>
  <c r="R39" i="7"/>
  <c r="BK63" i="9"/>
  <c r="BC73" i="7"/>
  <c r="AB73" i="7"/>
  <c r="BG63" i="9"/>
  <c r="AY73" i="7"/>
  <c r="X73" i="7"/>
  <c r="BF49" i="9"/>
  <c r="AX59" i="7"/>
  <c r="W59" i="7"/>
  <c r="AM19" i="9"/>
  <c r="AE29" i="7"/>
  <c r="D29" i="7"/>
  <c r="BE19" i="9"/>
  <c r="AW29" i="7"/>
  <c r="V29" i="7"/>
  <c r="AL81" i="9"/>
  <c r="AD91" i="7"/>
  <c r="C91" i="7"/>
  <c r="AY81" i="9"/>
  <c r="AQ91" i="7"/>
  <c r="P91" i="7"/>
  <c r="BC111" i="9"/>
  <c r="AU121" i="7"/>
  <c r="T121" i="7"/>
  <c r="BI113" i="9"/>
  <c r="BA123" i="7"/>
  <c r="Z123" i="7"/>
  <c r="BF113" i="9"/>
  <c r="AX123" i="7"/>
  <c r="W123" i="7"/>
  <c r="AT119" i="9"/>
  <c r="AL129" i="7"/>
  <c r="K129" i="7"/>
  <c r="AW119" i="9"/>
  <c r="AO129" i="7"/>
  <c r="N129" i="7"/>
  <c r="BF117" i="9"/>
  <c r="AX127" i="7"/>
  <c r="W127" i="7"/>
  <c r="AT54" i="9"/>
  <c r="AL64" i="7"/>
  <c r="K64" i="7"/>
  <c r="AY54" i="9"/>
  <c r="AQ64" i="7"/>
  <c r="P64" i="7"/>
  <c r="BE80" i="9"/>
  <c r="AW90" i="7"/>
  <c r="V90" i="7"/>
  <c r="BH76" i="9"/>
  <c r="AZ86" i="7"/>
  <c r="Y86" i="7"/>
  <c r="AO76" i="9"/>
  <c r="AG86" i="7"/>
  <c r="F86" i="7"/>
  <c r="BJ17" i="9"/>
  <c r="BB27" i="7"/>
  <c r="AA27" i="7"/>
  <c r="AR17" i="9"/>
  <c r="AJ27" i="7"/>
  <c r="I27" i="7"/>
  <c r="AQ39" i="9"/>
  <c r="AI49" i="7"/>
  <c r="H49" i="7"/>
  <c r="BA58" i="9"/>
  <c r="AS68" i="7"/>
  <c r="R68" i="7"/>
  <c r="BH58" i="9"/>
  <c r="AZ68" i="7"/>
  <c r="Y68" i="7"/>
  <c r="AM45" i="9"/>
  <c r="AE55" i="7"/>
  <c r="D55" i="7"/>
  <c r="BH79" i="9"/>
  <c r="AZ89" i="7"/>
  <c r="Y89" i="7"/>
  <c r="AZ79" i="9"/>
  <c r="AR89" i="7"/>
  <c r="Q89" i="7"/>
  <c r="AU65" i="9"/>
  <c r="AM75" i="7"/>
  <c r="L75" i="7"/>
  <c r="AZ67" i="9"/>
  <c r="AR77" i="7"/>
  <c r="Q77" i="7"/>
  <c r="AL67" i="9"/>
  <c r="AD77" i="7"/>
  <c r="C77" i="7"/>
  <c r="AV83" i="9"/>
  <c r="AN93" i="7"/>
  <c r="M93" i="7"/>
  <c r="AZ83" i="9"/>
  <c r="AR93" i="7"/>
  <c r="Q93" i="7"/>
  <c r="AU99" i="9"/>
  <c r="AM109" i="7"/>
  <c r="L109" i="7"/>
  <c r="BH46" i="9"/>
  <c r="AZ56" i="7"/>
  <c r="Y56" i="7"/>
  <c r="AT46" i="9"/>
  <c r="AL56" i="7"/>
  <c r="K56" i="7"/>
  <c r="AW32" i="9"/>
  <c r="AO42" i="7"/>
  <c r="N42" i="7"/>
  <c r="AY32" i="9"/>
  <c r="AQ42" i="7"/>
  <c r="P42" i="7"/>
  <c r="AX34" i="9"/>
  <c r="AP44" i="7"/>
  <c r="O44" i="7"/>
  <c r="BA64" i="9"/>
  <c r="AS74" i="7"/>
  <c r="R74" i="7"/>
  <c r="AP64" i="9"/>
  <c r="AH74" i="7"/>
  <c r="G74" i="7"/>
  <c r="AO101" i="9"/>
  <c r="AG111" i="7"/>
  <c r="F111" i="7"/>
  <c r="BD93" i="9"/>
  <c r="AV103" i="7"/>
  <c r="U103" i="7"/>
  <c r="BJ93" i="9"/>
  <c r="BB103" i="7"/>
  <c r="AA103" i="7"/>
  <c r="BC55" i="9"/>
  <c r="AU65" i="7"/>
  <c r="T65" i="7"/>
  <c r="BI55" i="9"/>
  <c r="BA65" i="7"/>
  <c r="Z65" i="7"/>
  <c r="BK25" i="9"/>
  <c r="BC35" i="7"/>
  <c r="AB35" i="7"/>
  <c r="BF74" i="9"/>
  <c r="AX84" i="7"/>
  <c r="W84" i="7"/>
  <c r="AW74" i="9"/>
  <c r="AO84" i="7"/>
  <c r="N84" i="7"/>
  <c r="BD61" i="9"/>
  <c r="AV71" i="7"/>
  <c r="U71" i="7"/>
  <c r="BK61" i="9"/>
  <c r="BC71" i="7"/>
  <c r="AB71" i="7"/>
  <c r="AQ51" i="9"/>
  <c r="AI61" i="7"/>
  <c r="H61" i="7"/>
  <c r="AY69" i="9"/>
  <c r="AQ79" i="7"/>
  <c r="P79" i="7"/>
  <c r="BB69" i="9"/>
  <c r="AT79" i="7"/>
  <c r="S79" i="7"/>
  <c r="BC22" i="9"/>
  <c r="AU32" i="7"/>
  <c r="T32" i="7"/>
  <c r="AS91" i="9"/>
  <c r="AK101" i="7"/>
  <c r="J101" i="7"/>
  <c r="BE91" i="9"/>
  <c r="AW101" i="7"/>
  <c r="V101" i="7"/>
  <c r="AX28" i="9"/>
  <c r="AP38" i="7"/>
  <c r="O38" i="7"/>
  <c r="AS28" i="9"/>
  <c r="AK38" i="7"/>
  <c r="J38" i="7"/>
  <c r="BF96" i="9"/>
  <c r="AX106" i="7"/>
  <c r="W106" i="7"/>
  <c r="BB98" i="9"/>
  <c r="AT108" i="7"/>
  <c r="S108" i="7"/>
  <c r="AT98" i="9"/>
  <c r="AL108" i="7"/>
  <c r="K108" i="7"/>
  <c r="AM71" i="9"/>
  <c r="AE81" i="7"/>
  <c r="D81" i="7"/>
  <c r="AO41" i="9"/>
  <c r="AG51" i="7"/>
  <c r="F51" i="7"/>
  <c r="BA41" i="9"/>
  <c r="AS51" i="7"/>
  <c r="R51" i="7"/>
  <c r="AR90" i="9"/>
  <c r="AJ100" i="7"/>
  <c r="I100" i="7"/>
  <c r="AO77" i="9"/>
  <c r="AG87" i="7"/>
  <c r="F87" i="7"/>
  <c r="AS77" i="9"/>
  <c r="AK87" i="7"/>
  <c r="J87" i="7"/>
  <c r="BD115" i="9"/>
  <c r="AV125" i="7"/>
  <c r="U125" i="7"/>
  <c r="AX115" i="9"/>
  <c r="AP125" i="7"/>
  <c r="O125" i="7"/>
  <c r="AV62" i="9"/>
  <c r="AN72" i="7"/>
  <c r="M72" i="7"/>
  <c r="BB94" i="9"/>
  <c r="AT104" i="7"/>
  <c r="S104" i="7"/>
  <c r="BI94" i="9"/>
  <c r="BA104" i="7"/>
  <c r="Z104" i="7"/>
  <c r="BK60" i="9"/>
  <c r="BC70" i="7"/>
  <c r="AB70" i="7"/>
  <c r="AN60" i="9"/>
  <c r="AF70" i="7"/>
  <c r="E70" i="7"/>
  <c r="AY87" i="9"/>
  <c r="BO87" i="9" s="1"/>
  <c r="AQ97" i="7"/>
  <c r="P97" i="7"/>
  <c r="AR87" i="9"/>
  <c r="AJ97" i="7"/>
  <c r="I97" i="7"/>
  <c r="BE57" i="9"/>
  <c r="AW67" i="7"/>
  <c r="V67" i="7"/>
  <c r="AT106" i="9"/>
  <c r="AL116" i="7"/>
  <c r="K116" i="7"/>
  <c r="AV106" i="9"/>
  <c r="AN116" i="7"/>
  <c r="M116" i="7"/>
  <c r="BD105" i="9"/>
  <c r="AV115" i="7"/>
  <c r="U115" i="7"/>
  <c r="BD50" i="9"/>
  <c r="AV60" i="7"/>
  <c r="U60" i="7"/>
  <c r="BE50" i="9"/>
  <c r="AW60" i="7"/>
  <c r="V60" i="7"/>
  <c r="BI20" i="9"/>
  <c r="BA30" i="7"/>
  <c r="Z30" i="7"/>
  <c r="BK20" i="9"/>
  <c r="BC30" i="7"/>
  <c r="AB30" i="7"/>
  <c r="BI36" i="9"/>
  <c r="BA46" i="7"/>
  <c r="Z46" i="7"/>
  <c r="AM118" i="9"/>
  <c r="AE128" i="7"/>
  <c r="D128" i="7"/>
  <c r="AW118" i="9"/>
  <c r="AO128" i="7"/>
  <c r="N128" i="7"/>
  <c r="BG108" i="9"/>
  <c r="AY118" i="7"/>
  <c r="X118" i="7"/>
  <c r="AT103" i="9"/>
  <c r="AL113" i="7"/>
  <c r="K113" i="7"/>
  <c r="BB103" i="9"/>
  <c r="AT113" i="7"/>
  <c r="S113" i="7"/>
  <c r="AN73" i="9"/>
  <c r="AF83" i="7"/>
  <c r="E83" i="7"/>
  <c r="BK73" i="9"/>
  <c r="BC83" i="7"/>
  <c r="AB83" i="7"/>
  <c r="AX122" i="9"/>
  <c r="AP132" i="7"/>
  <c r="O132" i="7"/>
  <c r="AY30" i="9"/>
  <c r="AQ40" i="7"/>
  <c r="P40" i="7"/>
  <c r="AV30" i="9"/>
  <c r="AN40" i="7"/>
  <c r="M40" i="7"/>
  <c r="AL102" i="9"/>
  <c r="AD112" i="7"/>
  <c r="C112" i="7"/>
  <c r="BA102" i="9"/>
  <c r="AS112" i="7"/>
  <c r="R112" i="7"/>
  <c r="AZ16" i="9"/>
  <c r="AR26" i="7"/>
  <c r="Q26" i="7"/>
  <c r="AT18" i="9"/>
  <c r="AL28" i="7"/>
  <c r="K28" i="7"/>
  <c r="BK18" i="9"/>
  <c r="BC28" i="7"/>
  <c r="AB28" i="7"/>
  <c r="AY48" i="9"/>
  <c r="AQ58" i="7"/>
  <c r="P58" i="7"/>
  <c r="AZ44" i="9"/>
  <c r="AR54" i="7"/>
  <c r="Q54" i="7"/>
  <c r="BJ44" i="9"/>
  <c r="BB54" i="7"/>
  <c r="AA54" i="7"/>
  <c r="BB112" i="9"/>
  <c r="AT122" i="7"/>
  <c r="S122" i="7"/>
  <c r="AW112" i="9"/>
  <c r="N122" i="7"/>
  <c r="AO122" i="7"/>
  <c r="BH104" i="9"/>
  <c r="AZ114" i="7"/>
  <c r="Y114" i="7"/>
  <c r="AN38" i="9"/>
  <c r="AF48" i="7"/>
  <c r="E48" i="7"/>
  <c r="AZ38" i="9"/>
  <c r="AR48" i="7"/>
  <c r="Q48" i="7"/>
  <c r="BK43" i="9"/>
  <c r="BC53" i="7"/>
  <c r="AB53" i="7"/>
  <c r="BJ53" i="9"/>
  <c r="BB63" i="7"/>
  <c r="AA63" i="7"/>
  <c r="AP53" i="9"/>
  <c r="AH63" i="7"/>
  <c r="G63" i="7"/>
  <c r="BG88" i="9"/>
  <c r="AY98" i="7"/>
  <c r="X98" i="7"/>
  <c r="AQ121" i="9"/>
  <c r="AI131" i="7"/>
  <c r="H131" i="7"/>
  <c r="AT121" i="9"/>
  <c r="AL131" i="7"/>
  <c r="K131" i="7"/>
  <c r="AL59" i="9"/>
  <c r="AD69" i="7"/>
  <c r="C69" i="7"/>
  <c r="AN59" i="9"/>
  <c r="AF69" i="7"/>
  <c r="E69" i="7"/>
  <c r="AY107" i="9"/>
  <c r="AQ117" i="7"/>
  <c r="P117" i="7"/>
  <c r="AS107" i="9"/>
  <c r="AK117" i="7"/>
  <c r="J117" i="7"/>
  <c r="AR31" i="9"/>
  <c r="AJ41" i="7"/>
  <c r="I41" i="7"/>
  <c r="AU24" i="9"/>
  <c r="AM34" i="7"/>
  <c r="L34" i="7"/>
  <c r="BF24" i="9"/>
  <c r="AX34" i="7"/>
  <c r="W34" i="7"/>
  <c r="BE27" i="9"/>
  <c r="AW37" i="7"/>
  <c r="V37" i="7"/>
  <c r="AX82" i="9"/>
  <c r="AP92" i="7"/>
  <c r="O92" i="7"/>
  <c r="AM82" i="9"/>
  <c r="AE92" i="7"/>
  <c r="D92" i="7"/>
  <c r="AW92" i="9"/>
  <c r="AO102" i="7"/>
  <c r="N102" i="7"/>
  <c r="AY92" i="9"/>
  <c r="AQ102" i="7"/>
  <c r="P102" i="7"/>
  <c r="AR40" i="9"/>
  <c r="AJ50" i="7"/>
  <c r="I50" i="7"/>
  <c r="AV66" i="9"/>
  <c r="AN76" i="7"/>
  <c r="M76" i="7"/>
  <c r="AQ66" i="9"/>
  <c r="AI76" i="7"/>
  <c r="H76" i="7"/>
  <c r="BJ52" i="9"/>
  <c r="BB62" i="7"/>
  <c r="AA62" i="7"/>
  <c r="BA52" i="9"/>
  <c r="AS62" i="7"/>
  <c r="R62" i="7"/>
  <c r="BF68" i="9"/>
  <c r="AX78" i="7"/>
  <c r="W78" i="7"/>
  <c r="BK37" i="9"/>
  <c r="BC47" i="7"/>
  <c r="AB47" i="7"/>
  <c r="AX37" i="9"/>
  <c r="AP47" i="7"/>
  <c r="O47" i="7"/>
  <c r="BE56" i="9"/>
  <c r="AW66" i="7"/>
  <c r="V66" i="7"/>
  <c r="BE75" i="9"/>
  <c r="AW85" i="7"/>
  <c r="V85" i="7"/>
  <c r="BG75" i="9"/>
  <c r="AY85" i="7"/>
  <c r="X85" i="7"/>
  <c r="AY114" i="9"/>
  <c r="AQ124" i="7"/>
  <c r="P124" i="7"/>
  <c r="AS114" i="9"/>
  <c r="AK124" i="7"/>
  <c r="J124" i="7"/>
  <c r="AZ84" i="9"/>
  <c r="AR94" i="7"/>
  <c r="Q94" i="7"/>
  <c r="AQ116" i="9"/>
  <c r="AI126" i="7"/>
  <c r="H126" i="7"/>
  <c r="BK89" i="9"/>
  <c r="BC99" i="7"/>
  <c r="AB99" i="7"/>
  <c r="BI49" i="9"/>
  <c r="BA59" i="7"/>
  <c r="Z59" i="7"/>
  <c r="AQ17" i="9"/>
  <c r="AI27" i="7"/>
  <c r="H27" i="7"/>
  <c r="BD99" i="9"/>
  <c r="AV109" i="7"/>
  <c r="U109" i="7"/>
  <c r="BD25" i="9"/>
  <c r="AV35" i="7"/>
  <c r="U35" i="7"/>
  <c r="AO96" i="9"/>
  <c r="AG106" i="7"/>
  <c r="F106" i="7"/>
  <c r="AM60" i="9"/>
  <c r="AE70" i="7"/>
  <c r="D70" i="7"/>
  <c r="AL118" i="9"/>
  <c r="AD128" i="7"/>
  <c r="C128" i="7"/>
  <c r="AL18" i="9"/>
  <c r="AD28" i="7"/>
  <c r="C28" i="7"/>
  <c r="AR88" i="9"/>
  <c r="AJ98" i="7"/>
  <c r="I98" i="7"/>
  <c r="BJ56" i="9"/>
  <c r="BB66" i="7"/>
  <c r="AA66" i="7"/>
  <c r="AY120" i="9"/>
  <c r="AQ130" i="7"/>
  <c r="P130" i="7"/>
  <c r="AW120" i="9"/>
  <c r="AO130" i="7"/>
  <c r="N130" i="7"/>
  <c r="AR120" i="9"/>
  <c r="AJ130" i="7"/>
  <c r="I130" i="7"/>
  <c r="AS26" i="9"/>
  <c r="AK36" i="7"/>
  <c r="J36" i="7"/>
  <c r="AO26" i="9"/>
  <c r="AG36" i="7"/>
  <c r="F36" i="7"/>
  <c r="AL47" i="9"/>
  <c r="AD57" i="7"/>
  <c r="C57" i="7"/>
  <c r="AV47" i="9"/>
  <c r="AN57" i="7"/>
  <c r="M57" i="7"/>
  <c r="AT33" i="9"/>
  <c r="AL43" i="7"/>
  <c r="K43" i="7"/>
  <c r="BJ33" i="9"/>
  <c r="BB43" i="7"/>
  <c r="AA43" i="7"/>
  <c r="AS70" i="9"/>
  <c r="AK80" i="7"/>
  <c r="J80" i="7"/>
  <c r="AX100" i="9"/>
  <c r="AP110" i="7"/>
  <c r="O110" i="7"/>
  <c r="BG100" i="9"/>
  <c r="AY110" i="7"/>
  <c r="X110" i="7"/>
  <c r="AM116" i="9"/>
  <c r="AE126" i="7"/>
  <c r="D126" i="7"/>
  <c r="AV35" i="9"/>
  <c r="AN45" i="7"/>
  <c r="M45" i="7"/>
  <c r="BF35" i="9"/>
  <c r="AX45" i="7"/>
  <c r="W45" i="7"/>
  <c r="AQ21" i="9"/>
  <c r="AI31" i="7"/>
  <c r="H31" i="7"/>
  <c r="AL21" i="9"/>
  <c r="AD31" i="7"/>
  <c r="C31" i="7"/>
  <c r="BG95" i="9"/>
  <c r="AY105" i="7"/>
  <c r="X105" i="7"/>
  <c r="BF86" i="9"/>
  <c r="AX96" i="7"/>
  <c r="W96" i="7"/>
  <c r="AX86" i="9"/>
  <c r="AP96" i="7"/>
  <c r="O96" i="7"/>
  <c r="AR97" i="9"/>
  <c r="AJ107" i="7"/>
  <c r="I107" i="7"/>
  <c r="AS97" i="9"/>
  <c r="AK107" i="7"/>
  <c r="J107" i="7"/>
  <c r="AU85" i="9"/>
  <c r="AM95" i="7"/>
  <c r="L95" i="7"/>
  <c r="AM89" i="9"/>
  <c r="AE99" i="7"/>
  <c r="D99" i="7"/>
  <c r="AR89" i="9"/>
  <c r="AJ99" i="7"/>
  <c r="I99" i="7"/>
  <c r="BJ78" i="9"/>
  <c r="BB88" i="7"/>
  <c r="AA88" i="7"/>
  <c r="BH110" i="9"/>
  <c r="AZ120" i="7"/>
  <c r="Y120" i="7"/>
  <c r="AS110" i="9"/>
  <c r="AK120" i="7"/>
  <c r="J120" i="7"/>
  <c r="AP72" i="9"/>
  <c r="AH82" i="7"/>
  <c r="G82" i="7"/>
  <c r="BJ72" i="9"/>
  <c r="BB82" i="7"/>
  <c r="AA82" i="7"/>
  <c r="BE23" i="9"/>
  <c r="AW33" i="7"/>
  <c r="V33" i="7"/>
  <c r="BH109" i="9"/>
  <c r="AZ119" i="7"/>
  <c r="Y119" i="7"/>
  <c r="BA109" i="9"/>
  <c r="AS119" i="7"/>
  <c r="R119" i="7"/>
  <c r="AO42" i="9"/>
  <c r="AG52" i="7"/>
  <c r="F52" i="7"/>
  <c r="AS42" i="9"/>
  <c r="AK52" i="7"/>
  <c r="J52" i="7"/>
  <c r="BI29" i="9"/>
  <c r="BA39" i="7"/>
  <c r="Z39" i="7"/>
  <c r="BH63" i="9"/>
  <c r="AZ73" i="7"/>
  <c r="Y73" i="7"/>
  <c r="BF63" i="9"/>
  <c r="AX73" i="7"/>
  <c r="W73" i="7"/>
  <c r="BA49" i="9"/>
  <c r="AS59" i="7"/>
  <c r="R59" i="7"/>
  <c r="BB19" i="9"/>
  <c r="AT29" i="7"/>
  <c r="S29" i="7"/>
  <c r="AU19" i="9"/>
  <c r="AM29" i="7"/>
  <c r="L29" i="7"/>
  <c r="AR81" i="9"/>
  <c r="AJ91" i="7"/>
  <c r="I91" i="7"/>
  <c r="AN81" i="9"/>
  <c r="AF91" i="7"/>
  <c r="E91" i="7"/>
  <c r="AV111" i="9"/>
  <c r="AN121" i="7"/>
  <c r="M121" i="7"/>
  <c r="AN113" i="9"/>
  <c r="AF123" i="7"/>
  <c r="E123" i="7"/>
  <c r="AP113" i="9"/>
  <c r="AH123" i="7"/>
  <c r="G123" i="7"/>
  <c r="BD119" i="9"/>
  <c r="AV129" i="7"/>
  <c r="U129" i="7"/>
  <c r="BB119" i="9"/>
  <c r="AT129" i="7"/>
  <c r="S129" i="7"/>
  <c r="AY117" i="9"/>
  <c r="AQ127" i="7"/>
  <c r="P127" i="7"/>
  <c r="AL54" i="9"/>
  <c r="AD64" i="7"/>
  <c r="C64" i="7"/>
  <c r="AZ54" i="9"/>
  <c r="AR64" i="7"/>
  <c r="Q64" i="7"/>
  <c r="AO80" i="9"/>
  <c r="AG90" i="7"/>
  <c r="F90" i="7"/>
  <c r="AY76" i="9"/>
  <c r="AQ86" i="7"/>
  <c r="P86" i="7"/>
  <c r="AZ76" i="9"/>
  <c r="AR86" i="7"/>
  <c r="Q86" i="7"/>
  <c r="AZ17" i="9"/>
  <c r="AR27" i="7"/>
  <c r="Q27" i="7"/>
  <c r="AU17" i="9"/>
  <c r="AM27" i="7"/>
  <c r="L27" i="7"/>
  <c r="BJ39" i="9"/>
  <c r="BB49" i="7"/>
  <c r="AA49" i="7"/>
  <c r="BF58" i="9"/>
  <c r="AX68" i="7"/>
  <c r="W68" i="7"/>
  <c r="AL58" i="9"/>
  <c r="AD68" i="7"/>
  <c r="C68" i="7"/>
  <c r="AP45" i="9"/>
  <c r="AH55" i="7"/>
  <c r="G55" i="7"/>
  <c r="BC79" i="9"/>
  <c r="AU89" i="7"/>
  <c r="T89" i="7"/>
  <c r="AP79" i="9"/>
  <c r="AH89" i="7"/>
  <c r="G89" i="7"/>
  <c r="BD65" i="9"/>
  <c r="AV75" i="7"/>
  <c r="U75" i="7"/>
  <c r="BK67" i="9"/>
  <c r="BC77" i="7"/>
  <c r="AB77" i="7"/>
  <c r="BE67" i="9"/>
  <c r="AW77" i="7"/>
  <c r="V77" i="7"/>
  <c r="BI83" i="9"/>
  <c r="BA93" i="7"/>
  <c r="Z93" i="7"/>
  <c r="AX83" i="9"/>
  <c r="AP93" i="7"/>
  <c r="O93" i="7"/>
  <c r="AM99" i="9"/>
  <c r="AE109" i="7"/>
  <c r="D109" i="7"/>
  <c r="AL46" i="9"/>
  <c r="AD56" i="7"/>
  <c r="C56" i="7"/>
  <c r="BC46" i="9"/>
  <c r="AU56" i="7"/>
  <c r="T56" i="7"/>
  <c r="BC32" i="9"/>
  <c r="AU42" i="7"/>
  <c r="T42" i="7"/>
  <c r="AP32" i="9"/>
  <c r="AH42" i="7"/>
  <c r="G42" i="7"/>
  <c r="BG34" i="9"/>
  <c r="AY44" i="7"/>
  <c r="X44" i="7"/>
  <c r="AZ64" i="9"/>
  <c r="AR74" i="7"/>
  <c r="Q74" i="7"/>
  <c r="BB64" i="9"/>
  <c r="AT74" i="7"/>
  <c r="S74" i="7"/>
  <c r="AY101" i="9"/>
  <c r="AQ111" i="7"/>
  <c r="P111" i="7"/>
  <c r="AT93" i="9"/>
  <c r="AL103" i="7"/>
  <c r="K103" i="7"/>
  <c r="AU93" i="9"/>
  <c r="AM103" i="7"/>
  <c r="L103" i="7"/>
  <c r="AP55" i="9"/>
  <c r="AH65" i="7"/>
  <c r="G65" i="7"/>
  <c r="AQ55" i="9"/>
  <c r="AI65" i="7"/>
  <c r="H65" i="7"/>
  <c r="AT25" i="9"/>
  <c r="AL35" i="7"/>
  <c r="K35" i="7"/>
  <c r="AY74" i="9"/>
  <c r="AQ84" i="7"/>
  <c r="P84" i="7"/>
  <c r="BB74" i="9"/>
  <c r="AT84" i="7"/>
  <c r="S84" i="7"/>
  <c r="AN61" i="9"/>
  <c r="AF71" i="7"/>
  <c r="E71" i="7"/>
  <c r="AU61" i="9"/>
  <c r="AM71" i="7"/>
  <c r="L71" i="7"/>
  <c r="BK51" i="9"/>
  <c r="BC61" i="7"/>
  <c r="AB61" i="7"/>
  <c r="AV69" i="9"/>
  <c r="AN79" i="7"/>
  <c r="M79" i="7"/>
  <c r="BI69" i="9"/>
  <c r="BA79" i="7"/>
  <c r="Z79" i="7"/>
  <c r="AV22" i="9"/>
  <c r="AN32" i="7"/>
  <c r="M32" i="7"/>
  <c r="AZ91" i="9"/>
  <c r="AR101" i="7"/>
  <c r="Q101" i="7"/>
  <c r="AN91" i="9"/>
  <c r="AF101" i="7"/>
  <c r="E101" i="7"/>
  <c r="AW28" i="9"/>
  <c r="AO38" i="7"/>
  <c r="N38" i="7"/>
  <c r="BA28" i="9"/>
  <c r="AS38" i="7"/>
  <c r="R38" i="7"/>
  <c r="BE96" i="9"/>
  <c r="AW106" i="7"/>
  <c r="V106" i="7"/>
  <c r="BF98" i="9"/>
  <c r="AX108" i="7"/>
  <c r="W108" i="7"/>
  <c r="BI98" i="9"/>
  <c r="BA108" i="7"/>
  <c r="Z108" i="7"/>
  <c r="AW71" i="9"/>
  <c r="N81" i="7"/>
  <c r="AO81" i="7"/>
  <c r="BB41" i="9"/>
  <c r="AT51" i="7"/>
  <c r="S51" i="7"/>
  <c r="AQ41" i="9"/>
  <c r="AI51" i="7"/>
  <c r="H51" i="7"/>
  <c r="AO90" i="9"/>
  <c r="AG100" i="7"/>
  <c r="F100" i="7"/>
  <c r="BF77" i="9"/>
  <c r="AX87" i="7"/>
  <c r="W87" i="7"/>
  <c r="AQ77" i="9"/>
  <c r="AI87" i="7"/>
  <c r="H87" i="7"/>
  <c r="AN115" i="9"/>
  <c r="AF125" i="7"/>
  <c r="E125" i="7"/>
  <c r="AQ115" i="9"/>
  <c r="AI125" i="7"/>
  <c r="H125" i="7"/>
  <c r="BE62" i="9"/>
  <c r="AW72" i="7"/>
  <c r="V72" i="7"/>
  <c r="AP94" i="9"/>
  <c r="AH104" i="7"/>
  <c r="G104" i="7"/>
  <c r="AL94" i="9"/>
  <c r="AD104" i="7"/>
  <c r="C104" i="7"/>
  <c r="AU60" i="9"/>
  <c r="AM70" i="7"/>
  <c r="L70" i="7"/>
  <c r="AX60" i="9"/>
  <c r="AP70" i="7"/>
  <c r="O70" i="7"/>
  <c r="AZ87" i="9"/>
  <c r="AR97" i="7"/>
  <c r="Q97" i="7"/>
  <c r="BE87" i="9"/>
  <c r="AW97" i="7"/>
  <c r="V97" i="7"/>
  <c r="BK57" i="9"/>
  <c r="BC67" i="7"/>
  <c r="AB67" i="7"/>
  <c r="BH106" i="9"/>
  <c r="AZ116" i="7"/>
  <c r="Y116" i="7"/>
  <c r="BF106" i="9"/>
  <c r="AX116" i="7"/>
  <c r="W116" i="7"/>
  <c r="AX105" i="9"/>
  <c r="AP115" i="7"/>
  <c r="O115" i="7"/>
  <c r="AO50" i="9"/>
  <c r="AG60" i="7"/>
  <c r="F60" i="7"/>
  <c r="BJ50" i="9"/>
  <c r="BB60" i="7"/>
  <c r="AA60" i="7"/>
  <c r="AN20" i="9"/>
  <c r="AF30" i="7"/>
  <c r="E30" i="7"/>
  <c r="AY20" i="9"/>
  <c r="AQ30" i="7"/>
  <c r="P30" i="7"/>
  <c r="AT36" i="9"/>
  <c r="AL46" i="7"/>
  <c r="K46" i="7"/>
  <c r="BC118" i="9"/>
  <c r="AU128" i="7"/>
  <c r="T128" i="7"/>
  <c r="BD118" i="9"/>
  <c r="AV128" i="7"/>
  <c r="U128" i="7"/>
  <c r="BD108" i="9"/>
  <c r="AV118" i="7"/>
  <c r="U118" i="7"/>
  <c r="BJ103" i="9"/>
  <c r="BB113" i="7"/>
  <c r="AA113" i="7"/>
  <c r="AY103" i="9"/>
  <c r="AQ113" i="7"/>
  <c r="P113" i="7"/>
  <c r="AU73" i="9"/>
  <c r="AM83" i="7"/>
  <c r="L83" i="7"/>
  <c r="BE73" i="9"/>
  <c r="AW83" i="7"/>
  <c r="V83" i="7"/>
  <c r="BD122" i="9"/>
  <c r="AV132" i="7"/>
  <c r="U132" i="7"/>
  <c r="AP30" i="9"/>
  <c r="AH40" i="7"/>
  <c r="G40" i="7"/>
  <c r="BB30" i="9"/>
  <c r="AT40" i="7"/>
  <c r="S40" i="7"/>
  <c r="BK102" i="9"/>
  <c r="BC112" i="7"/>
  <c r="AB112" i="7"/>
  <c r="AQ102" i="9"/>
  <c r="AI112" i="7"/>
  <c r="H112" i="7"/>
  <c r="BK16" i="9"/>
  <c r="AB26" i="7"/>
  <c r="BC26" i="7"/>
  <c r="AR18" i="9"/>
  <c r="AJ28" i="7"/>
  <c r="I28" i="7"/>
  <c r="AN18" i="9"/>
  <c r="AF28" i="7"/>
  <c r="E28" i="7"/>
  <c r="BD48" i="9"/>
  <c r="AV58" i="7"/>
  <c r="U58" i="7"/>
  <c r="AY44" i="9"/>
  <c r="AQ54" i="7"/>
  <c r="P54" i="7"/>
  <c r="AT44" i="9"/>
  <c r="AL54" i="7"/>
  <c r="K54" i="7"/>
  <c r="BD112" i="9"/>
  <c r="AV122" i="7"/>
  <c r="U122" i="7"/>
  <c r="BK112" i="9"/>
  <c r="BC122" i="7"/>
  <c r="AB122" i="7"/>
  <c r="AY104" i="9"/>
  <c r="AQ114" i="7"/>
  <c r="P114" i="7"/>
  <c r="BJ38" i="9"/>
  <c r="BB48" i="7"/>
  <c r="AA48" i="7"/>
  <c r="BE38" i="9"/>
  <c r="AW48" i="7"/>
  <c r="V48" i="7"/>
  <c r="AW43" i="9"/>
  <c r="AO53" i="7"/>
  <c r="N53" i="7"/>
  <c r="BK53" i="9"/>
  <c r="BC63" i="7"/>
  <c r="AB63" i="7"/>
  <c r="AY53" i="9"/>
  <c r="AQ63" i="7"/>
  <c r="P63" i="7"/>
  <c r="AV88" i="9"/>
  <c r="AN98" i="7"/>
  <c r="M98" i="7"/>
  <c r="BF121" i="9"/>
  <c r="AX131" i="7"/>
  <c r="W131" i="7"/>
  <c r="BB121" i="9"/>
  <c r="AT131" i="7"/>
  <c r="S131" i="7"/>
  <c r="AQ59" i="9"/>
  <c r="AI69" i="7"/>
  <c r="H69" i="7"/>
  <c r="BH59" i="9"/>
  <c r="AZ69" i="7"/>
  <c r="Y69" i="7"/>
  <c r="BH107" i="9"/>
  <c r="AZ117" i="7"/>
  <c r="Y117" i="7"/>
  <c r="BG107" i="9"/>
  <c r="AY117" i="7"/>
  <c r="X117" i="7"/>
  <c r="AZ31" i="9"/>
  <c r="AR41" i="7"/>
  <c r="Q41" i="7"/>
  <c r="AL24" i="9"/>
  <c r="AD34" i="7"/>
  <c r="C34" i="7"/>
  <c r="AN24" i="9"/>
  <c r="AF34" i="7"/>
  <c r="E34" i="7"/>
  <c r="AX27" i="9"/>
  <c r="AP37" i="7"/>
  <c r="O37" i="7"/>
  <c r="BD82" i="9"/>
  <c r="AV92" i="7"/>
  <c r="U92" i="7"/>
  <c r="BH82" i="9"/>
  <c r="AZ92" i="7"/>
  <c r="Y92" i="7"/>
  <c r="BK92" i="9"/>
  <c r="BC102" i="7"/>
  <c r="AB102" i="7"/>
  <c r="BG92" i="9"/>
  <c r="AY102" i="7"/>
  <c r="X102" i="7"/>
  <c r="AO40" i="9"/>
  <c r="AG50" i="7"/>
  <c r="F50" i="7"/>
  <c r="BK66" i="9"/>
  <c r="BC76" i="7"/>
  <c r="AB76" i="7"/>
  <c r="AZ66" i="9"/>
  <c r="AR76" i="7"/>
  <c r="Q76" i="7"/>
  <c r="BD52" i="9"/>
  <c r="AV62" i="7"/>
  <c r="U62" i="7"/>
  <c r="AO52" i="9"/>
  <c r="AG62" i="7"/>
  <c r="F62" i="7"/>
  <c r="AZ68" i="9"/>
  <c r="AR78" i="7"/>
  <c r="Q78" i="7"/>
  <c r="BE37" i="9"/>
  <c r="AW47" i="7"/>
  <c r="V47" i="7"/>
  <c r="AO37" i="9"/>
  <c r="AG47" i="7"/>
  <c r="F47" i="7"/>
  <c r="BA56" i="9"/>
  <c r="AS66" i="7"/>
  <c r="R66" i="7"/>
  <c r="AR75" i="9"/>
  <c r="AJ85" i="7"/>
  <c r="I85" i="7"/>
  <c r="BC75" i="9"/>
  <c r="AU85" i="7"/>
  <c r="T85" i="7"/>
  <c r="AP114" i="9"/>
  <c r="AH124" i="7"/>
  <c r="G124" i="7"/>
  <c r="BC114" i="9"/>
  <c r="AU124" i="7"/>
  <c r="T124" i="7"/>
  <c r="BG84" i="9"/>
  <c r="AY94" i="7"/>
  <c r="X94" i="7"/>
  <c r="BJ26" i="9"/>
  <c r="BB36" i="7"/>
  <c r="AA36" i="7"/>
  <c r="BA21" i="9"/>
  <c r="AS31" i="7"/>
  <c r="R31" i="7"/>
  <c r="AN78" i="9"/>
  <c r="AF88" i="7"/>
  <c r="E88" i="7"/>
  <c r="BC81" i="9"/>
  <c r="AU91" i="7"/>
  <c r="T91" i="7"/>
  <c r="BE39" i="9"/>
  <c r="AW49" i="7"/>
  <c r="V49" i="7"/>
  <c r="BK46" i="9"/>
  <c r="BC56" i="7"/>
  <c r="AB56" i="7"/>
  <c r="BH74" i="9"/>
  <c r="AZ84" i="7"/>
  <c r="Y84" i="7"/>
  <c r="AP96" i="9"/>
  <c r="AH106" i="7"/>
  <c r="G106" i="7"/>
  <c r="BF62" i="9"/>
  <c r="AX72" i="7"/>
  <c r="W72" i="7"/>
  <c r="AO36" i="9"/>
  <c r="AG46" i="7"/>
  <c r="F46" i="7"/>
  <c r="AY102" i="9"/>
  <c r="AQ112" i="7"/>
  <c r="P112" i="7"/>
  <c r="AL38" i="9"/>
  <c r="AD48" i="7"/>
  <c r="C48" i="7"/>
  <c r="BD121" i="9"/>
  <c r="AV131" i="7"/>
  <c r="U131" i="7"/>
  <c r="AS68" i="9"/>
  <c r="AK78" i="7"/>
  <c r="J78" i="7"/>
  <c r="AS120" i="9"/>
  <c r="AK130" i="7"/>
  <c r="J130" i="7"/>
  <c r="BG120" i="9"/>
  <c r="AY130" i="7"/>
  <c r="X130" i="7"/>
  <c r="BB26" i="9"/>
  <c r="AT36" i="7"/>
  <c r="S36" i="7"/>
  <c r="AU26" i="9"/>
  <c r="AM36" i="7"/>
  <c r="L36" i="7"/>
  <c r="AT47" i="9"/>
  <c r="AL57" i="7"/>
  <c r="K57" i="7"/>
  <c r="BK47" i="9"/>
  <c r="BC57" i="7"/>
  <c r="AB57" i="7"/>
  <c r="AU33" i="9"/>
  <c r="AM43" i="7"/>
  <c r="L43" i="7"/>
  <c r="BC70" i="9"/>
  <c r="AU80" i="7"/>
  <c r="T80" i="7"/>
  <c r="AU70" i="9"/>
  <c r="AM80" i="7"/>
  <c r="L80" i="7"/>
  <c r="AN100" i="9"/>
  <c r="AF110" i="7"/>
  <c r="E110" i="7"/>
  <c r="AZ100" i="9"/>
  <c r="AR110" i="7"/>
  <c r="Q110" i="7"/>
  <c r="BJ116" i="9"/>
  <c r="BB126" i="7"/>
  <c r="AA126" i="7"/>
  <c r="AR35" i="9"/>
  <c r="AJ45" i="7"/>
  <c r="I45" i="7"/>
  <c r="AQ35" i="9"/>
  <c r="AI45" i="7"/>
  <c r="H45" i="7"/>
  <c r="BC21" i="9"/>
  <c r="AU31" i="7"/>
  <c r="T31" i="7"/>
  <c r="BI21" i="9"/>
  <c r="BA31" i="7"/>
  <c r="Z31" i="7"/>
  <c r="BD95" i="9"/>
  <c r="AV105" i="7"/>
  <c r="U105" i="7"/>
  <c r="AZ86" i="9"/>
  <c r="AR96" i="7"/>
  <c r="Q96" i="7"/>
  <c r="BD86" i="9"/>
  <c r="AV96" i="7"/>
  <c r="U96" i="7"/>
  <c r="AN97" i="9"/>
  <c r="AF107" i="7"/>
  <c r="E107" i="7"/>
  <c r="AN85" i="9"/>
  <c r="AF95" i="7"/>
  <c r="E95" i="7"/>
  <c r="BG85" i="9"/>
  <c r="AY95" i="7"/>
  <c r="X95" i="7"/>
  <c r="BA89" i="9"/>
  <c r="AS99" i="7"/>
  <c r="R99" i="7"/>
  <c r="BG89" i="9"/>
  <c r="AY99" i="7"/>
  <c r="X99" i="7"/>
  <c r="AX78" i="9"/>
  <c r="AP88" i="7"/>
  <c r="O88" i="7"/>
  <c r="AP110" i="9"/>
  <c r="AH120" i="7"/>
  <c r="G120" i="7"/>
  <c r="BB110" i="9"/>
  <c r="AT120" i="7"/>
  <c r="S120" i="7"/>
  <c r="AN72" i="9"/>
  <c r="AF82" i="7"/>
  <c r="E82" i="7"/>
  <c r="AT72" i="9"/>
  <c r="AL82" i="7"/>
  <c r="K82" i="7"/>
  <c r="BK23" i="9"/>
  <c r="BC33" i="7"/>
  <c r="AB33" i="7"/>
  <c r="AR109" i="9"/>
  <c r="AJ119" i="7"/>
  <c r="I119" i="7"/>
  <c r="BK109" i="9"/>
  <c r="BC119" i="7"/>
  <c r="AB119" i="7"/>
  <c r="BH42" i="9"/>
  <c r="AZ52" i="7"/>
  <c r="Y52" i="7"/>
  <c r="AO29" i="9"/>
  <c r="AG39" i="7"/>
  <c r="F39" i="7"/>
  <c r="AL29" i="9"/>
  <c r="AD39" i="7"/>
  <c r="C39" i="7"/>
  <c r="AP63" i="9"/>
  <c r="AH73" i="7"/>
  <c r="G73" i="7"/>
  <c r="BB63" i="9"/>
  <c r="AT73" i="7"/>
  <c r="S73" i="7"/>
  <c r="BE49" i="9"/>
  <c r="AW59" i="7"/>
  <c r="V59" i="7"/>
  <c r="AR19" i="9"/>
  <c r="AJ29" i="7"/>
  <c r="I29" i="7"/>
  <c r="AO19" i="9"/>
  <c r="AG29" i="7"/>
  <c r="F29" i="7"/>
  <c r="BB81" i="9"/>
  <c r="AT91" i="7"/>
  <c r="S91" i="7"/>
  <c r="AM81" i="9"/>
  <c r="AE91" i="7"/>
  <c r="D91" i="7"/>
  <c r="BB111" i="9"/>
  <c r="AT121" i="7"/>
  <c r="S121" i="7"/>
  <c r="AL113" i="9"/>
  <c r="AD123" i="7"/>
  <c r="C123" i="7"/>
  <c r="AV113" i="9"/>
  <c r="AN123" i="7"/>
  <c r="M123" i="7"/>
  <c r="BI119" i="9"/>
  <c r="BA129" i="7"/>
  <c r="Z129" i="7"/>
  <c r="BE117" i="9"/>
  <c r="AW127" i="7"/>
  <c r="V127" i="7"/>
  <c r="AP117" i="9"/>
  <c r="AH127" i="7"/>
  <c r="G127" i="7"/>
  <c r="BI54" i="9"/>
  <c r="BA64" i="7"/>
  <c r="Z64" i="7"/>
  <c r="AO54" i="9"/>
  <c r="AG64" i="7"/>
  <c r="F64" i="7"/>
  <c r="BJ80" i="9"/>
  <c r="BB90" i="7"/>
  <c r="AA90" i="7"/>
  <c r="AP76" i="9"/>
  <c r="AH86" i="7"/>
  <c r="G86" i="7"/>
  <c r="BE76" i="9"/>
  <c r="AW86" i="7"/>
  <c r="V86" i="7"/>
  <c r="AP17" i="9"/>
  <c r="AH27" i="7"/>
  <c r="G27" i="7"/>
  <c r="AL17" i="9"/>
  <c r="AD27" i="7"/>
  <c r="C27" i="7"/>
  <c r="BB39" i="9"/>
  <c r="AT49" i="7"/>
  <c r="S49" i="7"/>
  <c r="AZ58" i="9"/>
  <c r="AR68" i="7"/>
  <c r="Q68" i="7"/>
  <c r="BB45" i="9"/>
  <c r="AT55" i="7"/>
  <c r="S55" i="7"/>
  <c r="AY45" i="9"/>
  <c r="AQ55" i="7"/>
  <c r="P55" i="7"/>
  <c r="AV79" i="9"/>
  <c r="AN89" i="7"/>
  <c r="M89" i="7"/>
  <c r="AX79" i="9"/>
  <c r="AP89" i="7"/>
  <c r="O89" i="7"/>
  <c r="BJ65" i="9"/>
  <c r="BB75" i="7"/>
  <c r="AA75" i="7"/>
  <c r="BC67" i="9"/>
  <c r="AU77" i="7"/>
  <c r="T77" i="7"/>
  <c r="AO67" i="9"/>
  <c r="AG77" i="7"/>
  <c r="F77" i="7"/>
  <c r="AT83" i="9"/>
  <c r="AL93" i="7"/>
  <c r="K93" i="7"/>
  <c r="BD83" i="9"/>
  <c r="AV93" i="7"/>
  <c r="U93" i="7"/>
  <c r="BJ99" i="9"/>
  <c r="BB109" i="7"/>
  <c r="AA109" i="7"/>
  <c r="AS46" i="9"/>
  <c r="AK56" i="7"/>
  <c r="J56" i="7"/>
  <c r="BA46" i="9"/>
  <c r="AS56" i="7"/>
  <c r="R56" i="7"/>
  <c r="AZ32" i="9"/>
  <c r="AR42" i="7"/>
  <c r="Q42" i="7"/>
  <c r="BE34" i="9"/>
  <c r="AW44" i="7"/>
  <c r="V44" i="7"/>
  <c r="BA34" i="9"/>
  <c r="AS44" i="7"/>
  <c r="R44" i="7"/>
  <c r="AW64" i="9"/>
  <c r="AO74" i="7"/>
  <c r="N74" i="7"/>
  <c r="AM64" i="9"/>
  <c r="AE74" i="7"/>
  <c r="D74" i="7"/>
  <c r="BK101" i="9"/>
  <c r="BC111" i="7"/>
  <c r="AB111" i="7"/>
  <c r="BI93" i="9"/>
  <c r="BA103" i="7"/>
  <c r="Z103" i="7"/>
  <c r="BA93" i="9"/>
  <c r="AS103" i="7"/>
  <c r="R103" i="7"/>
  <c r="AZ55" i="9"/>
  <c r="AR65" i="7"/>
  <c r="Q65" i="7"/>
  <c r="BD55" i="9"/>
  <c r="AV65" i="7"/>
  <c r="U65" i="7"/>
  <c r="AM25" i="9"/>
  <c r="AE35" i="7"/>
  <c r="D35" i="7"/>
  <c r="BE74" i="9"/>
  <c r="AW84" i="7"/>
  <c r="V84" i="7"/>
  <c r="AS74" i="9"/>
  <c r="AK84" i="7"/>
  <c r="J84" i="7"/>
  <c r="AM61" i="9"/>
  <c r="AE71" i="7"/>
  <c r="D71" i="7"/>
  <c r="AN51" i="9"/>
  <c r="AF61" i="7"/>
  <c r="E61" i="7"/>
  <c r="BG51" i="9"/>
  <c r="AY61" i="7"/>
  <c r="X61" i="7"/>
  <c r="AP69" i="9"/>
  <c r="AH79" i="7"/>
  <c r="G79" i="7"/>
  <c r="AL69" i="9"/>
  <c r="AD79" i="7"/>
  <c r="C79" i="7"/>
  <c r="AM22" i="9"/>
  <c r="AE32" i="7"/>
  <c r="D32" i="7"/>
  <c r="AQ91" i="9"/>
  <c r="AI101" i="7"/>
  <c r="H101" i="7"/>
  <c r="BI91" i="9"/>
  <c r="BA101" i="7"/>
  <c r="Z101" i="7"/>
  <c r="AP28" i="9"/>
  <c r="AH38" i="7"/>
  <c r="G38" i="7"/>
  <c r="BH28" i="9"/>
  <c r="AZ38" i="7"/>
  <c r="Y38" i="7"/>
  <c r="AX96" i="9"/>
  <c r="AP106" i="7"/>
  <c r="O106" i="7"/>
  <c r="AU98" i="9"/>
  <c r="AM108" i="7"/>
  <c r="L108" i="7"/>
  <c r="AS98" i="9"/>
  <c r="AK108" i="7"/>
  <c r="J108" i="7"/>
  <c r="BA71" i="9"/>
  <c r="AS81" i="7"/>
  <c r="R81" i="7"/>
  <c r="AL71" i="9"/>
  <c r="AD81" i="7"/>
  <c r="C81" i="7"/>
  <c r="AZ41" i="9"/>
  <c r="AR51" i="7"/>
  <c r="Q51" i="7"/>
  <c r="AW41" i="9"/>
  <c r="AO51" i="7"/>
  <c r="N51" i="7"/>
  <c r="AV90" i="9"/>
  <c r="AN100" i="7"/>
  <c r="M100" i="7"/>
  <c r="AX77" i="9"/>
  <c r="AP87" i="7"/>
  <c r="O87" i="7"/>
  <c r="BB77" i="9"/>
  <c r="AT87" i="7"/>
  <c r="S87" i="7"/>
  <c r="AV115" i="9"/>
  <c r="AN125" i="7"/>
  <c r="M125" i="7"/>
  <c r="AU115" i="9"/>
  <c r="AM125" i="7"/>
  <c r="L125" i="7"/>
  <c r="AO62" i="9"/>
  <c r="AG72" i="7"/>
  <c r="F72" i="7"/>
  <c r="BK94" i="9"/>
  <c r="BC104" i="7"/>
  <c r="AB104" i="7"/>
  <c r="AQ94" i="9"/>
  <c r="AI104" i="7"/>
  <c r="H104" i="7"/>
  <c r="AT60" i="9"/>
  <c r="AL70" i="7"/>
  <c r="K70" i="7"/>
  <c r="BA87" i="9"/>
  <c r="AS97" i="7"/>
  <c r="R97" i="7"/>
  <c r="AS87" i="9"/>
  <c r="AK97" i="7"/>
  <c r="J97" i="7"/>
  <c r="AQ57" i="9"/>
  <c r="AI67" i="7"/>
  <c r="H67" i="7"/>
  <c r="AM106" i="9"/>
  <c r="AE116" i="7"/>
  <c r="D116" i="7"/>
  <c r="AW106" i="9"/>
  <c r="AO116" i="7"/>
  <c r="N116" i="7"/>
  <c r="BK105" i="9"/>
  <c r="BC115" i="7"/>
  <c r="AB115" i="7"/>
  <c r="AN50" i="9"/>
  <c r="AF60" i="7"/>
  <c r="E60" i="7"/>
  <c r="BA50" i="9"/>
  <c r="AS60" i="7"/>
  <c r="R60" i="7"/>
  <c r="AS20" i="9"/>
  <c r="AK30" i="7"/>
  <c r="J30" i="7"/>
  <c r="AN36" i="9"/>
  <c r="AF46" i="7"/>
  <c r="E46" i="7"/>
  <c r="AZ36" i="9"/>
  <c r="AR46" i="7"/>
  <c r="Q46" i="7"/>
  <c r="BJ118" i="9"/>
  <c r="BB128" i="7"/>
  <c r="AA128" i="7"/>
  <c r="AV118" i="9"/>
  <c r="AN128" i="7"/>
  <c r="M128" i="7"/>
  <c r="AX108" i="9"/>
  <c r="AP118" i="7"/>
  <c r="O118" i="7"/>
  <c r="BC103" i="9"/>
  <c r="AU113" i="7"/>
  <c r="T113" i="7"/>
  <c r="AO103" i="9"/>
  <c r="AG113" i="7"/>
  <c r="F113" i="7"/>
  <c r="AZ73" i="9"/>
  <c r="AR83" i="7"/>
  <c r="Q83" i="7"/>
  <c r="AY73" i="9"/>
  <c r="AQ83" i="7"/>
  <c r="P83" i="7"/>
  <c r="AW122" i="9"/>
  <c r="AO132" i="7"/>
  <c r="N132" i="7"/>
  <c r="AT30" i="9"/>
  <c r="AL40" i="7"/>
  <c r="K40" i="7"/>
  <c r="BH30" i="9"/>
  <c r="AZ40" i="7"/>
  <c r="Y40" i="7"/>
  <c r="BH102" i="9"/>
  <c r="AZ112" i="7"/>
  <c r="Y112" i="7"/>
  <c r="AN16" i="9"/>
  <c r="AF26" i="7"/>
  <c r="E26" i="7"/>
  <c r="BF16" i="9"/>
  <c r="AX26" i="7"/>
  <c r="W26" i="7"/>
  <c r="BA18" i="9"/>
  <c r="AS28" i="7"/>
  <c r="R28" i="7"/>
  <c r="AV18" i="9"/>
  <c r="AN28" i="7"/>
  <c r="M28" i="7"/>
  <c r="BK48" i="9"/>
  <c r="BC58" i="7"/>
  <c r="AB58" i="7"/>
  <c r="AQ44" i="9"/>
  <c r="AI54" i="7"/>
  <c r="H54" i="7"/>
  <c r="BD44" i="9"/>
  <c r="AV54" i="7"/>
  <c r="U54" i="7"/>
  <c r="AL112" i="9"/>
  <c r="AD122" i="7"/>
  <c r="C122" i="7"/>
  <c r="BC112" i="9"/>
  <c r="AU122" i="7"/>
  <c r="T122" i="7"/>
  <c r="AR104" i="9"/>
  <c r="AJ114" i="7"/>
  <c r="I114" i="7"/>
  <c r="BC38" i="9"/>
  <c r="AU48" i="7"/>
  <c r="T48" i="7"/>
  <c r="BJ43" i="9"/>
  <c r="BB53" i="7"/>
  <c r="AA53" i="7"/>
  <c r="AU43" i="9"/>
  <c r="AM53" i="7"/>
  <c r="L53" i="7"/>
  <c r="BH53" i="9"/>
  <c r="AZ63" i="7"/>
  <c r="Y63" i="7"/>
  <c r="AO53" i="9"/>
  <c r="AG63" i="7"/>
  <c r="F63" i="7"/>
  <c r="AQ88" i="9"/>
  <c r="AI98" i="7"/>
  <c r="H98" i="7"/>
  <c r="AY121" i="9"/>
  <c r="AQ131" i="7"/>
  <c r="P131" i="7"/>
  <c r="BH121" i="9"/>
  <c r="AZ131" i="7"/>
  <c r="Y131" i="7"/>
  <c r="BF59" i="9"/>
  <c r="AX69" i="7"/>
  <c r="W69" i="7"/>
  <c r="BC59" i="9"/>
  <c r="AU69" i="7"/>
  <c r="T69" i="7"/>
  <c r="AR107" i="9"/>
  <c r="AJ117" i="7"/>
  <c r="I117" i="7"/>
  <c r="AW31" i="9"/>
  <c r="AO41" i="7"/>
  <c r="N41" i="7"/>
  <c r="BH31" i="9"/>
  <c r="AZ41" i="7"/>
  <c r="Y41" i="7"/>
  <c r="BJ24" i="9"/>
  <c r="BB34" i="7"/>
  <c r="AA34" i="7"/>
  <c r="AW24" i="9"/>
  <c r="AO34" i="7"/>
  <c r="N34" i="7"/>
  <c r="AR27" i="9"/>
  <c r="I37" i="7"/>
  <c r="AJ37" i="7"/>
  <c r="BE82" i="9"/>
  <c r="AW92" i="7"/>
  <c r="V92" i="7"/>
  <c r="AR82" i="9"/>
  <c r="AJ92" i="7"/>
  <c r="I92" i="7"/>
  <c r="AQ92" i="9"/>
  <c r="AI102" i="7"/>
  <c r="H102" i="7"/>
  <c r="BC92" i="9"/>
  <c r="AU102" i="7"/>
  <c r="T102" i="7"/>
  <c r="BG40" i="9"/>
  <c r="AY50" i="7"/>
  <c r="X50" i="7"/>
  <c r="AM66" i="9"/>
  <c r="AE76" i="7"/>
  <c r="D76" i="7"/>
  <c r="BB66" i="9"/>
  <c r="AT76" i="7"/>
  <c r="S76" i="7"/>
  <c r="BI52" i="9"/>
  <c r="BA62" i="7"/>
  <c r="Z62" i="7"/>
  <c r="BJ68" i="9"/>
  <c r="BB78" i="7"/>
  <c r="AA78" i="7"/>
  <c r="AU68" i="9"/>
  <c r="AM78" i="7"/>
  <c r="L78" i="7"/>
  <c r="AS37" i="9"/>
  <c r="AK47" i="7"/>
  <c r="J47" i="7"/>
  <c r="AW37" i="9"/>
  <c r="AO47" i="7"/>
  <c r="N47" i="7"/>
  <c r="AO56" i="9"/>
  <c r="AG66" i="7"/>
  <c r="F66" i="7"/>
  <c r="AY75" i="9"/>
  <c r="AQ85" i="7"/>
  <c r="P85" i="7"/>
  <c r="BF75" i="9"/>
  <c r="AX85" i="7"/>
  <c r="W85" i="7"/>
  <c r="BA114" i="9"/>
  <c r="AS124" i="7"/>
  <c r="R124" i="7"/>
  <c r="BH114" i="9"/>
  <c r="AZ124" i="7"/>
  <c r="Y124" i="7"/>
  <c r="AP84" i="9"/>
  <c r="AH94" i="7"/>
  <c r="G94" i="7"/>
  <c r="BJ47" i="9"/>
  <c r="BB57" i="7"/>
  <c r="AA57" i="7"/>
  <c r="BG97" i="9"/>
  <c r="AY107" i="7"/>
  <c r="X107" i="7"/>
  <c r="BJ42" i="9"/>
  <c r="BB52" i="7"/>
  <c r="AA52" i="7"/>
  <c r="AQ119" i="9"/>
  <c r="AI129" i="7"/>
  <c r="H129" i="7"/>
  <c r="AZ45" i="9"/>
  <c r="AR55" i="7"/>
  <c r="Q55" i="7"/>
  <c r="AT64" i="9"/>
  <c r="AL74" i="7"/>
  <c r="K74" i="7"/>
  <c r="AR69" i="9"/>
  <c r="AJ79" i="7"/>
  <c r="I79" i="7"/>
  <c r="AV77" i="9"/>
  <c r="AN87" i="7"/>
  <c r="M87" i="7"/>
  <c r="BB50" i="9"/>
  <c r="AT60" i="7"/>
  <c r="S60" i="7"/>
  <c r="AM122" i="9"/>
  <c r="AE132" i="7"/>
  <c r="D132" i="7"/>
  <c r="BG43" i="9"/>
  <c r="AY53" i="7"/>
  <c r="X53" i="7"/>
  <c r="AQ37" i="9"/>
  <c r="AI47" i="7"/>
  <c r="H47" i="7"/>
  <c r="BF120" i="9"/>
  <c r="AX130" i="7"/>
  <c r="W130" i="7"/>
  <c r="BC120" i="9"/>
  <c r="AU130" i="7"/>
  <c r="T130" i="7"/>
  <c r="BH26" i="9"/>
  <c r="AZ36" i="7"/>
  <c r="Y36" i="7"/>
  <c r="BD26" i="9"/>
  <c r="AV36" i="7"/>
  <c r="U36" i="7"/>
  <c r="AP47" i="9"/>
  <c r="AH57" i="7"/>
  <c r="G57" i="7"/>
  <c r="AU47" i="9"/>
  <c r="AM57" i="7"/>
  <c r="L57" i="7"/>
  <c r="AS33" i="9"/>
  <c r="AK43" i="7"/>
  <c r="J43" i="7"/>
  <c r="BB70" i="9"/>
  <c r="AT80" i="7"/>
  <c r="S80" i="7"/>
  <c r="AR70" i="9"/>
  <c r="AJ80" i="7"/>
  <c r="I80" i="7"/>
  <c r="AW100" i="9"/>
  <c r="AO110" i="7"/>
  <c r="N110" i="7"/>
  <c r="BE100" i="9"/>
  <c r="AW110" i="7"/>
  <c r="V110" i="7"/>
  <c r="AT116" i="9"/>
  <c r="AL126" i="7"/>
  <c r="K126" i="7"/>
  <c r="AT35" i="9"/>
  <c r="AL45" i="7"/>
  <c r="K45" i="7"/>
  <c r="BC35" i="9"/>
  <c r="AU45" i="7"/>
  <c r="T45" i="7"/>
  <c r="AX21" i="9"/>
  <c r="AP31" i="7"/>
  <c r="O31" i="7"/>
  <c r="AN21" i="9"/>
  <c r="AF31" i="7"/>
  <c r="E31" i="7"/>
  <c r="BA95" i="9"/>
  <c r="AS105" i="7"/>
  <c r="R105" i="7"/>
  <c r="AV86" i="9"/>
  <c r="AN96" i="7"/>
  <c r="M96" i="7"/>
  <c r="AO86" i="9"/>
  <c r="AG96" i="7"/>
  <c r="F96" i="7"/>
  <c r="AY97" i="9"/>
  <c r="AQ107" i="7"/>
  <c r="P107" i="7"/>
  <c r="AV85" i="9"/>
  <c r="AN95" i="7"/>
  <c r="M95" i="7"/>
  <c r="AM85" i="9"/>
  <c r="AE95" i="7"/>
  <c r="D95" i="7"/>
  <c r="BF89" i="9"/>
  <c r="AX99" i="7"/>
  <c r="W99" i="7"/>
  <c r="AY89" i="9"/>
  <c r="AQ99" i="7"/>
  <c r="P99" i="7"/>
  <c r="AT78" i="9"/>
  <c r="AL88" i="7"/>
  <c r="K88" i="7"/>
  <c r="AL110" i="9"/>
  <c r="AD120" i="7"/>
  <c r="C120" i="7"/>
  <c r="AR110" i="9"/>
  <c r="AJ120" i="7"/>
  <c r="I120" i="7"/>
  <c r="BC72" i="9"/>
  <c r="AU82" i="7"/>
  <c r="T82" i="7"/>
  <c r="BI72" i="9"/>
  <c r="BA82" i="7"/>
  <c r="Z82" i="7"/>
  <c r="AO23" i="9"/>
  <c r="AG33" i="7"/>
  <c r="F33" i="7"/>
  <c r="BB109" i="9"/>
  <c r="AT119" i="7"/>
  <c r="S119" i="7"/>
  <c r="AM109" i="9"/>
  <c r="AE119" i="7"/>
  <c r="D119" i="7"/>
  <c r="AQ42" i="9"/>
  <c r="AI52" i="7"/>
  <c r="H52" i="7"/>
  <c r="BE29" i="9"/>
  <c r="AW39" i="7"/>
  <c r="V39" i="7"/>
  <c r="AT29" i="9"/>
  <c r="AL39" i="7"/>
  <c r="K39" i="7"/>
  <c r="AQ63" i="9"/>
  <c r="AI73" i="7"/>
  <c r="H73" i="7"/>
  <c r="BC63" i="9"/>
  <c r="AU73" i="7"/>
  <c r="T73" i="7"/>
  <c r="AV49" i="9"/>
  <c r="AN59" i="7"/>
  <c r="M59" i="7"/>
  <c r="BC19" i="9"/>
  <c r="AU29" i="7"/>
  <c r="T29" i="7"/>
  <c r="BJ19" i="9"/>
  <c r="BB29" i="7"/>
  <c r="AA29" i="7"/>
  <c r="AV81" i="9"/>
  <c r="AN91" i="7"/>
  <c r="M91" i="7"/>
  <c r="BF81" i="9"/>
  <c r="AX91" i="7"/>
  <c r="W91" i="7"/>
  <c r="BI111" i="9"/>
  <c r="BA121" i="7"/>
  <c r="Z121" i="7"/>
  <c r="AS113" i="9"/>
  <c r="AK123" i="7"/>
  <c r="J123" i="7"/>
  <c r="BK113" i="9"/>
  <c r="BC123" i="7"/>
  <c r="AB123" i="7"/>
  <c r="AN119" i="9"/>
  <c r="AF129" i="7"/>
  <c r="E129" i="7"/>
  <c r="AM117" i="9"/>
  <c r="AE127" i="7"/>
  <c r="D127" i="7"/>
  <c r="AX117" i="9"/>
  <c r="AP127" i="7"/>
  <c r="O127" i="7"/>
  <c r="AQ54" i="9"/>
  <c r="AI64" i="7"/>
  <c r="H64" i="7"/>
  <c r="AX54" i="9"/>
  <c r="AP64" i="7"/>
  <c r="O64" i="7"/>
  <c r="BD80" i="9"/>
  <c r="AV90" i="7"/>
  <c r="U90" i="7"/>
  <c r="BA76" i="9"/>
  <c r="AS86" i="7"/>
  <c r="R86" i="7"/>
  <c r="BJ76" i="9"/>
  <c r="BB86" i="7"/>
  <c r="AA86" i="7"/>
  <c r="AY17" i="9"/>
  <c r="AQ27" i="7"/>
  <c r="P27" i="7"/>
  <c r="BG17" i="9"/>
  <c r="AY27" i="7"/>
  <c r="X27" i="7"/>
  <c r="AT39" i="9"/>
  <c r="AL49" i="7"/>
  <c r="K49" i="7"/>
  <c r="AP58" i="9"/>
  <c r="AH68" i="7"/>
  <c r="G68" i="7"/>
  <c r="AW45" i="9"/>
  <c r="AO55" i="7"/>
  <c r="N55" i="7"/>
  <c r="BE45" i="9"/>
  <c r="AW55" i="7"/>
  <c r="V55" i="7"/>
  <c r="AW79" i="9"/>
  <c r="AO89" i="7"/>
  <c r="N89" i="7"/>
  <c r="AL79" i="9"/>
  <c r="AD89" i="7"/>
  <c r="C89" i="7"/>
  <c r="BC65" i="9"/>
  <c r="AU75" i="7"/>
  <c r="T75" i="7"/>
  <c r="AX67" i="9"/>
  <c r="AP77" i="7"/>
  <c r="O77" i="7"/>
  <c r="BJ67" i="9"/>
  <c r="BB77" i="7"/>
  <c r="AA77" i="7"/>
  <c r="AS83" i="9"/>
  <c r="AK93" i="7"/>
  <c r="J93" i="7"/>
  <c r="AN83" i="9"/>
  <c r="AF93" i="7"/>
  <c r="E93" i="7"/>
  <c r="AL99" i="9"/>
  <c r="AD109" i="7"/>
  <c r="C109" i="7"/>
  <c r="BG46" i="9"/>
  <c r="AY56" i="7"/>
  <c r="X56" i="7"/>
  <c r="AM46" i="9"/>
  <c r="AE56" i="7"/>
  <c r="D56" i="7"/>
  <c r="BB32" i="9"/>
  <c r="AT42" i="7"/>
  <c r="S42" i="7"/>
  <c r="AT34" i="9"/>
  <c r="AL44" i="7"/>
  <c r="K44" i="7"/>
  <c r="BF34" i="9"/>
  <c r="AX44" i="7"/>
  <c r="W44" i="7"/>
  <c r="BF64" i="9"/>
  <c r="AX74" i="7"/>
  <c r="W74" i="7"/>
  <c r="AL64" i="9"/>
  <c r="AD74" i="7"/>
  <c r="C74" i="7"/>
  <c r="BH101" i="9"/>
  <c r="AZ111" i="7"/>
  <c r="Y111" i="7"/>
  <c r="AQ93" i="9"/>
  <c r="AI103" i="7"/>
  <c r="H103" i="7"/>
  <c r="AS93" i="9"/>
  <c r="AK103" i="7"/>
  <c r="J103" i="7"/>
  <c r="AX55" i="9"/>
  <c r="AP65" i="7"/>
  <c r="O65" i="7"/>
  <c r="BF55" i="9"/>
  <c r="AX65" i="7"/>
  <c r="W65" i="7"/>
  <c r="AV25" i="9"/>
  <c r="AN35" i="7"/>
  <c r="M35" i="7"/>
  <c r="AP74" i="9"/>
  <c r="AH84" i="7"/>
  <c r="G84" i="7"/>
  <c r="AL74" i="9"/>
  <c r="AD84" i="7"/>
  <c r="C84" i="7"/>
  <c r="AY61" i="9"/>
  <c r="AQ71" i="7"/>
  <c r="P71" i="7"/>
  <c r="BD51" i="9"/>
  <c r="AV61" i="7"/>
  <c r="U61" i="7"/>
  <c r="AW51" i="9"/>
  <c r="AO61" i="7"/>
  <c r="N61" i="7"/>
  <c r="AU69" i="9"/>
  <c r="AM79" i="7"/>
  <c r="L79" i="7"/>
  <c r="BH69" i="9"/>
  <c r="AZ79" i="7"/>
  <c r="Y79" i="7"/>
  <c r="BK22" i="9"/>
  <c r="BC32" i="7"/>
  <c r="AB32" i="7"/>
  <c r="AP91" i="9"/>
  <c r="AH101" i="7"/>
  <c r="G101" i="7"/>
  <c r="BJ91" i="9"/>
  <c r="BB101" i="7"/>
  <c r="AA101" i="7"/>
  <c r="BE28" i="9"/>
  <c r="AW38" i="7"/>
  <c r="V38" i="7"/>
  <c r="AZ28" i="9"/>
  <c r="AR38" i="7"/>
  <c r="Q38" i="7"/>
  <c r="BD96" i="9"/>
  <c r="AV106" i="7"/>
  <c r="U106" i="7"/>
  <c r="BA98" i="9"/>
  <c r="AS108" i="7"/>
  <c r="R108" i="7"/>
  <c r="BH98" i="9"/>
  <c r="AZ108" i="7"/>
  <c r="Y108" i="7"/>
  <c r="AZ71" i="9"/>
  <c r="AR81" i="7"/>
  <c r="Q81" i="7"/>
  <c r="AV71" i="9"/>
  <c r="AN81" i="7"/>
  <c r="M81" i="7"/>
  <c r="AU41" i="9"/>
  <c r="AM51" i="7"/>
  <c r="L51" i="7"/>
  <c r="BF41" i="9"/>
  <c r="AX51" i="7"/>
  <c r="W51" i="7"/>
  <c r="BF90" i="9"/>
  <c r="AX100" i="7"/>
  <c r="W100" i="7"/>
  <c r="BE77" i="9"/>
  <c r="AW87" i="7"/>
  <c r="V87" i="7"/>
  <c r="AL77" i="9"/>
  <c r="AD87" i="7"/>
  <c r="C87" i="7"/>
  <c r="BJ115" i="9"/>
  <c r="BB125" i="7"/>
  <c r="AA125" i="7"/>
  <c r="BF115" i="9"/>
  <c r="AX125" i="7"/>
  <c r="W125" i="7"/>
  <c r="BK62" i="9"/>
  <c r="BC72" i="7"/>
  <c r="AB72" i="7"/>
  <c r="BE94" i="9"/>
  <c r="AW104" i="7"/>
  <c r="V104" i="7"/>
  <c r="AS94" i="9"/>
  <c r="AK104" i="7"/>
  <c r="J104" i="7"/>
  <c r="BA60" i="9"/>
  <c r="AS70" i="7"/>
  <c r="R70" i="7"/>
  <c r="AL87" i="9"/>
  <c r="AD97" i="7"/>
  <c r="C97" i="7"/>
  <c r="AP87" i="9"/>
  <c r="AH97" i="7"/>
  <c r="G97" i="7"/>
  <c r="AU57" i="9"/>
  <c r="AM67" i="7"/>
  <c r="L67" i="7"/>
  <c r="BA106" i="9"/>
  <c r="AS116" i="7"/>
  <c r="R116" i="7"/>
  <c r="BC106" i="9"/>
  <c r="AU116" i="7"/>
  <c r="T116" i="7"/>
  <c r="BC105" i="9"/>
  <c r="AU115" i="7"/>
  <c r="T115" i="7"/>
  <c r="AW50" i="9"/>
  <c r="AO60" i="7"/>
  <c r="N60" i="7"/>
  <c r="AT50" i="9"/>
  <c r="AL60" i="7"/>
  <c r="K60" i="7"/>
  <c r="BC20" i="9"/>
  <c r="AU30" i="7"/>
  <c r="T30" i="7"/>
  <c r="AL36" i="9"/>
  <c r="AD46" i="7"/>
  <c r="C46" i="7"/>
  <c r="BJ36" i="9"/>
  <c r="BB46" i="7"/>
  <c r="AA46" i="7"/>
  <c r="AO118" i="9"/>
  <c r="AG128" i="7"/>
  <c r="F128" i="7"/>
  <c r="AN118" i="9"/>
  <c r="AF128" i="7"/>
  <c r="E128" i="7"/>
  <c r="BC108" i="9"/>
  <c r="AU118" i="7"/>
  <c r="T118" i="7"/>
  <c r="BG103" i="9"/>
  <c r="AY113" i="7"/>
  <c r="X113" i="7"/>
  <c r="BA103" i="9"/>
  <c r="AS113" i="7"/>
  <c r="R113" i="7"/>
  <c r="BC73" i="9"/>
  <c r="AU83" i="7"/>
  <c r="T83" i="7"/>
  <c r="AO73" i="9"/>
  <c r="AG83" i="7"/>
  <c r="F83" i="7"/>
  <c r="BK122" i="9"/>
  <c r="BC132" i="7"/>
  <c r="AB132" i="7"/>
  <c r="BG30" i="9"/>
  <c r="AY40" i="7"/>
  <c r="X40" i="7"/>
  <c r="AL30" i="9"/>
  <c r="AD40" i="7"/>
  <c r="C40" i="7"/>
  <c r="AU102" i="9"/>
  <c r="AM112" i="7"/>
  <c r="L112" i="7"/>
  <c r="AS16" i="9"/>
  <c r="AK26" i="7"/>
  <c r="J26" i="7"/>
  <c r="AY16" i="9"/>
  <c r="AQ26" i="7"/>
  <c r="P26" i="7"/>
  <c r="BH18" i="9"/>
  <c r="AZ28" i="7"/>
  <c r="Y28" i="7"/>
  <c r="BF18" i="9"/>
  <c r="AX28" i="7"/>
  <c r="W28" i="7"/>
  <c r="AN48" i="9"/>
  <c r="AF58" i="7"/>
  <c r="E58" i="7"/>
  <c r="BE44" i="9"/>
  <c r="AW54" i="7"/>
  <c r="V54" i="7"/>
  <c r="BI44" i="9"/>
  <c r="BA54" i="7"/>
  <c r="Z54" i="7"/>
  <c r="AU112" i="9"/>
  <c r="AM122" i="7"/>
  <c r="L122" i="7"/>
  <c r="AV112" i="9"/>
  <c r="M122" i="7"/>
  <c r="AN122" i="7"/>
  <c r="AM104" i="9"/>
  <c r="AE114" i="7"/>
  <c r="D114" i="7"/>
  <c r="AT38" i="9"/>
  <c r="AL48" i="7"/>
  <c r="K48" i="7"/>
  <c r="AX43" i="9"/>
  <c r="AP53" i="7"/>
  <c r="O53" i="7"/>
  <c r="BD43" i="9"/>
  <c r="AV53" i="7"/>
  <c r="U53" i="7"/>
  <c r="BI53" i="9"/>
  <c r="BA63" i="7"/>
  <c r="Z63" i="7"/>
  <c r="AX53" i="9"/>
  <c r="AP63" i="7"/>
  <c r="O63" i="7"/>
  <c r="AM88" i="9"/>
  <c r="AE98" i="7"/>
  <c r="D98" i="7"/>
  <c r="BI121" i="9"/>
  <c r="BA131" i="7"/>
  <c r="Z131" i="7"/>
  <c r="AL121" i="9"/>
  <c r="AD131" i="7"/>
  <c r="C131" i="7"/>
  <c r="BA59" i="9"/>
  <c r="AS69" i="7"/>
  <c r="R69" i="7"/>
  <c r="AV59" i="9"/>
  <c r="AN69" i="7"/>
  <c r="M69" i="7"/>
  <c r="AX107" i="9"/>
  <c r="AP117" i="7"/>
  <c r="O117" i="7"/>
  <c r="BK31" i="9"/>
  <c r="BC41" i="7"/>
  <c r="AB41" i="7"/>
  <c r="AY31" i="9"/>
  <c r="AQ41" i="7"/>
  <c r="P41" i="7"/>
  <c r="AT24" i="9"/>
  <c r="AL34" i="7"/>
  <c r="K34" i="7"/>
  <c r="AP24" i="9"/>
  <c r="AH34" i="7"/>
  <c r="G34" i="7"/>
  <c r="AO27" i="9"/>
  <c r="AG37" i="7"/>
  <c r="F37" i="7"/>
  <c r="AN82" i="9"/>
  <c r="AF92" i="7"/>
  <c r="E92" i="7"/>
  <c r="BB82" i="9"/>
  <c r="BP82" i="9" s="1"/>
  <c r="AT92" i="7"/>
  <c r="S92" i="7"/>
  <c r="AU92" i="9"/>
  <c r="AM102" i="7"/>
  <c r="L102" i="7"/>
  <c r="AX92" i="9"/>
  <c r="AP102" i="7"/>
  <c r="O102" i="7"/>
  <c r="BA40" i="9"/>
  <c r="AS50" i="7"/>
  <c r="R50" i="7"/>
  <c r="AU66" i="9"/>
  <c r="AM76" i="7"/>
  <c r="L76" i="7"/>
  <c r="BF66" i="9"/>
  <c r="AX76" i="7"/>
  <c r="W76" i="7"/>
  <c r="AN52" i="9"/>
  <c r="AF62" i="7"/>
  <c r="E62" i="7"/>
  <c r="AM68" i="9"/>
  <c r="AE78" i="7"/>
  <c r="D78" i="7"/>
  <c r="AP68" i="9"/>
  <c r="AH78" i="7"/>
  <c r="G78" i="7"/>
  <c r="BA37" i="9"/>
  <c r="AS47" i="7"/>
  <c r="R47" i="7"/>
  <c r="BD37" i="9"/>
  <c r="AV47" i="7"/>
  <c r="U47" i="7"/>
  <c r="AZ56" i="9"/>
  <c r="AR66" i="7"/>
  <c r="Q66" i="7"/>
  <c r="AO75" i="9"/>
  <c r="AG85" i="7"/>
  <c r="F85" i="7"/>
  <c r="AM75" i="9"/>
  <c r="AE85" i="7"/>
  <c r="D85" i="7"/>
  <c r="AW114" i="9"/>
  <c r="AO124" i="7"/>
  <c r="N124" i="7"/>
  <c r="BC84" i="9"/>
  <c r="AU94" i="7"/>
  <c r="T94" i="7"/>
  <c r="AY84" i="9"/>
  <c r="AQ94" i="7"/>
  <c r="P94" i="7"/>
  <c r="AZ70" i="9"/>
  <c r="AR80" i="7"/>
  <c r="Q80" i="7"/>
  <c r="BK72" i="9"/>
  <c r="BC82" i="7"/>
  <c r="AB82" i="7"/>
  <c r="BG79" i="9"/>
  <c r="AY89" i="7"/>
  <c r="X89" i="7"/>
  <c r="AU108" i="9"/>
  <c r="AM118" i="7"/>
  <c r="L118" i="7"/>
  <c r="AW110" i="9"/>
  <c r="AO120" i="7"/>
  <c r="N120" i="7"/>
  <c r="BH72" i="9"/>
  <c r="AZ82" i="7"/>
  <c r="Y82" i="7"/>
  <c r="BG109" i="9"/>
  <c r="AY119" i="7"/>
  <c r="X119" i="7"/>
  <c r="AP42" i="9"/>
  <c r="AH52" i="7"/>
  <c r="G52" i="7"/>
  <c r="BB29" i="9"/>
  <c r="AT39" i="7"/>
  <c r="S39" i="7"/>
  <c r="AO49" i="9"/>
  <c r="AG59" i="7"/>
  <c r="F59" i="7"/>
  <c r="AO113" i="9"/>
  <c r="AG123" i="7"/>
  <c r="F123" i="7"/>
  <c r="BC113" i="9"/>
  <c r="BP113" i="9" s="1"/>
  <c r="AU123" i="7"/>
  <c r="T123" i="7"/>
  <c r="AS119" i="9"/>
  <c r="AK129" i="7"/>
  <c r="J129" i="7"/>
  <c r="BD117" i="9"/>
  <c r="AV127" i="7"/>
  <c r="U127" i="7"/>
  <c r="AS54" i="9"/>
  <c r="AK64" i="7"/>
  <c r="J64" i="7"/>
  <c r="AN54" i="9"/>
  <c r="AF64" i="7"/>
  <c r="E64" i="7"/>
  <c r="BH80" i="9"/>
  <c r="AZ90" i="7"/>
  <c r="Y90" i="7"/>
  <c r="AL76" i="9"/>
  <c r="AD86" i="7"/>
  <c r="C86" i="7"/>
  <c r="BF76" i="9"/>
  <c r="AX86" i="7"/>
  <c r="W86" i="7"/>
  <c r="AX17" i="9"/>
  <c r="AP27" i="7"/>
  <c r="O27" i="7"/>
  <c r="AP39" i="9"/>
  <c r="AH49" i="7"/>
  <c r="G49" i="7"/>
  <c r="AL39" i="9"/>
  <c r="AD49" i="7"/>
  <c r="C49" i="7"/>
  <c r="BI58" i="9"/>
  <c r="BA68" i="7"/>
  <c r="Z68" i="7"/>
  <c r="AO45" i="9"/>
  <c r="AG55" i="7"/>
  <c r="F55" i="7"/>
  <c r="AX45" i="9"/>
  <c r="AP55" i="7"/>
  <c r="O55" i="7"/>
  <c r="BJ79" i="9"/>
  <c r="BB89" i="7"/>
  <c r="AA89" i="7"/>
  <c r="BA79" i="9"/>
  <c r="AS89" i="7"/>
  <c r="R89" i="7"/>
  <c r="BB65" i="9"/>
  <c r="AT75" i="7"/>
  <c r="S75" i="7"/>
  <c r="AU67" i="9"/>
  <c r="AM77" i="7"/>
  <c r="L77" i="7"/>
  <c r="BB67" i="9"/>
  <c r="AT77" i="7"/>
  <c r="S77" i="7"/>
  <c r="BA83" i="9"/>
  <c r="AS93" i="7"/>
  <c r="R93" i="7"/>
  <c r="BB99" i="9"/>
  <c r="AT109" i="7"/>
  <c r="S109" i="7"/>
  <c r="AT99" i="9"/>
  <c r="AL109" i="7"/>
  <c r="K109" i="7"/>
  <c r="AQ46" i="9"/>
  <c r="AI56" i="7"/>
  <c r="H56" i="7"/>
  <c r="AY46" i="9"/>
  <c r="AQ56" i="7"/>
  <c r="P56" i="7"/>
  <c r="AV32" i="9"/>
  <c r="AN42" i="7"/>
  <c r="M42" i="7"/>
  <c r="BC34" i="9"/>
  <c r="AU44" i="7"/>
  <c r="T44" i="7"/>
  <c r="AZ34" i="9"/>
  <c r="AR44" i="7"/>
  <c r="Q44" i="7"/>
  <c r="BE64" i="9"/>
  <c r="AW74" i="7"/>
  <c r="V74" i="7"/>
  <c r="BK64" i="9"/>
  <c r="BC74" i="7"/>
  <c r="AB74" i="7"/>
  <c r="AL101" i="9"/>
  <c r="AD111" i="7"/>
  <c r="C111" i="7"/>
  <c r="AN93" i="9"/>
  <c r="AF103" i="7"/>
  <c r="E103" i="7"/>
  <c r="AZ93" i="9"/>
  <c r="AR103" i="7"/>
  <c r="Q103" i="7"/>
  <c r="AY55" i="9"/>
  <c r="AQ65" i="7"/>
  <c r="P65" i="7"/>
  <c r="AZ25" i="9"/>
  <c r="AR35" i="7"/>
  <c r="Q35" i="7"/>
  <c r="BI25" i="9"/>
  <c r="BA35" i="7"/>
  <c r="Z35" i="7"/>
  <c r="BK74" i="9"/>
  <c r="BC84" i="7"/>
  <c r="AB84" i="7"/>
  <c r="AQ74" i="9"/>
  <c r="AI84" i="7"/>
  <c r="H84" i="7"/>
  <c r="BJ61" i="9"/>
  <c r="BB71" i="7"/>
  <c r="AA71" i="7"/>
  <c r="BA51" i="9"/>
  <c r="AS61" i="7"/>
  <c r="R61" i="7"/>
  <c r="AR51" i="9"/>
  <c r="AJ61" i="7"/>
  <c r="I61" i="7"/>
  <c r="AX69" i="9"/>
  <c r="AP79" i="7"/>
  <c r="O79" i="7"/>
  <c r="BA69" i="9"/>
  <c r="AS79" i="7"/>
  <c r="R79" i="7"/>
  <c r="BH22" i="9"/>
  <c r="AZ32" i="7"/>
  <c r="Y32" i="7"/>
  <c r="AY91" i="9"/>
  <c r="AQ101" i="7"/>
  <c r="P101" i="7"/>
  <c r="BB91" i="9"/>
  <c r="AT101" i="7"/>
  <c r="S101" i="7"/>
  <c r="BK28" i="9"/>
  <c r="BC38" i="7"/>
  <c r="AB38" i="7"/>
  <c r="BC96" i="9"/>
  <c r="AU106" i="7"/>
  <c r="T106" i="7"/>
  <c r="BA96" i="9"/>
  <c r="AS106" i="7"/>
  <c r="R106" i="7"/>
  <c r="AP98" i="9"/>
  <c r="AH108" i="7"/>
  <c r="G108" i="7"/>
  <c r="BK98" i="9"/>
  <c r="BC108" i="7"/>
  <c r="AB108" i="7"/>
  <c r="AS71" i="9"/>
  <c r="AK81" i="7"/>
  <c r="J81" i="7"/>
  <c r="BE71" i="9"/>
  <c r="AW81" i="7"/>
  <c r="V81" i="7"/>
  <c r="AP41" i="9"/>
  <c r="AH51" i="7"/>
  <c r="G51" i="7"/>
  <c r="BC41" i="9"/>
  <c r="AU51" i="7"/>
  <c r="T51" i="7"/>
  <c r="AW90" i="9"/>
  <c r="AO100" i="7"/>
  <c r="N100" i="7"/>
  <c r="BD77" i="9"/>
  <c r="AV87" i="7"/>
  <c r="U87" i="7"/>
  <c r="BJ77" i="9"/>
  <c r="BB87" i="7"/>
  <c r="AA87" i="7"/>
  <c r="BC115" i="9"/>
  <c r="AU125" i="7"/>
  <c r="T125" i="7"/>
  <c r="AR62" i="9"/>
  <c r="AJ72" i="7"/>
  <c r="I72" i="7"/>
  <c r="AU62" i="9"/>
  <c r="AM72" i="7"/>
  <c r="L72" i="7"/>
  <c r="BJ94" i="9"/>
  <c r="BB104" i="7"/>
  <c r="AA104" i="7"/>
  <c r="AT94" i="9"/>
  <c r="AL104" i="7"/>
  <c r="K104" i="7"/>
  <c r="BI60" i="9"/>
  <c r="BA70" i="7"/>
  <c r="Z70" i="7"/>
  <c r="BH87" i="9"/>
  <c r="AZ97" i="7"/>
  <c r="Y97" i="7"/>
  <c r="AT87" i="9"/>
  <c r="AL97" i="7"/>
  <c r="K97" i="7"/>
  <c r="AO57" i="9"/>
  <c r="AG67" i="7"/>
  <c r="F67" i="7"/>
  <c r="AR106" i="9"/>
  <c r="AJ116" i="7"/>
  <c r="I116" i="7"/>
  <c r="AS106" i="9"/>
  <c r="AK116" i="7"/>
  <c r="J116" i="7"/>
  <c r="BF105" i="9"/>
  <c r="AX115" i="7"/>
  <c r="W115" i="7"/>
  <c r="AU105" i="9"/>
  <c r="AM115" i="7"/>
  <c r="L115" i="7"/>
  <c r="AQ50" i="9"/>
  <c r="AI60" i="7"/>
  <c r="H60" i="7"/>
  <c r="AY50" i="9"/>
  <c r="AQ60" i="7"/>
  <c r="P60" i="7"/>
  <c r="BH20" i="9"/>
  <c r="AZ30" i="7"/>
  <c r="Y30" i="7"/>
  <c r="AM36" i="9"/>
  <c r="AE46" i="7"/>
  <c r="D46" i="7"/>
  <c r="BC36" i="9"/>
  <c r="AU46" i="7"/>
  <c r="T46" i="7"/>
  <c r="BA118" i="9"/>
  <c r="AS128" i="7"/>
  <c r="R128" i="7"/>
  <c r="BK118" i="9"/>
  <c r="BC128" i="7"/>
  <c r="AB128" i="7"/>
  <c r="AZ108" i="9"/>
  <c r="AR118" i="7"/>
  <c r="Q118" i="7"/>
  <c r="BD103" i="9"/>
  <c r="AV113" i="7"/>
  <c r="U113" i="7"/>
  <c r="BE103" i="9"/>
  <c r="AW113" i="7"/>
  <c r="V113" i="7"/>
  <c r="AT73" i="9"/>
  <c r="AL83" i="7"/>
  <c r="K83" i="7"/>
  <c r="AR122" i="9"/>
  <c r="AJ132" i="7"/>
  <c r="I132" i="7"/>
  <c r="AN122" i="9"/>
  <c r="AF132" i="7"/>
  <c r="E132" i="7"/>
  <c r="AZ30" i="9"/>
  <c r="AR40" i="7"/>
  <c r="Q40" i="7"/>
  <c r="AR30" i="9"/>
  <c r="AJ40" i="7"/>
  <c r="I40" i="7"/>
  <c r="BC102" i="9"/>
  <c r="AU112" i="7"/>
  <c r="T112" i="7"/>
  <c r="AV16" i="9"/>
  <c r="M26" i="7"/>
  <c r="AN26" i="7"/>
  <c r="AP16" i="9"/>
  <c r="AH26" i="7"/>
  <c r="G26" i="7"/>
  <c r="AO18" i="9"/>
  <c r="AG28" i="7"/>
  <c r="F28" i="7"/>
  <c r="AW18" i="9"/>
  <c r="AO28" i="7"/>
  <c r="N28" i="7"/>
  <c r="AX48" i="9"/>
  <c r="AP58" i="7"/>
  <c r="O58" i="7"/>
  <c r="AL44" i="9"/>
  <c r="AD54" i="7"/>
  <c r="C54" i="7"/>
  <c r="AO44" i="9"/>
  <c r="AG54" i="7"/>
  <c r="F54" i="7"/>
  <c r="AR112" i="9"/>
  <c r="AJ122" i="7"/>
  <c r="I122" i="7"/>
  <c r="BB104" i="9"/>
  <c r="AT114" i="7"/>
  <c r="S114" i="7"/>
  <c r="AQ104" i="9"/>
  <c r="AI114" i="7"/>
  <c r="H114" i="7"/>
  <c r="AM38" i="9"/>
  <c r="AE48" i="7"/>
  <c r="D48" i="7"/>
  <c r="AN43" i="9"/>
  <c r="AF53" i="7"/>
  <c r="E53" i="7"/>
  <c r="AT43" i="9"/>
  <c r="AL53" i="7"/>
  <c r="K53" i="7"/>
  <c r="AU53" i="9"/>
  <c r="AM63" i="7"/>
  <c r="L63" i="7"/>
  <c r="AN53" i="9"/>
  <c r="AF63" i="7"/>
  <c r="E63" i="7"/>
  <c r="BF88" i="9"/>
  <c r="AX98" i="7"/>
  <c r="W98" i="7"/>
  <c r="AP121" i="9"/>
  <c r="AH131" i="7"/>
  <c r="G131" i="7"/>
  <c r="AT59" i="9"/>
  <c r="AL69" i="7"/>
  <c r="K69" i="7"/>
  <c r="AM59" i="9"/>
  <c r="AE69" i="7"/>
  <c r="D69" i="7"/>
  <c r="BE107" i="9"/>
  <c r="AW117" i="7"/>
  <c r="V117" i="7"/>
  <c r="BB31" i="9"/>
  <c r="AT41" i="7"/>
  <c r="S41" i="7"/>
  <c r="BG31" i="9"/>
  <c r="AY41" i="7"/>
  <c r="X41" i="7"/>
  <c r="BA24" i="9"/>
  <c r="AS34" i="7"/>
  <c r="R34" i="7"/>
  <c r="BE24" i="9"/>
  <c r="AW34" i="7"/>
  <c r="V34" i="7"/>
  <c r="BD27" i="9"/>
  <c r="AV37" i="7"/>
  <c r="U37" i="7"/>
  <c r="AV82" i="9"/>
  <c r="AN92" i="7"/>
  <c r="M92" i="7"/>
  <c r="BG82" i="9"/>
  <c r="AY92" i="7"/>
  <c r="X92" i="7"/>
  <c r="AN92" i="9"/>
  <c r="AF102" i="7"/>
  <c r="E102" i="7"/>
  <c r="AU40" i="9"/>
  <c r="AM50" i="7"/>
  <c r="L50" i="7"/>
  <c r="AQ40" i="9"/>
  <c r="AI50" i="7"/>
  <c r="H50" i="7"/>
  <c r="BJ66" i="9"/>
  <c r="BB76" i="7"/>
  <c r="AA76" i="7"/>
  <c r="AY66" i="9"/>
  <c r="AQ76" i="7"/>
  <c r="P76" i="7"/>
  <c r="BH52" i="9"/>
  <c r="AZ62" i="7"/>
  <c r="Y62" i="7"/>
  <c r="BI68" i="9"/>
  <c r="BA78" i="7"/>
  <c r="Z78" i="7"/>
  <c r="AT68" i="9"/>
  <c r="AL78" i="7"/>
  <c r="K78" i="7"/>
  <c r="BH37" i="9"/>
  <c r="AZ47" i="7"/>
  <c r="Y47" i="7"/>
  <c r="AV37" i="9"/>
  <c r="AN47" i="7"/>
  <c r="M47" i="7"/>
  <c r="BI56" i="9"/>
  <c r="BA66" i="7"/>
  <c r="Z66" i="7"/>
  <c r="AX75" i="9"/>
  <c r="AP85" i="7"/>
  <c r="O85" i="7"/>
  <c r="AS75" i="9"/>
  <c r="AK85" i="7"/>
  <c r="J85" i="7"/>
  <c r="BD114" i="9"/>
  <c r="AV124" i="7"/>
  <c r="U124" i="7"/>
  <c r="BK84" i="9"/>
  <c r="BC94" i="7"/>
  <c r="AB94" i="7"/>
  <c r="BE84" i="9"/>
  <c r="AW94" i="7"/>
  <c r="V94" i="7"/>
  <c r="BB100" i="9"/>
  <c r="AT110" i="7"/>
  <c r="S110" i="7"/>
  <c r="AR63" i="9"/>
  <c r="AJ73" i="7"/>
  <c r="I73" i="7"/>
  <c r="BH67" i="9"/>
  <c r="AZ77" i="7"/>
  <c r="Y77" i="7"/>
  <c r="BI40" i="9"/>
  <c r="BA50" i="7"/>
  <c r="Z50" i="7"/>
  <c r="BI47" i="9"/>
  <c r="BA57" i="7"/>
  <c r="Z57" i="7"/>
  <c r="AV100" i="9"/>
  <c r="AN110" i="7"/>
  <c r="M110" i="7"/>
  <c r="AM21" i="9"/>
  <c r="AE31" i="7"/>
  <c r="D31" i="7"/>
  <c r="AW86" i="9"/>
  <c r="AO96" i="7"/>
  <c r="N96" i="7"/>
  <c r="AZ85" i="9"/>
  <c r="AR95" i="7"/>
  <c r="Q95" i="7"/>
  <c r="AZ89" i="9"/>
  <c r="AR99" i="7"/>
  <c r="Q99" i="7"/>
  <c r="BG78" i="9"/>
  <c r="AY88" i="7"/>
  <c r="X88" i="7"/>
  <c r="BG110" i="9"/>
  <c r="AY120" i="7"/>
  <c r="X120" i="7"/>
  <c r="AY23" i="9"/>
  <c r="AQ33" i="7"/>
  <c r="P33" i="7"/>
  <c r="AU23" i="9"/>
  <c r="AM33" i="7"/>
  <c r="L33" i="7"/>
  <c r="BJ109" i="9"/>
  <c r="BB119" i="7"/>
  <c r="AA119" i="7"/>
  <c r="AP29" i="9"/>
  <c r="AH39" i="7"/>
  <c r="G39" i="7"/>
  <c r="AW63" i="9"/>
  <c r="AO73" i="7"/>
  <c r="N73" i="7"/>
  <c r="AO63" i="9"/>
  <c r="AG73" i="7"/>
  <c r="F73" i="7"/>
  <c r="BH19" i="9"/>
  <c r="AZ29" i="7"/>
  <c r="Y29" i="7"/>
  <c r="BG19" i="9"/>
  <c r="AY29" i="7"/>
  <c r="X29" i="7"/>
  <c r="AO81" i="9"/>
  <c r="AG91" i="7"/>
  <c r="F91" i="7"/>
  <c r="AU111" i="9"/>
  <c r="AM121" i="7"/>
  <c r="L121" i="7"/>
  <c r="AL111" i="9"/>
  <c r="AD121" i="7"/>
  <c r="C121" i="7"/>
  <c r="AV117" i="9"/>
  <c r="AN127" i="7"/>
  <c r="M127" i="7"/>
  <c r="BK120" i="9"/>
  <c r="BC130" i="7"/>
  <c r="AB130" i="7"/>
  <c r="BA120" i="9"/>
  <c r="AS130" i="7"/>
  <c r="R130" i="7"/>
  <c r="AY26" i="9"/>
  <c r="AQ36" i="7"/>
  <c r="P36" i="7"/>
  <c r="BA47" i="9"/>
  <c r="AS57" i="7"/>
  <c r="R57" i="7"/>
  <c r="AQ47" i="9"/>
  <c r="AI57" i="7"/>
  <c r="H57" i="7"/>
  <c r="BI33" i="9"/>
  <c r="BA43" i="7"/>
  <c r="Z43" i="7"/>
  <c r="AV70" i="9"/>
  <c r="AN80" i="7"/>
  <c r="M80" i="7"/>
  <c r="AQ70" i="9"/>
  <c r="AI80" i="7"/>
  <c r="H80" i="7"/>
  <c r="BC100" i="9"/>
  <c r="AU110" i="7"/>
  <c r="T110" i="7"/>
  <c r="BF100" i="9"/>
  <c r="AX110" i="7"/>
  <c r="W110" i="7"/>
  <c r="BI116" i="9"/>
  <c r="BA126" i="7"/>
  <c r="Z126" i="7"/>
  <c r="BG35" i="9"/>
  <c r="AY45" i="7"/>
  <c r="X45" i="7"/>
  <c r="AL35" i="9"/>
  <c r="AD45" i="7"/>
  <c r="C45" i="7"/>
  <c r="BF21" i="9"/>
  <c r="AX31" i="7"/>
  <c r="W31" i="7"/>
  <c r="AN95" i="9"/>
  <c r="AF105" i="7"/>
  <c r="E105" i="7"/>
  <c r="AU95" i="9"/>
  <c r="AM105" i="7"/>
  <c r="L105" i="7"/>
  <c r="BJ86" i="9"/>
  <c r="BB96" i="7"/>
  <c r="AA96" i="7"/>
  <c r="BE86" i="9"/>
  <c r="AW96" i="7"/>
  <c r="V96" i="7"/>
  <c r="AW97" i="9"/>
  <c r="AO107" i="7"/>
  <c r="N107" i="7"/>
  <c r="AY85" i="9"/>
  <c r="AQ95" i="7"/>
  <c r="P95" i="7"/>
  <c r="AR85" i="9"/>
  <c r="AJ95" i="7"/>
  <c r="I95" i="7"/>
  <c r="BD89" i="9"/>
  <c r="AV99" i="7"/>
  <c r="U99" i="7"/>
  <c r="BE89" i="9"/>
  <c r="AW99" i="7"/>
  <c r="V99" i="7"/>
  <c r="AR78" i="9"/>
  <c r="AJ88" i="7"/>
  <c r="I88" i="7"/>
  <c r="BE110" i="9"/>
  <c r="AW120" i="7"/>
  <c r="V120" i="7"/>
  <c r="AZ110" i="9"/>
  <c r="AR120" i="7"/>
  <c r="Q120" i="7"/>
  <c r="AY72" i="9"/>
  <c r="AQ82" i="7"/>
  <c r="P82" i="7"/>
  <c r="AR23" i="9"/>
  <c r="AJ33" i="7"/>
  <c r="I33" i="7"/>
  <c r="BJ23" i="9"/>
  <c r="BB33" i="7"/>
  <c r="AA33" i="7"/>
  <c r="AL109" i="9"/>
  <c r="AD119" i="7"/>
  <c r="C119" i="7"/>
  <c r="AT109" i="9"/>
  <c r="AL119" i="7"/>
  <c r="K119" i="7"/>
  <c r="BD42" i="9"/>
  <c r="AV52" i="7"/>
  <c r="U52" i="7"/>
  <c r="BF29" i="9"/>
  <c r="AX39" i="7"/>
  <c r="W39" i="7"/>
  <c r="BJ29" i="9"/>
  <c r="BB39" i="7"/>
  <c r="AA39" i="7"/>
  <c r="AY63" i="9"/>
  <c r="AQ73" i="7"/>
  <c r="P73" i="7"/>
  <c r="BE63" i="9"/>
  <c r="AW73" i="7"/>
  <c r="V73" i="7"/>
  <c r="AU49" i="9"/>
  <c r="AM59" i="7"/>
  <c r="L59" i="7"/>
  <c r="AL19" i="9"/>
  <c r="AD29" i="7"/>
  <c r="C29" i="7"/>
  <c r="AT19" i="9"/>
  <c r="AL29" i="7"/>
  <c r="K29" i="7"/>
  <c r="BK81" i="9"/>
  <c r="BC91" i="7"/>
  <c r="AB91" i="7"/>
  <c r="AX111" i="9"/>
  <c r="AP121" i="7"/>
  <c r="O121" i="7"/>
  <c r="AS111" i="9"/>
  <c r="AK121" i="7"/>
  <c r="J121" i="7"/>
  <c r="BG113" i="9"/>
  <c r="AY123" i="7"/>
  <c r="X123" i="7"/>
  <c r="AU113" i="9"/>
  <c r="AM123" i="7"/>
  <c r="L123" i="7"/>
  <c r="BH119" i="9"/>
  <c r="AZ129" i="7"/>
  <c r="Y129" i="7"/>
  <c r="AS117" i="9"/>
  <c r="AK127" i="7"/>
  <c r="J127" i="7"/>
  <c r="AN117" i="9"/>
  <c r="AF127" i="7"/>
  <c r="E127" i="7"/>
  <c r="AV54" i="9"/>
  <c r="AN64" i="7"/>
  <c r="M64" i="7"/>
  <c r="AW54" i="9"/>
  <c r="AO64" i="7"/>
  <c r="N64" i="7"/>
  <c r="AN80" i="9"/>
  <c r="AF90" i="7"/>
  <c r="E90" i="7"/>
  <c r="AS76" i="9"/>
  <c r="AK86" i="7"/>
  <c r="J86" i="7"/>
  <c r="AQ76" i="9"/>
  <c r="AI86" i="7"/>
  <c r="H86" i="7"/>
  <c r="AO17" i="9"/>
  <c r="AG27" i="7"/>
  <c r="F27" i="7"/>
  <c r="AW39" i="9"/>
  <c r="AO49" i="7"/>
  <c r="N49" i="7"/>
  <c r="BI39" i="9"/>
  <c r="BA49" i="7"/>
  <c r="Z49" i="7"/>
  <c r="AY58" i="9"/>
  <c r="AQ68" i="7"/>
  <c r="P68" i="7"/>
  <c r="AL45" i="9"/>
  <c r="AD55" i="7"/>
  <c r="C55" i="7"/>
  <c r="BD45" i="9"/>
  <c r="AV55" i="7"/>
  <c r="U55" i="7"/>
  <c r="AU79" i="9"/>
  <c r="AM89" i="7"/>
  <c r="L89" i="7"/>
  <c r="BE79" i="9"/>
  <c r="AW89" i="7"/>
  <c r="V89" i="7"/>
  <c r="AT65" i="9"/>
  <c r="AL75" i="7"/>
  <c r="K75" i="7"/>
  <c r="AM67" i="9"/>
  <c r="AE77" i="7"/>
  <c r="D77" i="7"/>
  <c r="BD67" i="9"/>
  <c r="AV77" i="7"/>
  <c r="U77" i="7"/>
  <c r="AL83" i="9"/>
  <c r="AD93" i="7"/>
  <c r="C93" i="7"/>
  <c r="BE99" i="9"/>
  <c r="AW109" i="7"/>
  <c r="V109" i="7"/>
  <c r="BI99" i="9"/>
  <c r="BA109" i="7"/>
  <c r="Z109" i="7"/>
  <c r="BF46" i="9"/>
  <c r="AX56" i="7"/>
  <c r="W56" i="7"/>
  <c r="AN46" i="9"/>
  <c r="AF56" i="7"/>
  <c r="E56" i="7"/>
  <c r="AQ32" i="9"/>
  <c r="AI42" i="7"/>
  <c r="H42" i="7"/>
  <c r="AO34" i="9"/>
  <c r="AG44" i="7"/>
  <c r="F44" i="7"/>
  <c r="AP34" i="9"/>
  <c r="AH44" i="7"/>
  <c r="G44" i="7"/>
  <c r="AY64" i="9"/>
  <c r="AQ74" i="7"/>
  <c r="P74" i="7"/>
  <c r="BI64" i="9"/>
  <c r="BA74" i="7"/>
  <c r="Z74" i="7"/>
  <c r="AX101" i="9"/>
  <c r="AP111" i="7"/>
  <c r="O111" i="7"/>
  <c r="BF93" i="9"/>
  <c r="AX103" i="7"/>
  <c r="W103" i="7"/>
  <c r="BH93" i="9"/>
  <c r="AZ103" i="7"/>
  <c r="Y103" i="7"/>
  <c r="AV55" i="9"/>
  <c r="AN65" i="7"/>
  <c r="M65" i="7"/>
  <c r="AY25" i="9"/>
  <c r="AQ35" i="7"/>
  <c r="P35" i="7"/>
  <c r="BB25" i="9"/>
  <c r="AT35" i="7"/>
  <c r="S35" i="7"/>
  <c r="AX74" i="9"/>
  <c r="AP84" i="7"/>
  <c r="O84" i="7"/>
  <c r="BA74" i="9"/>
  <c r="AS84" i="7"/>
  <c r="R84" i="7"/>
  <c r="AL61" i="9"/>
  <c r="AD71" i="7"/>
  <c r="C71" i="7"/>
  <c r="AO51" i="9"/>
  <c r="AG61" i="7"/>
  <c r="F61" i="7"/>
  <c r="AV51" i="9"/>
  <c r="AN61" i="7"/>
  <c r="M61" i="7"/>
  <c r="AT69" i="9"/>
  <c r="AL79" i="7"/>
  <c r="K79" i="7"/>
  <c r="AN69" i="9"/>
  <c r="AF79" i="7"/>
  <c r="E79" i="7"/>
  <c r="AS22" i="9"/>
  <c r="AK32" i="7"/>
  <c r="J32" i="7"/>
  <c r="AO91" i="9"/>
  <c r="AG101" i="7"/>
  <c r="F101" i="7"/>
  <c r="BF91" i="9"/>
  <c r="AX101" i="7"/>
  <c r="W101" i="7"/>
  <c r="AO28" i="9"/>
  <c r="AG38" i="7"/>
  <c r="F38" i="7"/>
  <c r="AY96" i="9"/>
  <c r="AQ106" i="7"/>
  <c r="P106" i="7"/>
  <c r="AW96" i="9"/>
  <c r="AO106" i="7"/>
  <c r="N106" i="7"/>
  <c r="AM98" i="9"/>
  <c r="AE108" i="7"/>
  <c r="D108" i="7"/>
  <c r="AR98" i="9"/>
  <c r="AJ108" i="7"/>
  <c r="I108" i="7"/>
  <c r="BH71" i="9"/>
  <c r="AZ81" i="7"/>
  <c r="Y81" i="7"/>
  <c r="BK71" i="9"/>
  <c r="AB81" i="7"/>
  <c r="BC81" i="7"/>
  <c r="BJ41" i="9"/>
  <c r="BB51" i="7"/>
  <c r="AA51" i="7"/>
  <c r="BE41" i="9"/>
  <c r="AW51" i="7"/>
  <c r="V51" i="7"/>
  <c r="BD90" i="9"/>
  <c r="AV100" i="7"/>
  <c r="U100" i="7"/>
  <c r="AW77" i="9"/>
  <c r="AO87" i="7"/>
  <c r="N87" i="7"/>
  <c r="AZ77" i="9"/>
  <c r="AR87" i="7"/>
  <c r="Q87" i="7"/>
  <c r="AT115" i="9"/>
  <c r="AL125" i="7"/>
  <c r="K125" i="7"/>
  <c r="AT62" i="9"/>
  <c r="AL72" i="7"/>
  <c r="K72" i="7"/>
  <c r="AN62" i="9"/>
  <c r="AF72" i="7"/>
  <c r="E72" i="7"/>
  <c r="AO94" i="9"/>
  <c r="AG104" i="7"/>
  <c r="F104" i="7"/>
  <c r="BH94" i="9"/>
  <c r="AZ104" i="7"/>
  <c r="Y104" i="7"/>
  <c r="BC60" i="9"/>
  <c r="AU70" i="7"/>
  <c r="T70" i="7"/>
  <c r="BB87" i="9"/>
  <c r="AT97" i="7"/>
  <c r="S97" i="7"/>
  <c r="BF87" i="9"/>
  <c r="AX97" i="7"/>
  <c r="W97" i="7"/>
  <c r="AZ57" i="9"/>
  <c r="AR67" i="7"/>
  <c r="Q67" i="7"/>
  <c r="BG106" i="9"/>
  <c r="AY116" i="7"/>
  <c r="X116" i="7"/>
  <c r="AP106" i="9"/>
  <c r="AH116" i="7"/>
  <c r="G116" i="7"/>
  <c r="AN105" i="9"/>
  <c r="AF115" i="7"/>
  <c r="E115" i="7"/>
  <c r="AM105" i="9"/>
  <c r="AE115" i="7"/>
  <c r="D115" i="7"/>
  <c r="BH50" i="9"/>
  <c r="AZ60" i="7"/>
  <c r="Y60" i="7"/>
  <c r="BI50" i="9"/>
  <c r="BA60" i="7"/>
  <c r="Z60" i="7"/>
  <c r="AM20" i="9"/>
  <c r="AE30" i="7"/>
  <c r="D30" i="7"/>
  <c r="BE36" i="9"/>
  <c r="AW46" i="7"/>
  <c r="V46" i="7"/>
  <c r="BA36" i="9"/>
  <c r="AS46" i="7"/>
  <c r="R46" i="7"/>
  <c r="AR118" i="9"/>
  <c r="AJ128" i="7"/>
  <c r="I128" i="7"/>
  <c r="AU118" i="9"/>
  <c r="AM128" i="7"/>
  <c r="L128" i="7"/>
  <c r="AW108" i="9"/>
  <c r="AO118" i="7"/>
  <c r="N118" i="7"/>
  <c r="BI103" i="9"/>
  <c r="BA113" i="7"/>
  <c r="Z113" i="7"/>
  <c r="AP103" i="9"/>
  <c r="AH113" i="7"/>
  <c r="G113" i="7"/>
  <c r="AM73" i="9"/>
  <c r="AE83" i="7"/>
  <c r="D83" i="7"/>
  <c r="BG122" i="9"/>
  <c r="AY132" i="7"/>
  <c r="X132" i="7"/>
  <c r="AU122" i="9"/>
  <c r="AM132" i="7"/>
  <c r="L132" i="7"/>
  <c r="BE30" i="9"/>
  <c r="AW40" i="7"/>
  <c r="V40" i="7"/>
  <c r="AU30" i="9"/>
  <c r="AM40" i="7"/>
  <c r="L40" i="7"/>
  <c r="BG102" i="9"/>
  <c r="AY112" i="7"/>
  <c r="X112" i="7"/>
  <c r="BI16" i="9"/>
  <c r="BA26" i="7"/>
  <c r="Z26" i="7"/>
  <c r="AW16" i="9"/>
  <c r="AO26" i="7"/>
  <c r="N26" i="7"/>
  <c r="AS18" i="9"/>
  <c r="AK28" i="7"/>
  <c r="J28" i="7"/>
  <c r="AP18" i="9"/>
  <c r="AH28" i="7"/>
  <c r="G28" i="7"/>
  <c r="BJ48" i="9"/>
  <c r="BB58" i="7"/>
  <c r="AA58" i="7"/>
  <c r="BG44" i="9"/>
  <c r="AY54" i="7"/>
  <c r="X54" i="7"/>
  <c r="AS44" i="9"/>
  <c r="AK54" i="7"/>
  <c r="J54" i="7"/>
  <c r="BA112" i="9"/>
  <c r="AS122" i="7"/>
  <c r="R122" i="7"/>
  <c r="AV104" i="9"/>
  <c r="AN114" i="7"/>
  <c r="M114" i="7"/>
  <c r="BF104" i="9"/>
  <c r="AX114" i="7"/>
  <c r="W114" i="7"/>
  <c r="AS38" i="9"/>
  <c r="AK48" i="7"/>
  <c r="J48" i="7"/>
  <c r="BA43" i="9"/>
  <c r="AS53" i="7"/>
  <c r="R53" i="7"/>
  <c r="AY43" i="9"/>
  <c r="AQ53" i="7"/>
  <c r="P53" i="7"/>
  <c r="BG53" i="9"/>
  <c r="AY63" i="7"/>
  <c r="X63" i="7"/>
  <c r="AW53" i="9"/>
  <c r="AO63" i="7"/>
  <c r="N63" i="7"/>
  <c r="BA88" i="9"/>
  <c r="AS98" i="7"/>
  <c r="R98" i="7"/>
  <c r="AZ121" i="9"/>
  <c r="AR131" i="7"/>
  <c r="Q131" i="7"/>
  <c r="AR59" i="9"/>
  <c r="AJ69" i="7"/>
  <c r="I69" i="7"/>
  <c r="BK59" i="9"/>
  <c r="BC69" i="7"/>
  <c r="AB69" i="7"/>
  <c r="AO107" i="9"/>
  <c r="AG117" i="7"/>
  <c r="F117" i="7"/>
  <c r="AL31" i="9"/>
  <c r="AD41" i="7"/>
  <c r="C41" i="7"/>
  <c r="AQ31" i="9"/>
  <c r="AI41" i="7"/>
  <c r="H41" i="7"/>
  <c r="BI24" i="9"/>
  <c r="BA34" i="7"/>
  <c r="Z34" i="7"/>
  <c r="BC24" i="9"/>
  <c r="AU34" i="7"/>
  <c r="T34" i="7"/>
  <c r="AW27" i="9"/>
  <c r="AO37" i="7"/>
  <c r="N37" i="7"/>
  <c r="BC82" i="9"/>
  <c r="AU92" i="7"/>
  <c r="T92" i="7"/>
  <c r="AL82" i="9"/>
  <c r="AD92" i="7"/>
  <c r="C92" i="7"/>
  <c r="BJ92" i="9"/>
  <c r="BB102" i="7"/>
  <c r="AA102" i="7"/>
  <c r="BC40" i="9"/>
  <c r="AU50" i="7"/>
  <c r="T50" i="7"/>
  <c r="AZ40" i="9"/>
  <c r="AR50" i="7"/>
  <c r="Q50" i="7"/>
  <c r="AT66" i="9"/>
  <c r="AL76" i="7"/>
  <c r="K76" i="7"/>
  <c r="AL66" i="9"/>
  <c r="AD76" i="7"/>
  <c r="C76" i="7"/>
  <c r="AV52" i="9"/>
  <c r="AN62" i="7"/>
  <c r="M62" i="7"/>
  <c r="BG68" i="9"/>
  <c r="AY78" i="7"/>
  <c r="X78" i="7"/>
  <c r="BE68" i="9"/>
  <c r="AW78" i="7"/>
  <c r="V78" i="7"/>
  <c r="BB37" i="9"/>
  <c r="AT47" i="7"/>
  <c r="S47" i="7"/>
  <c r="AN37" i="9"/>
  <c r="AF47" i="7"/>
  <c r="E47" i="7"/>
  <c r="BD56" i="9"/>
  <c r="AV66" i="7"/>
  <c r="U66" i="7"/>
  <c r="AN75" i="9"/>
  <c r="AF85" i="7"/>
  <c r="E85" i="7"/>
  <c r="BA75" i="9"/>
  <c r="AS85" i="7"/>
  <c r="R85" i="7"/>
  <c r="BE114" i="9"/>
  <c r="AW124" i="7"/>
  <c r="V124" i="7"/>
  <c r="AM84" i="9"/>
  <c r="AE94" i="7"/>
  <c r="D94" i="7"/>
  <c r="AX84" i="9"/>
  <c r="AP94" i="7"/>
  <c r="O94" i="7"/>
  <c r="BD33" i="9"/>
  <c r="AV43" i="7"/>
  <c r="U43" i="7"/>
  <c r="BF97" i="9"/>
  <c r="AX107" i="7"/>
  <c r="W107" i="7"/>
  <c r="BG42" i="9"/>
  <c r="AY52" i="7"/>
  <c r="X52" i="7"/>
  <c r="BJ117" i="9"/>
  <c r="BB127" i="7"/>
  <c r="AA127" i="7"/>
  <c r="AV45" i="9"/>
  <c r="AN55" i="7"/>
  <c r="M55" i="7"/>
  <c r="AM101" i="9"/>
  <c r="AE111" i="7"/>
  <c r="D111" i="7"/>
  <c r="AY22" i="9"/>
  <c r="AQ32" i="7"/>
  <c r="P32" i="7"/>
  <c r="BB90" i="9"/>
  <c r="AT100" i="7"/>
  <c r="S100" i="7"/>
  <c r="BG105" i="9"/>
  <c r="AY115" i="7"/>
  <c r="X115" i="7"/>
  <c r="AZ122" i="9"/>
  <c r="AR132" i="7"/>
  <c r="Q132" i="7"/>
  <c r="BD104" i="9"/>
  <c r="AV114" i="7"/>
  <c r="U114" i="7"/>
  <c r="BF52" i="9"/>
  <c r="AX62" i="7"/>
  <c r="W62" i="7"/>
  <c r="AL26" i="9"/>
  <c r="AD36" i="7"/>
  <c r="C36" i="7"/>
  <c r="BJ70" i="9"/>
  <c r="BB80" i="7"/>
  <c r="AA80" i="7"/>
  <c r="AM35" i="9"/>
  <c r="AE45" i="7"/>
  <c r="D45" i="7"/>
  <c r="AT95" i="9"/>
  <c r="AL105" i="7"/>
  <c r="K105" i="7"/>
  <c r="BF85" i="9"/>
  <c r="AX95" i="7"/>
  <c r="W95" i="7"/>
  <c r="AN120" i="9"/>
  <c r="AF130" i="7"/>
  <c r="E130" i="7"/>
  <c r="AP120" i="9"/>
  <c r="AH130" i="7"/>
  <c r="G130" i="7"/>
  <c r="AR26" i="9"/>
  <c r="AJ36" i="7"/>
  <c r="I36" i="7"/>
  <c r="AS47" i="9"/>
  <c r="AK57" i="7"/>
  <c r="J57" i="7"/>
  <c r="BC47" i="9"/>
  <c r="AU57" i="7"/>
  <c r="T57" i="7"/>
  <c r="BB33" i="9"/>
  <c r="AT43" i="7"/>
  <c r="S43" i="7"/>
  <c r="AP70" i="9"/>
  <c r="AH80" i="7"/>
  <c r="G80" i="7"/>
  <c r="AT70" i="9"/>
  <c r="AL80" i="7"/>
  <c r="K80" i="7"/>
  <c r="AU100" i="9"/>
  <c r="AM110" i="7"/>
  <c r="L110" i="7"/>
  <c r="AU116" i="9"/>
  <c r="AM126" i="7"/>
  <c r="L126" i="7"/>
  <c r="AL116" i="9"/>
  <c r="AD126" i="7"/>
  <c r="C126" i="7"/>
  <c r="BI35" i="9"/>
  <c r="BA45" i="7"/>
  <c r="Z45" i="7"/>
  <c r="AO35" i="9"/>
  <c r="AG45" i="7"/>
  <c r="F45" i="7"/>
  <c r="AW21" i="9"/>
  <c r="AO31" i="7"/>
  <c r="N31" i="7"/>
  <c r="BK95" i="9"/>
  <c r="BC105" i="7"/>
  <c r="AB105" i="7"/>
  <c r="AZ95" i="9"/>
  <c r="AR105" i="7"/>
  <c r="Q105" i="7"/>
  <c r="BG86" i="9"/>
  <c r="AY96" i="7"/>
  <c r="X96" i="7"/>
  <c r="AM86" i="9"/>
  <c r="AE96" i="7"/>
  <c r="D96" i="7"/>
  <c r="AV97" i="9"/>
  <c r="AN107" i="7"/>
  <c r="M107" i="7"/>
  <c r="BI85" i="9"/>
  <c r="BA95" i="7"/>
  <c r="Z95" i="7"/>
  <c r="BB85" i="9"/>
  <c r="AT95" i="7"/>
  <c r="S95" i="7"/>
  <c r="AW89" i="9"/>
  <c r="AO99" i="7"/>
  <c r="N99" i="7"/>
  <c r="BE78" i="9"/>
  <c r="AW88" i="7"/>
  <c r="V88" i="7"/>
  <c r="AS78" i="9"/>
  <c r="AK88" i="7"/>
  <c r="J88" i="7"/>
  <c r="AT110" i="9"/>
  <c r="AL120" i="7"/>
  <c r="K120" i="7"/>
  <c r="BJ110" i="9"/>
  <c r="BB120" i="7"/>
  <c r="AA120" i="7"/>
  <c r="BG72" i="9"/>
  <c r="AY82" i="7"/>
  <c r="X82" i="7"/>
  <c r="BG23" i="9"/>
  <c r="AY33" i="7"/>
  <c r="X33" i="7"/>
  <c r="BD23" i="9"/>
  <c r="AV33" i="7"/>
  <c r="U33" i="7"/>
  <c r="AQ109" i="9"/>
  <c r="AI119" i="7"/>
  <c r="H119" i="7"/>
  <c r="BI109" i="9"/>
  <c r="BA119" i="7"/>
  <c r="Z119" i="7"/>
  <c r="BK42" i="9"/>
  <c r="BC52" i="7"/>
  <c r="AB52" i="7"/>
  <c r="AV29" i="9"/>
  <c r="AN39" i="7"/>
  <c r="M39" i="7"/>
  <c r="AM29" i="9"/>
  <c r="AE39" i="7"/>
  <c r="D39" i="7"/>
  <c r="AV63" i="9"/>
  <c r="AN73" i="7"/>
  <c r="M73" i="7"/>
  <c r="AX49" i="9"/>
  <c r="AP59" i="7"/>
  <c r="O59" i="7"/>
  <c r="BD49" i="9"/>
  <c r="AV59" i="7"/>
  <c r="U59" i="7"/>
  <c r="BA19" i="9"/>
  <c r="AS29" i="7"/>
  <c r="R29" i="7"/>
  <c r="BD19" i="9"/>
  <c r="AV29" i="7"/>
  <c r="U29" i="7"/>
  <c r="AZ81" i="9"/>
  <c r="AR91" i="7"/>
  <c r="Q91" i="7"/>
  <c r="AP111" i="9"/>
  <c r="AH121" i="7"/>
  <c r="G121" i="7"/>
  <c r="BH111" i="9"/>
  <c r="AZ121" i="7"/>
  <c r="Y121" i="7"/>
  <c r="AZ113" i="9"/>
  <c r="AR123" i="7"/>
  <c r="Q123" i="7"/>
  <c r="AM113" i="9"/>
  <c r="AE123" i="7"/>
  <c r="D123" i="7"/>
  <c r="BA119" i="9"/>
  <c r="AS129" i="7"/>
  <c r="R129" i="7"/>
  <c r="BB117" i="9"/>
  <c r="AT127" i="7"/>
  <c r="S127" i="7"/>
  <c r="AW117" i="9"/>
  <c r="AO127" i="7"/>
  <c r="N127" i="7"/>
  <c r="AP54" i="9"/>
  <c r="AH64" i="7"/>
  <c r="G64" i="7"/>
  <c r="AR80" i="9"/>
  <c r="AJ90" i="7"/>
  <c r="I90" i="7"/>
  <c r="BB80" i="9"/>
  <c r="AT90" i="7"/>
  <c r="S90" i="7"/>
  <c r="BB76" i="9"/>
  <c r="AT86" i="7"/>
  <c r="S86" i="7"/>
  <c r="AU76" i="9"/>
  <c r="AM86" i="7"/>
  <c r="L86" i="7"/>
  <c r="BE17" i="9"/>
  <c r="AW27" i="7"/>
  <c r="V27" i="7"/>
  <c r="BG39" i="9"/>
  <c r="AY49" i="7"/>
  <c r="X49" i="7"/>
  <c r="BA39" i="9"/>
  <c r="AS49" i="7"/>
  <c r="R49" i="7"/>
  <c r="BE58" i="9"/>
  <c r="AW68" i="7"/>
  <c r="V68" i="7"/>
  <c r="AU45" i="9"/>
  <c r="AM55" i="7"/>
  <c r="L55" i="7"/>
  <c r="AT45" i="9"/>
  <c r="AL55" i="7"/>
  <c r="K55" i="7"/>
  <c r="BI79" i="9"/>
  <c r="BA89" i="7"/>
  <c r="Z89" i="7"/>
  <c r="BK65" i="9"/>
  <c r="BC75" i="7"/>
  <c r="AB75" i="7"/>
  <c r="AN65" i="9"/>
  <c r="AF75" i="7"/>
  <c r="E75" i="7"/>
  <c r="AW67" i="9"/>
  <c r="AO77" i="7"/>
  <c r="N77" i="7"/>
  <c r="BA67" i="9"/>
  <c r="AS77" i="7"/>
  <c r="R77" i="7"/>
  <c r="BH83" i="9"/>
  <c r="AZ93" i="7"/>
  <c r="Y93" i="7"/>
  <c r="BA99" i="9"/>
  <c r="AS109" i="7"/>
  <c r="R109" i="7"/>
  <c r="AR99" i="9"/>
  <c r="AJ109" i="7"/>
  <c r="I109" i="7"/>
  <c r="AV46" i="9"/>
  <c r="AN56" i="7"/>
  <c r="M56" i="7"/>
  <c r="BI46" i="9"/>
  <c r="BA56" i="7"/>
  <c r="Z56" i="7"/>
  <c r="BJ32" i="9"/>
  <c r="BB42" i="7"/>
  <c r="AA42" i="7"/>
  <c r="BI34" i="9"/>
  <c r="BA44" i="7"/>
  <c r="Z44" i="7"/>
  <c r="BK34" i="9"/>
  <c r="BC44" i="7"/>
  <c r="AB44" i="7"/>
  <c r="BC64" i="9"/>
  <c r="AU74" i="7"/>
  <c r="T74" i="7"/>
  <c r="AV101" i="9"/>
  <c r="AN111" i="7"/>
  <c r="M111" i="7"/>
  <c r="BF101" i="9"/>
  <c r="AX111" i="7"/>
  <c r="W111" i="7"/>
  <c r="AP93" i="9"/>
  <c r="AH103" i="7"/>
  <c r="G103" i="7"/>
  <c r="AY93" i="9"/>
  <c r="AQ103" i="7"/>
  <c r="P103" i="7"/>
  <c r="AW55" i="9"/>
  <c r="AO65" i="7"/>
  <c r="N65" i="7"/>
  <c r="BF25" i="9"/>
  <c r="AX35" i="7"/>
  <c r="W35" i="7"/>
  <c r="AS25" i="9"/>
  <c r="AK35" i="7"/>
  <c r="J35" i="7"/>
  <c r="BJ74" i="9"/>
  <c r="BB84" i="7"/>
  <c r="AA84" i="7"/>
  <c r="AO74" i="9"/>
  <c r="AG84" i="7"/>
  <c r="F84" i="7"/>
  <c r="BH61" i="9"/>
  <c r="AZ71" i="7"/>
  <c r="Y71" i="7"/>
  <c r="BE51" i="9"/>
  <c r="AW61" i="7"/>
  <c r="V61" i="7"/>
  <c r="BH51" i="9"/>
  <c r="AZ61" i="7"/>
  <c r="Y61" i="7"/>
  <c r="BE69" i="9"/>
  <c r="AW79" i="7"/>
  <c r="V79" i="7"/>
  <c r="BE22" i="9"/>
  <c r="AW32" i="7"/>
  <c r="V32" i="7"/>
  <c r="AU22" i="9"/>
  <c r="AM32" i="7"/>
  <c r="L32" i="7"/>
  <c r="AM91" i="9"/>
  <c r="AE101" i="7"/>
  <c r="D101" i="7"/>
  <c r="AL91" i="9"/>
  <c r="AD101" i="7"/>
  <c r="C101" i="7"/>
  <c r="AU28" i="9"/>
  <c r="AM38" i="7"/>
  <c r="L38" i="7"/>
  <c r="AT96" i="9"/>
  <c r="AL106" i="7"/>
  <c r="K106" i="7"/>
  <c r="BI96" i="9"/>
  <c r="BA106" i="7"/>
  <c r="Z106" i="7"/>
  <c r="AZ98" i="9"/>
  <c r="AR108" i="7"/>
  <c r="Q108" i="7"/>
  <c r="BE98" i="9"/>
  <c r="AW108" i="7"/>
  <c r="V108" i="7"/>
  <c r="BF71" i="9"/>
  <c r="AX81" i="7"/>
  <c r="W81" i="7"/>
  <c r="BD71" i="9"/>
  <c r="AV81" i="7"/>
  <c r="U81" i="7"/>
  <c r="BD41" i="9"/>
  <c r="AV51" i="7"/>
  <c r="U51" i="7"/>
  <c r="AL90" i="9"/>
  <c r="AD100" i="7"/>
  <c r="C100" i="7"/>
  <c r="AS90" i="9"/>
  <c r="AK100" i="7"/>
  <c r="J100" i="7"/>
  <c r="BK77" i="9"/>
  <c r="BC87" i="7"/>
  <c r="AB87" i="7"/>
  <c r="BI77" i="9"/>
  <c r="BA87" i="7"/>
  <c r="Z87" i="7"/>
  <c r="AM115" i="9"/>
  <c r="AE125" i="7"/>
  <c r="D125" i="7"/>
  <c r="AQ62" i="9"/>
  <c r="AI72" i="7"/>
  <c r="H72" i="7"/>
  <c r="AY62" i="9"/>
  <c r="AQ72" i="7"/>
  <c r="P72" i="7"/>
  <c r="BG94" i="9"/>
  <c r="AY104" i="7"/>
  <c r="X104" i="7"/>
  <c r="AZ94" i="9"/>
  <c r="AR104" i="7"/>
  <c r="Q104" i="7"/>
  <c r="AS60" i="9"/>
  <c r="AK70" i="7"/>
  <c r="J70" i="7"/>
  <c r="BJ87" i="9"/>
  <c r="BB97" i="7"/>
  <c r="AA97" i="7"/>
  <c r="AN57" i="9"/>
  <c r="AF67" i="7"/>
  <c r="E67" i="7"/>
  <c r="BJ57" i="9"/>
  <c r="BB67" i="7"/>
  <c r="AA67" i="7"/>
  <c r="AZ106" i="9"/>
  <c r="AR116" i="7"/>
  <c r="Q116" i="7"/>
  <c r="BB106" i="9"/>
  <c r="AT116" i="7"/>
  <c r="S116" i="7"/>
  <c r="AT105" i="9"/>
  <c r="AL115" i="7"/>
  <c r="K115" i="7"/>
  <c r="BJ105" i="9"/>
  <c r="BB115" i="7"/>
  <c r="AA115" i="7"/>
  <c r="BC50" i="9"/>
  <c r="AU60" i="7"/>
  <c r="T60" i="7"/>
  <c r="BF50" i="9"/>
  <c r="AX60" i="7"/>
  <c r="W60" i="7"/>
  <c r="AR20" i="9"/>
  <c r="AJ30" i="7"/>
  <c r="I30" i="7"/>
  <c r="AU36" i="9"/>
  <c r="AM46" i="7"/>
  <c r="L46" i="7"/>
  <c r="BD36" i="9"/>
  <c r="AV46" i="7"/>
  <c r="U46" i="7"/>
  <c r="BF118" i="9"/>
  <c r="AX128" i="7"/>
  <c r="W128" i="7"/>
  <c r="AM108" i="9"/>
  <c r="AE118" i="7"/>
  <c r="D118" i="7"/>
  <c r="AQ108" i="9"/>
  <c r="AI118" i="7"/>
  <c r="H118" i="7"/>
  <c r="AM103" i="9"/>
  <c r="AE113" i="7"/>
  <c r="D113" i="7"/>
  <c r="BF103" i="9"/>
  <c r="AX113" i="7"/>
  <c r="W113" i="7"/>
  <c r="BB73" i="9"/>
  <c r="AT83" i="7"/>
  <c r="S83" i="7"/>
  <c r="BA122" i="9"/>
  <c r="AS132" i="7"/>
  <c r="R132" i="7"/>
  <c r="AV122" i="9"/>
  <c r="AN132" i="7"/>
  <c r="M132" i="7"/>
  <c r="AW30" i="9"/>
  <c r="AO40" i="7"/>
  <c r="N40" i="7"/>
  <c r="AQ30" i="9"/>
  <c r="AI40" i="7"/>
  <c r="H40" i="7"/>
  <c r="BJ102" i="9"/>
  <c r="BB112" i="7"/>
  <c r="AA112" i="7"/>
  <c r="BB16" i="9"/>
  <c r="AT26" i="7"/>
  <c r="S26" i="7"/>
  <c r="BE16" i="9"/>
  <c r="AW26" i="7"/>
  <c r="V26" i="7"/>
  <c r="BB18" i="9"/>
  <c r="AT28" i="7"/>
  <c r="S28" i="7"/>
  <c r="AR48" i="9"/>
  <c r="AJ58" i="7"/>
  <c r="I58" i="7"/>
  <c r="AS48" i="9"/>
  <c r="AK58" i="7"/>
  <c r="J58" i="7"/>
  <c r="AM44" i="9"/>
  <c r="AE54" i="7"/>
  <c r="D54" i="7"/>
  <c r="BB44" i="9"/>
  <c r="AT54" i="7"/>
  <c r="S54" i="7"/>
  <c r="AN112" i="9"/>
  <c r="AF122" i="7"/>
  <c r="E122" i="7"/>
  <c r="AX104" i="9"/>
  <c r="AP114" i="7"/>
  <c r="O114" i="7"/>
  <c r="BA104" i="9"/>
  <c r="AS114" i="7"/>
  <c r="R114" i="7"/>
  <c r="BD38" i="9"/>
  <c r="AV48" i="7"/>
  <c r="U48" i="7"/>
  <c r="BH43" i="9"/>
  <c r="AZ53" i="7"/>
  <c r="Y53" i="7"/>
  <c r="AV43" i="9"/>
  <c r="AN53" i="7"/>
  <c r="M53" i="7"/>
  <c r="BF53" i="9"/>
  <c r="AX63" i="7"/>
  <c r="W63" i="7"/>
  <c r="AZ88" i="9"/>
  <c r="AR98" i="7"/>
  <c r="Q98" i="7"/>
  <c r="BE88" i="9"/>
  <c r="AW98" i="7"/>
  <c r="V98" i="7"/>
  <c r="BE121" i="9"/>
  <c r="AW131" i="7"/>
  <c r="V131" i="7"/>
  <c r="AZ59" i="9"/>
  <c r="AR69" i="7"/>
  <c r="Q69" i="7"/>
  <c r="AU59" i="9"/>
  <c r="AM69" i="7"/>
  <c r="L69" i="7"/>
  <c r="AW107" i="9"/>
  <c r="AO117" i="7"/>
  <c r="N117" i="7"/>
  <c r="BJ31" i="9"/>
  <c r="BB41" i="7"/>
  <c r="AA41" i="7"/>
  <c r="AX31" i="9"/>
  <c r="AP41" i="7"/>
  <c r="O41" i="7"/>
  <c r="AS24" i="9"/>
  <c r="AK34" i="7"/>
  <c r="J34" i="7"/>
  <c r="BA27" i="9"/>
  <c r="AS37" i="7"/>
  <c r="R37" i="7"/>
  <c r="AN27" i="9"/>
  <c r="AF37" i="7"/>
  <c r="E37" i="7"/>
  <c r="BK82" i="9"/>
  <c r="BC92" i="7"/>
  <c r="AB92" i="7"/>
  <c r="AQ82" i="9"/>
  <c r="AI92" i="7"/>
  <c r="H92" i="7"/>
  <c r="AM92" i="9"/>
  <c r="AE102" i="7"/>
  <c r="D102" i="7"/>
  <c r="AN40" i="9"/>
  <c r="AF50" i="7"/>
  <c r="E50" i="7"/>
  <c r="BF40" i="9"/>
  <c r="AX50" i="7"/>
  <c r="W50" i="7"/>
  <c r="BI66" i="9"/>
  <c r="BA76" i="7"/>
  <c r="Z76" i="7"/>
  <c r="AP66" i="9"/>
  <c r="AH76" i="7"/>
  <c r="G76" i="7"/>
  <c r="BC52" i="9"/>
  <c r="AU62" i="7"/>
  <c r="T62" i="7"/>
  <c r="BB68" i="9"/>
  <c r="AT78" i="7"/>
  <c r="S78" i="7"/>
  <c r="AO68" i="9"/>
  <c r="AG78" i="7"/>
  <c r="F78" i="7"/>
  <c r="AR37" i="9"/>
  <c r="AJ47" i="7"/>
  <c r="I47" i="7"/>
  <c r="AP56" i="9"/>
  <c r="AH66" i="7"/>
  <c r="G66" i="7"/>
  <c r="AY56" i="9"/>
  <c r="AQ66" i="7"/>
  <c r="P66" i="7"/>
  <c r="AW75" i="9"/>
  <c r="AO85" i="7"/>
  <c r="N85" i="7"/>
  <c r="AT75" i="9"/>
  <c r="AL85" i="7"/>
  <c r="K85" i="7"/>
  <c r="AN114" i="9"/>
  <c r="AF124" i="7"/>
  <c r="E124" i="7"/>
  <c r="BJ84" i="9"/>
  <c r="BB94" i="7"/>
  <c r="AA94" i="7"/>
  <c r="AW84" i="9"/>
  <c r="AO94" i="7"/>
  <c r="N94" i="7"/>
  <c r="AS35" i="9"/>
  <c r="AK45" i="7"/>
  <c r="J45" i="7"/>
  <c r="BC78" i="9"/>
  <c r="AU88" i="7"/>
  <c r="T88" i="7"/>
  <c r="AP49" i="9"/>
  <c r="AH59" i="7"/>
  <c r="G59" i="7"/>
  <c r="AM80" i="9"/>
  <c r="AE90" i="7"/>
  <c r="D90" i="7"/>
  <c r="BF83" i="9"/>
  <c r="AX93" i="7"/>
  <c r="W93" i="7"/>
  <c r="BJ55" i="9"/>
  <c r="BB65" i="7"/>
  <c r="AA65" i="7"/>
  <c r="BC28" i="9"/>
  <c r="AU38" i="7"/>
  <c r="T38" i="7"/>
  <c r="AN94" i="9"/>
  <c r="AF104" i="7"/>
  <c r="E104" i="7"/>
  <c r="BG36" i="9"/>
  <c r="AY46" i="7"/>
  <c r="X46" i="7"/>
  <c r="BI48" i="9"/>
  <c r="BA58" i="7"/>
  <c r="Z58" i="7"/>
  <c r="BJ40" i="9"/>
  <c r="BB50" i="7"/>
  <c r="AA50" i="7"/>
  <c r="BD120" i="9"/>
  <c r="AV130" i="7"/>
  <c r="U130" i="7"/>
  <c r="AP33" i="9"/>
  <c r="AH43" i="7"/>
  <c r="G43" i="7"/>
  <c r="BB116" i="9"/>
  <c r="AT126" i="7"/>
  <c r="S126" i="7"/>
  <c r="AL97" i="9"/>
  <c r="AD107" i="7"/>
  <c r="C107" i="7"/>
  <c r="AU120" i="9"/>
  <c r="AM130" i="7"/>
  <c r="L130" i="7"/>
  <c r="BE120" i="9"/>
  <c r="AW130" i="7"/>
  <c r="V130" i="7"/>
  <c r="AX26" i="9"/>
  <c r="AP36" i="7"/>
  <c r="O36" i="7"/>
  <c r="AZ47" i="9"/>
  <c r="AR57" i="7"/>
  <c r="Q57" i="7"/>
  <c r="BF47" i="9"/>
  <c r="AX57" i="7"/>
  <c r="W57" i="7"/>
  <c r="BH33" i="9"/>
  <c r="AZ43" i="7"/>
  <c r="Y43" i="7"/>
  <c r="BF70" i="9"/>
  <c r="AX80" i="7"/>
  <c r="W80" i="7"/>
  <c r="AO70" i="9"/>
  <c r="AG80" i="7"/>
  <c r="F80" i="7"/>
  <c r="AM100" i="9"/>
  <c r="AE110" i="7"/>
  <c r="D110" i="7"/>
  <c r="BE116" i="9"/>
  <c r="AW126" i="7"/>
  <c r="V126" i="7"/>
  <c r="AS116" i="9"/>
  <c r="AK126" i="7"/>
  <c r="J126" i="7"/>
  <c r="BK35" i="9"/>
  <c r="BC45" i="7"/>
  <c r="AB45" i="7"/>
  <c r="AX35" i="9"/>
  <c r="AP45" i="7"/>
  <c r="O45" i="7"/>
  <c r="AP21" i="9"/>
  <c r="AH31" i="7"/>
  <c r="G31" i="7"/>
  <c r="BH95" i="9"/>
  <c r="AZ105" i="7"/>
  <c r="Y105" i="7"/>
  <c r="AS95" i="9"/>
  <c r="AK105" i="7"/>
  <c r="J105" i="7"/>
  <c r="AT86" i="9"/>
  <c r="AL96" i="7"/>
  <c r="K96" i="7"/>
  <c r="BK86" i="9"/>
  <c r="BC96" i="7"/>
  <c r="AB96" i="7"/>
  <c r="BK97" i="9"/>
  <c r="BC107" i="7"/>
  <c r="AB107" i="7"/>
  <c r="AS85" i="9"/>
  <c r="AK95" i="7"/>
  <c r="J95" i="7"/>
  <c r="AT85" i="9"/>
  <c r="AL95" i="7"/>
  <c r="K95" i="7"/>
  <c r="AN89" i="9"/>
  <c r="AF99" i="7"/>
  <c r="E99" i="7"/>
  <c r="BD78" i="9"/>
  <c r="AV88" i="7"/>
  <c r="U88" i="7"/>
  <c r="AO78" i="9"/>
  <c r="AG88" i="7"/>
  <c r="F88" i="7"/>
  <c r="AO110" i="9"/>
  <c r="AG120" i="7"/>
  <c r="F120" i="7"/>
  <c r="AQ110" i="9"/>
  <c r="AI120" i="7"/>
  <c r="H120" i="7"/>
  <c r="AX72" i="9"/>
  <c r="AP82" i="7"/>
  <c r="O82" i="7"/>
  <c r="AQ23" i="9"/>
  <c r="AI33" i="7"/>
  <c r="H33" i="7"/>
  <c r="AT23" i="9"/>
  <c r="AL33" i="7"/>
  <c r="K33" i="7"/>
  <c r="BF109" i="9"/>
  <c r="AX119" i="7"/>
  <c r="W119" i="7"/>
  <c r="AS109" i="9"/>
  <c r="AK119" i="7"/>
  <c r="J119" i="7"/>
  <c r="AN42" i="9"/>
  <c r="AF52" i="7"/>
  <c r="E52" i="7"/>
  <c r="AQ29" i="9"/>
  <c r="AI39" i="7"/>
  <c r="H39" i="7"/>
  <c r="AU29" i="9"/>
  <c r="AM39" i="7"/>
  <c r="L39" i="7"/>
  <c r="AZ63" i="9"/>
  <c r="AR73" i="7"/>
  <c r="Q73" i="7"/>
  <c r="BB49" i="9"/>
  <c r="BP49" i="9" s="1"/>
  <c r="AT59" i="7"/>
  <c r="S59" i="7"/>
  <c r="BJ49" i="9"/>
  <c r="BB59" i="7"/>
  <c r="AA59" i="7"/>
  <c r="AZ19" i="9"/>
  <c r="AR29" i="7"/>
  <c r="Q29" i="7"/>
  <c r="BI19" i="9"/>
  <c r="BA29" i="7"/>
  <c r="Z29" i="7"/>
  <c r="AU81" i="9"/>
  <c r="AM91" i="7"/>
  <c r="L91" i="7"/>
  <c r="AO111" i="9"/>
  <c r="AG121" i="7"/>
  <c r="F121" i="7"/>
  <c r="BA111" i="9"/>
  <c r="AS121" i="7"/>
  <c r="R121" i="7"/>
  <c r="AQ113" i="9"/>
  <c r="AI123" i="7"/>
  <c r="H123" i="7"/>
  <c r="BJ113" i="9"/>
  <c r="BB123" i="7"/>
  <c r="AA123" i="7"/>
  <c r="AR119" i="9"/>
  <c r="AJ129" i="7"/>
  <c r="I129" i="7"/>
  <c r="AR117" i="9"/>
  <c r="AJ127" i="7"/>
  <c r="I127" i="7"/>
  <c r="BI117" i="9"/>
  <c r="BA127" i="7"/>
  <c r="Z127" i="7"/>
  <c r="BH54" i="9"/>
  <c r="AZ64" i="7"/>
  <c r="Y64" i="7"/>
  <c r="AV80" i="9"/>
  <c r="AN90" i="7"/>
  <c r="M90" i="7"/>
  <c r="BA80" i="9"/>
  <c r="AS90" i="7"/>
  <c r="R90" i="7"/>
  <c r="AR76" i="9"/>
  <c r="AJ86" i="7"/>
  <c r="I86" i="7"/>
  <c r="BG76" i="9"/>
  <c r="AY86" i="7"/>
  <c r="X86" i="7"/>
  <c r="BH17" i="9"/>
  <c r="AZ27" i="7"/>
  <c r="Y27" i="7"/>
  <c r="AN39" i="9"/>
  <c r="AF49" i="7"/>
  <c r="E49" i="7"/>
  <c r="AS39" i="9"/>
  <c r="AK49" i="7"/>
  <c r="J49" i="7"/>
  <c r="AO58" i="9"/>
  <c r="AG68" i="7"/>
  <c r="F68" i="7"/>
  <c r="BA45" i="9"/>
  <c r="AS55" i="7"/>
  <c r="R55" i="7"/>
  <c r="AN45" i="9"/>
  <c r="AF55" i="7"/>
  <c r="E55" i="7"/>
  <c r="AS79" i="9"/>
  <c r="AK89" i="7"/>
  <c r="J89" i="7"/>
  <c r="AP65" i="9"/>
  <c r="AH75" i="7"/>
  <c r="G75" i="7"/>
  <c r="BE65" i="9"/>
  <c r="AW75" i="7"/>
  <c r="V75" i="7"/>
  <c r="BI67" i="9"/>
  <c r="BA77" i="7"/>
  <c r="Z77" i="7"/>
  <c r="AN67" i="9"/>
  <c r="AF77" i="7"/>
  <c r="E77" i="7"/>
  <c r="AR83" i="9"/>
  <c r="AJ93" i="7"/>
  <c r="I93" i="7"/>
  <c r="AO99" i="9"/>
  <c r="AG109" i="7"/>
  <c r="F109" i="7"/>
  <c r="AS99" i="9"/>
  <c r="AK109" i="7"/>
  <c r="J109" i="7"/>
  <c r="AP46" i="9"/>
  <c r="AH56" i="7"/>
  <c r="G56" i="7"/>
  <c r="BB46" i="9"/>
  <c r="AT56" i="7"/>
  <c r="S56" i="7"/>
  <c r="BA32" i="9"/>
  <c r="AS42" i="7"/>
  <c r="R42" i="7"/>
  <c r="AS34" i="9"/>
  <c r="AK44" i="7"/>
  <c r="J44" i="7"/>
  <c r="AM34" i="9"/>
  <c r="AE44" i="7"/>
  <c r="D44" i="7"/>
  <c r="AU64" i="9"/>
  <c r="AM74" i="7"/>
  <c r="L74" i="7"/>
  <c r="AT101" i="9"/>
  <c r="AL111" i="7"/>
  <c r="K111" i="7"/>
  <c r="BJ101" i="9"/>
  <c r="BB111" i="7"/>
  <c r="AA111" i="7"/>
  <c r="BB93" i="9"/>
  <c r="AT103" i="7"/>
  <c r="S103" i="7"/>
  <c r="AR93" i="9"/>
  <c r="AJ103" i="7"/>
  <c r="I103" i="7"/>
  <c r="BK55" i="9"/>
  <c r="BC65" i="7"/>
  <c r="AB65" i="7"/>
  <c r="AP25" i="9"/>
  <c r="AH35" i="7"/>
  <c r="G35" i="7"/>
  <c r="AL25" i="9"/>
  <c r="AD35" i="7"/>
  <c r="C35" i="7"/>
  <c r="BD74" i="9"/>
  <c r="AV84" i="7"/>
  <c r="U84" i="7"/>
  <c r="AZ74" i="9"/>
  <c r="AR84" i="7"/>
  <c r="Q84" i="7"/>
  <c r="AR61" i="9"/>
  <c r="AJ71" i="7"/>
  <c r="I71" i="7"/>
  <c r="AS51" i="9"/>
  <c r="AK61" i="7"/>
  <c r="J61" i="7"/>
  <c r="AX51" i="9"/>
  <c r="AP61" i="7"/>
  <c r="O61" i="7"/>
  <c r="AS69" i="9"/>
  <c r="AK79" i="7"/>
  <c r="J79" i="7"/>
  <c r="AZ22" i="9"/>
  <c r="AR32" i="7"/>
  <c r="Q32" i="7"/>
  <c r="AR22" i="9"/>
  <c r="AJ32" i="7"/>
  <c r="I32" i="7"/>
  <c r="AX91" i="9"/>
  <c r="AP101" i="7"/>
  <c r="O101" i="7"/>
  <c r="BC91" i="9"/>
  <c r="AU101" i="7"/>
  <c r="T101" i="7"/>
  <c r="BD28" i="9"/>
  <c r="AV38" i="7"/>
  <c r="U38" i="7"/>
  <c r="AN96" i="9"/>
  <c r="AF106" i="7"/>
  <c r="E106" i="7"/>
  <c r="AR96" i="9"/>
  <c r="AJ106" i="7"/>
  <c r="I106" i="7"/>
  <c r="BD98" i="9"/>
  <c r="AV108" i="7"/>
  <c r="U108" i="7"/>
  <c r="BG98" i="9"/>
  <c r="AY108" i="7"/>
  <c r="X108" i="7"/>
  <c r="BI71" i="9"/>
  <c r="BA81" i="7"/>
  <c r="Z81" i="7"/>
  <c r="AU71" i="9"/>
  <c r="AM81" i="7"/>
  <c r="L81" i="7"/>
  <c r="AT41" i="9"/>
  <c r="AL51" i="7"/>
  <c r="K51" i="7"/>
  <c r="BK90" i="9"/>
  <c r="BC100" i="7"/>
  <c r="AB100" i="7"/>
  <c r="AN90" i="9"/>
  <c r="AF100" i="7"/>
  <c r="E100" i="7"/>
  <c r="BA77" i="9"/>
  <c r="AS87" i="7"/>
  <c r="R87" i="7"/>
  <c r="BH77" i="9"/>
  <c r="AZ87" i="7"/>
  <c r="Y87" i="7"/>
  <c r="BI115" i="9"/>
  <c r="BA125" i="7"/>
  <c r="Z125" i="7"/>
  <c r="BC62" i="9"/>
  <c r="AU72" i="7"/>
  <c r="T72" i="7"/>
  <c r="BJ62" i="9"/>
  <c r="BB72" i="7"/>
  <c r="AA72" i="7"/>
  <c r="BA94" i="9"/>
  <c r="AS104" i="7"/>
  <c r="R104" i="7"/>
  <c r="AR94" i="9"/>
  <c r="AJ104" i="7"/>
  <c r="I104" i="7"/>
  <c r="AW60" i="9"/>
  <c r="AO70" i="7"/>
  <c r="N70" i="7"/>
  <c r="AM87" i="9"/>
  <c r="AE97" i="7"/>
  <c r="D97" i="7"/>
  <c r="AY57" i="9"/>
  <c r="AQ67" i="7"/>
  <c r="P67" i="7"/>
  <c r="AL57" i="9"/>
  <c r="AD67" i="7"/>
  <c r="C67" i="7"/>
  <c r="AQ106" i="9"/>
  <c r="AI116" i="7"/>
  <c r="H116" i="7"/>
  <c r="BK106" i="9"/>
  <c r="BC116" i="7"/>
  <c r="AB116" i="7"/>
  <c r="BB105" i="9"/>
  <c r="AT115" i="7"/>
  <c r="S115" i="7"/>
  <c r="BH105" i="9"/>
  <c r="AZ115" i="7"/>
  <c r="Y115" i="7"/>
  <c r="BK50" i="9"/>
  <c r="BC60" i="7"/>
  <c r="AB60" i="7"/>
  <c r="AX50" i="9"/>
  <c r="AP60" i="7"/>
  <c r="O60" i="7"/>
  <c r="BB20" i="9"/>
  <c r="AT30" i="7"/>
  <c r="S30" i="7"/>
  <c r="AP36" i="9"/>
  <c r="AH46" i="7"/>
  <c r="G46" i="7"/>
  <c r="BK36" i="9"/>
  <c r="BC46" i="7"/>
  <c r="AB46" i="7"/>
  <c r="BB118" i="9"/>
  <c r="AT128" i="7"/>
  <c r="S128" i="7"/>
  <c r="AL108" i="9"/>
  <c r="AD118" i="7"/>
  <c r="C118" i="7"/>
  <c r="AN108" i="9"/>
  <c r="AF118" i="7"/>
  <c r="E118" i="7"/>
  <c r="AU103" i="9"/>
  <c r="AM113" i="7"/>
  <c r="L113" i="7"/>
  <c r="AR103" i="9"/>
  <c r="AJ113" i="7"/>
  <c r="I113" i="7"/>
  <c r="BJ73" i="9"/>
  <c r="BB83" i="7"/>
  <c r="AA83" i="7"/>
  <c r="BH122" i="9"/>
  <c r="AZ132" i="7"/>
  <c r="Y132" i="7"/>
  <c r="BJ122" i="9"/>
  <c r="BB132" i="7"/>
  <c r="AA132" i="7"/>
  <c r="AO30" i="9"/>
  <c r="AG40" i="7"/>
  <c r="F40" i="7"/>
  <c r="BF30" i="9"/>
  <c r="AX40" i="7"/>
  <c r="W40" i="7"/>
  <c r="AP102" i="9"/>
  <c r="AH112" i="7"/>
  <c r="G112" i="7"/>
  <c r="BH16" i="9"/>
  <c r="AZ26" i="7"/>
  <c r="Y26" i="7"/>
  <c r="AM16" i="9"/>
  <c r="AE26" i="7"/>
  <c r="D26" i="7"/>
  <c r="BI18" i="9"/>
  <c r="BA28" i="7"/>
  <c r="Z28" i="7"/>
  <c r="AQ48" i="9"/>
  <c r="AI58" i="7"/>
  <c r="H58" i="7"/>
  <c r="BE48" i="9"/>
  <c r="AW58" i="7"/>
  <c r="V58" i="7"/>
  <c r="BC44" i="9"/>
  <c r="AU54" i="7"/>
  <c r="T54" i="7"/>
  <c r="AN44" i="9"/>
  <c r="AF54" i="7"/>
  <c r="E54" i="7"/>
  <c r="AZ112" i="9"/>
  <c r="AR122" i="7"/>
  <c r="Q122" i="7"/>
  <c r="BJ104" i="9"/>
  <c r="BB114" i="7"/>
  <c r="AA114" i="7"/>
  <c r="AP104" i="9"/>
  <c r="AH114" i="7"/>
  <c r="G114" i="7"/>
  <c r="BH38" i="9"/>
  <c r="AZ48" i="7"/>
  <c r="Y48" i="7"/>
  <c r="BB43" i="9"/>
  <c r="AT53" i="7"/>
  <c r="S53" i="7"/>
  <c r="BC43" i="9"/>
  <c r="AU53" i="7"/>
  <c r="T53" i="7"/>
  <c r="BC53" i="9"/>
  <c r="AU63" i="7"/>
  <c r="T63" i="7"/>
  <c r="BI88" i="9"/>
  <c r="BA98" i="7"/>
  <c r="Z98" i="7"/>
  <c r="AO88" i="9"/>
  <c r="AG98" i="7"/>
  <c r="F98" i="7"/>
  <c r="AO121" i="9"/>
  <c r="AG131" i="7"/>
  <c r="F131" i="7"/>
  <c r="AS59" i="9"/>
  <c r="AK69" i="7"/>
  <c r="J69" i="7"/>
  <c r="BB59" i="9"/>
  <c r="AT69" i="7"/>
  <c r="S69" i="7"/>
  <c r="BD107" i="9"/>
  <c r="AV117" i="7"/>
  <c r="U117" i="7"/>
  <c r="BD31" i="9"/>
  <c r="AV41" i="7"/>
  <c r="U41" i="7"/>
  <c r="BF31" i="9"/>
  <c r="AX41" i="7"/>
  <c r="W41" i="7"/>
  <c r="AZ24" i="9"/>
  <c r="AR34" i="7"/>
  <c r="Q34" i="7"/>
  <c r="BJ27" i="9"/>
  <c r="BB37" i="7"/>
  <c r="AA37" i="7"/>
  <c r="BG27" i="9"/>
  <c r="AY37" i="7"/>
  <c r="X37" i="7"/>
  <c r="BA82" i="9"/>
  <c r="AS92" i="7"/>
  <c r="R92" i="7"/>
  <c r="BF82" i="9"/>
  <c r="AX92" i="7"/>
  <c r="W92" i="7"/>
  <c r="AT92" i="9"/>
  <c r="AL102" i="7"/>
  <c r="K102" i="7"/>
  <c r="AM40" i="9"/>
  <c r="AE50" i="7"/>
  <c r="D50" i="7"/>
  <c r="AY40" i="9"/>
  <c r="AQ50" i="7"/>
  <c r="P50" i="7"/>
  <c r="BE66" i="9"/>
  <c r="AW76" i="7"/>
  <c r="V76" i="7"/>
  <c r="AW66" i="9"/>
  <c r="AO76" i="7"/>
  <c r="N76" i="7"/>
  <c r="AU52" i="9"/>
  <c r="AM62" i="7"/>
  <c r="L62" i="7"/>
  <c r="AY68" i="9"/>
  <c r="AQ78" i="7"/>
  <c r="P78" i="7"/>
  <c r="AQ68" i="9"/>
  <c r="AI78" i="7"/>
  <c r="H78" i="7"/>
  <c r="AL37" i="9"/>
  <c r="AD47" i="7"/>
  <c r="C47" i="7"/>
  <c r="AT56" i="9"/>
  <c r="AL66" i="7"/>
  <c r="K66" i="7"/>
  <c r="AN56" i="9"/>
  <c r="AF66" i="7"/>
  <c r="E66" i="7"/>
  <c r="AL75" i="9"/>
  <c r="AD85" i="7"/>
  <c r="C85" i="7"/>
  <c r="AQ75" i="9"/>
  <c r="AI85" i="7"/>
  <c r="H85" i="7"/>
  <c r="AV114" i="9"/>
  <c r="AN124" i="7"/>
  <c r="M124" i="7"/>
  <c r="BI84" i="9"/>
  <c r="BA94" i="7"/>
  <c r="Z94" i="7"/>
  <c r="AO84" i="9"/>
  <c r="AG94" i="7"/>
  <c r="F94" i="7"/>
  <c r="AW111" i="9"/>
  <c r="AO121" i="7"/>
  <c r="N121" i="7"/>
  <c r="AN17" i="9"/>
  <c r="AF27" i="7"/>
  <c r="E27" i="7"/>
  <c r="BK99" i="9"/>
  <c r="BC109" i="7"/>
  <c r="AB109" i="7"/>
  <c r="AR25" i="9"/>
  <c r="AJ35" i="7"/>
  <c r="I35" i="7"/>
  <c r="AX98" i="9"/>
  <c r="AP108" i="7"/>
  <c r="O108" i="7"/>
  <c r="BI62" i="9"/>
  <c r="BA72" i="7"/>
  <c r="Z72" i="7"/>
  <c r="BJ16" i="9"/>
  <c r="AA26" i="7"/>
  <c r="BB26" i="7"/>
  <c r="BH66" i="9"/>
  <c r="AZ76" i="7"/>
  <c r="Y76" i="7"/>
  <c r="AQ120" i="9"/>
  <c r="AI130" i="7"/>
  <c r="H130" i="7"/>
  <c r="AY70" i="9"/>
  <c r="AQ80" i="7"/>
  <c r="P80" i="7"/>
  <c r="BE35" i="9"/>
  <c r="AW45" i="7"/>
  <c r="V45" i="7"/>
  <c r="AX95" i="9"/>
  <c r="AP105" i="7"/>
  <c r="O105" i="7"/>
  <c r="AQ89" i="9"/>
  <c r="AI99" i="7"/>
  <c r="H99" i="7"/>
  <c r="AM120" i="9"/>
  <c r="AE130" i="7"/>
  <c r="D130" i="7"/>
  <c r="AX120" i="9"/>
  <c r="AP130" i="7"/>
  <c r="O130" i="7"/>
  <c r="BG26" i="9"/>
  <c r="AY36" i="7"/>
  <c r="X36" i="7"/>
  <c r="BG47" i="9"/>
  <c r="AY57" i="7"/>
  <c r="X57" i="7"/>
  <c r="BK33" i="9"/>
  <c r="BC43" i="7"/>
  <c r="AB43" i="7"/>
  <c r="AL33" i="9"/>
  <c r="AD43" i="7"/>
  <c r="C43" i="7"/>
  <c r="BI70" i="9"/>
  <c r="BA80" i="7"/>
  <c r="Z80" i="7"/>
  <c r="AL70" i="9"/>
  <c r="AD80" i="7"/>
  <c r="C80" i="7"/>
  <c r="AT100" i="9"/>
  <c r="AL110" i="7"/>
  <c r="K110" i="7"/>
  <c r="AX116" i="9"/>
  <c r="AP126" i="7"/>
  <c r="O126" i="7"/>
  <c r="BG116" i="9"/>
  <c r="AY126" i="7"/>
  <c r="X126" i="7"/>
  <c r="BJ35" i="9"/>
  <c r="BB45" i="7"/>
  <c r="AA45" i="7"/>
  <c r="BD35" i="9"/>
  <c r="AV45" i="7"/>
  <c r="U45" i="7"/>
  <c r="AV21" i="9"/>
  <c r="AN31" i="7"/>
  <c r="M31" i="7"/>
  <c r="AP95" i="9"/>
  <c r="AH105" i="7"/>
  <c r="G105" i="7"/>
  <c r="AV95" i="9"/>
  <c r="AN105" i="7"/>
  <c r="M105" i="7"/>
  <c r="BB86" i="9"/>
  <c r="AT96" i="7"/>
  <c r="S96" i="7"/>
  <c r="AX97" i="9"/>
  <c r="AP107" i="7"/>
  <c r="O107" i="7"/>
  <c r="BH97" i="9"/>
  <c r="AZ107" i="7"/>
  <c r="Y107" i="7"/>
  <c r="AX85" i="9"/>
  <c r="AP95" i="7"/>
  <c r="O95" i="7"/>
  <c r="AL85" i="9"/>
  <c r="AD95" i="7"/>
  <c r="C95" i="7"/>
  <c r="AV89" i="9"/>
  <c r="AN99" i="7"/>
  <c r="M99" i="7"/>
  <c r="AP78" i="9"/>
  <c r="AH88" i="7"/>
  <c r="G88" i="7"/>
  <c r="AM78" i="9"/>
  <c r="AE88" i="7"/>
  <c r="D88" i="7"/>
  <c r="AY110" i="9"/>
  <c r="AQ120" i="7"/>
  <c r="P120" i="7"/>
  <c r="BA110" i="9"/>
  <c r="AS120" i="7"/>
  <c r="R120" i="7"/>
  <c r="AQ72" i="9"/>
  <c r="AI82" i="7"/>
  <c r="H82" i="7"/>
  <c r="AP23" i="9"/>
  <c r="AH33" i="7"/>
  <c r="G33" i="7"/>
  <c r="AN23" i="9"/>
  <c r="AF33" i="7"/>
  <c r="E33" i="7"/>
  <c r="AY109" i="9"/>
  <c r="AQ119" i="7"/>
  <c r="P119" i="7"/>
  <c r="AM42" i="9"/>
  <c r="AE52" i="7"/>
  <c r="D52" i="7"/>
  <c r="AU42" i="9"/>
  <c r="AM52" i="7"/>
  <c r="L52" i="7"/>
  <c r="AW29" i="9"/>
  <c r="AO39" i="7"/>
  <c r="N39" i="7"/>
  <c r="BC29" i="9"/>
  <c r="AU39" i="7"/>
  <c r="T39" i="7"/>
  <c r="AX63" i="9"/>
  <c r="AP73" i="7"/>
  <c r="O73" i="7"/>
  <c r="BH49" i="9"/>
  <c r="AZ59" i="7"/>
  <c r="Y59" i="7"/>
  <c r="AN49" i="9"/>
  <c r="AF59" i="7"/>
  <c r="E59" i="7"/>
  <c r="AY19" i="9"/>
  <c r="AQ29" i="7"/>
  <c r="P29" i="7"/>
  <c r="AN19" i="9"/>
  <c r="AF29" i="7"/>
  <c r="E29" i="7"/>
  <c r="BJ81" i="9"/>
  <c r="BB91" i="7"/>
  <c r="AA91" i="7"/>
  <c r="AM111" i="9"/>
  <c r="AE121" i="7"/>
  <c r="D121" i="7"/>
  <c r="AR111" i="9"/>
  <c r="AJ121" i="7"/>
  <c r="I121" i="7"/>
  <c r="BH113" i="9"/>
  <c r="AZ123" i="7"/>
  <c r="Y123" i="7"/>
  <c r="AP119" i="9"/>
  <c r="AH129" i="7"/>
  <c r="G129" i="7"/>
  <c r="BG119" i="9"/>
  <c r="AY129" i="7"/>
  <c r="X129" i="7"/>
  <c r="AL117" i="9"/>
  <c r="AD127" i="7"/>
  <c r="C127" i="7"/>
  <c r="BK117" i="9"/>
  <c r="BC127" i="7"/>
  <c r="AB127" i="7"/>
  <c r="BE54" i="9"/>
  <c r="AW64" i="7"/>
  <c r="V64" i="7"/>
  <c r="BK80" i="9"/>
  <c r="BC90" i="7"/>
  <c r="AB90" i="7"/>
  <c r="BC80" i="9"/>
  <c r="AU90" i="7"/>
  <c r="T90" i="7"/>
  <c r="AM76" i="9"/>
  <c r="AE86" i="7"/>
  <c r="D86" i="7"/>
  <c r="BK76" i="9"/>
  <c r="BC86" i="7"/>
  <c r="AB86" i="7"/>
  <c r="BD17" i="9"/>
  <c r="AV27" i="7"/>
  <c r="U27" i="7"/>
  <c r="AY39" i="9"/>
  <c r="AQ49" i="7"/>
  <c r="P49" i="7"/>
  <c r="AZ39" i="9"/>
  <c r="AR49" i="7"/>
  <c r="Q49" i="7"/>
  <c r="AW58" i="9"/>
  <c r="AO68" i="7"/>
  <c r="N68" i="7"/>
  <c r="AX58" i="9"/>
  <c r="AP68" i="7"/>
  <c r="O68" i="7"/>
  <c r="BK45" i="9"/>
  <c r="BC55" i="7"/>
  <c r="AB55" i="7"/>
  <c r="BH45" i="9"/>
  <c r="AZ55" i="7"/>
  <c r="Y55" i="7"/>
  <c r="AR79" i="9"/>
  <c r="AJ89" i="7"/>
  <c r="I89" i="7"/>
  <c r="AM65" i="9"/>
  <c r="AE75" i="7"/>
  <c r="D75" i="7"/>
  <c r="BI65" i="9"/>
  <c r="BA75" i="7"/>
  <c r="Z75" i="7"/>
  <c r="AV67" i="9"/>
  <c r="AN77" i="7"/>
  <c r="M77" i="7"/>
  <c r="AT67" i="9"/>
  <c r="AL77" i="7"/>
  <c r="K77" i="7"/>
  <c r="BG83" i="9"/>
  <c r="AY93" i="7"/>
  <c r="X93" i="7"/>
  <c r="AZ99" i="9"/>
  <c r="AR109" i="7"/>
  <c r="Q109" i="7"/>
  <c r="BG99" i="9"/>
  <c r="AY109" i="7"/>
  <c r="X109" i="7"/>
  <c r="AW46" i="9"/>
  <c r="AO56" i="7"/>
  <c r="N56" i="7"/>
  <c r="AL32" i="9"/>
  <c r="AD42" i="7"/>
  <c r="C42" i="7"/>
  <c r="AT32" i="9"/>
  <c r="AL42" i="7"/>
  <c r="K42" i="7"/>
  <c r="BD34" i="9"/>
  <c r="AV44" i="7"/>
  <c r="U44" i="7"/>
  <c r="AU34" i="9"/>
  <c r="AM44" i="7"/>
  <c r="L44" i="7"/>
  <c r="AX64" i="9"/>
  <c r="AP74" i="7"/>
  <c r="O74" i="7"/>
  <c r="BC101" i="9"/>
  <c r="AU111" i="7"/>
  <c r="T111" i="7"/>
  <c r="BB101" i="9"/>
  <c r="AT111" i="7"/>
  <c r="S111" i="7"/>
  <c r="BE93" i="9"/>
  <c r="AW103" i="7"/>
  <c r="V103" i="7"/>
  <c r="AW93" i="9"/>
  <c r="AO103" i="7"/>
  <c r="N103" i="7"/>
  <c r="AS55" i="9"/>
  <c r="AK65" i="7"/>
  <c r="J65" i="7"/>
  <c r="BE25" i="9"/>
  <c r="AW35" i="7"/>
  <c r="V35" i="7"/>
  <c r="BH25" i="9"/>
  <c r="AZ35" i="7"/>
  <c r="Y35" i="7"/>
  <c r="BI74" i="9"/>
  <c r="BA84" i="7"/>
  <c r="Z84" i="7"/>
  <c r="AT61" i="9"/>
  <c r="AL71" i="7"/>
  <c r="K71" i="7"/>
  <c r="AX61" i="9"/>
  <c r="AP71" i="7"/>
  <c r="O71" i="7"/>
  <c r="BC51" i="9"/>
  <c r="AU61" i="7"/>
  <c r="T61" i="7"/>
  <c r="AT51" i="9"/>
  <c r="AL61" i="7"/>
  <c r="K61" i="7"/>
  <c r="AO69" i="9"/>
  <c r="AG79" i="7"/>
  <c r="F79" i="7"/>
  <c r="AP22" i="9"/>
  <c r="AH32" i="7"/>
  <c r="G32" i="7"/>
  <c r="BJ22" i="9"/>
  <c r="BB32" i="7"/>
  <c r="AA32" i="7"/>
  <c r="AW91" i="9"/>
  <c r="AO101" i="7"/>
  <c r="N101" i="7"/>
  <c r="AT91" i="9"/>
  <c r="AL101" i="7"/>
  <c r="K101" i="7"/>
  <c r="AN28" i="9"/>
  <c r="AF38" i="7"/>
  <c r="E38" i="7"/>
  <c r="AQ96" i="9"/>
  <c r="AI106" i="7"/>
  <c r="H106" i="7"/>
  <c r="AS96" i="9"/>
  <c r="AK106" i="7"/>
  <c r="J106" i="7"/>
  <c r="AY98" i="9"/>
  <c r="AQ108" i="7"/>
  <c r="P108" i="7"/>
  <c r="AX71" i="9"/>
  <c r="AP81" i="7"/>
  <c r="O81" i="7"/>
  <c r="BC71" i="9"/>
  <c r="AU81" i="7"/>
  <c r="T81" i="7"/>
  <c r="AN41" i="9"/>
  <c r="AF51" i="7"/>
  <c r="E51" i="7"/>
  <c r="AU90" i="9"/>
  <c r="AM100" i="7"/>
  <c r="L100" i="7"/>
  <c r="AP90" i="9"/>
  <c r="AH100" i="7"/>
  <c r="G100" i="7"/>
  <c r="AT77" i="9"/>
  <c r="AL87" i="7"/>
  <c r="K87" i="7"/>
  <c r="AY77" i="9"/>
  <c r="AQ87" i="7"/>
  <c r="P87" i="7"/>
  <c r="AS115" i="9"/>
  <c r="AK125" i="7"/>
  <c r="J125" i="7"/>
  <c r="AL62" i="9"/>
  <c r="AD72" i="7"/>
  <c r="C72" i="7"/>
  <c r="AM62" i="9"/>
  <c r="AE72" i="7"/>
  <c r="D72" i="7"/>
  <c r="BD94" i="9"/>
  <c r="AV104" i="7"/>
  <c r="U104" i="7"/>
  <c r="AQ60" i="9"/>
  <c r="AI70" i="7"/>
  <c r="H70" i="7"/>
  <c r="AZ60" i="9"/>
  <c r="AR70" i="7"/>
  <c r="Q70" i="7"/>
  <c r="BG87" i="9"/>
  <c r="AY97" i="7"/>
  <c r="X97" i="7"/>
  <c r="BD57" i="9"/>
  <c r="AV67" i="7"/>
  <c r="U67" i="7"/>
  <c r="AT57" i="9"/>
  <c r="AL67" i="7"/>
  <c r="K67" i="7"/>
  <c r="BE106" i="9"/>
  <c r="AW116" i="7"/>
  <c r="V116" i="7"/>
  <c r="AL106" i="9"/>
  <c r="AD116" i="7"/>
  <c r="C116" i="7"/>
  <c r="AY105" i="9"/>
  <c r="AQ115" i="7"/>
  <c r="P115" i="7"/>
  <c r="AL105" i="9"/>
  <c r="AD115" i="7"/>
  <c r="C115" i="7"/>
  <c r="AM50" i="9"/>
  <c r="AE60" i="7"/>
  <c r="D60" i="7"/>
  <c r="BJ20" i="9"/>
  <c r="BB30" i="7"/>
  <c r="AA30" i="7"/>
  <c r="BG20" i="9"/>
  <c r="AY30" i="7"/>
  <c r="X30" i="7"/>
  <c r="AW36" i="9"/>
  <c r="AO46" i="7"/>
  <c r="N46" i="7"/>
  <c r="BB36" i="9"/>
  <c r="AT46" i="7"/>
  <c r="S46" i="7"/>
  <c r="AZ118" i="9"/>
  <c r="AR128" i="7"/>
  <c r="Q128" i="7"/>
  <c r="BK108" i="9"/>
  <c r="BC118" i="7"/>
  <c r="AB118" i="7"/>
  <c r="AV108" i="9"/>
  <c r="AN118" i="7"/>
  <c r="M118" i="7"/>
  <c r="AN103" i="9"/>
  <c r="AF113" i="7"/>
  <c r="E113" i="7"/>
  <c r="BH103" i="9"/>
  <c r="AZ113" i="7"/>
  <c r="Y113" i="7"/>
  <c r="BI73" i="9"/>
  <c r="BA83" i="7"/>
  <c r="Z83" i="7"/>
  <c r="AL122" i="9"/>
  <c r="AD132" i="7"/>
  <c r="C132" i="7"/>
  <c r="BC122" i="9"/>
  <c r="AU132" i="7"/>
  <c r="T132" i="7"/>
  <c r="BK30" i="9"/>
  <c r="BC40" i="7"/>
  <c r="AB40" i="7"/>
  <c r="AZ102" i="9"/>
  <c r="AR112" i="7"/>
  <c r="Q112" i="7"/>
  <c r="BF102" i="9"/>
  <c r="AX112" i="7"/>
  <c r="W112" i="7"/>
  <c r="AL16" i="9"/>
  <c r="AD26" i="7"/>
  <c r="C26" i="7"/>
  <c r="AO16" i="9"/>
  <c r="AG26" i="7"/>
  <c r="F26" i="7"/>
  <c r="AQ18" i="9"/>
  <c r="AI28" i="7"/>
  <c r="H28" i="7"/>
  <c r="AW48" i="9"/>
  <c r="AO58" i="7"/>
  <c r="N58" i="7"/>
  <c r="BC48" i="9"/>
  <c r="AU58" i="7"/>
  <c r="T58" i="7"/>
  <c r="AX44" i="9"/>
  <c r="AP54" i="7"/>
  <c r="O54" i="7"/>
  <c r="BA44" i="9"/>
  <c r="AS54" i="7"/>
  <c r="R54" i="7"/>
  <c r="BI112" i="9"/>
  <c r="BA122" i="7"/>
  <c r="Z122" i="7"/>
  <c r="BI104" i="9"/>
  <c r="BA114" i="7"/>
  <c r="Z114" i="7"/>
  <c r="BE104" i="9"/>
  <c r="AW114" i="7"/>
  <c r="V114" i="7"/>
  <c r="AO38" i="9"/>
  <c r="AG48" i="7"/>
  <c r="F48" i="7"/>
  <c r="BB38" i="9"/>
  <c r="AT48" i="7"/>
  <c r="S48" i="7"/>
  <c r="AR43" i="9"/>
  <c r="AJ53" i="7"/>
  <c r="I53" i="7"/>
  <c r="BI43" i="9"/>
  <c r="BA53" i="7"/>
  <c r="Z53" i="7"/>
  <c r="BE53" i="9"/>
  <c r="AW63" i="7"/>
  <c r="V63" i="7"/>
  <c r="AW88" i="9"/>
  <c r="AO98" i="7"/>
  <c r="N98" i="7"/>
  <c r="AX88" i="9"/>
  <c r="AP98" i="7"/>
  <c r="O98" i="7"/>
  <c r="AV121" i="9"/>
  <c r="AN131" i="7"/>
  <c r="M131" i="7"/>
  <c r="BE59" i="9"/>
  <c r="AW69" i="7"/>
  <c r="V69" i="7"/>
  <c r="BC107" i="9"/>
  <c r="AU117" i="7"/>
  <c r="T117" i="7"/>
  <c r="AV107" i="9"/>
  <c r="AN117" i="7"/>
  <c r="M117" i="7"/>
  <c r="AT31" i="9"/>
  <c r="AL41" i="7"/>
  <c r="K41" i="7"/>
  <c r="AO31" i="9"/>
  <c r="AG41" i="7"/>
  <c r="F41" i="7"/>
  <c r="BH24" i="9"/>
  <c r="AZ34" i="7"/>
  <c r="Y34" i="7"/>
  <c r="AT27" i="9"/>
  <c r="AL37" i="7"/>
  <c r="K37" i="7"/>
  <c r="AV27" i="9"/>
  <c r="AN37" i="7"/>
  <c r="M37" i="7"/>
  <c r="AU82" i="9"/>
  <c r="AM92" i="7"/>
  <c r="L92" i="7"/>
  <c r="AZ82" i="9"/>
  <c r="AR92" i="7"/>
  <c r="Q92" i="7"/>
  <c r="AL92" i="9"/>
  <c r="AD102" i="7"/>
  <c r="C102" i="7"/>
  <c r="AT40" i="9"/>
  <c r="AL50" i="7"/>
  <c r="K50" i="7"/>
  <c r="AP40" i="9"/>
  <c r="AH50" i="7"/>
  <c r="G50" i="7"/>
  <c r="AS66" i="9"/>
  <c r="AK76" i="7"/>
  <c r="J76" i="7"/>
  <c r="AZ52" i="9"/>
  <c r="AR62" i="7"/>
  <c r="Q62" i="7"/>
  <c r="AM52" i="9"/>
  <c r="AE62" i="7"/>
  <c r="D62" i="7"/>
  <c r="AL68" i="9"/>
  <c r="AD78" i="7"/>
  <c r="C78" i="7"/>
  <c r="BD68" i="9"/>
  <c r="AV78" i="7"/>
  <c r="U78" i="7"/>
  <c r="BI37" i="9"/>
  <c r="BA47" i="7"/>
  <c r="Z47" i="7"/>
  <c r="BH56" i="9"/>
  <c r="AZ66" i="7"/>
  <c r="Y66" i="7"/>
  <c r="AX56" i="9"/>
  <c r="AP66" i="7"/>
  <c r="O66" i="7"/>
  <c r="BB75" i="9"/>
  <c r="AT85" i="7"/>
  <c r="S85" i="7"/>
  <c r="AZ75" i="9"/>
  <c r="AR85" i="7"/>
  <c r="Q85" i="7"/>
  <c r="BK114" i="9"/>
  <c r="BC124" i="7"/>
  <c r="AB124" i="7"/>
  <c r="BB84" i="9"/>
  <c r="AT94" i="7"/>
  <c r="S94" i="7"/>
  <c r="AU84" i="9"/>
  <c r="AM94" i="7"/>
  <c r="L94" i="7"/>
  <c r="AQ95" i="9"/>
  <c r="AI105" i="7"/>
  <c r="H105" i="7"/>
  <c r="AS23" i="9"/>
  <c r="AK33" i="7"/>
  <c r="J33" i="7"/>
  <c r="BH81" i="9"/>
  <c r="AZ91" i="7"/>
  <c r="Y91" i="7"/>
  <c r="BG80" i="9"/>
  <c r="AY90" i="7"/>
  <c r="X90" i="7"/>
  <c r="AV34" i="9"/>
  <c r="AN44" i="7"/>
  <c r="M44" i="7"/>
  <c r="BF51" i="9"/>
  <c r="AX61" i="7"/>
  <c r="W61" i="7"/>
  <c r="AS41" i="9"/>
  <c r="AK51" i="7"/>
  <c r="J51" i="7"/>
  <c r="AO106" i="9"/>
  <c r="AG116" i="7"/>
  <c r="F116" i="7"/>
  <c r="AR16" i="9"/>
  <c r="AJ26" i="7"/>
  <c r="I26" i="7"/>
  <c r="AS52" i="9"/>
  <c r="AK62" i="7"/>
  <c r="J62" i="7"/>
  <c r="BD47" i="9"/>
  <c r="AV57" i="7"/>
  <c r="U57" i="7"/>
  <c r="AQ100" i="9"/>
  <c r="AI110" i="7"/>
  <c r="H110" i="7"/>
  <c r="AP86" i="9"/>
  <c r="AH96" i="7"/>
  <c r="G96" i="7"/>
  <c r="BJ120" i="9"/>
  <c r="BB130" i="7"/>
  <c r="AA130" i="7"/>
  <c r="AO120" i="9"/>
  <c r="AG130" i="7"/>
  <c r="F130" i="7"/>
  <c r="AQ26" i="9"/>
  <c r="AI36" i="7"/>
  <c r="H36" i="7"/>
  <c r="AN47" i="9"/>
  <c r="AF57" i="7"/>
  <c r="E57" i="7"/>
  <c r="AO33" i="9"/>
  <c r="AG43" i="7"/>
  <c r="F43" i="7"/>
  <c r="AR33" i="9"/>
  <c r="AJ43" i="7"/>
  <c r="I43" i="7"/>
  <c r="AX70" i="9"/>
  <c r="AP80" i="7"/>
  <c r="O80" i="7"/>
  <c r="AN70" i="9"/>
  <c r="AF80" i="7"/>
  <c r="E80" i="7"/>
  <c r="AS100" i="9"/>
  <c r="AK110" i="7"/>
  <c r="J110" i="7"/>
  <c r="AO116" i="9"/>
  <c r="AG126" i="7"/>
  <c r="F126" i="7"/>
  <c r="BA116" i="9"/>
  <c r="AS126" i="7"/>
  <c r="R126" i="7"/>
  <c r="AU35" i="9"/>
  <c r="AM45" i="7"/>
  <c r="L45" i="7"/>
  <c r="AW35" i="9"/>
  <c r="AO45" i="7"/>
  <c r="N45" i="7"/>
  <c r="BK21" i="9"/>
  <c r="BC31" i="7"/>
  <c r="AB31" i="7"/>
  <c r="AO95" i="9"/>
  <c r="F105" i="7"/>
  <c r="AG105" i="7"/>
  <c r="AY95" i="9"/>
  <c r="AQ105" i="7"/>
  <c r="P105" i="7"/>
  <c r="BH86" i="9"/>
  <c r="AZ96" i="7"/>
  <c r="Y96" i="7"/>
  <c r="BB97" i="9"/>
  <c r="AT107" i="7"/>
  <c r="S107" i="7"/>
  <c r="AU97" i="9"/>
  <c r="AM107" i="7"/>
  <c r="L107" i="7"/>
  <c r="BE85" i="9"/>
  <c r="AW95" i="7"/>
  <c r="V95" i="7"/>
  <c r="AP85" i="9"/>
  <c r="AH95" i="7"/>
  <c r="G95" i="7"/>
  <c r="BC89" i="9"/>
  <c r="AU99" i="7"/>
  <c r="T99" i="7"/>
  <c r="BI78" i="9"/>
  <c r="BA88" i="7"/>
  <c r="Z88" i="7"/>
  <c r="AQ78" i="9"/>
  <c r="AI88" i="7"/>
  <c r="H88" i="7"/>
  <c r="BD110" i="9"/>
  <c r="AV120" i="7"/>
  <c r="U120" i="7"/>
  <c r="BF110" i="9"/>
  <c r="AX120" i="7"/>
  <c r="W120" i="7"/>
  <c r="AW72" i="9"/>
  <c r="AO82" i="7"/>
  <c r="N82" i="7"/>
  <c r="BB23" i="9"/>
  <c r="AT33" i="7"/>
  <c r="S33" i="7"/>
  <c r="BI23" i="9"/>
  <c r="BA33" i="7"/>
  <c r="Z33" i="7"/>
  <c r="AP109" i="9"/>
  <c r="AH119" i="7"/>
  <c r="G119" i="7"/>
  <c r="BA42" i="9"/>
  <c r="AS52" i="7"/>
  <c r="R52" i="7"/>
  <c r="AR42" i="9"/>
  <c r="AJ52" i="7"/>
  <c r="I52" i="7"/>
  <c r="BG29" i="9"/>
  <c r="AY39" i="7"/>
  <c r="X39" i="7"/>
  <c r="BK29" i="9"/>
  <c r="BC39" i="7"/>
  <c r="AB39" i="7"/>
  <c r="BA63" i="9"/>
  <c r="AS73" i="7"/>
  <c r="R73" i="7"/>
  <c r="BK49" i="9"/>
  <c r="BC59" i="7"/>
  <c r="AB59" i="7"/>
  <c r="AT49" i="9"/>
  <c r="AL59" i="7"/>
  <c r="K59" i="7"/>
  <c r="AX19" i="9"/>
  <c r="AP29" i="7"/>
  <c r="O29" i="7"/>
  <c r="AS19" i="9"/>
  <c r="AK29" i="7"/>
  <c r="J29" i="7"/>
  <c r="BI81" i="9"/>
  <c r="BA91" i="7"/>
  <c r="Z91" i="7"/>
  <c r="AQ111" i="9"/>
  <c r="AI121" i="7"/>
  <c r="H121" i="7"/>
  <c r="BF111" i="9"/>
  <c r="AX121" i="7"/>
  <c r="W121" i="7"/>
  <c r="AY113" i="9"/>
  <c r="AQ123" i="7"/>
  <c r="P123" i="7"/>
  <c r="AM119" i="9"/>
  <c r="AE129" i="7"/>
  <c r="D129" i="7"/>
  <c r="AZ119" i="9"/>
  <c r="AR129" i="7"/>
  <c r="Q129" i="7"/>
  <c r="AO117" i="9"/>
  <c r="AG127" i="7"/>
  <c r="F127" i="7"/>
  <c r="BH117" i="9"/>
  <c r="AZ127" i="7"/>
  <c r="Y127" i="7"/>
  <c r="BG54" i="9"/>
  <c r="AY64" i="7"/>
  <c r="X64" i="7"/>
  <c r="BI80" i="9"/>
  <c r="BA90" i="7"/>
  <c r="Z90" i="7"/>
  <c r="AZ80" i="9"/>
  <c r="AR90" i="7"/>
  <c r="Q90" i="7"/>
  <c r="AV76" i="9"/>
  <c r="AN86" i="7"/>
  <c r="M86" i="7"/>
  <c r="BI76" i="9"/>
  <c r="BA86" i="7"/>
  <c r="Z86" i="7"/>
  <c r="BA17" i="9"/>
  <c r="R27" i="7"/>
  <c r="AS27" i="7"/>
  <c r="AV39" i="9"/>
  <c r="AN49" i="7"/>
  <c r="M49" i="7"/>
  <c r="BF39" i="9"/>
  <c r="AX49" i="7"/>
  <c r="W49" i="7"/>
  <c r="BJ58" i="9"/>
  <c r="BB68" i="7"/>
  <c r="AA68" i="7"/>
  <c r="BD58" i="9"/>
  <c r="AV68" i="7"/>
  <c r="U68" i="7"/>
  <c r="BI45" i="9"/>
  <c r="BA55" i="7"/>
  <c r="Z55" i="7"/>
  <c r="BJ45" i="9"/>
  <c r="BB55" i="7"/>
  <c r="AA55" i="7"/>
  <c r="AN79" i="9"/>
  <c r="AF89" i="7"/>
  <c r="E89" i="7"/>
  <c r="BG65" i="9"/>
  <c r="AY75" i="7"/>
  <c r="X75" i="7"/>
  <c r="AZ65" i="9"/>
  <c r="AR75" i="7"/>
  <c r="Q75" i="7"/>
  <c r="AS67" i="9"/>
  <c r="AK77" i="7"/>
  <c r="J77" i="7"/>
  <c r="AY67" i="9"/>
  <c r="AQ77" i="7"/>
  <c r="P77" i="7"/>
  <c r="AQ83" i="9"/>
  <c r="AI93" i="7"/>
  <c r="H93" i="7"/>
  <c r="AY99" i="9"/>
  <c r="AQ109" i="7"/>
  <c r="P109" i="7"/>
  <c r="AQ99" i="9"/>
  <c r="AI109" i="7"/>
  <c r="H109" i="7"/>
  <c r="BE46" i="9"/>
  <c r="AW56" i="7"/>
  <c r="V56" i="7"/>
  <c r="AR32" i="9"/>
  <c r="AJ42" i="7"/>
  <c r="I42" i="7"/>
  <c r="BH32" i="9"/>
  <c r="AZ42" i="7"/>
  <c r="Y42" i="7"/>
  <c r="AW34" i="9"/>
  <c r="AO44" i="7"/>
  <c r="N44" i="7"/>
  <c r="AL34" i="9"/>
  <c r="AD44" i="7"/>
  <c r="C44" i="7"/>
  <c r="BH64" i="9"/>
  <c r="AZ74" i="7"/>
  <c r="Y74" i="7"/>
  <c r="AS101" i="9"/>
  <c r="AK111" i="7"/>
  <c r="J111" i="7"/>
  <c r="BI101" i="9"/>
  <c r="BA111" i="7"/>
  <c r="Z111" i="7"/>
  <c r="AL93" i="9"/>
  <c r="AD103" i="7"/>
  <c r="C103" i="7"/>
  <c r="BG93" i="9"/>
  <c r="BQ93" i="9" s="1"/>
  <c r="AY103" i="7"/>
  <c r="X103" i="7"/>
  <c r="AU55" i="9"/>
  <c r="AM65" i="7"/>
  <c r="L65" i="7"/>
  <c r="AO25" i="9"/>
  <c r="AG35" i="7"/>
  <c r="F35" i="7"/>
  <c r="AU25" i="9"/>
  <c r="AM35" i="7"/>
  <c r="L35" i="7"/>
  <c r="AN74" i="9"/>
  <c r="AF84" i="7"/>
  <c r="E84" i="7"/>
  <c r="AP61" i="9"/>
  <c r="AH71" i="7"/>
  <c r="G71" i="7"/>
  <c r="AQ61" i="9"/>
  <c r="AI71" i="7"/>
  <c r="H71" i="7"/>
  <c r="AZ51" i="9"/>
  <c r="AR61" i="7"/>
  <c r="Q61" i="7"/>
  <c r="AL51" i="9"/>
  <c r="AD61" i="7"/>
  <c r="C61" i="7"/>
  <c r="AW69" i="9"/>
  <c r="AO79" i="7"/>
  <c r="N79" i="7"/>
  <c r="AO22" i="9"/>
  <c r="AG32" i="7"/>
  <c r="F32" i="7"/>
  <c r="BG22" i="9"/>
  <c r="AY32" i="7"/>
  <c r="X32" i="7"/>
  <c r="BH91" i="9"/>
  <c r="AZ101" i="7"/>
  <c r="Y101" i="7"/>
  <c r="BA91" i="9"/>
  <c r="AS101" i="7"/>
  <c r="R101" i="7"/>
  <c r="BJ28" i="9"/>
  <c r="BB38" i="7"/>
  <c r="AA38" i="7"/>
  <c r="BG96" i="9"/>
  <c r="AY106" i="7"/>
  <c r="X106" i="7"/>
  <c r="AV96" i="9"/>
  <c r="AN106" i="7"/>
  <c r="M106" i="7"/>
  <c r="AN98" i="9"/>
  <c r="AF108" i="7"/>
  <c r="E108" i="7"/>
  <c r="AR71" i="9"/>
  <c r="AJ81" i="7"/>
  <c r="I81" i="7"/>
  <c r="BJ71" i="9"/>
  <c r="BB81" i="7"/>
  <c r="AA81" i="7"/>
  <c r="BK41" i="9"/>
  <c r="BC51" i="7"/>
  <c r="AB51" i="7"/>
  <c r="AY90" i="9"/>
  <c r="AQ100" i="7"/>
  <c r="P100" i="7"/>
  <c r="AM90" i="9"/>
  <c r="AE100" i="7"/>
  <c r="D100" i="7"/>
  <c r="AU77" i="9"/>
  <c r="AM87" i="7"/>
  <c r="L87" i="7"/>
  <c r="BG77" i="9"/>
  <c r="AY87" i="7"/>
  <c r="X87" i="7"/>
  <c r="BA115" i="9"/>
  <c r="R125" i="7"/>
  <c r="AS125" i="7"/>
  <c r="AZ62" i="9"/>
  <c r="AR72" i="7"/>
  <c r="Q72" i="7"/>
  <c r="BD62" i="9"/>
  <c r="AV72" i="7"/>
  <c r="U72" i="7"/>
  <c r="AX94" i="9"/>
  <c r="AP104" i="7"/>
  <c r="O104" i="7"/>
  <c r="BH60" i="9"/>
  <c r="AZ70" i="7"/>
  <c r="Y70" i="7"/>
  <c r="BJ60" i="9"/>
  <c r="BB70" i="7"/>
  <c r="AA70" i="7"/>
  <c r="BC87" i="9"/>
  <c r="AU97" i="7"/>
  <c r="T97" i="7"/>
  <c r="AV57" i="9"/>
  <c r="AN67" i="7"/>
  <c r="M67" i="7"/>
  <c r="BF57" i="9"/>
  <c r="AX67" i="7"/>
  <c r="W67" i="7"/>
  <c r="AY106" i="9"/>
  <c r="AQ116" i="7"/>
  <c r="P116" i="7"/>
  <c r="AU106" i="9"/>
  <c r="AM116" i="7"/>
  <c r="L116" i="7"/>
  <c r="AV105" i="9"/>
  <c r="AN115" i="7"/>
  <c r="M115" i="7"/>
  <c r="AR105" i="9"/>
  <c r="AJ115" i="7"/>
  <c r="I115" i="7"/>
  <c r="AU50" i="9"/>
  <c r="AM60" i="7"/>
  <c r="L60" i="7"/>
  <c r="AO20" i="9"/>
  <c r="AG30" i="7"/>
  <c r="F30" i="7"/>
  <c r="AL20" i="9"/>
  <c r="AD30" i="7"/>
  <c r="C30" i="7"/>
  <c r="AQ36" i="9"/>
  <c r="AI46" i="7"/>
  <c r="H46" i="7"/>
  <c r="AV36" i="9"/>
  <c r="AN46" i="7"/>
  <c r="M46" i="7"/>
  <c r="AP118" i="9"/>
  <c r="AH128" i="7"/>
  <c r="G128" i="7"/>
  <c r="AS108" i="9"/>
  <c r="AK118" i="7"/>
  <c r="J118" i="7"/>
  <c r="BE108" i="9"/>
  <c r="AW118" i="7"/>
  <c r="V118" i="7"/>
  <c r="BK103" i="9"/>
  <c r="BC113" i="7"/>
  <c r="AB113" i="7"/>
  <c r="AS103" i="9"/>
  <c r="AK113" i="7"/>
  <c r="J113" i="7"/>
  <c r="AL73" i="9"/>
  <c r="AD83" i="7"/>
  <c r="C83" i="7"/>
  <c r="AQ122" i="9"/>
  <c r="AI132" i="7"/>
  <c r="H132" i="7"/>
  <c r="AT122" i="9"/>
  <c r="AL132" i="7"/>
  <c r="K132" i="7"/>
  <c r="BD30" i="9"/>
  <c r="AV40" i="7"/>
  <c r="U40" i="7"/>
  <c r="AO102" i="9"/>
  <c r="AG112" i="7"/>
  <c r="F112" i="7"/>
  <c r="AT102" i="9"/>
  <c r="AL112" i="7"/>
  <c r="K112" i="7"/>
  <c r="BC16" i="9"/>
  <c r="AU26" i="7"/>
  <c r="T26" i="7"/>
  <c r="BG16" i="9"/>
  <c r="AY26" i="7"/>
  <c r="X26" i="7"/>
  <c r="BC18" i="9"/>
  <c r="AU28" i="7"/>
  <c r="T28" i="7"/>
  <c r="BB48" i="9"/>
  <c r="AT58" i="7"/>
  <c r="S58" i="7"/>
  <c r="AM48" i="9"/>
  <c r="AE58" i="7"/>
  <c r="D58" i="7"/>
  <c r="BH44" i="9"/>
  <c r="AZ54" i="7"/>
  <c r="Y54" i="7"/>
  <c r="AR44" i="9"/>
  <c r="AJ54" i="7"/>
  <c r="I54" i="7"/>
  <c r="AS112" i="9"/>
  <c r="AK122" i="7"/>
  <c r="J122" i="7"/>
  <c r="BG104" i="9"/>
  <c r="AY114" i="7"/>
  <c r="X114" i="7"/>
  <c r="AW104" i="9"/>
  <c r="AO114" i="7"/>
  <c r="N114" i="7"/>
  <c r="BG38" i="9"/>
  <c r="AY48" i="7"/>
  <c r="X48" i="7"/>
  <c r="AR38" i="9"/>
  <c r="AJ48" i="7"/>
  <c r="I48" i="7"/>
  <c r="AZ43" i="9"/>
  <c r="AR53" i="7"/>
  <c r="Q53" i="7"/>
  <c r="AM43" i="9"/>
  <c r="AE53" i="7"/>
  <c r="D53" i="7"/>
  <c r="AM53" i="9"/>
  <c r="AE63" i="7"/>
  <c r="D63" i="7"/>
  <c r="AS88" i="9"/>
  <c r="AK98" i="7"/>
  <c r="J98" i="7"/>
  <c r="BD88" i="9"/>
  <c r="AV98" i="7"/>
  <c r="U98" i="7"/>
  <c r="AS121" i="9"/>
  <c r="AK131" i="7"/>
  <c r="J131" i="7"/>
  <c r="BI59" i="9"/>
  <c r="BA69" i="7"/>
  <c r="Z69" i="7"/>
  <c r="AN107" i="9"/>
  <c r="AF117" i="7"/>
  <c r="E117" i="7"/>
  <c r="BF107" i="9"/>
  <c r="BP107" i="9" s="1"/>
  <c r="AX117" i="7"/>
  <c r="W117" i="7"/>
  <c r="AP31" i="9"/>
  <c r="AH41" i="7"/>
  <c r="G41" i="7"/>
  <c r="AM31" i="9"/>
  <c r="AE41" i="7"/>
  <c r="D41" i="7"/>
  <c r="AR24" i="9"/>
  <c r="AJ34" i="7"/>
  <c r="I34" i="7"/>
  <c r="AZ27" i="9"/>
  <c r="AR37" i="7"/>
  <c r="Q37" i="7"/>
  <c r="BC27" i="9"/>
  <c r="AU37" i="7"/>
  <c r="T37" i="7"/>
  <c r="AY82" i="9"/>
  <c r="AQ92" i="7"/>
  <c r="P92" i="7"/>
  <c r="AP82" i="9"/>
  <c r="AH92" i="7"/>
  <c r="G92" i="7"/>
  <c r="BI92" i="9"/>
  <c r="BA102" i="7"/>
  <c r="Z102" i="7"/>
  <c r="AV40" i="9"/>
  <c r="AN50" i="7"/>
  <c r="M50" i="7"/>
  <c r="AW40" i="9"/>
  <c r="AO50" i="7"/>
  <c r="N50" i="7"/>
  <c r="BD66" i="9"/>
  <c r="AV76" i="7"/>
  <c r="U76" i="7"/>
  <c r="BE52" i="9"/>
  <c r="AW62" i="7"/>
  <c r="V62" i="7"/>
  <c r="AT52" i="9"/>
  <c r="AL62" i="7"/>
  <c r="K62" i="7"/>
  <c r="AX68" i="9"/>
  <c r="AP78" i="7"/>
  <c r="O78" i="7"/>
  <c r="AN68" i="9"/>
  <c r="AF78" i="7"/>
  <c r="E78" i="7"/>
  <c r="BG37" i="9"/>
  <c r="AY47" i="7"/>
  <c r="X47" i="7"/>
  <c r="AU56" i="9"/>
  <c r="AM66" i="7"/>
  <c r="L66" i="7"/>
  <c r="AW56" i="9"/>
  <c r="AO66" i="7"/>
  <c r="N66" i="7"/>
  <c r="BJ75" i="9"/>
  <c r="BB85" i="7"/>
  <c r="AA85" i="7"/>
  <c r="AP75" i="9"/>
  <c r="AH85" i="7"/>
  <c r="G85" i="7"/>
  <c r="BB114" i="9"/>
  <c r="AT124" i="7"/>
  <c r="S124" i="7"/>
  <c r="AL84" i="9"/>
  <c r="AD94" i="7"/>
  <c r="C94" i="7"/>
  <c r="AS84" i="9"/>
  <c r="AK94" i="7"/>
  <c r="J94" i="7"/>
  <c r="BD84" i="9"/>
  <c r="AV94" i="7"/>
  <c r="U94" i="7"/>
  <c r="BH116" i="9"/>
  <c r="AZ126" i="7"/>
  <c r="Y126" i="7"/>
  <c r="AN110" i="9"/>
  <c r="AF120" i="7"/>
  <c r="E120" i="7"/>
  <c r="BE113" i="9"/>
  <c r="AW123" i="7"/>
  <c r="V123" i="7"/>
  <c r="AT58" i="9"/>
  <c r="AL68" i="7"/>
  <c r="K68" i="7"/>
  <c r="BJ34" i="9"/>
  <c r="BB44" i="7"/>
  <c r="AA44" i="7"/>
  <c r="BJ51" i="9"/>
  <c r="BB61" i="7"/>
  <c r="AA61" i="7"/>
  <c r="AX57" i="9"/>
  <c r="AP67" i="7"/>
  <c r="O67" i="7"/>
  <c r="BH73" i="9"/>
  <c r="AZ83" i="7"/>
  <c r="Y83" i="7"/>
  <c r="AO104" i="9"/>
  <c r="AG114" i="7"/>
  <c r="F114" i="7"/>
  <c r="AW121" i="9"/>
  <c r="AO131" i="7"/>
  <c r="N131" i="7"/>
  <c r="AU31" i="9"/>
  <c r="AM41" i="7"/>
  <c r="L41" i="7"/>
  <c r="BI27" i="9"/>
  <c r="BA37" i="7"/>
  <c r="Z37" i="7"/>
  <c r="BD92" i="9"/>
  <c r="AV102" i="7"/>
  <c r="U102" i="7"/>
  <c r="AS92" i="9"/>
  <c r="AK102" i="7"/>
  <c r="J102" i="7"/>
  <c r="AV84" i="9"/>
  <c r="AN94" i="7"/>
  <c r="M94" i="7"/>
  <c r="AZ120" i="9"/>
  <c r="AR130" i="7"/>
  <c r="Q130" i="7"/>
  <c r="AT26" i="9"/>
  <c r="AL36" i="7"/>
  <c r="K36" i="7"/>
  <c r="BA26" i="9"/>
  <c r="AS36" i="7"/>
  <c r="R36" i="7"/>
  <c r="AM47" i="9"/>
  <c r="AE57" i="7"/>
  <c r="D57" i="7"/>
  <c r="BF33" i="9"/>
  <c r="AX43" i="7"/>
  <c r="W43" i="7"/>
  <c r="BG33" i="9"/>
  <c r="AY43" i="7"/>
  <c r="X43" i="7"/>
  <c r="BE70" i="9"/>
  <c r="AW80" i="7"/>
  <c r="V80" i="7"/>
  <c r="BH70" i="9"/>
  <c r="AZ80" i="7"/>
  <c r="Y80" i="7"/>
  <c r="AL100" i="9"/>
  <c r="AD110" i="7"/>
  <c r="C110" i="7"/>
  <c r="AV116" i="9"/>
  <c r="AN126" i="7"/>
  <c r="M126" i="7"/>
  <c r="BK116" i="9"/>
  <c r="BC126" i="7"/>
  <c r="AB126" i="7"/>
  <c r="BB35" i="9"/>
  <c r="AT45" i="7"/>
  <c r="S45" i="7"/>
  <c r="BH21" i="9"/>
  <c r="AZ31" i="7"/>
  <c r="Y31" i="7"/>
  <c r="AU21" i="9"/>
  <c r="AM31" i="7"/>
  <c r="L31" i="7"/>
  <c r="AW95" i="9"/>
  <c r="AO105" i="7"/>
  <c r="N105" i="7"/>
  <c r="BF95" i="9"/>
  <c r="AX105" i="7"/>
  <c r="W105" i="7"/>
  <c r="AR86" i="9"/>
  <c r="AJ96" i="7"/>
  <c r="I96" i="7"/>
  <c r="AO97" i="9"/>
  <c r="AG107" i="7"/>
  <c r="F107" i="7"/>
  <c r="BJ97" i="9"/>
  <c r="BB107" i="7"/>
  <c r="AA107" i="7"/>
  <c r="AO85" i="9"/>
  <c r="AG95" i="7"/>
  <c r="F95" i="7"/>
  <c r="BA85" i="9"/>
  <c r="AS95" i="7"/>
  <c r="R95" i="7"/>
  <c r="AU89" i="9"/>
  <c r="AM99" i="7"/>
  <c r="L99" i="7"/>
  <c r="AV78" i="9"/>
  <c r="BN78" i="9" s="1"/>
  <c r="AN88" i="7"/>
  <c r="M88" i="7"/>
  <c r="BH78" i="9"/>
  <c r="AZ88" i="7"/>
  <c r="Y88" i="7"/>
  <c r="AV110" i="9"/>
  <c r="AN120" i="7"/>
  <c r="M120" i="7"/>
  <c r="BB72" i="9"/>
  <c r="AT82" i="7"/>
  <c r="S82" i="7"/>
  <c r="BE72" i="9"/>
  <c r="AW82" i="7"/>
  <c r="V82" i="7"/>
  <c r="AW23" i="9"/>
  <c r="AO33" i="7"/>
  <c r="N33" i="7"/>
  <c r="BC23" i="9"/>
  <c r="AU33" i="7"/>
  <c r="T33" i="7"/>
  <c r="AX109" i="9"/>
  <c r="AP119" i="7"/>
  <c r="O119" i="7"/>
  <c r="AZ42" i="9"/>
  <c r="AR52" i="7"/>
  <c r="Q52" i="7"/>
  <c r="BC42" i="9"/>
  <c r="AU52" i="7"/>
  <c r="T52" i="7"/>
  <c r="AR29" i="9"/>
  <c r="AJ39" i="7"/>
  <c r="I39" i="7"/>
  <c r="BD29" i="9"/>
  <c r="AV39" i="7"/>
  <c r="U39" i="7"/>
  <c r="AL63" i="9"/>
  <c r="AD73" i="7"/>
  <c r="C73" i="7"/>
  <c r="AZ49" i="9"/>
  <c r="AR59" i="7"/>
  <c r="Q59" i="7"/>
  <c r="AS49" i="9"/>
  <c r="AK59" i="7"/>
  <c r="J59" i="7"/>
  <c r="AW19" i="9"/>
  <c r="AO29" i="7"/>
  <c r="N29" i="7"/>
  <c r="BD81" i="9"/>
  <c r="AV91" i="7"/>
  <c r="U91" i="7"/>
  <c r="AS81" i="9"/>
  <c r="AK91" i="7"/>
  <c r="J91" i="7"/>
  <c r="BD111" i="9"/>
  <c r="AV121" i="7"/>
  <c r="U121" i="7"/>
  <c r="AT111" i="9"/>
  <c r="AL121" i="7"/>
  <c r="K121" i="7"/>
  <c r="BD113" i="9"/>
  <c r="AV123" i="7"/>
  <c r="U123" i="7"/>
  <c r="AU119" i="9"/>
  <c r="AM129" i="7"/>
  <c r="L129" i="7"/>
  <c r="BE119" i="9"/>
  <c r="AW129" i="7"/>
  <c r="V129" i="7"/>
  <c r="BA117" i="9"/>
  <c r="AS127" i="7"/>
  <c r="R127" i="7"/>
  <c r="AU117" i="9"/>
  <c r="AM127" i="7"/>
  <c r="L127" i="7"/>
  <c r="BC54" i="9"/>
  <c r="AU64" i="7"/>
  <c r="T64" i="7"/>
  <c r="AQ80" i="9"/>
  <c r="AI90" i="7"/>
  <c r="H90" i="7"/>
  <c r="AW80" i="9"/>
  <c r="AO90" i="7"/>
  <c r="N90" i="7"/>
  <c r="AT76" i="9"/>
  <c r="AL86" i="7"/>
  <c r="K86" i="7"/>
  <c r="BI17" i="9"/>
  <c r="BA27" i="7"/>
  <c r="Z27" i="7"/>
  <c r="AV17" i="9"/>
  <c r="AN27" i="7"/>
  <c r="M27" i="7"/>
  <c r="BD39" i="9"/>
  <c r="AV49" i="7"/>
  <c r="U49" i="7"/>
  <c r="BH39" i="9"/>
  <c r="AZ49" i="7"/>
  <c r="Y49" i="7"/>
  <c r="AN58" i="9"/>
  <c r="AF68" i="7"/>
  <c r="E68" i="7"/>
  <c r="AM58" i="9"/>
  <c r="AE68" i="7"/>
  <c r="D68" i="7"/>
  <c r="BG45" i="9"/>
  <c r="AY55" i="7"/>
  <c r="X55" i="7"/>
  <c r="BC45" i="9"/>
  <c r="AU55" i="7"/>
  <c r="T55" i="7"/>
  <c r="BD79" i="9"/>
  <c r="AV89" i="7"/>
  <c r="U89" i="7"/>
  <c r="AX65" i="9"/>
  <c r="AP75" i="7"/>
  <c r="O75" i="7"/>
  <c r="AS65" i="9"/>
  <c r="AK75" i="7"/>
  <c r="J75" i="7"/>
  <c r="AR67" i="9"/>
  <c r="AJ77" i="7"/>
  <c r="I77" i="7"/>
  <c r="BK83" i="9"/>
  <c r="BC93" i="7"/>
  <c r="AB93" i="7"/>
  <c r="AP83" i="9"/>
  <c r="AH93" i="7"/>
  <c r="G93" i="7"/>
  <c r="AX99" i="9"/>
  <c r="AP109" i="7"/>
  <c r="O109" i="7"/>
  <c r="BF99" i="9"/>
  <c r="AX109" i="7"/>
  <c r="W109" i="7"/>
  <c r="AO46" i="9"/>
  <c r="AG56" i="7"/>
  <c r="F56" i="7"/>
  <c r="AU32" i="9"/>
  <c r="AM42" i="7"/>
  <c r="L42" i="7"/>
  <c r="BG32" i="9"/>
  <c r="AY42" i="7"/>
  <c r="X42" i="7"/>
  <c r="BH34" i="9"/>
  <c r="AZ44" i="7"/>
  <c r="Y44" i="7"/>
  <c r="AQ34" i="9"/>
  <c r="AI44" i="7"/>
  <c r="H44" i="7"/>
  <c r="AS64" i="9"/>
  <c r="AK74" i="7"/>
  <c r="J74" i="7"/>
  <c r="AR101" i="9"/>
  <c r="AJ111" i="7"/>
  <c r="I111" i="7"/>
  <c r="AU101" i="9"/>
  <c r="AM111" i="7"/>
  <c r="L111" i="7"/>
  <c r="AX93" i="9"/>
  <c r="BO93" i="9" s="1"/>
  <c r="AP103" i="7"/>
  <c r="O103" i="7"/>
  <c r="BB55" i="9"/>
  <c r="AT65" i="7"/>
  <c r="S65" i="7"/>
  <c r="AN55" i="9"/>
  <c r="AF65" i="7"/>
  <c r="E65" i="7"/>
  <c r="AX25" i="9"/>
  <c r="AP35" i="7"/>
  <c r="O35" i="7"/>
  <c r="BG25" i="9"/>
  <c r="AY35" i="7"/>
  <c r="X35" i="7"/>
  <c r="AV74" i="9"/>
  <c r="AN84" i="7"/>
  <c r="M84" i="7"/>
  <c r="AZ61" i="9"/>
  <c r="AR71" i="7"/>
  <c r="Q71" i="7"/>
  <c r="AW61" i="9"/>
  <c r="AO71" i="7"/>
  <c r="N71" i="7"/>
  <c r="BI51" i="9"/>
  <c r="BA61" i="7"/>
  <c r="Z61" i="7"/>
  <c r="BB51" i="9"/>
  <c r="AT61" i="7"/>
  <c r="S61" i="7"/>
  <c r="AQ69" i="9"/>
  <c r="AI79" i="7"/>
  <c r="H79" i="7"/>
  <c r="BD22" i="9"/>
  <c r="AV32" i="7"/>
  <c r="U32" i="7"/>
  <c r="AT22" i="9"/>
  <c r="AL32" i="7"/>
  <c r="K32" i="7"/>
  <c r="AV91" i="9"/>
  <c r="AN101" i="7"/>
  <c r="M101" i="7"/>
  <c r="AY28" i="9"/>
  <c r="AQ38" i="7"/>
  <c r="P38" i="7"/>
  <c r="AT28" i="9"/>
  <c r="AL38" i="7"/>
  <c r="K38" i="7"/>
  <c r="BB96" i="9"/>
  <c r="BP96" i="9" s="1"/>
  <c r="AT106" i="7"/>
  <c r="S106" i="7"/>
  <c r="BJ96" i="9"/>
  <c r="BB106" i="7"/>
  <c r="AA106" i="7"/>
  <c r="AW98" i="9"/>
  <c r="AO108" i="7"/>
  <c r="N108" i="7"/>
  <c r="BG71" i="9"/>
  <c r="AY81" i="7"/>
  <c r="X81" i="7"/>
  <c r="AT71" i="9"/>
  <c r="AL81" i="7"/>
  <c r="K81" i="7"/>
  <c r="AM41" i="9"/>
  <c r="AE51" i="7"/>
  <c r="D51" i="7"/>
  <c r="BC90" i="9"/>
  <c r="AU100" i="7"/>
  <c r="T100" i="7"/>
  <c r="BJ90" i="9"/>
  <c r="BB100" i="7"/>
  <c r="AA100" i="7"/>
  <c r="AR77" i="9"/>
  <c r="AJ87" i="7"/>
  <c r="I87" i="7"/>
  <c r="AP115" i="9"/>
  <c r="AH125" i="7"/>
  <c r="G125" i="7"/>
  <c r="BH115" i="9"/>
  <c r="AZ125" i="7"/>
  <c r="Y125" i="7"/>
  <c r="AX62" i="9"/>
  <c r="AP72" i="7"/>
  <c r="O72" i="7"/>
  <c r="AS62" i="9"/>
  <c r="AK72" i="7"/>
  <c r="J72" i="7"/>
  <c r="AW94" i="9"/>
  <c r="BO94" i="9" s="1"/>
  <c r="AO104" i="7"/>
  <c r="N104" i="7"/>
  <c r="BF60" i="9"/>
  <c r="AX70" i="7"/>
  <c r="W70" i="7"/>
  <c r="AR60" i="9"/>
  <c r="BN60" i="9" s="1"/>
  <c r="AJ70" i="7"/>
  <c r="I70" i="7"/>
  <c r="AN87" i="9"/>
  <c r="AF97" i="7"/>
  <c r="E97" i="7"/>
  <c r="BG57" i="9"/>
  <c r="AY67" i="7"/>
  <c r="X67" i="7"/>
  <c r="AS57" i="9"/>
  <c r="AK67" i="7"/>
  <c r="J67" i="7"/>
  <c r="AX106" i="9"/>
  <c r="AP116" i="7"/>
  <c r="O116" i="7"/>
  <c r="BI105" i="9"/>
  <c r="BA115" i="7"/>
  <c r="Z115" i="7"/>
  <c r="BA105" i="9"/>
  <c r="AS115" i="7"/>
  <c r="R115" i="7"/>
  <c r="AR50" i="9"/>
  <c r="AJ60" i="7"/>
  <c r="I60" i="7"/>
  <c r="AU20" i="9"/>
  <c r="AM30" i="7"/>
  <c r="L30" i="7"/>
  <c r="BA20" i="9"/>
  <c r="AS30" i="7"/>
  <c r="R30" i="7"/>
  <c r="AY36" i="9"/>
  <c r="AQ46" i="7"/>
  <c r="P46" i="7"/>
  <c r="AX36" i="9"/>
  <c r="AP46" i="7"/>
  <c r="O46" i="7"/>
  <c r="AY118" i="9"/>
  <c r="AQ128" i="7"/>
  <c r="P128" i="7"/>
  <c r="BA108" i="9"/>
  <c r="AS118" i="7"/>
  <c r="R118" i="7"/>
  <c r="AO108" i="9"/>
  <c r="AG118" i="7"/>
  <c r="F118" i="7"/>
  <c r="AV103" i="9"/>
  <c r="AN113" i="7"/>
  <c r="M113" i="7"/>
  <c r="AR73" i="9"/>
  <c r="BN73" i="9" s="1"/>
  <c r="AJ83" i="7"/>
  <c r="I83" i="7"/>
  <c r="AS73" i="9"/>
  <c r="AK83" i="7"/>
  <c r="J83" i="7"/>
  <c r="BF122" i="9"/>
  <c r="AX132" i="7"/>
  <c r="W132" i="7"/>
  <c r="BI122" i="9"/>
  <c r="BA132" i="7"/>
  <c r="Z132" i="7"/>
  <c r="AN30" i="9"/>
  <c r="AF40" i="7"/>
  <c r="E40" i="7"/>
  <c r="AN102" i="9"/>
  <c r="AF112" i="7"/>
  <c r="E112" i="7"/>
  <c r="BE102" i="9"/>
  <c r="AW112" i="7"/>
  <c r="V112" i="7"/>
  <c r="BA16" i="9"/>
  <c r="AS26" i="7"/>
  <c r="R26" i="7"/>
  <c r="BD16" i="9"/>
  <c r="AV26" i="7"/>
  <c r="U26" i="7"/>
  <c r="BD18" i="9"/>
  <c r="AV28" i="7"/>
  <c r="U28" i="7"/>
  <c r="AV48" i="9"/>
  <c r="AN58" i="7"/>
  <c r="M58" i="7"/>
  <c r="AU48" i="9"/>
  <c r="AM58" i="7"/>
  <c r="L58" i="7"/>
  <c r="BF44" i="9"/>
  <c r="AX54" i="7"/>
  <c r="W54" i="7"/>
  <c r="AQ112" i="9"/>
  <c r="AI122" i="7"/>
  <c r="H122" i="7"/>
  <c r="BF112" i="9"/>
  <c r="AX122" i="7"/>
  <c r="W122" i="7"/>
  <c r="AT104" i="9"/>
  <c r="AL114" i="7"/>
  <c r="K114" i="7"/>
  <c r="BK104" i="9"/>
  <c r="BC114" i="7"/>
  <c r="AB114" i="7"/>
  <c r="AV38" i="9"/>
  <c r="AN48" i="7"/>
  <c r="M48" i="7"/>
  <c r="AX38" i="9"/>
  <c r="AP48" i="7"/>
  <c r="O48" i="7"/>
  <c r="BF43" i="9"/>
  <c r="AX53" i="7"/>
  <c r="W53" i="7"/>
  <c r="AL43" i="9"/>
  <c r="AD53" i="7"/>
  <c r="C53" i="7"/>
  <c r="AQ53" i="9"/>
  <c r="AI63" i="7"/>
  <c r="H63" i="7"/>
  <c r="AP88" i="9"/>
  <c r="AH98" i="7"/>
  <c r="G98" i="7"/>
  <c r="AU88" i="9"/>
  <c r="AM98" i="7"/>
  <c r="L98" i="7"/>
  <c r="BK121" i="9"/>
  <c r="BC131" i="7"/>
  <c r="AB131" i="7"/>
  <c r="AN121" i="9"/>
  <c r="AF131" i="7"/>
  <c r="E131" i="7"/>
  <c r="AY59" i="9"/>
  <c r="AQ69" i="7"/>
  <c r="P69" i="7"/>
  <c r="BK107" i="9"/>
  <c r="BC117" i="7"/>
  <c r="AB117" i="7"/>
  <c r="AT107" i="9"/>
  <c r="AL117" i="7"/>
  <c r="K117" i="7"/>
  <c r="AN31" i="9"/>
  <c r="AF41" i="7"/>
  <c r="E41" i="7"/>
  <c r="BE31" i="9"/>
  <c r="AW41" i="7"/>
  <c r="V41" i="7"/>
  <c r="AO24" i="9"/>
  <c r="AG34" i="7"/>
  <c r="F34" i="7"/>
  <c r="BF27" i="9"/>
  <c r="AX37" i="7"/>
  <c r="W37" i="7"/>
  <c r="BK27" i="9"/>
  <c r="BC37" i="7"/>
  <c r="AB37" i="7"/>
  <c r="AT82" i="9"/>
  <c r="AL92" i="7"/>
  <c r="K92" i="7"/>
  <c r="BB92" i="9"/>
  <c r="AT102" i="7"/>
  <c r="S102" i="7"/>
  <c r="BE92" i="9"/>
  <c r="AW102" i="7"/>
  <c r="V102" i="7"/>
  <c r="BB40" i="9"/>
  <c r="AT50" i="7"/>
  <c r="S50" i="7"/>
  <c r="AX40" i="9"/>
  <c r="AP50" i="7"/>
  <c r="O50" i="7"/>
  <c r="BC66" i="9"/>
  <c r="AU76" i="7"/>
  <c r="T76" i="7"/>
  <c r="AY52" i="9"/>
  <c r="AQ62" i="7"/>
  <c r="P62" i="7"/>
  <c r="BB52" i="9"/>
  <c r="AT62" i="7"/>
  <c r="S62" i="7"/>
  <c r="BH68" i="9"/>
  <c r="AZ78" i="7"/>
  <c r="Y78" i="7"/>
  <c r="BC68" i="9"/>
  <c r="AU78" i="7"/>
  <c r="T78" i="7"/>
  <c r="BJ37" i="9"/>
  <c r="BB47" i="7"/>
  <c r="AA47" i="7"/>
  <c r="AL56" i="9"/>
  <c r="AD66" i="7"/>
  <c r="C66" i="7"/>
  <c r="AV56" i="9"/>
  <c r="AN66" i="7"/>
  <c r="M66" i="7"/>
  <c r="BD75" i="9"/>
  <c r="AV85" i="7"/>
  <c r="U85" i="7"/>
  <c r="AR114" i="9"/>
  <c r="AJ124" i="7"/>
  <c r="I124" i="7"/>
  <c r="BJ114" i="9"/>
  <c r="BB124" i="7"/>
  <c r="AA124" i="7"/>
  <c r="BH84" i="9"/>
  <c r="AZ94" i="7"/>
  <c r="Y94" i="7"/>
  <c r="AQ84" i="9"/>
  <c r="AI94" i="7"/>
  <c r="H94" i="7"/>
  <c r="BG70" i="9"/>
  <c r="AY80" i="7"/>
  <c r="X80" i="7"/>
  <c r="AQ85" i="9"/>
  <c r="AI95" i="7"/>
  <c r="H95" i="7"/>
  <c r="AN29" i="9"/>
  <c r="AF39" i="7"/>
  <c r="E39" i="7"/>
  <c r="AR54" i="9"/>
  <c r="AJ64" i="7"/>
  <c r="I64" i="7"/>
  <c r="AO65" i="9"/>
  <c r="AG75" i="7"/>
  <c r="F75" i="7"/>
  <c r="AO93" i="9"/>
  <c r="AG103" i="7"/>
  <c r="F103" i="7"/>
  <c r="AR91" i="9"/>
  <c r="AJ101" i="7"/>
  <c r="I101" i="7"/>
  <c r="AL115" i="9"/>
  <c r="AD125" i="7"/>
  <c r="C125" i="7"/>
  <c r="AP105" i="9"/>
  <c r="AH115" i="7"/>
  <c r="G115" i="7"/>
  <c r="AW73" i="9"/>
  <c r="AO83" i="7"/>
  <c r="N83" i="7"/>
  <c r="BG112" i="9"/>
  <c r="AY122" i="7"/>
  <c r="X122" i="7"/>
  <c r="BK88" i="9"/>
  <c r="BC98" i="7"/>
  <c r="AB98" i="7"/>
  <c r="BA107" i="9"/>
  <c r="AS117" i="7"/>
  <c r="R117" i="7"/>
  <c r="BJ82" i="9"/>
  <c r="BB92" i="7"/>
  <c r="AA92" i="7"/>
  <c r="AV75" i="9"/>
  <c r="AN85" i="7"/>
  <c r="M85" i="7"/>
  <c r="AT120" i="9"/>
  <c r="AL130" i="7"/>
  <c r="K130" i="7"/>
  <c r="BF26" i="9"/>
  <c r="AX36" i="7"/>
  <c r="W36" i="7"/>
  <c r="BH47" i="9"/>
  <c r="AZ57" i="7"/>
  <c r="Y57" i="7"/>
  <c r="AY33" i="9"/>
  <c r="AQ43" i="7"/>
  <c r="P43" i="7"/>
  <c r="AW33" i="9"/>
  <c r="AO43" i="7"/>
  <c r="N43" i="7"/>
  <c r="AW70" i="9"/>
  <c r="AO80" i="7"/>
  <c r="N80" i="7"/>
  <c r="BJ100" i="9"/>
  <c r="BB110" i="7"/>
  <c r="AA110" i="7"/>
  <c r="AR100" i="9"/>
  <c r="AJ110" i="7"/>
  <c r="I110" i="7"/>
  <c r="BD116" i="9"/>
  <c r="AV126" i="7"/>
  <c r="U126" i="7"/>
  <c r="BF116" i="9"/>
  <c r="AX126" i="7"/>
  <c r="W126" i="7"/>
  <c r="BA35" i="9"/>
  <c r="AS45" i="7"/>
  <c r="R45" i="7"/>
  <c r="AR21" i="9"/>
  <c r="AJ31" i="7"/>
  <c r="I31" i="7"/>
  <c r="AO21" i="9"/>
  <c r="AG31" i="7"/>
  <c r="F31" i="7"/>
  <c r="BC95" i="9"/>
  <c r="AU105" i="7"/>
  <c r="T105" i="7"/>
  <c r="AR95" i="9"/>
  <c r="AJ105" i="7"/>
  <c r="I105" i="7"/>
  <c r="BC86" i="9"/>
  <c r="AU96" i="7"/>
  <c r="T96" i="7"/>
  <c r="AP97" i="9"/>
  <c r="AH107" i="7"/>
  <c r="G107" i="7"/>
  <c r="BE97" i="9"/>
  <c r="AW107" i="7"/>
  <c r="V107" i="7"/>
  <c r="AW85" i="9"/>
  <c r="AO95" i="7"/>
  <c r="N95" i="7"/>
  <c r="AP89" i="9"/>
  <c r="AH99" i="7"/>
  <c r="G99" i="7"/>
  <c r="BB89" i="9"/>
  <c r="AT99" i="7"/>
  <c r="S99" i="7"/>
  <c r="BB78" i="9"/>
  <c r="AT88" i="7"/>
  <c r="S88" i="7"/>
  <c r="AY78" i="9"/>
  <c r="AQ88" i="7"/>
  <c r="P88" i="7"/>
  <c r="BK110" i="9"/>
  <c r="BC120" i="7"/>
  <c r="AB120" i="7"/>
  <c r="BA72" i="9"/>
  <c r="BO72" i="9" s="1"/>
  <c r="AS82" i="7"/>
  <c r="R82" i="7"/>
  <c r="AM72" i="9"/>
  <c r="AE82" i="7"/>
  <c r="D82" i="7"/>
  <c r="AZ23" i="9"/>
  <c r="AR33" i="7"/>
  <c r="Q33" i="7"/>
  <c r="BH23" i="9"/>
  <c r="AZ33" i="7"/>
  <c r="Y33" i="7"/>
  <c r="AO109" i="9"/>
  <c r="AG119" i="7"/>
  <c r="F119" i="7"/>
  <c r="AY42" i="9"/>
  <c r="AQ52" i="7"/>
  <c r="P52" i="7"/>
  <c r="AV42" i="9"/>
  <c r="AN52" i="7"/>
  <c r="M52" i="7"/>
  <c r="AY29" i="9"/>
  <c r="AQ39" i="7"/>
  <c r="P39" i="7"/>
  <c r="AS63" i="9"/>
  <c r="AK73" i="7"/>
  <c r="J73" i="7"/>
  <c r="AT63" i="9"/>
  <c r="AL73" i="7"/>
  <c r="K73" i="7"/>
  <c r="BG49" i="9"/>
  <c r="AY59" i="7"/>
  <c r="X59" i="7"/>
  <c r="AL49" i="9"/>
  <c r="AD59" i="7"/>
  <c r="C59" i="7"/>
  <c r="AP19" i="9"/>
  <c r="AH29" i="7"/>
  <c r="G29" i="7"/>
  <c r="BE81" i="9"/>
  <c r="AW91" i="7"/>
  <c r="V91" i="7"/>
  <c r="BG81" i="9"/>
  <c r="AY91" i="7"/>
  <c r="X91" i="7"/>
  <c r="BK111" i="9"/>
  <c r="BC121" i="7"/>
  <c r="AB121" i="7"/>
  <c r="BE111" i="9"/>
  <c r="AW121" i="7"/>
  <c r="V121" i="7"/>
  <c r="AX113" i="9"/>
  <c r="AP123" i="7"/>
  <c r="O123" i="7"/>
  <c r="AY119" i="9"/>
  <c r="AQ129" i="7"/>
  <c r="P129" i="7"/>
  <c r="AX119" i="9"/>
  <c r="AP129" i="7"/>
  <c r="O129" i="7"/>
  <c r="AT117" i="9"/>
  <c r="AL127" i="7"/>
  <c r="K127" i="7"/>
  <c r="BK54" i="9"/>
  <c r="BC64" i="7"/>
  <c r="AB64" i="7"/>
  <c r="BF54" i="9"/>
  <c r="AX64" i="7"/>
  <c r="W64" i="7"/>
  <c r="AT80" i="9"/>
  <c r="AL90" i="7"/>
  <c r="K90" i="7"/>
  <c r="AY80" i="9"/>
  <c r="AQ90" i="7"/>
  <c r="P90" i="7"/>
  <c r="AN76" i="9"/>
  <c r="AF86" i="7"/>
  <c r="E86" i="7"/>
  <c r="AT17" i="9"/>
  <c r="AL27" i="7"/>
  <c r="K27" i="7"/>
  <c r="BC17" i="9"/>
  <c r="T27" i="7"/>
  <c r="AU27" i="7"/>
  <c r="BC39" i="9"/>
  <c r="BP39" i="9" s="1"/>
  <c r="AU49" i="7"/>
  <c r="T49" i="7"/>
  <c r="AX39" i="9"/>
  <c r="AP49" i="7"/>
  <c r="O49" i="7"/>
  <c r="BK58" i="9"/>
  <c r="BC68" i="7"/>
  <c r="AB68" i="7"/>
  <c r="AU58" i="9"/>
  <c r="AM68" i="7"/>
  <c r="L68" i="7"/>
  <c r="AS45" i="9"/>
  <c r="AK55" i="7"/>
  <c r="J55" i="7"/>
  <c r="AY79" i="9"/>
  <c r="BO79" i="9" s="1"/>
  <c r="AQ89" i="7"/>
  <c r="P89" i="7"/>
  <c r="AQ79" i="9"/>
  <c r="AI89" i="7"/>
  <c r="H89" i="7"/>
  <c r="AW65" i="9"/>
  <c r="AO75" i="7"/>
  <c r="N75" i="7"/>
  <c r="AR65" i="9"/>
  <c r="AJ75" i="7"/>
  <c r="I75" i="7"/>
  <c r="BG67" i="9"/>
  <c r="AY77" i="7"/>
  <c r="X77" i="7"/>
  <c r="BC83" i="9"/>
  <c r="AU93" i="7"/>
  <c r="T93" i="7"/>
  <c r="BJ83" i="9"/>
  <c r="BB93" i="7"/>
  <c r="AA93" i="7"/>
  <c r="AN99" i="9"/>
  <c r="AF109" i="7"/>
  <c r="E109" i="7"/>
  <c r="BH99" i="9"/>
  <c r="AZ109" i="7"/>
  <c r="Y109" i="7"/>
  <c r="AU46" i="9"/>
  <c r="AM56" i="7"/>
  <c r="L56" i="7"/>
  <c r="AX32" i="9"/>
  <c r="AP42" i="7"/>
  <c r="O42" i="7"/>
  <c r="BI32" i="9"/>
  <c r="BA42" i="7"/>
  <c r="Z42" i="7"/>
  <c r="AN34" i="9"/>
  <c r="AF44" i="7"/>
  <c r="E44" i="7"/>
  <c r="AO64" i="9"/>
  <c r="AG74" i="7"/>
  <c r="F74" i="7"/>
  <c r="BD64" i="9"/>
  <c r="AV74" i="7"/>
  <c r="U74" i="7"/>
  <c r="AQ101" i="9"/>
  <c r="AI111" i="7"/>
  <c r="H111" i="7"/>
  <c r="BG101" i="9"/>
  <c r="AY111" i="7"/>
  <c r="X111" i="7"/>
  <c r="BC93" i="9"/>
  <c r="AU103" i="7"/>
  <c r="T103" i="7"/>
  <c r="BA55" i="9"/>
  <c r="AS65" i="7"/>
  <c r="R65" i="7"/>
  <c r="AT55" i="9"/>
  <c r="AL65" i="7"/>
  <c r="K65" i="7"/>
  <c r="AN25" i="9"/>
  <c r="AF35" i="7"/>
  <c r="E35" i="7"/>
  <c r="BA25" i="9"/>
  <c r="AS35" i="7"/>
  <c r="R35" i="7"/>
  <c r="BC74" i="9"/>
  <c r="AU84" i="7"/>
  <c r="T84" i="7"/>
  <c r="BI61" i="9"/>
  <c r="BA71" i="7"/>
  <c r="Z71" i="7"/>
  <c r="BG61" i="9"/>
  <c r="AY71" i="7"/>
  <c r="X71" i="7"/>
  <c r="AM51" i="9"/>
  <c r="AE61" i="7"/>
  <c r="D61" i="7"/>
  <c r="BG69" i="9"/>
  <c r="AY79" i="7"/>
  <c r="X79" i="7"/>
  <c r="BC69" i="9"/>
  <c r="AU79" i="7"/>
  <c r="T79" i="7"/>
  <c r="AX22" i="9"/>
  <c r="AP32" i="7"/>
  <c r="O32" i="7"/>
  <c r="AQ22" i="9"/>
  <c r="AI32" i="7"/>
  <c r="H32" i="7"/>
  <c r="BK91" i="9"/>
  <c r="BC101" i="7"/>
  <c r="AB101" i="7"/>
  <c r="AR28" i="9"/>
  <c r="AJ38" i="7"/>
  <c r="I38" i="7"/>
  <c r="AM28" i="9"/>
  <c r="AE38" i="7"/>
  <c r="D38" i="7"/>
  <c r="AL96" i="9"/>
  <c r="AD106" i="7"/>
  <c r="C106" i="7"/>
  <c r="AU96" i="9"/>
  <c r="AM106" i="7"/>
  <c r="L106" i="7"/>
  <c r="AO98" i="9"/>
  <c r="AG108" i="7"/>
  <c r="F108" i="7"/>
  <c r="AO71" i="9"/>
  <c r="AG81" i="7"/>
  <c r="F81" i="7"/>
  <c r="AY41" i="9"/>
  <c r="AQ51" i="7"/>
  <c r="P51" i="7"/>
  <c r="BH41" i="9"/>
  <c r="AZ51" i="7"/>
  <c r="Y51" i="7"/>
  <c r="AQ90" i="9"/>
  <c r="AI100" i="7"/>
  <c r="H100" i="7"/>
  <c r="BA90" i="9"/>
  <c r="AS100" i="7"/>
  <c r="R100" i="7"/>
  <c r="AP77" i="9"/>
  <c r="AH87" i="7"/>
  <c r="G87" i="7"/>
  <c r="BE115" i="9"/>
  <c r="AW125" i="7"/>
  <c r="V125" i="7"/>
  <c r="BB115" i="9"/>
  <c r="S125" i="7"/>
  <c r="AT125" i="7"/>
  <c r="AP62" i="9"/>
  <c r="AH72" i="7"/>
  <c r="G72" i="7"/>
  <c r="BB62" i="9"/>
  <c r="AT72" i="7"/>
  <c r="S72" i="7"/>
  <c r="AV94" i="9"/>
  <c r="AN104" i="7"/>
  <c r="M104" i="7"/>
  <c r="AV60" i="9"/>
  <c r="AN70" i="7"/>
  <c r="M70" i="7"/>
  <c r="AY60" i="9"/>
  <c r="AQ70" i="7"/>
  <c r="P70" i="7"/>
  <c r="AV87" i="9"/>
  <c r="AN97" i="7"/>
  <c r="M97" i="7"/>
  <c r="BK87" i="9"/>
  <c r="BC97" i="7"/>
  <c r="AB97" i="7"/>
  <c r="BA57" i="9"/>
  <c r="BO57" i="9" s="1"/>
  <c r="AS67" i="7"/>
  <c r="R67" i="7"/>
  <c r="BC57" i="9"/>
  <c r="AU67" i="7"/>
  <c r="T67" i="7"/>
  <c r="BJ106" i="9"/>
  <c r="BB116" i="7"/>
  <c r="AA116" i="7"/>
  <c r="BE105" i="9"/>
  <c r="AW115" i="7"/>
  <c r="V115" i="7"/>
  <c r="AZ105" i="9"/>
  <c r="AR115" i="7"/>
  <c r="Q115" i="7"/>
  <c r="AL50" i="9"/>
  <c r="AD60" i="7"/>
  <c r="C60" i="7"/>
  <c r="BE20" i="9"/>
  <c r="AW30" i="7"/>
  <c r="V30" i="7"/>
  <c r="BF20" i="9"/>
  <c r="AX30" i="7"/>
  <c r="W30" i="7"/>
  <c r="AR36" i="9"/>
  <c r="AJ46" i="7"/>
  <c r="I46" i="7"/>
  <c r="AT118" i="9"/>
  <c r="AL128" i="7"/>
  <c r="K128" i="7"/>
  <c r="BI118" i="9"/>
  <c r="BA128" i="7"/>
  <c r="Z128" i="7"/>
  <c r="AR108" i="9"/>
  <c r="AJ118" i="7"/>
  <c r="I118" i="7"/>
  <c r="BJ108" i="9"/>
  <c r="BB118" i="7"/>
  <c r="AA118" i="7"/>
  <c r="AZ103" i="9"/>
  <c r="AR113" i="7"/>
  <c r="Q113" i="7"/>
  <c r="AQ73" i="9"/>
  <c r="AI83" i="7"/>
  <c r="H83" i="7"/>
  <c r="BG73" i="9"/>
  <c r="AY83" i="7"/>
  <c r="X83" i="7"/>
  <c r="AP122" i="9"/>
  <c r="AH132" i="7"/>
  <c r="G132" i="7"/>
  <c r="AS122" i="9"/>
  <c r="AK132" i="7"/>
  <c r="J132" i="7"/>
  <c r="AS30" i="9"/>
  <c r="AK40" i="7"/>
  <c r="J40" i="7"/>
  <c r="AW102" i="9"/>
  <c r="AO112" i="7"/>
  <c r="N112" i="7"/>
  <c r="AR102" i="9"/>
  <c r="AJ112" i="7"/>
  <c r="I112" i="7"/>
  <c r="AQ16" i="9"/>
  <c r="AI26" i="7"/>
  <c r="H26" i="7"/>
  <c r="AY18" i="9"/>
  <c r="AQ28" i="7"/>
  <c r="P28" i="7"/>
  <c r="AM18" i="9"/>
  <c r="AE28" i="7"/>
  <c r="D28" i="7"/>
  <c r="BA48" i="9"/>
  <c r="AS58" i="7"/>
  <c r="R58" i="7"/>
  <c r="BH48" i="9"/>
  <c r="AZ58" i="7"/>
  <c r="Y58" i="7"/>
  <c r="BK44" i="9"/>
  <c r="BC54" i="7"/>
  <c r="AB54" i="7"/>
  <c r="AM112" i="9"/>
  <c r="AE122" i="7"/>
  <c r="D122" i="7"/>
  <c r="AP112" i="9"/>
  <c r="AH122" i="7"/>
  <c r="G122" i="7"/>
  <c r="AL104" i="9"/>
  <c r="AD114" i="7"/>
  <c r="C114" i="7"/>
  <c r="AN104" i="9"/>
  <c r="AF114" i="7"/>
  <c r="E114" i="7"/>
  <c r="BA38" i="9"/>
  <c r="AS48" i="7"/>
  <c r="R48" i="7"/>
  <c r="BI38" i="9"/>
  <c r="BA48" i="7"/>
  <c r="Z48" i="7"/>
  <c r="AP43" i="9"/>
  <c r="AH53" i="7"/>
  <c r="G53" i="7"/>
  <c r="BD53" i="9"/>
  <c r="AV63" i="7"/>
  <c r="U63" i="7"/>
  <c r="BA53" i="9"/>
  <c r="AS63" i="7"/>
  <c r="R63" i="7"/>
  <c r="AN88" i="9"/>
  <c r="AF98" i="7"/>
  <c r="E98" i="7"/>
  <c r="BB88" i="9"/>
  <c r="AT98" i="7"/>
  <c r="S98" i="7"/>
  <c r="AR121" i="9"/>
  <c r="AJ131" i="7"/>
  <c r="I131" i="7"/>
  <c r="AX121" i="9"/>
  <c r="AP131" i="7"/>
  <c r="O131" i="7"/>
  <c r="BJ59" i="9"/>
  <c r="BB69" i="7"/>
  <c r="AA69" i="7"/>
  <c r="AQ107" i="9"/>
  <c r="AI117" i="7"/>
  <c r="H117" i="7"/>
  <c r="BB107" i="9"/>
  <c r="AT117" i="7"/>
  <c r="S117" i="7"/>
  <c r="AS31" i="9"/>
  <c r="AK41" i="7"/>
  <c r="J41" i="7"/>
  <c r="AM24" i="9"/>
  <c r="D34" i="7"/>
  <c r="AE34" i="7"/>
  <c r="BG24" i="9"/>
  <c r="AY34" i="7"/>
  <c r="X34" i="7"/>
  <c r="AY27" i="9"/>
  <c r="AQ37" i="7"/>
  <c r="P37" i="7"/>
  <c r="BB27" i="9"/>
  <c r="AT37" i="7"/>
  <c r="S37" i="7"/>
  <c r="AW82" i="9"/>
  <c r="AO92" i="7"/>
  <c r="N92" i="7"/>
  <c r="BA92" i="9"/>
  <c r="AS102" i="7"/>
  <c r="R102" i="7"/>
  <c r="BH92" i="9"/>
  <c r="AZ102" i="7"/>
  <c r="Y102" i="7"/>
  <c r="AS40" i="9"/>
  <c r="AK50" i="7"/>
  <c r="J50" i="7"/>
  <c r="BE40" i="9"/>
  <c r="AW50" i="7"/>
  <c r="V50" i="7"/>
  <c r="AR66" i="9"/>
  <c r="AJ76" i="7"/>
  <c r="I76" i="7"/>
  <c r="BG52" i="9"/>
  <c r="AY62" i="7"/>
  <c r="X62" i="7"/>
  <c r="AW52" i="9"/>
  <c r="AO62" i="7"/>
  <c r="N62" i="7"/>
  <c r="BA68" i="9"/>
  <c r="AS78" i="7"/>
  <c r="R78" i="7"/>
  <c r="AU37" i="9"/>
  <c r="AM47" i="7"/>
  <c r="L47" i="7"/>
  <c r="BF37" i="9"/>
  <c r="AX47" i="7"/>
  <c r="W47" i="7"/>
  <c r="AR56" i="9"/>
  <c r="AJ66" i="7"/>
  <c r="I66" i="7"/>
  <c r="AM56" i="9"/>
  <c r="AE66" i="7"/>
  <c r="D66" i="7"/>
  <c r="BI75" i="9"/>
  <c r="BA85" i="7"/>
  <c r="Z85" i="7"/>
  <c r="BG114" i="9"/>
  <c r="AY124" i="7"/>
  <c r="X124" i="7"/>
  <c r="AO114" i="9"/>
  <c r="AG124" i="7"/>
  <c r="F124" i="7"/>
  <c r="BA84" i="9"/>
  <c r="AS94" i="7"/>
  <c r="R94" i="7"/>
  <c r="AN84" i="9"/>
  <c r="AF94" i="7"/>
  <c r="E94" i="7"/>
  <c r="AW26" i="9"/>
  <c r="BO26" i="9" s="1"/>
  <c r="AO36" i="7"/>
  <c r="N36" i="7"/>
  <c r="AL95" i="9"/>
  <c r="AD105" i="7"/>
  <c r="C105" i="7"/>
  <c r="BF72" i="9"/>
  <c r="AX82" i="7"/>
  <c r="W82" i="7"/>
  <c r="BF19" i="9"/>
  <c r="AX29" i="7"/>
  <c r="W29" i="7"/>
  <c r="BC76" i="9"/>
  <c r="AU86" i="7"/>
  <c r="T86" i="7"/>
  <c r="AY83" i="9"/>
  <c r="AQ93" i="7"/>
  <c r="P93" i="7"/>
  <c r="AM55" i="9"/>
  <c r="AE65" i="7"/>
  <c r="D65" i="7"/>
  <c r="AQ28" i="9"/>
  <c r="AI38" i="7"/>
  <c r="H38" i="7"/>
  <c r="BK115" i="9"/>
  <c r="BC125" i="7"/>
  <c r="AB125" i="7"/>
  <c r="AT20" i="9"/>
  <c r="AL30" i="7"/>
  <c r="K30" i="7"/>
  <c r="BI30" i="9"/>
  <c r="BA40" i="7"/>
  <c r="Z40" i="7"/>
  <c r="AY112" i="9"/>
  <c r="AQ122" i="7"/>
  <c r="P122" i="7"/>
  <c r="AU107" i="9"/>
  <c r="AM117" i="7"/>
  <c r="L117" i="7"/>
  <c r="AX114" i="9"/>
  <c r="AP124" i="7"/>
  <c r="O124" i="7"/>
  <c r="AN26" i="9"/>
  <c r="AF36" i="7"/>
  <c r="E36" i="7"/>
  <c r="AL120" i="9"/>
  <c r="AD130" i="7"/>
  <c r="C130" i="7"/>
  <c r="BC26" i="9"/>
  <c r="AU36" i="7"/>
  <c r="T36" i="7"/>
  <c r="AV26" i="9"/>
  <c r="AN36" i="7"/>
  <c r="M36" i="7"/>
  <c r="AX47" i="9"/>
  <c r="AP57" i="7"/>
  <c r="O57" i="7"/>
  <c r="AN33" i="9"/>
  <c r="AF43" i="7"/>
  <c r="E43" i="7"/>
  <c r="AQ33" i="9"/>
  <c r="AI43" i="7"/>
  <c r="H43" i="7"/>
  <c r="BD70" i="9"/>
  <c r="AV80" i="7"/>
  <c r="U80" i="7"/>
  <c r="AP100" i="9"/>
  <c r="AH110" i="7"/>
  <c r="G110" i="7"/>
  <c r="BA100" i="9"/>
  <c r="AS110" i="7"/>
  <c r="R110" i="7"/>
  <c r="AR116" i="9"/>
  <c r="AJ126" i="7"/>
  <c r="I126" i="7"/>
  <c r="AZ116" i="9"/>
  <c r="AR126" i="7"/>
  <c r="Q126" i="7"/>
  <c r="AZ35" i="9"/>
  <c r="AR45" i="7"/>
  <c r="Q45" i="7"/>
  <c r="AS21" i="9"/>
  <c r="AK31" i="7"/>
  <c r="J31" i="7"/>
  <c r="BJ21" i="9"/>
  <c r="BB31" i="7"/>
  <c r="AA31" i="7"/>
  <c r="AM95" i="9"/>
  <c r="AE105" i="7"/>
  <c r="D105" i="7"/>
  <c r="BE95" i="9"/>
  <c r="AW105" i="7"/>
  <c r="V105" i="7"/>
  <c r="BA86" i="9"/>
  <c r="AS96" i="7"/>
  <c r="R96" i="7"/>
  <c r="AQ97" i="9"/>
  <c r="AI107" i="7"/>
  <c r="H107" i="7"/>
  <c r="AT97" i="9"/>
  <c r="AL107" i="7"/>
  <c r="K107" i="7"/>
  <c r="BJ85" i="9"/>
  <c r="BB95" i="7"/>
  <c r="AA95" i="7"/>
  <c r="BI89" i="9"/>
  <c r="BA99" i="7"/>
  <c r="Z99" i="7"/>
  <c r="BJ89" i="9"/>
  <c r="BB99" i="7"/>
  <c r="AA99" i="7"/>
  <c r="BK78" i="9"/>
  <c r="BC88" i="7"/>
  <c r="AB88" i="7"/>
  <c r="AL78" i="9"/>
  <c r="AD88" i="7"/>
  <c r="C88" i="7"/>
  <c r="BC110" i="9"/>
  <c r="AU120" i="7"/>
  <c r="T120" i="7"/>
  <c r="AZ72" i="9"/>
  <c r="AR82" i="7"/>
  <c r="Q82" i="7"/>
  <c r="AO72" i="9"/>
  <c r="AG82" i="7"/>
  <c r="F82" i="7"/>
  <c r="BA23" i="9"/>
  <c r="AS33" i="7"/>
  <c r="R33" i="7"/>
  <c r="AM23" i="9"/>
  <c r="BM23" i="9" s="1"/>
  <c r="AE33" i="7"/>
  <c r="D33" i="7"/>
  <c r="AZ109" i="9"/>
  <c r="AR119" i="7"/>
  <c r="Q119" i="7"/>
  <c r="BI42" i="9"/>
  <c r="BA52" i="7"/>
  <c r="Z52" i="7"/>
  <c r="BF42" i="9"/>
  <c r="AX52" i="7"/>
  <c r="W52" i="7"/>
  <c r="BH29" i="9"/>
  <c r="AZ39" i="7"/>
  <c r="Y39" i="7"/>
  <c r="BI63" i="9"/>
  <c r="BA73" i="7"/>
  <c r="Z73" i="7"/>
  <c r="AN63" i="9"/>
  <c r="AF73" i="7"/>
  <c r="E73" i="7"/>
  <c r="AW49" i="9"/>
  <c r="AO59" i="7"/>
  <c r="N59" i="7"/>
  <c r="AY49" i="9"/>
  <c r="AQ59" i="7"/>
  <c r="P59" i="7"/>
  <c r="AV19" i="9"/>
  <c r="AN29" i="7"/>
  <c r="M29" i="7"/>
  <c r="AX81" i="9"/>
  <c r="AP91" i="7"/>
  <c r="O91" i="7"/>
  <c r="BA81" i="9"/>
  <c r="AS91" i="7"/>
  <c r="R91" i="7"/>
  <c r="AN111" i="9"/>
  <c r="AF121" i="7"/>
  <c r="E121" i="7"/>
  <c r="AY111" i="9"/>
  <c r="AQ121" i="7"/>
  <c r="P121" i="7"/>
  <c r="BA113" i="9"/>
  <c r="AS123" i="7"/>
  <c r="R123" i="7"/>
  <c r="AV119" i="9"/>
  <c r="AN129" i="7"/>
  <c r="M129" i="7"/>
  <c r="AO119" i="9"/>
  <c r="AG129" i="7"/>
  <c r="F129" i="7"/>
  <c r="BG117" i="9"/>
  <c r="AY127" i="7"/>
  <c r="X127" i="7"/>
  <c r="AM54" i="9"/>
  <c r="AE64" i="7"/>
  <c r="D64" i="7"/>
  <c r="BB54" i="9"/>
  <c r="AT64" i="7"/>
  <c r="S64" i="7"/>
  <c r="BF80" i="9"/>
  <c r="AX90" i="7"/>
  <c r="W90" i="7"/>
  <c r="AU80" i="9"/>
  <c r="AM90" i="7"/>
  <c r="L90" i="7"/>
  <c r="AW76" i="9"/>
  <c r="AO86" i="7"/>
  <c r="N86" i="7"/>
  <c r="AS17" i="9"/>
  <c r="AK27" i="7"/>
  <c r="J27" i="7"/>
  <c r="AW17" i="9"/>
  <c r="AO27" i="7"/>
  <c r="N27" i="7"/>
  <c r="BK39" i="9"/>
  <c r="BC49" i="7"/>
  <c r="AB49" i="7"/>
  <c r="AR39" i="9"/>
  <c r="AJ49" i="7"/>
  <c r="I49" i="7"/>
  <c r="BC58" i="9"/>
  <c r="AU68" i="7"/>
  <c r="T68" i="7"/>
  <c r="AV58" i="9"/>
  <c r="AN68" i="7"/>
  <c r="M68" i="7"/>
  <c r="AQ45" i="9"/>
  <c r="AI55" i="7"/>
  <c r="H55" i="7"/>
  <c r="AO79" i="9"/>
  <c r="AG89" i="7"/>
  <c r="F89" i="7"/>
  <c r="BB79" i="9"/>
  <c r="AT89" i="7"/>
  <c r="S89" i="7"/>
  <c r="BH65" i="9"/>
  <c r="AZ75" i="7"/>
  <c r="Y75" i="7"/>
  <c r="AQ65" i="9"/>
  <c r="AI75" i="7"/>
  <c r="H75" i="7"/>
  <c r="AQ67" i="9"/>
  <c r="AI77" i="7"/>
  <c r="H77" i="7"/>
  <c r="AW83" i="9"/>
  <c r="AO93" i="7"/>
  <c r="N93" i="7"/>
  <c r="BE83" i="9"/>
  <c r="AW93" i="7"/>
  <c r="V93" i="7"/>
  <c r="AW99" i="9"/>
  <c r="AO109" i="7"/>
  <c r="N109" i="7"/>
  <c r="AP99" i="9"/>
  <c r="AH109" i="7"/>
  <c r="G109" i="7"/>
  <c r="AX46" i="9"/>
  <c r="AP56" i="7"/>
  <c r="O56" i="7"/>
  <c r="BE32" i="9"/>
  <c r="AW42" i="7"/>
  <c r="V42" i="7"/>
  <c r="BF32" i="9"/>
  <c r="AX42" i="7"/>
  <c r="W42" i="7"/>
  <c r="AR34" i="9"/>
  <c r="AJ44" i="7"/>
  <c r="I44" i="7"/>
  <c r="BJ64" i="9"/>
  <c r="BB74" i="7"/>
  <c r="AA74" i="7"/>
  <c r="AV64" i="9"/>
  <c r="AN74" i="7"/>
  <c r="M74" i="7"/>
  <c r="BA101" i="9"/>
  <c r="AS111" i="7"/>
  <c r="R111" i="7"/>
  <c r="BD101" i="9"/>
  <c r="AV111" i="7"/>
  <c r="U111" i="7"/>
  <c r="AM93" i="9"/>
  <c r="AE103" i="7"/>
  <c r="D103" i="7"/>
  <c r="BE55" i="9"/>
  <c r="AW65" i="7"/>
  <c r="V65" i="7"/>
  <c r="BH55" i="9"/>
  <c r="BQ55" i="9" s="1"/>
  <c r="AZ65" i="7"/>
  <c r="Y65" i="7"/>
  <c r="AW25" i="9"/>
  <c r="AO35" i="7"/>
  <c r="N35" i="7"/>
  <c r="AQ25" i="9"/>
  <c r="AI35" i="7"/>
  <c r="H35" i="7"/>
  <c r="AU74" i="9"/>
  <c r="AM84" i="7"/>
  <c r="L84" i="7"/>
  <c r="BC61" i="9"/>
  <c r="AU71" i="7"/>
  <c r="T71" i="7"/>
  <c r="BE61" i="9"/>
  <c r="AW71" i="7"/>
  <c r="V71" i="7"/>
  <c r="AY51" i="9"/>
  <c r="AQ61" i="7"/>
  <c r="P61" i="7"/>
  <c r="AZ69" i="9"/>
  <c r="AR79" i="7"/>
  <c r="Q79" i="7"/>
  <c r="BK69" i="9"/>
  <c r="BC79" i="7"/>
  <c r="AB79" i="7"/>
  <c r="AN22" i="9"/>
  <c r="AF32" i="7"/>
  <c r="E32" i="7"/>
  <c r="AL22" i="9"/>
  <c r="AD32" i="7"/>
  <c r="C32" i="7"/>
  <c r="BG91" i="9"/>
  <c r="AY101" i="7"/>
  <c r="X101" i="7"/>
  <c r="BG28" i="9"/>
  <c r="AY38" i="7"/>
  <c r="X38" i="7"/>
  <c r="BB28" i="9"/>
  <c r="AT38" i="7"/>
  <c r="S38" i="7"/>
  <c r="BK96" i="9"/>
  <c r="BC106" i="7"/>
  <c r="AB106" i="7"/>
  <c r="AM96" i="9"/>
  <c r="AE106" i="7"/>
  <c r="D106" i="7"/>
  <c r="AV98" i="9"/>
  <c r="AN108" i="7"/>
  <c r="M108" i="7"/>
  <c r="AQ71" i="9"/>
  <c r="AI81" i="7"/>
  <c r="H81" i="7"/>
  <c r="AV41" i="9"/>
  <c r="AN51" i="7"/>
  <c r="M51" i="7"/>
  <c r="AR41" i="9"/>
  <c r="AJ51" i="7"/>
  <c r="I51" i="7"/>
  <c r="AX90" i="9"/>
  <c r="AP100" i="7"/>
  <c r="O100" i="7"/>
  <c r="BI90" i="9"/>
  <c r="BA100" i="7"/>
  <c r="Z100" i="7"/>
  <c r="BC77" i="9"/>
  <c r="AU87" i="7"/>
  <c r="T87" i="7"/>
  <c r="AZ115" i="9"/>
  <c r="AR125" i="7"/>
  <c r="Q125" i="7"/>
  <c r="AR115" i="9"/>
  <c r="AJ125" i="7"/>
  <c r="I125" i="7"/>
  <c r="AW62" i="9"/>
  <c r="AO72" i="7"/>
  <c r="N72" i="7"/>
  <c r="BH62" i="9"/>
  <c r="AZ72" i="7"/>
  <c r="Y72" i="7"/>
  <c r="BC94" i="9"/>
  <c r="AU104" i="7"/>
  <c r="T104" i="7"/>
  <c r="AP60" i="9"/>
  <c r="AH70" i="7"/>
  <c r="G70" i="7"/>
  <c r="AO60" i="9"/>
  <c r="AG70" i="7"/>
  <c r="F70" i="7"/>
  <c r="AW87" i="9"/>
  <c r="AO97" i="7"/>
  <c r="N97" i="7"/>
  <c r="BD87" i="9"/>
  <c r="AV97" i="7"/>
  <c r="U97" i="7"/>
  <c r="AP57" i="9"/>
  <c r="AH67" i="7"/>
  <c r="G67" i="7"/>
  <c r="BH57" i="9"/>
  <c r="BQ57" i="9" s="1"/>
  <c r="AZ67" i="7"/>
  <c r="Y67" i="7"/>
  <c r="BD106" i="9"/>
  <c r="AV116" i="7"/>
  <c r="U116" i="7"/>
  <c r="AW105" i="9"/>
  <c r="AO115" i="7"/>
  <c r="N115" i="7"/>
  <c r="AQ105" i="9"/>
  <c r="AI115" i="7"/>
  <c r="H115" i="7"/>
  <c r="AP50" i="9"/>
  <c r="AH60" i="7"/>
  <c r="G60" i="7"/>
  <c r="AX20" i="9"/>
  <c r="AP30" i="7"/>
  <c r="O30" i="7"/>
  <c r="AV20" i="9"/>
  <c r="AN30" i="7"/>
  <c r="M30" i="7"/>
  <c r="BH36" i="9"/>
  <c r="AZ46" i="7"/>
  <c r="Y46" i="7"/>
  <c r="BH118" i="9"/>
  <c r="AZ128" i="7"/>
  <c r="Y128" i="7"/>
  <c r="AX118" i="9"/>
  <c r="AP128" i="7"/>
  <c r="O128" i="7"/>
  <c r="BF108" i="9"/>
  <c r="AX118" i="7"/>
  <c r="W118" i="7"/>
  <c r="AT108" i="9"/>
  <c r="AL118" i="7"/>
  <c r="K118" i="7"/>
  <c r="AW103" i="9"/>
  <c r="AO113" i="7"/>
  <c r="N113" i="7"/>
  <c r="AX73" i="9"/>
  <c r="AP83" i="7"/>
  <c r="O83" i="7"/>
  <c r="BA73" i="9"/>
  <c r="AS83" i="7"/>
  <c r="R83" i="7"/>
  <c r="AY122" i="9"/>
  <c r="BO122" i="9" s="1"/>
  <c r="AQ132" i="7"/>
  <c r="P132" i="7"/>
  <c r="BB122" i="9"/>
  <c r="AT132" i="7"/>
  <c r="S132" i="7"/>
  <c r="BC30" i="9"/>
  <c r="AU40" i="7"/>
  <c r="T40" i="7"/>
  <c r="AM102" i="9"/>
  <c r="AE112" i="7"/>
  <c r="D112" i="7"/>
  <c r="BD102" i="9"/>
  <c r="AV112" i="7"/>
  <c r="U112" i="7"/>
  <c r="AX16" i="9"/>
  <c r="AP26" i="7"/>
  <c r="O26" i="7"/>
  <c r="AZ18" i="9"/>
  <c r="AR28" i="7"/>
  <c r="Q28" i="7"/>
  <c r="BE18" i="9"/>
  <c r="AW28" i="7"/>
  <c r="V28" i="7"/>
  <c r="BF48" i="9"/>
  <c r="AX58" i="7"/>
  <c r="W58" i="7"/>
  <c r="AO48" i="9"/>
  <c r="AG58" i="7"/>
  <c r="F58" i="7"/>
  <c r="AP44" i="9"/>
  <c r="AH54" i="7"/>
  <c r="G54" i="7"/>
  <c r="BJ112" i="9"/>
  <c r="BB122" i="7"/>
  <c r="AA122" i="7"/>
  <c r="AX112" i="9"/>
  <c r="AP122" i="7"/>
  <c r="O122" i="7"/>
  <c r="BC104" i="9"/>
  <c r="AU114" i="7"/>
  <c r="T114" i="7"/>
  <c r="AU104" i="9"/>
  <c r="AM114" i="7"/>
  <c r="L114" i="7"/>
  <c r="BK38" i="9"/>
  <c r="BC48" i="7"/>
  <c r="AB48" i="7"/>
  <c r="AQ38" i="9"/>
  <c r="AI48" i="7"/>
  <c r="H48" i="7"/>
  <c r="AQ43" i="9"/>
  <c r="AI53" i="7"/>
  <c r="H53" i="7"/>
  <c r="AL53" i="9"/>
  <c r="AD63" i="7"/>
  <c r="C63" i="7"/>
  <c r="AT53" i="9"/>
  <c r="AL63" i="7"/>
  <c r="K63" i="7"/>
  <c r="BC88" i="9"/>
  <c r="AU98" i="7"/>
  <c r="T98" i="7"/>
  <c r="BJ88" i="9"/>
  <c r="BB98" i="7"/>
  <c r="AA98" i="7"/>
  <c r="BC121" i="9"/>
  <c r="BP121" i="9" s="1"/>
  <c r="AU131" i="7"/>
  <c r="T131" i="7"/>
  <c r="AU121" i="9"/>
  <c r="AM131" i="7"/>
  <c r="L131" i="7"/>
  <c r="AP59" i="9"/>
  <c r="AH69" i="7"/>
  <c r="G69" i="7"/>
  <c r="AM107" i="9"/>
  <c r="AE117" i="7"/>
  <c r="D117" i="7"/>
  <c r="BI107" i="9"/>
  <c r="BQ107" i="9" s="1"/>
  <c r="BA117" i="7"/>
  <c r="Z117" i="7"/>
  <c r="BC31" i="9"/>
  <c r="AU41" i="7"/>
  <c r="T41" i="7"/>
  <c r="BB24" i="9"/>
  <c r="AT34" i="7"/>
  <c r="S34" i="7"/>
  <c r="AX24" i="9"/>
  <c r="AP34" i="7"/>
  <c r="O34" i="7"/>
  <c r="AS27" i="9"/>
  <c r="AK37" i="7"/>
  <c r="J37" i="7"/>
  <c r="AU27" i="9"/>
  <c r="AM37" i="7"/>
  <c r="L37" i="7"/>
  <c r="BI82" i="9"/>
  <c r="BA92" i="7"/>
  <c r="Z92" i="7"/>
  <c r="AP92" i="9"/>
  <c r="AH102" i="7"/>
  <c r="G102" i="7"/>
  <c r="AO92" i="9"/>
  <c r="AG102" i="7"/>
  <c r="F102" i="7"/>
  <c r="AL40" i="9"/>
  <c r="AD50" i="7"/>
  <c r="C50" i="7"/>
  <c r="BD40" i="9"/>
  <c r="AV50" i="7"/>
  <c r="U50" i="7"/>
  <c r="BA66" i="9"/>
  <c r="AS76" i="7"/>
  <c r="R76" i="7"/>
  <c r="AP52" i="9"/>
  <c r="AH62" i="7"/>
  <c r="G62" i="7"/>
  <c r="AL52" i="9"/>
  <c r="AD62" i="7"/>
  <c r="C62" i="7"/>
  <c r="AW68" i="9"/>
  <c r="AO78" i="7"/>
  <c r="N78" i="7"/>
  <c r="AT37" i="9"/>
  <c r="AL47" i="7"/>
  <c r="K47" i="7"/>
  <c r="AP37" i="9"/>
  <c r="AH47" i="7"/>
  <c r="G47" i="7"/>
  <c r="BG56" i="9"/>
  <c r="AY66" i="7"/>
  <c r="X66" i="7"/>
  <c r="BK56" i="9"/>
  <c r="BC66" i="7"/>
  <c r="AB66" i="7"/>
  <c r="BK75" i="9"/>
  <c r="BC85" i="7"/>
  <c r="AB85" i="7"/>
  <c r="AZ114" i="9"/>
  <c r="AR124" i="7"/>
  <c r="Q124" i="7"/>
  <c r="AT114" i="9"/>
  <c r="AL124" i="7"/>
  <c r="K124" i="7"/>
  <c r="AR84" i="9"/>
  <c r="AJ94" i="7"/>
  <c r="I94" i="7"/>
  <c r="AL86" i="9"/>
  <c r="AD96" i="7"/>
  <c r="C96" i="7"/>
  <c r="BE109" i="9"/>
  <c r="AW119" i="7"/>
  <c r="V119" i="7"/>
  <c r="BK119" i="9"/>
  <c r="BC129" i="7"/>
  <c r="AB129" i="7"/>
  <c r="AR58" i="9"/>
  <c r="AJ68" i="7"/>
  <c r="I68" i="7"/>
  <c r="BK32" i="9"/>
  <c r="BC42" i="7"/>
  <c r="AB42" i="7"/>
  <c r="BF61" i="9"/>
  <c r="AX71" i="7"/>
  <c r="W71" i="7"/>
  <c r="BB71" i="9"/>
  <c r="AT81" i="7"/>
  <c r="S81" i="7"/>
  <c r="BI87" i="9"/>
  <c r="BQ87" i="9" s="1"/>
  <c r="BA97" i="7"/>
  <c r="Z97" i="7"/>
  <c r="BH108" i="9"/>
  <c r="AZ118" i="7"/>
  <c r="Y118" i="7"/>
  <c r="AT48" i="9"/>
  <c r="AL58" i="7"/>
  <c r="K58" i="7"/>
  <c r="AS43" i="9"/>
  <c r="BN43" i="9" s="1"/>
  <c r="AK53" i="7"/>
  <c r="J53" i="7"/>
  <c r="AY24" i="9"/>
  <c r="AQ34" i="7"/>
  <c r="P34" i="7"/>
  <c r="AM114" i="9"/>
  <c r="AE124" i="7"/>
  <c r="D124" i="7"/>
  <c r="AV120" i="9"/>
  <c r="AN130" i="7"/>
  <c r="M130" i="7"/>
  <c r="AM26" i="9"/>
  <c r="AE36" i="7"/>
  <c r="D36" i="7"/>
  <c r="AP26" i="9"/>
  <c r="AH36" i="7"/>
  <c r="G36" i="7"/>
  <c r="BB47" i="9"/>
  <c r="AT57" i="7"/>
  <c r="S57" i="7"/>
  <c r="AR47" i="9"/>
  <c r="AJ57" i="7"/>
  <c r="I57" i="7"/>
  <c r="AV33" i="9"/>
  <c r="AN43" i="7"/>
  <c r="M43" i="7"/>
  <c r="BA33" i="9"/>
  <c r="AS43" i="7"/>
  <c r="R43" i="7"/>
  <c r="BA70" i="9"/>
  <c r="AS80" i="7"/>
  <c r="R80" i="7"/>
  <c r="BH100" i="9"/>
  <c r="AZ110" i="7"/>
  <c r="Y110" i="7"/>
  <c r="BK100" i="9"/>
  <c r="BC110" i="7"/>
  <c r="AB110" i="7"/>
  <c r="AN116" i="9"/>
  <c r="AF126" i="7"/>
  <c r="E126" i="7"/>
  <c r="AY116" i="9"/>
  <c r="AQ126" i="7"/>
  <c r="P126" i="7"/>
  <c r="AY35" i="9"/>
  <c r="BO35" i="9" s="1"/>
  <c r="AQ45" i="7"/>
  <c r="P45" i="7"/>
  <c r="AZ21" i="9"/>
  <c r="AR31" i="7"/>
  <c r="Q31" i="7"/>
  <c r="BB21" i="9"/>
  <c r="AT31" i="7"/>
  <c r="S31" i="7"/>
  <c r="BJ95" i="9"/>
  <c r="BB105" i="7"/>
  <c r="AA105" i="7"/>
  <c r="AU86" i="9"/>
  <c r="AM96" i="7"/>
  <c r="L96" i="7"/>
  <c r="AY86" i="9"/>
  <c r="AQ96" i="7"/>
  <c r="P96" i="7"/>
  <c r="AM97" i="9"/>
  <c r="AE107" i="7"/>
  <c r="D107" i="7"/>
  <c r="BD97" i="9"/>
  <c r="AV107" i="7"/>
  <c r="U107" i="7"/>
  <c r="BK85" i="9"/>
  <c r="BC95" i="7"/>
  <c r="AB95" i="7"/>
  <c r="AX89" i="9"/>
  <c r="AP99" i="7"/>
  <c r="O99" i="7"/>
  <c r="AL89" i="9"/>
  <c r="AD99" i="7"/>
  <c r="C99" i="7"/>
  <c r="BA78" i="9"/>
  <c r="BO78" i="9" s="1"/>
  <c r="AS88" i="7"/>
  <c r="R88" i="7"/>
  <c r="BF78" i="9"/>
  <c r="AX88" i="7"/>
  <c r="W88" i="7"/>
  <c r="AU110" i="9"/>
  <c r="AM120" i="7"/>
  <c r="L120" i="7"/>
  <c r="AU72" i="9"/>
  <c r="AM82" i="7"/>
  <c r="L82" i="7"/>
  <c r="AL72" i="9"/>
  <c r="AD82" i="7"/>
  <c r="C82" i="7"/>
  <c r="AX23" i="9"/>
  <c r="AP33" i="7"/>
  <c r="O33" i="7"/>
  <c r="BD109" i="9"/>
  <c r="AV119" i="7"/>
  <c r="U119" i="7"/>
  <c r="AN109" i="9"/>
  <c r="AF119" i="7"/>
  <c r="E119" i="7"/>
  <c r="AX42" i="9"/>
  <c r="AP52" i="7"/>
  <c r="O52" i="7"/>
  <c r="AT42" i="9"/>
  <c r="AL52" i="7"/>
  <c r="K52" i="7"/>
  <c r="AZ29" i="9"/>
  <c r="BO29" i="9" s="1"/>
  <c r="AR39" i="7"/>
  <c r="Q39" i="7"/>
  <c r="AM63" i="9"/>
  <c r="AE73" i="7"/>
  <c r="D73" i="7"/>
  <c r="AU63" i="9"/>
  <c r="AM73" i="7"/>
  <c r="L73" i="7"/>
  <c r="AQ49" i="9"/>
  <c r="AI59" i="7"/>
  <c r="H59" i="7"/>
  <c r="AM49" i="9"/>
  <c r="AE59" i="7"/>
  <c r="D59" i="7"/>
  <c r="AQ19" i="9"/>
  <c r="AI29" i="7"/>
  <c r="H29" i="7"/>
  <c r="AW81" i="9"/>
  <c r="AO91" i="7"/>
  <c r="N91" i="7"/>
  <c r="AQ81" i="9"/>
  <c r="AI91" i="7"/>
  <c r="H91" i="7"/>
  <c r="BJ111" i="9"/>
  <c r="BB121" i="7"/>
  <c r="AA121" i="7"/>
  <c r="AT113" i="9"/>
  <c r="AL123" i="7"/>
  <c r="K123" i="7"/>
  <c r="AR113" i="9"/>
  <c r="AJ123" i="7"/>
  <c r="I123" i="7"/>
  <c r="AL119" i="9"/>
  <c r="AD129" i="7"/>
  <c r="C129" i="7"/>
  <c r="BF119" i="9"/>
  <c r="AX129" i="7"/>
  <c r="W129" i="7"/>
  <c r="AZ117" i="9"/>
  <c r="AR127" i="7"/>
  <c r="Q127" i="7"/>
  <c r="AU54" i="9"/>
  <c r="AM64" i="7"/>
  <c r="L64" i="7"/>
  <c r="BD54" i="9"/>
  <c r="AV64" i="7"/>
  <c r="U64" i="7"/>
  <c r="AP80" i="9"/>
  <c r="AH90" i="7"/>
  <c r="G90" i="7"/>
  <c r="AX80" i="9"/>
  <c r="AP90" i="7"/>
  <c r="O90" i="7"/>
  <c r="BD76" i="9"/>
  <c r="AV86" i="7"/>
  <c r="U86" i="7"/>
  <c r="BB17" i="9"/>
  <c r="S27" i="7"/>
  <c r="AT27" i="7"/>
  <c r="AM17" i="9"/>
  <c r="D27" i="7"/>
  <c r="AE27" i="7"/>
  <c r="AM39" i="9"/>
  <c r="AE49" i="7"/>
  <c r="D49" i="7"/>
  <c r="BG58" i="9"/>
  <c r="AY68" i="7"/>
  <c r="X68" i="7"/>
  <c r="AS58" i="9"/>
  <c r="AK68" i="7"/>
  <c r="J68" i="7"/>
  <c r="AR45" i="9"/>
  <c r="AJ55" i="7"/>
  <c r="I55" i="7"/>
  <c r="BK79" i="9"/>
  <c r="BC89" i="7"/>
  <c r="AB89" i="7"/>
  <c r="AM79" i="9"/>
  <c r="AE89" i="7"/>
  <c r="D89" i="7"/>
  <c r="AV65" i="9"/>
  <c r="AN75" i="7"/>
  <c r="M75" i="7"/>
  <c r="BA65" i="9"/>
  <c r="AS75" i="7"/>
  <c r="R75" i="7"/>
  <c r="BF67" i="9"/>
  <c r="AX77" i="7"/>
  <c r="W77" i="7"/>
  <c r="AU83" i="9"/>
  <c r="AM93" i="7"/>
  <c r="L93" i="7"/>
  <c r="BB83" i="9"/>
  <c r="AT93" i="7"/>
  <c r="S93" i="7"/>
  <c r="AV99" i="9"/>
  <c r="BN99" i="9" s="1"/>
  <c r="AN109" i="7"/>
  <c r="M109" i="7"/>
  <c r="AR46" i="9"/>
  <c r="AJ56" i="7"/>
  <c r="I56" i="7"/>
  <c r="BJ46" i="9"/>
  <c r="BB56" i="7"/>
  <c r="AA56" i="7"/>
  <c r="BD32" i="9"/>
  <c r="AV42" i="7"/>
  <c r="U42" i="7"/>
  <c r="AS32" i="9"/>
  <c r="AK42" i="7"/>
  <c r="J42" i="7"/>
  <c r="AY34" i="9"/>
  <c r="AQ44" i="7"/>
  <c r="P44" i="7"/>
  <c r="BG64" i="9"/>
  <c r="AY74" i="7"/>
  <c r="X74" i="7"/>
  <c r="AQ64" i="9"/>
  <c r="AI74" i="7"/>
  <c r="H74" i="7"/>
  <c r="AP101" i="9"/>
  <c r="AH111" i="7"/>
  <c r="G111" i="7"/>
  <c r="BE101" i="9"/>
  <c r="AW111" i="7"/>
  <c r="V111" i="7"/>
  <c r="AV93" i="9"/>
  <c r="AN103" i="7"/>
  <c r="M103" i="7"/>
  <c r="AO55" i="9"/>
  <c r="AG65" i="7"/>
  <c r="F65" i="7"/>
  <c r="AR55" i="9"/>
  <c r="AJ65" i="7"/>
  <c r="I65" i="7"/>
  <c r="BJ25" i="9"/>
  <c r="BB35" i="7"/>
  <c r="AA35" i="7"/>
  <c r="BG74" i="9"/>
  <c r="AY84" i="7"/>
  <c r="X84" i="7"/>
  <c r="AM74" i="9"/>
  <c r="AE84" i="7"/>
  <c r="D84" i="7"/>
  <c r="BB61" i="9"/>
  <c r="AT71" i="7"/>
  <c r="S71" i="7"/>
  <c r="AV61" i="9"/>
  <c r="AN71" i="7"/>
  <c r="M71" i="7"/>
  <c r="AP51" i="9"/>
  <c r="AH61" i="7"/>
  <c r="G61" i="7"/>
  <c r="BF69" i="9"/>
  <c r="AX79" i="7"/>
  <c r="W79" i="7"/>
  <c r="AM69" i="9"/>
  <c r="AE79" i="7"/>
  <c r="D79" i="7"/>
  <c r="BI22" i="9"/>
  <c r="BA32" i="7"/>
  <c r="Z32" i="7"/>
  <c r="BF22" i="9"/>
  <c r="AX32" i="7"/>
  <c r="W32" i="7"/>
  <c r="BD91" i="9"/>
  <c r="AV101" i="7"/>
  <c r="U101" i="7"/>
  <c r="AV28" i="9"/>
  <c r="AN38" i="7"/>
  <c r="M38" i="7"/>
  <c r="BI28" i="9"/>
  <c r="BA38" i="7"/>
  <c r="Z38" i="7"/>
  <c r="AZ96" i="9"/>
  <c r="AR106" i="7"/>
  <c r="Q106" i="7"/>
  <c r="BC98" i="9"/>
  <c r="BP98" i="9" s="1"/>
  <c r="AU108" i="7"/>
  <c r="T108" i="7"/>
  <c r="BJ98" i="9"/>
  <c r="BB108" i="7"/>
  <c r="AA108" i="7"/>
  <c r="AN71" i="9"/>
  <c r="AF81" i="7"/>
  <c r="E81" i="7"/>
  <c r="BI41" i="9"/>
  <c r="BQ41" i="9" s="1"/>
  <c r="BA51" i="7"/>
  <c r="Z51" i="7"/>
  <c r="AX41" i="9"/>
  <c r="AP51" i="7"/>
  <c r="O51" i="7"/>
  <c r="AT90" i="9"/>
  <c r="BN90" i="9" s="1"/>
  <c r="AL100" i="7"/>
  <c r="K100" i="7"/>
  <c r="BH90" i="9"/>
  <c r="BQ90" i="9" s="1"/>
  <c r="AZ100" i="7"/>
  <c r="Y100" i="7"/>
  <c r="AN77" i="9"/>
  <c r="AF87" i="7"/>
  <c r="E87" i="7"/>
  <c r="AO115" i="9"/>
  <c r="AG125" i="7"/>
  <c r="F125" i="7"/>
  <c r="AY115" i="9"/>
  <c r="AQ125" i="7"/>
  <c r="P125" i="7"/>
  <c r="BG62" i="9"/>
  <c r="AY72" i="7"/>
  <c r="X72" i="7"/>
  <c r="AU94" i="9"/>
  <c r="AM104" i="7"/>
  <c r="L104" i="7"/>
  <c r="AM94" i="9"/>
  <c r="AE104" i="7"/>
  <c r="D104" i="7"/>
  <c r="BB60" i="9"/>
  <c r="AT70" i="7"/>
  <c r="S70" i="7"/>
  <c r="BD60" i="9"/>
  <c r="AV70" i="7"/>
  <c r="U70" i="7"/>
  <c r="AU87" i="9"/>
  <c r="AM97" i="7"/>
  <c r="L97" i="7"/>
  <c r="AQ87" i="9"/>
  <c r="BM87" i="9" s="1"/>
  <c r="AI97" i="7"/>
  <c r="H97" i="7"/>
  <c r="AM57" i="9"/>
  <c r="AE67" i="7"/>
  <c r="D67" i="7"/>
  <c r="BB57" i="9"/>
  <c r="AT67" i="7"/>
  <c r="S67" i="7"/>
  <c r="BI106" i="9"/>
  <c r="BA116" i="7"/>
  <c r="Z116" i="7"/>
  <c r="AO105" i="9"/>
  <c r="AG115" i="7"/>
  <c r="F115" i="7"/>
  <c r="AS50" i="9"/>
  <c r="AK60" i="7"/>
  <c r="J60" i="7"/>
  <c r="AZ50" i="9"/>
  <c r="AR60" i="7"/>
  <c r="Q60" i="7"/>
  <c r="AW20" i="9"/>
  <c r="AO30" i="7"/>
  <c r="N30" i="7"/>
  <c r="AP20" i="9"/>
  <c r="AH30" i="7"/>
  <c r="G30" i="7"/>
  <c r="BF36" i="9"/>
  <c r="AX46" i="7"/>
  <c r="W46" i="7"/>
  <c r="BE118" i="9"/>
  <c r="AW128" i="7"/>
  <c r="V128" i="7"/>
  <c r="BG118" i="9"/>
  <c r="AY128" i="7"/>
  <c r="X128" i="7"/>
  <c r="AY108" i="9"/>
  <c r="AQ118" i="7"/>
  <c r="P118" i="7"/>
  <c r="BB108" i="9"/>
  <c r="AT118" i="7"/>
  <c r="S118" i="7"/>
  <c r="AL103" i="9"/>
  <c r="AD113" i="7"/>
  <c r="C113" i="7"/>
  <c r="BD73" i="9"/>
  <c r="AV83" i="7"/>
  <c r="U83" i="7"/>
  <c r="BF73" i="9"/>
  <c r="AX83" i="7"/>
  <c r="W83" i="7"/>
  <c r="BE122" i="9"/>
  <c r="BP122" i="9" s="1"/>
  <c r="AW132" i="7"/>
  <c r="V132" i="7"/>
  <c r="BJ30" i="9"/>
  <c r="BB40" i="7"/>
  <c r="AA40" i="7"/>
  <c r="BA30" i="9"/>
  <c r="AS40" i="7"/>
  <c r="R40" i="7"/>
  <c r="BI102" i="9"/>
  <c r="BA112" i="7"/>
  <c r="Z112" i="7"/>
  <c r="BB102" i="9"/>
  <c r="AT112" i="7"/>
  <c r="S112" i="7"/>
  <c r="AT16" i="9"/>
  <c r="K26" i="7"/>
  <c r="AL26" i="7"/>
  <c r="BG18" i="9"/>
  <c r="AY28" i="7"/>
  <c r="X28" i="7"/>
  <c r="AU18" i="9"/>
  <c r="AM28" i="7"/>
  <c r="L28" i="7"/>
  <c r="AZ48" i="9"/>
  <c r="AR58" i="7"/>
  <c r="Q58" i="7"/>
  <c r="BG48" i="9"/>
  <c r="BQ48" i="9" s="1"/>
  <c r="AY58" i="7"/>
  <c r="X58" i="7"/>
  <c r="AU44" i="9"/>
  <c r="AM54" i="7"/>
  <c r="L54" i="7"/>
  <c r="AT112" i="9"/>
  <c r="AL122" i="7"/>
  <c r="K122" i="7"/>
  <c r="BE112" i="9"/>
  <c r="AW122" i="7"/>
  <c r="V122" i="7"/>
  <c r="AS104" i="9"/>
  <c r="AK114" i="7"/>
  <c r="J114" i="7"/>
  <c r="AY38" i="9"/>
  <c r="AQ48" i="7"/>
  <c r="P48" i="7"/>
  <c r="BF38" i="9"/>
  <c r="AX48" i="7"/>
  <c r="W48" i="7"/>
  <c r="BE43" i="9"/>
  <c r="AW53" i="7"/>
  <c r="V53" i="7"/>
  <c r="AV53" i="9"/>
  <c r="AN63" i="7"/>
  <c r="M63" i="7"/>
  <c r="AR53" i="9"/>
  <c r="AJ63" i="7"/>
  <c r="I63" i="7"/>
  <c r="BH88" i="9"/>
  <c r="AZ98" i="7"/>
  <c r="Y98" i="7"/>
  <c r="AL88" i="9"/>
  <c r="AD98" i="7"/>
  <c r="C98" i="7"/>
  <c r="BG121" i="9"/>
  <c r="AY131" i="7"/>
  <c r="X131" i="7"/>
  <c r="AM121" i="9"/>
  <c r="AE131" i="7"/>
  <c r="D131" i="7"/>
  <c r="AW59" i="9"/>
  <c r="AO69" i="7"/>
  <c r="N69" i="7"/>
  <c r="BD59" i="9"/>
  <c r="AV69" i="7"/>
  <c r="U69" i="7"/>
  <c r="AZ107" i="9"/>
  <c r="AR117" i="7"/>
  <c r="Q117" i="7"/>
  <c r="AP107" i="9"/>
  <c r="AH117" i="7"/>
  <c r="G117" i="7"/>
  <c r="AV31" i="9"/>
  <c r="AN41" i="7"/>
  <c r="M41" i="7"/>
  <c r="AV24" i="9"/>
  <c r="AN34" i="7"/>
  <c r="M34" i="7"/>
  <c r="AQ24" i="9"/>
  <c r="AI34" i="7"/>
  <c r="H34" i="7"/>
  <c r="AP27" i="9"/>
  <c r="AH37" i="7"/>
  <c r="G37" i="7"/>
  <c r="AL27" i="9"/>
  <c r="AD37" i="7"/>
  <c r="C37" i="7"/>
  <c r="AO82" i="9"/>
  <c r="AG92" i="7"/>
  <c r="F92" i="7"/>
  <c r="AZ92" i="9"/>
  <c r="AR102" i="7"/>
  <c r="Q102" i="7"/>
  <c r="AR92" i="9"/>
  <c r="AJ102" i="7"/>
  <c r="I102" i="7"/>
  <c r="BH40" i="9"/>
  <c r="BQ40" i="9" s="1"/>
  <c r="AZ50" i="7"/>
  <c r="Y50" i="7"/>
  <c r="AO66" i="9"/>
  <c r="AG76" i="7"/>
  <c r="F76" i="7"/>
  <c r="BG66" i="9"/>
  <c r="AY76" i="7"/>
  <c r="X76" i="7"/>
  <c r="BK52" i="9"/>
  <c r="BC62" i="7"/>
  <c r="AB62" i="7"/>
  <c r="AR52" i="9"/>
  <c r="BN52" i="9" s="1"/>
  <c r="AJ62" i="7"/>
  <c r="I62" i="7"/>
  <c r="AR68" i="9"/>
  <c r="AJ78" i="7"/>
  <c r="I78" i="7"/>
  <c r="BC37" i="9"/>
  <c r="AU47" i="7"/>
  <c r="T47" i="7"/>
  <c r="AY37" i="9"/>
  <c r="BO37" i="9" s="1"/>
  <c r="AQ47" i="7"/>
  <c r="P47" i="7"/>
  <c r="AQ56" i="9"/>
  <c r="AI66" i="7"/>
  <c r="H66" i="7"/>
  <c r="AS56" i="9"/>
  <c r="AK66" i="7"/>
  <c r="J66" i="7"/>
  <c r="BH75" i="9"/>
  <c r="AZ85" i="7"/>
  <c r="Y85" i="7"/>
  <c r="AQ114" i="9"/>
  <c r="AI124" i="7"/>
  <c r="H124" i="7"/>
  <c r="AL114" i="9"/>
  <c r="AD124" i="7"/>
  <c r="C124" i="7"/>
  <c r="AT84" i="9"/>
  <c r="AL94" i="7"/>
  <c r="K94" i="7"/>
  <c r="AU114" i="9"/>
  <c r="AM124" i="7"/>
  <c r="L124" i="7"/>
  <c r="BO110" i="9"/>
  <c r="BQ9" i="9"/>
  <c r="BM47" i="9"/>
  <c r="BQ84" i="9"/>
  <c r="BP8" i="9"/>
  <c r="BM9" i="9"/>
  <c r="BM10" i="9"/>
  <c r="BO31" i="9"/>
  <c r="BQ31" i="9"/>
  <c r="BN70" i="9"/>
  <c r="BP117" i="9"/>
  <c r="BN22" i="9"/>
  <c r="BN79" i="9"/>
  <c r="BQ13" i="9"/>
  <c r="BQ80" i="9"/>
  <c r="BO70" i="9"/>
  <c r="BQ73" i="9"/>
  <c r="BO102" i="9"/>
  <c r="Q47" i="9"/>
  <c r="R21" i="9"/>
  <c r="AA78" i="9"/>
  <c r="F7" i="9"/>
  <c r="AA120" i="9"/>
  <c r="G120" i="9"/>
  <c r="Q26" i="9"/>
  <c r="J13" i="9"/>
  <c r="T13" i="9"/>
  <c r="X47" i="9"/>
  <c r="T33" i="9"/>
  <c r="V33" i="9"/>
  <c r="N70" i="9"/>
  <c r="M100" i="9"/>
  <c r="F100" i="9"/>
  <c r="M116" i="9"/>
  <c r="J116" i="9"/>
  <c r="S35" i="9"/>
  <c r="W21" i="9"/>
  <c r="Z21" i="9"/>
  <c r="H95" i="9"/>
  <c r="U86" i="9"/>
  <c r="R97" i="9"/>
  <c r="Y97" i="9"/>
  <c r="T85" i="9"/>
  <c r="O89" i="9"/>
  <c r="V89" i="9"/>
  <c r="U110" i="9"/>
  <c r="L72" i="9"/>
  <c r="D72" i="9"/>
  <c r="F23" i="9"/>
  <c r="Y109" i="9"/>
  <c r="D42" i="9"/>
  <c r="V42" i="9"/>
  <c r="S42" i="9"/>
  <c r="M29" i="9"/>
  <c r="D29" i="9"/>
  <c r="D63" i="9"/>
  <c r="E63" i="9"/>
  <c r="F49" i="9"/>
  <c r="N19" i="9"/>
  <c r="U81" i="9"/>
  <c r="W81" i="9"/>
  <c r="AA111" i="9"/>
  <c r="W111" i="9"/>
  <c r="Q113" i="9"/>
  <c r="G113" i="9"/>
  <c r="S117" i="9"/>
  <c r="D54" i="9"/>
  <c r="I54" i="9"/>
  <c r="N54" i="9"/>
  <c r="F80" i="9"/>
  <c r="L80" i="9"/>
  <c r="C76" i="9"/>
  <c r="W76" i="9"/>
  <c r="P17" i="9"/>
  <c r="C17" i="9"/>
  <c r="M39" i="9"/>
  <c r="Z39" i="9"/>
  <c r="I9" i="9"/>
  <c r="R9" i="9"/>
  <c r="N58" i="9"/>
  <c r="P58" i="9"/>
  <c r="L45" i="9"/>
  <c r="K45" i="9"/>
  <c r="M79" i="9"/>
  <c r="W79" i="9"/>
  <c r="O65" i="9"/>
  <c r="E65" i="9"/>
  <c r="L67" i="9"/>
  <c r="M99" i="9"/>
  <c r="H99" i="9"/>
  <c r="K46" i="9"/>
  <c r="R32" i="9"/>
  <c r="P34" i="9"/>
  <c r="X64" i="9"/>
  <c r="X101" i="9"/>
  <c r="J93" i="9"/>
  <c r="F25" i="9"/>
  <c r="M25" i="9"/>
  <c r="L74" i="9"/>
  <c r="K61" i="9"/>
  <c r="AA61" i="9"/>
  <c r="V51" i="9"/>
  <c r="Y51" i="9"/>
  <c r="O69" i="9"/>
  <c r="S69" i="9"/>
  <c r="P22" i="9"/>
  <c r="I22" i="9"/>
  <c r="H91" i="9"/>
  <c r="AB91" i="9"/>
  <c r="L28" i="9"/>
  <c r="Y28" i="9"/>
  <c r="Q96" i="9"/>
  <c r="G96" i="9"/>
  <c r="P98" i="9"/>
  <c r="O10" i="9"/>
  <c r="Z10" i="9"/>
  <c r="Z71" i="9"/>
  <c r="AA41" i="9"/>
  <c r="V41" i="9"/>
  <c r="F90" i="9"/>
  <c r="Z90" i="9"/>
  <c r="K77" i="9"/>
  <c r="Q77" i="9"/>
  <c r="U115" i="9"/>
  <c r="AB115" i="9"/>
  <c r="L62" i="9"/>
  <c r="S94" i="9"/>
  <c r="T94" i="9"/>
  <c r="H60" i="9"/>
  <c r="K60" i="9"/>
  <c r="X60" i="9"/>
  <c r="C15" i="9"/>
  <c r="U87" i="9"/>
  <c r="R57" i="9"/>
  <c r="W57" i="9"/>
  <c r="I106" i="9"/>
  <c r="Z106" i="9"/>
  <c r="W14" i="9"/>
  <c r="K14" i="9"/>
  <c r="X105" i="9"/>
  <c r="U50" i="9"/>
  <c r="V50" i="9"/>
  <c r="U20" i="9"/>
  <c r="W36" i="9"/>
  <c r="V118" i="9"/>
  <c r="P118" i="9"/>
  <c r="L118" i="9"/>
  <c r="X108" i="9"/>
  <c r="H103" i="9"/>
  <c r="W103" i="9"/>
  <c r="E73" i="9"/>
  <c r="X73" i="9"/>
  <c r="H122" i="9"/>
  <c r="E122" i="9"/>
  <c r="G30" i="9"/>
  <c r="R30" i="9"/>
  <c r="R102" i="9"/>
  <c r="L16" i="9"/>
  <c r="V18" i="9"/>
  <c r="O48" i="9"/>
  <c r="N44" i="9"/>
  <c r="H112" i="9"/>
  <c r="R112" i="9"/>
  <c r="T112" i="9"/>
  <c r="Q104" i="9"/>
  <c r="AB104" i="9"/>
  <c r="M11" i="9"/>
  <c r="Y11" i="9"/>
  <c r="Y38" i="9"/>
  <c r="V43" i="9"/>
  <c r="U53" i="9"/>
  <c r="N53" i="9"/>
  <c r="W88" i="9"/>
  <c r="AA88" i="9"/>
  <c r="Z8" i="9"/>
  <c r="H121" i="9"/>
  <c r="O121" i="9"/>
  <c r="F12" i="9"/>
  <c r="T107" i="9"/>
  <c r="V107" i="9"/>
  <c r="J107" i="9"/>
  <c r="E31" i="9"/>
  <c r="F31" i="9"/>
  <c r="R24" i="9"/>
  <c r="E27" i="9"/>
  <c r="D82" i="9"/>
  <c r="S92" i="9"/>
  <c r="T92" i="9"/>
  <c r="O40" i="9"/>
  <c r="AA66" i="9"/>
  <c r="Q66" i="9"/>
  <c r="G52" i="9"/>
  <c r="S68" i="9"/>
  <c r="K68" i="9"/>
  <c r="E37" i="9"/>
  <c r="R56" i="9"/>
  <c r="R75" i="9"/>
  <c r="G114" i="9"/>
  <c r="AA114" i="9"/>
  <c r="S84" i="9"/>
  <c r="V84" i="9"/>
  <c r="AA13" i="9"/>
  <c r="D21" i="9"/>
  <c r="AB23" i="9"/>
  <c r="T7" i="9"/>
  <c r="Y7" i="9"/>
  <c r="S120" i="9"/>
  <c r="J26" i="9"/>
  <c r="W26" i="9"/>
  <c r="G13" i="9"/>
  <c r="D13" i="9"/>
  <c r="E47" i="9"/>
  <c r="D33" i="9"/>
  <c r="Q33" i="9"/>
  <c r="U70" i="9"/>
  <c r="T100" i="9"/>
  <c r="U116" i="9"/>
  <c r="R35" i="9"/>
  <c r="Y21" i="9"/>
  <c r="N21" i="9"/>
  <c r="E21" i="9"/>
  <c r="Z95" i="9"/>
  <c r="W95" i="9"/>
  <c r="S86" i="9"/>
  <c r="Q97" i="9"/>
  <c r="L97" i="9"/>
  <c r="L85" i="9"/>
  <c r="Y89" i="9"/>
  <c r="L89" i="9"/>
  <c r="V78" i="9"/>
  <c r="O78" i="9"/>
  <c r="X110" i="9"/>
  <c r="F72" i="9"/>
  <c r="L23" i="9"/>
  <c r="R42" i="9"/>
  <c r="N42" i="9"/>
  <c r="C42" i="9"/>
  <c r="H29" i="9"/>
  <c r="L29" i="9"/>
  <c r="L63" i="9"/>
  <c r="L49" i="9"/>
  <c r="G19" i="9"/>
  <c r="V81" i="9"/>
  <c r="Z81" i="9"/>
  <c r="Q111" i="9"/>
  <c r="H113" i="9"/>
  <c r="M113" i="9"/>
  <c r="K119" i="9"/>
  <c r="V119" i="9"/>
  <c r="I117" i="9"/>
  <c r="L54" i="9"/>
  <c r="T54" i="9"/>
  <c r="I80" i="9"/>
  <c r="AA80" i="9"/>
  <c r="O80" i="9"/>
  <c r="J76" i="9"/>
  <c r="O17" i="9"/>
  <c r="V39" i="9"/>
  <c r="AB9" i="9"/>
  <c r="S9" i="9"/>
  <c r="AA58" i="9"/>
  <c r="V58" i="9"/>
  <c r="Y58" i="9"/>
  <c r="R45" i="9"/>
  <c r="E45" i="9"/>
  <c r="N79" i="9"/>
  <c r="Q79" i="9"/>
  <c r="V65" i="9"/>
  <c r="D67" i="9"/>
  <c r="G67" i="9"/>
  <c r="AB83" i="9"/>
  <c r="X83" i="9"/>
  <c r="E83" i="9"/>
  <c r="T99" i="9"/>
  <c r="AB99" i="9"/>
  <c r="H46" i="9"/>
  <c r="T46" i="9"/>
  <c r="C32" i="9"/>
  <c r="K32" i="9"/>
  <c r="S34" i="9"/>
  <c r="I64" i="9"/>
  <c r="M101" i="9"/>
  <c r="F101" i="9"/>
  <c r="U101" i="9"/>
  <c r="Q93" i="9"/>
  <c r="Q55" i="9"/>
  <c r="Y55" i="9"/>
  <c r="Z25" i="9"/>
  <c r="P74" i="9"/>
  <c r="D74" i="9"/>
  <c r="G61" i="9"/>
  <c r="C61" i="9"/>
  <c r="J51" i="9"/>
  <c r="O51" i="9"/>
  <c r="K69" i="9"/>
  <c r="Z69" i="9"/>
  <c r="G91" i="9"/>
  <c r="X91" i="9"/>
  <c r="P28" i="9"/>
  <c r="U28" i="9"/>
  <c r="Q28" i="9"/>
  <c r="Y96" i="9"/>
  <c r="E98" i="9"/>
  <c r="J98" i="9"/>
  <c r="Y10" i="9"/>
  <c r="N71" i="9"/>
  <c r="U41" i="9"/>
  <c r="M90" i="9"/>
  <c r="L77" i="9"/>
  <c r="Z77" i="9"/>
  <c r="Y115" i="9"/>
  <c r="W62" i="9"/>
  <c r="E62" i="9"/>
  <c r="Y60" i="9"/>
  <c r="R60" i="9"/>
  <c r="E60" i="9"/>
  <c r="AB15" i="9"/>
  <c r="Q87" i="9"/>
  <c r="H87" i="9"/>
  <c r="G57" i="9"/>
  <c r="O57" i="9"/>
  <c r="E106" i="9"/>
  <c r="G14" i="9"/>
  <c r="Q14" i="9"/>
  <c r="R105" i="9"/>
  <c r="F50" i="9"/>
  <c r="AA50" i="9"/>
  <c r="Z20" i="9"/>
  <c r="J36" i="9"/>
  <c r="J118" i="9"/>
  <c r="D108" i="9"/>
  <c r="K108" i="9"/>
  <c r="M103" i="9"/>
  <c r="L73" i="9"/>
  <c r="R73" i="9"/>
  <c r="Q122" i="9"/>
  <c r="K30" i="9"/>
  <c r="D30" i="9"/>
  <c r="Q102" i="9"/>
  <c r="Y102" i="9"/>
  <c r="H102" i="9"/>
  <c r="Q16" i="9"/>
  <c r="K18" i="9"/>
  <c r="L18" i="9"/>
  <c r="AA48" i="9"/>
  <c r="X44" i="9"/>
  <c r="E112" i="9"/>
  <c r="M112" i="9"/>
  <c r="Y104" i="9"/>
  <c r="E104" i="9"/>
  <c r="G11" i="9"/>
  <c r="S38" i="9"/>
  <c r="F43" i="9"/>
  <c r="C53" i="9"/>
  <c r="H53" i="9"/>
  <c r="Q88" i="9"/>
  <c r="R88" i="9"/>
  <c r="C88" i="9"/>
  <c r="R8" i="9"/>
  <c r="J12" i="9"/>
  <c r="H12" i="9"/>
  <c r="H59" i="9"/>
  <c r="E107" i="9"/>
  <c r="X107" i="9"/>
  <c r="J31" i="9"/>
  <c r="Z24" i="9"/>
  <c r="W24" i="9"/>
  <c r="E82" i="9"/>
  <c r="Y82" i="9"/>
  <c r="R92" i="9"/>
  <c r="J92" i="9"/>
  <c r="O92" i="9"/>
  <c r="J40" i="9"/>
  <c r="S66" i="9"/>
  <c r="J52" i="9"/>
  <c r="P68" i="9"/>
  <c r="V68" i="9"/>
  <c r="T37" i="9"/>
  <c r="Z37" i="9"/>
  <c r="F56" i="9"/>
  <c r="K75" i="9"/>
  <c r="R114" i="9"/>
  <c r="F114" i="9"/>
  <c r="O84" i="9"/>
  <c r="W47" i="9"/>
  <c r="Q109" i="9"/>
  <c r="J7" i="9"/>
  <c r="G7" i="9"/>
  <c r="Q120" i="9"/>
  <c r="V120" i="9"/>
  <c r="S26" i="9"/>
  <c r="M26" i="9"/>
  <c r="N13" i="9"/>
  <c r="H13" i="9"/>
  <c r="AA47" i="9"/>
  <c r="K33" i="9"/>
  <c r="AA33" i="9"/>
  <c r="E70" i="9"/>
  <c r="L100" i="9"/>
  <c r="Z100" i="9"/>
  <c r="I116" i="9"/>
  <c r="X116" i="9"/>
  <c r="Q35" i="9"/>
  <c r="I21" i="9"/>
  <c r="G21" i="9"/>
  <c r="K95" i="9"/>
  <c r="S95" i="9"/>
  <c r="Y86" i="9"/>
  <c r="F86" i="9"/>
  <c r="I97" i="9"/>
  <c r="W97" i="9"/>
  <c r="P85" i="9"/>
  <c r="X85" i="9"/>
  <c r="F89" i="9"/>
  <c r="S89" i="9"/>
  <c r="K78" i="9"/>
  <c r="W78" i="9"/>
  <c r="E110" i="9"/>
  <c r="Q110" i="9"/>
  <c r="J72" i="9"/>
  <c r="S23" i="9"/>
  <c r="I109" i="9"/>
  <c r="E109" i="9"/>
  <c r="AA42" i="9"/>
  <c r="F42" i="9"/>
  <c r="J42" i="9"/>
  <c r="N29" i="9"/>
  <c r="T29" i="9"/>
  <c r="AA63" i="9"/>
  <c r="U63" i="9"/>
  <c r="O49" i="9"/>
  <c r="U49" i="9"/>
  <c r="D19" i="9"/>
  <c r="M19" i="9"/>
  <c r="O81" i="9"/>
  <c r="T81" i="9"/>
  <c r="L111" i="9"/>
  <c r="X111" i="9"/>
  <c r="K111" i="9"/>
  <c r="U119" i="9"/>
  <c r="C117" i="9"/>
  <c r="O117" i="9"/>
  <c r="W54" i="9"/>
  <c r="M80" i="9"/>
  <c r="U80" i="9"/>
  <c r="S76" i="9"/>
  <c r="H76" i="9"/>
  <c r="F17" i="9"/>
  <c r="X17" i="9"/>
  <c r="U39" i="9"/>
  <c r="R39" i="9"/>
  <c r="K9" i="9"/>
  <c r="F9" i="9"/>
  <c r="I58" i="9"/>
  <c r="C58" i="9"/>
  <c r="AB45" i="9"/>
  <c r="Y45" i="9"/>
  <c r="AA79" i="9"/>
  <c r="Z65" i="9"/>
  <c r="N67" i="9"/>
  <c r="C67" i="9"/>
  <c r="T83" i="9"/>
  <c r="S99" i="9"/>
  <c r="W99" i="9"/>
  <c r="R46" i="9"/>
  <c r="I32" i="9"/>
  <c r="Y32" i="9"/>
  <c r="O34" i="9"/>
  <c r="R64" i="9"/>
  <c r="J64" i="9"/>
  <c r="P101" i="9"/>
  <c r="V101" i="9"/>
  <c r="Y93" i="9"/>
  <c r="O55" i="9"/>
  <c r="U25" i="9"/>
  <c r="S25" i="9"/>
  <c r="V74" i="9"/>
  <c r="K74" i="9"/>
  <c r="R61" i="9"/>
  <c r="Y61" i="9"/>
  <c r="L61" i="9"/>
  <c r="T51" i="9"/>
  <c r="K51" i="9"/>
  <c r="V69" i="9"/>
  <c r="C69" i="9"/>
  <c r="AA22" i="9"/>
  <c r="P91" i="9"/>
  <c r="U91" i="9"/>
  <c r="T96" i="9"/>
  <c r="AA96" i="9"/>
  <c r="W10" i="9"/>
  <c r="Q10" i="9"/>
  <c r="O71" i="9"/>
  <c r="C71" i="9"/>
  <c r="K41" i="9"/>
  <c r="C90" i="9"/>
  <c r="W90" i="9"/>
  <c r="Y90" i="9"/>
  <c r="M77" i="9"/>
  <c r="E115" i="9"/>
  <c r="S115" i="9"/>
  <c r="P62" i="9"/>
  <c r="G94" i="9"/>
  <c r="D94" i="9"/>
  <c r="D60" i="9"/>
  <c r="Z60" i="9"/>
  <c r="O60" i="9"/>
  <c r="R15" i="9"/>
  <c r="F87" i="9"/>
  <c r="X106" i="9"/>
  <c r="M106" i="9"/>
  <c r="P14" i="9"/>
  <c r="W105" i="9"/>
  <c r="U105" i="9"/>
  <c r="Q105" i="9"/>
  <c r="E50" i="9"/>
  <c r="R50" i="9"/>
  <c r="E20" i="9"/>
  <c r="R20" i="9"/>
  <c r="Z36" i="9"/>
  <c r="D118" i="9"/>
  <c r="C108" i="9"/>
  <c r="U108" i="9"/>
  <c r="S108" i="9"/>
  <c r="Q103" i="9"/>
  <c r="I103" i="9"/>
  <c r="W122" i="9"/>
  <c r="L122" i="9"/>
  <c r="X30" i="9"/>
  <c r="F102" i="9"/>
  <c r="L102" i="9"/>
  <c r="AB16" i="9"/>
  <c r="I18" i="9"/>
  <c r="AA18" i="9"/>
  <c r="I48" i="9"/>
  <c r="J48" i="9"/>
  <c r="D44" i="9"/>
  <c r="AA44" i="9"/>
  <c r="D112" i="9"/>
  <c r="Q112" i="9"/>
  <c r="S104" i="9"/>
  <c r="P104" i="9"/>
  <c r="K11" i="9"/>
  <c r="V11" i="9"/>
  <c r="I38" i="9"/>
  <c r="AB43" i="9"/>
  <c r="M53" i="9"/>
  <c r="R53" i="9"/>
  <c r="V88" i="9"/>
  <c r="E8" i="9"/>
  <c r="L121" i="9"/>
  <c r="E12" i="9"/>
  <c r="T12" i="9"/>
  <c r="R107" i="9"/>
  <c r="F107" i="9"/>
  <c r="T31" i="9"/>
  <c r="D31" i="9"/>
  <c r="E24" i="9"/>
  <c r="Z27" i="9"/>
  <c r="X27" i="9"/>
  <c r="V92" i="9"/>
  <c r="L40" i="9"/>
  <c r="C40" i="9"/>
  <c r="V40" i="9"/>
  <c r="K66" i="9"/>
  <c r="W66" i="9"/>
  <c r="AB52" i="9"/>
  <c r="S52" i="9"/>
  <c r="C68" i="9"/>
  <c r="G56" i="9"/>
  <c r="Q56" i="9"/>
  <c r="J56" i="9"/>
  <c r="S75" i="9"/>
  <c r="K114" i="9"/>
  <c r="C84" i="9"/>
  <c r="N84" i="9"/>
  <c r="R26" i="9"/>
  <c r="P95" i="9"/>
  <c r="O42" i="9"/>
  <c r="O120" i="9"/>
  <c r="G26" i="9"/>
  <c r="E13" i="9"/>
  <c r="S13" i="9"/>
  <c r="S47" i="9"/>
  <c r="D47" i="9"/>
  <c r="L33" i="9"/>
  <c r="T70" i="9"/>
  <c r="R70" i="9"/>
  <c r="Q70" i="9"/>
  <c r="D100" i="9"/>
  <c r="X100" i="9"/>
  <c r="E116" i="9"/>
  <c r="R116" i="9"/>
  <c r="P35" i="9"/>
  <c r="M21" i="9"/>
  <c r="E95" i="9"/>
  <c r="X95" i="9"/>
  <c r="I95" i="9"/>
  <c r="N86" i="9"/>
  <c r="AA97" i="9"/>
  <c r="Z85" i="9"/>
  <c r="D85" i="9"/>
  <c r="D89" i="9"/>
  <c r="AA89" i="9"/>
  <c r="U78" i="9"/>
  <c r="X78" i="9"/>
  <c r="N78" i="9"/>
  <c r="M110" i="9"/>
  <c r="AA110" i="9"/>
  <c r="I72" i="9"/>
  <c r="C23" i="9"/>
  <c r="AA23" i="9"/>
  <c r="S109" i="9"/>
  <c r="M109" i="9"/>
  <c r="Y42" i="9"/>
  <c r="F29" i="9"/>
  <c r="X29" i="9"/>
  <c r="AB29" i="9"/>
  <c r="AB63" i="9"/>
  <c r="X63" i="9"/>
  <c r="S49" i="9"/>
  <c r="AA49" i="9"/>
  <c r="H19" i="9"/>
  <c r="N81" i="9"/>
  <c r="J81" i="9"/>
  <c r="O111" i="9"/>
  <c r="T111" i="9"/>
  <c r="V111" i="9"/>
  <c r="AB113" i="9"/>
  <c r="Z119" i="9"/>
  <c r="O119" i="9"/>
  <c r="F117" i="9"/>
  <c r="U117" i="9"/>
  <c r="AA54" i="9"/>
  <c r="S54" i="9"/>
  <c r="AB80" i="9"/>
  <c r="Y80" i="9"/>
  <c r="J80" i="9"/>
  <c r="I76" i="9"/>
  <c r="L76" i="9"/>
  <c r="V17" i="9"/>
  <c r="T39" i="9"/>
  <c r="J39" i="9"/>
  <c r="H9" i="9"/>
  <c r="Q9" i="9"/>
  <c r="E58" i="9"/>
  <c r="F58" i="9"/>
  <c r="Z45" i="9"/>
  <c r="AA45" i="9"/>
  <c r="L79" i="9"/>
  <c r="G79" i="9"/>
  <c r="Q65" i="9"/>
  <c r="Z67" i="9"/>
  <c r="V67" i="9"/>
  <c r="N83" i="9"/>
  <c r="H83" i="9"/>
  <c r="V99" i="9"/>
  <c r="L99" i="9"/>
  <c r="Y99" i="9"/>
  <c r="W46" i="9"/>
  <c r="D46" i="9"/>
  <c r="E32" i="9"/>
  <c r="AB32" i="9"/>
  <c r="X34" i="9"/>
  <c r="Q64" i="9"/>
  <c r="U64" i="9"/>
  <c r="K101" i="9"/>
  <c r="AB101" i="9"/>
  <c r="E101" i="9"/>
  <c r="P93" i="9"/>
  <c r="P55" i="9"/>
  <c r="I55" i="9"/>
  <c r="O25" i="9"/>
  <c r="J25" i="9"/>
  <c r="G74" i="9"/>
  <c r="Q61" i="9"/>
  <c r="Q51" i="9"/>
  <c r="C51" i="9"/>
  <c r="U22" i="9"/>
  <c r="X22" i="9"/>
  <c r="F91" i="9"/>
  <c r="L91" i="9"/>
  <c r="E28" i="9"/>
  <c r="W96" i="9"/>
  <c r="L96" i="9"/>
  <c r="Y98" i="9"/>
  <c r="V10" i="9"/>
  <c r="X10" i="9"/>
  <c r="I71" i="9"/>
  <c r="E41" i="9"/>
  <c r="Q90" i="9"/>
  <c r="I77" i="9"/>
  <c r="Y77" i="9"/>
  <c r="M115" i="9"/>
  <c r="I115" i="9"/>
  <c r="O62" i="9"/>
  <c r="AB94" i="9"/>
  <c r="P94" i="9"/>
  <c r="T60" i="9"/>
  <c r="Q15" i="9"/>
  <c r="F15" i="9"/>
  <c r="R87" i="9"/>
  <c r="I87" i="9"/>
  <c r="D57" i="9"/>
  <c r="Q106" i="9"/>
  <c r="W106" i="9"/>
  <c r="V14" i="9"/>
  <c r="Z14" i="9"/>
  <c r="E105" i="9"/>
  <c r="O105" i="9"/>
  <c r="H105" i="9"/>
  <c r="N50" i="9"/>
  <c r="K50" i="9"/>
  <c r="J20" i="9"/>
  <c r="W20" i="9"/>
  <c r="K36" i="9"/>
  <c r="Z118" i="9"/>
  <c r="AB108" i="9"/>
  <c r="O108" i="9"/>
  <c r="Z108" i="9"/>
  <c r="N103" i="9"/>
  <c r="Q73" i="9"/>
  <c r="W73" i="9"/>
  <c r="Q30" i="9"/>
  <c r="M30" i="9"/>
  <c r="T102" i="9"/>
  <c r="E16" i="9"/>
  <c r="W16" i="9"/>
  <c r="AB18" i="9"/>
  <c r="H48" i="9"/>
  <c r="V48" i="9"/>
  <c r="T44" i="9"/>
  <c r="Z112" i="9"/>
  <c r="I104" i="9"/>
  <c r="L104" i="9"/>
  <c r="I11" i="9"/>
  <c r="N38" i="9"/>
  <c r="C38" i="9"/>
  <c r="N43" i="9"/>
  <c r="S53" i="9"/>
  <c r="K53" i="9"/>
  <c r="Z88" i="9"/>
  <c r="K88" i="9"/>
  <c r="J8" i="9"/>
  <c r="W121" i="9"/>
  <c r="D121" i="9"/>
  <c r="Y12" i="9"/>
  <c r="W59" i="9"/>
  <c r="U59" i="9"/>
  <c r="AB107" i="9"/>
  <c r="N107" i="9"/>
  <c r="M31" i="9"/>
  <c r="J24" i="9"/>
  <c r="N24" i="9"/>
  <c r="W27" i="9"/>
  <c r="M27" i="9"/>
  <c r="M82" i="9"/>
  <c r="I82" i="9"/>
  <c r="G92" i="9"/>
  <c r="Y92" i="9"/>
  <c r="T40" i="9"/>
  <c r="Y40" i="9"/>
  <c r="P66" i="9"/>
  <c r="N52" i="9"/>
  <c r="O68" i="9"/>
  <c r="F68" i="9"/>
  <c r="D37" i="9"/>
  <c r="X37" i="9"/>
  <c r="K56" i="9"/>
  <c r="S56" i="9"/>
  <c r="AA75" i="9"/>
  <c r="H75" i="9"/>
  <c r="C114" i="9"/>
  <c r="M84" i="9"/>
  <c r="F84" i="9"/>
  <c r="K86" i="9"/>
  <c r="K42" i="9"/>
  <c r="S7" i="9"/>
  <c r="C120" i="9"/>
  <c r="Y26" i="9"/>
  <c r="L13" i="9"/>
  <c r="Y47" i="9"/>
  <c r="J33" i="9"/>
  <c r="S70" i="9"/>
  <c r="AB70" i="9"/>
  <c r="Y70" i="9"/>
  <c r="K100" i="9"/>
  <c r="Q100" i="9"/>
  <c r="H116" i="9"/>
  <c r="Y35" i="9"/>
  <c r="J21" i="9"/>
  <c r="AB95" i="9"/>
  <c r="V95" i="9"/>
  <c r="C86" i="9"/>
  <c r="V86" i="9"/>
  <c r="E97" i="9"/>
  <c r="V97" i="9"/>
  <c r="W85" i="9"/>
  <c r="R89" i="9"/>
  <c r="C89" i="9"/>
  <c r="I78" i="9"/>
  <c r="H110" i="9"/>
  <c r="G72" i="9"/>
  <c r="C72" i="9"/>
  <c r="N23" i="9"/>
  <c r="U23" i="9"/>
  <c r="X109" i="9"/>
  <c r="T109" i="9"/>
  <c r="H42" i="9"/>
  <c r="O29" i="9"/>
  <c r="E29" i="9"/>
  <c r="Y63" i="9"/>
  <c r="W63" i="9"/>
  <c r="Y49" i="9"/>
  <c r="E49" i="9"/>
  <c r="S19" i="9"/>
  <c r="AB19" i="9"/>
  <c r="K81" i="9"/>
  <c r="G111" i="9"/>
  <c r="P111" i="9"/>
  <c r="Y113" i="9"/>
  <c r="T113" i="9"/>
  <c r="E119" i="9"/>
  <c r="F119" i="9"/>
  <c r="U54" i="9"/>
  <c r="Z80" i="9"/>
  <c r="E80" i="9"/>
  <c r="D76" i="9"/>
  <c r="X76" i="9"/>
  <c r="Y17" i="9"/>
  <c r="AB39" i="9"/>
  <c r="G9" i="9"/>
  <c r="AA9" i="9"/>
  <c r="S45" i="9"/>
  <c r="Q45" i="9"/>
  <c r="M45" i="9"/>
  <c r="Z79" i="9"/>
  <c r="O79" i="9"/>
  <c r="N65" i="9"/>
  <c r="F65" i="9"/>
  <c r="M67" i="9"/>
  <c r="L83" i="9"/>
  <c r="R99" i="9"/>
  <c r="D99" i="9"/>
  <c r="G99" i="9"/>
  <c r="P46" i="9"/>
  <c r="L32" i="9"/>
  <c r="X32" i="9"/>
  <c r="V34" i="9"/>
  <c r="R34" i="9"/>
  <c r="N64" i="9"/>
  <c r="M64" i="9"/>
  <c r="T101" i="9"/>
  <c r="U93" i="9"/>
  <c r="O93" i="9"/>
  <c r="I93" i="9"/>
  <c r="E25" i="9"/>
  <c r="C25" i="9"/>
  <c r="N74" i="9"/>
  <c r="Z61" i="9"/>
  <c r="I61" i="9"/>
  <c r="W51" i="9"/>
  <c r="AA51" i="9"/>
  <c r="J69" i="9"/>
  <c r="O22" i="9"/>
  <c r="S22" i="9"/>
  <c r="V91" i="9"/>
  <c r="AA28" i="9"/>
  <c r="P96" i="9"/>
  <c r="D96" i="9"/>
  <c r="O98" i="9"/>
  <c r="AB98" i="9"/>
  <c r="AA10" i="9"/>
  <c r="P41" i="9"/>
  <c r="AB41" i="9"/>
  <c r="AB90" i="9"/>
  <c r="N90" i="9"/>
  <c r="F77" i="9"/>
  <c r="P77" i="9"/>
  <c r="P115" i="9"/>
  <c r="G62" i="9"/>
  <c r="AA62" i="9"/>
  <c r="V94" i="9"/>
  <c r="J60" i="9"/>
  <c r="Y15" i="9"/>
  <c r="AA15" i="9"/>
  <c r="C87" i="9"/>
  <c r="V87" i="9"/>
  <c r="N57" i="9"/>
  <c r="H106" i="9"/>
  <c r="M14" i="9"/>
  <c r="E14" i="9"/>
  <c r="K105" i="9"/>
  <c r="H50" i="9"/>
  <c r="P50" i="9"/>
  <c r="E36" i="9"/>
  <c r="Q36" i="9"/>
  <c r="T118" i="9"/>
  <c r="O118" i="9"/>
  <c r="J108" i="9"/>
  <c r="T108" i="9"/>
  <c r="K103" i="9"/>
  <c r="C103" i="9"/>
  <c r="Y103" i="9"/>
  <c r="T73" i="9"/>
  <c r="G122" i="9"/>
  <c r="M122" i="9"/>
  <c r="V30" i="9"/>
  <c r="S30" i="9"/>
  <c r="X102" i="9"/>
  <c r="J16" i="9"/>
  <c r="P16" i="9"/>
  <c r="E18" i="9"/>
  <c r="N48" i="9"/>
  <c r="T48" i="9"/>
  <c r="K44" i="9"/>
  <c r="D104" i="9"/>
  <c r="J11" i="9"/>
  <c r="M38" i="9"/>
  <c r="O38" i="9"/>
  <c r="L43" i="9"/>
  <c r="AA53" i="9"/>
  <c r="N88" i="9"/>
  <c r="F88" i="9"/>
  <c r="U8" i="9"/>
  <c r="W8" i="9"/>
  <c r="P121" i="9"/>
  <c r="AA121" i="9"/>
  <c r="R12" i="9"/>
  <c r="N12" i="9"/>
  <c r="R59" i="9"/>
  <c r="O59" i="9"/>
  <c r="H107" i="9"/>
  <c r="R31" i="9"/>
  <c r="L31" i="9"/>
  <c r="Q24" i="9"/>
  <c r="G24" i="9"/>
  <c r="P27" i="9"/>
  <c r="T27" i="9"/>
  <c r="T82" i="9"/>
  <c r="S82" i="9"/>
  <c r="Q92" i="9"/>
  <c r="AB40" i="9"/>
  <c r="U40" i="9"/>
  <c r="Z66" i="9"/>
  <c r="C66" i="9"/>
  <c r="O52" i="9"/>
  <c r="C52" i="9"/>
  <c r="H68" i="9"/>
  <c r="Y56" i="9"/>
  <c r="Z56" i="9"/>
  <c r="V75" i="9"/>
  <c r="M75" i="9"/>
  <c r="Q75" i="9"/>
  <c r="Z114" i="9"/>
  <c r="L84" i="9"/>
  <c r="R33" i="9"/>
  <c r="O86" i="9"/>
  <c r="J109" i="9"/>
  <c r="Z7" i="9"/>
  <c r="D7" i="9"/>
  <c r="F120" i="9"/>
  <c r="V7" i="9"/>
  <c r="AA7" i="9"/>
  <c r="M120" i="9"/>
  <c r="C26" i="9"/>
  <c r="V26" i="9"/>
  <c r="AB13" i="9"/>
  <c r="P47" i="9"/>
  <c r="O47" i="9"/>
  <c r="G33" i="9"/>
  <c r="D70" i="9"/>
  <c r="V100" i="9"/>
  <c r="E35" i="9"/>
  <c r="G35" i="9"/>
  <c r="Q21" i="9"/>
  <c r="AB21" i="9"/>
  <c r="Y95" i="9"/>
  <c r="U95" i="9"/>
  <c r="L86" i="9"/>
  <c r="I86" i="9"/>
  <c r="P97" i="9"/>
  <c r="K97" i="9"/>
  <c r="J85" i="9"/>
  <c r="W89" i="9"/>
  <c r="K89" i="9"/>
  <c r="G78" i="9"/>
  <c r="J78" i="9"/>
  <c r="O110" i="9"/>
  <c r="AB110" i="9"/>
  <c r="R110" i="9"/>
  <c r="E72" i="9"/>
  <c r="U72" i="9"/>
  <c r="K23" i="9"/>
  <c r="C109" i="9"/>
  <c r="R109" i="9"/>
  <c r="G42" i="9"/>
  <c r="V29" i="9"/>
  <c r="I29" i="9"/>
  <c r="U29" i="9"/>
  <c r="G63" i="9"/>
  <c r="S63" i="9"/>
  <c r="AB49" i="9"/>
  <c r="K49" i="9"/>
  <c r="V19" i="9"/>
  <c r="C81" i="9"/>
  <c r="X81" i="9"/>
  <c r="F111" i="9"/>
  <c r="P113" i="9"/>
  <c r="L113" i="9"/>
  <c r="J119" i="9"/>
  <c r="W119" i="9"/>
  <c r="AA117" i="9"/>
  <c r="K54" i="9"/>
  <c r="R54" i="9"/>
  <c r="X80" i="9"/>
  <c r="M76" i="9"/>
  <c r="AB76" i="9"/>
  <c r="U17" i="9"/>
  <c r="Q39" i="9"/>
  <c r="U9" i="9"/>
  <c r="P9" i="9"/>
  <c r="AB58" i="9"/>
  <c r="N45" i="9"/>
  <c r="X45" i="9"/>
  <c r="T45" i="9"/>
  <c r="C79" i="9"/>
  <c r="J65" i="9"/>
  <c r="J67" i="9"/>
  <c r="F67" i="9"/>
  <c r="D83" i="9"/>
  <c r="W83" i="9"/>
  <c r="F99" i="9"/>
  <c r="I46" i="9"/>
  <c r="M46" i="9"/>
  <c r="E46" i="9"/>
  <c r="O32" i="9"/>
  <c r="Z32" i="9"/>
  <c r="K34" i="9"/>
  <c r="W34" i="9"/>
  <c r="W64" i="9"/>
  <c r="H64" i="9"/>
  <c r="J101" i="9"/>
  <c r="Y101" i="9"/>
  <c r="K93" i="9"/>
  <c r="T93" i="9"/>
  <c r="N93" i="9"/>
  <c r="X55" i="9"/>
  <c r="Y25" i="9"/>
  <c r="AB74" i="9"/>
  <c r="S74" i="9"/>
  <c r="T61" i="9"/>
  <c r="O61" i="9"/>
  <c r="Z51" i="9"/>
  <c r="S51" i="9"/>
  <c r="F69" i="9"/>
  <c r="Y69" i="9"/>
  <c r="E22" i="9"/>
  <c r="K22" i="9"/>
  <c r="D91" i="9"/>
  <c r="E91" i="9"/>
  <c r="I28" i="9"/>
  <c r="T28" i="9"/>
  <c r="K96" i="9"/>
  <c r="V96" i="9"/>
  <c r="T98" i="9"/>
  <c r="N98" i="9"/>
  <c r="I98" i="9"/>
  <c r="F10" i="9"/>
  <c r="G71" i="9"/>
  <c r="M71" i="9"/>
  <c r="J41" i="9"/>
  <c r="L90" i="9"/>
  <c r="U90" i="9"/>
  <c r="W77" i="9"/>
  <c r="G77" i="9"/>
  <c r="X77" i="9"/>
  <c r="AA115" i="9"/>
  <c r="X115" i="9"/>
  <c r="D62" i="9"/>
  <c r="AA94" i="9"/>
  <c r="W60" i="9"/>
  <c r="W15" i="9"/>
  <c r="V15" i="9"/>
  <c r="J87" i="9"/>
  <c r="V57" i="9"/>
  <c r="J57" i="9"/>
  <c r="N106" i="9"/>
  <c r="F14" i="9"/>
  <c r="S105" i="9"/>
  <c r="AB105" i="9"/>
  <c r="Y50" i="9"/>
  <c r="Z50" i="9"/>
  <c r="M20" i="9"/>
  <c r="C36" i="9"/>
  <c r="AA36" i="9"/>
  <c r="AA118" i="9"/>
  <c r="X118" i="9"/>
  <c r="O103" i="9"/>
  <c r="K73" i="9"/>
  <c r="G73" i="9"/>
  <c r="P122" i="9"/>
  <c r="AA122" i="9"/>
  <c r="N30" i="9"/>
  <c r="O102" i="9"/>
  <c r="AA102" i="9"/>
  <c r="M16" i="9"/>
  <c r="G16" i="9"/>
  <c r="R18" i="9"/>
  <c r="M18" i="9"/>
  <c r="S48" i="9"/>
  <c r="D48" i="9"/>
  <c r="O44" i="9"/>
  <c r="AA112" i="9"/>
  <c r="J112" i="9"/>
  <c r="M104" i="9"/>
  <c r="H104" i="9"/>
  <c r="W11" i="9"/>
  <c r="AB11" i="9"/>
  <c r="R38" i="9"/>
  <c r="Z38" i="9"/>
  <c r="U43" i="9"/>
  <c r="AB53" i="9"/>
  <c r="I53" i="9"/>
  <c r="J88" i="9"/>
  <c r="O88" i="9"/>
  <c r="N8" i="9"/>
  <c r="T8" i="9"/>
  <c r="Z121" i="9"/>
  <c r="Z12" i="9"/>
  <c r="P12" i="9"/>
  <c r="K59" i="9"/>
  <c r="E59" i="9"/>
  <c r="N31" i="9"/>
  <c r="I31" i="9"/>
  <c r="V31" i="9"/>
  <c r="Y24" i="9"/>
  <c r="J27" i="9"/>
  <c r="AB82" i="9"/>
  <c r="X82" i="9"/>
  <c r="M92" i="9"/>
  <c r="F92" i="9"/>
  <c r="I40" i="9"/>
  <c r="F66" i="9"/>
  <c r="V66" i="9"/>
  <c r="G66" i="9"/>
  <c r="AA52" i="9"/>
  <c r="I52" i="9"/>
  <c r="J68" i="9"/>
  <c r="AB37" i="9"/>
  <c r="H37" i="9"/>
  <c r="L56" i="9"/>
  <c r="U56" i="9"/>
  <c r="I75" i="9"/>
  <c r="U75" i="9"/>
  <c r="G75" i="9"/>
  <c r="N114" i="9"/>
  <c r="Y84" i="9"/>
  <c r="V70" i="9"/>
  <c r="N109" i="9"/>
  <c r="P7" i="9"/>
  <c r="K120" i="9"/>
  <c r="P120" i="9"/>
  <c r="U7" i="9"/>
  <c r="K7" i="9"/>
  <c r="Z120" i="9"/>
  <c r="P26" i="9"/>
  <c r="AB26" i="9"/>
  <c r="M13" i="9"/>
  <c r="I47" i="9"/>
  <c r="Z33" i="9"/>
  <c r="P70" i="9"/>
  <c r="J70" i="9"/>
  <c r="AA100" i="9"/>
  <c r="J100" i="9"/>
  <c r="H100" i="9"/>
  <c r="AB116" i="9"/>
  <c r="M35" i="9"/>
  <c r="W35" i="9"/>
  <c r="V21" i="9"/>
  <c r="G95" i="9"/>
  <c r="R95" i="9"/>
  <c r="Z86" i="9"/>
  <c r="D86" i="9"/>
  <c r="U97" i="9"/>
  <c r="O85" i="9"/>
  <c r="I85" i="9"/>
  <c r="F78" i="9"/>
  <c r="Y110" i="9"/>
  <c r="T110" i="9"/>
  <c r="W110" i="9"/>
  <c r="T72" i="9"/>
  <c r="M72" i="9"/>
  <c r="Q23" i="9"/>
  <c r="E23" i="9"/>
  <c r="H109" i="9"/>
  <c r="AB109" i="9"/>
  <c r="U42" i="9"/>
  <c r="P29" i="9"/>
  <c r="H63" i="9"/>
  <c r="T63" i="9"/>
  <c r="G49" i="9"/>
  <c r="Z49" i="9"/>
  <c r="I19" i="9"/>
  <c r="L19" i="9"/>
  <c r="I81" i="9"/>
  <c r="R81" i="9"/>
  <c r="D111" i="9"/>
  <c r="M111" i="9"/>
  <c r="K113" i="9"/>
  <c r="V113" i="9"/>
  <c r="D113" i="9"/>
  <c r="R117" i="9"/>
  <c r="E117" i="9"/>
  <c r="C54" i="9"/>
  <c r="S80" i="9"/>
  <c r="T76" i="9"/>
  <c r="Z76" i="9"/>
  <c r="R17" i="9"/>
  <c r="D39" i="9"/>
  <c r="W39" i="9"/>
  <c r="V9" i="9"/>
  <c r="T58" i="9"/>
  <c r="O58" i="9"/>
  <c r="F45" i="9"/>
  <c r="J45" i="9"/>
  <c r="P79" i="9"/>
  <c r="J79" i="9"/>
  <c r="I65" i="9"/>
  <c r="AA67" i="9"/>
  <c r="M83" i="9"/>
  <c r="Q99" i="9"/>
  <c r="AA99" i="9"/>
  <c r="Q46" i="9"/>
  <c r="G46" i="9"/>
  <c r="Z46" i="9"/>
  <c r="V32" i="9"/>
  <c r="W32" i="9"/>
  <c r="T34" i="9"/>
  <c r="Q34" i="9"/>
  <c r="E64" i="9"/>
  <c r="D101" i="9"/>
  <c r="C101" i="9"/>
  <c r="Z93" i="9"/>
  <c r="X93" i="9"/>
  <c r="M55" i="9"/>
  <c r="Z55" i="9"/>
  <c r="L25" i="9"/>
  <c r="J74" i="9"/>
  <c r="S61" i="9"/>
  <c r="H61" i="9"/>
  <c r="D51" i="9"/>
  <c r="X69" i="9"/>
  <c r="N69" i="9"/>
  <c r="R69" i="9"/>
  <c r="Z22" i="9"/>
  <c r="H22" i="9"/>
  <c r="O91" i="9"/>
  <c r="Z91" i="9"/>
  <c r="X28" i="9"/>
  <c r="K28" i="9"/>
  <c r="E96" i="9"/>
  <c r="O96" i="9"/>
  <c r="H98" i="9"/>
  <c r="V98" i="9"/>
  <c r="U10" i="9"/>
  <c r="X71" i="9"/>
  <c r="V71" i="9"/>
  <c r="M41" i="9"/>
  <c r="D41" i="9"/>
  <c r="P90" i="9"/>
  <c r="J90" i="9"/>
  <c r="T77" i="9"/>
  <c r="T115" i="9"/>
  <c r="O115" i="9"/>
  <c r="N62" i="9"/>
  <c r="F94" i="9"/>
  <c r="Z94" i="9"/>
  <c r="N60" i="9"/>
  <c r="Z15" i="9"/>
  <c r="Y87" i="9"/>
  <c r="G87" i="9"/>
  <c r="AB57" i="9"/>
  <c r="T57" i="9"/>
  <c r="V106" i="9"/>
  <c r="T106" i="9"/>
  <c r="U14" i="9"/>
  <c r="J14" i="9"/>
  <c r="P105" i="9"/>
  <c r="T105" i="9"/>
  <c r="T50" i="9"/>
  <c r="W50" i="9"/>
  <c r="T20" i="9"/>
  <c r="G20" i="9"/>
  <c r="D36" i="9"/>
  <c r="T36" i="9"/>
  <c r="F118" i="9"/>
  <c r="Y108" i="9"/>
  <c r="Q108" i="9"/>
  <c r="AA103" i="9"/>
  <c r="S103" i="9"/>
  <c r="J103" i="9"/>
  <c r="D73" i="9"/>
  <c r="AB73" i="9"/>
  <c r="V122" i="9"/>
  <c r="T122" i="9"/>
  <c r="F30" i="9"/>
  <c r="Y30" i="9"/>
  <c r="E102" i="9"/>
  <c r="G102" i="9"/>
  <c r="Z16" i="9"/>
  <c r="N16" i="9"/>
  <c r="Y18" i="9"/>
  <c r="W18" i="9"/>
  <c r="K48" i="9"/>
  <c r="Z48" i="9"/>
  <c r="Y44" i="9"/>
  <c r="U44" i="9"/>
  <c r="P112" i="9"/>
  <c r="O104" i="9"/>
  <c r="Q11" i="9"/>
  <c r="N11" i="9"/>
  <c r="AB38" i="9"/>
  <c r="H38" i="9"/>
  <c r="K43" i="9"/>
  <c r="Y53" i="9"/>
  <c r="Q53" i="9"/>
  <c r="I88" i="9"/>
  <c r="D8" i="9"/>
  <c r="L8" i="9"/>
  <c r="G121" i="9"/>
  <c r="K121" i="9"/>
  <c r="C12" i="9"/>
  <c r="U12" i="9"/>
  <c r="I59" i="9"/>
  <c r="D107" i="9"/>
  <c r="U107" i="9"/>
  <c r="Q31" i="9"/>
  <c r="D24" i="9"/>
  <c r="V24" i="9"/>
  <c r="G27" i="9"/>
  <c r="D27" i="9"/>
  <c r="R82" i="9"/>
  <c r="C82" i="9"/>
  <c r="N92" i="9"/>
  <c r="I92" i="9"/>
  <c r="F40" i="9"/>
  <c r="O66" i="9"/>
  <c r="J66" i="9"/>
  <c r="N66" i="9"/>
  <c r="U52" i="9"/>
  <c r="Y68" i="9"/>
  <c r="V37" i="9"/>
  <c r="AA37" i="9"/>
  <c r="AA56" i="9"/>
  <c r="P56" i="9"/>
  <c r="Z75" i="9"/>
  <c r="U114" i="9"/>
  <c r="J114" i="9"/>
  <c r="R84" i="9"/>
  <c r="J84" i="9"/>
  <c r="M33" i="9"/>
  <c r="C21" i="9"/>
  <c r="AB89" i="9"/>
  <c r="AB7" i="9"/>
  <c r="N120" i="9"/>
  <c r="I26" i="9"/>
  <c r="F26" i="9"/>
  <c r="V13" i="9"/>
  <c r="V47" i="9"/>
  <c r="F47" i="9"/>
  <c r="S33" i="9"/>
  <c r="M70" i="9"/>
  <c r="L70" i="9"/>
  <c r="G100" i="9"/>
  <c r="S100" i="9"/>
  <c r="T116" i="9"/>
  <c r="W116" i="9"/>
  <c r="I35" i="9"/>
  <c r="H35" i="9"/>
  <c r="L21" i="9"/>
  <c r="F95" i="9"/>
  <c r="O95" i="9"/>
  <c r="E86" i="9"/>
  <c r="AB86" i="9"/>
  <c r="Z97" i="9"/>
  <c r="V85" i="9"/>
  <c r="S85" i="9"/>
  <c r="Q89" i="9"/>
  <c r="J89" i="9"/>
  <c r="Z78" i="9"/>
  <c r="G110" i="9"/>
  <c r="L110" i="9"/>
  <c r="Y72" i="9"/>
  <c r="AA72" i="9"/>
  <c r="Z23" i="9"/>
  <c r="D109" i="9"/>
  <c r="AB42" i="9"/>
  <c r="Y29" i="9"/>
  <c r="N63" i="9"/>
  <c r="F63" i="9"/>
  <c r="Q49" i="9"/>
  <c r="J49" i="9"/>
  <c r="F19" i="9"/>
  <c r="H81" i="9"/>
  <c r="S111" i="9"/>
  <c r="S113" i="9"/>
  <c r="AA113" i="9"/>
  <c r="Y119" i="9"/>
  <c r="T119" i="9"/>
  <c r="K117" i="9"/>
  <c r="N117" i="9"/>
  <c r="Z54" i="9"/>
  <c r="P54" i="9"/>
  <c r="K76" i="9"/>
  <c r="H17" i="9"/>
  <c r="E17" i="9"/>
  <c r="L39" i="9"/>
  <c r="N9" i="9"/>
  <c r="X58" i="9"/>
  <c r="U58" i="9"/>
  <c r="H45" i="9"/>
  <c r="R79" i="9"/>
  <c r="Y65" i="9"/>
  <c r="Y67" i="9"/>
  <c r="Z83" i="9"/>
  <c r="G83" i="9"/>
  <c r="C99" i="9"/>
  <c r="S46" i="9"/>
  <c r="U32" i="9"/>
  <c r="J32" i="9"/>
  <c r="F34" i="9"/>
  <c r="G34" i="9"/>
  <c r="V64" i="9"/>
  <c r="G64" i="9"/>
  <c r="I101" i="9"/>
  <c r="O101" i="9"/>
  <c r="H93" i="9"/>
  <c r="D55" i="9"/>
  <c r="N55" i="9"/>
  <c r="H55" i="9"/>
  <c r="N25" i="9"/>
  <c r="I25" i="9"/>
  <c r="O74" i="9"/>
  <c r="C74" i="9"/>
  <c r="J61" i="9"/>
  <c r="P51" i="9"/>
  <c r="Q69" i="9"/>
  <c r="I69" i="9"/>
  <c r="E69" i="9"/>
  <c r="C22" i="9"/>
  <c r="AA91" i="9"/>
  <c r="M28" i="9"/>
  <c r="D28" i="9"/>
  <c r="H96" i="9"/>
  <c r="U96" i="9"/>
  <c r="S98" i="9"/>
  <c r="X98" i="9"/>
  <c r="E10" i="9"/>
  <c r="AB71" i="9"/>
  <c r="Y41" i="9"/>
  <c r="X90" i="9"/>
  <c r="E90" i="9"/>
  <c r="O77" i="9"/>
  <c r="E77" i="9"/>
  <c r="C115" i="9"/>
  <c r="H115" i="9"/>
  <c r="X62" i="9"/>
  <c r="U62" i="9"/>
  <c r="X94" i="9"/>
  <c r="C94" i="9"/>
  <c r="M60" i="9"/>
  <c r="Q60" i="9"/>
  <c r="P15" i="9"/>
  <c r="S15" i="9"/>
  <c r="M87" i="9"/>
  <c r="S87" i="9"/>
  <c r="K87" i="9"/>
  <c r="H57" i="9"/>
  <c r="P106" i="9"/>
  <c r="J106" i="9"/>
  <c r="AB14" i="9"/>
  <c r="T14" i="9"/>
  <c r="M105" i="9"/>
  <c r="L105" i="9"/>
  <c r="AB50" i="9"/>
  <c r="O50" i="9"/>
  <c r="Y20" i="9"/>
  <c r="Q20" i="9"/>
  <c r="V36" i="9"/>
  <c r="R36" i="9"/>
  <c r="R118" i="9"/>
  <c r="H118" i="9"/>
  <c r="N108" i="9"/>
  <c r="T103" i="9"/>
  <c r="P103" i="9"/>
  <c r="V73" i="9"/>
  <c r="K122" i="9"/>
  <c r="AB30" i="9"/>
  <c r="C30" i="9"/>
  <c r="W102" i="9"/>
  <c r="S16" i="9"/>
  <c r="V16" i="9"/>
  <c r="F18" i="9"/>
  <c r="N18" i="9"/>
  <c r="M48" i="9"/>
  <c r="L48" i="9"/>
  <c r="W112" i="9"/>
  <c r="AA104" i="9"/>
  <c r="W104" i="9"/>
  <c r="U11" i="9"/>
  <c r="H11" i="9"/>
  <c r="P38" i="9"/>
  <c r="W38" i="9"/>
  <c r="P43" i="9"/>
  <c r="Z53" i="9"/>
  <c r="G53" i="9"/>
  <c r="G88" i="9"/>
  <c r="Q8" i="9"/>
  <c r="N121" i="9"/>
  <c r="Q121" i="9"/>
  <c r="S121" i="9"/>
  <c r="L12" i="9"/>
  <c r="Q59" i="9"/>
  <c r="Y59" i="9"/>
  <c r="Q107" i="9"/>
  <c r="M107" i="9"/>
  <c r="AB31" i="9"/>
  <c r="Y31" i="9"/>
  <c r="I24" i="9"/>
  <c r="T24" i="9"/>
  <c r="AB27" i="9"/>
  <c r="L82" i="9"/>
  <c r="H82" i="9"/>
  <c r="AB92" i="9"/>
  <c r="E40" i="9"/>
  <c r="X40" i="9"/>
  <c r="U66" i="9"/>
  <c r="Z52" i="9"/>
  <c r="H52" i="9"/>
  <c r="R68" i="9"/>
  <c r="U68" i="9"/>
  <c r="W37" i="9"/>
  <c r="C56" i="9"/>
  <c r="E56" i="9"/>
  <c r="P75" i="9"/>
  <c r="AB75" i="9"/>
  <c r="D114" i="9"/>
  <c r="V114" i="9"/>
  <c r="T114" i="9"/>
  <c r="I84" i="9"/>
  <c r="U84" i="9"/>
  <c r="M7" i="9"/>
  <c r="X7" i="9"/>
  <c r="J120" i="9"/>
  <c r="Y120" i="9"/>
  <c r="AA26" i="9"/>
  <c r="L26" i="9"/>
  <c r="I13" i="9"/>
  <c r="N47" i="9"/>
  <c r="Y33" i="9"/>
  <c r="G70" i="9"/>
  <c r="Y100" i="9"/>
  <c r="W100" i="9"/>
  <c r="N116" i="9"/>
  <c r="Q116" i="9"/>
  <c r="K35" i="9"/>
  <c r="T35" i="9"/>
  <c r="X21" i="9"/>
  <c r="F21" i="9"/>
  <c r="C95" i="9"/>
  <c r="W86" i="9"/>
  <c r="T86" i="9"/>
  <c r="O97" i="9"/>
  <c r="C97" i="9"/>
  <c r="K85" i="9"/>
  <c r="U89" i="9"/>
  <c r="I89" i="9"/>
  <c r="T78" i="9"/>
  <c r="D78" i="9"/>
  <c r="C110" i="9"/>
  <c r="D110" i="9"/>
  <c r="AB72" i="9"/>
  <c r="P72" i="9"/>
  <c r="K72" i="9"/>
  <c r="W109" i="9"/>
  <c r="E42" i="9"/>
  <c r="G29" i="9"/>
  <c r="Q29" i="9"/>
  <c r="P63" i="9"/>
  <c r="V63" i="9"/>
  <c r="X49" i="9"/>
  <c r="C49" i="9"/>
  <c r="T19" i="9"/>
  <c r="AA19" i="9"/>
  <c r="S81" i="9"/>
  <c r="Z111" i="9"/>
  <c r="Z113" i="9"/>
  <c r="U113" i="9"/>
  <c r="G119" i="9"/>
  <c r="R119" i="9"/>
  <c r="N119" i="9"/>
  <c r="Z117" i="9"/>
  <c r="H54" i="9"/>
  <c r="Q54" i="9"/>
  <c r="H80" i="9"/>
  <c r="Y76" i="9"/>
  <c r="E76" i="9"/>
  <c r="Z17" i="9"/>
  <c r="M17" i="9"/>
  <c r="F39" i="9"/>
  <c r="W9" i="9"/>
  <c r="K58" i="9"/>
  <c r="I45" i="9"/>
  <c r="I79" i="9"/>
  <c r="V79" i="9"/>
  <c r="M65" i="9"/>
  <c r="H65" i="9"/>
  <c r="S67" i="9"/>
  <c r="AA83" i="9"/>
  <c r="P99" i="9"/>
  <c r="K99" i="9"/>
  <c r="N46" i="9"/>
  <c r="D32" i="9"/>
  <c r="F32" i="9"/>
  <c r="Z34" i="9"/>
  <c r="AB34" i="9"/>
  <c r="P64" i="9"/>
  <c r="W101" i="9"/>
  <c r="E93" i="9"/>
  <c r="D93" i="9"/>
  <c r="U55" i="9"/>
  <c r="AA25" i="9"/>
  <c r="AA74" i="9"/>
  <c r="H74" i="9"/>
  <c r="W61" i="9"/>
  <c r="G51" i="9"/>
  <c r="W69" i="9"/>
  <c r="N22" i="9"/>
  <c r="S91" i="9"/>
  <c r="W28" i="9"/>
  <c r="X96" i="9"/>
  <c r="W98" i="9"/>
  <c r="F98" i="9"/>
  <c r="H10" i="9"/>
  <c r="T10" i="9"/>
  <c r="F71" i="9"/>
  <c r="U71" i="9"/>
  <c r="Z41" i="9"/>
  <c r="I41" i="9"/>
  <c r="G90" i="9"/>
  <c r="V77" i="9"/>
  <c r="D77" i="9"/>
  <c r="G115" i="9"/>
  <c r="K115" i="9"/>
  <c r="L115" i="9"/>
  <c r="Z62" i="9"/>
  <c r="H94" i="9"/>
  <c r="G60" i="9"/>
  <c r="AA60" i="9"/>
  <c r="D15" i="9"/>
  <c r="I15" i="9"/>
  <c r="N87" i="9"/>
  <c r="W87" i="9"/>
  <c r="F106" i="9"/>
  <c r="D14" i="9"/>
  <c r="O14" i="9"/>
  <c r="D105" i="9"/>
  <c r="D50" i="9"/>
  <c r="AA20" i="9"/>
  <c r="D20" i="9"/>
  <c r="AB20" i="9"/>
  <c r="L36" i="9"/>
  <c r="U36" i="9"/>
  <c r="I118" i="9"/>
  <c r="N118" i="9"/>
  <c r="R108" i="9"/>
  <c r="H108" i="9"/>
  <c r="N73" i="9"/>
  <c r="S73" i="9"/>
  <c r="P73" i="9"/>
  <c r="F122" i="9"/>
  <c r="D122" i="9"/>
  <c r="U30" i="9"/>
  <c r="K102" i="9"/>
  <c r="Y16" i="9"/>
  <c r="D16" i="9"/>
  <c r="J18" i="9"/>
  <c r="G18" i="9"/>
  <c r="R48" i="9"/>
  <c r="Y48" i="9"/>
  <c r="M44" i="9"/>
  <c r="Z44" i="9"/>
  <c r="K112" i="9"/>
  <c r="Z104" i="9"/>
  <c r="R104" i="9"/>
  <c r="AA11" i="9"/>
  <c r="L38" i="9"/>
  <c r="G38" i="9"/>
  <c r="Y43" i="9"/>
  <c r="M43" i="9"/>
  <c r="L53" i="9"/>
  <c r="P53" i="9"/>
  <c r="E88" i="9"/>
  <c r="U88" i="9"/>
  <c r="AB8" i="9"/>
  <c r="M8" i="9"/>
  <c r="AB121" i="9"/>
  <c r="V121" i="9"/>
  <c r="Y121" i="9"/>
  <c r="X12" i="9"/>
  <c r="J59" i="9"/>
  <c r="W107" i="9"/>
  <c r="S31" i="9"/>
  <c r="P31" i="9"/>
  <c r="S24" i="9"/>
  <c r="P24" i="9"/>
  <c r="Y27" i="9"/>
  <c r="S27" i="9"/>
  <c r="P82" i="9"/>
  <c r="H92" i="9"/>
  <c r="R40" i="9"/>
  <c r="Y66" i="9"/>
  <c r="E52" i="9"/>
  <c r="R52" i="9"/>
  <c r="N68" i="9"/>
  <c r="J37" i="9"/>
  <c r="G37" i="9"/>
  <c r="O56" i="9"/>
  <c r="F75" i="9"/>
  <c r="Y75" i="9"/>
  <c r="I114" i="9"/>
  <c r="Y114" i="9"/>
  <c r="H84" i="9"/>
  <c r="C116" i="9"/>
  <c r="P110" i="9"/>
  <c r="Q7" i="9"/>
  <c r="W7" i="9"/>
  <c r="W120" i="9"/>
  <c r="K26" i="9"/>
  <c r="U26" i="9"/>
  <c r="C13" i="9"/>
  <c r="C47" i="9"/>
  <c r="M47" i="9"/>
  <c r="AB33" i="9"/>
  <c r="C33" i="9"/>
  <c r="W70" i="9"/>
  <c r="I70" i="9"/>
  <c r="C100" i="9"/>
  <c r="L116" i="9"/>
  <c r="D116" i="9"/>
  <c r="P116" i="9"/>
  <c r="D35" i="9"/>
  <c r="V35" i="9"/>
  <c r="P21" i="9"/>
  <c r="N95" i="9"/>
  <c r="L95" i="9"/>
  <c r="Q86" i="9"/>
  <c r="S97" i="9"/>
  <c r="N97" i="9"/>
  <c r="T97" i="9"/>
  <c r="U85" i="9"/>
  <c r="C85" i="9"/>
  <c r="N89" i="9"/>
  <c r="M78" i="9"/>
  <c r="H78" i="9"/>
  <c r="N110" i="9"/>
  <c r="Z110" i="9"/>
  <c r="X72" i="9"/>
  <c r="Z72" i="9"/>
  <c r="R23" i="9"/>
  <c r="J23" i="9"/>
  <c r="P109" i="9"/>
  <c r="AA109" i="9"/>
  <c r="L42" i="9"/>
  <c r="J29" i="9"/>
  <c r="M63" i="9"/>
  <c r="N49" i="9"/>
  <c r="P49" i="9"/>
  <c r="Y19" i="9"/>
  <c r="X19" i="9"/>
  <c r="M81" i="9"/>
  <c r="G81" i="9"/>
  <c r="H111" i="9"/>
  <c r="C111" i="9"/>
  <c r="E113" i="9"/>
  <c r="O113" i="9"/>
  <c r="D119" i="9"/>
  <c r="I119" i="9"/>
  <c r="S119" i="9"/>
  <c r="X117" i="9"/>
  <c r="K80" i="9"/>
  <c r="R80" i="9"/>
  <c r="P76" i="9"/>
  <c r="N76" i="9"/>
  <c r="K17" i="9"/>
  <c r="T17" i="9"/>
  <c r="H39" i="9"/>
  <c r="Y39" i="9"/>
  <c r="E9" i="9"/>
  <c r="H58" i="9"/>
  <c r="D58" i="9"/>
  <c r="W45" i="9"/>
  <c r="F79" i="9"/>
  <c r="E79" i="9"/>
  <c r="AB65" i="9"/>
  <c r="W65" i="9"/>
  <c r="R65" i="9"/>
  <c r="I67" i="9"/>
  <c r="U67" i="9"/>
  <c r="K83" i="9"/>
  <c r="V83" i="9"/>
  <c r="U99" i="9"/>
  <c r="V46" i="9"/>
  <c r="N32" i="9"/>
  <c r="P32" i="9"/>
  <c r="J34" i="9"/>
  <c r="D34" i="9"/>
  <c r="T64" i="9"/>
  <c r="H101" i="9"/>
  <c r="AA101" i="9"/>
  <c r="W93" i="9"/>
  <c r="S55" i="9"/>
  <c r="AB55" i="9"/>
  <c r="W55" i="9"/>
  <c r="T25" i="9"/>
  <c r="X25" i="9"/>
  <c r="U74" i="9"/>
  <c r="R74" i="9"/>
  <c r="N61" i="9"/>
  <c r="L51" i="9"/>
  <c r="H69" i="9"/>
  <c r="T22" i="9"/>
  <c r="W91" i="9"/>
  <c r="O28" i="9"/>
  <c r="S28" i="9"/>
  <c r="F96" i="9"/>
  <c r="R96" i="9"/>
  <c r="L98" i="9"/>
  <c r="M98" i="9"/>
  <c r="I10" i="9"/>
  <c r="M10" i="9"/>
  <c r="H71" i="9"/>
  <c r="L71" i="9"/>
  <c r="C41" i="9"/>
  <c r="O41" i="9"/>
  <c r="T90" i="9"/>
  <c r="J77" i="9"/>
  <c r="D115" i="9"/>
  <c r="W115" i="9"/>
  <c r="R62" i="9"/>
  <c r="R94" i="9"/>
  <c r="J94" i="9"/>
  <c r="S60" i="9"/>
  <c r="V60" i="9"/>
  <c r="O15" i="9"/>
  <c r="E15" i="9"/>
  <c r="AA87" i="9"/>
  <c r="E57" i="9"/>
  <c r="L57" i="9"/>
  <c r="Y57" i="9"/>
  <c r="G106" i="9"/>
  <c r="L14" i="9"/>
  <c r="R14" i="9"/>
  <c r="AA105" i="9"/>
  <c r="L50" i="9"/>
  <c r="F20" i="9"/>
  <c r="I20" i="9"/>
  <c r="G36" i="9"/>
  <c r="AB36" i="9"/>
  <c r="W118" i="9"/>
  <c r="I108" i="9"/>
  <c r="X103" i="9"/>
  <c r="F103" i="9"/>
  <c r="I73" i="9"/>
  <c r="AA73" i="9"/>
  <c r="F73" i="9"/>
  <c r="O122" i="9"/>
  <c r="Z122" i="9"/>
  <c r="I30" i="9"/>
  <c r="N102" i="9"/>
  <c r="P102" i="9"/>
  <c r="C16" i="9"/>
  <c r="F16" i="9"/>
  <c r="S18" i="9"/>
  <c r="W48" i="9"/>
  <c r="F48" i="9"/>
  <c r="W44" i="9"/>
  <c r="F44" i="9"/>
  <c r="Y112" i="9"/>
  <c r="G112" i="9"/>
  <c r="X104" i="9"/>
  <c r="G104" i="9"/>
  <c r="P11" i="9"/>
  <c r="D11" i="9"/>
  <c r="F38" i="9"/>
  <c r="E38" i="9"/>
  <c r="Q38" i="9"/>
  <c r="S43" i="9"/>
  <c r="T43" i="9"/>
  <c r="X53" i="9"/>
  <c r="T88" i="9"/>
  <c r="S8" i="9"/>
  <c r="Y8" i="9"/>
  <c r="I121" i="9"/>
  <c r="F121" i="9"/>
  <c r="C121" i="9"/>
  <c r="S12" i="9"/>
  <c r="V59" i="9"/>
  <c r="T59" i="9"/>
  <c r="C31" i="9"/>
  <c r="X31" i="9"/>
  <c r="M24" i="9"/>
  <c r="F24" i="9"/>
  <c r="V27" i="9"/>
  <c r="L27" i="9"/>
  <c r="AA82" i="9"/>
  <c r="W82" i="9"/>
  <c r="L92" i="9"/>
  <c r="W92" i="9"/>
  <c r="D40" i="9"/>
  <c r="H40" i="9"/>
  <c r="T66" i="9"/>
  <c r="Q52" i="9"/>
  <c r="Y52" i="9"/>
  <c r="F52" i="9"/>
  <c r="I68" i="9"/>
  <c r="E68" i="9"/>
  <c r="R37" i="9"/>
  <c r="P37" i="9"/>
  <c r="I56" i="9"/>
  <c r="E114" i="9"/>
  <c r="T84" i="9"/>
  <c r="K84" i="9"/>
  <c r="E84" i="9"/>
  <c r="AB100" i="9"/>
  <c r="Q72" i="9"/>
  <c r="H7" i="9"/>
  <c r="L7" i="9"/>
  <c r="U120" i="9"/>
  <c r="I120" i="9"/>
  <c r="E26" i="9"/>
  <c r="O26" i="9"/>
  <c r="W13" i="9"/>
  <c r="Y13" i="9"/>
  <c r="K47" i="9"/>
  <c r="AB47" i="9"/>
  <c r="F33" i="9"/>
  <c r="I33" i="9"/>
  <c r="AA70" i="9"/>
  <c r="P100" i="9"/>
  <c r="I100" i="9"/>
  <c r="V116" i="9"/>
  <c r="AA116" i="9"/>
  <c r="G116" i="9"/>
  <c r="X35" i="9"/>
  <c r="C35" i="9"/>
  <c r="H21" i="9"/>
  <c r="AA21" i="9"/>
  <c r="Q95" i="9"/>
  <c r="M86" i="9"/>
  <c r="R86" i="9"/>
  <c r="X97" i="9"/>
  <c r="J97" i="9"/>
  <c r="F85" i="9"/>
  <c r="G85" i="9"/>
  <c r="E89" i="9"/>
  <c r="S78" i="9"/>
  <c r="V110" i="9"/>
  <c r="O72" i="9"/>
  <c r="O23" i="9"/>
  <c r="T23" i="9"/>
  <c r="G109" i="9"/>
  <c r="I42" i="9"/>
  <c r="R29" i="9"/>
  <c r="Q63" i="9"/>
  <c r="H49" i="9"/>
  <c r="D49" i="9"/>
  <c r="C19" i="9"/>
  <c r="K19" i="9"/>
  <c r="F81" i="9"/>
  <c r="J111" i="9"/>
  <c r="C113" i="9"/>
  <c r="R113" i="9"/>
  <c r="AB119" i="9"/>
  <c r="Q117" i="9"/>
  <c r="AB117" i="9"/>
  <c r="J54" i="9"/>
  <c r="W80" i="9"/>
  <c r="T80" i="9"/>
  <c r="G76" i="9"/>
  <c r="U76" i="9"/>
  <c r="J17" i="9"/>
  <c r="N17" i="9"/>
  <c r="G39" i="9"/>
  <c r="AA39" i="9"/>
  <c r="D9" i="9"/>
  <c r="R58" i="9"/>
  <c r="D45" i="9"/>
  <c r="AB79" i="9"/>
  <c r="X79" i="9"/>
  <c r="G65" i="9"/>
  <c r="L65" i="9"/>
  <c r="R67" i="9"/>
  <c r="J83" i="9"/>
  <c r="S83" i="9"/>
  <c r="O99" i="9"/>
  <c r="Z99" i="9"/>
  <c r="Y46" i="9"/>
  <c r="AB46" i="9"/>
  <c r="T32" i="9"/>
  <c r="G32" i="9"/>
  <c r="U34" i="9"/>
  <c r="L34" i="9"/>
  <c r="S64" i="9"/>
  <c r="R101" i="9"/>
  <c r="M93" i="9"/>
  <c r="R55" i="9"/>
  <c r="J55" i="9"/>
  <c r="Q25" i="9"/>
  <c r="AB25" i="9"/>
  <c r="R25" i="9"/>
  <c r="Z74" i="9"/>
  <c r="F74" i="9"/>
  <c r="U61" i="9"/>
  <c r="X61" i="9"/>
  <c r="H51" i="9"/>
  <c r="U69" i="9"/>
  <c r="T69" i="9"/>
  <c r="V22" i="9"/>
  <c r="M22" i="9"/>
  <c r="W22" i="9"/>
  <c r="N91" i="9"/>
  <c r="C91" i="9"/>
  <c r="N28" i="9"/>
  <c r="Z28" i="9"/>
  <c r="S96" i="9"/>
  <c r="N96" i="9"/>
  <c r="R98" i="9"/>
  <c r="G10" i="9"/>
  <c r="D10" i="9"/>
  <c r="E71" i="9"/>
  <c r="T71" i="9"/>
  <c r="F41" i="9"/>
  <c r="X41" i="9"/>
  <c r="H90" i="9"/>
  <c r="D90" i="9"/>
  <c r="V115" i="9"/>
  <c r="I62" i="9"/>
  <c r="M62" i="9"/>
  <c r="J62" i="9"/>
  <c r="U94" i="9"/>
  <c r="I60" i="9"/>
  <c r="N15" i="9"/>
  <c r="K15" i="9"/>
  <c r="D87" i="9"/>
  <c r="P57" i="9"/>
  <c r="F57" i="9"/>
  <c r="S57" i="9"/>
  <c r="S106" i="9"/>
  <c r="S14" i="9"/>
  <c r="H14" i="9"/>
  <c r="G105" i="9"/>
  <c r="S50" i="9"/>
  <c r="P20" i="9"/>
  <c r="N36" i="9"/>
  <c r="S36" i="9"/>
  <c r="E108" i="9"/>
  <c r="U103" i="9"/>
  <c r="R103" i="9"/>
  <c r="H73" i="9"/>
  <c r="Z73" i="9"/>
  <c r="I122" i="9"/>
  <c r="Z30" i="9"/>
  <c r="D102" i="9"/>
  <c r="V102" i="9"/>
  <c r="T16" i="9"/>
  <c r="X16" i="9"/>
  <c r="P18" i="9"/>
  <c r="Z18" i="9"/>
  <c r="Q48" i="9"/>
  <c r="X48" i="9"/>
  <c r="J44" i="9"/>
  <c r="S112" i="9"/>
  <c r="O112" i="9"/>
  <c r="F104" i="9"/>
  <c r="O11" i="9"/>
  <c r="E11" i="9"/>
  <c r="AA38" i="9"/>
  <c r="V38" i="9"/>
  <c r="I43" i="9"/>
  <c r="Z43" i="9"/>
  <c r="Y88" i="9"/>
  <c r="AB88" i="9"/>
  <c r="O8" i="9"/>
  <c r="P8" i="9"/>
  <c r="T121" i="9"/>
  <c r="M121" i="9"/>
  <c r="M12" i="9"/>
  <c r="O12" i="9"/>
  <c r="M59" i="9"/>
  <c r="AA107" i="9"/>
  <c r="L107" i="9"/>
  <c r="AA31" i="9"/>
  <c r="H31" i="9"/>
  <c r="AB24" i="9"/>
  <c r="R27" i="9"/>
  <c r="O27" i="9"/>
  <c r="C27" i="9"/>
  <c r="Q82" i="9"/>
  <c r="E92" i="9"/>
  <c r="Q40" i="9"/>
  <c r="M66" i="9"/>
  <c r="I66" i="9"/>
  <c r="Q37" i="9"/>
  <c r="N56" i="9"/>
  <c r="L75" i="9"/>
  <c r="X114" i="9"/>
  <c r="W84" i="9"/>
  <c r="D120" i="9"/>
  <c r="P78" i="9"/>
  <c r="R7" i="9"/>
  <c r="AB120" i="9"/>
  <c r="T26" i="9"/>
  <c r="X26" i="9"/>
  <c r="R13" i="9"/>
  <c r="K13" i="9"/>
  <c r="G47" i="9"/>
  <c r="L47" i="9"/>
  <c r="U33" i="9"/>
  <c r="O33" i="9"/>
  <c r="Z70" i="9"/>
  <c r="H70" i="9"/>
  <c r="U100" i="9"/>
  <c r="O116" i="9"/>
  <c r="Z35" i="9"/>
  <c r="F35" i="9"/>
  <c r="T21" i="9"/>
  <c r="G86" i="9"/>
  <c r="P86" i="9"/>
  <c r="F97" i="9"/>
  <c r="E85" i="9"/>
  <c r="N85" i="9"/>
  <c r="M89" i="9"/>
  <c r="X89" i="9"/>
  <c r="AB78" i="9"/>
  <c r="K110" i="9"/>
  <c r="J110" i="9"/>
  <c r="H72" i="9"/>
  <c r="P23" i="9"/>
  <c r="W23" i="9"/>
  <c r="Y23" i="9"/>
  <c r="K109" i="9"/>
  <c r="X42" i="9"/>
  <c r="Z29" i="9"/>
  <c r="O63" i="9"/>
  <c r="T49" i="9"/>
  <c r="I49" i="9"/>
  <c r="R19" i="9"/>
  <c r="U19" i="9"/>
  <c r="AB81" i="9"/>
  <c r="P81" i="9"/>
  <c r="N111" i="9"/>
  <c r="J113" i="9"/>
  <c r="L119" i="9"/>
  <c r="X119" i="9"/>
  <c r="V117" i="9"/>
  <c r="H117" i="9"/>
  <c r="Y117" i="9"/>
  <c r="M54" i="9"/>
  <c r="F54" i="9"/>
  <c r="O76" i="9"/>
  <c r="S17" i="9"/>
  <c r="D17" i="9"/>
  <c r="N39" i="9"/>
  <c r="O39" i="9"/>
  <c r="Z9" i="9"/>
  <c r="W58" i="9"/>
  <c r="L58" i="9"/>
  <c r="G45" i="9"/>
  <c r="U79" i="9"/>
  <c r="D65" i="9"/>
  <c r="U65" i="9"/>
  <c r="P65" i="9"/>
  <c r="X67" i="9"/>
  <c r="E67" i="9"/>
  <c r="R83" i="9"/>
  <c r="F83" i="9"/>
  <c r="E99" i="9"/>
  <c r="I99" i="9"/>
  <c r="C46" i="9"/>
  <c r="F46" i="9"/>
  <c r="Q32" i="9"/>
  <c r="N34" i="9"/>
  <c r="C34" i="9"/>
  <c r="L64" i="9"/>
  <c r="D64" i="9"/>
  <c r="S101" i="9"/>
  <c r="G93" i="9"/>
  <c r="V55" i="9"/>
  <c r="L55" i="9"/>
  <c r="K25" i="9"/>
  <c r="H25" i="9"/>
  <c r="E74" i="9"/>
  <c r="AB51" i="9"/>
  <c r="P69" i="9"/>
  <c r="AB69" i="9"/>
  <c r="Q22" i="9"/>
  <c r="D22" i="9"/>
  <c r="R22" i="9"/>
  <c r="Y91" i="9"/>
  <c r="T91" i="9"/>
  <c r="G28" i="9"/>
  <c r="C28" i="9"/>
  <c r="Z96" i="9"/>
  <c r="G98" i="9"/>
  <c r="AA98" i="9"/>
  <c r="K10" i="9"/>
  <c r="AB10" i="9"/>
  <c r="R71" i="9"/>
  <c r="AA71" i="9"/>
  <c r="R41" i="9"/>
  <c r="O90" i="9"/>
  <c r="S90" i="9"/>
  <c r="U77" i="9"/>
  <c r="H77" i="9"/>
  <c r="Q115" i="9"/>
  <c r="Z115" i="9"/>
  <c r="K62" i="9"/>
  <c r="V62" i="9"/>
  <c r="S62" i="9"/>
  <c r="O94" i="9"/>
  <c r="K94" i="9"/>
  <c r="C60" i="9"/>
  <c r="P60" i="9"/>
  <c r="M15" i="9"/>
  <c r="X15" i="9"/>
  <c r="L87" i="9"/>
  <c r="X87" i="9"/>
  <c r="U57" i="9"/>
  <c r="Q57" i="9"/>
  <c r="I57" i="9"/>
  <c r="AB106" i="9"/>
  <c r="AA14" i="9"/>
  <c r="Y14" i="9"/>
  <c r="Z105" i="9"/>
  <c r="Y105" i="9"/>
  <c r="I50" i="9"/>
  <c r="K20" i="9"/>
  <c r="H36" i="9"/>
  <c r="M36" i="9"/>
  <c r="S118" i="9"/>
  <c r="U118" i="9"/>
  <c r="M108" i="9"/>
  <c r="Z103" i="9"/>
  <c r="C73" i="9"/>
  <c r="X122" i="9"/>
  <c r="J122" i="9"/>
  <c r="E30" i="9"/>
  <c r="L30" i="9"/>
  <c r="I102" i="9"/>
  <c r="I16" i="9"/>
  <c r="AA16" i="9"/>
  <c r="H18" i="9"/>
  <c r="G48" i="9"/>
  <c r="C48" i="9"/>
  <c r="AB44" i="9"/>
  <c r="S44" i="9"/>
  <c r="U112" i="9"/>
  <c r="V112" i="9"/>
  <c r="V104" i="9"/>
  <c r="Z11" i="9"/>
  <c r="X38" i="9"/>
  <c r="T38" i="9"/>
  <c r="AA43" i="9"/>
  <c r="Q43" i="9"/>
  <c r="D43" i="9"/>
  <c r="W53" i="9"/>
  <c r="F53" i="9"/>
  <c r="P88" i="9"/>
  <c r="AA8" i="9"/>
  <c r="I8" i="9"/>
  <c r="Q12" i="9"/>
  <c r="W12" i="9"/>
  <c r="Z59" i="9"/>
  <c r="D59" i="9"/>
  <c r="P107" i="9"/>
  <c r="K107" i="9"/>
  <c r="U31" i="9"/>
  <c r="L24" i="9"/>
  <c r="X24" i="9"/>
  <c r="I27" i="9"/>
  <c r="H27" i="9"/>
  <c r="K82" i="9"/>
  <c r="G82" i="9"/>
  <c r="AA92" i="9"/>
  <c r="K40" i="9"/>
  <c r="W40" i="9"/>
  <c r="R66" i="9"/>
  <c r="M52" i="9"/>
  <c r="AA68" i="9"/>
  <c r="M68" i="9"/>
  <c r="Y37" i="9"/>
  <c r="O37" i="9"/>
  <c r="X56" i="9"/>
  <c r="T56" i="9"/>
  <c r="O75" i="9"/>
  <c r="X75" i="9"/>
  <c r="Q114" i="9"/>
  <c r="M114" i="9"/>
  <c r="AB84" i="9"/>
  <c r="Q84" i="9"/>
  <c r="X13" i="9"/>
  <c r="AA95" i="9"/>
  <c r="V72" i="9"/>
  <c r="O7" i="9"/>
  <c r="N7" i="9"/>
  <c r="E120" i="9"/>
  <c r="X120" i="9"/>
  <c r="D26" i="9"/>
  <c r="P13" i="9"/>
  <c r="U13" i="9"/>
  <c r="Z47" i="9"/>
  <c r="U47" i="9"/>
  <c r="W33" i="9"/>
  <c r="X33" i="9"/>
  <c r="O70" i="9"/>
  <c r="O100" i="9"/>
  <c r="K116" i="9"/>
  <c r="AB35" i="9"/>
  <c r="O35" i="9"/>
  <c r="S21" i="9"/>
  <c r="AA86" i="9"/>
  <c r="J86" i="9"/>
  <c r="G97" i="9"/>
  <c r="AA85" i="9"/>
  <c r="H85" i="9"/>
  <c r="P89" i="9"/>
  <c r="R78" i="9"/>
  <c r="E78" i="9"/>
  <c r="F110" i="9"/>
  <c r="S110" i="9"/>
  <c r="N72" i="9"/>
  <c r="I23" i="9"/>
  <c r="D23" i="9"/>
  <c r="V109" i="9"/>
  <c r="Q42" i="9"/>
  <c r="T42" i="9"/>
  <c r="C29" i="9"/>
  <c r="J63" i="9"/>
  <c r="R63" i="9"/>
  <c r="W49" i="9"/>
  <c r="Q19" i="9"/>
  <c r="Z19" i="9"/>
  <c r="Q81" i="9"/>
  <c r="E81" i="9"/>
  <c r="Y111" i="9"/>
  <c r="F113" i="9"/>
  <c r="I113" i="9"/>
  <c r="P119" i="9"/>
  <c r="D117" i="9"/>
  <c r="T117" i="9"/>
  <c r="G54" i="9"/>
  <c r="O54" i="9"/>
  <c r="G80" i="9"/>
  <c r="Q80" i="9"/>
  <c r="F76" i="9"/>
  <c r="W17" i="9"/>
  <c r="AB17" i="9"/>
  <c r="S39" i="9"/>
  <c r="I39" i="9"/>
  <c r="C9" i="9"/>
  <c r="Q58" i="9"/>
  <c r="P45" i="9"/>
  <c r="K79" i="9"/>
  <c r="X65" i="9"/>
  <c r="AA65" i="9"/>
  <c r="Q67" i="9"/>
  <c r="K67" i="9"/>
  <c r="C83" i="9"/>
  <c r="Q83" i="9"/>
  <c r="J99" i="9"/>
  <c r="L46" i="9"/>
  <c r="S32" i="9"/>
  <c r="M34" i="9"/>
  <c r="AA34" i="9"/>
  <c r="O64" i="9"/>
  <c r="C64" i="9"/>
  <c r="Z101" i="9"/>
  <c r="S93" i="9"/>
  <c r="AB93" i="9"/>
  <c r="F55" i="9"/>
  <c r="P25" i="9"/>
  <c r="D25" i="9"/>
  <c r="Y74" i="9"/>
  <c r="E61" i="9"/>
  <c r="V61" i="9"/>
  <c r="E51" i="9"/>
  <c r="X51" i="9"/>
  <c r="M69" i="9"/>
  <c r="D69" i="9"/>
  <c r="AB22" i="9"/>
  <c r="J28" i="9"/>
  <c r="C96" i="9"/>
  <c r="D98" i="9"/>
  <c r="C98" i="9"/>
  <c r="N10" i="9"/>
  <c r="S10" i="9"/>
  <c r="Q71" i="9"/>
  <c r="S71" i="9"/>
  <c r="S41" i="9"/>
  <c r="H41" i="9"/>
  <c r="K90" i="9"/>
  <c r="N77" i="9"/>
  <c r="S77" i="9"/>
  <c r="F115" i="9"/>
  <c r="H62" i="9"/>
  <c r="Y62" i="9"/>
  <c r="E94" i="9"/>
  <c r="Y94" i="9"/>
  <c r="AB60" i="9"/>
  <c r="L15" i="9"/>
  <c r="U15" i="9"/>
  <c r="T87" i="9"/>
  <c r="AA57" i="9"/>
  <c r="K106" i="9"/>
  <c r="O106" i="9"/>
  <c r="C106" i="9"/>
  <c r="C14" i="9"/>
  <c r="V105" i="9"/>
  <c r="C105" i="9"/>
  <c r="C50" i="9"/>
  <c r="L20" i="9"/>
  <c r="S20" i="9"/>
  <c r="X36" i="9"/>
  <c r="F36" i="9"/>
  <c r="Q118" i="9"/>
  <c r="M118" i="9"/>
  <c r="W108" i="9"/>
  <c r="V108" i="9"/>
  <c r="D103" i="9"/>
  <c r="V103" i="9"/>
  <c r="Y73" i="9"/>
  <c r="R122" i="9"/>
  <c r="S122" i="9"/>
  <c r="Z102" i="9"/>
  <c r="U102" i="9"/>
  <c r="R16" i="9"/>
  <c r="U16" i="9"/>
  <c r="Q18" i="9"/>
  <c r="T18" i="9"/>
  <c r="P48" i="9"/>
  <c r="Q44" i="9"/>
  <c r="G44" i="9"/>
  <c r="E44" i="9"/>
  <c r="C112" i="9"/>
  <c r="K104" i="9"/>
  <c r="X11" i="9"/>
  <c r="T11" i="9"/>
  <c r="K38" i="9"/>
  <c r="X43" i="9"/>
  <c r="J43" i="9"/>
  <c r="T53" i="9"/>
  <c r="O53" i="9"/>
  <c r="X88" i="9"/>
  <c r="C8" i="9"/>
  <c r="X8" i="9"/>
  <c r="J121" i="9"/>
  <c r="AB12" i="9"/>
  <c r="K12" i="9"/>
  <c r="F59" i="9"/>
  <c r="AB59" i="9"/>
  <c r="Y107" i="9"/>
  <c r="S107" i="9"/>
  <c r="O31" i="9"/>
  <c r="C24" i="9"/>
  <c r="F27" i="9"/>
  <c r="N82" i="9"/>
  <c r="D92" i="9"/>
  <c r="M40" i="9"/>
  <c r="P40" i="9"/>
  <c r="AB66" i="9"/>
  <c r="X66" i="9"/>
  <c r="V52" i="9"/>
  <c r="T52" i="9"/>
  <c r="D68" i="9"/>
  <c r="W68" i="9"/>
  <c r="AB68" i="9"/>
  <c r="S37" i="9"/>
  <c r="F37" i="9"/>
  <c r="M56" i="9"/>
  <c r="E75" i="9"/>
  <c r="T75" i="9"/>
  <c r="H114" i="9"/>
  <c r="D84" i="9"/>
  <c r="X84" i="9"/>
  <c r="C7" i="9"/>
  <c r="R120" i="9"/>
  <c r="J35" i="9"/>
  <c r="E7" i="9"/>
  <c r="L120" i="9"/>
  <c r="T120" i="9"/>
  <c r="H26" i="9"/>
  <c r="Z13" i="9"/>
  <c r="F13" i="9"/>
  <c r="R47" i="9"/>
  <c r="H47" i="9"/>
  <c r="P33" i="9"/>
  <c r="N33" i="9"/>
  <c r="X70" i="9"/>
  <c r="K70" i="9"/>
  <c r="E100" i="9"/>
  <c r="F116" i="9"/>
  <c r="S116" i="9"/>
  <c r="AA35" i="9"/>
  <c r="U35" i="9"/>
  <c r="O21" i="9"/>
  <c r="K21" i="9"/>
  <c r="T95" i="9"/>
  <c r="J95" i="9"/>
  <c r="X86" i="9"/>
  <c r="H97" i="9"/>
  <c r="M97" i="9"/>
  <c r="M85" i="9"/>
  <c r="R85" i="9"/>
  <c r="L78" i="9"/>
  <c r="S72" i="9"/>
  <c r="W72" i="9"/>
  <c r="X23" i="9"/>
  <c r="M23" i="9"/>
  <c r="U109" i="9"/>
  <c r="O109" i="9"/>
  <c r="Z109" i="9"/>
  <c r="P42" i="9"/>
  <c r="M42" i="9"/>
  <c r="K29" i="9"/>
  <c r="I63" i="9"/>
  <c r="R49" i="9"/>
  <c r="P19" i="9"/>
  <c r="E19" i="9"/>
  <c r="L81" i="9"/>
  <c r="U111" i="9"/>
  <c r="R111" i="9"/>
  <c r="N113" i="9"/>
  <c r="M119" i="9"/>
  <c r="Q119" i="9"/>
  <c r="M117" i="9"/>
  <c r="W117" i="9"/>
  <c r="L117" i="9"/>
  <c r="Y54" i="9"/>
  <c r="C80" i="9"/>
  <c r="D80" i="9"/>
  <c r="Q76" i="9"/>
  <c r="AA17" i="9"/>
  <c r="I17" i="9"/>
  <c r="X39" i="9"/>
  <c r="K39" i="9"/>
  <c r="O9" i="9"/>
  <c r="Y9" i="9"/>
  <c r="G58" i="9"/>
  <c r="M58" i="9"/>
  <c r="V45" i="9"/>
  <c r="Y79" i="9"/>
  <c r="H79" i="9"/>
  <c r="T65" i="9"/>
  <c r="AB67" i="9"/>
  <c r="H67" i="9"/>
  <c r="P67" i="9"/>
  <c r="Y83" i="9"/>
  <c r="N99" i="9"/>
  <c r="J46" i="9"/>
  <c r="O46" i="9"/>
  <c r="M32" i="9"/>
  <c r="Y34" i="9"/>
  <c r="H34" i="9"/>
  <c r="Y64" i="9"/>
  <c r="AB64" i="9"/>
  <c r="G101" i="9"/>
  <c r="N101" i="9"/>
  <c r="V93" i="9"/>
  <c r="AA93" i="9"/>
  <c r="C55" i="9"/>
  <c r="AA55" i="9"/>
  <c r="W25" i="9"/>
  <c r="X74" i="9"/>
  <c r="Q74" i="9"/>
  <c r="M61" i="9"/>
  <c r="U51" i="9"/>
  <c r="N51" i="9"/>
  <c r="G22" i="9"/>
  <c r="Y22" i="9"/>
  <c r="J91" i="9"/>
  <c r="I91" i="9"/>
  <c r="K91" i="9"/>
  <c r="V28" i="9"/>
  <c r="R28" i="9"/>
  <c r="I96" i="9"/>
  <c r="Q98" i="9"/>
  <c r="K98" i="9"/>
  <c r="R10" i="9"/>
  <c r="J10" i="9"/>
  <c r="J71" i="9"/>
  <c r="P71" i="9"/>
  <c r="K71" i="9"/>
  <c r="Q41" i="9"/>
  <c r="N41" i="9"/>
  <c r="V90" i="9"/>
  <c r="AB77" i="9"/>
  <c r="T62" i="9"/>
  <c r="F62" i="9"/>
  <c r="N94" i="9"/>
  <c r="Q94" i="9"/>
  <c r="F60" i="9"/>
  <c r="H15" i="9"/>
  <c r="J15" i="9"/>
  <c r="O87" i="9"/>
  <c r="Z87" i="9"/>
  <c r="M57" i="9"/>
  <c r="C57" i="9"/>
  <c r="Y106" i="9"/>
  <c r="AA106" i="9"/>
  <c r="L106" i="9"/>
  <c r="N105" i="9"/>
  <c r="I105" i="9"/>
  <c r="G50" i="9"/>
  <c r="V20" i="9"/>
  <c r="X20" i="9"/>
  <c r="P36" i="9"/>
  <c r="O36" i="9"/>
  <c r="G118" i="9"/>
  <c r="E118" i="9"/>
  <c r="L108" i="9"/>
  <c r="L103" i="9"/>
  <c r="O73" i="9"/>
  <c r="J73" i="9"/>
  <c r="U122" i="9"/>
  <c r="AA30" i="9"/>
  <c r="J30" i="9"/>
  <c r="H30" i="9"/>
  <c r="M102" i="9"/>
  <c r="S102" i="9"/>
  <c r="H16" i="9"/>
  <c r="C18" i="9"/>
  <c r="U48" i="9"/>
  <c r="P44" i="9"/>
  <c r="R44" i="9"/>
  <c r="L112" i="9"/>
  <c r="F112" i="9"/>
  <c r="C104" i="9"/>
  <c r="L11" i="9"/>
  <c r="C11" i="9"/>
  <c r="D38" i="9"/>
  <c r="O43" i="9"/>
  <c r="W43" i="9"/>
  <c r="C43" i="9"/>
  <c r="V53" i="9"/>
  <c r="M88" i="9"/>
  <c r="L88" i="9"/>
  <c r="H8" i="9"/>
  <c r="V8" i="9"/>
  <c r="X121" i="9"/>
  <c r="U121" i="9"/>
  <c r="I12" i="9"/>
  <c r="N59" i="9"/>
  <c r="P59" i="9"/>
  <c r="Z107" i="9"/>
  <c r="K31" i="9"/>
  <c r="AA24" i="9"/>
  <c r="O24" i="9"/>
  <c r="AA27" i="9"/>
  <c r="O82" i="9"/>
  <c r="Z82" i="9"/>
  <c r="K92" i="9"/>
  <c r="P92" i="9"/>
  <c r="G40" i="9"/>
  <c r="D66" i="9"/>
  <c r="E66" i="9"/>
  <c r="W52" i="9"/>
  <c r="L52" i="9"/>
  <c r="Z68" i="9"/>
  <c r="Q68" i="9"/>
  <c r="T68" i="9"/>
  <c r="N37" i="9"/>
  <c r="H56" i="9"/>
  <c r="D56" i="9"/>
  <c r="W75" i="9"/>
  <c r="AB114" i="9"/>
  <c r="AA84" i="9"/>
  <c r="G84" i="9"/>
  <c r="Z89" i="9"/>
  <c r="I7" i="9"/>
  <c r="H120" i="9"/>
  <c r="Z26" i="9"/>
  <c r="N26" i="9"/>
  <c r="O13" i="9"/>
  <c r="Q13" i="9"/>
  <c r="J47" i="9"/>
  <c r="T47" i="9"/>
  <c r="E33" i="9"/>
  <c r="H33" i="9"/>
  <c r="F70" i="9"/>
  <c r="N100" i="9"/>
  <c r="R100" i="9"/>
  <c r="Y116" i="9"/>
  <c r="Z116" i="9"/>
  <c r="L35" i="9"/>
  <c r="N35" i="9"/>
  <c r="U21" i="9"/>
  <c r="D95" i="9"/>
  <c r="M95" i="9"/>
  <c r="H86" i="9"/>
  <c r="D97" i="9"/>
  <c r="Q85" i="9"/>
  <c r="AB85" i="9"/>
  <c r="G89" i="9"/>
  <c r="T89" i="9"/>
  <c r="H89" i="9"/>
  <c r="Q78" i="9"/>
  <c r="Y78" i="9"/>
  <c r="I110" i="9"/>
  <c r="R72" i="9"/>
  <c r="H23" i="9"/>
  <c r="V23" i="9"/>
  <c r="L109" i="9"/>
  <c r="F109" i="9"/>
  <c r="Z42" i="9"/>
  <c r="W42" i="9"/>
  <c r="S29" i="9"/>
  <c r="Z63" i="9"/>
  <c r="C63" i="9"/>
  <c r="V49" i="9"/>
  <c r="O19" i="9"/>
  <c r="J19" i="9"/>
  <c r="AB111" i="9"/>
  <c r="I111" i="9"/>
  <c r="X113" i="9"/>
  <c r="W113" i="9"/>
  <c r="C119" i="9"/>
  <c r="H119" i="9"/>
  <c r="P117" i="9"/>
  <c r="V54" i="9"/>
  <c r="V80" i="9"/>
  <c r="N80" i="9"/>
  <c r="R76" i="9"/>
  <c r="V76" i="9"/>
  <c r="Q17" i="9"/>
  <c r="E39" i="9"/>
  <c r="L9" i="9"/>
  <c r="T9" i="9"/>
  <c r="J58" i="9"/>
  <c r="O45" i="9"/>
  <c r="S79" i="9"/>
  <c r="S65" i="9"/>
  <c r="T67" i="9"/>
  <c r="O83" i="9"/>
  <c r="X99" i="9"/>
  <c r="AA46" i="9"/>
  <c r="H32" i="9"/>
  <c r="E34" i="9"/>
  <c r="F64" i="9"/>
  <c r="Q101" i="9"/>
  <c r="L101" i="9"/>
  <c r="C93" i="9"/>
  <c r="L93" i="9"/>
  <c r="T55" i="9"/>
  <c r="E55" i="9"/>
  <c r="G25" i="9"/>
  <c r="I74" i="9"/>
  <c r="M74" i="9"/>
  <c r="D61" i="9"/>
  <c r="F61" i="9"/>
  <c r="R51" i="9"/>
  <c r="I51" i="9"/>
  <c r="G69" i="9"/>
  <c r="J22" i="9"/>
  <c r="M91" i="9"/>
  <c r="R91" i="9"/>
  <c r="AB28" i="9"/>
  <c r="J96" i="9"/>
  <c r="U98" i="9"/>
  <c r="C10" i="9"/>
  <c r="Y71" i="9"/>
  <c r="D71" i="9"/>
  <c r="L41" i="9"/>
  <c r="W41" i="9"/>
  <c r="AA90" i="9"/>
  <c r="R77" i="9"/>
  <c r="C77" i="9"/>
  <c r="J115" i="9"/>
  <c r="C62" i="9"/>
  <c r="AB62" i="9"/>
  <c r="L94" i="9"/>
  <c r="L60" i="9"/>
  <c r="U60" i="9"/>
  <c r="T15" i="9"/>
  <c r="E87" i="9"/>
  <c r="Z57" i="9"/>
  <c r="D106" i="9"/>
  <c r="U106" i="9"/>
  <c r="X14" i="9"/>
  <c r="F105" i="9"/>
  <c r="J50" i="9"/>
  <c r="Q50" i="9"/>
  <c r="O20" i="9"/>
  <c r="C20" i="9"/>
  <c r="I36" i="9"/>
  <c r="K118" i="9"/>
  <c r="AB118" i="9"/>
  <c r="P108" i="9"/>
  <c r="F108" i="9"/>
  <c r="E103" i="9"/>
  <c r="G103" i="9"/>
  <c r="U73" i="9"/>
  <c r="Y122" i="9"/>
  <c r="N122" i="9"/>
  <c r="O30" i="9"/>
  <c r="T30" i="9"/>
  <c r="C102" i="9"/>
  <c r="O16" i="9"/>
  <c r="X18" i="9"/>
  <c r="U18" i="9"/>
  <c r="AB48" i="9"/>
  <c r="H44" i="9"/>
  <c r="L44" i="9"/>
  <c r="I44" i="9"/>
  <c r="N112" i="9"/>
  <c r="T104" i="9"/>
  <c r="N104" i="9"/>
  <c r="F11" i="9"/>
  <c r="J38" i="9"/>
  <c r="E43" i="9"/>
  <c r="G43" i="9"/>
  <c r="D53" i="9"/>
  <c r="H88" i="9"/>
  <c r="S88" i="9"/>
  <c r="K8" i="9"/>
  <c r="F8" i="9"/>
  <c r="R121" i="9"/>
  <c r="AA12" i="9"/>
  <c r="D12" i="9"/>
  <c r="X59" i="9"/>
  <c r="AA59" i="9"/>
  <c r="L59" i="9"/>
  <c r="I107" i="9"/>
  <c r="G107" i="9"/>
  <c r="G31" i="9"/>
  <c r="W31" i="9"/>
  <c r="H24" i="9"/>
  <c r="K27" i="9"/>
  <c r="U27" i="9"/>
  <c r="U82" i="9"/>
  <c r="F82" i="9"/>
  <c r="C92" i="9"/>
  <c r="X92" i="9"/>
  <c r="Z40" i="9"/>
  <c r="N40" i="9"/>
  <c r="L66" i="9"/>
  <c r="P52" i="9"/>
  <c r="D52" i="9"/>
  <c r="L68" i="9"/>
  <c r="L37" i="9"/>
  <c r="I37" i="9"/>
  <c r="U37" i="9"/>
  <c r="W56" i="9"/>
  <c r="AB56" i="9"/>
  <c r="D75" i="9"/>
  <c r="W114" i="9"/>
  <c r="S114" i="9"/>
  <c r="L114" i="9"/>
  <c r="C70" i="9"/>
  <c r="AB97" i="9"/>
  <c r="Y85" i="9"/>
  <c r="G23" i="9"/>
  <c r="W29" i="9"/>
  <c r="AA29" i="9"/>
  <c r="K63" i="9"/>
  <c r="M49" i="9"/>
  <c r="W19" i="9"/>
  <c r="Y81" i="9"/>
  <c r="AA81" i="9"/>
  <c r="D81" i="9"/>
  <c r="E111" i="9"/>
  <c r="AA119" i="9"/>
  <c r="J117" i="9"/>
  <c r="G117" i="9"/>
  <c r="AB54" i="9"/>
  <c r="X54" i="9"/>
  <c r="E54" i="9"/>
  <c r="P80" i="9"/>
  <c r="AA76" i="9"/>
  <c r="G17" i="9"/>
  <c r="L17" i="9"/>
  <c r="P39" i="9"/>
  <c r="C39" i="9"/>
  <c r="J9" i="9"/>
  <c r="X9" i="9"/>
  <c r="M9" i="9"/>
  <c r="Z58" i="9"/>
  <c r="S58" i="9"/>
  <c r="C45" i="9"/>
  <c r="U45" i="9"/>
  <c r="T79" i="9"/>
  <c r="D79" i="9"/>
  <c r="C65" i="9"/>
  <c r="K65" i="9"/>
  <c r="O67" i="9"/>
  <c r="W67" i="9"/>
  <c r="P83" i="9"/>
  <c r="I83" i="9"/>
  <c r="U83" i="9"/>
  <c r="X46" i="9"/>
  <c r="U46" i="9"/>
  <c r="AA32" i="9"/>
  <c r="I34" i="9"/>
  <c r="AA64" i="9"/>
  <c r="K64" i="9"/>
  <c r="Z64" i="9"/>
  <c r="F93" i="9"/>
  <c r="R93" i="9"/>
  <c r="G55" i="9"/>
  <c r="K55" i="9"/>
  <c r="V25" i="9"/>
  <c r="W74" i="9"/>
  <c r="T74" i="9"/>
  <c r="P61" i="9"/>
  <c r="AB61" i="9"/>
  <c r="F51" i="9"/>
  <c r="M51" i="9"/>
  <c r="L69" i="9"/>
  <c r="AA69" i="9"/>
  <c r="F22" i="9"/>
  <c r="L22" i="9"/>
  <c r="Q91" i="9"/>
  <c r="H28" i="9"/>
  <c r="F28" i="9"/>
  <c r="AB96" i="9"/>
  <c r="M96" i="9"/>
  <c r="Z98" i="9"/>
  <c r="L10" i="9"/>
  <c r="P10" i="9"/>
  <c r="W71" i="9"/>
  <c r="G41" i="9"/>
  <c r="T41" i="9"/>
  <c r="I90" i="9"/>
  <c r="R90" i="9"/>
  <c r="AA77" i="9"/>
  <c r="N115" i="9"/>
  <c r="R115" i="9"/>
  <c r="Q62" i="9"/>
  <c r="W94" i="9"/>
  <c r="M94" i="9"/>
  <c r="I94" i="9"/>
  <c r="G15" i="9"/>
  <c r="P87" i="9"/>
  <c r="AB87" i="9"/>
  <c r="X57" i="9"/>
  <c r="K57" i="9"/>
  <c r="R106" i="9"/>
  <c r="I14" i="9"/>
  <c r="N14" i="9"/>
  <c r="J105" i="9"/>
  <c r="X50" i="9"/>
  <c r="M50" i="9"/>
  <c r="N20" i="9"/>
  <c r="H20" i="9"/>
  <c r="Y36" i="9"/>
  <c r="Y118" i="9"/>
  <c r="C118" i="9"/>
  <c r="G108" i="9"/>
  <c r="AA108" i="9"/>
  <c r="AB103" i="9"/>
  <c r="M73" i="9"/>
  <c r="C122" i="9"/>
  <c r="AB122" i="9"/>
  <c r="P30" i="9"/>
  <c r="W30" i="9"/>
  <c r="AB102" i="9"/>
  <c r="J102" i="9"/>
  <c r="K16" i="9"/>
  <c r="O18" i="9"/>
  <c r="D18" i="9"/>
  <c r="E48" i="9"/>
  <c r="V44" i="9"/>
  <c r="X112" i="9"/>
  <c r="I112" i="9"/>
  <c r="AB112" i="9"/>
  <c r="J104" i="9"/>
  <c r="U104" i="9"/>
  <c r="S11" i="9"/>
  <c r="R11" i="9"/>
  <c r="U38" i="9"/>
  <c r="R43" i="9"/>
  <c r="H43" i="9"/>
  <c r="J53" i="9"/>
  <c r="E53" i="9"/>
  <c r="D88" i="9"/>
  <c r="G8" i="9"/>
  <c r="E121" i="9"/>
  <c r="G12" i="9"/>
  <c r="V12" i="9"/>
  <c r="G59" i="9"/>
  <c r="S59" i="9"/>
  <c r="O107" i="9"/>
  <c r="C107" i="9"/>
  <c r="Z31" i="9"/>
  <c r="K24" i="9"/>
  <c r="U24" i="9"/>
  <c r="Q27" i="9"/>
  <c r="N27" i="9"/>
  <c r="V82" i="9"/>
  <c r="J82" i="9"/>
  <c r="U92" i="9"/>
  <c r="Z92" i="9"/>
  <c r="S40" i="9"/>
  <c r="AA40" i="9"/>
  <c r="H66" i="9"/>
  <c r="X52" i="9"/>
  <c r="K52" i="9"/>
  <c r="X68" i="9"/>
  <c r="G68" i="9"/>
  <c r="K37" i="9"/>
  <c r="C37" i="9"/>
  <c r="M37" i="9"/>
  <c r="V56" i="9"/>
  <c r="N75" i="9"/>
  <c r="J75" i="9"/>
  <c r="P114" i="9"/>
  <c r="O114" i="9"/>
  <c r="Z84" i="9"/>
  <c r="P84" i="9"/>
  <c r="C78" i="9"/>
  <c r="C75" i="9"/>
  <c r="C59" i="9"/>
  <c r="C44" i="9"/>
  <c r="AH4" i="1"/>
  <c r="N5" i="2"/>
  <c r="BP63" i="9" l="1"/>
  <c r="BQ78" i="9"/>
  <c r="BM69" i="9"/>
  <c r="BP55" i="9"/>
  <c r="BP80" i="9"/>
  <c r="BQ115" i="9"/>
  <c r="BN9" i="9"/>
  <c r="BM12" i="9"/>
  <c r="BO23" i="9"/>
  <c r="BP29" i="9"/>
  <c r="BO69" i="9"/>
  <c r="BN19" i="9"/>
  <c r="BO38" i="9"/>
  <c r="BP89" i="9"/>
  <c r="BP119" i="9"/>
  <c r="BO86" i="9"/>
  <c r="BM13" i="9"/>
  <c r="BM41" i="9"/>
  <c r="BM7" i="9"/>
  <c r="BQ28" i="9"/>
  <c r="BP58" i="9"/>
  <c r="BO10" i="9"/>
  <c r="BQ92" i="9"/>
  <c r="BQ60" i="9"/>
  <c r="BP93" i="9"/>
  <c r="BO7" i="9"/>
  <c r="BO121" i="9"/>
  <c r="BP84" i="9"/>
  <c r="BQ47" i="9"/>
  <c r="BO64" i="9"/>
  <c r="BN92" i="9"/>
  <c r="BP104" i="9"/>
  <c r="BP51" i="9"/>
  <c r="BO59" i="9"/>
  <c r="BM101" i="9"/>
  <c r="BO92" i="9"/>
  <c r="BM71" i="9"/>
  <c r="BP24" i="9"/>
  <c r="BO21" i="9"/>
  <c r="BQ121" i="9"/>
  <c r="BQ82" i="9"/>
  <c r="BQ33" i="9"/>
  <c r="BM40" i="9"/>
  <c r="BN96" i="9"/>
  <c r="BP45" i="9"/>
  <c r="BN89" i="9"/>
  <c r="BO101" i="9"/>
  <c r="BO13" i="9"/>
  <c r="BP13" i="9"/>
  <c r="BQ12" i="9"/>
  <c r="BN12" i="9"/>
  <c r="BN118" i="9"/>
  <c r="BP7" i="9"/>
  <c r="BQ7" i="9"/>
  <c r="BP100" i="9"/>
  <c r="BL7" i="9"/>
  <c r="BN119" i="9"/>
  <c r="BL13" i="9"/>
  <c r="BM48" i="9"/>
  <c r="BN39" i="9"/>
  <c r="BM18" i="9"/>
  <c r="BP14" i="9"/>
  <c r="BP83" i="9"/>
  <c r="BO114" i="9"/>
  <c r="BN72" i="9"/>
  <c r="BM92" i="9"/>
  <c r="BN101" i="9"/>
  <c r="BN24" i="9"/>
  <c r="BN28" i="9"/>
  <c r="BN110" i="9"/>
  <c r="BP34" i="9"/>
  <c r="BQ98" i="9"/>
  <c r="BQ10" i="9"/>
  <c r="BP9" i="9"/>
  <c r="BP10" i="9"/>
  <c r="BN116" i="9"/>
  <c r="BQ44" i="9"/>
  <c r="BM34" i="9"/>
  <c r="BQ58" i="9"/>
  <c r="BQ81" i="9"/>
  <c r="BQ56" i="9"/>
  <c r="BO61" i="9"/>
  <c r="BN34" i="9"/>
  <c r="BQ34" i="9"/>
  <c r="BP78" i="9"/>
  <c r="BM107" i="9"/>
  <c r="BO106" i="9"/>
  <c r="BQ117" i="9"/>
  <c r="BQ112" i="9"/>
  <c r="BN108" i="9"/>
  <c r="BN91" i="9"/>
  <c r="BP46" i="9"/>
  <c r="BQ76" i="9"/>
  <c r="BP53" i="9"/>
  <c r="BQ42" i="9"/>
  <c r="BP85" i="9"/>
  <c r="BO25" i="9"/>
  <c r="BO90" i="9"/>
  <c r="BQ67" i="9"/>
  <c r="BP74" i="9"/>
  <c r="BN44" i="9"/>
  <c r="BO105" i="9"/>
  <c r="BM27" i="9"/>
  <c r="BM37" i="9"/>
  <c r="BM100" i="9"/>
  <c r="BP115" i="9"/>
  <c r="BN106" i="9"/>
  <c r="BQ113" i="9"/>
  <c r="BN85" i="9"/>
  <c r="BO15" i="9"/>
  <c r="BP15" i="9"/>
  <c r="BP102" i="9"/>
  <c r="BQ24" i="9"/>
  <c r="BO30" i="9"/>
  <c r="BQ74" i="9"/>
  <c r="BP17" i="9"/>
  <c r="BM49" i="9"/>
  <c r="BN117" i="9"/>
  <c r="BN111" i="9"/>
  <c r="BM64" i="9"/>
  <c r="BO51" i="9"/>
  <c r="BP114" i="9"/>
  <c r="BM21" i="9"/>
  <c r="BQ114" i="9"/>
  <c r="BM73" i="9"/>
  <c r="BP65" i="9"/>
  <c r="BQ35" i="9"/>
  <c r="BP50" i="9"/>
  <c r="BN10" i="9"/>
  <c r="BL9" i="9"/>
  <c r="BN23" i="9"/>
  <c r="BQ109" i="9"/>
  <c r="BO9" i="9"/>
  <c r="BL10" i="9"/>
  <c r="BN68" i="9"/>
  <c r="BM50" i="9"/>
  <c r="BQ105" i="9"/>
  <c r="BO42" i="9"/>
  <c r="BO63" i="9"/>
  <c r="BQ38" i="9"/>
  <c r="BM60" i="9"/>
  <c r="BP72" i="9"/>
  <c r="BO40" i="9"/>
  <c r="BP106" i="9"/>
  <c r="BN83" i="9"/>
  <c r="BM54" i="9"/>
  <c r="BP120" i="9"/>
  <c r="BP75" i="9"/>
  <c r="BP103" i="9"/>
  <c r="BO45" i="9"/>
  <c r="BP111" i="9"/>
  <c r="BP110" i="9"/>
  <c r="BP62" i="9"/>
  <c r="BM32" i="9"/>
  <c r="BP19" i="9"/>
  <c r="BN33" i="9"/>
  <c r="BM17" i="9"/>
  <c r="BN66" i="9"/>
  <c r="BO41" i="9"/>
  <c r="BO83" i="9"/>
  <c r="BO54" i="9"/>
  <c r="BQ120" i="9"/>
  <c r="BQ101" i="9"/>
  <c r="BP37" i="9"/>
  <c r="BQ79" i="9"/>
  <c r="BN113" i="9"/>
  <c r="BP48" i="9"/>
  <c r="BQ69" i="9"/>
  <c r="BO36" i="9"/>
  <c r="BP112" i="9"/>
  <c r="BO50" i="9"/>
  <c r="BO14" i="9"/>
  <c r="BM103" i="9"/>
  <c r="BQ49" i="9"/>
  <c r="BN15" i="9"/>
  <c r="BM104" i="9"/>
  <c r="BN53" i="9"/>
  <c r="BM112" i="9"/>
  <c r="BP109" i="9"/>
  <c r="BN114" i="9"/>
  <c r="BO112" i="9"/>
  <c r="BO62" i="9"/>
  <c r="BP22" i="9"/>
  <c r="BP81" i="9"/>
  <c r="BP70" i="9"/>
  <c r="BM20" i="9"/>
  <c r="BN67" i="9"/>
  <c r="BM75" i="9"/>
  <c r="BM110" i="9"/>
  <c r="BQ94" i="9"/>
  <c r="BQ53" i="9"/>
  <c r="BL12" i="9"/>
  <c r="BQ8" i="9"/>
  <c r="BP11" i="9"/>
  <c r="BQ89" i="9"/>
  <c r="BO44" i="9"/>
  <c r="BO58" i="9"/>
  <c r="BO116" i="9"/>
  <c r="BN20" i="9"/>
  <c r="BN56" i="9"/>
  <c r="BQ91" i="9"/>
  <c r="BQ111" i="9"/>
  <c r="BP52" i="9"/>
  <c r="BP88" i="9"/>
  <c r="BP16" i="9"/>
  <c r="BN97" i="9"/>
  <c r="BO82" i="9"/>
  <c r="BP35" i="9"/>
  <c r="BP118" i="9"/>
  <c r="BN64" i="9"/>
  <c r="BN81" i="9"/>
  <c r="BM70" i="9"/>
  <c r="BP68" i="9"/>
  <c r="BN76" i="9"/>
  <c r="BN45" i="9"/>
  <c r="BQ102" i="9"/>
  <c r="BM61" i="9"/>
  <c r="BQ99" i="9"/>
  <c r="BQ29" i="9"/>
  <c r="BP86" i="9"/>
  <c r="BO120" i="9"/>
  <c r="BP31" i="9"/>
  <c r="BN62" i="9"/>
  <c r="BQ22" i="9"/>
  <c r="BO34" i="9"/>
  <c r="BM39" i="9"/>
  <c r="BQ72" i="9"/>
  <c r="BQ46" i="9"/>
  <c r="BO76" i="9"/>
  <c r="BO97" i="9"/>
  <c r="BP26" i="9"/>
  <c r="BN82" i="9"/>
  <c r="BN87" i="9"/>
  <c r="BN98" i="9"/>
  <c r="BQ119" i="9"/>
  <c r="BQ23" i="9"/>
  <c r="BM38" i="9"/>
  <c r="BN75" i="9"/>
  <c r="BP108" i="9"/>
  <c r="BM91" i="9"/>
  <c r="BP64" i="9"/>
  <c r="BM58" i="9"/>
  <c r="BO100" i="9"/>
  <c r="BO52" i="9"/>
  <c r="BN18" i="9"/>
  <c r="BQ20" i="9"/>
  <c r="BN77" i="9"/>
  <c r="BQ63" i="9"/>
  <c r="BP21" i="9"/>
  <c r="BO53" i="9"/>
  <c r="BN74" i="9"/>
  <c r="BM83" i="9"/>
  <c r="BQ95" i="9"/>
  <c r="BP56" i="9"/>
  <c r="BN14" i="9"/>
  <c r="BQ14" i="9"/>
  <c r="BQ11" i="9"/>
  <c r="BO11" i="9"/>
  <c r="BQ15" i="9"/>
  <c r="BM15" i="9"/>
  <c r="BQ61" i="9"/>
  <c r="BN35" i="9"/>
  <c r="BM78" i="9"/>
  <c r="BP41" i="9"/>
  <c r="BQ43" i="9"/>
  <c r="BQ30" i="9"/>
  <c r="BM106" i="9"/>
  <c r="BP71" i="9"/>
  <c r="BN95" i="9"/>
  <c r="BQ27" i="9"/>
  <c r="BM108" i="9"/>
  <c r="BN94" i="9"/>
  <c r="BP28" i="9"/>
  <c r="BM45" i="9"/>
  <c r="BP116" i="9"/>
  <c r="BN37" i="9"/>
  <c r="BO107" i="9"/>
  <c r="BM115" i="9"/>
  <c r="BO19" i="9"/>
  <c r="BO89" i="9"/>
  <c r="BP33" i="9"/>
  <c r="BO22" i="9"/>
  <c r="BO77" i="9"/>
  <c r="BM46" i="9"/>
  <c r="BM76" i="9"/>
  <c r="BQ110" i="9"/>
  <c r="BO24" i="9"/>
  <c r="BQ118" i="9"/>
  <c r="BM42" i="9"/>
  <c r="BM36" i="9"/>
  <c r="BO17" i="9"/>
  <c r="BN47" i="9"/>
  <c r="BQ97" i="9"/>
  <c r="BP92" i="9"/>
  <c r="BN30" i="9"/>
  <c r="BO71" i="9"/>
  <c r="BM25" i="9"/>
  <c r="BM67" i="9"/>
  <c r="BO103" i="9"/>
  <c r="BO28" i="9"/>
  <c r="BN93" i="9"/>
  <c r="BP79" i="9"/>
  <c r="BM113" i="9"/>
  <c r="BM118" i="9"/>
  <c r="BO115" i="9"/>
  <c r="BM89" i="9"/>
  <c r="BO111" i="9"/>
  <c r="BO66" i="9"/>
  <c r="BN102" i="9"/>
  <c r="BP90" i="9"/>
  <c r="BN61" i="9"/>
  <c r="BP99" i="9"/>
  <c r="BQ26" i="9"/>
  <c r="BN11" i="9"/>
  <c r="BM8" i="9"/>
  <c r="BN8" i="9"/>
  <c r="BO8" i="9"/>
  <c r="BL11" i="9"/>
  <c r="BL14" i="9"/>
  <c r="BL15" i="9"/>
  <c r="BQ19" i="9"/>
  <c r="BM66" i="9"/>
  <c r="BQ51" i="9"/>
  <c r="BO73" i="9"/>
  <c r="BM105" i="9"/>
  <c r="BP44" i="9"/>
  <c r="BN32" i="9"/>
  <c r="BN49" i="9"/>
  <c r="BM96" i="9"/>
  <c r="BQ65" i="9"/>
  <c r="BO113" i="9"/>
  <c r="AH58" i="9"/>
  <c r="BN38" i="9"/>
  <c r="BN31" i="9"/>
  <c r="BM94" i="9"/>
  <c r="BO49" i="9"/>
  <c r="BN57" i="9"/>
  <c r="BO98" i="9"/>
  <c r="BM63" i="9"/>
  <c r="BP18" i="9"/>
  <c r="BM14" i="9"/>
  <c r="BP12" i="9"/>
  <c r="BM114" i="9"/>
  <c r="BN48" i="9"/>
  <c r="BQ62" i="9"/>
  <c r="BQ64" i="9"/>
  <c r="BO81" i="9"/>
  <c r="BQ59" i="9"/>
  <c r="BO48" i="9"/>
  <c r="BN36" i="9"/>
  <c r="BP69" i="9"/>
  <c r="BQ32" i="9"/>
  <c r="BO33" i="9"/>
  <c r="BN54" i="9"/>
  <c r="BN88" i="9"/>
  <c r="BO16" i="9"/>
  <c r="BO99" i="9"/>
  <c r="BN40" i="9"/>
  <c r="BL43" i="9"/>
  <c r="BQ54" i="9"/>
  <c r="BN42" i="9"/>
  <c r="BO95" i="9"/>
  <c r="BM86" i="9"/>
  <c r="BN27" i="9"/>
  <c r="BQ104" i="9"/>
  <c r="BO60" i="9"/>
  <c r="BP101" i="9"/>
  <c r="BM72" i="9"/>
  <c r="BP59" i="9"/>
  <c r="BQ18" i="9"/>
  <c r="BP20" i="9"/>
  <c r="BQ77" i="9"/>
  <c r="BN69" i="9"/>
  <c r="BQ17" i="9"/>
  <c r="BM80" i="9"/>
  <c r="BO88" i="9"/>
  <c r="BM30" i="9"/>
  <c r="BN105" i="9"/>
  <c r="BM74" i="9"/>
  <c r="BN29" i="9"/>
  <c r="BQ86" i="9"/>
  <c r="BM120" i="9"/>
  <c r="BP97" i="9"/>
  <c r="BO43" i="9"/>
  <c r="BN122" i="9"/>
  <c r="BQ106" i="9"/>
  <c r="BP25" i="9"/>
  <c r="BP67" i="9"/>
  <c r="BM117" i="9"/>
  <c r="BN109" i="9"/>
  <c r="BM111" i="9"/>
  <c r="BQ68" i="9"/>
  <c r="BN59" i="9"/>
  <c r="BM16" i="9"/>
  <c r="BN51" i="9"/>
  <c r="BD21" i="7"/>
  <c r="DV9" i="7" s="1"/>
  <c r="AD37" i="9"/>
  <c r="AC37" i="9" s="1"/>
  <c r="BL93" i="9"/>
  <c r="BL8" i="9"/>
  <c r="BM11" i="9"/>
  <c r="BQ75" i="9"/>
  <c r="BL24" i="9"/>
  <c r="BQ36" i="9"/>
  <c r="BP32" i="9"/>
  <c r="BQ39" i="9"/>
  <c r="BM33" i="9"/>
  <c r="BQ52" i="9"/>
  <c r="BN121" i="9"/>
  <c r="BM77" i="9"/>
  <c r="BM51" i="9"/>
  <c r="BN17" i="9"/>
  <c r="BO85" i="9"/>
  <c r="BM85" i="9"/>
  <c r="BM102" i="9"/>
  <c r="BQ25" i="9"/>
  <c r="BL83" i="9"/>
  <c r="BP54" i="9"/>
  <c r="BP42" i="9"/>
  <c r="BP95" i="9"/>
  <c r="BM122" i="9"/>
  <c r="BP57" i="9"/>
  <c r="BM98" i="9"/>
  <c r="BN55" i="9"/>
  <c r="BO65" i="9"/>
  <c r="BM109" i="9"/>
  <c r="BQ21" i="9"/>
  <c r="BO56" i="9"/>
  <c r="BM31" i="9"/>
  <c r="BQ108" i="9"/>
  <c r="BP94" i="9"/>
  <c r="BO91" i="9"/>
  <c r="BL110" i="9"/>
  <c r="BN100" i="9"/>
  <c r="BM121" i="9"/>
  <c r="BQ16" i="9"/>
  <c r="BQ50" i="9"/>
  <c r="BL112" i="9"/>
  <c r="BP91" i="9"/>
  <c r="BO104" i="9"/>
  <c r="BL67" i="9"/>
  <c r="BO67" i="9"/>
  <c r="BL95" i="9"/>
  <c r="BM95" i="9"/>
  <c r="BM28" i="9"/>
  <c r="BL28" i="9"/>
  <c r="BQ116" i="9"/>
  <c r="BQ71" i="9"/>
  <c r="BL45" i="9"/>
  <c r="BQ45" i="9"/>
  <c r="BO32" i="9"/>
  <c r="BL32" i="9"/>
  <c r="BQ83" i="9"/>
  <c r="BM44" i="9"/>
  <c r="BL44" i="9"/>
  <c r="BL26" i="9"/>
  <c r="BN26" i="9"/>
  <c r="BO75" i="9"/>
  <c r="BL75" i="9"/>
  <c r="BL68" i="9"/>
  <c r="BM68" i="9"/>
  <c r="BL106" i="9"/>
  <c r="BO118" i="9"/>
  <c r="BL118" i="9"/>
  <c r="AD59" i="9"/>
  <c r="AC59" i="9" s="1"/>
  <c r="BL33" i="9"/>
  <c r="BL113" i="9"/>
  <c r="BM116" i="9"/>
  <c r="BL116" i="9"/>
  <c r="BO68" i="9"/>
  <c r="BL59" i="9"/>
  <c r="BM59" i="9"/>
  <c r="BN115" i="9"/>
  <c r="BL115" i="9"/>
  <c r="BP76" i="9"/>
  <c r="BL76" i="9"/>
  <c r="BM53" i="9"/>
  <c r="BL53" i="9"/>
  <c r="BL71" i="9"/>
  <c r="BN71" i="9"/>
  <c r="BN84" i="9"/>
  <c r="BP47" i="9"/>
  <c r="AH10" i="9"/>
  <c r="BL101" i="9"/>
  <c r="BM24" i="9"/>
  <c r="BL69" i="9"/>
  <c r="AI7" i="9"/>
  <c r="BM43" i="9"/>
  <c r="AD7" i="9"/>
  <c r="AC7" i="9" s="1"/>
  <c r="BL42" i="9"/>
  <c r="BL54" i="9"/>
  <c r="BQ66" i="9"/>
  <c r="BN46" i="9"/>
  <c r="BL89" i="9"/>
  <c r="AC18" i="7"/>
  <c r="F9" i="7" s="1"/>
  <c r="BL50" i="9"/>
  <c r="AC82" i="7"/>
  <c r="BR9" i="7" s="1"/>
  <c r="BD99" i="7"/>
  <c r="GV9" i="7" s="1"/>
  <c r="BM26" i="9"/>
  <c r="BD82" i="7"/>
  <c r="GE9" i="7" s="1"/>
  <c r="BD22" i="7"/>
  <c r="DW9" i="7" s="1"/>
  <c r="AC113" i="7"/>
  <c r="CW9" i="7" s="1"/>
  <c r="AC25" i="7"/>
  <c r="M9" i="7" s="1"/>
  <c r="AC22" i="7"/>
  <c r="J9" i="7" s="1"/>
  <c r="BD113" i="7"/>
  <c r="HJ9" i="7" s="1"/>
  <c r="BD25" i="7"/>
  <c r="DZ9" i="7" s="1"/>
  <c r="BL111" i="9"/>
  <c r="AC24" i="7"/>
  <c r="L9" i="7" s="1"/>
  <c r="BD24" i="7"/>
  <c r="DY9" i="7" s="1"/>
  <c r="AC19" i="7"/>
  <c r="G9" i="7" s="1"/>
  <c r="AC23" i="7"/>
  <c r="K9" i="7" s="1"/>
  <c r="BD19" i="7"/>
  <c r="DT9" i="7" s="1"/>
  <c r="AC20" i="7"/>
  <c r="H9" i="7" s="1"/>
  <c r="BD23" i="7"/>
  <c r="DX9" i="7" s="1"/>
  <c r="BL56" i="9"/>
  <c r="BL108" i="9"/>
  <c r="BL58" i="9"/>
  <c r="BL81" i="9"/>
  <c r="BL100" i="9"/>
  <c r="BP61" i="9"/>
  <c r="BL52" i="9"/>
  <c r="BL18" i="9"/>
  <c r="BL20" i="9"/>
  <c r="BP77" i="9"/>
  <c r="BL46" i="9"/>
  <c r="BL17" i="9"/>
  <c r="BQ85" i="9"/>
  <c r="BL47" i="9"/>
  <c r="BP40" i="9"/>
  <c r="BM88" i="9"/>
  <c r="BL102" i="9"/>
  <c r="BL105" i="9"/>
  <c r="BL90" i="9"/>
  <c r="BL99" i="9"/>
  <c r="BO80" i="9"/>
  <c r="BL63" i="9"/>
  <c r="BM97" i="9"/>
  <c r="BN120" i="9"/>
  <c r="BM84" i="9"/>
  <c r="BL92" i="9"/>
  <c r="BP43" i="9"/>
  <c r="BL122" i="9"/>
  <c r="BL55" i="9"/>
  <c r="BN65" i="9"/>
  <c r="BO117" i="9"/>
  <c r="BO109" i="9"/>
  <c r="BN21" i="9"/>
  <c r="BP27" i="9"/>
  <c r="BL103" i="9"/>
  <c r="BP87" i="9"/>
  <c r="BQ96" i="9"/>
  <c r="BM93" i="9"/>
  <c r="BL79" i="9"/>
  <c r="BM119" i="9"/>
  <c r="BL23" i="9"/>
  <c r="BL16" i="9"/>
  <c r="BL37" i="9"/>
  <c r="BL107" i="9"/>
  <c r="BL48" i="9"/>
  <c r="BP36" i="9"/>
  <c r="BM62" i="9"/>
  <c r="BL22" i="9"/>
  <c r="BO39" i="9"/>
  <c r="BL19" i="9"/>
  <c r="BL78" i="9"/>
  <c r="BQ70" i="9"/>
  <c r="BN25" i="9"/>
  <c r="BP66" i="9"/>
  <c r="BQ88" i="9"/>
  <c r="BP30" i="9"/>
  <c r="BP105" i="9"/>
  <c r="BL41" i="9"/>
  <c r="BL74" i="9"/>
  <c r="BL80" i="9"/>
  <c r="BM29" i="9"/>
  <c r="BL86" i="9"/>
  <c r="BO84" i="9"/>
  <c r="BM82" i="9"/>
  <c r="BL38" i="9"/>
  <c r="BP73" i="9"/>
  <c r="BL57" i="9"/>
  <c r="BO55" i="9"/>
  <c r="BL65" i="9"/>
  <c r="BO119" i="9"/>
  <c r="BL35" i="9"/>
  <c r="BO27" i="9"/>
  <c r="BN104" i="9"/>
  <c r="BQ103" i="9"/>
  <c r="BP60" i="9"/>
  <c r="BL96" i="9"/>
  <c r="AC17" i="7"/>
  <c r="E9" i="7" s="1"/>
  <c r="BD20" i="7"/>
  <c r="DU9" i="7" s="1"/>
  <c r="BD17" i="7"/>
  <c r="DR9" i="7" s="1"/>
  <c r="AC129" i="7"/>
  <c r="DM9" i="7" s="1"/>
  <c r="BD18" i="7"/>
  <c r="DS9" i="7" s="1"/>
  <c r="AC21" i="7"/>
  <c r="I9" i="7" s="1"/>
  <c r="BL40" i="9"/>
  <c r="BL91" i="9"/>
  <c r="BL121" i="9"/>
  <c r="BM22" i="9"/>
  <c r="BQ37" i="9"/>
  <c r="BN86" i="9"/>
  <c r="BN41" i="9"/>
  <c r="BM90" i="9"/>
  <c r="BL60" i="9"/>
  <c r="BL29" i="9"/>
  <c r="BM65" i="9"/>
  <c r="BM19" i="9"/>
  <c r="BL62" i="9"/>
  <c r="BL82" i="9"/>
  <c r="BL30" i="9"/>
  <c r="BP23" i="9"/>
  <c r="BO96" i="9"/>
  <c r="AD118" i="9"/>
  <c r="AC118" i="9" s="1"/>
  <c r="BL98" i="9"/>
  <c r="BL31" i="9"/>
  <c r="BL36" i="9"/>
  <c r="BL94" i="9"/>
  <c r="BN58" i="9"/>
  <c r="BO46" i="9"/>
  <c r="BN80" i="9"/>
  <c r="BN16" i="9"/>
  <c r="BL117" i="9"/>
  <c r="BL87" i="9"/>
  <c r="BO74" i="9"/>
  <c r="BQ100" i="9"/>
  <c r="BN112" i="9"/>
  <c r="BO20" i="9"/>
  <c r="BM55" i="9"/>
  <c r="AD70" i="9"/>
  <c r="AC70" i="9" s="1"/>
  <c r="AH110" i="9"/>
  <c r="BL120" i="9"/>
  <c r="BL85" i="9"/>
  <c r="BL77" i="9"/>
  <c r="BO18" i="9"/>
  <c r="BN103" i="9"/>
  <c r="BM35" i="9"/>
  <c r="BO47" i="9"/>
  <c r="BL104" i="9"/>
  <c r="BL84" i="9"/>
  <c r="BL70" i="9"/>
  <c r="BM52" i="9"/>
  <c r="BM56" i="9"/>
  <c r="BN63" i="9"/>
  <c r="BQ122" i="9"/>
  <c r="BM99" i="9"/>
  <c r="AG20" i="9"/>
  <c r="AD9" i="9"/>
  <c r="AC9" i="9" s="1"/>
  <c r="BL114" i="9"/>
  <c r="BL73" i="9"/>
  <c r="BL109" i="9"/>
  <c r="BL64" i="9"/>
  <c r="BL21" i="9"/>
  <c r="BO108" i="9"/>
  <c r="BM79" i="9"/>
  <c r="BN107" i="9"/>
  <c r="BL27" i="9"/>
  <c r="BL49" i="9"/>
  <c r="BM57" i="9"/>
  <c r="AD8" i="9"/>
  <c r="AC8" i="9" s="1"/>
  <c r="BL51" i="9"/>
  <c r="BL119" i="9"/>
  <c r="BL34" i="9"/>
  <c r="BL39" i="9"/>
  <c r="BM81" i="9"/>
  <c r="BL72" i="9"/>
  <c r="AD39" i="9"/>
  <c r="AC39" i="9" s="1"/>
  <c r="BP38" i="9"/>
  <c r="AD10" i="9"/>
  <c r="AC10" i="9" s="1"/>
  <c r="BL25" i="9"/>
  <c r="BL97" i="9"/>
  <c r="BL88" i="9"/>
  <c r="BL61" i="9"/>
  <c r="AD105" i="9"/>
  <c r="AC105" i="9" s="1"/>
  <c r="AD94" i="9"/>
  <c r="AC94" i="9" s="1"/>
  <c r="BD59" i="7"/>
  <c r="FH9" i="7" s="1"/>
  <c r="AC125" i="7"/>
  <c r="DI9" i="7" s="1"/>
  <c r="AC102" i="7"/>
  <c r="CL9" i="7" s="1"/>
  <c r="AC85" i="7"/>
  <c r="BU9" i="7" s="1"/>
  <c r="AC118" i="7"/>
  <c r="DB9" i="7" s="1"/>
  <c r="BD119" i="7"/>
  <c r="HP9" i="7" s="1"/>
  <c r="AC54" i="7"/>
  <c r="AP9" i="7" s="1"/>
  <c r="BD86" i="7"/>
  <c r="GI9" i="7" s="1"/>
  <c r="BD122" i="7"/>
  <c r="HS9" i="7" s="1"/>
  <c r="AC33" i="7"/>
  <c r="U9" i="7" s="1"/>
  <c r="AC50" i="7"/>
  <c r="AL9" i="7" s="1"/>
  <c r="AC130" i="7"/>
  <c r="DN9" i="7" s="1"/>
  <c r="BD125" i="7"/>
  <c r="HV9" i="7" s="1"/>
  <c r="BD102" i="7"/>
  <c r="GY9" i="7" s="1"/>
  <c r="BD85" i="7"/>
  <c r="GH9" i="7" s="1"/>
  <c r="BD118" i="7"/>
  <c r="HO9" i="7" s="1"/>
  <c r="AC67" i="7"/>
  <c r="BC9" i="7" s="1"/>
  <c r="BD54" i="7"/>
  <c r="FC9" i="7" s="1"/>
  <c r="AC74" i="7"/>
  <c r="BJ9" i="7" s="1"/>
  <c r="AC120" i="7"/>
  <c r="DD9" i="7" s="1"/>
  <c r="AC31" i="7"/>
  <c r="S9" i="7" s="1"/>
  <c r="BD33" i="7"/>
  <c r="EH9" i="7" s="1"/>
  <c r="AC75" i="7"/>
  <c r="BK9" i="7" s="1"/>
  <c r="AD122" i="9"/>
  <c r="AC122" i="9" s="1"/>
  <c r="AD29" i="9"/>
  <c r="AC29" i="9" s="1"/>
  <c r="AD110" i="9"/>
  <c r="AC110" i="9" s="1"/>
  <c r="BD50" i="7"/>
  <c r="EY9" i="7" s="1"/>
  <c r="BD130" i="7"/>
  <c r="IA9" i="7" s="1"/>
  <c r="BD67" i="7"/>
  <c r="FP9" i="7" s="1"/>
  <c r="AC92" i="7"/>
  <c r="CB9" i="7" s="1"/>
  <c r="AC45" i="7"/>
  <c r="AG9" i="7" s="1"/>
  <c r="BD74" i="7"/>
  <c r="FW9" i="7" s="1"/>
  <c r="BD120" i="7"/>
  <c r="HQ9" i="7" s="1"/>
  <c r="BD31" i="7"/>
  <c r="EF9" i="7" s="1"/>
  <c r="AC57" i="7"/>
  <c r="AS9" i="7" s="1"/>
  <c r="AC77" i="7"/>
  <c r="BM9" i="7" s="1"/>
  <c r="AC38" i="7"/>
  <c r="Z9" i="7" s="1"/>
  <c r="BD75" i="7"/>
  <c r="FX9" i="7" s="1"/>
  <c r="AD24" i="9"/>
  <c r="AC24" i="9" s="1"/>
  <c r="AD106" i="9"/>
  <c r="AC106" i="9" s="1"/>
  <c r="AD30" i="9"/>
  <c r="AC30" i="9" s="1"/>
  <c r="BN50" i="9"/>
  <c r="AC132" i="7"/>
  <c r="DP9" i="7" s="1"/>
  <c r="AC127" i="7"/>
  <c r="DK9" i="7" s="1"/>
  <c r="AC76" i="7"/>
  <c r="BL9" i="7" s="1"/>
  <c r="BD92" i="7"/>
  <c r="GO9" i="7" s="1"/>
  <c r="AC71" i="7"/>
  <c r="BG9" i="7" s="1"/>
  <c r="BD45" i="7"/>
  <c r="ET9" i="7" s="1"/>
  <c r="AC49" i="7"/>
  <c r="AK9" i="7" s="1"/>
  <c r="AC131" i="7"/>
  <c r="DO9" i="7" s="1"/>
  <c r="AC48" i="7"/>
  <c r="AJ9" i="7" s="1"/>
  <c r="AC34" i="7"/>
  <c r="V9" i="7" s="1"/>
  <c r="AC104" i="7"/>
  <c r="CN9" i="7" s="1"/>
  <c r="AC68" i="7"/>
  <c r="BD9" i="7" s="1"/>
  <c r="BD57" i="7"/>
  <c r="FF9" i="7" s="1"/>
  <c r="AC69" i="7"/>
  <c r="BE9" i="7" s="1"/>
  <c r="BD77" i="7"/>
  <c r="FZ9" i="7" s="1"/>
  <c r="AC51" i="7"/>
  <c r="AM9" i="7" s="1"/>
  <c r="BD38" i="7"/>
  <c r="EM9" i="7" s="1"/>
  <c r="AD93" i="9"/>
  <c r="AC93" i="9" s="1"/>
  <c r="AD57" i="9"/>
  <c r="AC57" i="9" s="1"/>
  <c r="AD120" i="9"/>
  <c r="AC120" i="9" s="1"/>
  <c r="AC63" i="7"/>
  <c r="AY9" i="7" s="1"/>
  <c r="AC44" i="7"/>
  <c r="AF9" i="7" s="1"/>
  <c r="AC26" i="7"/>
  <c r="N9" i="7" s="1"/>
  <c r="BD132" i="7"/>
  <c r="IC9" i="7" s="1"/>
  <c r="BD127" i="7"/>
  <c r="HX9" i="7" s="1"/>
  <c r="AC101" i="7"/>
  <c r="CK9" i="7" s="1"/>
  <c r="BD76" i="7"/>
  <c r="FY9" i="7" s="1"/>
  <c r="AC41" i="7"/>
  <c r="AC9" i="7" s="1"/>
  <c r="BD71" i="7"/>
  <c r="FT9" i="7" s="1"/>
  <c r="BD49" i="7"/>
  <c r="EX9" i="7" s="1"/>
  <c r="BD131" i="7"/>
  <c r="IB9" i="7" s="1"/>
  <c r="AC39" i="7"/>
  <c r="AA9" i="7" s="1"/>
  <c r="BD48" i="7"/>
  <c r="EW9" i="7" s="1"/>
  <c r="BD34" i="7"/>
  <c r="EI9" i="7" s="1"/>
  <c r="BD104" i="7"/>
  <c r="HA9" i="7" s="1"/>
  <c r="BD68" i="7"/>
  <c r="FQ9" i="7" s="1"/>
  <c r="BD69" i="7"/>
  <c r="FR9" i="7" s="1"/>
  <c r="BD51" i="7"/>
  <c r="EZ9" i="7" s="1"/>
  <c r="AD115" i="9"/>
  <c r="AC115" i="9" s="1"/>
  <c r="AC62" i="7"/>
  <c r="AX9" i="7" s="1"/>
  <c r="BD63" i="7"/>
  <c r="FL9" i="7" s="1"/>
  <c r="AC60" i="7"/>
  <c r="AV9" i="7" s="1"/>
  <c r="AC53" i="7"/>
  <c r="AO9" i="7" s="1"/>
  <c r="AC94" i="7"/>
  <c r="CD9" i="7" s="1"/>
  <c r="AC83" i="7"/>
  <c r="BS9" i="7" s="1"/>
  <c r="BD44" i="7"/>
  <c r="ES9" i="7" s="1"/>
  <c r="BD26" i="7"/>
  <c r="EA9" i="7" s="1"/>
  <c r="AC80" i="7"/>
  <c r="BP9" i="7" s="1"/>
  <c r="BD101" i="7"/>
  <c r="GX9" i="7" s="1"/>
  <c r="BD41" i="7"/>
  <c r="EP9" i="7" s="1"/>
  <c r="BD39" i="7"/>
  <c r="EN9" i="7" s="1"/>
  <c r="AC56" i="7"/>
  <c r="AR9" i="7" s="1"/>
  <c r="AC70" i="7"/>
  <c r="BF9" i="7" s="1"/>
  <c r="AD104" i="9"/>
  <c r="AC104" i="9" s="1"/>
  <c r="AD111" i="9"/>
  <c r="AC111" i="9" s="1"/>
  <c r="BD62" i="7"/>
  <c r="FK9" i="7" s="1"/>
  <c r="BD60" i="7"/>
  <c r="FI9" i="7" s="1"/>
  <c r="BD53" i="7"/>
  <c r="FB9" i="7" s="1"/>
  <c r="BD94" i="7"/>
  <c r="GQ9" i="7" s="1"/>
  <c r="BD83" i="7"/>
  <c r="GF9" i="7" s="1"/>
  <c r="BD80" i="7"/>
  <c r="GC9" i="7" s="1"/>
  <c r="AC109" i="7"/>
  <c r="CS9" i="7" s="1"/>
  <c r="BD56" i="7"/>
  <c r="FE9" i="7" s="1"/>
  <c r="BD70" i="7"/>
  <c r="FS9" i="7" s="1"/>
  <c r="AD75" i="9"/>
  <c r="AC75" i="9" s="1"/>
  <c r="AC96" i="7"/>
  <c r="CF9" i="7" s="1"/>
  <c r="AC110" i="7"/>
  <c r="CT9" i="7" s="1"/>
  <c r="AC115" i="7"/>
  <c r="CY9" i="7" s="1"/>
  <c r="AC29" i="7"/>
  <c r="Q9" i="7" s="1"/>
  <c r="BD109" i="7"/>
  <c r="HF9" i="7" s="1"/>
  <c r="AC91" i="7"/>
  <c r="CA9" i="7" s="1"/>
  <c r="AD80" i="9"/>
  <c r="AC80" i="9" s="1"/>
  <c r="AD31" i="9"/>
  <c r="AC31" i="9" s="1"/>
  <c r="AD116" i="9"/>
  <c r="AC116" i="9" s="1"/>
  <c r="AD97" i="9"/>
  <c r="AC97" i="9" s="1"/>
  <c r="AD87" i="9"/>
  <c r="AC87" i="9" s="1"/>
  <c r="AD58" i="9"/>
  <c r="AC58" i="9" s="1"/>
  <c r="BL66" i="9"/>
  <c r="BD96" i="7"/>
  <c r="GS9" i="7" s="1"/>
  <c r="BD110" i="7"/>
  <c r="HG9" i="7" s="1"/>
  <c r="AC103" i="7"/>
  <c r="CM9" i="7" s="1"/>
  <c r="BD115" i="7"/>
  <c r="HL9" i="7" s="1"/>
  <c r="AC72" i="7"/>
  <c r="BH9" i="7" s="1"/>
  <c r="BD29" i="7"/>
  <c r="ED9" i="7" s="1"/>
  <c r="AC97" i="7"/>
  <c r="CG9" i="7" s="1"/>
  <c r="AC89" i="7"/>
  <c r="BY9" i="7" s="1"/>
  <c r="AC79" i="7"/>
  <c r="BO9" i="7" s="1"/>
  <c r="AC27" i="7"/>
  <c r="O9" i="7" s="1"/>
  <c r="BD91" i="7"/>
  <c r="GN9" i="7" s="1"/>
  <c r="AD55" i="9"/>
  <c r="AC55" i="9" s="1"/>
  <c r="AD88" i="9"/>
  <c r="AC88" i="9" s="1"/>
  <c r="AD32" i="9"/>
  <c r="AC32" i="9" s="1"/>
  <c r="AC73" i="7"/>
  <c r="BI9" i="7" s="1"/>
  <c r="BD103" i="7"/>
  <c r="GZ9" i="7" s="1"/>
  <c r="BD72" i="7"/>
  <c r="FU9" i="7" s="1"/>
  <c r="AC47" i="7"/>
  <c r="AI9" i="7" s="1"/>
  <c r="AC100" i="7"/>
  <c r="CJ9" i="7" s="1"/>
  <c r="AC93" i="7"/>
  <c r="CC9" i="7" s="1"/>
  <c r="BD97" i="7"/>
  <c r="GT9" i="7" s="1"/>
  <c r="AC84" i="7"/>
  <c r="BT9" i="7" s="1"/>
  <c r="BD89" i="7"/>
  <c r="GL9" i="7" s="1"/>
  <c r="BD79" i="7"/>
  <c r="GB9" i="7" s="1"/>
  <c r="BD27" i="7"/>
  <c r="EB9" i="7" s="1"/>
  <c r="AC123" i="7"/>
  <c r="DG9" i="7" s="1"/>
  <c r="AC108" i="7"/>
  <c r="CR9" i="7" s="1"/>
  <c r="AD92" i="9"/>
  <c r="AC92" i="9" s="1"/>
  <c r="AD20" i="9"/>
  <c r="AC20" i="9" s="1"/>
  <c r="AD35" i="9"/>
  <c r="AC35" i="9" s="1"/>
  <c r="AD114" i="9"/>
  <c r="AC114" i="9" s="1"/>
  <c r="AC106" i="7"/>
  <c r="CP9" i="7" s="1"/>
  <c r="AC66" i="7"/>
  <c r="BB9" i="7" s="1"/>
  <c r="BD73" i="7"/>
  <c r="FV9" i="7" s="1"/>
  <c r="BD47" i="7"/>
  <c r="EV9" i="7" s="1"/>
  <c r="BD100" i="7"/>
  <c r="GW9" i="7" s="1"/>
  <c r="BD93" i="7"/>
  <c r="GP9" i="7" s="1"/>
  <c r="AC111" i="7"/>
  <c r="CU9" i="7" s="1"/>
  <c r="BD84" i="7"/>
  <c r="GG9" i="7" s="1"/>
  <c r="AC81" i="7"/>
  <c r="BQ9" i="7" s="1"/>
  <c r="BD123" i="7"/>
  <c r="HT9" i="7" s="1"/>
  <c r="AC28" i="7"/>
  <c r="P9" i="7" s="1"/>
  <c r="BD108" i="7"/>
  <c r="HE9" i="7" s="1"/>
  <c r="AD96" i="9"/>
  <c r="AC96" i="9" s="1"/>
  <c r="AC105" i="7"/>
  <c r="CO9" i="7" s="1"/>
  <c r="BD106" i="7"/>
  <c r="HC9" i="7" s="1"/>
  <c r="BD66" i="7"/>
  <c r="FO9" i="7" s="1"/>
  <c r="AC43" i="7"/>
  <c r="AE9" i="7" s="1"/>
  <c r="AC107" i="7"/>
  <c r="CQ9" i="7" s="1"/>
  <c r="AC36" i="7"/>
  <c r="X9" i="7" s="1"/>
  <c r="BD111" i="7"/>
  <c r="HH9" i="7" s="1"/>
  <c r="BD81" i="7"/>
  <c r="GD9" i="7" s="1"/>
  <c r="BD28" i="7"/>
  <c r="EC9" i="7" s="1"/>
  <c r="AC117" i="7"/>
  <c r="DA9" i="7" s="1"/>
  <c r="AD34" i="9"/>
  <c r="AC34" i="9" s="1"/>
  <c r="AD95" i="9"/>
  <c r="AC95" i="9" s="1"/>
  <c r="AD109" i="9"/>
  <c r="AC109" i="9" s="1"/>
  <c r="AC124" i="7"/>
  <c r="DH9" i="7" s="1"/>
  <c r="AC37" i="7"/>
  <c r="Y9" i="7" s="1"/>
  <c r="AC32" i="7"/>
  <c r="T9" i="7" s="1"/>
  <c r="AC88" i="7"/>
  <c r="BX9" i="7" s="1"/>
  <c r="BD105" i="7"/>
  <c r="HB9" i="7" s="1"/>
  <c r="BD43" i="7"/>
  <c r="ER9" i="7" s="1"/>
  <c r="BD107" i="7"/>
  <c r="HD9" i="7" s="1"/>
  <c r="BD36" i="7"/>
  <c r="EK9" i="7" s="1"/>
  <c r="AC121" i="7"/>
  <c r="DE9" i="7" s="1"/>
  <c r="AC40" i="7"/>
  <c r="AB9" i="7" s="1"/>
  <c r="AC112" i="7"/>
  <c r="CV9" i="7" s="1"/>
  <c r="AC52" i="7"/>
  <c r="AN9" i="7" s="1"/>
  <c r="BD117" i="7"/>
  <c r="HN9" i="7" s="1"/>
  <c r="AC65" i="7"/>
  <c r="BA9" i="7" s="1"/>
  <c r="AD119" i="9"/>
  <c r="AC119" i="9" s="1"/>
  <c r="AD91" i="9"/>
  <c r="AC91" i="9" s="1"/>
  <c r="AD33" i="9"/>
  <c r="AC33" i="9" s="1"/>
  <c r="AD38" i="9"/>
  <c r="AC38" i="9" s="1"/>
  <c r="BD124" i="7"/>
  <c r="HU9" i="7" s="1"/>
  <c r="BD37" i="7"/>
  <c r="EL9" i="7" s="1"/>
  <c r="AC98" i="7"/>
  <c r="CH9" i="7" s="1"/>
  <c r="BD129" i="7"/>
  <c r="HZ9" i="7" s="1"/>
  <c r="BD32" i="7"/>
  <c r="EG9" i="7" s="1"/>
  <c r="BD88" i="7"/>
  <c r="GK9" i="7" s="1"/>
  <c r="AC114" i="7"/>
  <c r="CX9" i="7" s="1"/>
  <c r="AC30" i="7"/>
  <c r="R9" i="7" s="1"/>
  <c r="AC61" i="7"/>
  <c r="AW9" i="7" s="1"/>
  <c r="AC116" i="7"/>
  <c r="CZ9" i="7" s="1"/>
  <c r="BD121" i="7"/>
  <c r="HR9" i="7" s="1"/>
  <c r="BD40" i="7"/>
  <c r="EO9" i="7" s="1"/>
  <c r="AC46" i="7"/>
  <c r="AH9" i="7" s="1"/>
  <c r="AC87" i="7"/>
  <c r="BW9" i="7" s="1"/>
  <c r="AC128" i="7"/>
  <c r="DL9" i="7" s="1"/>
  <c r="BD112" i="7"/>
  <c r="HI9" i="7" s="1"/>
  <c r="BD52" i="7"/>
  <c r="FA9" i="7" s="1"/>
  <c r="BD65" i="7"/>
  <c r="FN9" i="7" s="1"/>
  <c r="AC90" i="7"/>
  <c r="BZ9" i="7" s="1"/>
  <c r="BD98" i="7"/>
  <c r="GU9" i="7" s="1"/>
  <c r="AC99" i="7"/>
  <c r="CI9" i="7" s="1"/>
  <c r="BD114" i="7"/>
  <c r="HK9" i="7" s="1"/>
  <c r="BD30" i="7"/>
  <c r="EE9" i="7" s="1"/>
  <c r="BD61" i="7"/>
  <c r="FJ9" i="7" s="1"/>
  <c r="AC78" i="7"/>
  <c r="BN9" i="7" s="1"/>
  <c r="BD116" i="7"/>
  <c r="HM9" i="7" s="1"/>
  <c r="AC42" i="7"/>
  <c r="AD9" i="7" s="1"/>
  <c r="AC95" i="7"/>
  <c r="CE9" i="7" s="1"/>
  <c r="AC35" i="7"/>
  <c r="W9" i="7" s="1"/>
  <c r="AC126" i="7"/>
  <c r="DJ9" i="7" s="1"/>
  <c r="AC55" i="7"/>
  <c r="AQ9" i="7" s="1"/>
  <c r="BD46" i="7"/>
  <c r="EU9" i="7" s="1"/>
  <c r="BD87" i="7"/>
  <c r="GJ9" i="7" s="1"/>
  <c r="AC64" i="7"/>
  <c r="AZ9" i="7" s="1"/>
  <c r="BD128" i="7"/>
  <c r="HY9" i="7" s="1"/>
  <c r="AC58" i="7"/>
  <c r="AT9" i="7" s="1"/>
  <c r="BD90" i="7"/>
  <c r="GM9" i="7" s="1"/>
  <c r="AD82" i="9"/>
  <c r="AC82" i="9" s="1"/>
  <c r="AD89" i="9"/>
  <c r="AC89" i="9" s="1"/>
  <c r="AD90" i="9"/>
  <c r="AC90" i="9" s="1"/>
  <c r="AC59" i="7"/>
  <c r="AU9" i="7" s="1"/>
  <c r="BD78" i="7"/>
  <c r="GA9" i="7" s="1"/>
  <c r="BD42" i="7"/>
  <c r="EQ9" i="7" s="1"/>
  <c r="BD95" i="7"/>
  <c r="GR9" i="7" s="1"/>
  <c r="BD35" i="7"/>
  <c r="EJ9" i="7" s="1"/>
  <c r="BD126" i="7"/>
  <c r="HW9" i="7" s="1"/>
  <c r="BD55" i="7"/>
  <c r="FD9" i="7" s="1"/>
  <c r="AC119" i="7"/>
  <c r="DC9" i="7" s="1"/>
  <c r="AC86" i="7"/>
  <c r="BV9" i="7" s="1"/>
  <c r="AC122" i="7"/>
  <c r="DF9" i="7" s="1"/>
  <c r="BD64" i="7"/>
  <c r="FM9" i="7" s="1"/>
  <c r="BD58" i="7"/>
  <c r="FG9" i="7" s="1"/>
  <c r="AD28" i="9"/>
  <c r="AC28" i="9" s="1"/>
  <c r="AD27" i="9"/>
  <c r="AC27" i="9" s="1"/>
  <c r="AD26" i="9"/>
  <c r="AC26" i="9" s="1"/>
  <c r="AD25" i="9"/>
  <c r="AC25" i="9" s="1"/>
  <c r="AD23" i="9"/>
  <c r="AC23" i="9" s="1"/>
  <c r="AD22" i="9"/>
  <c r="AC22" i="9" s="1"/>
  <c r="AD21" i="9"/>
  <c r="AC21" i="9" s="1"/>
  <c r="AD19" i="9"/>
  <c r="AC19" i="9" s="1"/>
  <c r="AD18" i="9"/>
  <c r="AC18" i="9" s="1"/>
  <c r="AD86" i="9"/>
  <c r="AC86" i="9" s="1"/>
  <c r="AD85" i="9"/>
  <c r="AC85" i="9" s="1"/>
  <c r="AD84" i="9"/>
  <c r="AC84" i="9" s="1"/>
  <c r="AD83" i="9"/>
  <c r="AC83" i="9" s="1"/>
  <c r="AD81" i="9"/>
  <c r="AC81" i="9" s="1"/>
  <c r="AD79" i="9"/>
  <c r="AC79" i="9" s="1"/>
  <c r="AD78" i="9"/>
  <c r="AC78" i="9" s="1"/>
  <c r="AD77" i="9"/>
  <c r="AC77" i="9" s="1"/>
  <c r="AD76" i="9"/>
  <c r="AC76" i="9" s="1"/>
  <c r="AD74" i="9"/>
  <c r="AC74" i="9" s="1"/>
  <c r="AD73" i="9"/>
  <c r="AC73" i="9" s="1"/>
  <c r="AD72" i="9"/>
  <c r="AC72" i="9" s="1"/>
  <c r="AD71" i="9"/>
  <c r="AC71" i="9" s="1"/>
  <c r="AD69" i="9"/>
  <c r="AC69" i="9" s="1"/>
  <c r="AD68" i="9"/>
  <c r="AC68" i="9" s="1"/>
  <c r="AD67" i="9"/>
  <c r="AC67" i="9" s="1"/>
  <c r="AD66" i="9"/>
  <c r="AC66" i="9" s="1"/>
  <c r="AD65" i="9"/>
  <c r="AC65" i="9" s="1"/>
  <c r="AD64" i="9"/>
  <c r="AC64" i="9" s="1"/>
  <c r="AD63" i="9"/>
  <c r="AC63" i="9" s="1"/>
  <c r="AD17" i="9"/>
  <c r="AC17" i="9" s="1"/>
  <c r="AD16" i="9"/>
  <c r="AC16" i="9" s="1"/>
  <c r="AD15" i="9"/>
  <c r="AC15" i="9" s="1"/>
  <c r="AD14" i="9"/>
  <c r="AC14" i="9" s="1"/>
  <c r="AD13" i="9"/>
  <c r="AC13" i="9" s="1"/>
  <c r="AD12" i="9"/>
  <c r="AC12" i="9" s="1"/>
  <c r="AD11" i="9"/>
  <c r="AC11" i="9" s="1"/>
  <c r="AD102" i="9"/>
  <c r="AC102" i="9" s="1"/>
  <c r="AD101" i="9"/>
  <c r="AC101" i="9" s="1"/>
  <c r="AD100" i="9"/>
  <c r="AC100" i="9" s="1"/>
  <c r="AD99" i="9"/>
  <c r="AC99" i="9" s="1"/>
  <c r="AD98" i="9"/>
  <c r="AC98" i="9" s="1"/>
  <c r="AD50" i="9"/>
  <c r="AC50" i="9" s="1"/>
  <c r="AD49" i="9"/>
  <c r="AC49" i="9" s="1"/>
  <c r="AD48" i="9"/>
  <c r="AC48" i="9" s="1"/>
  <c r="AD47" i="9"/>
  <c r="AC47" i="9" s="1"/>
  <c r="AD46" i="9"/>
  <c r="AC46" i="9" s="1"/>
  <c r="AD45" i="9"/>
  <c r="AC45" i="9" s="1"/>
  <c r="AD44" i="9"/>
  <c r="AC44" i="9" s="1"/>
  <c r="AD43" i="9"/>
  <c r="AC43" i="9" s="1"/>
  <c r="AD42" i="9"/>
  <c r="AC42" i="9" s="1"/>
  <c r="AD41" i="9"/>
  <c r="AC41" i="9" s="1"/>
  <c r="AD40" i="9"/>
  <c r="AC40" i="9" s="1"/>
  <c r="AD36" i="9"/>
  <c r="AC36" i="9" s="1"/>
  <c r="AD121" i="9"/>
  <c r="AC121" i="9" s="1"/>
  <c r="AD117" i="9"/>
  <c r="AC117" i="9" s="1"/>
  <c r="AD113" i="9"/>
  <c r="AC113" i="9" s="1"/>
  <c r="AD112" i="9"/>
  <c r="AC112" i="9" s="1"/>
  <c r="AD108" i="9"/>
  <c r="AC108" i="9" s="1"/>
  <c r="AD107" i="9"/>
  <c r="AC107" i="9" s="1"/>
  <c r="AD103" i="9"/>
  <c r="AC103" i="9" s="1"/>
  <c r="AD62" i="9"/>
  <c r="AC62" i="9" s="1"/>
  <c r="AD61" i="9"/>
  <c r="AC61" i="9" s="1"/>
  <c r="AD60" i="9"/>
  <c r="AC60" i="9" s="1"/>
  <c r="AD56" i="9"/>
  <c r="AC56" i="9" s="1"/>
  <c r="AD54" i="9"/>
  <c r="AC54" i="9" s="1"/>
  <c r="AD53" i="9"/>
  <c r="AC53" i="9" s="1"/>
  <c r="AD52" i="9"/>
  <c r="AC52" i="9" s="1"/>
  <c r="AD51" i="9"/>
  <c r="AF110" i="9"/>
  <c r="AI70" i="9"/>
  <c r="AI11" i="9"/>
  <c r="AG110" i="9"/>
  <c r="AE57" i="9"/>
  <c r="AI72" i="9"/>
  <c r="AF113" i="9"/>
  <c r="AI8" i="9"/>
  <c r="AG75" i="9"/>
  <c r="AE7" i="9"/>
  <c r="AG41" i="9"/>
  <c r="AF45" i="9"/>
  <c r="AG7" i="9"/>
  <c r="AF107" i="9"/>
  <c r="AF100" i="9"/>
  <c r="AG94" i="9"/>
  <c r="AE92" i="9"/>
  <c r="AH87" i="9"/>
  <c r="AI38" i="9"/>
  <c r="AE37" i="9"/>
  <c r="AG37" i="9"/>
  <c r="AH36" i="9"/>
  <c r="AE10" i="9"/>
  <c r="AE9" i="9"/>
  <c r="AF43" i="9"/>
  <c r="AH57" i="9"/>
  <c r="AF8" i="9"/>
  <c r="AG57" i="9"/>
  <c r="AF94" i="9"/>
  <c r="AF30" i="9"/>
  <c r="AG47" i="9"/>
  <c r="AG109" i="9"/>
  <c r="AH47" i="9"/>
  <c r="AF106" i="9"/>
  <c r="AG10" i="9"/>
  <c r="AG8" i="9"/>
  <c r="AE87" i="9"/>
  <c r="AI109" i="9"/>
  <c r="AF109" i="9"/>
  <c r="AH109" i="9"/>
  <c r="AE109" i="9"/>
  <c r="AE8" i="9"/>
  <c r="AF57" i="9"/>
  <c r="AI30" i="9"/>
  <c r="AG30" i="9"/>
  <c r="AG106" i="9"/>
  <c r="AI87" i="9"/>
  <c r="AH8" i="9"/>
  <c r="AG87" i="9"/>
  <c r="AE94" i="9"/>
  <c r="AF87" i="9"/>
  <c r="AH94" i="9"/>
  <c r="AI94" i="9"/>
  <c r="AI106" i="9"/>
  <c r="AI41" i="9"/>
  <c r="AH30" i="9"/>
  <c r="AI57" i="9"/>
  <c r="AE106" i="9"/>
  <c r="AH106" i="9"/>
  <c r="AE30" i="9"/>
  <c r="AH7" i="9"/>
  <c r="AF7" i="9"/>
  <c r="AI9" i="9"/>
  <c r="AF9" i="9"/>
  <c r="AG9" i="9"/>
  <c r="AH9" i="9"/>
  <c r="AF10" i="9"/>
  <c r="AI10" i="9"/>
  <c r="AE24" i="9"/>
  <c r="AF20" i="9"/>
  <c r="AG95" i="9"/>
  <c r="AF83" i="9"/>
  <c r="AI93" i="9"/>
  <c r="AG90" i="9"/>
  <c r="AE93" i="9"/>
  <c r="AG96" i="9"/>
  <c r="AI50" i="9"/>
  <c r="AH39" i="9"/>
  <c r="AI14" i="9"/>
  <c r="AI113" i="9"/>
  <c r="AI97" i="9"/>
  <c r="AG88" i="9"/>
  <c r="AH92" i="9"/>
  <c r="AI96" i="9"/>
  <c r="AF24" i="9"/>
  <c r="AI39" i="9"/>
  <c r="AI68" i="9"/>
  <c r="AI86" i="9"/>
  <c r="AG102" i="9"/>
  <c r="AH81" i="9"/>
  <c r="AG40" i="9"/>
  <c r="AI55" i="9"/>
  <c r="AF93" i="9"/>
  <c r="AG93" i="9"/>
  <c r="AH95" i="9"/>
  <c r="AI92" i="9"/>
  <c r="AE55" i="9"/>
  <c r="AH93" i="9"/>
  <c r="AI90" i="9"/>
  <c r="AF95" i="9"/>
  <c r="AF96" i="9"/>
  <c r="AH96" i="9"/>
  <c r="AI95" i="9"/>
  <c r="AI99" i="9"/>
  <c r="AE96" i="9"/>
  <c r="AH24" i="9"/>
  <c r="AI20" i="9"/>
  <c r="AI24" i="9"/>
  <c r="AE95" i="9"/>
  <c r="AH20" i="9"/>
  <c r="AG34" i="9"/>
  <c r="AF92" i="9"/>
  <c r="AG24" i="9"/>
  <c r="AI88" i="9"/>
  <c r="AG92" i="9"/>
  <c r="AE20" i="9"/>
  <c r="AF90" i="9"/>
  <c r="AE73" i="9"/>
  <c r="AH90" i="9"/>
  <c r="AG55" i="9"/>
  <c r="AF55" i="9"/>
  <c r="AE90" i="9"/>
  <c r="AI51" i="9"/>
  <c r="AH55" i="9"/>
  <c r="AI59" i="9"/>
  <c r="AH114" i="9"/>
  <c r="AI112" i="9"/>
  <c r="AE111" i="9"/>
  <c r="AE110" i="9"/>
  <c r="AI110" i="9"/>
  <c r="AI104" i="9"/>
  <c r="AG104" i="9"/>
  <c r="AE104" i="9"/>
  <c r="AE83" i="9"/>
  <c r="AE65" i="9"/>
  <c r="AE59" i="9"/>
  <c r="AF47" i="9"/>
  <c r="AE47" i="9"/>
  <c r="AI47" i="9"/>
  <c r="AH43" i="9"/>
  <c r="AG43" i="9"/>
  <c r="AE43" i="9"/>
  <c r="AI43" i="9"/>
  <c r="AH41" i="9"/>
  <c r="AE41" i="9"/>
  <c r="AF41" i="9"/>
  <c r="AE38" i="9"/>
  <c r="AG38" i="9"/>
  <c r="AF38" i="9"/>
  <c r="AH38" i="9"/>
  <c r="AH33" i="9"/>
  <c r="AI15" i="9"/>
  <c r="AG14" i="9"/>
  <c r="AF12" i="9"/>
  <c r="AE11" i="9"/>
  <c r="AF118" i="9"/>
  <c r="AE22" i="9"/>
  <c r="AG98" i="9"/>
  <c r="AG74" i="9"/>
  <c r="AE120" i="9"/>
  <c r="AH54" i="9"/>
  <c r="AG29" i="9"/>
  <c r="AF22" i="9"/>
  <c r="AE17" i="9"/>
  <c r="AE44" i="9"/>
  <c r="AH59" i="9"/>
  <c r="AG112" i="9"/>
  <c r="AE63" i="9"/>
  <c r="AH107" i="9"/>
  <c r="AG17" i="9"/>
  <c r="AF97" i="9"/>
  <c r="AE118" i="9"/>
  <c r="AI31" i="9"/>
  <c r="AI80" i="9"/>
  <c r="AE31" i="9"/>
  <c r="AE97" i="9"/>
  <c r="AF17" i="9"/>
  <c r="AH40" i="9"/>
  <c r="AE70" i="9"/>
  <c r="AE62" i="9"/>
  <c r="AG26" i="9"/>
  <c r="AE98" i="9"/>
  <c r="AI33" i="9"/>
  <c r="AF16" i="9"/>
  <c r="AH101" i="9"/>
  <c r="AG15" i="9"/>
  <c r="AF81" i="9"/>
  <c r="AI111" i="9"/>
  <c r="AE88" i="9"/>
  <c r="AI121" i="9"/>
  <c r="AE12" i="9"/>
  <c r="AE101" i="9"/>
  <c r="AE45" i="9"/>
  <c r="AI18" i="9"/>
  <c r="AE77" i="9"/>
  <c r="AH12" i="9"/>
  <c r="AE75" i="9"/>
  <c r="AH88" i="9"/>
  <c r="AG111" i="9"/>
  <c r="AF34" i="9"/>
  <c r="AH116" i="9"/>
  <c r="AE91" i="9"/>
  <c r="AE33" i="9"/>
  <c r="AH31" i="9"/>
  <c r="AG12" i="9"/>
  <c r="AH65" i="9"/>
  <c r="AH102" i="9"/>
  <c r="AI23" i="9"/>
  <c r="AI45" i="9"/>
  <c r="AI17" i="9"/>
  <c r="AE19" i="9"/>
  <c r="AG97" i="9"/>
  <c r="AF88" i="9"/>
  <c r="AG16" i="9"/>
  <c r="AG81" i="9"/>
  <c r="AF14" i="9"/>
  <c r="AI46" i="9"/>
  <c r="AG122" i="9"/>
  <c r="AF111" i="9"/>
  <c r="AG105" i="9"/>
  <c r="AH77" i="9"/>
  <c r="AE46" i="9"/>
  <c r="AH97" i="9"/>
  <c r="AI12" i="9"/>
  <c r="AF31" i="9"/>
  <c r="AI81" i="9"/>
  <c r="AE16" i="9"/>
  <c r="AI16" i="9"/>
  <c r="AH119" i="9"/>
  <c r="AH16" i="9"/>
  <c r="AH111" i="9"/>
  <c r="AG31" i="9"/>
  <c r="AE81" i="9"/>
  <c r="AF104" i="9"/>
  <c r="AF44" i="9"/>
  <c r="AE122" i="9"/>
  <c r="AG33" i="9"/>
  <c r="AE14" i="9"/>
  <c r="AH17" i="9"/>
  <c r="AH14" i="9"/>
  <c r="AF33" i="9"/>
  <c r="AI53" i="9"/>
  <c r="AH104" i="9"/>
  <c r="AG99" i="9"/>
  <c r="AH71" i="9"/>
  <c r="AE48" i="9"/>
  <c r="AE60" i="9"/>
  <c r="AI42" i="9"/>
  <c r="AI61" i="9"/>
  <c r="AF89" i="9"/>
  <c r="AE115" i="9"/>
  <c r="AG11" i="9"/>
  <c r="AI118" i="9"/>
  <c r="AF46" i="9"/>
  <c r="AH63" i="9"/>
  <c r="AE25" i="9"/>
  <c r="AE86" i="9"/>
  <c r="AE108" i="9"/>
  <c r="AI44" i="9"/>
  <c r="AI91" i="9"/>
  <c r="AG79" i="9"/>
  <c r="AF117" i="9"/>
  <c r="AI52" i="9"/>
  <c r="AF112" i="9"/>
  <c r="AI74" i="9"/>
  <c r="AF63" i="9"/>
  <c r="AH37" i="9"/>
  <c r="AI13" i="9"/>
  <c r="AI67" i="9"/>
  <c r="AF122" i="9"/>
  <c r="AE49" i="9"/>
  <c r="AF69" i="9"/>
  <c r="AI29" i="9"/>
  <c r="AE68" i="9"/>
  <c r="AE117" i="9"/>
  <c r="AG13" i="9"/>
  <c r="AF64" i="9"/>
  <c r="AH69" i="9"/>
  <c r="AF56" i="9"/>
  <c r="AG19" i="9"/>
  <c r="AH29" i="9"/>
  <c r="AG59" i="9"/>
  <c r="AE112" i="9"/>
  <c r="AI65" i="9"/>
  <c r="AF23" i="9"/>
  <c r="AF50" i="9"/>
  <c r="AH91" i="9"/>
  <c r="AI49" i="9"/>
  <c r="AE56" i="9"/>
  <c r="AG63" i="9"/>
  <c r="AG50" i="9"/>
  <c r="AI22" i="9"/>
  <c r="AI34" i="9"/>
  <c r="AH52" i="9"/>
  <c r="AH34" i="9"/>
  <c r="AH84" i="9"/>
  <c r="AI73" i="9"/>
  <c r="AE76" i="9"/>
  <c r="AE78" i="9"/>
  <c r="AI54" i="9"/>
  <c r="AG80" i="9"/>
  <c r="AE80" i="9"/>
  <c r="AG72" i="9"/>
  <c r="AH62" i="9"/>
  <c r="AF68" i="9"/>
  <c r="AG32" i="9"/>
  <c r="AE116" i="9"/>
  <c r="AH27" i="9"/>
  <c r="AG22" i="9"/>
  <c r="AG46" i="9"/>
  <c r="AF13" i="9"/>
  <c r="AF26" i="9"/>
  <c r="AF59" i="9"/>
  <c r="AF40" i="9"/>
  <c r="AH48" i="9"/>
  <c r="AE36" i="9"/>
  <c r="AI115" i="9"/>
  <c r="AF29" i="9"/>
  <c r="AE103" i="9"/>
  <c r="AG65" i="9"/>
  <c r="AF115" i="9"/>
  <c r="AG86" i="9"/>
  <c r="AH13" i="9"/>
  <c r="AF48" i="9"/>
  <c r="AE58" i="9"/>
  <c r="AH26" i="9"/>
  <c r="AF36" i="9"/>
  <c r="AE28" i="9"/>
  <c r="AI119" i="9"/>
  <c r="AI114" i="9"/>
  <c r="AH83" i="9"/>
  <c r="AF42" i="9"/>
  <c r="AG61" i="9"/>
  <c r="AG108" i="9"/>
  <c r="AG120" i="9"/>
  <c r="AG66" i="9"/>
  <c r="AG69" i="9"/>
  <c r="AF28" i="9"/>
  <c r="AE26" i="9"/>
  <c r="AF82" i="9"/>
  <c r="AE51" i="9"/>
  <c r="AF58" i="9"/>
  <c r="AH66" i="9"/>
  <c r="AE32" i="9"/>
  <c r="AF51" i="9"/>
  <c r="AF102" i="9"/>
  <c r="AF60" i="9"/>
  <c r="AE35" i="9"/>
  <c r="AF120" i="9"/>
  <c r="AI19" i="9"/>
  <c r="AE100" i="9"/>
  <c r="AE74" i="9"/>
  <c r="AH46" i="9"/>
  <c r="AH103" i="9"/>
  <c r="AI69" i="9"/>
  <c r="AG114" i="9"/>
  <c r="AI77" i="9"/>
  <c r="AF86" i="9"/>
  <c r="AG23" i="9"/>
  <c r="AE114" i="9"/>
  <c r="AF18" i="9"/>
  <c r="AH115" i="9"/>
  <c r="AE69" i="9"/>
  <c r="AH23" i="9"/>
  <c r="AG54" i="9"/>
  <c r="AH42" i="9"/>
  <c r="AE64" i="9"/>
  <c r="AI75" i="9"/>
  <c r="AF27" i="9"/>
  <c r="AG56" i="9"/>
  <c r="AH112" i="9"/>
  <c r="AI35" i="9"/>
  <c r="AG89" i="9"/>
  <c r="AF70" i="9"/>
  <c r="AF114" i="9"/>
  <c r="AE99" i="9"/>
  <c r="AG117" i="9"/>
  <c r="AF19" i="9"/>
  <c r="AI82" i="9"/>
  <c r="AF53" i="9"/>
  <c r="AE52" i="9"/>
  <c r="AE72" i="9"/>
  <c r="AH53" i="9"/>
  <c r="AF77" i="9"/>
  <c r="AF21" i="9"/>
  <c r="AE61" i="9"/>
  <c r="AI108" i="9"/>
  <c r="AE15" i="9"/>
  <c r="AF54" i="9"/>
  <c r="AH35" i="9"/>
  <c r="AG115" i="9"/>
  <c r="AG35" i="9"/>
  <c r="AE18" i="9"/>
  <c r="AG101" i="9"/>
  <c r="AI66" i="9"/>
  <c r="AI36" i="9"/>
  <c r="AF39" i="9"/>
  <c r="AE34" i="9"/>
  <c r="AG28" i="9"/>
  <c r="AE121" i="9"/>
  <c r="AF73" i="9"/>
  <c r="AI25" i="9"/>
  <c r="AG76" i="9"/>
  <c r="AE85" i="9"/>
  <c r="AH67" i="9"/>
  <c r="AH15" i="9"/>
  <c r="AF25" i="9"/>
  <c r="AF35" i="9"/>
  <c r="AE21" i="9"/>
  <c r="AI71" i="9"/>
  <c r="AF85" i="9"/>
  <c r="AE79" i="9"/>
  <c r="AG64" i="9"/>
  <c r="AE23" i="9"/>
  <c r="AE40" i="9"/>
  <c r="AI60" i="9"/>
  <c r="AE102" i="9"/>
  <c r="AE119" i="9"/>
  <c r="AF66" i="9"/>
  <c r="AI48" i="9"/>
  <c r="AG36" i="9"/>
  <c r="AG49" i="9"/>
  <c r="AG119" i="9"/>
  <c r="AH121" i="9"/>
  <c r="AI98" i="9"/>
  <c r="AG25" i="9"/>
  <c r="AH61" i="9"/>
  <c r="AF75" i="9"/>
  <c r="AH105" i="9"/>
  <c r="AE66" i="9"/>
  <c r="AG48" i="9"/>
  <c r="AH22" i="9"/>
  <c r="AH45" i="9"/>
  <c r="AH56" i="9"/>
  <c r="AF72" i="9"/>
  <c r="AF32" i="9"/>
  <c r="AI116" i="9"/>
  <c r="AE53" i="9"/>
  <c r="AG71" i="9"/>
  <c r="AH117" i="9"/>
  <c r="AG27" i="9"/>
  <c r="AF91" i="9"/>
  <c r="AI56" i="9"/>
  <c r="AI122" i="9"/>
  <c r="AI89" i="9"/>
  <c r="AF62" i="9"/>
  <c r="AG91" i="9"/>
  <c r="AI79" i="9"/>
  <c r="AF121" i="9"/>
  <c r="AI103" i="9"/>
  <c r="AF67" i="9"/>
  <c r="AI21" i="9"/>
  <c r="AI40" i="9"/>
  <c r="AG18" i="9"/>
  <c r="AH98" i="9"/>
  <c r="AF78" i="9"/>
  <c r="AG103" i="9"/>
  <c r="AF71" i="9"/>
  <c r="AF116" i="9"/>
  <c r="AH68" i="9"/>
  <c r="AG44" i="9"/>
  <c r="AF74" i="9"/>
  <c r="AH79" i="9"/>
  <c r="AF105" i="9"/>
  <c r="AG113" i="9"/>
  <c r="AI84" i="9"/>
  <c r="AE50" i="9"/>
  <c r="AH32" i="9"/>
  <c r="AH50" i="9"/>
  <c r="AH78" i="9"/>
  <c r="AF108" i="9"/>
  <c r="AH73" i="9"/>
  <c r="AG121" i="9"/>
  <c r="AH100" i="9"/>
  <c r="AE82" i="9"/>
  <c r="AH80" i="9"/>
  <c r="AG45" i="9"/>
  <c r="AI32" i="9"/>
  <c r="AH19" i="9"/>
  <c r="AE89" i="9"/>
  <c r="AH70" i="9"/>
  <c r="AI37" i="9"/>
  <c r="AF11" i="9"/>
  <c r="AG84" i="9"/>
  <c r="AI27" i="9"/>
  <c r="AI83" i="9"/>
  <c r="AH86" i="9"/>
  <c r="AG58" i="9"/>
  <c r="AH72" i="9"/>
  <c r="AE105" i="9"/>
  <c r="AI120" i="9"/>
  <c r="AG39" i="9"/>
  <c r="AG85" i="9"/>
  <c r="AH64" i="9"/>
  <c r="AE113" i="9"/>
  <c r="AI117" i="9"/>
  <c r="AG73" i="9"/>
  <c r="AF79" i="9"/>
  <c r="AF84" i="9"/>
  <c r="AH113" i="9"/>
  <c r="AG60" i="9"/>
  <c r="AE54" i="9"/>
  <c r="AH51" i="9"/>
  <c r="AG107" i="9"/>
  <c r="AG83" i="9"/>
  <c r="AF76" i="9"/>
  <c r="AG78" i="9"/>
  <c r="AI100" i="9"/>
  <c r="AE84" i="9"/>
  <c r="AH99" i="9"/>
  <c r="AH89" i="9"/>
  <c r="AH120" i="9"/>
  <c r="AI101" i="9"/>
  <c r="AG70" i="9"/>
  <c r="AE39" i="9"/>
  <c r="AF37" i="9"/>
  <c r="AG100" i="9"/>
  <c r="AG82" i="9"/>
  <c r="AG77" i="9"/>
  <c r="AF99" i="9"/>
  <c r="AF49" i="9"/>
  <c r="AH60" i="9"/>
  <c r="AE13" i="9"/>
  <c r="AG68" i="9"/>
  <c r="AF15" i="9"/>
  <c r="AI102" i="9"/>
  <c r="AI78" i="9"/>
  <c r="AF103" i="9"/>
  <c r="AE71" i="9"/>
  <c r="AH76" i="9"/>
  <c r="AI64" i="9"/>
  <c r="AH74" i="9"/>
  <c r="AH11" i="9"/>
  <c r="AG51" i="9"/>
  <c r="AH122" i="9"/>
  <c r="C131" i="9"/>
  <c r="AE29" i="9"/>
  <c r="AI26" i="9"/>
  <c r="AE27" i="9"/>
  <c r="AH18" i="9"/>
  <c r="AF119" i="9"/>
  <c r="AG116" i="9"/>
  <c r="AF65" i="9"/>
  <c r="AH82" i="9"/>
  <c r="AF61" i="9"/>
  <c r="AI76" i="9"/>
  <c r="AH49" i="9"/>
  <c r="AH75" i="9"/>
  <c r="AE67" i="9"/>
  <c r="AI85" i="9"/>
  <c r="AF80" i="9"/>
  <c r="AE42" i="9"/>
  <c r="AE107" i="9"/>
  <c r="AH21" i="9"/>
  <c r="AH44" i="9"/>
  <c r="AH118" i="9"/>
  <c r="AH28" i="9"/>
  <c r="AG118" i="9"/>
  <c r="AI62" i="9"/>
  <c r="AF101" i="9"/>
  <c r="AI58" i="9"/>
  <c r="AH85" i="9"/>
  <c r="AG62" i="9"/>
  <c r="AI28" i="9"/>
  <c r="AF52" i="9"/>
  <c r="AF98" i="9"/>
  <c r="AG52" i="9"/>
  <c r="AI63" i="9"/>
  <c r="AH108" i="9"/>
  <c r="AH25" i="9"/>
  <c r="AG67" i="9"/>
  <c r="AI107" i="9"/>
  <c r="AG42" i="9"/>
  <c r="AG21" i="9"/>
  <c r="AG53" i="9"/>
  <c r="AI105" i="9"/>
  <c r="Y132" i="9"/>
  <c r="O136" i="9"/>
  <c r="O130" i="9"/>
  <c r="AB136" i="9"/>
  <c r="V137" i="9"/>
  <c r="D130" i="9"/>
  <c r="X130" i="9"/>
  <c r="Q130" i="9"/>
  <c r="N132" i="9"/>
  <c r="W130" i="9"/>
  <c r="X137" i="9"/>
  <c r="M134" i="9"/>
  <c r="N130" i="9"/>
  <c r="Y130" i="9"/>
  <c r="Y136" i="9"/>
  <c r="T135" i="9"/>
  <c r="T134" i="9"/>
  <c r="E130" i="9"/>
  <c r="Q132" i="9"/>
  <c r="N137" i="9"/>
  <c r="M133" i="9"/>
  <c r="Z130" i="9"/>
  <c r="J131" i="9"/>
  <c r="W136" i="9"/>
  <c r="F130" i="9"/>
  <c r="T132" i="9"/>
  <c r="H134" i="9"/>
  <c r="E132" i="9"/>
  <c r="L135" i="9"/>
  <c r="J135" i="9"/>
  <c r="L134" i="9"/>
  <c r="W132" i="9"/>
  <c r="P135" i="9"/>
  <c r="F133" i="9"/>
  <c r="X133" i="9"/>
  <c r="F135" i="9"/>
  <c r="R134" i="9"/>
  <c r="Z137" i="9"/>
  <c r="X136" i="9"/>
  <c r="P130" i="9"/>
  <c r="N136" i="9"/>
  <c r="D132" i="9"/>
  <c r="P131" i="9"/>
  <c r="S133" i="9"/>
  <c r="AA133" i="9"/>
  <c r="I136" i="9"/>
  <c r="I135" i="9"/>
  <c r="H135" i="9"/>
  <c r="H136" i="9"/>
  <c r="L131" i="9"/>
  <c r="V130" i="9"/>
  <c r="E133" i="9"/>
  <c r="J134" i="9"/>
  <c r="L136" i="9"/>
  <c r="AB132" i="9"/>
  <c r="Z133" i="9"/>
  <c r="W133" i="9"/>
  <c r="R136" i="9"/>
  <c r="I137" i="9"/>
  <c r="S135" i="9"/>
  <c r="U134" i="9"/>
  <c r="Q136" i="9"/>
  <c r="H131" i="9"/>
  <c r="N133" i="9"/>
  <c r="AB133" i="9"/>
  <c r="S130" i="9"/>
  <c r="G132" i="9"/>
  <c r="J136" i="9"/>
  <c r="X135" i="9"/>
  <c r="W134" i="9"/>
  <c r="Q137" i="9"/>
  <c r="F136" i="9"/>
  <c r="AA134" i="9"/>
  <c r="M137" i="9"/>
  <c r="F137" i="9"/>
  <c r="K134" i="9"/>
  <c r="G137" i="9"/>
  <c r="E136" i="9"/>
  <c r="U133" i="9"/>
  <c r="O135" i="9"/>
  <c r="O134" i="9"/>
  <c r="D135" i="9"/>
  <c r="Y134" i="9"/>
  <c r="K132" i="9"/>
  <c r="X134" i="9"/>
  <c r="T131" i="9"/>
  <c r="AA136" i="9"/>
  <c r="T133" i="9"/>
  <c r="AB137" i="9"/>
  <c r="AA131" i="9"/>
  <c r="E137" i="9"/>
  <c r="M132" i="9"/>
  <c r="Z131" i="9"/>
  <c r="H133" i="9"/>
  <c r="O137" i="9"/>
  <c r="E131" i="9"/>
  <c r="AB134" i="9"/>
  <c r="N131" i="9"/>
  <c r="Z135" i="9"/>
  <c r="P136" i="9"/>
  <c r="AA135" i="9"/>
  <c r="W131" i="9"/>
  <c r="C134" i="9"/>
  <c r="H132" i="9"/>
  <c r="U132" i="9"/>
  <c r="AB135" i="9"/>
  <c r="S134" i="9"/>
  <c r="O131" i="9"/>
  <c r="AB131" i="9"/>
  <c r="G136" i="9"/>
  <c r="V135" i="9"/>
  <c r="Z134" i="9"/>
  <c r="L137" i="9"/>
  <c r="Z136" i="9"/>
  <c r="Q135" i="9"/>
  <c r="I134" i="9"/>
  <c r="D137" i="9"/>
  <c r="G130" i="9"/>
  <c r="L132" i="9"/>
  <c r="F134" i="9"/>
  <c r="M135" i="9"/>
  <c r="G134" i="9"/>
  <c r="AB130" i="9"/>
  <c r="X131" i="9"/>
  <c r="J132" i="9"/>
  <c r="W135" i="9"/>
  <c r="E134" i="9"/>
  <c r="V132" i="9"/>
  <c r="R135" i="9"/>
  <c r="S131" i="9"/>
  <c r="K131" i="9"/>
  <c r="T136" i="9"/>
  <c r="H130" i="9"/>
  <c r="D136" i="9"/>
  <c r="U135" i="9"/>
  <c r="Q134" i="9"/>
  <c r="J130" i="9"/>
  <c r="E135" i="9"/>
  <c r="P137" i="9"/>
  <c r="N134" i="9"/>
  <c r="AA132" i="9"/>
  <c r="U131" i="9"/>
  <c r="Y137" i="9"/>
  <c r="V136" i="9"/>
  <c r="F131" i="9"/>
  <c r="Z132" i="9"/>
  <c r="L130" i="9"/>
  <c r="D134" i="9"/>
  <c r="G135" i="9"/>
  <c r="R131" i="9"/>
  <c r="L133" i="9"/>
  <c r="Y135" i="9"/>
  <c r="V134" i="9"/>
  <c r="T137" i="9"/>
  <c r="P133" i="9"/>
  <c r="K135" i="9"/>
  <c r="Y131" i="9"/>
  <c r="C132" i="9"/>
  <c r="I131" i="9"/>
  <c r="C136" i="9"/>
  <c r="K130" i="9"/>
  <c r="Y133" i="9"/>
  <c r="D131" i="9"/>
  <c r="I132" i="9"/>
  <c r="R137" i="9"/>
  <c r="P134" i="9"/>
  <c r="K136" i="9"/>
  <c r="J137" i="9"/>
  <c r="M130" i="9"/>
  <c r="V131" i="9"/>
  <c r="K137" i="9"/>
  <c r="C133" i="9"/>
  <c r="AA130" i="9"/>
  <c r="O133" i="9"/>
  <c r="W137" i="9"/>
  <c r="V133" i="9"/>
  <c r="M131" i="9"/>
  <c r="U130" i="9"/>
  <c r="I133" i="9"/>
  <c r="O132" i="9"/>
  <c r="U137" i="9"/>
  <c r="G133" i="9"/>
  <c r="Q131" i="9"/>
  <c r="S136" i="9"/>
  <c r="S137" i="9"/>
  <c r="R130" i="9"/>
  <c r="Q133" i="9"/>
  <c r="I130" i="9"/>
  <c r="J133" i="9"/>
  <c r="H137" i="9"/>
  <c r="U136" i="9"/>
  <c r="R133" i="9"/>
  <c r="P132" i="9"/>
  <c r="F132" i="9"/>
  <c r="G131" i="9"/>
  <c r="M136" i="9"/>
  <c r="AA137" i="9"/>
  <c r="D133" i="9"/>
  <c r="T130" i="9"/>
  <c r="X132" i="9"/>
  <c r="S132" i="9"/>
  <c r="N135" i="9"/>
  <c r="R132" i="9"/>
  <c r="K133" i="9"/>
  <c r="P5" i="2"/>
  <c r="C6" i="9" l="1"/>
  <c r="C123" i="9" s="1"/>
  <c r="C16" i="7"/>
  <c r="AD16" i="7"/>
  <c r="AL6" i="9"/>
  <c r="AL123" i="9" s="1"/>
  <c r="AL124" i="9" s="1"/>
  <c r="AC51" i="9"/>
  <c r="AC132" i="9"/>
  <c r="AC133" i="9"/>
  <c r="AC131" i="9"/>
  <c r="AC130" i="9"/>
  <c r="AC134" i="9"/>
  <c r="AC135" i="9"/>
  <c r="AC136" i="9"/>
  <c r="AC137" i="9"/>
  <c r="AN5" i="2"/>
  <c r="X5" i="2"/>
  <c r="AF5" i="2"/>
  <c r="AM5" i="2"/>
  <c r="W5" i="2"/>
  <c r="AL5" i="2"/>
  <c r="V5" i="2"/>
  <c r="T5" i="2"/>
  <c r="AK5" i="2"/>
  <c r="U5" i="2"/>
  <c r="AJ5" i="2"/>
  <c r="Q5" i="2"/>
  <c r="AG5" i="2"/>
  <c r="AI5" i="2"/>
  <c r="S5" i="2"/>
  <c r="R5" i="2"/>
  <c r="AH5" i="2"/>
  <c r="AE5" i="2"/>
  <c r="AD5" i="2"/>
  <c r="AC5" i="2"/>
  <c r="AA5" i="2"/>
  <c r="AB5" i="2"/>
  <c r="Y5" i="2"/>
  <c r="Z5" i="2"/>
  <c r="AO5" i="2"/>
  <c r="A4" i="1"/>
  <c r="AF4" i="1"/>
  <c r="AL125" i="9" l="1"/>
  <c r="C138" i="9" s="1"/>
  <c r="C143" i="9"/>
  <c r="K16" i="7"/>
  <c r="AL16" i="7"/>
  <c r="AW16" i="7"/>
  <c r="V16" i="7"/>
  <c r="AA16" i="7"/>
  <c r="BB16" i="7"/>
  <c r="AR16" i="7"/>
  <c r="Q16" i="7"/>
  <c r="W16" i="7"/>
  <c r="AX16" i="7"/>
  <c r="AT16" i="7"/>
  <c r="S16" i="7"/>
  <c r="AQ6" i="9"/>
  <c r="AQ123" i="9" s="1"/>
  <c r="AQ124" i="9" s="1"/>
  <c r="H143" i="9" s="1"/>
  <c r="H16" i="7"/>
  <c r="AI16" i="7"/>
  <c r="AV16" i="7"/>
  <c r="U16" i="7"/>
  <c r="AB16" i="7"/>
  <c r="BC16" i="7"/>
  <c r="X16" i="7"/>
  <c r="AY16" i="7"/>
  <c r="F16" i="7"/>
  <c r="AG16" i="7"/>
  <c r="AM6" i="9"/>
  <c r="AM123" i="9" s="1"/>
  <c r="AE16" i="7"/>
  <c r="D16" i="7"/>
  <c r="M16" i="7"/>
  <c r="AN16" i="7"/>
  <c r="G16" i="7"/>
  <c r="AH16" i="7"/>
  <c r="AN6" i="9"/>
  <c r="AN123" i="9" s="1"/>
  <c r="AN124" i="9" s="1"/>
  <c r="E143" i="9" s="1"/>
  <c r="AF16" i="7"/>
  <c r="E16" i="7"/>
  <c r="I16" i="7"/>
  <c r="AJ16" i="7"/>
  <c r="AS16" i="7"/>
  <c r="R16" i="7"/>
  <c r="AX6" i="9"/>
  <c r="AX123" i="9" s="1"/>
  <c r="AX124" i="9" s="1"/>
  <c r="O143" i="9" s="1"/>
  <c r="AP16" i="7"/>
  <c r="O16" i="7"/>
  <c r="BH6" i="9"/>
  <c r="BH123" i="9" s="1"/>
  <c r="BH124" i="9" s="1"/>
  <c r="Y143" i="9" s="1"/>
  <c r="Y16" i="7"/>
  <c r="AZ16" i="7"/>
  <c r="BC6" i="9"/>
  <c r="BC123" i="9" s="1"/>
  <c r="BC124" i="9" s="1"/>
  <c r="T143" i="9" s="1"/>
  <c r="AU16" i="7"/>
  <c r="T16" i="7"/>
  <c r="N16" i="7"/>
  <c r="AO16" i="7"/>
  <c r="AS6" i="9"/>
  <c r="AS123" i="9" s="1"/>
  <c r="AS124" i="9" s="1"/>
  <c r="J143" i="9" s="1"/>
  <c r="J16" i="7"/>
  <c r="AK16" i="7"/>
  <c r="L16" i="7"/>
  <c r="AM16" i="7"/>
  <c r="AQ16" i="7"/>
  <c r="P16" i="7"/>
  <c r="Z16" i="7"/>
  <c r="BA16" i="7"/>
  <c r="C129" i="9"/>
  <c r="C142" i="9" s="1"/>
  <c r="BI6" i="9"/>
  <c r="BI123" i="9" s="1"/>
  <c r="BI124" i="9" s="1"/>
  <c r="Z143" i="9" s="1"/>
  <c r="BB6" i="9"/>
  <c r="BA6" i="9"/>
  <c r="AW6" i="9"/>
  <c r="BE6" i="9"/>
  <c r="BE123" i="9" s="1"/>
  <c r="BE124" i="9" s="1"/>
  <c r="V143" i="9" s="1"/>
  <c r="AO6" i="9"/>
  <c r="AU6" i="9"/>
  <c r="AU123" i="9" s="1"/>
  <c r="AU124" i="9" s="1"/>
  <c r="L143" i="9" s="1"/>
  <c r="AZ6" i="9"/>
  <c r="AZ123" i="9" s="1"/>
  <c r="AZ124" i="9" s="1"/>
  <c r="Q143" i="9" s="1"/>
  <c r="AT6" i="9"/>
  <c r="AT123" i="9" s="1"/>
  <c r="AT124" i="9" s="1"/>
  <c r="K143" i="9" s="1"/>
  <c r="BF6" i="9"/>
  <c r="BJ6" i="9"/>
  <c r="BJ123" i="9" s="1"/>
  <c r="BJ124" i="9" s="1"/>
  <c r="AA143" i="9" s="1"/>
  <c r="AY6" i="9"/>
  <c r="AY123" i="9" s="1"/>
  <c r="AY124" i="9" s="1"/>
  <c r="P143" i="9" s="1"/>
  <c r="BD6" i="9"/>
  <c r="BK6" i="9"/>
  <c r="BK123" i="9" s="1"/>
  <c r="BK124" i="9" s="1"/>
  <c r="AB143" i="9" s="1"/>
  <c r="BG6" i="9"/>
  <c r="AR6" i="9"/>
  <c r="AV6" i="9"/>
  <c r="AP6" i="9"/>
  <c r="AP123" i="9" s="1"/>
  <c r="AP124" i="9" s="1"/>
  <c r="G143" i="9" s="1"/>
  <c r="H6" i="9"/>
  <c r="H129" i="9" s="1"/>
  <c r="H142" i="9" s="1"/>
  <c r="D6" i="9"/>
  <c r="T6" i="9"/>
  <c r="T129" i="9" s="1"/>
  <c r="T142" i="9" s="1"/>
  <c r="I6" i="9"/>
  <c r="Y6" i="9"/>
  <c r="Y129" i="9" s="1"/>
  <c r="Y142" i="9" s="1"/>
  <c r="J6" i="9"/>
  <c r="J129" i="9" s="1"/>
  <c r="J142" i="9" s="1"/>
  <c r="O6" i="9"/>
  <c r="O129" i="9" s="1"/>
  <c r="O142" i="9" s="1"/>
  <c r="Z6" i="9"/>
  <c r="Z129" i="9" s="1"/>
  <c r="Z142" i="9" s="1"/>
  <c r="W6" i="9"/>
  <c r="W129" i="9" s="1"/>
  <c r="W142" i="9" s="1"/>
  <c r="S6" i="9"/>
  <c r="P6" i="9"/>
  <c r="P129" i="9" s="1"/>
  <c r="P142" i="9" s="1"/>
  <c r="K6" i="9"/>
  <c r="K129" i="9" s="1"/>
  <c r="K142" i="9" s="1"/>
  <c r="N6" i="9"/>
  <c r="Q6" i="9"/>
  <c r="Q129" i="9" s="1"/>
  <c r="Q142" i="9" s="1"/>
  <c r="E6" i="9"/>
  <c r="E129" i="9" s="1"/>
  <c r="E142" i="9" s="1"/>
  <c r="AA6" i="9"/>
  <c r="AA129" i="9" s="1"/>
  <c r="AA142" i="9" s="1"/>
  <c r="X6" i="9"/>
  <c r="R6" i="9"/>
  <c r="R129" i="9" s="1"/>
  <c r="R142" i="9" s="1"/>
  <c r="M6" i="9"/>
  <c r="M129" i="9" s="1"/>
  <c r="M142" i="9" s="1"/>
  <c r="F6" i="9"/>
  <c r="F129" i="9" s="1"/>
  <c r="F142" i="9" s="1"/>
  <c r="AB6" i="9"/>
  <c r="AB129" i="9" s="1"/>
  <c r="AB142" i="9" s="1"/>
  <c r="V6" i="9"/>
  <c r="V129" i="9" s="1"/>
  <c r="V142" i="9" s="1"/>
  <c r="G6" i="9"/>
  <c r="G129" i="9" s="1"/>
  <c r="G142" i="9" s="1"/>
  <c r="U6" i="9"/>
  <c r="U129" i="9" s="1"/>
  <c r="U142" i="9" s="1"/>
  <c r="L6" i="9"/>
  <c r="L129" i="9" s="1"/>
  <c r="L142" i="9" s="1"/>
  <c r="BD16" i="7" l="1"/>
  <c r="DQ9" i="7" s="1"/>
  <c r="AC16" i="7"/>
  <c r="D9" i="7" s="1"/>
  <c r="BM6" i="9"/>
  <c r="AD6" i="9"/>
  <c r="BL6" i="9"/>
  <c r="AM124" i="9"/>
  <c r="AI6" i="9"/>
  <c r="AH6" i="9"/>
  <c r="AE6" i="9"/>
  <c r="BO6" i="9"/>
  <c r="AG6" i="9"/>
  <c r="BP6" i="9"/>
  <c r="BN6" i="9"/>
  <c r="BQ6" i="9"/>
  <c r="AF6" i="9"/>
  <c r="AW123" i="9"/>
  <c r="AW124" i="9" s="1"/>
  <c r="N143" i="9" s="1"/>
  <c r="N129" i="9"/>
  <c r="N142" i="9" s="1"/>
  <c r="BB123" i="9"/>
  <c r="BB124" i="9" s="1"/>
  <c r="S143" i="9" s="1"/>
  <c r="X129" i="9"/>
  <c r="X142" i="9" s="1"/>
  <c r="AR123" i="9"/>
  <c r="AR124" i="9" s="1"/>
  <c r="I143" i="9" s="1"/>
  <c r="S129" i="9"/>
  <c r="S142" i="9" s="1"/>
  <c r="BG123" i="9"/>
  <c r="BG124" i="9" s="1"/>
  <c r="X143" i="9" s="1"/>
  <c r="I129" i="9"/>
  <c r="I142" i="9" s="1"/>
  <c r="BF123" i="9"/>
  <c r="BF124" i="9" s="1"/>
  <c r="W143" i="9" s="1"/>
  <c r="D129" i="9"/>
  <c r="D142" i="9" s="1"/>
  <c r="BA123" i="9"/>
  <c r="BA124" i="9" s="1"/>
  <c r="R143" i="9" s="1"/>
  <c r="AV123" i="9"/>
  <c r="AV124" i="9" s="1"/>
  <c r="M143" i="9" s="1"/>
  <c r="BD123" i="9"/>
  <c r="BD124" i="9" s="1"/>
  <c r="U143" i="9" s="1"/>
  <c r="AO123" i="9"/>
  <c r="AO124" i="9" s="1"/>
  <c r="F143" i="9" s="1"/>
  <c r="D123" i="9"/>
  <c r="U123" i="9"/>
  <c r="J123" i="9"/>
  <c r="P123" i="9"/>
  <c r="G123" i="9"/>
  <c r="F123" i="9"/>
  <c r="S123" i="9"/>
  <c r="O123" i="9"/>
  <c r="M123" i="9"/>
  <c r="K123" i="9"/>
  <c r="L123" i="9"/>
  <c r="V123" i="9"/>
  <c r="H123" i="9"/>
  <c r="T123" i="9"/>
  <c r="AA123" i="9"/>
  <c r="N123" i="9"/>
  <c r="Z123" i="9"/>
  <c r="Y123" i="9"/>
  <c r="R123" i="9"/>
  <c r="E123" i="9"/>
  <c r="W123" i="9"/>
  <c r="AB123" i="9"/>
  <c r="I123" i="9"/>
  <c r="X123" i="9"/>
  <c r="Q123" i="9"/>
  <c r="G1" i="9" l="1"/>
  <c r="AM125" i="9"/>
  <c r="AN125" i="9" s="1"/>
  <c r="D143" i="9"/>
  <c r="AC6" i="9"/>
  <c r="AD123" i="9"/>
  <c r="AC123" i="9"/>
  <c r="BL123" i="9"/>
  <c r="L1" i="9"/>
  <c r="BO2" i="2" s="1"/>
  <c r="C1" i="9"/>
  <c r="AU2" i="2" s="1"/>
  <c r="D138" i="9"/>
  <c r="AC129" i="9"/>
  <c r="BE2" i="2" l="1"/>
  <c r="D141" i="9"/>
  <c r="T141" i="9"/>
  <c r="E141" i="9"/>
  <c r="U141" i="9"/>
  <c r="F141" i="9"/>
  <c r="V141" i="9"/>
  <c r="G141" i="9"/>
  <c r="W141" i="9"/>
  <c r="H141" i="9"/>
  <c r="X141" i="9"/>
  <c r="I141" i="9"/>
  <c r="Y141" i="9"/>
  <c r="J141" i="9"/>
  <c r="Z141" i="9"/>
  <c r="K141" i="9"/>
  <c r="AA141" i="9"/>
  <c r="L141" i="9"/>
  <c r="AB141" i="9"/>
  <c r="M141" i="9"/>
  <c r="C141" i="9"/>
  <c r="N141" i="9"/>
  <c r="O141" i="9"/>
  <c r="P141" i="9"/>
  <c r="Q141" i="9"/>
  <c r="R141" i="9"/>
  <c r="S141" i="9"/>
  <c r="E138" i="9"/>
  <c r="AO125" i="9" l="1"/>
  <c r="F138" i="9" s="1"/>
  <c r="AP125" i="9" l="1"/>
  <c r="AQ125" i="9" s="1"/>
  <c r="G138" i="9" l="1"/>
  <c r="AR125" i="9"/>
  <c r="H138" i="9"/>
  <c r="AS125" i="9" l="1"/>
  <c r="I138" i="9"/>
  <c r="AT125" i="9" l="1"/>
  <c r="J138" i="9"/>
  <c r="AU125" i="9" l="1"/>
  <c r="K138" i="9"/>
  <c r="AV125" i="9" l="1"/>
  <c r="L138" i="9"/>
  <c r="AW125" i="9" l="1"/>
  <c r="M138" i="9"/>
  <c r="AX125" i="9" l="1"/>
  <c r="N138" i="9"/>
  <c r="AY125" i="9" l="1"/>
  <c r="O138" i="9"/>
  <c r="AZ125" i="9" l="1"/>
  <c r="P138" i="9"/>
  <c r="BA125" i="9" l="1"/>
  <c r="Q138" i="9"/>
  <c r="BB125" i="9" l="1"/>
  <c r="R138" i="9"/>
  <c r="BC125" i="9" l="1"/>
  <c r="S138" i="9"/>
  <c r="BD125" i="9" l="1"/>
  <c r="T138" i="9"/>
  <c r="BE125" i="9" l="1"/>
  <c r="U138" i="9"/>
  <c r="BF125" i="9" l="1"/>
  <c r="V138" i="9"/>
  <c r="BG125" i="9" l="1"/>
  <c r="W138" i="9"/>
  <c r="BH125" i="9" l="1"/>
  <c r="X138" i="9"/>
  <c r="BI125" i="9" l="1"/>
  <c r="Y138" i="9"/>
  <c r="BJ125" i="9" l="1"/>
  <c r="Z138" i="9"/>
  <c r="BK125" i="9" l="1"/>
  <c r="AB138" i="9" s="1"/>
  <c r="AA138" i="9"/>
</calcChain>
</file>

<file path=xl/sharedStrings.xml><?xml version="1.0" encoding="utf-8"?>
<sst xmlns="http://schemas.openxmlformats.org/spreadsheetml/2006/main" count="2926" uniqueCount="926">
  <si>
    <t>System</t>
  </si>
  <si>
    <t>Project type name</t>
  </si>
  <si>
    <t>ID</t>
  </si>
  <si>
    <t>Project type description</t>
  </si>
  <si>
    <t>Do not change or erase from this point forward</t>
  </si>
  <si>
    <t>OCN_01</t>
  </si>
  <si>
    <t>OCN_02</t>
  </si>
  <si>
    <t>OCN_03</t>
  </si>
  <si>
    <t>OCN_04</t>
  </si>
  <si>
    <t>OCN_05</t>
  </si>
  <si>
    <t>OCN_06</t>
  </si>
  <si>
    <t>OCN_07</t>
  </si>
  <si>
    <t>OCN_08</t>
  </si>
  <si>
    <t>OCN_09</t>
  </si>
  <si>
    <t>OCN_10</t>
  </si>
  <si>
    <t>OCN_11</t>
  </si>
  <si>
    <t>OCN_12</t>
  </si>
  <si>
    <t>WAT_01</t>
  </si>
  <si>
    <t>WAT_02</t>
  </si>
  <si>
    <t>WAT_03</t>
  </si>
  <si>
    <t>WAT_04</t>
  </si>
  <si>
    <t>WAT_05</t>
  </si>
  <si>
    <t>WAT_06</t>
  </si>
  <si>
    <t>WAT_07</t>
  </si>
  <si>
    <t>WAT_08</t>
  </si>
  <si>
    <t>WAT_09</t>
  </si>
  <si>
    <t>WAT_10</t>
  </si>
  <si>
    <t>WAT_11</t>
  </si>
  <si>
    <t>BAR_01</t>
  </si>
  <si>
    <t>BAR_02</t>
  </si>
  <si>
    <t>BAR_03</t>
  </si>
  <si>
    <t>BAR_04</t>
  </si>
  <si>
    <t>BAR_05</t>
  </si>
  <si>
    <t>BAR_06</t>
  </si>
  <si>
    <t>BAR_07</t>
  </si>
  <si>
    <t>FOR_01</t>
  </si>
  <si>
    <t>FOR_02</t>
  </si>
  <si>
    <t>FOR_03</t>
  </si>
  <si>
    <t>FOR_04</t>
  </si>
  <si>
    <t>FOR_05</t>
  </si>
  <si>
    <t>FOR_06</t>
  </si>
  <si>
    <t>FOR_07</t>
  </si>
  <si>
    <t>FOR_08</t>
  </si>
  <si>
    <t>FOR_09</t>
  </si>
  <si>
    <t>FOR_10</t>
  </si>
  <si>
    <t>FOR_11</t>
  </si>
  <si>
    <t>AGR_01</t>
  </si>
  <si>
    <t>AGR_02</t>
  </si>
  <si>
    <t>AGR_03</t>
  </si>
  <si>
    <t>AGR_04</t>
  </si>
  <si>
    <t>AGR_05</t>
  </si>
  <si>
    <t>AGR_06</t>
  </si>
  <si>
    <t>AGR_07</t>
  </si>
  <si>
    <t>AGR_08</t>
  </si>
  <si>
    <t>AGR_09</t>
  </si>
  <si>
    <t>STL_01</t>
  </si>
  <si>
    <t>STL_02</t>
  </si>
  <si>
    <t>STL_03</t>
  </si>
  <si>
    <t>STL_04</t>
  </si>
  <si>
    <t>STL_05</t>
  </si>
  <si>
    <t>STL_06</t>
  </si>
  <si>
    <t>STL_07</t>
  </si>
  <si>
    <t>STL_08</t>
  </si>
  <si>
    <t>STL_09</t>
  </si>
  <si>
    <t>STL_10</t>
  </si>
  <si>
    <t>STL_11</t>
  </si>
  <si>
    <t>STL_12</t>
  </si>
  <si>
    <t>STL_13</t>
  </si>
  <si>
    <t>TRN_01</t>
  </si>
  <si>
    <t>TRN_02</t>
  </si>
  <si>
    <t>TRN_03</t>
  </si>
  <si>
    <t>TRN_04</t>
  </si>
  <si>
    <t>TRN_05</t>
  </si>
  <si>
    <t>TRN_06</t>
  </si>
  <si>
    <t>TRN_07</t>
  </si>
  <si>
    <t>TRN_08</t>
  </si>
  <si>
    <t>TRN_09</t>
  </si>
  <si>
    <t>TRN_10</t>
  </si>
  <si>
    <t>TRN_11</t>
  </si>
  <si>
    <t>IND_01</t>
  </si>
  <si>
    <t>IND_02</t>
  </si>
  <si>
    <t>IND_03</t>
  </si>
  <si>
    <t>IND_04</t>
  </si>
  <si>
    <t>IND_05</t>
  </si>
  <si>
    <t>IND_06</t>
  </si>
  <si>
    <t>IND_07</t>
  </si>
  <si>
    <t>IND_08</t>
  </si>
  <si>
    <t>IND_09</t>
  </si>
  <si>
    <t>IND_10</t>
  </si>
  <si>
    <t>IND_11</t>
  </si>
  <si>
    <t>IND_12</t>
  </si>
  <si>
    <t>IND_13</t>
  </si>
  <si>
    <t>IND_14</t>
  </si>
  <si>
    <t>IND_15</t>
  </si>
  <si>
    <t>ENE_01</t>
  </si>
  <si>
    <t>ENE_02</t>
  </si>
  <si>
    <t>ENE_03</t>
  </si>
  <si>
    <t>ENE_04</t>
  </si>
  <si>
    <t>ENE_05</t>
  </si>
  <si>
    <t>ENE_06</t>
  </si>
  <si>
    <t>ENE_07</t>
  </si>
  <si>
    <t>ENE_08</t>
  </si>
  <si>
    <t>ENE_09</t>
  </si>
  <si>
    <t>ENE_10</t>
  </si>
  <si>
    <t>ENE_11</t>
  </si>
  <si>
    <t>ENE_12</t>
  </si>
  <si>
    <t>ENE_13</t>
  </si>
  <si>
    <t>ENE_14</t>
  </si>
  <si>
    <t>ENE_15</t>
  </si>
  <si>
    <t>ENE_16</t>
  </si>
  <si>
    <t>Enhance mangrove restoration</t>
  </si>
  <si>
    <t>Enhance coral reef restoration</t>
  </si>
  <si>
    <t>Enhance sustainable fishing</t>
  </si>
  <si>
    <t>Enhance ocean fertilization</t>
  </si>
  <si>
    <t>Enhance repopulating overfished area</t>
  </si>
  <si>
    <t>Limit bottom trawling</t>
  </si>
  <si>
    <t>Enhance sustainable aquaculture management</t>
  </si>
  <si>
    <t>Eliminate shipping pollution</t>
  </si>
  <si>
    <t>Adopt carbon taxation for emissions, benefits for sequestration</t>
  </si>
  <si>
    <t>Enhance wetland restoration</t>
  </si>
  <si>
    <t>Enhance lake restoration</t>
  </si>
  <si>
    <t>Enhance river restoration</t>
  </si>
  <si>
    <t>Enhance sustainable water supply</t>
  </si>
  <si>
    <t>Enhance sustainable wastewater treatment and recycling</t>
  </si>
  <si>
    <t>Enhance water desalination</t>
  </si>
  <si>
    <t>Adopt sustainable agro-forestry management</t>
  </si>
  <si>
    <t>Enhance sustainable forest mangement</t>
  </si>
  <si>
    <t>Enhance sustainable grassland management</t>
  </si>
  <si>
    <t>Enhance fire-prone areas management</t>
  </si>
  <si>
    <t>Enhance forest restoration</t>
  </si>
  <si>
    <t>Enhance grassland restoration</t>
  </si>
  <si>
    <t>Enhance agroforestry</t>
  </si>
  <si>
    <t>Enhance silviculture</t>
  </si>
  <si>
    <t>Enhance silvo-pastoral practices</t>
  </si>
  <si>
    <t>Enhance afforestation</t>
  </si>
  <si>
    <t>Enhance sustainable crops emissions management</t>
  </si>
  <si>
    <t>Enhance sustainable pasture emissions management</t>
  </si>
  <si>
    <t>Enhance sustainable rice fields emissions management</t>
  </si>
  <si>
    <t>Enhance sustainable manure emissions management</t>
  </si>
  <si>
    <t>Reduce enteric fermentation</t>
  </si>
  <si>
    <t>Reduce use of synthetic fertilizers</t>
  </si>
  <si>
    <t>Enhance renewable energy grids and storage</t>
  </si>
  <si>
    <t>Enhance energy systems electrification</t>
  </si>
  <si>
    <t>Enhance green infrastructure</t>
  </si>
  <si>
    <t>Enhance building energy retrofitting</t>
  </si>
  <si>
    <t>Enhance sustainable solid waste management</t>
  </si>
  <si>
    <t>Reduce fluorinated gasses emission</t>
  </si>
  <si>
    <t>Enhance compact mixed land use</t>
  </si>
  <si>
    <t>Adopt appliances performance standards</t>
  </si>
  <si>
    <t>Adopt building energy use and and emissions certification</t>
  </si>
  <si>
    <t xml:space="preserve">Enhance public transport </t>
  </si>
  <si>
    <t xml:space="preserve">Enhance multi-modal transport </t>
  </si>
  <si>
    <t>Enhance EV charging network distribution</t>
  </si>
  <si>
    <t xml:space="preserve">Reduce aviation emissions and pollution </t>
  </si>
  <si>
    <t>Adopt public transportation subsidies</t>
  </si>
  <si>
    <t>Adopt fossil fuel vehicles removal strategy</t>
  </si>
  <si>
    <t>Adopt vehicles energy performance standards</t>
  </si>
  <si>
    <t>Enhance sustainable water management</t>
  </si>
  <si>
    <t>Enhance sustainable waste management</t>
  </si>
  <si>
    <t>Adopt performance standards for electric motors</t>
  </si>
  <si>
    <t>Enhance solar photovoltaic energy production</t>
  </si>
  <si>
    <t>Enhance off-shore wind energy production</t>
  </si>
  <si>
    <t>Enhance geothermal energy production</t>
  </si>
  <si>
    <t>Enhance hydro energy production</t>
  </si>
  <si>
    <t>Enhance ocean wave energy production</t>
  </si>
  <si>
    <t>Enhance tidal energy production</t>
  </si>
  <si>
    <t>Enhance thermal gradient energy production</t>
  </si>
  <si>
    <t>Enhance waste to energy production</t>
  </si>
  <si>
    <t>Enhance green hydrogen production</t>
  </si>
  <si>
    <t>Phase out fossil fuel production</t>
  </si>
  <si>
    <t>Phase out fossil fuel power plants</t>
  </si>
  <si>
    <t>Retrofit fossil fuel to renewable power plants</t>
  </si>
  <si>
    <t>Enhance renewable energy distribution</t>
  </si>
  <si>
    <t>Eliminate fossil fuel subsidy programs</t>
  </si>
  <si>
    <t>OCN_01_SD</t>
  </si>
  <si>
    <t>OCN_01_ED</t>
  </si>
  <si>
    <t>OCN_02_SD</t>
  </si>
  <si>
    <t>OCN_02_ED</t>
  </si>
  <si>
    <t>OCN_03_SD</t>
  </si>
  <si>
    <t>OCN_03_ED</t>
  </si>
  <si>
    <t>OCN_04_SD</t>
  </si>
  <si>
    <t>OCN_04_ED</t>
  </si>
  <si>
    <t>OCN_05_SD</t>
  </si>
  <si>
    <t>OCN_05_ED</t>
  </si>
  <si>
    <t>OCN_06_SD</t>
  </si>
  <si>
    <t>OCN_06_ED</t>
  </si>
  <si>
    <t>OCN_07_SD</t>
  </si>
  <si>
    <t>OCN_07_ED</t>
  </si>
  <si>
    <t>OCN_08_SD</t>
  </si>
  <si>
    <t>OCN_08_ED</t>
  </si>
  <si>
    <t>OCN_09_SD</t>
  </si>
  <si>
    <t>OCN_09_ED</t>
  </si>
  <si>
    <t>OCN_10_SD</t>
  </si>
  <si>
    <t>OCN_10_ED</t>
  </si>
  <si>
    <t>OCN_11_SD</t>
  </si>
  <si>
    <t>OCN_11_ED</t>
  </si>
  <si>
    <t>OCN_12_SD</t>
  </si>
  <si>
    <t>OCN_12_ED</t>
  </si>
  <si>
    <t>WAT_01_SD</t>
  </si>
  <si>
    <t>WAT_01_ED</t>
  </si>
  <si>
    <t>WAT_02_SD</t>
  </si>
  <si>
    <t>WAT_02_ED</t>
  </si>
  <si>
    <t>WAT_03_SD</t>
  </si>
  <si>
    <t>WAT_03_ED</t>
  </si>
  <si>
    <t>WAT_04_SD</t>
  </si>
  <si>
    <t>WAT_04_ED</t>
  </si>
  <si>
    <t>WAT_05_SD</t>
  </si>
  <si>
    <t>WAT_05_ED</t>
  </si>
  <si>
    <t>WAT_06_SD</t>
  </si>
  <si>
    <t>WAT_06_ED</t>
  </si>
  <si>
    <t>WAT_07_SD</t>
  </si>
  <si>
    <t>WAT_07_ED</t>
  </si>
  <si>
    <t>WAT_08_SD</t>
  </si>
  <si>
    <t>WAT_08_ED</t>
  </si>
  <si>
    <t>WAT_09_SD</t>
  </si>
  <si>
    <t>WAT_09_ED</t>
  </si>
  <si>
    <t>WAT_10_SD</t>
  </si>
  <si>
    <t>WAT_10_ED</t>
  </si>
  <si>
    <t>WAT_11_SD</t>
  </si>
  <si>
    <t>WAT_11_ED</t>
  </si>
  <si>
    <t>BAR_01_SD</t>
  </si>
  <si>
    <t>BAR_01_ED</t>
  </si>
  <si>
    <t>BAR_02_SD</t>
  </si>
  <si>
    <t>BAR_02_ED</t>
  </si>
  <si>
    <t>BAR_03_SD</t>
  </si>
  <si>
    <t>BAR_03_ED</t>
  </si>
  <si>
    <t>BAR_04_SD</t>
  </si>
  <si>
    <t>BAR_04_ED</t>
  </si>
  <si>
    <t>BAR_05_SD</t>
  </si>
  <si>
    <t>BAR_05_ED</t>
  </si>
  <si>
    <t>BAR_06_SD</t>
  </si>
  <si>
    <t>BAR_06_ED</t>
  </si>
  <si>
    <t>BAR_07_SD</t>
  </si>
  <si>
    <t>BAR_07_ED</t>
  </si>
  <si>
    <t>FOR_01_SD</t>
  </si>
  <si>
    <t>FOR_01_ED</t>
  </si>
  <si>
    <t>FOR_02_SD</t>
  </si>
  <si>
    <t>FOR_02_ED</t>
  </si>
  <si>
    <t>FOR_03_SD</t>
  </si>
  <si>
    <t>FOR_03_ED</t>
  </si>
  <si>
    <t>FOR_04_SD</t>
  </si>
  <si>
    <t>FOR_04_ED</t>
  </si>
  <si>
    <t>FOR_05_SD</t>
  </si>
  <si>
    <t>FOR_05_ED</t>
  </si>
  <si>
    <t>FOR_06_SD</t>
  </si>
  <si>
    <t>FOR_06_ED</t>
  </si>
  <si>
    <t>FOR_07_SD</t>
  </si>
  <si>
    <t>FOR_07_ED</t>
  </si>
  <si>
    <t>FOR_08_SD</t>
  </si>
  <si>
    <t>FOR_08_ED</t>
  </si>
  <si>
    <t>FOR_09_SD</t>
  </si>
  <si>
    <t>FOR_09_ED</t>
  </si>
  <si>
    <t>FOR_10_SD</t>
  </si>
  <si>
    <t>FOR_10_ED</t>
  </si>
  <si>
    <t>FOR_11_SD</t>
  </si>
  <si>
    <t>FOR_11_ED</t>
  </si>
  <si>
    <t>AGR_01_SD</t>
  </si>
  <si>
    <t>AGR_01_ED</t>
  </si>
  <si>
    <t>AGR_02_SD</t>
  </si>
  <si>
    <t>AGR_02_ED</t>
  </si>
  <si>
    <t>AGR_03_SD</t>
  </si>
  <si>
    <t>AGR_03_ED</t>
  </si>
  <si>
    <t>AGR_04_SD</t>
  </si>
  <si>
    <t>AGR_04_ED</t>
  </si>
  <si>
    <t>AGR_05_SD</t>
  </si>
  <si>
    <t>AGR_05_ED</t>
  </si>
  <si>
    <t>AGR_06_SD</t>
  </si>
  <si>
    <t>AGR_06_ED</t>
  </si>
  <si>
    <t>AGR_07_SD</t>
  </si>
  <si>
    <t>AGR_07_ED</t>
  </si>
  <si>
    <t>AGR_08_SD</t>
  </si>
  <si>
    <t>AGR_08_ED</t>
  </si>
  <si>
    <t>AGR_09_SD</t>
  </si>
  <si>
    <t>AGR_09_ED</t>
  </si>
  <si>
    <t>STL_01_SD</t>
  </si>
  <si>
    <t>STL_01_ED</t>
  </si>
  <si>
    <t>STL_02_SD</t>
  </si>
  <si>
    <t>STL_02_ED</t>
  </si>
  <si>
    <t>STL_03_SD</t>
  </si>
  <si>
    <t>STL_03_ED</t>
  </si>
  <si>
    <t>STL_04_SD</t>
  </si>
  <si>
    <t>STL_04_ED</t>
  </si>
  <si>
    <t>STL_05_SD</t>
  </si>
  <si>
    <t>STL_05_ED</t>
  </si>
  <si>
    <t>STL_06_SD</t>
  </si>
  <si>
    <t>STL_06_ED</t>
  </si>
  <si>
    <t>STL_07_SD</t>
  </si>
  <si>
    <t>STL_07_ED</t>
  </si>
  <si>
    <t>STL_08_SD</t>
  </si>
  <si>
    <t>STL_08_ED</t>
  </si>
  <si>
    <t>STL_09_SD</t>
  </si>
  <si>
    <t>STL_09_ED</t>
  </si>
  <si>
    <t>STL_10_SD</t>
  </si>
  <si>
    <t>STL_10_ED</t>
  </si>
  <si>
    <t>STL_11_SD</t>
  </si>
  <si>
    <t>STL_11_ED</t>
  </si>
  <si>
    <t>STL_12_SD</t>
  </si>
  <si>
    <t>STL_12_ED</t>
  </si>
  <si>
    <t>STL_13_SD</t>
  </si>
  <si>
    <t>STL_13_ED</t>
  </si>
  <si>
    <t>TRN_01_SD</t>
  </si>
  <si>
    <t>TRN_01_ED</t>
  </si>
  <si>
    <t>TRN_02_SD</t>
  </si>
  <si>
    <t>TRN_02_ED</t>
  </si>
  <si>
    <t>TRN_03_SD</t>
  </si>
  <si>
    <t>TRN_03_ED</t>
  </si>
  <si>
    <t>TRN_04_SD</t>
  </si>
  <si>
    <t>TRN_04_ED</t>
  </si>
  <si>
    <t>TRN_05_SD</t>
  </si>
  <si>
    <t>TRN_05_ED</t>
  </si>
  <si>
    <t>TRN_06_SD</t>
  </si>
  <si>
    <t>TRN_06_ED</t>
  </si>
  <si>
    <t>TRN_07_SD</t>
  </si>
  <si>
    <t>TRN_07_ED</t>
  </si>
  <si>
    <t>TRN_08_SD</t>
  </si>
  <si>
    <t>TRN_08_ED</t>
  </si>
  <si>
    <t>TRN_09_SD</t>
  </si>
  <si>
    <t>TRN_09_ED</t>
  </si>
  <si>
    <t>TRN_10_SD</t>
  </si>
  <si>
    <t>TRN_10_ED</t>
  </si>
  <si>
    <t>TRN_11_SD</t>
  </si>
  <si>
    <t>TRN_11_ED</t>
  </si>
  <si>
    <t>IND_01_SD</t>
  </si>
  <si>
    <t>IND_01_ED</t>
  </si>
  <si>
    <t>IND_02_SD</t>
  </si>
  <si>
    <t>IND_02_ED</t>
  </si>
  <si>
    <t>IND_03_SD</t>
  </si>
  <si>
    <t>IND_03_ED</t>
  </si>
  <si>
    <t>IND_04_SD</t>
  </si>
  <si>
    <t>IND_04_ED</t>
  </si>
  <si>
    <t>IND_05_SD</t>
  </si>
  <si>
    <t>IND_05_ED</t>
  </si>
  <si>
    <t>IND_06_SD</t>
  </si>
  <si>
    <t>IND_06_ED</t>
  </si>
  <si>
    <t>IND_07_SD</t>
  </si>
  <si>
    <t>IND_07_ED</t>
  </si>
  <si>
    <t>IND_08_SD</t>
  </si>
  <si>
    <t>IND_08_ED</t>
  </si>
  <si>
    <t>IND_09_SD</t>
  </si>
  <si>
    <t>IND_09_ED</t>
  </si>
  <si>
    <t>IND_10_SD</t>
  </si>
  <si>
    <t>IND_10_ED</t>
  </si>
  <si>
    <t>IND_11_SD</t>
  </si>
  <si>
    <t>IND_11_ED</t>
  </si>
  <si>
    <t>IND_12_SD</t>
  </si>
  <si>
    <t>IND_12_ED</t>
  </si>
  <si>
    <t>IND_13_SD</t>
  </si>
  <si>
    <t>IND_13_ED</t>
  </si>
  <si>
    <t>IND_14_SD</t>
  </si>
  <si>
    <t>IND_14_ED</t>
  </si>
  <si>
    <t>IND_15_SD</t>
  </si>
  <si>
    <t>IND_15_ED</t>
  </si>
  <si>
    <t>ENE_01_SD</t>
  </si>
  <si>
    <t>ENE_01_ED</t>
  </si>
  <si>
    <t>ENE_02_SD</t>
  </si>
  <si>
    <t>ENE_02_ED</t>
  </si>
  <si>
    <t>ENE_03_SD</t>
  </si>
  <si>
    <t>ENE_03_ED</t>
  </si>
  <si>
    <t>ENE_04_SD</t>
  </si>
  <si>
    <t>ENE_04_ED</t>
  </si>
  <si>
    <t>ENE_05_SD</t>
  </si>
  <si>
    <t>ENE_05_ED</t>
  </si>
  <si>
    <t>ENE_06_SD</t>
  </si>
  <si>
    <t>ENE_06_ED</t>
  </si>
  <si>
    <t>ENE_07_SD</t>
  </si>
  <si>
    <t>ENE_07_ED</t>
  </si>
  <si>
    <t>ENE_08_SD</t>
  </si>
  <si>
    <t>ENE_08_ED</t>
  </si>
  <si>
    <t>ENE_09_SD</t>
  </si>
  <si>
    <t>ENE_09_ED</t>
  </si>
  <si>
    <t>ENE_10_SD</t>
  </si>
  <si>
    <t>ENE_10_ED</t>
  </si>
  <si>
    <t>ENE_11_SD</t>
  </si>
  <si>
    <t>ENE_11_ED</t>
  </si>
  <si>
    <t>ENE_12_SD</t>
  </si>
  <si>
    <t>ENE_12_ED</t>
  </si>
  <si>
    <t>ENE_13_SD</t>
  </si>
  <si>
    <t>ENE_13_ED</t>
  </si>
  <si>
    <t>ENE_14_SD</t>
  </si>
  <si>
    <t>ENE_14_ED</t>
  </si>
  <si>
    <t>ENE_15_SD</t>
  </si>
  <si>
    <t>ENE_15_ED</t>
  </si>
  <si>
    <t>ENE_16_SD</t>
  </si>
  <si>
    <t>ENE_16_ED</t>
  </si>
  <si>
    <t>Enhance sustainable marine area conservation</t>
  </si>
  <si>
    <t>Enhance sustainable mangrove conservation</t>
  </si>
  <si>
    <t>Enhance sustainable coral reef conservation</t>
  </si>
  <si>
    <t>Enhance sustainable wetland conservation</t>
  </si>
  <si>
    <t>Enhance sustainable lake conservation</t>
  </si>
  <si>
    <t>Enhance sustainable river conservation</t>
  </si>
  <si>
    <t>Enhance sustainable aquifer restoration</t>
  </si>
  <si>
    <t>Enhance conservation of barren regions</t>
  </si>
  <si>
    <t>Enhance wetlands management</t>
  </si>
  <si>
    <t>Enhance sustainable soil management</t>
  </si>
  <si>
    <t>Afforestation</t>
  </si>
  <si>
    <t>Conserve Priority Areas for Species</t>
  </si>
  <si>
    <t>Conserve Rare Species</t>
  </si>
  <si>
    <t>Enhance old-growth forest conservation</t>
  </si>
  <si>
    <t xml:space="preserve">Enhance energy efficiency </t>
  </si>
  <si>
    <t>Adopt carbon offsets</t>
  </si>
  <si>
    <t>FOR_12</t>
  </si>
  <si>
    <t>FOR_13</t>
  </si>
  <si>
    <t>FOR_14</t>
  </si>
  <si>
    <t>FOR_15</t>
  </si>
  <si>
    <t>Enhance conservation of productive soils</t>
  </si>
  <si>
    <t xml:space="preserve">Enhance sustainable water management </t>
  </si>
  <si>
    <t xml:space="preserve">Enhance sustainable waste management </t>
  </si>
  <si>
    <t>Enhance energy efficiency</t>
  </si>
  <si>
    <t>AGR_10</t>
  </si>
  <si>
    <t>AGR_11</t>
  </si>
  <si>
    <t>AGR_12</t>
  </si>
  <si>
    <t>Adopt removal of energy efficiency subsidies</t>
  </si>
  <si>
    <t>Enhance rail transport</t>
  </si>
  <si>
    <t>Enhance sustainable maritime transport</t>
  </si>
  <si>
    <t>Remove pricing subsidies for heavy energy use</t>
  </si>
  <si>
    <t>IND_16</t>
  </si>
  <si>
    <t>Enhance on-shore wind energy production</t>
  </si>
  <si>
    <t xml:space="preserve">Enhance nuclear energy production </t>
  </si>
  <si>
    <t>ENE_17</t>
  </si>
  <si>
    <t>ENE_18</t>
  </si>
  <si>
    <t>ENE_19</t>
  </si>
  <si>
    <t>ENE_20</t>
  </si>
  <si>
    <r>
      <t xml:space="preserve">Project_Start_Date </t>
    </r>
    <r>
      <rPr>
        <b/>
        <sz val="11"/>
        <color rgb="FFFF0000"/>
        <rFont val="Arial"/>
        <family val="2"/>
      </rPr>
      <t>(do not edit)</t>
    </r>
  </si>
  <si>
    <r>
      <t>Project_End_Date</t>
    </r>
    <r>
      <rPr>
        <b/>
        <sz val="11"/>
        <color rgb="FFFF0000"/>
        <rFont val="Arial"/>
        <family val="2"/>
      </rPr>
      <t xml:space="preserve"> (do not edit)</t>
    </r>
  </si>
  <si>
    <t>System ID</t>
  </si>
  <si>
    <t>Project ID</t>
  </si>
  <si>
    <t>FOR_12_SD</t>
  </si>
  <si>
    <t>FOR_12_ED</t>
  </si>
  <si>
    <t>FOR_13_SD</t>
  </si>
  <si>
    <t>FOR_13_ED</t>
  </si>
  <si>
    <t>FOR_14_SD</t>
  </si>
  <si>
    <t>FOR_14_ED</t>
  </si>
  <si>
    <t>FOR_15_SD</t>
  </si>
  <si>
    <t>FOR_15_ED</t>
  </si>
  <si>
    <t>AGR_12_ED</t>
  </si>
  <si>
    <t>AGR_10_SD</t>
  </si>
  <si>
    <t>AGR_10_ED</t>
  </si>
  <si>
    <t>AGR_11_SD</t>
  </si>
  <si>
    <t>AGR_11_ED</t>
  </si>
  <si>
    <t>AGR_12_SD</t>
  </si>
  <si>
    <t>IND_16_SD</t>
  </si>
  <si>
    <t>IND_16_ED</t>
  </si>
  <si>
    <t>ENE_17_SD</t>
  </si>
  <si>
    <t>ENE_17_ED</t>
  </si>
  <si>
    <t>ENE_18_SD</t>
  </si>
  <si>
    <t>ENE_18_ED</t>
  </si>
  <si>
    <t>ENE_19_SD</t>
  </si>
  <si>
    <t>ENE_19_ED</t>
  </si>
  <si>
    <t>ENE_20_SD</t>
  </si>
  <si>
    <t>ENE_20_ED</t>
  </si>
  <si>
    <t>OCEAN</t>
  </si>
  <si>
    <t>WATER</t>
  </si>
  <si>
    <t>BARREN</t>
  </si>
  <si>
    <t>FOREST AND GRASSLANDS</t>
  </si>
  <si>
    <t>AGRICULTURE</t>
  </si>
  <si>
    <t>SETTLEMENT</t>
  </si>
  <si>
    <t>TRANSPORT</t>
  </si>
  <si>
    <t>INDUSTRY</t>
  </si>
  <si>
    <t>ENERGY</t>
  </si>
  <si>
    <t>Enhance conservation from deforestation</t>
  </si>
  <si>
    <t>Sequestration</t>
  </si>
  <si>
    <t>Sequestration and emissions reduction</t>
  </si>
  <si>
    <t>Emissions reduction</t>
  </si>
  <si>
    <t xml:space="preserve">Emissions reduction </t>
  </si>
  <si>
    <t>Land</t>
  </si>
  <si>
    <t>Sea</t>
  </si>
  <si>
    <t>Land and Sea</t>
  </si>
  <si>
    <t>Coverage</t>
  </si>
  <si>
    <r>
      <t xml:space="preserve">Project_Implementation_End_Date </t>
    </r>
    <r>
      <rPr>
        <b/>
        <sz val="11"/>
        <color rgb="FFFF0000"/>
        <rFont val="Arial"/>
        <family val="2"/>
      </rPr>
      <t>(2050 or before)</t>
    </r>
  </si>
  <si>
    <t>Enhance aquifer conservation, infiltration and recharge</t>
  </si>
  <si>
    <t>Reduce inland shipping emissions and pollution</t>
  </si>
  <si>
    <t>Enhance glass/lime/electronics industry energy efficiency and ER</t>
  </si>
  <si>
    <t>Enhance steel industry energy efficiency and ER</t>
  </si>
  <si>
    <t>Enhance cement industry energy efficiency and ER</t>
  </si>
  <si>
    <t>Enhance cloud computing energy efficiency and ER</t>
  </si>
  <si>
    <t>Enhance oil industry energy efficiency and ER</t>
  </si>
  <si>
    <t>Enhance chemicals industry energy efficiency and ER</t>
  </si>
  <si>
    <t>Enhance petrochemicals industry energy efficiency and ER</t>
  </si>
  <si>
    <t>Enhance aluminum industry energy efficiency and ER</t>
  </si>
  <si>
    <t>Enhance paper industry energy efficiency and ER</t>
  </si>
  <si>
    <t>Enhance mining industries energy efficiency and ER</t>
  </si>
  <si>
    <t>Biodiversity &amp; Ecosystem Services (EcoS)</t>
  </si>
  <si>
    <t>Biodiversity &amp; EcoS</t>
  </si>
  <si>
    <t>Neither</t>
  </si>
  <si>
    <t>Total  Implementation Cost
(US$/sq km)</t>
  </si>
  <si>
    <t xml:space="preserve">Global % Application of Suitability Opportunity   </t>
  </si>
  <si>
    <t>AI estimations with Perplexity.ai and Chat GPT4o/03 mini-high for the 2025-2050 Maximum design</t>
  </si>
  <si>
    <t>Annual Emissions Reduction
(tCO2e/sq km/year)</t>
  </si>
  <si>
    <t>Sequestration (SEQ), Emissions Reduction (ER) or SEQ and ER</t>
  </si>
  <si>
    <t>Global Area of 
Suitability Opportunity
(sq km)</t>
  </si>
  <si>
    <t>FOR_04_PER</t>
  </si>
  <si>
    <t>FOR_03_PER</t>
  </si>
  <si>
    <t>FOR_02_PER</t>
  </si>
  <si>
    <t>FOR_01_PER</t>
  </si>
  <si>
    <t>BAR_07_PER</t>
  </si>
  <si>
    <t>BAR_06_PER</t>
  </si>
  <si>
    <t>BAR_05_PER</t>
  </si>
  <si>
    <t>BAR_04_PER</t>
  </si>
  <si>
    <t>BAR_03_PER</t>
  </si>
  <si>
    <t>BAR_02_PER</t>
  </si>
  <si>
    <t>BAR_01_PER</t>
  </si>
  <si>
    <t>WAT_11_PER</t>
  </si>
  <si>
    <t>WAT_10_PER</t>
  </si>
  <si>
    <t>WAT_09_PER</t>
  </si>
  <si>
    <t>WAT_08_PER</t>
  </si>
  <si>
    <t>WAT_07_PER</t>
  </si>
  <si>
    <t>WAT_06_PER</t>
  </si>
  <si>
    <t>WAT_05_PER</t>
  </si>
  <si>
    <t>WAT_04_PER</t>
  </si>
  <si>
    <t>WAT_03_PER</t>
  </si>
  <si>
    <t>WAT_02_PER</t>
  </si>
  <si>
    <t>WAT_01_PER</t>
  </si>
  <si>
    <t>OCN_12_PER</t>
  </si>
  <si>
    <t>OCN_11_PER</t>
  </si>
  <si>
    <t>OCN_10_PER</t>
  </si>
  <si>
    <t>OCN_09_PER</t>
  </si>
  <si>
    <t>OCN_08_PER</t>
  </si>
  <si>
    <t>OCN_07_PER</t>
  </si>
  <si>
    <t>OCN_06_PER</t>
  </si>
  <si>
    <t>OCN_05_PER</t>
  </si>
  <si>
    <t>OCN_04_PER</t>
  </si>
  <si>
    <t>OCN_03_PER</t>
  </si>
  <si>
    <t>OCN_02_PER</t>
  </si>
  <si>
    <t>OCN_01_PE</t>
  </si>
  <si>
    <t>FOR_05_PER</t>
  </si>
  <si>
    <t>FOR_06_PER</t>
  </si>
  <si>
    <t>FOR_07_PER</t>
  </si>
  <si>
    <t>FOR_08_PER</t>
  </si>
  <si>
    <t>FOR_09_PER</t>
  </si>
  <si>
    <t>FOR_10_PER</t>
  </si>
  <si>
    <t>FOR_11_PER</t>
  </si>
  <si>
    <t>FOR_12_PER</t>
  </si>
  <si>
    <t>FOR_13_PER</t>
  </si>
  <si>
    <t>FOR_14_PER</t>
  </si>
  <si>
    <t>FOR_15_PER</t>
  </si>
  <si>
    <t>AGR_01_PER</t>
  </si>
  <si>
    <t>AGR_02_PER</t>
  </si>
  <si>
    <t>AGR_03_PER</t>
  </si>
  <si>
    <t>AGR_04_PER</t>
  </si>
  <si>
    <t>AGR_05_PER</t>
  </si>
  <si>
    <t>AGR_06_PER</t>
  </si>
  <si>
    <t>AGR_07_PER</t>
  </si>
  <si>
    <t>AGR_08_PER</t>
  </si>
  <si>
    <t>AGR_09_PER</t>
  </si>
  <si>
    <t>AGR_10_PER</t>
  </si>
  <si>
    <t>AGR_11_PER</t>
  </si>
  <si>
    <t>AGR_12_PER</t>
  </si>
  <si>
    <t>STL_01_PER</t>
  </si>
  <si>
    <t>STL_02_PER</t>
  </si>
  <si>
    <t>STL_03_PER</t>
  </si>
  <si>
    <t>STL_04_PER</t>
  </si>
  <si>
    <t>STL_05_PER</t>
  </si>
  <si>
    <t>STL_06_PER</t>
  </si>
  <si>
    <t>STL_07_PER</t>
  </si>
  <si>
    <t>STL_08_PER</t>
  </si>
  <si>
    <t>STL_09_PER</t>
  </si>
  <si>
    <t>STL_10_PER</t>
  </si>
  <si>
    <t>STL_11_PER</t>
  </si>
  <si>
    <t>STL_12_PER</t>
  </si>
  <si>
    <t>STL_13_PER</t>
  </si>
  <si>
    <t>TRN_01_PER</t>
  </si>
  <si>
    <t>TRN_02_PER</t>
  </si>
  <si>
    <t>TRN_03_PER</t>
  </si>
  <si>
    <t>TRN_04_PER</t>
  </si>
  <si>
    <t>TRN_05_PER</t>
  </si>
  <si>
    <t>TRN_06_PER</t>
  </si>
  <si>
    <t>TRN_07_PER</t>
  </si>
  <si>
    <t>TRN_08_PER</t>
  </si>
  <si>
    <t>TRN_09_PER</t>
  </si>
  <si>
    <t>TRN_10_PER</t>
  </si>
  <si>
    <t>TRN_11_PER</t>
  </si>
  <si>
    <t>IND_01_PER</t>
  </si>
  <si>
    <t>IND_02_PER</t>
  </si>
  <si>
    <t>IND_03_PER</t>
  </si>
  <si>
    <t>IND_04_PER</t>
  </si>
  <si>
    <t>IND_05_PER</t>
  </si>
  <si>
    <t>IND_06_PER</t>
  </si>
  <si>
    <t>IND_07_PER</t>
  </si>
  <si>
    <t>IND_08_PER</t>
  </si>
  <si>
    <t>IND_09_PER</t>
  </si>
  <si>
    <t>IND_10_PER</t>
  </si>
  <si>
    <t>IND_11_PER</t>
  </si>
  <si>
    <t>IND_12_PER</t>
  </si>
  <si>
    <t>IND_13_PER</t>
  </si>
  <si>
    <t>IND_14_PER</t>
  </si>
  <si>
    <t>IND_15_PER</t>
  </si>
  <si>
    <t>IND_16_PER</t>
  </si>
  <si>
    <t>ENE_01_PER</t>
  </si>
  <si>
    <t>ENE_02_PER</t>
  </si>
  <si>
    <t>ENE_03_PER</t>
  </si>
  <si>
    <t>ENE_04_PER</t>
  </si>
  <si>
    <t>ENE_05_PER</t>
  </si>
  <si>
    <t>ENE_06_PER</t>
  </si>
  <si>
    <t>ENE_07_PER</t>
  </si>
  <si>
    <t>ENE_08_PER</t>
  </si>
  <si>
    <t>ENE_09_PER</t>
  </si>
  <si>
    <t>ENE_10_PER</t>
  </si>
  <si>
    <t>ENE_11_PER</t>
  </si>
  <si>
    <t>ENE_12_PER</t>
  </si>
  <si>
    <t>ENE_13_PER</t>
  </si>
  <si>
    <t>ENE_14_PER</t>
  </si>
  <si>
    <t>ENE_15_PER</t>
  </si>
  <si>
    <t>ENE_16_PER</t>
  </si>
  <si>
    <t>ENE_17_PER</t>
  </si>
  <si>
    <t>ENE_18_PER</t>
  </si>
  <si>
    <t>ENE_19_PER</t>
  </si>
  <si>
    <t>ENE_20_PER</t>
  </si>
  <si>
    <t>Total Project Cost
(billion US$/year)</t>
  </si>
  <si>
    <t>Average annual emissions avoided:</t>
  </si>
  <si>
    <t xml:space="preserve"> Billion USD</t>
  </si>
  <si>
    <t>GtCO2e/year</t>
  </si>
  <si>
    <t>Total (2025-2050) cost for each Project Type</t>
  </si>
  <si>
    <t>Cost assessment (2025-2050)</t>
  </si>
  <si>
    <t>Benefit assessment (2025-2050)</t>
  </si>
  <si>
    <r>
      <t>Annual average cost (</t>
    </r>
    <r>
      <rPr>
        <b/>
        <sz val="11"/>
        <color rgb="FFFF0000"/>
        <rFont val="Calibri"/>
        <family val="2"/>
        <scheme val="minor"/>
      </rPr>
      <t>2025-2050</t>
    </r>
    <r>
      <rPr>
        <b/>
        <sz val="11"/>
        <color theme="1"/>
        <rFont val="Calibri"/>
        <family val="2"/>
        <scheme val="minor"/>
      </rPr>
      <t>) for each Project Type</t>
    </r>
  </si>
  <si>
    <t>Total
(2025-2050)</t>
  </si>
  <si>
    <r>
      <t>Total (</t>
    </r>
    <r>
      <rPr>
        <b/>
        <sz val="11"/>
        <color rgb="FFFF0000"/>
        <rFont val="Calibri"/>
        <family val="2"/>
        <scheme val="minor"/>
      </rPr>
      <t>2025-2050</t>
    </r>
    <r>
      <rPr>
        <b/>
        <sz val="11"/>
        <color theme="1"/>
        <rFont val="Calibri"/>
        <family val="2"/>
        <scheme val="minor"/>
      </rPr>
      <t>) benefit for each Project Type</t>
    </r>
  </si>
  <si>
    <t>Annual average cost (2025-2030), per sq km, for each Project Type</t>
  </si>
  <si>
    <t>Annual average cost (2031-2035), per sq km, for each Project Type</t>
  </si>
  <si>
    <t>Annual average cost (2036-20340), per sq km, for each Project Type</t>
  </si>
  <si>
    <t>Annual average cost (2041-2045), per sq km, for each Project Type</t>
  </si>
  <si>
    <t>Annual average cost (2046-2050), per sq km, for each Project Type</t>
  </si>
  <si>
    <t>Annual average benefit (2025-2029), per sq km, for each Project Type</t>
  </si>
  <si>
    <t>Annual average benefit (2030-2034), per sq km, for each Project Type</t>
  </si>
  <si>
    <t>Annual average benefit (2035-2039), per sq km, for each Project Type</t>
  </si>
  <si>
    <t>Annual average benefit (2040-2044), per sq km, for each Project Type</t>
  </si>
  <si>
    <t>Annual average benefit (2045-2050), per sq km, for each Project Type</t>
  </si>
  <si>
    <t>Average cost per tonne of CO2 mitigated:</t>
  </si>
  <si>
    <t xml:space="preserve">Average cost per tonne of CO2 mitigated: </t>
  </si>
  <si>
    <t xml:space="preserve">Annual average cost: </t>
  </si>
  <si>
    <t xml:space="preserve">  Ocean</t>
  </si>
  <si>
    <t xml:space="preserve">  Fresh water</t>
  </si>
  <si>
    <t xml:space="preserve">  Barren</t>
  </si>
  <si>
    <t xml:space="preserve">  Forest and Grasslands</t>
  </si>
  <si>
    <t xml:space="preserve">  Agriculture</t>
  </si>
  <si>
    <t xml:space="preserve">  Settlements</t>
  </si>
  <si>
    <t xml:space="preserve">  Transport</t>
  </si>
  <si>
    <t xml:space="preserve">  Industry</t>
  </si>
  <si>
    <t xml:space="preserve">  Energy</t>
  </si>
  <si>
    <t xml:space="preserve">  Cumulative benefit</t>
  </si>
  <si>
    <t>Total  Management Cost
(US$/sq km)</t>
  </si>
  <si>
    <t>Adopt building energy use and emissions certification</t>
  </si>
  <si>
    <t>Project type</t>
  </si>
  <si>
    <t>Name</t>
  </si>
  <si>
    <t>Status</t>
  </si>
  <si>
    <t>Code</t>
  </si>
  <si>
    <t>Readiness</t>
  </si>
  <si>
    <t>Opportunity</t>
  </si>
  <si>
    <t>Selection</t>
  </si>
  <si>
    <t>Timing</t>
  </si>
  <si>
    <t>Opportunity in the current territory (sq km)</t>
  </si>
  <si>
    <t>Start date
(starting in 2025 or later)</t>
  </si>
  <si>
    <t>Project Code</t>
  </si>
  <si>
    <t>Status
(1 = Implementation and management; 
2 = Management only)</t>
  </si>
  <si>
    <t>Source</t>
  </si>
  <si>
    <t>Source_type</t>
  </si>
  <si>
    <t>Ranked by Emissions Reduction             (tCO2e/sq km /year)</t>
  </si>
  <si>
    <t>Ranked by Average Annual Cost                                       (US$/sq km)</t>
  </si>
  <si>
    <t>Ranked by Utility (tCO2e/sq km/year/US$)x100</t>
  </si>
  <si>
    <t>Emissions Reduction</t>
  </si>
  <si>
    <t>Average Annual Cost</t>
  </si>
  <si>
    <t>Utility</t>
  </si>
  <si>
    <t xml:space="preserve">Global Maximum Cost (billion US$): </t>
  </si>
  <si>
    <r>
      <t xml:space="preserve">Implementation </t>
    </r>
    <r>
      <rPr>
        <b/>
        <sz val="11"/>
        <rFont val="Arial"/>
        <family val="2"/>
      </rPr>
      <t>Duration
(Years)</t>
    </r>
  </si>
  <si>
    <t>Annual Implementation Cost
(US$/sq km/year)</t>
  </si>
  <si>
    <t>Average Annual Cost
(US$/sq km/year)</t>
  </si>
  <si>
    <r>
      <t xml:space="preserve">Period_Start_Date
</t>
    </r>
    <r>
      <rPr>
        <b/>
        <sz val="11"/>
        <color rgb="FFFF0000"/>
        <rFont val="Arial"/>
        <family val="2"/>
      </rPr>
      <t>(do not edit)</t>
    </r>
  </si>
  <si>
    <r>
      <t xml:space="preserve">Period_End_Date
</t>
    </r>
    <r>
      <rPr>
        <b/>
        <sz val="11"/>
        <color rgb="FFFF0000"/>
        <rFont val="Arial"/>
        <family val="2"/>
      </rPr>
      <t>(do not edit)</t>
    </r>
  </si>
  <si>
    <r>
      <rPr>
        <b/>
        <u/>
        <sz val="11"/>
        <color theme="1"/>
        <rFont val="Arial"/>
        <family val="2"/>
      </rPr>
      <t>Period end date</t>
    </r>
    <r>
      <rPr>
        <b/>
        <sz val="11"/>
        <color theme="1"/>
        <rFont val="Arial"/>
        <family val="2"/>
      </rPr>
      <t>:</t>
    </r>
  </si>
  <si>
    <r>
      <t>AI estimations with Perplexity.ai and Chat GPT4o</t>
    </r>
    <r>
      <rPr>
        <b/>
        <sz val="11"/>
        <color rgb="FFFF0000"/>
        <rFont val="Arial"/>
        <family val="2"/>
      </rPr>
      <t>/03 mini-high</t>
    </r>
    <r>
      <rPr>
        <b/>
        <sz val="11"/>
        <color theme="1"/>
        <rFont val="Arial"/>
        <family val="2"/>
      </rPr>
      <t xml:space="preserve"> (2025-2050)</t>
    </r>
  </si>
  <si>
    <r>
      <t>Global Maximum Emissions Reduction (GtCO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 xml:space="preserve">e/year): </t>
    </r>
  </si>
  <si>
    <t>Total Emissions Reduction
(GtCO2e/year)</t>
  </si>
  <si>
    <t>Unit</t>
  </si>
  <si>
    <t>OCN_01_BEN</t>
  </si>
  <si>
    <t>OCN_02_BEN</t>
  </si>
  <si>
    <t>OCN_03_BEN</t>
  </si>
  <si>
    <t>OCN_04_BEN</t>
  </si>
  <si>
    <t>OCN_05_BEN</t>
  </si>
  <si>
    <t>OCN_06_BEN</t>
  </si>
  <si>
    <t>OCN_07_BEN</t>
  </si>
  <si>
    <t>OCN_08_BEN</t>
  </si>
  <si>
    <t>OCN_09_BEN</t>
  </si>
  <si>
    <t>OCN_10_BEN</t>
  </si>
  <si>
    <t>OCN_11_BEN</t>
  </si>
  <si>
    <t>OCN_12_BEN</t>
  </si>
  <si>
    <t>WAT_01_BEN</t>
  </si>
  <si>
    <t>WAT_02_BEN</t>
  </si>
  <si>
    <t>WAT_03_BEN</t>
  </si>
  <si>
    <t>WAT_04_BEN</t>
  </si>
  <si>
    <t>WAT_05_BEN</t>
  </si>
  <si>
    <t>WAT_06_BEN</t>
  </si>
  <si>
    <t>WAT_07_BEN</t>
  </si>
  <si>
    <t>WAT_08_BEN</t>
  </si>
  <si>
    <t>WAT_09_BEN</t>
  </si>
  <si>
    <t>WAT_10_BEN</t>
  </si>
  <si>
    <t>WAT_11_BEN</t>
  </si>
  <si>
    <t>BAR_01_BEN</t>
  </si>
  <si>
    <t>BAR_02_BEN</t>
  </si>
  <si>
    <t>BAR_03_BEN</t>
  </si>
  <si>
    <t>BAR_04_BEN</t>
  </si>
  <si>
    <t>BAR_05_BEN</t>
  </si>
  <si>
    <t>BAR_06_BEN</t>
  </si>
  <si>
    <t>BAR_07_BEN</t>
  </si>
  <si>
    <t>FOR_01_BEN</t>
  </si>
  <si>
    <t>FOR_02_BEN</t>
  </si>
  <si>
    <t>FOR_03_BEN</t>
  </si>
  <si>
    <t>FOR_04_BEN</t>
  </si>
  <si>
    <t>FOR_05_BEN</t>
  </si>
  <si>
    <t>FOR_06_BEN</t>
  </si>
  <si>
    <t>FOR_07_BEN</t>
  </si>
  <si>
    <t>FOR_08_BEN</t>
  </si>
  <si>
    <t>FOR_09_BEN</t>
  </si>
  <si>
    <t>FOR_10_BEN</t>
  </si>
  <si>
    <t>FOR_11_BEN</t>
  </si>
  <si>
    <t>FOR_12_BEN</t>
  </si>
  <si>
    <t>FOR_13_BEN</t>
  </si>
  <si>
    <t>FOR_14_BEN</t>
  </si>
  <si>
    <t>FOR_15_BEN</t>
  </si>
  <si>
    <t>AGR_01_BEN</t>
  </si>
  <si>
    <t>AGR_02_BEN</t>
  </si>
  <si>
    <t>AGR_03_BEN</t>
  </si>
  <si>
    <t>AGR_04_BEN</t>
  </si>
  <si>
    <t>AGR_05_BEN</t>
  </si>
  <si>
    <t>AGR_06_BEN</t>
  </si>
  <si>
    <t>AGR_07_BEN</t>
  </si>
  <si>
    <t>AGR_08_BEN</t>
  </si>
  <si>
    <t>AGR_09_BEN</t>
  </si>
  <si>
    <t>AGR_10_BEN</t>
  </si>
  <si>
    <t>AGR_11_BEN</t>
  </si>
  <si>
    <t>AGR_12_BEN</t>
  </si>
  <si>
    <t>STL_01_BEN</t>
  </si>
  <si>
    <t>STL_02_BEN</t>
  </si>
  <si>
    <t>STL_03_BEN</t>
  </si>
  <si>
    <t>STL_04_BEN</t>
  </si>
  <si>
    <t>STL_05_BEN</t>
  </si>
  <si>
    <t>STL_06_BEN</t>
  </si>
  <si>
    <t>STL_07_BEN</t>
  </si>
  <si>
    <t>STL_08_BEN</t>
  </si>
  <si>
    <t>STL_09_BEN</t>
  </si>
  <si>
    <t>STL_10_BEN</t>
  </si>
  <si>
    <t>STL_11_BEN</t>
  </si>
  <si>
    <t>STL_12_BEN</t>
  </si>
  <si>
    <t>STL_13_BEN</t>
  </si>
  <si>
    <t>TRN_01_BEN</t>
  </si>
  <si>
    <t>TRN_02_BEN</t>
  </si>
  <si>
    <t>TRN_03_BEN</t>
  </si>
  <si>
    <t>TRN_04_BEN</t>
  </si>
  <si>
    <t>TRN_05_BEN</t>
  </si>
  <si>
    <t>TRN_06_BEN</t>
  </si>
  <si>
    <t>TRN_07_BEN</t>
  </si>
  <si>
    <t>TRN_08_BEN</t>
  </si>
  <si>
    <t>TRN_09_BEN</t>
  </si>
  <si>
    <t>TRN_10_BEN</t>
  </si>
  <si>
    <t>TRN_11_BEN</t>
  </si>
  <si>
    <t>IND_01_BEN</t>
  </si>
  <si>
    <t>IND_02_BEN</t>
  </si>
  <si>
    <t>IND_03_BEN</t>
  </si>
  <si>
    <t>IND_04_BEN</t>
  </si>
  <si>
    <t>IND_05_BEN</t>
  </si>
  <si>
    <t>IND_06_BEN</t>
  </si>
  <si>
    <t>IND_07_BEN</t>
  </si>
  <si>
    <t>IND_08_BEN</t>
  </si>
  <si>
    <t>IND_09_BEN</t>
  </si>
  <si>
    <t>IND_10_BEN</t>
  </si>
  <si>
    <t>IND_11_BEN</t>
  </si>
  <si>
    <t>IND_12_BEN</t>
  </si>
  <si>
    <t>IND_13_BEN</t>
  </si>
  <si>
    <t>IND_14_BEN</t>
  </si>
  <si>
    <t>IND_15_BEN</t>
  </si>
  <si>
    <t>IND_16_BEN</t>
  </si>
  <si>
    <t>ENE_01_BEN</t>
  </si>
  <si>
    <t>ENE_02_BEN</t>
  </si>
  <si>
    <t>ENE_03_BEN</t>
  </si>
  <si>
    <t>ENE_04_BEN</t>
  </si>
  <si>
    <t>ENE_05_BEN</t>
  </si>
  <si>
    <t>ENE_06_BEN</t>
  </si>
  <si>
    <t>ENE_07_BEN</t>
  </si>
  <si>
    <t>ENE_08_BEN</t>
  </si>
  <si>
    <t>ENE_09_BEN</t>
  </si>
  <si>
    <t>ENE_10_BEN</t>
  </si>
  <si>
    <t>ENE_11_BEN</t>
  </si>
  <si>
    <t>ENE_12_BEN</t>
  </si>
  <si>
    <t>ENE_13_BEN</t>
  </si>
  <si>
    <t>ENE_14_BEN</t>
  </si>
  <si>
    <t>ENE_15_BEN</t>
  </si>
  <si>
    <t>ENE_16_BEN</t>
  </si>
  <si>
    <t>ENE_17_BEN</t>
  </si>
  <si>
    <t>ENE_18_BEN</t>
  </si>
  <si>
    <t>ENE_19_BEN</t>
  </si>
  <si>
    <t>ENE_20_BEN</t>
  </si>
  <si>
    <t>OCN_01_COS</t>
  </si>
  <si>
    <t>OCN_02_COS</t>
  </si>
  <si>
    <t>OCN_03_COS</t>
  </si>
  <si>
    <t>OCN_04_COS</t>
  </si>
  <si>
    <t>OCN_05_COS</t>
  </si>
  <si>
    <t>OCN_06_COS</t>
  </si>
  <si>
    <t>OCN_07_COS</t>
  </si>
  <si>
    <t>OCN_08_COS</t>
  </si>
  <si>
    <t>OCN_09_COS</t>
  </si>
  <si>
    <t>OCN_10_COS</t>
  </si>
  <si>
    <t>OCN_11_COS</t>
  </si>
  <si>
    <t>OCN_12_COS</t>
  </si>
  <si>
    <t>WAT_01_COS</t>
  </si>
  <si>
    <t>WAT_02_COS</t>
  </si>
  <si>
    <t>WAT_03_COS</t>
  </si>
  <si>
    <t>WAT_04_COS</t>
  </si>
  <si>
    <t>WAT_05_COS</t>
  </si>
  <si>
    <t>WAT_06_COS</t>
  </si>
  <si>
    <t>WAT_07_COS</t>
  </si>
  <si>
    <t>WAT_08_COS</t>
  </si>
  <si>
    <t>WAT_09_COS</t>
  </si>
  <si>
    <t>WAT_10_COS</t>
  </si>
  <si>
    <t>WAT_11_COS</t>
  </si>
  <si>
    <t>BAR_01_COS</t>
  </si>
  <si>
    <t>BAR_02_COS</t>
  </si>
  <si>
    <t>BAR_03_COS</t>
  </si>
  <si>
    <t>BAR_04_COS</t>
  </si>
  <si>
    <t>BAR_05_COS</t>
  </si>
  <si>
    <t>BAR_06_COS</t>
  </si>
  <si>
    <t>BAR_07_COS</t>
  </si>
  <si>
    <t>FOR_01_COS</t>
  </si>
  <si>
    <t>FOR_02_COS</t>
  </si>
  <si>
    <t>FOR_03_COS</t>
  </si>
  <si>
    <t>FOR_04_COS</t>
  </si>
  <si>
    <t>FOR_05_COS</t>
  </si>
  <si>
    <t>FOR_06_COS</t>
  </si>
  <si>
    <t>FOR_07_COS</t>
  </si>
  <si>
    <t>FOR_08_COS</t>
  </si>
  <si>
    <t>FOR_09_COS</t>
  </si>
  <si>
    <t>FOR_10_COS</t>
  </si>
  <si>
    <t>FOR_11_COS</t>
  </si>
  <si>
    <t>FOR_12_COS</t>
  </si>
  <si>
    <t>FOR_13_COS</t>
  </si>
  <si>
    <t>FOR_14_COS</t>
  </si>
  <si>
    <t>FOR_15_COS</t>
  </si>
  <si>
    <t>AGR_01_COS</t>
  </si>
  <si>
    <t>AGR_02_COS</t>
  </si>
  <si>
    <t>AGR_03_COS</t>
  </si>
  <si>
    <t>AGR_04_COS</t>
  </si>
  <si>
    <t>AGR_05_COS</t>
  </si>
  <si>
    <t>AGR_06_COS</t>
  </si>
  <si>
    <t>AGR_07_COS</t>
  </si>
  <si>
    <t>AGR_08_COS</t>
  </si>
  <si>
    <t>AGR_09_COS</t>
  </si>
  <si>
    <t>AGR_10_COS</t>
  </si>
  <si>
    <t>AGR_11_COS</t>
  </si>
  <si>
    <t>AGR_12_COS</t>
  </si>
  <si>
    <t>STL_01_COS</t>
  </si>
  <si>
    <t>STL_02_COS</t>
  </si>
  <si>
    <t>STL_03_COS</t>
  </si>
  <si>
    <t>STL_04_COS</t>
  </si>
  <si>
    <t>STL_05_COS</t>
  </si>
  <si>
    <t>STL_06_COS</t>
  </si>
  <si>
    <t>STL_07_COS</t>
  </si>
  <si>
    <t>STL_08_COS</t>
  </si>
  <si>
    <t>STL_09_COS</t>
  </si>
  <si>
    <t>STL_10_COS</t>
  </si>
  <si>
    <t>STL_11_COS</t>
  </si>
  <si>
    <t>STL_12_COS</t>
  </si>
  <si>
    <t>STL_13_COS</t>
  </si>
  <si>
    <t>TRN_01_COS</t>
  </si>
  <si>
    <t>TRN_02_COS</t>
  </si>
  <si>
    <t>TRN_03_COS</t>
  </si>
  <si>
    <t>TRN_04_COS</t>
  </si>
  <si>
    <t>TRN_05_COS</t>
  </si>
  <si>
    <t>TRN_06_COS</t>
  </si>
  <si>
    <t>TRN_07_COS</t>
  </si>
  <si>
    <t>TRN_08_COS</t>
  </si>
  <si>
    <t>TRN_09_COS</t>
  </si>
  <si>
    <t>TRN_10_COS</t>
  </si>
  <si>
    <t>TRN_11_COS</t>
  </si>
  <si>
    <t>IND_01_COS</t>
  </si>
  <si>
    <t>IND_02_COS</t>
  </si>
  <si>
    <t>IND_03_COS</t>
  </si>
  <si>
    <t>IND_04_COS</t>
  </si>
  <si>
    <t>IND_05_COS</t>
  </si>
  <si>
    <t>IND_06_COS</t>
  </si>
  <si>
    <t>IND_07_COS</t>
  </si>
  <si>
    <t>IND_08_COS</t>
  </si>
  <si>
    <t>IND_09_COS</t>
  </si>
  <si>
    <t>IND_10_COS</t>
  </si>
  <si>
    <t>IND_11_COS</t>
  </si>
  <si>
    <t>IND_12_COS</t>
  </si>
  <si>
    <t>IND_13_COS</t>
  </si>
  <si>
    <t>IND_14_COS</t>
  </si>
  <si>
    <t>IND_15_COS</t>
  </si>
  <si>
    <t>IND_16_COS</t>
  </si>
  <si>
    <t>ENE_01_COS</t>
  </si>
  <si>
    <t>ENE_02_COS</t>
  </si>
  <si>
    <t>ENE_03_COS</t>
  </si>
  <si>
    <t>ENE_04_COS</t>
  </si>
  <si>
    <t>ENE_05_COS</t>
  </si>
  <si>
    <t>ENE_06_COS</t>
  </si>
  <si>
    <t>ENE_07_COS</t>
  </si>
  <si>
    <t>ENE_08_COS</t>
  </si>
  <si>
    <t>ENE_09_COS</t>
  </si>
  <si>
    <t>ENE_10_COS</t>
  </si>
  <si>
    <t>ENE_11_COS</t>
  </si>
  <si>
    <t>ENE_12_COS</t>
  </si>
  <si>
    <t>ENE_13_COS</t>
  </si>
  <si>
    <t>ENE_14_COS</t>
  </si>
  <si>
    <t>ENE_15_COS</t>
  </si>
  <si>
    <t>ENE_16_COS</t>
  </si>
  <si>
    <t>ENE_17_COS</t>
  </si>
  <si>
    <t>ENE_18_COS</t>
  </si>
  <si>
    <t>ENE_19_COS</t>
  </si>
  <si>
    <t>ENE_20_COS</t>
  </si>
  <si>
    <t>AVG</t>
  </si>
  <si>
    <t>COST</t>
  </si>
  <si>
    <t>Cost &amp; Benefit averages per square kilometer</t>
  </si>
  <si>
    <t>BENEFIT</t>
  </si>
  <si>
    <t xml:space="preserve">Annual Management Cost
(US$/sq km/year) </t>
  </si>
  <si>
    <t>_</t>
  </si>
  <si>
    <t>Percent feasible in 1%, 5% or multiples of 10s%</t>
  </si>
  <si>
    <t>Fill in the 'Status' and 'Start date' columns (in light grey) for each eligeble project type. Percent coverage changes are optional; Do not make any other edits.
In case you need to reset a project type, delete data in the 'Project Status' cell and write "_" (underscore) in the 'Start date' cell.</t>
  </si>
  <si>
    <t>USD/sq km/Year</t>
  </si>
  <si>
    <r>
      <t xml:space="preserve">Annual cost:
</t>
    </r>
    <r>
      <rPr>
        <sz val="9"/>
        <color theme="1"/>
        <rFont val="Arial"/>
        <family val="2"/>
      </rPr>
      <t>(Billion USD/Year)</t>
    </r>
  </si>
  <si>
    <r>
      <t xml:space="preserve">Annual benefit:
</t>
    </r>
    <r>
      <rPr>
        <sz val="10"/>
        <color theme="1"/>
        <rFont val="Arial"/>
        <family val="2"/>
      </rPr>
      <t>(GtCO2e/year)</t>
    </r>
  </si>
  <si>
    <t>Total annual benefit</t>
  </si>
  <si>
    <t>Total annual cost</t>
  </si>
  <si>
    <t xml:space="preserve">Country's GDP in Billion USD: </t>
  </si>
  <si>
    <t>Fair Share Cost</t>
  </si>
  <si>
    <t>Annual average</t>
  </si>
  <si>
    <t xml:space="preserve">Target % of GDP: </t>
  </si>
  <si>
    <r>
      <rPr>
        <b/>
        <u/>
        <sz val="10"/>
        <color theme="1"/>
        <rFont val="Arial"/>
        <family val="2"/>
      </rPr>
      <t>Cost by sq km:</t>
    </r>
    <r>
      <rPr>
        <u/>
        <sz val="10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(USD/sq km/Year)</t>
    </r>
  </si>
  <si>
    <t>Utility
(tCO2e/sq km/year/US$)
x100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</si>
</sst>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_X_D_R_-;\-* #,##0.00\ _X_D_R_-;_-* &quot;-&quot;??\ _X_D_R_-;_-@_-"/>
    <numFmt numFmtId="165" formatCode="0.0"/>
    <numFmt numFmtId="166" formatCode="#,##0.0000"/>
    <numFmt numFmtId="167" formatCode="0.0000"/>
    <numFmt numFmtId="168" formatCode="#,##0.000"/>
    <numFmt numFmtId="169" formatCode="#,##0.000000"/>
    <numFmt numFmtId="170" formatCode="0.000"/>
    <numFmt numFmtId="171" formatCode="_(* #,##0_);_(* \(#,##0\);_(* &quot;-&quot;??_);_(@_)"/>
    <numFmt numFmtId="172" formatCode="0.0%"/>
  </numFmts>
  <fonts count="4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u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000000"/>
      <name val="Arial"/>
      <family val="2"/>
    </font>
    <font>
      <i/>
      <sz val="11"/>
      <color rgb="FFFF0000"/>
      <name val="Arial"/>
      <family val="2"/>
    </font>
    <font>
      <sz val="11"/>
      <color theme="0"/>
      <name val="Arial"/>
      <family val="2"/>
    </font>
    <font>
      <b/>
      <sz val="12"/>
      <color theme="1"/>
      <name val="Arial"/>
      <family val="2"/>
    </font>
    <font>
      <b/>
      <sz val="11"/>
      <name val="Arial"/>
      <family val="2"/>
    </font>
    <font>
      <b/>
      <i/>
      <sz val="8"/>
      <color rgb="FFFF0000"/>
      <name val="Arial"/>
      <family val="2"/>
    </font>
    <font>
      <b/>
      <sz val="11"/>
      <color theme="2" tint="-0.249977111117893"/>
      <name val="Arial"/>
      <family val="2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rgb="FFD2629B"/>
      <name val="Arial"/>
      <family val="2"/>
    </font>
    <font>
      <b/>
      <sz val="18"/>
      <color theme="1"/>
      <name val="Calibri"/>
      <family val="2"/>
      <scheme val="minor"/>
    </font>
    <font>
      <sz val="11"/>
      <color theme="9" tint="-0.249977111117893"/>
      <name val="Arial"/>
      <family val="2"/>
    </font>
    <font>
      <sz val="14"/>
      <color theme="1"/>
      <name val="Calibri"/>
      <family val="2"/>
      <scheme val="minor"/>
    </font>
    <font>
      <b/>
      <u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0"/>
      <color theme="1"/>
      <name val="Arial"/>
      <family val="2"/>
    </font>
    <font>
      <sz val="11"/>
      <color rgb="FFC00000"/>
      <name val="Arial"/>
      <family val="2"/>
    </font>
    <font>
      <b/>
      <vertAlign val="subscript"/>
      <sz val="11"/>
      <name val="Arial"/>
      <family val="2"/>
    </font>
    <font>
      <b/>
      <sz val="18"/>
      <color theme="1"/>
      <name val="Arial"/>
      <family val="2"/>
    </font>
    <font>
      <b/>
      <sz val="2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u/>
      <sz val="10"/>
      <color theme="1"/>
      <name val="Arial"/>
      <family val="2"/>
    </font>
    <font>
      <b/>
      <sz val="14"/>
      <color theme="1"/>
      <name val="Arial"/>
      <family val="2"/>
    </font>
    <font>
      <b/>
      <sz val="26"/>
      <color theme="1"/>
      <name val="Calibri"/>
      <family val="2"/>
      <scheme val="minor"/>
    </font>
    <font>
      <sz val="9"/>
      <color theme="1"/>
      <name val="Arial"/>
      <family val="2"/>
    </font>
    <font>
      <u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u/>
      <sz val="11"/>
      <color theme="4"/>
      <name val="Arial"/>
      <family val="2"/>
    </font>
    <font>
      <b/>
      <sz val="16"/>
      <color theme="2" tint="-0.499984740745262"/>
      <name val="Calibri"/>
      <family val="2"/>
      <scheme val="minor"/>
    </font>
    <font>
      <sz val="16"/>
      <color theme="1"/>
      <name val="Arial"/>
      <family val="2"/>
    </font>
    <font>
      <b/>
      <sz val="16"/>
      <color theme="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D2629B"/>
        <bgColor indexed="64"/>
      </patternFill>
    </fill>
    <fill>
      <patternFill patternType="solid">
        <fgColor rgb="FFEDE09E"/>
        <bgColor indexed="64"/>
      </patternFill>
    </fill>
    <fill>
      <patternFill patternType="solid">
        <fgColor rgb="FF90CE9F"/>
        <bgColor indexed="64"/>
      </patternFill>
    </fill>
    <fill>
      <patternFill patternType="solid">
        <fgColor rgb="FF9FE9ED"/>
        <bgColor indexed="64"/>
      </patternFill>
    </fill>
    <fill>
      <patternFill patternType="solid">
        <fgColor rgb="FFF17872"/>
        <bgColor indexed="64"/>
      </patternFill>
    </fill>
    <fill>
      <patternFill patternType="solid">
        <fgColor rgb="FFB78ACE"/>
        <bgColor indexed="64"/>
      </patternFill>
    </fill>
    <fill>
      <patternFill patternType="solid">
        <fgColor rgb="FF728383"/>
        <bgColor indexed="64"/>
      </patternFill>
    </fill>
    <fill>
      <patternFill patternType="solid">
        <fgColor rgb="FF7FBED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rgb="FFC6E0B4"/>
      </patternFill>
    </fill>
    <fill>
      <patternFill patternType="solid">
        <fgColor rgb="FFD0CEC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0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hair">
        <color theme="6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6"/>
      </left>
      <right/>
      <top style="thin">
        <color theme="0" tint="-0.24994659260841701"/>
      </top>
      <bottom style="medium">
        <color indexed="64"/>
      </bottom>
      <diagonal/>
    </border>
    <border>
      <left style="hair">
        <color theme="6"/>
      </left>
      <right/>
      <top/>
      <bottom style="thin">
        <color theme="0" tint="-0.24994659260841701"/>
      </bottom>
      <diagonal/>
    </border>
    <border>
      <left style="hair">
        <color theme="6"/>
      </left>
      <right style="hair">
        <color theme="6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6"/>
      </left>
      <right style="hair">
        <color theme="6"/>
      </right>
      <top style="thin">
        <color theme="0" tint="-0.24994659260841701"/>
      </top>
      <bottom style="medium">
        <color indexed="64"/>
      </bottom>
      <diagonal/>
    </border>
    <border>
      <left style="hair">
        <color theme="6"/>
      </left>
      <right style="hair">
        <color theme="6"/>
      </right>
      <top/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hair">
        <color theme="6"/>
      </left>
      <right style="hair">
        <color theme="6"/>
      </right>
      <top style="thin">
        <color theme="0" tint="-0.24994659260841701"/>
      </top>
      <bottom style="thin">
        <color indexed="64"/>
      </bottom>
      <diagonal/>
    </border>
    <border>
      <left style="hair">
        <color theme="6"/>
      </left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indexed="64"/>
      </right>
      <top style="thin">
        <color indexed="64"/>
      </top>
      <bottom style="thin">
        <color theme="2" tint="-0.24994659260841701"/>
      </bottom>
      <diagonal/>
    </border>
    <border>
      <left/>
      <right/>
      <top style="thin">
        <color indexed="64"/>
      </top>
      <bottom style="thin">
        <color theme="2" tint="-0.24994659260841701"/>
      </bottom>
      <diagonal/>
    </border>
    <border>
      <left style="thin">
        <color indexed="64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/>
      <top style="thin">
        <color theme="2" tint="-0.24994659260841701"/>
      </top>
      <bottom style="thin">
        <color auto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auto="1"/>
      </bottom>
      <diagonal/>
    </border>
    <border>
      <left style="thin">
        <color theme="2" tint="-0.24994659260841701"/>
      </left>
      <right style="thin">
        <color indexed="64"/>
      </right>
      <top style="thin">
        <color theme="2" tint="-0.24994659260841701"/>
      </top>
      <bottom style="thin">
        <color auto="1"/>
      </bottom>
      <diagonal/>
    </border>
    <border>
      <left/>
      <right/>
      <top style="thin">
        <color theme="2" tint="-0.2499465926084170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indexed="64"/>
      </right>
      <top/>
      <bottom style="thin">
        <color theme="2" tint="-0.24994659260841701"/>
      </bottom>
      <diagonal/>
    </border>
    <border>
      <left/>
      <right/>
      <top/>
      <bottom style="thin">
        <color theme="2" tint="-0.2499465926084170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hair">
        <color theme="2" tint="-0.24994659260841701"/>
      </top>
      <bottom style="hair">
        <color theme="2" tint="-0.24994659260841701"/>
      </bottom>
      <diagonal/>
    </border>
    <border>
      <left style="thin">
        <color theme="2" tint="-0.24994659260841701"/>
      </left>
      <right/>
      <top style="hair">
        <color theme="2" tint="-0.24994659260841701"/>
      </top>
      <bottom style="hair">
        <color theme="2" tint="-0.24994659260841701"/>
      </bottom>
      <diagonal/>
    </border>
    <border>
      <left style="medium">
        <color auto="1"/>
      </left>
      <right style="thin">
        <color theme="2" tint="-0.24994659260841701"/>
      </right>
      <top style="hair">
        <color theme="2" tint="-0.24994659260841701"/>
      </top>
      <bottom style="hair">
        <color theme="2" tint="-0.24994659260841701"/>
      </bottom>
      <diagonal/>
    </border>
    <border>
      <left/>
      <right style="thin">
        <color theme="2" tint="-0.24994659260841701"/>
      </right>
      <top style="hair">
        <color theme="2" tint="-0.24994659260841701"/>
      </top>
      <bottom style="hair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hair">
        <color theme="2" tint="-0.24994659260841701"/>
      </top>
      <bottom style="hair">
        <color theme="2" tint="-0.24994659260841701"/>
      </bottom>
      <diagonal/>
    </border>
    <border>
      <left/>
      <right style="thin">
        <color theme="0" tint="-0.249977111117893"/>
      </right>
      <top style="thin">
        <color theme="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1"/>
      </top>
      <bottom/>
      <diagonal/>
    </border>
    <border>
      <left style="thin">
        <color theme="0" tint="-0.249977111117893"/>
      </left>
      <right/>
      <top style="thin">
        <color theme="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/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0" tint="-0.249977111117893"/>
      </bottom>
      <diagonal/>
    </border>
    <border>
      <left/>
      <right style="medium">
        <color indexed="64"/>
      </right>
      <top style="thin">
        <color theme="1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9" fontId="20" fillId="0" borderId="0" applyFont="0" applyFill="0" applyBorder="0" applyAlignment="0" applyProtection="0"/>
    <xf numFmtId="164" fontId="20" fillId="0" borderId="0" applyFont="0" applyFill="0" applyBorder="0" applyAlignment="0" applyProtection="0"/>
  </cellStyleXfs>
  <cellXfs count="468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/>
    <xf numFmtId="1" fontId="1" fillId="0" borderId="0" xfId="0" applyNumberFormat="1" applyFont="1" applyAlignment="1">
      <alignment horizontal="left" vertical="center"/>
    </xf>
    <xf numFmtId="0" fontId="0" fillId="0" borderId="3" xfId="0" applyBorder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1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/>
    <xf numFmtId="165" fontId="9" fillId="0" borderId="0" xfId="0" applyNumberFormat="1" applyFont="1" applyAlignment="1">
      <alignment horizontal="center" vertical="center"/>
    </xf>
    <xf numFmtId="0" fontId="11" fillId="0" borderId="8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165" fontId="0" fillId="6" borderId="14" xfId="0" applyNumberFormat="1" applyFill="1" applyBorder="1" applyAlignment="1">
      <alignment horizontal="center" vertical="center"/>
    </xf>
    <xf numFmtId="165" fontId="0" fillId="6" borderId="7" xfId="0" applyNumberFormat="1" applyFill="1" applyBorder="1" applyAlignment="1">
      <alignment horizontal="center" vertical="center"/>
    </xf>
    <xf numFmtId="165" fontId="0" fillId="6" borderId="15" xfId="0" applyNumberFormat="1" applyFill="1" applyBorder="1" applyAlignment="1">
      <alignment horizontal="center" vertical="center"/>
    </xf>
    <xf numFmtId="165" fontId="0" fillId="10" borderId="14" xfId="0" applyNumberFormat="1" applyFill="1" applyBorder="1" applyAlignment="1">
      <alignment horizontal="center" vertical="center"/>
    </xf>
    <xf numFmtId="165" fontId="0" fillId="10" borderId="7" xfId="0" applyNumberFormat="1" applyFill="1" applyBorder="1" applyAlignment="1">
      <alignment horizontal="center" vertical="center"/>
    </xf>
    <xf numFmtId="165" fontId="0" fillId="10" borderId="15" xfId="0" applyNumberFormat="1" applyFill="1" applyBorder="1" applyAlignment="1">
      <alignment horizontal="center" vertical="center"/>
    </xf>
    <xf numFmtId="165" fontId="0" fillId="13" borderId="14" xfId="0" applyNumberFormat="1" applyFill="1" applyBorder="1" applyAlignment="1">
      <alignment horizontal="center" vertical="center"/>
    </xf>
    <xf numFmtId="165" fontId="0" fillId="13" borderId="7" xfId="0" applyNumberFormat="1" applyFill="1" applyBorder="1" applyAlignment="1">
      <alignment horizontal="center" vertical="center"/>
    </xf>
    <xf numFmtId="165" fontId="0" fillId="13" borderId="15" xfId="0" applyNumberFormat="1" applyFill="1" applyBorder="1" applyAlignment="1">
      <alignment horizontal="center" vertical="center"/>
    </xf>
    <xf numFmtId="165" fontId="0" fillId="5" borderId="14" xfId="0" applyNumberFormat="1" applyFill="1" applyBorder="1" applyAlignment="1">
      <alignment horizontal="center" vertical="center"/>
    </xf>
    <xf numFmtId="165" fontId="0" fillId="5" borderId="7" xfId="0" applyNumberFormat="1" applyFill="1" applyBorder="1" applyAlignment="1">
      <alignment horizontal="center" vertical="center"/>
    </xf>
    <xf numFmtId="165" fontId="0" fillId="5" borderId="15" xfId="0" applyNumberFormat="1" applyFill="1" applyBorder="1" applyAlignment="1">
      <alignment horizontal="center" vertical="center"/>
    </xf>
    <xf numFmtId="165" fontId="0" fillId="4" borderId="14" xfId="0" applyNumberFormat="1" applyFill="1" applyBorder="1" applyAlignment="1">
      <alignment horizontal="center" vertical="center"/>
    </xf>
    <xf numFmtId="165" fontId="0" fillId="4" borderId="7" xfId="0" applyNumberFormat="1" applyFill="1" applyBorder="1" applyAlignment="1">
      <alignment horizontal="center" vertical="center"/>
    </xf>
    <xf numFmtId="165" fontId="0" fillId="4" borderId="15" xfId="0" applyNumberFormat="1" applyFill="1" applyBorder="1" applyAlignment="1">
      <alignment horizontal="center" vertical="center"/>
    </xf>
    <xf numFmtId="165" fontId="0" fillId="7" borderId="14" xfId="0" applyNumberFormat="1" applyFill="1" applyBorder="1" applyAlignment="1">
      <alignment horizontal="center" vertical="center"/>
    </xf>
    <xf numFmtId="165" fontId="0" fillId="7" borderId="7" xfId="0" applyNumberFormat="1" applyFill="1" applyBorder="1" applyAlignment="1">
      <alignment horizontal="center" vertical="center"/>
    </xf>
    <xf numFmtId="165" fontId="0" fillId="7" borderId="15" xfId="0" applyNumberFormat="1" applyFill="1" applyBorder="1" applyAlignment="1">
      <alignment horizontal="center" vertical="center"/>
    </xf>
    <xf numFmtId="165" fontId="0" fillId="9" borderId="14" xfId="0" applyNumberFormat="1" applyFill="1" applyBorder="1" applyAlignment="1">
      <alignment horizontal="center" vertical="center"/>
    </xf>
    <xf numFmtId="165" fontId="0" fillId="9" borderId="7" xfId="0" applyNumberFormat="1" applyFill="1" applyBorder="1" applyAlignment="1">
      <alignment horizontal="center" vertical="center"/>
    </xf>
    <xf numFmtId="165" fontId="0" fillId="9" borderId="15" xfId="0" applyNumberFormat="1" applyFill="1" applyBorder="1" applyAlignment="1">
      <alignment horizontal="center" vertical="center"/>
    </xf>
    <xf numFmtId="165" fontId="0" fillId="8" borderId="14" xfId="0" applyNumberFormat="1" applyFill="1" applyBorder="1" applyAlignment="1">
      <alignment horizontal="center" vertical="center"/>
    </xf>
    <xf numFmtId="165" fontId="0" fillId="8" borderId="7" xfId="0" applyNumberFormat="1" applyFill="1" applyBorder="1" applyAlignment="1">
      <alignment horizontal="center" vertical="center"/>
    </xf>
    <xf numFmtId="165" fontId="0" fillId="8" borderId="15" xfId="0" applyNumberFormat="1" applyFill="1" applyBorder="1" applyAlignment="1">
      <alignment horizontal="center" vertical="center"/>
    </xf>
    <xf numFmtId="165" fontId="0" fillId="3" borderId="14" xfId="0" applyNumberFormat="1" applyFill="1" applyBorder="1" applyAlignment="1">
      <alignment horizontal="center" vertical="center"/>
    </xf>
    <xf numFmtId="165" fontId="0" fillId="3" borderId="7" xfId="0" applyNumberFormat="1" applyFill="1" applyBorder="1" applyAlignment="1">
      <alignment horizontal="center" vertical="center"/>
    </xf>
    <xf numFmtId="165" fontId="0" fillId="3" borderId="15" xfId="0" applyNumberForma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4" fontId="0" fillId="0" borderId="0" xfId="0" applyNumberFormat="1"/>
    <xf numFmtId="4" fontId="1" fillId="0" borderId="0" xfId="0" applyNumberFormat="1" applyFont="1"/>
    <xf numFmtId="0" fontId="0" fillId="0" borderId="10" xfId="0" applyBorder="1"/>
    <xf numFmtId="0" fontId="21" fillId="0" borderId="10" xfId="0" applyFont="1" applyBorder="1" applyAlignment="1">
      <alignment horizontal="right" vertical="center"/>
    </xf>
    <xf numFmtId="0" fontId="21" fillId="0" borderId="10" xfId="0" applyFont="1" applyBorder="1" applyAlignment="1">
      <alignment horizontal="left" vertical="center"/>
    </xf>
    <xf numFmtId="4" fontId="0" fillId="0" borderId="1" xfId="0" applyNumberFormat="1" applyBorder="1"/>
    <xf numFmtId="4" fontId="1" fillId="0" borderId="1" xfId="0" applyNumberFormat="1" applyFont="1" applyBorder="1"/>
    <xf numFmtId="0" fontId="0" fillId="0" borderId="54" xfId="0" applyBorder="1"/>
    <xf numFmtId="3" fontId="0" fillId="0" borderId="0" xfId="0" applyNumberFormat="1"/>
    <xf numFmtId="0" fontId="21" fillId="0" borderId="10" xfId="0" applyFont="1" applyBorder="1" applyAlignment="1">
      <alignment vertical="center"/>
    </xf>
    <xf numFmtId="0" fontId="0" fillId="0" borderId="12" xfId="0" applyBorder="1"/>
    <xf numFmtId="1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3" fontId="0" fillId="0" borderId="10" xfId="0" applyNumberFormat="1" applyBorder="1"/>
    <xf numFmtId="0" fontId="7" fillId="0" borderId="10" xfId="0" applyFont="1" applyBorder="1"/>
    <xf numFmtId="4" fontId="7" fillId="2" borderId="0" xfId="0" applyNumberFormat="1" applyFont="1" applyFill="1"/>
    <xf numFmtId="0" fontId="23" fillId="0" borderId="0" xfId="0" applyFont="1" applyAlignment="1">
      <alignment horizontal="center" vertical="center" wrapText="1"/>
    </xf>
    <xf numFmtId="165" fontId="25" fillId="6" borderId="35" xfId="0" applyNumberFormat="1" applyFont="1" applyFill="1" applyBorder="1" applyAlignment="1">
      <alignment horizontal="center" vertical="center"/>
    </xf>
    <xf numFmtId="165" fontId="25" fillId="10" borderId="35" xfId="0" applyNumberFormat="1" applyFont="1" applyFill="1" applyBorder="1" applyAlignment="1">
      <alignment horizontal="center" vertical="center"/>
    </xf>
    <xf numFmtId="165" fontId="25" fillId="13" borderId="35" xfId="0" applyNumberFormat="1" applyFont="1" applyFill="1" applyBorder="1" applyAlignment="1">
      <alignment horizontal="center" vertical="center"/>
    </xf>
    <xf numFmtId="165" fontId="25" fillId="5" borderId="35" xfId="0" applyNumberFormat="1" applyFont="1" applyFill="1" applyBorder="1" applyAlignment="1">
      <alignment horizontal="center" vertical="center"/>
    </xf>
    <xf numFmtId="165" fontId="25" fillId="4" borderId="35" xfId="0" applyNumberFormat="1" applyFont="1" applyFill="1" applyBorder="1" applyAlignment="1">
      <alignment horizontal="center" vertical="center"/>
    </xf>
    <xf numFmtId="165" fontId="25" fillId="7" borderId="35" xfId="0" applyNumberFormat="1" applyFont="1" applyFill="1" applyBorder="1" applyAlignment="1">
      <alignment horizontal="center" vertical="center"/>
    </xf>
    <xf numFmtId="165" fontId="25" fillId="9" borderId="35" xfId="0" applyNumberFormat="1" applyFont="1" applyFill="1" applyBorder="1" applyAlignment="1">
      <alignment horizontal="center" vertical="center"/>
    </xf>
    <xf numFmtId="165" fontId="25" fillId="8" borderId="35" xfId="0" applyNumberFormat="1" applyFont="1" applyFill="1" applyBorder="1" applyAlignment="1">
      <alignment horizontal="center" vertical="center"/>
    </xf>
    <xf numFmtId="165" fontId="25" fillId="3" borderId="35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" fontId="1" fillId="2" borderId="0" xfId="0" applyNumberFormat="1" applyFont="1" applyFill="1"/>
    <xf numFmtId="4" fontId="1" fillId="2" borderId="1" xfId="0" applyNumberFormat="1" applyFont="1" applyFill="1" applyBorder="1"/>
    <xf numFmtId="4" fontId="7" fillId="16" borderId="0" xfId="0" applyNumberFormat="1" applyFont="1" applyFill="1"/>
    <xf numFmtId="168" fontId="1" fillId="16" borderId="0" xfId="0" applyNumberFormat="1" applyFont="1" applyFill="1"/>
    <xf numFmtId="168" fontId="1" fillId="16" borderId="1" xfId="0" applyNumberFormat="1" applyFont="1" applyFill="1" applyBorder="1"/>
    <xf numFmtId="165" fontId="25" fillId="17" borderId="35" xfId="0" applyNumberFormat="1" applyFont="1" applyFill="1" applyBorder="1" applyAlignment="1">
      <alignment horizontal="center" vertical="center"/>
    </xf>
    <xf numFmtId="169" fontId="0" fillId="0" borderId="0" xfId="0" applyNumberFormat="1"/>
    <xf numFmtId="169" fontId="1" fillId="0" borderId="35" xfId="0" applyNumberFormat="1" applyFont="1" applyBorder="1"/>
    <xf numFmtId="0" fontId="1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56" xfId="0" applyBorder="1" applyAlignment="1">
      <alignment horizontal="right"/>
    </xf>
    <xf numFmtId="0" fontId="0" fillId="0" borderId="98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97" xfId="0" applyBorder="1" applyAlignment="1">
      <alignment horizontal="right"/>
    </xf>
    <xf numFmtId="4" fontId="1" fillId="14" borderId="96" xfId="0" applyNumberFormat="1" applyFont="1" applyFill="1" applyBorder="1" applyAlignment="1">
      <alignment horizontal="right"/>
    </xf>
    <xf numFmtId="4" fontId="1" fillId="14" borderId="2" xfId="0" applyNumberFormat="1" applyFont="1" applyFill="1" applyBorder="1" applyAlignment="1">
      <alignment horizontal="right"/>
    </xf>
    <xf numFmtId="4" fontId="1" fillId="14" borderId="0" xfId="0" applyNumberFormat="1" applyFont="1" applyFill="1" applyAlignment="1">
      <alignment horizontal="right"/>
    </xf>
    <xf numFmtId="4" fontId="1" fillId="14" borderId="1" xfId="0" applyNumberFormat="1" applyFont="1" applyFill="1" applyBorder="1" applyAlignment="1">
      <alignment horizontal="right"/>
    </xf>
    <xf numFmtId="169" fontId="0" fillId="0" borderId="10" xfId="0" applyNumberFormat="1" applyBorder="1"/>
    <xf numFmtId="1" fontId="0" fillId="0" borderId="0" xfId="0" applyNumberFormat="1" applyAlignment="1">
      <alignment horizontal="right"/>
    </xf>
    <xf numFmtId="0" fontId="1" fillId="0" borderId="9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4" borderId="95" xfId="0" applyFont="1" applyFill="1" applyBorder="1" applyAlignment="1">
      <alignment horizontal="center" vertical="center"/>
    </xf>
    <xf numFmtId="4" fontId="32" fillId="20" borderId="10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1" fillId="2" borderId="3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textRotation="90"/>
    </xf>
    <xf numFmtId="0" fontId="14" fillId="0" borderId="9" xfId="0" applyFont="1" applyBorder="1" applyAlignment="1">
      <alignment vertical="center" wrapText="1"/>
    </xf>
    <xf numFmtId="1" fontId="8" fillId="2" borderId="35" xfId="0" applyNumberFormat="1" applyFont="1" applyFill="1" applyBorder="1" applyAlignment="1">
      <alignment horizontal="center" vertical="center"/>
    </xf>
    <xf numFmtId="0" fontId="13" fillId="12" borderId="35" xfId="0" applyFont="1" applyFill="1" applyBorder="1" applyAlignment="1">
      <alignment horizontal="center" vertical="center"/>
    </xf>
    <xf numFmtId="1" fontId="15" fillId="0" borderId="0" xfId="0" applyNumberFormat="1" applyFont="1" applyAlignment="1">
      <alignment vertical="center"/>
    </xf>
    <xf numFmtId="0" fontId="14" fillId="0" borderId="7" xfId="0" applyFont="1" applyBorder="1" applyAlignment="1">
      <alignment vertical="center" wrapText="1"/>
    </xf>
    <xf numFmtId="0" fontId="9" fillId="0" borderId="7" xfId="0" applyFont="1" applyBorder="1" applyAlignment="1">
      <alignment vertical="center"/>
    </xf>
    <xf numFmtId="166" fontId="38" fillId="20" borderId="10" xfId="0" applyNumberFormat="1" applyFont="1" applyFill="1" applyBorder="1" applyAlignment="1">
      <alignment horizontal="center" vertical="center"/>
    </xf>
    <xf numFmtId="166" fontId="38" fillId="16" borderId="10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165" fontId="11" fillId="0" borderId="35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 textRotation="90" shrinkToFit="1"/>
    </xf>
    <xf numFmtId="0" fontId="19" fillId="0" borderId="53" xfId="0" applyFont="1" applyBorder="1" applyAlignment="1">
      <alignment horizontal="center" vertical="center" textRotation="90" shrinkToFit="1"/>
    </xf>
    <xf numFmtId="0" fontId="11" fillId="0" borderId="11" xfId="0" applyFont="1" applyBorder="1" applyAlignment="1">
      <alignment horizontal="center" vertical="center" textRotation="90" shrinkToFit="1"/>
    </xf>
    <xf numFmtId="0" fontId="9" fillId="0" borderId="8" xfId="0" applyFont="1" applyBorder="1" applyAlignment="1">
      <alignment horizontal="center" vertical="center" textRotation="90" shrinkToFit="1"/>
    </xf>
    <xf numFmtId="0" fontId="16" fillId="0" borderId="39" xfId="0" applyFont="1" applyBorder="1" applyAlignment="1">
      <alignment horizontal="left" vertical="center"/>
    </xf>
    <xf numFmtId="0" fontId="16" fillId="0" borderId="37" xfId="0" applyFont="1" applyBorder="1" applyAlignment="1">
      <alignment horizontal="left" vertical="center"/>
    </xf>
    <xf numFmtId="0" fontId="16" fillId="0" borderId="38" xfId="0" applyFont="1" applyBorder="1" applyAlignment="1">
      <alignment horizontal="left" vertical="center"/>
    </xf>
    <xf numFmtId="0" fontId="16" fillId="0" borderId="40" xfId="0" applyFont="1" applyBorder="1" applyAlignment="1">
      <alignment horizontal="left" vertical="center"/>
    </xf>
    <xf numFmtId="0" fontId="16" fillId="0" borderId="43" xfId="0" applyFont="1" applyBorder="1" applyAlignment="1">
      <alignment horizontal="left" vertical="center"/>
    </xf>
    <xf numFmtId="0" fontId="16" fillId="0" borderId="41" xfId="0" applyFont="1" applyBorder="1" applyAlignment="1">
      <alignment horizontal="left" vertical="center"/>
    </xf>
    <xf numFmtId="0" fontId="16" fillId="0" borderId="42" xfId="0" applyFont="1" applyBorder="1" applyAlignment="1">
      <alignment horizontal="left" vertical="center"/>
    </xf>
    <xf numFmtId="0" fontId="16" fillId="0" borderId="44" xfId="0" applyFont="1" applyBorder="1" applyAlignment="1">
      <alignment horizontal="left" vertical="center"/>
    </xf>
    <xf numFmtId="0" fontId="16" fillId="0" borderId="47" xfId="0" applyFont="1" applyBorder="1" applyAlignment="1">
      <alignment horizontal="left" vertical="center"/>
    </xf>
    <xf numFmtId="0" fontId="16" fillId="0" borderId="45" xfId="0" applyFont="1" applyBorder="1" applyAlignment="1">
      <alignment horizontal="left" vertical="center"/>
    </xf>
    <xf numFmtId="0" fontId="16" fillId="0" borderId="46" xfId="0" applyFont="1" applyBorder="1" applyAlignment="1">
      <alignment horizontal="left" vertical="center"/>
    </xf>
    <xf numFmtId="0" fontId="16" fillId="0" borderId="48" xfId="0" applyFont="1" applyBorder="1" applyAlignment="1">
      <alignment horizontal="left" vertical="center"/>
    </xf>
    <xf numFmtId="0" fontId="16" fillId="0" borderId="51" xfId="0" applyFont="1" applyBorder="1" applyAlignment="1">
      <alignment horizontal="left" vertical="center"/>
    </xf>
    <xf numFmtId="0" fontId="16" fillId="0" borderId="49" xfId="0" applyFont="1" applyBorder="1" applyAlignment="1">
      <alignment horizontal="left" vertical="center"/>
    </xf>
    <xf numFmtId="0" fontId="16" fillId="0" borderId="50" xfId="0" applyFont="1" applyBorder="1" applyAlignment="1">
      <alignment horizontal="left" vertical="center"/>
    </xf>
    <xf numFmtId="0" fontId="16" fillId="0" borderId="52" xfId="0" applyFont="1" applyBorder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1" fontId="11" fillId="0" borderId="18" xfId="0" applyNumberFormat="1" applyFont="1" applyBorder="1" applyAlignment="1">
      <alignment horizontal="center" vertical="center"/>
    </xf>
    <xf numFmtId="165" fontId="11" fillId="0" borderId="18" xfId="0" applyNumberFormat="1" applyFont="1" applyBorder="1" applyAlignment="1">
      <alignment horizontal="center" vertical="center" wrapText="1"/>
    </xf>
    <xf numFmtId="0" fontId="11" fillId="0" borderId="18" xfId="0" applyFont="1" applyBorder="1" applyAlignment="1">
      <alignment vertical="center"/>
    </xf>
    <xf numFmtId="0" fontId="9" fillId="0" borderId="26" xfId="0" applyFont="1" applyBorder="1" applyAlignment="1">
      <alignment horizontal="center" vertical="center"/>
    </xf>
    <xf numFmtId="1" fontId="9" fillId="0" borderId="25" xfId="0" applyNumberFormat="1" applyFont="1" applyBorder="1" applyAlignment="1">
      <alignment horizontal="center" vertical="center"/>
    </xf>
    <xf numFmtId="165" fontId="9" fillId="6" borderId="22" xfId="0" applyNumberFormat="1" applyFont="1" applyFill="1" applyBorder="1" applyAlignment="1">
      <alignment horizontal="center" vertical="center"/>
    </xf>
    <xf numFmtId="0" fontId="8" fillId="0" borderId="22" xfId="0" applyFont="1" applyBorder="1" applyAlignment="1">
      <alignment vertical="center"/>
    </xf>
    <xf numFmtId="0" fontId="9" fillId="0" borderId="27" xfId="0" applyFont="1" applyBorder="1" applyAlignment="1">
      <alignment horizontal="center" vertical="center"/>
    </xf>
    <xf numFmtId="1" fontId="9" fillId="0" borderId="23" xfId="0" applyNumberFormat="1" applyFont="1" applyBorder="1" applyAlignment="1">
      <alignment horizontal="center" vertical="center"/>
    </xf>
    <xf numFmtId="165" fontId="9" fillId="6" borderId="20" xfId="0" applyNumberFormat="1" applyFont="1" applyFill="1" applyBorder="1" applyAlignment="1">
      <alignment horizontal="center" vertical="center"/>
    </xf>
    <xf numFmtId="0" fontId="8" fillId="0" borderId="20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9" fillId="0" borderId="28" xfId="0" applyFont="1" applyBorder="1" applyAlignment="1">
      <alignment horizontal="center" vertical="center"/>
    </xf>
    <xf numFmtId="1" fontId="9" fillId="0" borderId="24" xfId="0" applyNumberFormat="1" applyFont="1" applyBorder="1" applyAlignment="1">
      <alignment horizontal="center" vertical="center"/>
    </xf>
    <xf numFmtId="165" fontId="9" fillId="6" borderId="21" xfId="0" applyNumberFormat="1" applyFont="1" applyFill="1" applyBorder="1" applyAlignment="1">
      <alignment horizontal="center" vertical="center"/>
    </xf>
    <xf numFmtId="0" fontId="9" fillId="0" borderId="21" xfId="0" applyFont="1" applyBorder="1" applyAlignment="1">
      <alignment vertical="center"/>
    </xf>
    <xf numFmtId="165" fontId="9" fillId="10" borderId="22" xfId="0" applyNumberFormat="1" applyFont="1" applyFill="1" applyBorder="1" applyAlignment="1">
      <alignment horizontal="center" vertical="center"/>
    </xf>
    <xf numFmtId="0" fontId="9" fillId="0" borderId="22" xfId="0" applyFont="1" applyBorder="1" applyAlignment="1">
      <alignment vertical="center"/>
    </xf>
    <xf numFmtId="165" fontId="9" fillId="10" borderId="20" xfId="0" applyNumberFormat="1" applyFont="1" applyFill="1" applyBorder="1" applyAlignment="1">
      <alignment horizontal="center" vertical="center"/>
    </xf>
    <xf numFmtId="165" fontId="9" fillId="10" borderId="21" xfId="0" applyNumberFormat="1" applyFont="1" applyFill="1" applyBorder="1" applyAlignment="1">
      <alignment horizontal="center" vertical="center"/>
    </xf>
    <xf numFmtId="165" fontId="9" fillId="13" borderId="22" xfId="0" applyNumberFormat="1" applyFont="1" applyFill="1" applyBorder="1" applyAlignment="1">
      <alignment horizontal="center" vertical="center"/>
    </xf>
    <xf numFmtId="165" fontId="9" fillId="13" borderId="20" xfId="0" applyNumberFormat="1" applyFont="1" applyFill="1" applyBorder="1" applyAlignment="1">
      <alignment horizontal="center" vertical="center"/>
    </xf>
    <xf numFmtId="165" fontId="9" fillId="13" borderId="21" xfId="0" applyNumberFormat="1" applyFont="1" applyFill="1" applyBorder="1" applyAlignment="1">
      <alignment horizontal="center" vertical="center"/>
    </xf>
    <xf numFmtId="1" fontId="9" fillId="0" borderId="25" xfId="0" applyNumberFormat="1" applyFont="1" applyBorder="1" applyAlignment="1">
      <alignment horizontal="left" vertical="center"/>
    </xf>
    <xf numFmtId="165" fontId="9" fillId="5" borderId="22" xfId="0" applyNumberFormat="1" applyFont="1" applyFill="1" applyBorder="1" applyAlignment="1">
      <alignment horizontal="center" vertical="center"/>
    </xf>
    <xf numFmtId="1" fontId="9" fillId="0" borderId="23" xfId="0" applyNumberFormat="1" applyFont="1" applyBorder="1" applyAlignment="1">
      <alignment horizontal="left" vertical="center"/>
    </xf>
    <xf numFmtId="165" fontId="9" fillId="5" borderId="20" xfId="0" applyNumberFormat="1" applyFont="1" applyFill="1" applyBorder="1" applyAlignment="1">
      <alignment horizontal="center" vertical="center"/>
    </xf>
    <xf numFmtId="0" fontId="9" fillId="0" borderId="20" xfId="0" applyFont="1" applyBorder="1" applyAlignment="1">
      <alignment horizontal="left" vertical="center"/>
    </xf>
    <xf numFmtId="1" fontId="9" fillId="0" borderId="24" xfId="0" applyNumberFormat="1" applyFont="1" applyBorder="1" applyAlignment="1">
      <alignment horizontal="left" vertical="center"/>
    </xf>
    <xf numFmtId="165" fontId="9" fillId="5" borderId="21" xfId="0" applyNumberFormat="1" applyFont="1" applyFill="1" applyBorder="1" applyAlignment="1">
      <alignment horizontal="center" vertical="center"/>
    </xf>
    <xf numFmtId="0" fontId="9" fillId="0" borderId="21" xfId="0" applyFont="1" applyBorder="1" applyAlignment="1">
      <alignment horizontal="left" vertical="center"/>
    </xf>
    <xf numFmtId="165" fontId="9" fillId="4" borderId="22" xfId="0" applyNumberFormat="1" applyFont="1" applyFill="1" applyBorder="1" applyAlignment="1">
      <alignment horizontal="center" vertical="center"/>
    </xf>
    <xf numFmtId="165" fontId="9" fillId="4" borderId="20" xfId="0" applyNumberFormat="1" applyFont="1" applyFill="1" applyBorder="1" applyAlignment="1">
      <alignment horizontal="center" vertical="center"/>
    </xf>
    <xf numFmtId="165" fontId="9" fillId="4" borderId="21" xfId="0" applyNumberFormat="1" applyFont="1" applyFill="1" applyBorder="1" applyAlignment="1">
      <alignment horizontal="center" vertical="center"/>
    </xf>
    <xf numFmtId="165" fontId="9" fillId="7" borderId="22" xfId="0" applyNumberFormat="1" applyFont="1" applyFill="1" applyBorder="1" applyAlignment="1">
      <alignment horizontal="center" vertical="center"/>
    </xf>
    <xf numFmtId="165" fontId="9" fillId="7" borderId="20" xfId="0" applyNumberFormat="1" applyFont="1" applyFill="1" applyBorder="1" applyAlignment="1">
      <alignment horizontal="center" vertical="center"/>
    </xf>
    <xf numFmtId="165" fontId="9" fillId="7" borderId="21" xfId="0" applyNumberFormat="1" applyFont="1" applyFill="1" applyBorder="1" applyAlignment="1">
      <alignment horizontal="center" vertical="center"/>
    </xf>
    <xf numFmtId="165" fontId="9" fillId="9" borderId="22" xfId="0" applyNumberFormat="1" applyFont="1" applyFill="1" applyBorder="1" applyAlignment="1">
      <alignment horizontal="center" vertical="center"/>
    </xf>
    <xf numFmtId="165" fontId="9" fillId="9" borderId="20" xfId="0" applyNumberFormat="1" applyFont="1" applyFill="1" applyBorder="1" applyAlignment="1">
      <alignment horizontal="center" vertical="center"/>
    </xf>
    <xf numFmtId="165" fontId="9" fillId="9" borderId="21" xfId="0" applyNumberFormat="1" applyFont="1" applyFill="1" applyBorder="1" applyAlignment="1">
      <alignment horizontal="center" vertical="center"/>
    </xf>
    <xf numFmtId="165" fontId="9" fillId="8" borderId="22" xfId="0" applyNumberFormat="1" applyFont="1" applyFill="1" applyBorder="1" applyAlignment="1">
      <alignment horizontal="center" vertical="center"/>
    </xf>
    <xf numFmtId="165" fontId="9" fillId="8" borderId="20" xfId="0" applyNumberFormat="1" applyFont="1" applyFill="1" applyBorder="1" applyAlignment="1">
      <alignment horizontal="center" vertical="center"/>
    </xf>
    <xf numFmtId="165" fontId="9" fillId="8" borderId="21" xfId="0" applyNumberFormat="1" applyFont="1" applyFill="1" applyBorder="1" applyAlignment="1">
      <alignment horizontal="center" vertical="center"/>
    </xf>
    <xf numFmtId="165" fontId="9" fillId="3" borderId="22" xfId="0" applyNumberFormat="1" applyFont="1" applyFill="1" applyBorder="1" applyAlignment="1">
      <alignment horizontal="center" vertical="center"/>
    </xf>
    <xf numFmtId="165" fontId="9" fillId="3" borderId="20" xfId="0" applyNumberFormat="1" applyFont="1" applyFill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1" fontId="9" fillId="0" borderId="30" xfId="0" applyNumberFormat="1" applyFont="1" applyBorder="1" applyAlignment="1">
      <alignment horizontal="center" vertical="center"/>
    </xf>
    <xf numFmtId="165" fontId="9" fillId="3" borderId="31" xfId="0" applyNumberFormat="1" applyFont="1" applyFill="1" applyBorder="1" applyAlignment="1">
      <alignment horizontal="center" vertical="center"/>
    </xf>
    <xf numFmtId="0" fontId="9" fillId="0" borderId="31" xfId="0" applyFont="1" applyBorder="1" applyAlignment="1">
      <alignment vertical="center"/>
    </xf>
    <xf numFmtId="0" fontId="4" fillId="0" borderId="0" xfId="0" applyFont="1" applyProtection="1">
      <protection locked="0"/>
    </xf>
    <xf numFmtId="0" fontId="0" fillId="0" borderId="0" xfId="0" applyProtection="1">
      <protection locked="0"/>
    </xf>
    <xf numFmtId="0" fontId="5" fillId="0" borderId="0" xfId="0" applyFont="1"/>
    <xf numFmtId="0" fontId="4" fillId="0" borderId="1" xfId="0" applyFont="1" applyBorder="1"/>
    <xf numFmtId="0" fontId="4" fillId="0" borderId="2" xfId="0" applyFont="1" applyBorder="1"/>
    <xf numFmtId="1" fontId="3" fillId="0" borderId="0" xfId="0" applyNumberFormat="1" applyFont="1"/>
    <xf numFmtId="0" fontId="2" fillId="0" borderId="0" xfId="0" applyFont="1" applyAlignment="1">
      <alignment horizontal="left" vertical="center"/>
    </xf>
    <xf numFmtId="0" fontId="16" fillId="0" borderId="61" xfId="0" applyFont="1" applyBorder="1" applyAlignment="1">
      <alignment horizontal="left" vertical="center"/>
    </xf>
    <xf numFmtId="0" fontId="16" fillId="0" borderId="60" xfId="0" applyFont="1" applyBorder="1" applyAlignment="1">
      <alignment horizontal="left" vertical="center"/>
    </xf>
    <xf numFmtId="0" fontId="16" fillId="0" borderId="57" xfId="0" applyFont="1" applyBorder="1" applyAlignment="1">
      <alignment horizontal="left" vertical="center"/>
    </xf>
    <xf numFmtId="0" fontId="16" fillId="0" borderId="58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/>
    </xf>
    <xf numFmtId="0" fontId="0" fillId="0" borderId="56" xfId="0" applyBorder="1"/>
    <xf numFmtId="0" fontId="22" fillId="0" borderId="0" xfId="0" applyFont="1"/>
    <xf numFmtId="0" fontId="22" fillId="3" borderId="0" xfId="0" applyFont="1" applyFill="1"/>
    <xf numFmtId="0" fontId="5" fillId="3" borderId="0" xfId="0" applyFont="1" applyFill="1"/>
    <xf numFmtId="3" fontId="9" fillId="16" borderId="0" xfId="1" applyNumberFormat="1" applyFont="1" applyFill="1" applyBorder="1" applyAlignment="1" applyProtection="1">
      <alignment horizontal="right"/>
      <protection locked="0"/>
    </xf>
    <xf numFmtId="3" fontId="9" fillId="16" borderId="1" xfId="1" applyNumberFormat="1" applyFont="1" applyFill="1" applyBorder="1" applyAlignment="1" applyProtection="1">
      <alignment horizontal="right"/>
      <protection locked="0"/>
    </xf>
    <xf numFmtId="3" fontId="9" fillId="20" borderId="0" xfId="0" applyNumberFormat="1" applyFont="1" applyFill="1" applyAlignment="1" applyProtection="1">
      <alignment horizontal="right"/>
      <protection locked="0"/>
    </xf>
    <xf numFmtId="3" fontId="9" fillId="20" borderId="1" xfId="0" applyNumberFormat="1" applyFont="1" applyFill="1" applyBorder="1" applyAlignment="1" applyProtection="1">
      <alignment horizontal="right"/>
      <protection locked="0"/>
    </xf>
    <xf numFmtId="0" fontId="0" fillId="14" borderId="0" xfId="0" applyFill="1" applyAlignment="1" applyProtection="1">
      <alignment horizontal="right"/>
      <protection locked="0"/>
    </xf>
    <xf numFmtId="3" fontId="1" fillId="0" borderId="0" xfId="0" applyNumberFormat="1" applyFont="1"/>
    <xf numFmtId="3" fontId="1" fillId="0" borderId="35" xfId="0" applyNumberFormat="1" applyFont="1" applyBorder="1"/>
    <xf numFmtId="0" fontId="41" fillId="16" borderId="35" xfId="0" applyFont="1" applyFill="1" applyBorder="1" applyAlignment="1">
      <alignment horizontal="center"/>
    </xf>
    <xf numFmtId="0" fontId="41" fillId="20" borderId="35" xfId="0" applyFont="1" applyFill="1" applyBorder="1" applyAlignment="1">
      <alignment horizontal="center"/>
    </xf>
    <xf numFmtId="0" fontId="9" fillId="14" borderId="5" xfId="0" applyFont="1" applyFill="1" applyBorder="1" applyAlignment="1" applyProtection="1">
      <alignment horizontal="center" vertical="center"/>
      <protection locked="0"/>
    </xf>
    <xf numFmtId="0" fontId="13" fillId="15" borderId="4" xfId="0" applyFont="1" applyFill="1" applyBorder="1" applyAlignment="1" applyProtection="1">
      <alignment horizontal="center" vertical="center"/>
      <protection locked="0"/>
    </xf>
    <xf numFmtId="9" fontId="13" fillId="15" borderId="4" xfId="0" applyNumberFormat="1" applyFont="1" applyFill="1" applyBorder="1" applyAlignment="1" applyProtection="1">
      <alignment horizontal="right" vertical="center"/>
      <protection locked="0"/>
    </xf>
    <xf numFmtId="3" fontId="24" fillId="15" borderId="4" xfId="0" applyNumberFormat="1" applyFont="1" applyFill="1" applyBorder="1" applyAlignment="1" applyProtection="1">
      <alignment horizontal="right" vertical="center"/>
      <protection locked="0"/>
    </xf>
    <xf numFmtId="0" fontId="9" fillId="14" borderId="17" xfId="0" applyFont="1" applyFill="1" applyBorder="1" applyAlignment="1" applyProtection="1">
      <alignment horizontal="center" vertical="center"/>
      <protection locked="0"/>
    </xf>
    <xf numFmtId="0" fontId="13" fillId="15" borderId="55" xfId="0" applyFont="1" applyFill="1" applyBorder="1" applyAlignment="1" applyProtection="1">
      <alignment horizontal="center" vertical="center"/>
      <protection locked="0"/>
    </xf>
    <xf numFmtId="9" fontId="13" fillId="15" borderId="19" xfId="0" applyNumberFormat="1" applyFont="1" applyFill="1" applyBorder="1" applyAlignment="1" applyProtection="1">
      <alignment horizontal="right" vertical="center"/>
      <protection locked="0"/>
    </xf>
    <xf numFmtId="3" fontId="24" fillId="15" borderId="16" xfId="0" applyNumberFormat="1" applyFont="1" applyFill="1" applyBorder="1" applyAlignment="1" applyProtection="1">
      <alignment horizontal="right" vertical="center"/>
      <protection locked="0"/>
    </xf>
    <xf numFmtId="0" fontId="13" fillId="15" borderId="16" xfId="0" applyFont="1" applyFill="1" applyBorder="1" applyAlignment="1" applyProtection="1">
      <alignment horizontal="center" vertical="center"/>
      <protection locked="0"/>
    </xf>
    <xf numFmtId="0" fontId="13" fillId="15" borderId="32" xfId="0" applyFont="1" applyFill="1" applyBorder="1" applyAlignment="1" applyProtection="1">
      <alignment horizontal="center" vertical="center"/>
      <protection locked="0"/>
    </xf>
    <xf numFmtId="3" fontId="24" fillId="15" borderId="32" xfId="0" applyNumberFormat="1" applyFont="1" applyFill="1" applyBorder="1" applyAlignment="1" applyProtection="1">
      <alignment horizontal="right" vertical="center"/>
      <protection locked="0"/>
    </xf>
    <xf numFmtId="0" fontId="9" fillId="0" borderId="99" xfId="0" applyFont="1" applyBorder="1"/>
    <xf numFmtId="0" fontId="9" fillId="0" borderId="33" xfId="0" applyFont="1" applyBorder="1"/>
    <xf numFmtId="0" fontId="17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9" fillId="0" borderId="12" xfId="0" applyFont="1" applyBorder="1" applyAlignment="1">
      <alignment horizontal="right"/>
    </xf>
    <xf numFmtId="0" fontId="9" fillId="0" borderId="12" xfId="0" applyFont="1" applyBorder="1" applyAlignment="1">
      <alignment horizontal="left"/>
    </xf>
    <xf numFmtId="2" fontId="9" fillId="0" borderId="10" xfId="0" applyNumberFormat="1" applyFont="1" applyBorder="1" applyAlignment="1">
      <alignment horizontal="left"/>
    </xf>
    <xf numFmtId="0" fontId="9" fillId="0" borderId="81" xfId="0" applyFont="1" applyBorder="1"/>
    <xf numFmtId="0" fontId="9" fillId="0" borderId="12" xfId="0" applyFont="1" applyBorder="1"/>
    <xf numFmtId="0" fontId="9" fillId="0" borderId="82" xfId="0" applyFont="1" applyBorder="1"/>
    <xf numFmtId="0" fontId="9" fillId="0" borderId="79" xfId="0" applyFont="1" applyBorder="1"/>
    <xf numFmtId="0" fontId="9" fillId="0" borderId="100" xfId="0" applyFont="1" applyBorder="1"/>
    <xf numFmtId="0" fontId="9" fillId="0" borderId="34" xfId="0" applyFont="1" applyBorder="1"/>
    <xf numFmtId="0" fontId="17" fillId="0" borderId="10" xfId="0" applyFont="1" applyBorder="1"/>
    <xf numFmtId="0" fontId="17" fillId="0" borderId="33" xfId="0" applyFont="1" applyBorder="1" applyAlignment="1">
      <alignment horizontal="center"/>
    </xf>
    <xf numFmtId="0" fontId="11" fillId="0" borderId="10" xfId="0" applyFont="1" applyBorder="1" applyAlignment="1">
      <alignment horizontal="right"/>
    </xf>
    <xf numFmtId="0" fontId="11" fillId="0" borderId="33" xfId="0" applyFont="1" applyBorder="1" applyAlignment="1">
      <alignment horizontal="right"/>
    </xf>
    <xf numFmtId="0" fontId="11" fillId="0" borderId="34" xfId="0" applyFont="1" applyBorder="1" applyAlignment="1">
      <alignment horizontal="right"/>
    </xf>
    <xf numFmtId="0" fontId="11" fillId="0" borderId="34" xfId="0" applyFont="1" applyBorder="1" applyAlignment="1">
      <alignment horizontal="center"/>
    </xf>
    <xf numFmtId="2" fontId="17" fillId="0" borderId="10" xfId="0" applyNumberFormat="1" applyFont="1" applyBorder="1"/>
    <xf numFmtId="0" fontId="9" fillId="0" borderId="80" xfId="0" applyFont="1" applyBorder="1"/>
    <xf numFmtId="0" fontId="9" fillId="0" borderId="36" xfId="0" applyFont="1" applyBorder="1"/>
    <xf numFmtId="0" fontId="9" fillId="0" borderId="80" xfId="0" applyFont="1" applyBorder="1" applyAlignment="1">
      <alignment vertical="center"/>
    </xf>
    <xf numFmtId="0" fontId="17" fillId="0" borderId="10" xfId="0" applyFont="1" applyBorder="1" applyAlignment="1">
      <alignment horizontal="center" vertical="center"/>
    </xf>
    <xf numFmtId="0" fontId="11" fillId="0" borderId="13" xfId="0" applyFont="1" applyBorder="1" applyAlignment="1">
      <alignment horizontal="right" vertical="center" wrapText="1"/>
    </xf>
    <xf numFmtId="0" fontId="31" fillId="19" borderId="11" xfId="0" applyFont="1" applyFill="1" applyBorder="1" applyAlignment="1">
      <alignment horizontal="center" vertical="center"/>
    </xf>
    <xf numFmtId="0" fontId="17" fillId="0" borderId="54" xfId="0" applyFont="1" applyBorder="1" applyAlignment="1">
      <alignment horizontal="right" vertical="center" wrapText="1"/>
    </xf>
    <xf numFmtId="2" fontId="31" fillId="16" borderId="67" xfId="0" applyNumberFormat="1" applyFont="1" applyFill="1" applyBorder="1" applyAlignment="1">
      <alignment horizontal="center" vertical="center"/>
    </xf>
    <xf numFmtId="4" fontId="31" fillId="20" borderId="67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36" xfId="0" applyFont="1" applyBorder="1" applyAlignment="1">
      <alignment horizontal="right" vertical="center"/>
    </xf>
    <xf numFmtId="0" fontId="9" fillId="0" borderId="36" xfId="0" applyFont="1" applyBorder="1" applyAlignment="1">
      <alignment horizontal="left" vertical="center"/>
    </xf>
    <xf numFmtId="0" fontId="17" fillId="0" borderId="33" xfId="0" applyFont="1" applyBorder="1" applyAlignment="1">
      <alignment vertical="center"/>
    </xf>
    <xf numFmtId="2" fontId="31" fillId="20" borderId="67" xfId="0" applyNumberFormat="1" applyFont="1" applyFill="1" applyBorder="1" applyAlignment="1">
      <alignment horizontal="center" vertical="center"/>
    </xf>
    <xf numFmtId="0" fontId="9" fillId="0" borderId="82" xfId="0" applyFont="1" applyBorder="1" applyAlignment="1">
      <alignment vertical="center"/>
    </xf>
    <xf numFmtId="0" fontId="9" fillId="0" borderId="33" xfId="0" applyFont="1" applyBorder="1" applyAlignment="1">
      <alignment horizontal="center"/>
    </xf>
    <xf numFmtId="0" fontId="9" fillId="0" borderId="33" xfId="0" applyFont="1" applyBorder="1" applyAlignment="1">
      <alignment horizontal="left"/>
    </xf>
    <xf numFmtId="0" fontId="9" fillId="0" borderId="34" xfId="0" applyFont="1" applyBorder="1" applyAlignment="1">
      <alignment horizontal="center"/>
    </xf>
    <xf numFmtId="0" fontId="9" fillId="0" borderId="81" xfId="0" applyFont="1" applyBorder="1" applyAlignment="1">
      <alignment horizontal="right"/>
    </xf>
    <xf numFmtId="0" fontId="9" fillId="0" borderId="36" xfId="0" applyFont="1" applyBorder="1" applyAlignment="1">
      <alignment horizontal="right"/>
    </xf>
    <xf numFmtId="0" fontId="9" fillId="0" borderId="92" xfId="0" applyFont="1" applyBorder="1" applyAlignment="1">
      <alignment horizontal="center"/>
    </xf>
    <xf numFmtId="2" fontId="9" fillId="0" borderId="33" xfId="0" applyNumberFormat="1" applyFont="1" applyBorder="1" applyAlignment="1">
      <alignment horizontal="center"/>
    </xf>
    <xf numFmtId="0" fontId="11" fillId="18" borderId="63" xfId="0" applyFont="1" applyFill="1" applyBorder="1" applyAlignment="1">
      <alignment vertical="center" wrapText="1"/>
    </xf>
    <xf numFmtId="0" fontId="9" fillId="0" borderId="101" xfId="0" applyFont="1" applyBorder="1"/>
    <xf numFmtId="0" fontId="11" fillId="0" borderId="93" xfId="0" applyFont="1" applyBorder="1" applyAlignment="1">
      <alignment horizontal="center" vertical="center"/>
    </xf>
    <xf numFmtId="1" fontId="11" fillId="0" borderId="94" xfId="0" applyNumberFormat="1" applyFont="1" applyBorder="1" applyAlignment="1">
      <alignment horizontal="center" vertical="center"/>
    </xf>
    <xf numFmtId="165" fontId="11" fillId="0" borderId="94" xfId="0" applyNumberFormat="1" applyFont="1" applyBorder="1" applyAlignment="1">
      <alignment horizontal="center" vertical="center" wrapText="1"/>
    </xf>
    <xf numFmtId="1" fontId="11" fillId="0" borderId="3" xfId="0" applyNumberFormat="1" applyFont="1" applyBorder="1" applyAlignment="1">
      <alignment horizontal="left" vertical="center"/>
    </xf>
    <xf numFmtId="1" fontId="11" fillId="0" borderId="94" xfId="0" applyNumberFormat="1" applyFont="1" applyBorder="1" applyAlignment="1">
      <alignment horizontal="center" vertical="center" wrapText="1"/>
    </xf>
    <xf numFmtId="1" fontId="17" fillId="0" borderId="94" xfId="0" applyNumberFormat="1" applyFont="1" applyBorder="1" applyAlignment="1">
      <alignment horizontal="center" vertical="center" wrapText="1"/>
    </xf>
    <xf numFmtId="2" fontId="11" fillId="0" borderId="95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6" xfId="0" applyFont="1" applyBorder="1"/>
    <xf numFmtId="0" fontId="11" fillId="18" borderId="90" xfId="0" applyFont="1" applyFill="1" applyBorder="1" applyAlignment="1">
      <alignment vertical="center"/>
    </xf>
    <xf numFmtId="2" fontId="11" fillId="18" borderId="68" xfId="0" applyNumberFormat="1" applyFont="1" applyFill="1" applyBorder="1" applyAlignment="1">
      <alignment vertical="center" wrapText="1"/>
    </xf>
    <xf numFmtId="0" fontId="11" fillId="18" borderId="66" xfId="0" applyFont="1" applyFill="1" applyBorder="1" applyAlignment="1">
      <alignment vertical="center" wrapText="1"/>
    </xf>
    <xf numFmtId="0" fontId="11" fillId="18" borderId="68" xfId="0" applyFont="1" applyFill="1" applyBorder="1" applyAlignment="1">
      <alignment vertical="center"/>
    </xf>
    <xf numFmtId="164" fontId="11" fillId="18" borderId="68" xfId="2" applyFont="1" applyFill="1" applyBorder="1" applyAlignment="1" applyProtection="1">
      <alignment vertical="center" wrapText="1"/>
    </xf>
    <xf numFmtId="170" fontId="17" fillId="18" borderId="91" xfId="0" applyNumberFormat="1" applyFont="1" applyFill="1" applyBorder="1" applyAlignment="1">
      <alignment vertical="center"/>
    </xf>
    <xf numFmtId="0" fontId="9" fillId="0" borderId="56" xfId="0" applyFont="1" applyBorder="1" applyAlignment="1">
      <alignment horizontal="center" vertical="center"/>
    </xf>
    <xf numFmtId="1" fontId="9" fillId="6" borderId="14" xfId="0" applyNumberFormat="1" applyFont="1" applyFill="1" applyBorder="1" applyAlignment="1">
      <alignment horizontal="center" vertical="center"/>
    </xf>
    <xf numFmtId="1" fontId="9" fillId="0" borderId="14" xfId="0" applyNumberFormat="1" applyFont="1" applyBorder="1" applyAlignment="1">
      <alignment horizontal="center" vertical="center"/>
    </xf>
    <xf numFmtId="165" fontId="9" fillId="6" borderId="14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left"/>
    </xf>
    <xf numFmtId="0" fontId="9" fillId="21" borderId="0" xfId="0" applyFont="1" applyFill="1" applyAlignment="1">
      <alignment horizontal="center"/>
    </xf>
    <xf numFmtId="3" fontId="9" fillId="0" borderId="0" xfId="0" applyNumberFormat="1" applyFont="1" applyAlignment="1">
      <alignment horizontal="right"/>
    </xf>
    <xf numFmtId="9" fontId="9" fillId="0" borderId="0" xfId="1" applyFont="1" applyBorder="1" applyAlignment="1" applyProtection="1">
      <alignment horizontal="right"/>
    </xf>
    <xf numFmtId="167" fontId="9" fillId="0" borderId="0" xfId="0" applyNumberFormat="1" applyFont="1" applyAlignment="1">
      <alignment horizontal="right"/>
    </xf>
    <xf numFmtId="1" fontId="9" fillId="0" borderId="0" xfId="0" applyNumberFormat="1" applyFont="1" applyAlignment="1">
      <alignment horizontal="right"/>
    </xf>
    <xf numFmtId="166" fontId="9" fillId="0" borderId="0" xfId="0" applyNumberFormat="1" applyFont="1" applyAlignment="1">
      <alignment horizontal="right"/>
    </xf>
    <xf numFmtId="166" fontId="9" fillId="0" borderId="96" xfId="0" applyNumberFormat="1" applyFont="1" applyBorder="1" applyAlignment="1">
      <alignment horizontal="right"/>
    </xf>
    <xf numFmtId="0" fontId="9" fillId="2" borderId="0" xfId="0" applyFont="1" applyFill="1" applyAlignment="1">
      <alignment horizontal="center"/>
    </xf>
    <xf numFmtId="0" fontId="29" fillId="2" borderId="0" xfId="0" applyFont="1" applyFill="1" applyAlignment="1">
      <alignment horizontal="center"/>
    </xf>
    <xf numFmtId="0" fontId="9" fillId="0" borderId="84" xfId="0" applyFont="1" applyBorder="1"/>
    <xf numFmtId="165" fontId="4" fillId="3" borderId="69" xfId="0" applyNumberFormat="1" applyFont="1" applyFill="1" applyBorder="1" applyAlignment="1">
      <alignment vertical="center"/>
    </xf>
    <xf numFmtId="171" fontId="4" fillId="0" borderId="70" xfId="2" applyNumberFormat="1" applyFont="1" applyBorder="1" applyAlignment="1" applyProtection="1">
      <alignment horizontal="right" vertical="center" wrapText="1"/>
    </xf>
    <xf numFmtId="0" fontId="28" fillId="0" borderId="71" xfId="0" applyFont="1" applyBorder="1" applyAlignment="1">
      <alignment vertical="center"/>
    </xf>
    <xf numFmtId="165" fontId="4" fillId="6" borderId="70" xfId="0" applyNumberFormat="1" applyFont="1" applyFill="1" applyBorder="1" applyAlignment="1">
      <alignment vertical="center"/>
    </xf>
    <xf numFmtId="171" fontId="4" fillId="0" borderId="70" xfId="2" applyNumberFormat="1" applyFont="1" applyBorder="1" applyAlignment="1" applyProtection="1">
      <alignment horizontal="right" vertical="center"/>
    </xf>
    <xf numFmtId="165" fontId="4" fillId="9" borderId="70" xfId="0" applyNumberFormat="1" applyFont="1" applyFill="1" applyBorder="1" applyAlignment="1">
      <alignment vertical="center"/>
    </xf>
    <xf numFmtId="170" fontId="4" fillId="0" borderId="72" xfId="0" applyNumberFormat="1" applyFont="1" applyBorder="1"/>
    <xf numFmtId="1" fontId="9" fillId="6" borderId="7" xfId="0" applyNumberFormat="1" applyFont="1" applyFill="1" applyBorder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65" fontId="9" fillId="6" borderId="7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168" fontId="9" fillId="0" borderId="96" xfId="0" applyNumberFormat="1" applyFont="1" applyBorder="1" applyAlignment="1">
      <alignment horizontal="right"/>
    </xf>
    <xf numFmtId="165" fontId="4" fillId="3" borderId="73" xfId="0" applyNumberFormat="1" applyFont="1" applyFill="1" applyBorder="1" applyAlignment="1">
      <alignment vertical="center"/>
    </xf>
    <xf numFmtId="171" fontId="4" fillId="0" borderId="65" xfId="2" applyNumberFormat="1" applyFont="1" applyBorder="1" applyAlignment="1" applyProtection="1">
      <alignment horizontal="right" vertical="center" wrapText="1"/>
    </xf>
    <xf numFmtId="0" fontId="28" fillId="0" borderId="66" xfId="0" applyFont="1" applyBorder="1" applyAlignment="1">
      <alignment vertical="center"/>
    </xf>
    <xf numFmtId="165" fontId="4" fillId="10" borderId="65" xfId="0" applyNumberFormat="1" applyFont="1" applyFill="1" applyBorder="1" applyAlignment="1">
      <alignment vertical="center"/>
    </xf>
    <xf numFmtId="171" fontId="4" fillId="0" borderId="65" xfId="2" applyNumberFormat="1" applyFont="1" applyBorder="1" applyAlignment="1" applyProtection="1">
      <alignment horizontal="right" vertical="center"/>
    </xf>
    <xf numFmtId="165" fontId="4" fillId="7" borderId="65" xfId="0" applyNumberFormat="1" applyFont="1" applyFill="1" applyBorder="1" applyAlignment="1">
      <alignment vertical="center"/>
    </xf>
    <xf numFmtId="170" fontId="4" fillId="0" borderId="74" xfId="0" applyNumberFormat="1" applyFont="1" applyBorder="1"/>
    <xf numFmtId="168" fontId="8" fillId="0" borderId="96" xfId="0" applyNumberFormat="1" applyFont="1" applyBorder="1" applyAlignment="1">
      <alignment horizontal="right"/>
    </xf>
    <xf numFmtId="165" fontId="4" fillId="13" borderId="65" xfId="0" applyNumberFormat="1" applyFont="1" applyFill="1" applyBorder="1" applyAlignment="1">
      <alignment vertical="center"/>
    </xf>
    <xf numFmtId="165" fontId="4" fillId="5" borderId="65" xfId="0" applyNumberFormat="1" applyFont="1" applyFill="1" applyBorder="1" applyAlignment="1">
      <alignment vertical="center"/>
    </xf>
    <xf numFmtId="165" fontId="4" fillId="9" borderId="65" xfId="0" applyNumberFormat="1" applyFont="1" applyFill="1" applyBorder="1" applyAlignment="1">
      <alignment vertical="center"/>
    </xf>
    <xf numFmtId="165" fontId="4" fillId="9" borderId="73" xfId="0" applyNumberFormat="1" applyFont="1" applyFill="1" applyBorder="1" applyAlignment="1">
      <alignment vertical="center"/>
    </xf>
    <xf numFmtId="165" fontId="4" fillId="4" borderId="65" xfId="0" applyNumberFormat="1" applyFont="1" applyFill="1" applyBorder="1" applyAlignment="1">
      <alignment vertical="center"/>
    </xf>
    <xf numFmtId="165" fontId="4" fillId="8" borderId="65" xfId="0" applyNumberFormat="1" applyFont="1" applyFill="1" applyBorder="1" applyAlignment="1">
      <alignment vertical="center"/>
    </xf>
    <xf numFmtId="165" fontId="4" fillId="3" borderId="65" xfId="0" applyNumberFormat="1" applyFont="1" applyFill="1" applyBorder="1" applyAlignment="1">
      <alignment vertical="center"/>
    </xf>
    <xf numFmtId="165" fontId="4" fillId="7" borderId="73" xfId="0" applyNumberFormat="1" applyFont="1" applyFill="1" applyBorder="1" applyAlignment="1">
      <alignment vertical="center"/>
    </xf>
    <xf numFmtId="0" fontId="9" fillId="0" borderId="97" xfId="0" applyFont="1" applyBorder="1" applyAlignment="1">
      <alignment horizontal="center" vertical="center"/>
    </xf>
    <xf numFmtId="1" fontId="9" fillId="6" borderId="15" xfId="0" applyNumberFormat="1" applyFont="1" applyFill="1" applyBorder="1" applyAlignment="1">
      <alignment horizontal="center" vertical="center"/>
    </xf>
    <xf numFmtId="1" fontId="9" fillId="0" borderId="15" xfId="0" applyNumberFormat="1" applyFont="1" applyBorder="1" applyAlignment="1">
      <alignment horizontal="center" vertical="center"/>
    </xf>
    <xf numFmtId="165" fontId="9" fillId="6" borderId="15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3" fontId="9" fillId="0" borderId="1" xfId="0" applyNumberFormat="1" applyFont="1" applyBorder="1" applyAlignment="1">
      <alignment horizontal="right"/>
    </xf>
    <xf numFmtId="9" fontId="9" fillId="0" borderId="1" xfId="1" applyFont="1" applyBorder="1" applyAlignment="1" applyProtection="1">
      <alignment horizontal="right"/>
    </xf>
    <xf numFmtId="167" fontId="9" fillId="0" borderId="1" xfId="0" applyNumberFormat="1" applyFont="1" applyBorder="1" applyAlignment="1">
      <alignment horizontal="right"/>
    </xf>
    <xf numFmtId="1" fontId="9" fillId="0" borderId="1" xfId="0" applyNumberFormat="1" applyFont="1" applyBorder="1" applyAlignment="1">
      <alignment horizontal="right"/>
    </xf>
    <xf numFmtId="166" fontId="9" fillId="0" borderId="1" xfId="0" applyNumberFormat="1" applyFont="1" applyBorder="1" applyAlignment="1">
      <alignment horizontal="right"/>
    </xf>
    <xf numFmtId="168" fontId="9" fillId="0" borderId="2" xfId="0" applyNumberFormat="1" applyFont="1" applyBorder="1" applyAlignment="1">
      <alignment horizontal="right"/>
    </xf>
    <xf numFmtId="0" fontId="29" fillId="2" borderId="1" xfId="0" applyFont="1" applyFill="1" applyBorder="1" applyAlignment="1">
      <alignment horizontal="center"/>
    </xf>
    <xf numFmtId="165" fontId="4" fillId="8" borderId="73" xfId="0" applyNumberFormat="1" applyFont="1" applyFill="1" applyBorder="1" applyAlignment="1">
      <alignment vertical="center"/>
    </xf>
    <xf numFmtId="1" fontId="9" fillId="10" borderId="14" xfId="0" applyNumberFormat="1" applyFont="1" applyFill="1" applyBorder="1" applyAlignment="1">
      <alignment horizontal="center" vertical="center"/>
    </xf>
    <xf numFmtId="165" fontId="9" fillId="10" borderId="14" xfId="0" applyNumberFormat="1" applyFont="1" applyFill="1" applyBorder="1" applyAlignment="1">
      <alignment horizontal="center" vertical="center"/>
    </xf>
    <xf numFmtId="1" fontId="9" fillId="10" borderId="7" xfId="0" applyNumberFormat="1" applyFont="1" applyFill="1" applyBorder="1" applyAlignment="1">
      <alignment horizontal="center" vertical="center"/>
    </xf>
    <xf numFmtId="165" fontId="9" fillId="10" borderId="7" xfId="0" applyNumberFormat="1" applyFont="1" applyFill="1" applyBorder="1" applyAlignment="1">
      <alignment horizontal="center" vertical="center"/>
    </xf>
    <xf numFmtId="165" fontId="4" fillId="6" borderId="65" xfId="0" applyNumberFormat="1" applyFont="1" applyFill="1" applyBorder="1" applyAlignment="1">
      <alignment vertical="center"/>
    </xf>
    <xf numFmtId="0" fontId="9" fillId="18" borderId="0" xfId="0" applyFont="1" applyFill="1" applyAlignment="1">
      <alignment horizontal="center"/>
    </xf>
    <xf numFmtId="1" fontId="9" fillId="10" borderId="15" xfId="0" applyNumberFormat="1" applyFont="1" applyFill="1" applyBorder="1" applyAlignment="1">
      <alignment horizontal="center" vertical="center"/>
    </xf>
    <xf numFmtId="165" fontId="9" fillId="10" borderId="15" xfId="0" applyNumberFormat="1" applyFont="1" applyFill="1" applyBorder="1" applyAlignment="1">
      <alignment horizontal="center" vertical="center"/>
    </xf>
    <xf numFmtId="1" fontId="9" fillId="11" borderId="14" xfId="0" applyNumberFormat="1" applyFont="1" applyFill="1" applyBorder="1" applyAlignment="1">
      <alignment horizontal="center" vertical="center"/>
    </xf>
    <xf numFmtId="165" fontId="9" fillId="13" borderId="14" xfId="0" applyNumberFormat="1" applyFont="1" applyFill="1" applyBorder="1" applyAlignment="1">
      <alignment horizontal="center" vertical="center"/>
    </xf>
    <xf numFmtId="1" fontId="9" fillId="11" borderId="7" xfId="0" applyNumberFormat="1" applyFont="1" applyFill="1" applyBorder="1" applyAlignment="1">
      <alignment horizontal="center" vertical="center"/>
    </xf>
    <xf numFmtId="165" fontId="9" fillId="13" borderId="7" xfId="0" applyNumberFormat="1" applyFont="1" applyFill="1" applyBorder="1" applyAlignment="1">
      <alignment horizontal="center" vertical="center"/>
    </xf>
    <xf numFmtId="165" fontId="4" fillId="10" borderId="73" xfId="0" applyNumberFormat="1" applyFont="1" applyFill="1" applyBorder="1" applyAlignment="1">
      <alignment vertical="center"/>
    </xf>
    <xf numFmtId="1" fontId="9" fillId="11" borderId="15" xfId="0" applyNumberFormat="1" applyFont="1" applyFill="1" applyBorder="1" applyAlignment="1">
      <alignment horizontal="center" vertical="center"/>
    </xf>
    <xf numFmtId="165" fontId="9" fillId="13" borderId="15" xfId="0" applyNumberFormat="1" applyFont="1" applyFill="1" applyBorder="1" applyAlignment="1">
      <alignment horizontal="center" vertical="center"/>
    </xf>
    <xf numFmtId="1" fontId="9" fillId="5" borderId="14" xfId="0" applyNumberFormat="1" applyFont="1" applyFill="1" applyBorder="1" applyAlignment="1">
      <alignment horizontal="center" vertical="center"/>
    </xf>
    <xf numFmtId="1" fontId="9" fillId="0" borderId="14" xfId="0" applyNumberFormat="1" applyFont="1" applyBorder="1" applyAlignment="1">
      <alignment horizontal="left" vertical="center"/>
    </xf>
    <xf numFmtId="165" fontId="9" fillId="5" borderId="14" xfId="0" applyNumberFormat="1" applyFont="1" applyFill="1" applyBorder="1" applyAlignment="1">
      <alignment horizontal="center" vertical="center"/>
    </xf>
    <xf numFmtId="1" fontId="9" fillId="5" borderId="7" xfId="0" applyNumberFormat="1" applyFont="1" applyFill="1" applyBorder="1" applyAlignment="1">
      <alignment horizontal="center" vertical="center"/>
    </xf>
    <xf numFmtId="1" fontId="9" fillId="0" borderId="7" xfId="0" applyNumberFormat="1" applyFont="1" applyBorder="1" applyAlignment="1">
      <alignment horizontal="left" vertical="center"/>
    </xf>
    <xf numFmtId="165" fontId="9" fillId="5" borderId="7" xfId="0" applyNumberFormat="1" applyFont="1" applyFill="1" applyBorder="1" applyAlignment="1">
      <alignment horizontal="center" vertical="center"/>
    </xf>
    <xf numFmtId="165" fontId="4" fillId="4" borderId="73" xfId="0" applyNumberFormat="1" applyFont="1" applyFill="1" applyBorder="1" applyAlignment="1">
      <alignment vertical="center"/>
    </xf>
    <xf numFmtId="165" fontId="4" fillId="6" borderId="73" xfId="0" applyNumberFormat="1" applyFont="1" applyFill="1" applyBorder="1" applyAlignment="1">
      <alignment vertical="center"/>
    </xf>
    <xf numFmtId="1" fontId="9" fillId="5" borderId="15" xfId="0" applyNumberFormat="1" applyFont="1" applyFill="1" applyBorder="1" applyAlignment="1">
      <alignment horizontal="center" vertical="center"/>
    </xf>
    <xf numFmtId="1" fontId="9" fillId="0" borderId="15" xfId="0" applyNumberFormat="1" applyFont="1" applyBorder="1" applyAlignment="1">
      <alignment horizontal="left" vertical="center"/>
    </xf>
    <xf numFmtId="165" fontId="9" fillId="5" borderId="15" xfId="0" applyNumberFormat="1" applyFont="1" applyFill="1" applyBorder="1" applyAlignment="1">
      <alignment horizontal="center" vertical="center"/>
    </xf>
    <xf numFmtId="171" fontId="4" fillId="19" borderId="65" xfId="2" applyNumberFormat="1" applyFont="1" applyFill="1" applyBorder="1" applyAlignment="1" applyProtection="1">
      <alignment horizontal="right" vertical="center"/>
    </xf>
    <xf numFmtId="170" fontId="4" fillId="19" borderId="74" xfId="0" applyNumberFormat="1" applyFont="1" applyFill="1" applyBorder="1"/>
    <xf numFmtId="1" fontId="9" fillId="4" borderId="14" xfId="0" applyNumberFormat="1" applyFont="1" applyFill="1" applyBorder="1" applyAlignment="1">
      <alignment horizontal="center" vertical="center"/>
    </xf>
    <xf numFmtId="165" fontId="9" fillId="4" borderId="14" xfId="0" applyNumberFormat="1" applyFont="1" applyFill="1" applyBorder="1" applyAlignment="1">
      <alignment horizontal="center" vertical="center"/>
    </xf>
    <xf numFmtId="1" fontId="9" fillId="4" borderId="7" xfId="0" applyNumberFormat="1" applyFont="1" applyFill="1" applyBorder="1" applyAlignment="1">
      <alignment horizontal="center" vertical="center"/>
    </xf>
    <xf numFmtId="165" fontId="9" fillId="4" borderId="7" xfId="0" applyNumberFormat="1" applyFont="1" applyFill="1" applyBorder="1" applyAlignment="1">
      <alignment horizontal="center" vertical="center"/>
    </xf>
    <xf numFmtId="1" fontId="9" fillId="4" borderId="15" xfId="0" applyNumberFormat="1" applyFont="1" applyFill="1" applyBorder="1" applyAlignment="1">
      <alignment horizontal="center" vertical="center"/>
    </xf>
    <xf numFmtId="165" fontId="9" fillId="4" borderId="15" xfId="0" applyNumberFormat="1" applyFont="1" applyFill="1" applyBorder="1" applyAlignment="1">
      <alignment horizontal="center" vertical="center"/>
    </xf>
    <xf numFmtId="1" fontId="9" fillId="7" borderId="14" xfId="0" applyNumberFormat="1" applyFont="1" applyFill="1" applyBorder="1" applyAlignment="1">
      <alignment horizontal="center" vertical="center"/>
    </xf>
    <xf numFmtId="165" fontId="9" fillId="7" borderId="14" xfId="0" applyNumberFormat="1" applyFont="1" applyFill="1" applyBorder="1" applyAlignment="1">
      <alignment horizontal="center" vertical="center"/>
    </xf>
    <xf numFmtId="1" fontId="9" fillId="7" borderId="7" xfId="0" applyNumberFormat="1" applyFont="1" applyFill="1" applyBorder="1" applyAlignment="1">
      <alignment horizontal="center" vertical="center"/>
    </xf>
    <xf numFmtId="165" fontId="9" fillId="7" borderId="7" xfId="0" applyNumberFormat="1" applyFont="1" applyFill="1" applyBorder="1" applyAlignment="1">
      <alignment horizontal="center" vertical="center"/>
    </xf>
    <xf numFmtId="165" fontId="4" fillId="5" borderId="73" xfId="0" applyNumberFormat="1" applyFont="1" applyFill="1" applyBorder="1" applyAlignment="1">
      <alignment vertical="center"/>
    </xf>
    <xf numFmtId="165" fontId="4" fillId="13" borderId="73" xfId="0" applyNumberFormat="1" applyFont="1" applyFill="1" applyBorder="1" applyAlignment="1">
      <alignment vertical="center"/>
    </xf>
    <xf numFmtId="1" fontId="9" fillId="7" borderId="15" xfId="0" applyNumberFormat="1" applyFont="1" applyFill="1" applyBorder="1" applyAlignment="1">
      <alignment horizontal="center" vertical="center"/>
    </xf>
    <xf numFmtId="165" fontId="9" fillId="7" borderId="15" xfId="0" applyNumberFormat="1" applyFont="1" applyFill="1" applyBorder="1" applyAlignment="1">
      <alignment horizontal="center" vertical="center"/>
    </xf>
    <xf numFmtId="1" fontId="9" fillId="9" borderId="14" xfId="0" applyNumberFormat="1" applyFont="1" applyFill="1" applyBorder="1" applyAlignment="1">
      <alignment horizontal="center" vertical="center"/>
    </xf>
    <xf numFmtId="165" fontId="9" fillId="9" borderId="14" xfId="0" applyNumberFormat="1" applyFont="1" applyFill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165" fontId="9" fillId="9" borderId="7" xfId="0" applyNumberFormat="1" applyFont="1" applyFill="1" applyBorder="1" applyAlignment="1">
      <alignment horizontal="center" vertical="center"/>
    </xf>
    <xf numFmtId="1" fontId="9" fillId="9" borderId="15" xfId="0" applyNumberFormat="1" applyFont="1" applyFill="1" applyBorder="1" applyAlignment="1">
      <alignment horizontal="center" vertical="center"/>
    </xf>
    <xf numFmtId="165" fontId="9" fillId="9" borderId="15" xfId="0" applyNumberFormat="1" applyFont="1" applyFill="1" applyBorder="1" applyAlignment="1">
      <alignment horizontal="center" vertical="center"/>
    </xf>
    <xf numFmtId="1" fontId="9" fillId="8" borderId="14" xfId="0" applyNumberFormat="1" applyFont="1" applyFill="1" applyBorder="1" applyAlignment="1">
      <alignment horizontal="center" vertical="center"/>
    </xf>
    <xf numFmtId="165" fontId="9" fillId="8" borderId="14" xfId="0" applyNumberFormat="1" applyFont="1" applyFill="1" applyBorder="1" applyAlignment="1">
      <alignment horizontal="center" vertical="center"/>
    </xf>
    <xf numFmtId="1" fontId="9" fillId="8" borderId="7" xfId="0" applyNumberFormat="1" applyFont="1" applyFill="1" applyBorder="1" applyAlignment="1">
      <alignment horizontal="center" vertical="center"/>
    </xf>
    <xf numFmtId="165" fontId="9" fillId="8" borderId="7" xfId="0" applyNumberFormat="1" applyFont="1" applyFill="1" applyBorder="1" applyAlignment="1">
      <alignment horizontal="center" vertical="center"/>
    </xf>
    <xf numFmtId="1" fontId="9" fillId="8" borderId="15" xfId="0" applyNumberFormat="1" applyFont="1" applyFill="1" applyBorder="1" applyAlignment="1">
      <alignment horizontal="center" vertical="center"/>
    </xf>
    <xf numFmtId="165" fontId="9" fillId="8" borderId="15" xfId="0" applyNumberFormat="1" applyFont="1" applyFill="1" applyBorder="1" applyAlignment="1">
      <alignment horizontal="center" vertical="center"/>
    </xf>
    <xf numFmtId="1" fontId="9" fillId="3" borderId="14" xfId="0" applyNumberFormat="1" applyFont="1" applyFill="1" applyBorder="1" applyAlignment="1">
      <alignment horizontal="center" vertical="center"/>
    </xf>
    <xf numFmtId="165" fontId="9" fillId="3" borderId="14" xfId="0" applyNumberFormat="1" applyFont="1" applyFill="1" applyBorder="1" applyAlignment="1">
      <alignment horizontal="center" vertical="center"/>
    </xf>
    <xf numFmtId="1" fontId="9" fillId="3" borderId="7" xfId="0" applyNumberFormat="1" applyFont="1" applyFill="1" applyBorder="1" applyAlignment="1">
      <alignment horizontal="center" vertical="center"/>
    </xf>
    <xf numFmtId="165" fontId="9" fillId="3" borderId="7" xfId="0" applyNumberFormat="1" applyFont="1" applyFill="1" applyBorder="1" applyAlignment="1">
      <alignment horizontal="center" vertical="center"/>
    </xf>
    <xf numFmtId="1" fontId="9" fillId="3" borderId="15" xfId="0" applyNumberFormat="1" applyFont="1" applyFill="1" applyBorder="1" applyAlignment="1">
      <alignment horizontal="center" vertical="center"/>
    </xf>
    <xf numFmtId="165" fontId="9" fillId="3" borderId="15" xfId="0" applyNumberFormat="1" applyFont="1" applyFill="1" applyBorder="1" applyAlignment="1">
      <alignment horizontal="center" vertical="center"/>
    </xf>
    <xf numFmtId="165" fontId="4" fillId="4" borderId="75" xfId="0" applyNumberFormat="1" applyFont="1" applyFill="1" applyBorder="1" applyAlignment="1">
      <alignment vertical="center"/>
    </xf>
    <xf numFmtId="171" fontId="4" fillId="0" borderId="76" xfId="2" applyNumberFormat="1" applyFont="1" applyBorder="1" applyAlignment="1" applyProtection="1">
      <alignment horizontal="right" vertical="center" wrapText="1"/>
    </xf>
    <xf numFmtId="0" fontId="28" fillId="0" borderId="77" xfId="0" applyFont="1" applyBorder="1" applyAlignment="1">
      <alignment vertical="center"/>
    </xf>
    <xf numFmtId="165" fontId="4" fillId="3" borderId="76" xfId="0" applyNumberFormat="1" applyFont="1" applyFill="1" applyBorder="1" applyAlignment="1">
      <alignment vertical="center"/>
    </xf>
    <xf numFmtId="171" fontId="4" fillId="0" borderId="76" xfId="2" applyNumberFormat="1" applyFont="1" applyBorder="1" applyAlignment="1" applyProtection="1">
      <alignment horizontal="right" vertical="center"/>
    </xf>
    <xf numFmtId="165" fontId="4" fillId="4" borderId="76" xfId="0" applyNumberFormat="1" applyFont="1" applyFill="1" applyBorder="1" applyAlignment="1">
      <alignment vertical="center"/>
    </xf>
    <xf numFmtId="170" fontId="4" fillId="0" borderId="78" xfId="0" applyNumberFormat="1" applyFont="1" applyBorder="1"/>
    <xf numFmtId="0" fontId="17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166" fontId="9" fillId="0" borderId="0" xfId="0" applyNumberFormat="1" applyFont="1" applyAlignment="1">
      <alignment horizontal="left"/>
    </xf>
    <xf numFmtId="2" fontId="9" fillId="0" borderId="0" xfId="0" applyNumberFormat="1" applyFont="1" applyAlignment="1">
      <alignment horizontal="left"/>
    </xf>
    <xf numFmtId="9" fontId="9" fillId="0" borderId="0" xfId="0" applyNumberFormat="1" applyFont="1" applyAlignment="1">
      <alignment horizontal="right"/>
    </xf>
    <xf numFmtId="2" fontId="11" fillId="0" borderId="0" xfId="0" applyNumberFormat="1" applyFont="1" applyAlignment="1">
      <alignment horizontal="right" wrapText="1"/>
    </xf>
    <xf numFmtId="4" fontId="9" fillId="0" borderId="0" xfId="0" applyNumberFormat="1" applyFont="1" applyAlignment="1">
      <alignment horizontal="right"/>
    </xf>
    <xf numFmtId="4" fontId="11" fillId="0" borderId="0" xfId="0" applyNumberFormat="1" applyFont="1" applyAlignment="1">
      <alignment horizontal="right"/>
    </xf>
    <xf numFmtId="2" fontId="11" fillId="0" borderId="0" xfId="0" applyNumberFormat="1" applyFont="1" applyAlignment="1">
      <alignment horizontal="right"/>
    </xf>
    <xf numFmtId="1" fontId="11" fillId="0" borderId="0" xfId="0" applyNumberFormat="1" applyFont="1" applyAlignment="1">
      <alignment horizontal="right"/>
    </xf>
    <xf numFmtId="4" fontId="11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0" fontId="17" fillId="0" borderId="18" xfId="0" applyFont="1" applyBorder="1" applyAlignment="1">
      <alignment horizontal="center" vertical="center" wrapText="1"/>
    </xf>
    <xf numFmtId="3" fontId="17" fillId="0" borderId="18" xfId="0" applyNumberFormat="1" applyFont="1" applyBorder="1" applyAlignment="1">
      <alignment horizontal="center" vertical="center" wrapText="1"/>
    </xf>
    <xf numFmtId="166" fontId="1" fillId="0" borderId="35" xfId="0" applyNumberFormat="1" applyFont="1" applyBorder="1"/>
    <xf numFmtId="0" fontId="43" fillId="22" borderId="35" xfId="0" applyFont="1" applyFill="1" applyBorder="1" applyAlignment="1">
      <alignment horizontal="center"/>
    </xf>
    <xf numFmtId="0" fontId="26" fillId="0" borderId="0" xfId="0" applyFont="1" applyAlignment="1">
      <alignment vertical="center"/>
    </xf>
    <xf numFmtId="0" fontId="44" fillId="0" borderId="0" xfId="0" applyFont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165" fontId="44" fillId="0" borderId="0" xfId="0" applyNumberFormat="1" applyFont="1" applyAlignment="1">
      <alignment horizontal="center" vertical="center"/>
    </xf>
    <xf numFmtId="0" fontId="45" fillId="0" borderId="0" xfId="0" applyFont="1" applyAlignment="1">
      <alignment horizontal="right"/>
    </xf>
    <xf numFmtId="166" fontId="44" fillId="14" borderId="35" xfId="0" applyNumberFormat="1" applyFont="1" applyFill="1" applyBorder="1" applyAlignment="1" applyProtection="1">
      <alignment horizontal="right" vertical="center"/>
      <protection locked="0"/>
    </xf>
    <xf numFmtId="0" fontId="44" fillId="0" borderId="0" xfId="0" applyFont="1" applyAlignment="1">
      <alignment horizontal="center"/>
    </xf>
    <xf numFmtId="172" fontId="44" fillId="14" borderId="35" xfId="1" applyNumberFormat="1" applyFont="1" applyFill="1" applyBorder="1" applyAlignment="1" applyProtection="1">
      <alignment horizontal="right"/>
      <protection locked="0"/>
    </xf>
    <xf numFmtId="0" fontId="44" fillId="0" borderId="0" xfId="0" applyFont="1"/>
    <xf numFmtId="167" fontId="37" fillId="17" borderId="0" xfId="0" applyNumberFormat="1" applyFont="1" applyFill="1" applyAlignment="1">
      <alignment horizontal="center" vertical="center"/>
    </xf>
    <xf numFmtId="0" fontId="36" fillId="0" borderId="0" xfId="0" applyFont="1" applyAlignment="1">
      <alignment horizontal="right" vertical="center" wrapText="1"/>
    </xf>
    <xf numFmtId="0" fontId="36" fillId="0" borderId="0" xfId="0" applyFont="1" applyAlignment="1">
      <alignment horizontal="right" vertical="center"/>
    </xf>
    <xf numFmtId="0" fontId="27" fillId="0" borderId="8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 wrapText="1"/>
    </xf>
    <xf numFmtId="2" fontId="37" fillId="20" borderId="0" xfId="0" applyNumberFormat="1" applyFont="1" applyFill="1" applyAlignment="1">
      <alignment horizontal="center" vertical="center"/>
    </xf>
    <xf numFmtId="166" fontId="37" fillId="20" borderId="0" xfId="0" applyNumberFormat="1" applyFont="1" applyFill="1" applyAlignment="1">
      <alignment horizontal="center" vertical="center"/>
    </xf>
    <xf numFmtId="0" fontId="40" fillId="0" borderId="0" xfId="0" applyFont="1" applyAlignment="1">
      <alignment horizontal="right" vertical="center" wrapText="1"/>
    </xf>
    <xf numFmtId="0" fontId="11" fillId="0" borderId="93" xfId="0" applyFont="1" applyBorder="1" applyAlignment="1">
      <alignment horizontal="center" vertical="center"/>
    </xf>
    <xf numFmtId="0" fontId="11" fillId="0" borderId="94" xfId="0" applyFont="1" applyBorder="1" applyAlignment="1">
      <alignment horizontal="center" vertical="center"/>
    </xf>
    <xf numFmtId="0" fontId="11" fillId="0" borderId="95" xfId="0" applyFont="1" applyBorder="1" applyAlignment="1">
      <alignment horizontal="center" vertical="center"/>
    </xf>
    <xf numFmtId="0" fontId="17" fillId="0" borderId="80" xfId="0" applyFont="1" applyBorder="1" applyAlignment="1">
      <alignment horizontal="right" vertical="center"/>
    </xf>
    <xf numFmtId="0" fontId="11" fillId="0" borderId="36" xfId="0" applyFont="1" applyBorder="1" applyAlignment="1">
      <alignment horizontal="right" vertical="center" wrapText="1"/>
    </xf>
    <xf numFmtId="0" fontId="11" fillId="0" borderId="6" xfId="0" applyFont="1" applyBorder="1" applyAlignment="1">
      <alignment horizontal="right" vertical="center" wrapText="1"/>
    </xf>
    <xf numFmtId="0" fontId="11" fillId="0" borderId="83" xfId="0" applyFont="1" applyBorder="1" applyAlignment="1">
      <alignment horizontal="right" vertical="center" wrapText="1"/>
    </xf>
    <xf numFmtId="0" fontId="11" fillId="18" borderId="85" xfId="0" applyFont="1" applyFill="1" applyBorder="1" applyAlignment="1">
      <alignment horizontal="center" vertical="center" wrapText="1"/>
    </xf>
    <xf numFmtId="0" fontId="11" fillId="18" borderId="86" xfId="0" applyFont="1" applyFill="1" applyBorder="1" applyAlignment="1">
      <alignment horizontal="center" vertical="center" wrapText="1"/>
    </xf>
    <xf numFmtId="0" fontId="11" fillId="18" borderId="87" xfId="0" applyFont="1" applyFill="1" applyBorder="1" applyAlignment="1">
      <alignment horizontal="center" vertical="center" wrapText="1"/>
    </xf>
    <xf numFmtId="0" fontId="11" fillId="18" borderId="88" xfId="0" applyFont="1" applyFill="1" applyBorder="1" applyAlignment="1">
      <alignment horizontal="center" vertical="center" wrapText="1"/>
    </xf>
    <xf numFmtId="0" fontId="11" fillId="18" borderId="62" xfId="0" applyFont="1" applyFill="1" applyBorder="1" applyAlignment="1">
      <alignment horizontal="center" vertical="center" wrapText="1"/>
    </xf>
    <xf numFmtId="0" fontId="11" fillId="18" borderId="64" xfId="0" applyFont="1" applyFill="1" applyBorder="1" applyAlignment="1">
      <alignment horizontal="center" vertical="center" wrapText="1"/>
    </xf>
    <xf numFmtId="0" fontId="11" fillId="18" borderId="8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4" fillId="20" borderId="93" xfId="0" applyFont="1" applyFill="1" applyBorder="1" applyAlignment="1">
      <alignment horizontal="center" vertical="center"/>
    </xf>
    <xf numFmtId="0" fontId="34" fillId="20" borderId="94" xfId="0" applyFont="1" applyFill="1" applyBorder="1" applyAlignment="1">
      <alignment horizontal="center" vertical="center"/>
    </xf>
    <xf numFmtId="0" fontId="34" fillId="20" borderId="95" xfId="0" applyFont="1" applyFill="1" applyBorder="1" applyAlignment="1">
      <alignment horizontal="center" vertical="center"/>
    </xf>
    <xf numFmtId="0" fontId="33" fillId="0" borderId="93" xfId="0" applyFont="1" applyBorder="1" applyAlignment="1">
      <alignment horizontal="center" vertical="center"/>
    </xf>
    <xf numFmtId="0" fontId="33" fillId="0" borderId="95" xfId="0" applyFont="1" applyBorder="1" applyAlignment="1">
      <alignment horizontal="center" vertical="center"/>
    </xf>
    <xf numFmtId="0" fontId="35" fillId="16" borderId="93" xfId="0" applyFont="1" applyFill="1" applyBorder="1" applyAlignment="1">
      <alignment horizontal="center" vertical="center"/>
    </xf>
    <xf numFmtId="0" fontId="35" fillId="16" borderId="94" xfId="0" applyFont="1" applyFill="1" applyBorder="1" applyAlignment="1">
      <alignment horizontal="center" vertical="center"/>
    </xf>
    <xf numFmtId="0" fontId="35" fillId="16" borderId="95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79">
    <dxf>
      <fill>
        <patternFill>
          <bgColor theme="0" tint="-0.14996795556505021"/>
        </patternFill>
      </fill>
      <border>
        <left/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0" tint="-0.34998626667073579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567D8D"/>
        </patternFill>
      </fill>
      <border>
        <top style="thin">
          <color theme="0"/>
        </top>
        <bottom style="thin">
          <color theme="0"/>
        </bottom>
      </border>
    </dxf>
    <dxf>
      <fill>
        <patternFill>
          <bgColor rgb="FF9FE9ED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97476F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D2629B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745782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B78ACE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5E5555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728383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7FBED8"/>
        </patternFill>
      </fill>
      <border>
        <top style="thin">
          <color theme="0"/>
        </top>
        <bottom style="thin">
          <color theme="0"/>
        </bottom>
      </border>
    </dxf>
    <dxf>
      <fill>
        <patternFill>
          <bgColor rgb="FFF17872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B4AA78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EDE09E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548C61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90CE9F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B2B2B2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E1E1E1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71A6A9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C84B58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0" tint="-0.34998626667073579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0" tint="-0.14996795556505021"/>
        </patternFill>
      </fill>
      <border>
        <left/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90CE9F"/>
        </patternFill>
      </fill>
    </dxf>
    <dxf>
      <fill>
        <patternFill>
          <bgColor rgb="FF9FE9ED"/>
        </patternFill>
      </fill>
    </dxf>
    <dxf>
      <fill>
        <patternFill>
          <bgColor rgb="FFF17872"/>
        </patternFill>
      </fill>
    </dxf>
    <dxf>
      <fill>
        <patternFill>
          <bgColor rgb="FFB78ACE"/>
        </patternFill>
      </fill>
    </dxf>
    <dxf>
      <fill>
        <patternFill>
          <bgColor rgb="FF728383"/>
        </patternFill>
      </fill>
    </dxf>
    <dxf>
      <fill>
        <patternFill>
          <bgColor rgb="FF7FBED8"/>
        </patternFill>
      </fill>
    </dxf>
    <dxf>
      <fill>
        <patternFill>
          <bgColor rgb="FFEDE09E"/>
        </patternFill>
      </fill>
    </dxf>
    <dxf>
      <fill>
        <patternFill>
          <bgColor rgb="FFD2629B"/>
        </patternFill>
      </fill>
    </dxf>
    <dxf>
      <fill>
        <patternFill>
          <bgColor theme="2" tint="-9.9948118533890809E-2"/>
        </patternFill>
      </fill>
    </dxf>
    <dxf>
      <font>
        <color rgb="FFC00000"/>
      </font>
    </dxf>
    <dxf>
      <font>
        <color rgb="FFC00000"/>
      </font>
    </dxf>
    <dxf>
      <fill>
        <patternFill>
          <bgColor rgb="FFFFFF00"/>
        </patternFill>
      </fill>
    </dxf>
    <dxf>
      <fill>
        <patternFill>
          <bgColor rgb="FFD2629B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745782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97476F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9FE9ED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71A6A9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7FBED8"/>
        </patternFill>
      </fill>
      <border>
        <top style="thin">
          <color theme="0"/>
        </top>
        <bottom style="thin">
          <color theme="0"/>
        </bottom>
      </border>
    </dxf>
    <dxf>
      <fill>
        <patternFill>
          <bgColor rgb="FF567D8D"/>
        </patternFill>
      </fill>
      <border>
        <top style="thin">
          <color theme="0"/>
        </top>
        <bottom style="thin">
          <color theme="0"/>
        </bottom>
      </border>
    </dxf>
    <dxf>
      <fill>
        <patternFill>
          <bgColor rgb="FFE1E1E1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90CE9F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548C61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EDE09E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B4AA78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F17872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B78ACE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5E5555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728383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C84B58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B2B2B2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2" tint="-9.9948118533890809E-2"/>
        </patternFill>
      </fill>
    </dxf>
    <dxf>
      <fill>
        <patternFill>
          <bgColor rgb="FFD2629B"/>
        </patternFill>
      </fill>
    </dxf>
    <dxf>
      <fill>
        <patternFill>
          <bgColor rgb="FFEDE09E"/>
        </patternFill>
      </fill>
    </dxf>
    <dxf>
      <fill>
        <patternFill>
          <bgColor rgb="FF7FBED8"/>
        </patternFill>
      </fill>
    </dxf>
    <dxf>
      <fill>
        <patternFill>
          <bgColor rgb="FF728383"/>
        </patternFill>
      </fill>
    </dxf>
    <dxf>
      <fill>
        <patternFill>
          <bgColor rgb="FFB78ACE"/>
        </patternFill>
      </fill>
    </dxf>
    <dxf>
      <fill>
        <patternFill>
          <bgColor rgb="FFF17872"/>
        </patternFill>
      </fill>
    </dxf>
    <dxf>
      <fill>
        <patternFill>
          <bgColor rgb="FF9FE9ED"/>
        </patternFill>
      </fill>
    </dxf>
    <dxf>
      <fill>
        <patternFill>
          <bgColor rgb="FF90CE9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DAE3F3"/>
      <color rgb="FF595959"/>
      <color rgb="FFFEF8F4"/>
      <color rgb="FFD9D9D9"/>
      <color rgb="FFFFFFCC"/>
      <color rgb="FFFFFF99"/>
      <color rgb="FFFFFF00"/>
      <color rgb="FF97476F"/>
      <color rgb="FFD0CECE"/>
      <color rgb="FF72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79156387067073"/>
          <c:y val="5.246686224031611E-2"/>
          <c:w val="0.70788275029027892"/>
          <c:h val="0.83051158248013734"/>
        </c:manualLayout>
      </c:layout>
      <c:areaChart>
        <c:grouping val="standard"/>
        <c:varyColors val="0"/>
        <c:ser>
          <c:idx val="9"/>
          <c:order val="9"/>
          <c:tx>
            <c:strRef>
              <c:f>'Cost graph'!$B$138</c:f>
              <c:strCache>
                <c:ptCount val="1"/>
                <c:pt idx="0">
                  <c:v>  Cumulative benefit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  <a:alpha val="50000"/>
              </a:schemeClr>
            </a:solidFill>
            <a:ln>
              <a:noFill/>
            </a:ln>
            <a:effectLst/>
          </c:spPr>
          <c:cat>
            <c:numRef>
              <c:f>'Cost graph'!$C$5:$AB$5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'Cost graph'!$C$138:$AB$138</c:f>
              <c:numCache>
                <c:formatCode>#,##0.000000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08A-49ED-BA68-EEE3F67E0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5008000"/>
        <c:axId val="1127331856"/>
      </c:areaChart>
      <c:lineChart>
        <c:grouping val="standard"/>
        <c:varyColors val="0"/>
        <c:ser>
          <c:idx val="0"/>
          <c:order val="0"/>
          <c:tx>
            <c:strRef>
              <c:f>'Cost graph'!$B$129</c:f>
              <c:strCache>
                <c:ptCount val="1"/>
                <c:pt idx="0">
                  <c:v>  Ocean</c:v>
                </c:pt>
              </c:strCache>
            </c:strRef>
          </c:tx>
          <c:spPr>
            <a:ln w="57150" cap="rnd">
              <a:solidFill>
                <a:srgbClr val="9FE9ED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9FE9ED"/>
              </a:solidFill>
              <a:ln w="57150">
                <a:noFill/>
              </a:ln>
              <a:effectLst/>
            </c:spPr>
          </c:marker>
          <c:cat>
            <c:numRef>
              <c:f>'Cost graph'!$C$5:$AB$5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'Cost graph'!$C$129:$AB$129</c:f>
              <c:numCache>
                <c:formatCode>#,##0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8A-49ED-BA68-EEE3F67E0DAC}"/>
            </c:ext>
          </c:extLst>
        </c:ser>
        <c:ser>
          <c:idx val="1"/>
          <c:order val="1"/>
          <c:tx>
            <c:strRef>
              <c:f>'Cost graph'!$B$130</c:f>
              <c:strCache>
                <c:ptCount val="1"/>
                <c:pt idx="0">
                  <c:v>  Fresh water</c:v>
                </c:pt>
              </c:strCache>
            </c:strRef>
          </c:tx>
          <c:spPr>
            <a:ln w="57150" cap="rnd">
              <a:solidFill>
                <a:srgbClr val="7FBED8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7FBED8"/>
              </a:solidFill>
              <a:ln w="57150">
                <a:noFill/>
              </a:ln>
              <a:effectLst/>
            </c:spPr>
          </c:marker>
          <c:cat>
            <c:numRef>
              <c:f>'Cost graph'!$C$5:$AB$5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'Cost graph'!$C$130:$AB$130</c:f>
              <c:numCache>
                <c:formatCode>#,##0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8A-49ED-BA68-EEE3F67E0DAC}"/>
            </c:ext>
          </c:extLst>
        </c:ser>
        <c:ser>
          <c:idx val="2"/>
          <c:order val="2"/>
          <c:tx>
            <c:strRef>
              <c:f>'Cost graph'!$B$131</c:f>
              <c:strCache>
                <c:ptCount val="1"/>
                <c:pt idx="0">
                  <c:v>  Barren</c:v>
                </c:pt>
              </c:strCache>
            </c:strRef>
          </c:tx>
          <c:spPr>
            <a:ln w="57150" cap="rnd">
              <a:solidFill>
                <a:srgbClr val="D0CECE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D0CECE"/>
              </a:solidFill>
              <a:ln w="57150">
                <a:noFill/>
              </a:ln>
              <a:effectLst/>
            </c:spPr>
          </c:marker>
          <c:cat>
            <c:numRef>
              <c:f>'Cost graph'!$C$5:$AB$5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'Cost graph'!$C$131:$AB$131</c:f>
              <c:numCache>
                <c:formatCode>#,##0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8A-49ED-BA68-EEE3F67E0DAC}"/>
            </c:ext>
          </c:extLst>
        </c:ser>
        <c:ser>
          <c:idx val="3"/>
          <c:order val="3"/>
          <c:tx>
            <c:strRef>
              <c:f>'Cost graph'!$B$132</c:f>
              <c:strCache>
                <c:ptCount val="1"/>
                <c:pt idx="0">
                  <c:v>  Forest and Grasslands</c:v>
                </c:pt>
              </c:strCache>
            </c:strRef>
          </c:tx>
          <c:spPr>
            <a:ln w="57150" cap="rnd">
              <a:solidFill>
                <a:srgbClr val="90CE9F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90CE9F"/>
              </a:solidFill>
              <a:ln w="57150">
                <a:noFill/>
              </a:ln>
              <a:effectLst/>
            </c:spPr>
          </c:marker>
          <c:cat>
            <c:numRef>
              <c:f>'Cost graph'!$C$5:$AB$5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'Cost graph'!$C$132:$AB$132</c:f>
              <c:numCache>
                <c:formatCode>#,##0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8A-49ED-BA68-EEE3F67E0DAC}"/>
            </c:ext>
          </c:extLst>
        </c:ser>
        <c:ser>
          <c:idx val="4"/>
          <c:order val="4"/>
          <c:tx>
            <c:strRef>
              <c:f>'Cost graph'!$B$133</c:f>
              <c:strCache>
                <c:ptCount val="1"/>
                <c:pt idx="0">
                  <c:v>  Agriculture</c:v>
                </c:pt>
              </c:strCache>
            </c:strRef>
          </c:tx>
          <c:spPr>
            <a:ln w="57150" cap="rnd">
              <a:solidFill>
                <a:srgbClr val="EDE09E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EDE09E"/>
              </a:solidFill>
              <a:ln w="57150">
                <a:noFill/>
              </a:ln>
              <a:effectLst/>
            </c:spPr>
          </c:marker>
          <c:cat>
            <c:numRef>
              <c:f>'Cost graph'!$C$5:$AB$5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'Cost graph'!$C$133:$AB$133</c:f>
              <c:numCache>
                <c:formatCode>#,##0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8A-49ED-BA68-EEE3F67E0DAC}"/>
            </c:ext>
          </c:extLst>
        </c:ser>
        <c:ser>
          <c:idx val="5"/>
          <c:order val="5"/>
          <c:tx>
            <c:strRef>
              <c:f>'Cost graph'!$B$134</c:f>
              <c:strCache>
                <c:ptCount val="1"/>
                <c:pt idx="0">
                  <c:v>  Settlements</c:v>
                </c:pt>
              </c:strCache>
            </c:strRef>
          </c:tx>
          <c:spPr>
            <a:ln w="57150" cap="rnd">
              <a:solidFill>
                <a:srgbClr val="F1787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F17872"/>
              </a:solidFill>
              <a:ln w="57150">
                <a:noFill/>
              </a:ln>
              <a:effectLst/>
            </c:spPr>
          </c:marker>
          <c:cat>
            <c:numRef>
              <c:f>'Cost graph'!$C$5:$AB$5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'Cost graph'!$C$134:$AB$134</c:f>
              <c:numCache>
                <c:formatCode>#,##0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8A-49ED-BA68-EEE3F67E0DAC}"/>
            </c:ext>
          </c:extLst>
        </c:ser>
        <c:ser>
          <c:idx val="6"/>
          <c:order val="6"/>
          <c:tx>
            <c:strRef>
              <c:f>'Cost graph'!$B$135</c:f>
              <c:strCache>
                <c:ptCount val="1"/>
                <c:pt idx="0">
                  <c:v>  Transport</c:v>
                </c:pt>
              </c:strCache>
            </c:strRef>
          </c:tx>
          <c:spPr>
            <a:ln w="57150" cap="rnd">
              <a:solidFill>
                <a:srgbClr val="728383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728383"/>
              </a:solidFill>
              <a:ln w="57150">
                <a:noFill/>
              </a:ln>
              <a:effectLst/>
            </c:spPr>
          </c:marker>
          <c:cat>
            <c:numRef>
              <c:f>'Cost graph'!$C$5:$AB$5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'Cost graph'!$C$135:$AB$135</c:f>
              <c:numCache>
                <c:formatCode>#,##0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08A-49ED-BA68-EEE3F67E0DAC}"/>
            </c:ext>
          </c:extLst>
        </c:ser>
        <c:ser>
          <c:idx val="7"/>
          <c:order val="7"/>
          <c:tx>
            <c:strRef>
              <c:f>'Cost graph'!$B$136</c:f>
              <c:strCache>
                <c:ptCount val="1"/>
                <c:pt idx="0">
                  <c:v>  Industry</c:v>
                </c:pt>
              </c:strCache>
            </c:strRef>
          </c:tx>
          <c:spPr>
            <a:ln w="57150" cap="rnd">
              <a:solidFill>
                <a:srgbClr val="97476F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97476F"/>
              </a:solidFill>
              <a:ln w="57150">
                <a:noFill/>
              </a:ln>
              <a:effectLst/>
            </c:spPr>
          </c:marker>
          <c:cat>
            <c:numRef>
              <c:f>'Cost graph'!$C$5:$AB$5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'Cost graph'!$C$136:$AB$136</c:f>
              <c:numCache>
                <c:formatCode>#,##0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08A-49ED-BA68-EEE3F67E0DAC}"/>
            </c:ext>
          </c:extLst>
        </c:ser>
        <c:ser>
          <c:idx val="8"/>
          <c:order val="8"/>
          <c:tx>
            <c:strRef>
              <c:f>'Cost graph'!$B$137</c:f>
              <c:strCache>
                <c:ptCount val="1"/>
                <c:pt idx="0">
                  <c:v>  Energy</c:v>
                </c:pt>
              </c:strCache>
            </c:strRef>
          </c:tx>
          <c:spPr>
            <a:ln w="57150" cap="rnd">
              <a:solidFill>
                <a:srgbClr val="D2629B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D2629B"/>
              </a:solidFill>
              <a:ln w="57150">
                <a:noFill/>
              </a:ln>
              <a:effectLst/>
            </c:spPr>
          </c:marker>
          <c:cat>
            <c:numRef>
              <c:f>'Cost graph'!$C$5:$AB$5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'Cost graph'!$C$137:$AB$137</c:f>
              <c:numCache>
                <c:formatCode>#,##0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08A-49ED-BA68-EEE3F67E0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4377679"/>
        <c:axId val="2025156367"/>
      </c:lineChart>
      <c:catAx>
        <c:axId val="2014377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2025156367"/>
        <c:crosses val="autoZero"/>
        <c:auto val="1"/>
        <c:lblAlgn val="ctr"/>
        <c:lblOffset val="200"/>
        <c:tickLblSkip val="1"/>
        <c:noMultiLvlLbl val="0"/>
      </c:catAx>
      <c:valAx>
        <c:axId val="2025156367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2014377679"/>
        <c:crossesAt val="1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9.3431879147001587E-2"/>
                <c:y val="4.3342154104053163E-2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r>
                    <a:rPr lang="pt-PT" sz="2000"/>
                    <a:t>Billion US Dollars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</c:dispUnitsLbl>
        </c:dispUnits>
      </c:valAx>
      <c:valAx>
        <c:axId val="1127331856"/>
        <c:scaling>
          <c:orientation val="minMax"/>
        </c:scaling>
        <c:delete val="0"/>
        <c:axPos val="r"/>
        <c:numFmt formatCode="#,##0.0" sourceLinked="0"/>
        <c:majorTickMark val="out"/>
        <c:minorTickMark val="out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1615008000"/>
        <c:crosses val="max"/>
        <c:crossBetween val="between"/>
      </c:valAx>
      <c:catAx>
        <c:axId val="16150080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27331856"/>
        <c:crosses val="autoZero"/>
        <c:auto val="1"/>
        <c:lblAlgn val="ctr"/>
        <c:lblOffset val="100"/>
        <c:noMultiLvlLbl val="0"/>
      </c:catAx>
      <c:spPr>
        <a:noFill/>
        <a:ln w="12700">
          <a:noFill/>
        </a:ln>
        <a:effectLst/>
      </c:spPr>
    </c:plotArea>
    <c:legend>
      <c:legendPos val="l"/>
      <c:legendEntry>
        <c:idx val="0"/>
        <c:delete val="1"/>
      </c:legendEntry>
      <c:layout>
        <c:manualLayout>
          <c:xMode val="edge"/>
          <c:yMode val="edge"/>
          <c:x val="3.1611525895232965E-3"/>
          <c:y val="0.318141172244507"/>
          <c:w val="0.10880221542208277"/>
          <c:h val="0.6146305454110039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49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Arial" panose="020B0604020202020204" pitchFamily="34" charset="0"/>
          <a:cs typeface="Arial" panose="020B06040202020202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bg1">
                    <a:lumMod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PT"/>
              <a:t>Total annual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8.8040373563218394E-2"/>
          <c:y val="7.418024428786528E-2"/>
          <c:w val="0.83609616858237545"/>
          <c:h val="0.82054697094110096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'Cost graph'!$B$143</c:f>
              <c:strCache>
                <c:ptCount val="1"/>
                <c:pt idx="0">
                  <c:v>Total annual benefit</c:v>
                </c:pt>
              </c:strCache>
            </c:strRef>
          </c:tx>
          <c:spPr>
            <a:solidFill>
              <a:srgbClr val="DAE3F3">
                <a:alpha val="65098"/>
              </a:srgb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val>
            <c:numRef>
              <c:f>'Cost graph'!$C$143:$AB$143</c:f>
              <c:numCache>
                <c:formatCode>#,##0.0000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90-43CE-90C7-5774F38BD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10270671"/>
        <c:axId val="157287727"/>
      </c:barChart>
      <c:lineChart>
        <c:grouping val="standard"/>
        <c:varyColors val="0"/>
        <c:ser>
          <c:idx val="0"/>
          <c:order val="0"/>
          <c:tx>
            <c:strRef>
              <c:f>'Cost graph'!$B$140</c:f>
              <c:strCache>
                <c:ptCount val="1"/>
                <c:pt idx="0">
                  <c:v>Fair Share Cost</c:v>
                </c:pt>
              </c:strCache>
            </c:strRef>
          </c:tx>
          <c:spPr>
            <a:ln w="63500" cap="rnd">
              <a:solidFill>
                <a:srgbClr val="92D05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'Cost graph'!$C$140:$AB$140</c:f>
              <c:numCache>
                <c:formatCode>#,##0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90-43CE-90C7-5774F38BD7CB}"/>
            </c:ext>
          </c:extLst>
        </c:ser>
        <c:ser>
          <c:idx val="1"/>
          <c:order val="1"/>
          <c:tx>
            <c:strRef>
              <c:f>'Cost graph'!$B$142</c:f>
              <c:strCache>
                <c:ptCount val="1"/>
                <c:pt idx="0">
                  <c:v>Total annual cost</c:v>
                </c:pt>
              </c:strCache>
            </c:strRef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C00000"/>
              </a:solidFill>
              <a:ln w="12700">
                <a:solidFill>
                  <a:srgbClr val="FF0000"/>
                </a:solidFill>
              </a:ln>
              <a:effectLst/>
            </c:spPr>
          </c:marker>
          <c:val>
            <c:numRef>
              <c:f>'Cost graph'!$C$142:$AB$142</c:f>
              <c:numCache>
                <c:formatCode>#,##0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B90-43CE-90C7-5774F38BD7CB}"/>
            </c:ext>
          </c:extLst>
        </c:ser>
        <c:ser>
          <c:idx val="3"/>
          <c:order val="3"/>
          <c:tx>
            <c:strRef>
              <c:f>'Cost graph'!$B$141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38100" cap="rnd">
              <a:solidFill>
                <a:schemeClr val="bg1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'Cost graph'!$C$141:$AB$141</c:f>
              <c:numCache>
                <c:formatCode>#,##0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B90-43CE-90C7-5774F38BD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246271"/>
        <c:axId val="157281903"/>
      </c:lineChart>
      <c:catAx>
        <c:axId val="2102462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157281903"/>
        <c:crosses val="autoZero"/>
        <c:auto val="1"/>
        <c:lblAlgn val="ctr"/>
        <c:lblOffset val="100"/>
        <c:noMultiLvlLbl val="0"/>
      </c:catAx>
      <c:valAx>
        <c:axId val="1572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PT"/>
                  <a:t>Annual cost (Billion USD)</a:t>
                </a:r>
              </a:p>
            </c:rich>
          </c:tx>
          <c:layout>
            <c:manualLayout>
              <c:xMode val="edge"/>
              <c:yMode val="edge"/>
              <c:x val="8.5153256704980848E-3"/>
              <c:y val="6.870582770533631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</c:title>
        <c:numFmt formatCode="#,##0.0000" sourceLinked="0"/>
        <c:majorTickMark val="in"/>
        <c:minorTickMark val="in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210246271"/>
        <c:crosses val="autoZero"/>
        <c:crossBetween val="between"/>
        <c:dispUnits>
          <c:builtInUnit val="billions"/>
        </c:dispUnits>
      </c:valAx>
      <c:valAx>
        <c:axId val="15728772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PT" sz="1800" b="0" i="0" u="none" strike="noStrike" baseline="0">
                    <a:effectLst/>
                  </a:rPr>
                  <a:t>Annual emissions reduction (GtCO2e)</a:t>
                </a:r>
              </a:p>
            </c:rich>
          </c:tx>
          <c:layout>
            <c:manualLayout>
              <c:xMode val="edge"/>
              <c:yMode val="edge"/>
              <c:x val="0.97402825670498083"/>
              <c:y val="7.174040020754564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</c:title>
        <c:numFmt formatCode="#,##0.000" sourceLinked="0"/>
        <c:majorTickMark val="in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210270671"/>
        <c:crosses val="max"/>
        <c:crossBetween val="between"/>
      </c:valAx>
      <c:catAx>
        <c:axId val="210270671"/>
        <c:scaling>
          <c:orientation val="minMax"/>
        </c:scaling>
        <c:delete val="1"/>
        <c:axPos val="b"/>
        <c:majorTickMark val="out"/>
        <c:minorTickMark val="none"/>
        <c:tickLblPos val="nextTo"/>
        <c:crossAx val="1572877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bg1">
              <a:lumMod val="50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hyperlink" Target="#'Project types'!D112"/><Relationship Id="rId21" Type="http://schemas.openxmlformats.org/officeDocument/2006/relationships/hyperlink" Target="#'Project types'!D16"/><Relationship Id="rId42" Type="http://schemas.openxmlformats.org/officeDocument/2006/relationships/hyperlink" Target="#'Project types'!D37"/><Relationship Id="rId63" Type="http://schemas.openxmlformats.org/officeDocument/2006/relationships/hyperlink" Target="#'Project types'!D58"/><Relationship Id="rId84" Type="http://schemas.openxmlformats.org/officeDocument/2006/relationships/hyperlink" Target="#'Project types'!D79"/><Relationship Id="rId138" Type="http://schemas.openxmlformats.org/officeDocument/2006/relationships/hyperlink" Target="#'Project types'!K18"/><Relationship Id="rId159" Type="http://schemas.openxmlformats.org/officeDocument/2006/relationships/hyperlink" Target="#'Project types'!K40"/><Relationship Id="rId170" Type="http://schemas.openxmlformats.org/officeDocument/2006/relationships/hyperlink" Target="#'Project types'!K51"/><Relationship Id="rId191" Type="http://schemas.openxmlformats.org/officeDocument/2006/relationships/hyperlink" Target="#'Project types'!K72"/><Relationship Id="rId205" Type="http://schemas.openxmlformats.org/officeDocument/2006/relationships/hyperlink" Target="#'Project types'!K86"/><Relationship Id="rId226" Type="http://schemas.openxmlformats.org/officeDocument/2006/relationships/hyperlink" Target="#'Project types'!K107"/><Relationship Id="rId107" Type="http://schemas.openxmlformats.org/officeDocument/2006/relationships/hyperlink" Target="#'Project types'!D102"/><Relationship Id="rId11" Type="http://schemas.openxmlformats.org/officeDocument/2006/relationships/hyperlink" Target="#'Project types'!D7"/><Relationship Id="rId32" Type="http://schemas.openxmlformats.org/officeDocument/2006/relationships/hyperlink" Target="#'Project types'!D27"/><Relationship Id="rId53" Type="http://schemas.openxmlformats.org/officeDocument/2006/relationships/hyperlink" Target="#'Project types'!D48"/><Relationship Id="rId74" Type="http://schemas.openxmlformats.org/officeDocument/2006/relationships/hyperlink" Target="#'Project types'!D69"/><Relationship Id="rId128" Type="http://schemas.openxmlformats.org/officeDocument/2006/relationships/hyperlink" Target="#'Project types'!K8"/><Relationship Id="rId149" Type="http://schemas.openxmlformats.org/officeDocument/2006/relationships/hyperlink" Target="#'Project types'!K29"/><Relationship Id="rId5" Type="http://schemas.openxmlformats.org/officeDocument/2006/relationships/image" Target="../media/image3.png"/><Relationship Id="rId95" Type="http://schemas.openxmlformats.org/officeDocument/2006/relationships/hyperlink" Target="#'Project types'!D90"/><Relationship Id="rId160" Type="http://schemas.openxmlformats.org/officeDocument/2006/relationships/hyperlink" Target="#'Project types'!K41"/><Relationship Id="rId181" Type="http://schemas.openxmlformats.org/officeDocument/2006/relationships/hyperlink" Target="#'Project types'!K62"/><Relationship Id="rId216" Type="http://schemas.openxmlformats.org/officeDocument/2006/relationships/hyperlink" Target="#'Project types'!K97"/><Relationship Id="rId237" Type="http://schemas.openxmlformats.org/officeDocument/2006/relationships/hyperlink" Target="#'Project types'!K118"/><Relationship Id="rId22" Type="http://schemas.openxmlformats.org/officeDocument/2006/relationships/hyperlink" Target="#'Project types'!D17"/><Relationship Id="rId43" Type="http://schemas.openxmlformats.org/officeDocument/2006/relationships/hyperlink" Target="#'Project types'!D38"/><Relationship Id="rId64" Type="http://schemas.openxmlformats.org/officeDocument/2006/relationships/hyperlink" Target="#'Project types'!D59"/><Relationship Id="rId118" Type="http://schemas.openxmlformats.org/officeDocument/2006/relationships/hyperlink" Target="#'Project types'!D113"/><Relationship Id="rId139" Type="http://schemas.openxmlformats.org/officeDocument/2006/relationships/hyperlink" Target="#'Project types'!K19"/><Relationship Id="rId85" Type="http://schemas.openxmlformats.org/officeDocument/2006/relationships/hyperlink" Target="#'Project types'!D80"/><Relationship Id="rId150" Type="http://schemas.openxmlformats.org/officeDocument/2006/relationships/hyperlink" Target="#'Project types'!K30"/><Relationship Id="rId171" Type="http://schemas.openxmlformats.org/officeDocument/2006/relationships/hyperlink" Target="#'Project types'!K52"/><Relationship Id="rId192" Type="http://schemas.openxmlformats.org/officeDocument/2006/relationships/hyperlink" Target="#'Project types'!K73"/><Relationship Id="rId206" Type="http://schemas.openxmlformats.org/officeDocument/2006/relationships/hyperlink" Target="#'Project types'!K87"/><Relationship Id="rId227" Type="http://schemas.openxmlformats.org/officeDocument/2006/relationships/hyperlink" Target="#'Project types'!K108"/><Relationship Id="rId12" Type="http://schemas.openxmlformats.org/officeDocument/2006/relationships/hyperlink" Target="#'Project types'!K7"/><Relationship Id="rId33" Type="http://schemas.openxmlformats.org/officeDocument/2006/relationships/hyperlink" Target="#'Project types'!D28"/><Relationship Id="rId108" Type="http://schemas.openxmlformats.org/officeDocument/2006/relationships/hyperlink" Target="#'Project types'!D103"/><Relationship Id="rId129" Type="http://schemas.openxmlformats.org/officeDocument/2006/relationships/hyperlink" Target="#'Project types'!K9"/><Relationship Id="rId54" Type="http://schemas.openxmlformats.org/officeDocument/2006/relationships/hyperlink" Target="#'Project types'!D49"/><Relationship Id="rId75" Type="http://schemas.openxmlformats.org/officeDocument/2006/relationships/hyperlink" Target="#'Project types'!D70"/><Relationship Id="rId96" Type="http://schemas.openxmlformats.org/officeDocument/2006/relationships/hyperlink" Target="#'Project types'!D91"/><Relationship Id="rId140" Type="http://schemas.openxmlformats.org/officeDocument/2006/relationships/hyperlink" Target="#'Project types'!K20"/><Relationship Id="rId161" Type="http://schemas.openxmlformats.org/officeDocument/2006/relationships/hyperlink" Target="#'Project types'!K42"/><Relationship Id="rId182" Type="http://schemas.openxmlformats.org/officeDocument/2006/relationships/hyperlink" Target="#'Project types'!K63"/><Relationship Id="rId217" Type="http://schemas.openxmlformats.org/officeDocument/2006/relationships/hyperlink" Target="#'Project types'!K98"/><Relationship Id="rId6" Type="http://schemas.openxmlformats.org/officeDocument/2006/relationships/image" Target="../media/image4.svg"/><Relationship Id="rId238" Type="http://schemas.openxmlformats.org/officeDocument/2006/relationships/hyperlink" Target="#'Project types'!K119"/><Relationship Id="rId23" Type="http://schemas.openxmlformats.org/officeDocument/2006/relationships/hyperlink" Target="#'Project types'!D18"/><Relationship Id="rId119" Type="http://schemas.openxmlformats.org/officeDocument/2006/relationships/hyperlink" Target="#'Project types'!D114"/><Relationship Id="rId44" Type="http://schemas.openxmlformats.org/officeDocument/2006/relationships/hyperlink" Target="#'Project types'!D39"/><Relationship Id="rId65" Type="http://schemas.openxmlformats.org/officeDocument/2006/relationships/hyperlink" Target="#'Project types'!D60"/><Relationship Id="rId86" Type="http://schemas.openxmlformats.org/officeDocument/2006/relationships/hyperlink" Target="#'Project types'!D81"/><Relationship Id="rId130" Type="http://schemas.openxmlformats.org/officeDocument/2006/relationships/hyperlink" Target="#'Project types'!K10"/><Relationship Id="rId151" Type="http://schemas.openxmlformats.org/officeDocument/2006/relationships/hyperlink" Target="#'Project types'!K32"/><Relationship Id="rId172" Type="http://schemas.openxmlformats.org/officeDocument/2006/relationships/hyperlink" Target="#'Project types'!K53"/><Relationship Id="rId193" Type="http://schemas.openxmlformats.org/officeDocument/2006/relationships/hyperlink" Target="#'Project types'!K74"/><Relationship Id="rId207" Type="http://schemas.openxmlformats.org/officeDocument/2006/relationships/hyperlink" Target="#'Project types'!K88"/><Relationship Id="rId228" Type="http://schemas.openxmlformats.org/officeDocument/2006/relationships/hyperlink" Target="#'Project types'!K109"/><Relationship Id="rId13" Type="http://schemas.openxmlformats.org/officeDocument/2006/relationships/hyperlink" Target="#'Project types'!D8"/><Relationship Id="rId109" Type="http://schemas.openxmlformats.org/officeDocument/2006/relationships/hyperlink" Target="#'Project types'!D104"/><Relationship Id="rId34" Type="http://schemas.openxmlformats.org/officeDocument/2006/relationships/hyperlink" Target="#'Project types'!D29"/><Relationship Id="rId55" Type="http://schemas.openxmlformats.org/officeDocument/2006/relationships/hyperlink" Target="#'Project types'!D50"/><Relationship Id="rId76" Type="http://schemas.openxmlformats.org/officeDocument/2006/relationships/hyperlink" Target="#'Project types'!D71"/><Relationship Id="rId97" Type="http://schemas.openxmlformats.org/officeDocument/2006/relationships/hyperlink" Target="#'Project types'!D92"/><Relationship Id="rId120" Type="http://schemas.openxmlformats.org/officeDocument/2006/relationships/hyperlink" Target="#'Project types'!D115"/><Relationship Id="rId141" Type="http://schemas.openxmlformats.org/officeDocument/2006/relationships/hyperlink" Target="#'Project types'!K21"/><Relationship Id="rId7" Type="http://schemas.openxmlformats.org/officeDocument/2006/relationships/hyperlink" Target="#'Project types'!K6"/><Relationship Id="rId162" Type="http://schemas.openxmlformats.org/officeDocument/2006/relationships/hyperlink" Target="#'Project types'!K43"/><Relationship Id="rId183" Type="http://schemas.openxmlformats.org/officeDocument/2006/relationships/hyperlink" Target="#'Project types'!K64"/><Relationship Id="rId218" Type="http://schemas.openxmlformats.org/officeDocument/2006/relationships/hyperlink" Target="#'Project types'!K99"/><Relationship Id="rId239" Type="http://schemas.openxmlformats.org/officeDocument/2006/relationships/hyperlink" Target="#'Project types'!K120"/><Relationship Id="rId24" Type="http://schemas.openxmlformats.org/officeDocument/2006/relationships/hyperlink" Target="#'Project types'!D19"/><Relationship Id="rId45" Type="http://schemas.openxmlformats.org/officeDocument/2006/relationships/hyperlink" Target="#'Project types'!D40"/><Relationship Id="rId66" Type="http://schemas.openxmlformats.org/officeDocument/2006/relationships/hyperlink" Target="#'Project types'!D61"/><Relationship Id="rId87" Type="http://schemas.openxmlformats.org/officeDocument/2006/relationships/hyperlink" Target="#'Project types'!D82"/><Relationship Id="rId110" Type="http://schemas.openxmlformats.org/officeDocument/2006/relationships/hyperlink" Target="#'Project types'!D105"/><Relationship Id="rId131" Type="http://schemas.openxmlformats.org/officeDocument/2006/relationships/hyperlink" Target="#'Project types'!K11"/><Relationship Id="rId152" Type="http://schemas.openxmlformats.org/officeDocument/2006/relationships/hyperlink" Target="#'Project types'!K33"/><Relationship Id="rId173" Type="http://schemas.openxmlformats.org/officeDocument/2006/relationships/hyperlink" Target="#'Project types'!K54"/><Relationship Id="rId194" Type="http://schemas.openxmlformats.org/officeDocument/2006/relationships/hyperlink" Target="#'Project types'!K75"/><Relationship Id="rId208" Type="http://schemas.openxmlformats.org/officeDocument/2006/relationships/hyperlink" Target="#'Project types'!K89"/><Relationship Id="rId229" Type="http://schemas.openxmlformats.org/officeDocument/2006/relationships/hyperlink" Target="#'Project types'!K110"/><Relationship Id="rId240" Type="http://schemas.openxmlformats.org/officeDocument/2006/relationships/hyperlink" Target="#'Project types'!K121"/><Relationship Id="rId14" Type="http://schemas.openxmlformats.org/officeDocument/2006/relationships/hyperlink" Target="#'Project types'!D9"/><Relationship Id="rId35" Type="http://schemas.openxmlformats.org/officeDocument/2006/relationships/hyperlink" Target="#'Project types'!D30"/><Relationship Id="rId56" Type="http://schemas.openxmlformats.org/officeDocument/2006/relationships/hyperlink" Target="#'Project types'!D51"/><Relationship Id="rId77" Type="http://schemas.openxmlformats.org/officeDocument/2006/relationships/hyperlink" Target="#'Project types'!D72"/><Relationship Id="rId100" Type="http://schemas.openxmlformats.org/officeDocument/2006/relationships/hyperlink" Target="#'Project types'!D95"/><Relationship Id="rId8" Type="http://schemas.openxmlformats.org/officeDocument/2006/relationships/hyperlink" Target="#'Cost graph'!B2"/><Relationship Id="rId98" Type="http://schemas.openxmlformats.org/officeDocument/2006/relationships/hyperlink" Target="#'Project types'!D93"/><Relationship Id="rId121" Type="http://schemas.openxmlformats.org/officeDocument/2006/relationships/hyperlink" Target="#'Project types'!D116"/><Relationship Id="rId142" Type="http://schemas.openxmlformats.org/officeDocument/2006/relationships/hyperlink" Target="#'Project types'!K22"/><Relationship Id="rId163" Type="http://schemas.openxmlformats.org/officeDocument/2006/relationships/hyperlink" Target="#'Project types'!K44"/><Relationship Id="rId184" Type="http://schemas.openxmlformats.org/officeDocument/2006/relationships/hyperlink" Target="#'Project types'!K65"/><Relationship Id="rId219" Type="http://schemas.openxmlformats.org/officeDocument/2006/relationships/hyperlink" Target="#'Project types'!K100"/><Relationship Id="rId230" Type="http://schemas.openxmlformats.org/officeDocument/2006/relationships/hyperlink" Target="#'Project types'!K111"/><Relationship Id="rId25" Type="http://schemas.openxmlformats.org/officeDocument/2006/relationships/hyperlink" Target="#'Project types'!D20"/><Relationship Id="rId46" Type="http://schemas.openxmlformats.org/officeDocument/2006/relationships/hyperlink" Target="#'Project types'!D41"/><Relationship Id="rId67" Type="http://schemas.openxmlformats.org/officeDocument/2006/relationships/hyperlink" Target="#'Project types'!D62"/><Relationship Id="rId88" Type="http://schemas.openxmlformats.org/officeDocument/2006/relationships/hyperlink" Target="#'Project types'!D83"/><Relationship Id="rId111" Type="http://schemas.openxmlformats.org/officeDocument/2006/relationships/hyperlink" Target="#'Project types'!D106"/><Relationship Id="rId132" Type="http://schemas.openxmlformats.org/officeDocument/2006/relationships/hyperlink" Target="#'Project types'!K12"/><Relationship Id="rId153" Type="http://schemas.openxmlformats.org/officeDocument/2006/relationships/hyperlink" Target="#'Project types'!K34"/><Relationship Id="rId174" Type="http://schemas.openxmlformats.org/officeDocument/2006/relationships/hyperlink" Target="#'Project types'!K55"/><Relationship Id="rId195" Type="http://schemas.openxmlformats.org/officeDocument/2006/relationships/hyperlink" Target="#'Project types'!K76"/><Relationship Id="rId209" Type="http://schemas.openxmlformats.org/officeDocument/2006/relationships/hyperlink" Target="#'Project types'!K90"/><Relationship Id="rId220" Type="http://schemas.openxmlformats.org/officeDocument/2006/relationships/hyperlink" Target="#'Project types'!K101"/><Relationship Id="rId241" Type="http://schemas.openxmlformats.org/officeDocument/2006/relationships/hyperlink" Target="#'Project types'!K122"/><Relationship Id="rId15" Type="http://schemas.openxmlformats.org/officeDocument/2006/relationships/hyperlink" Target="#'Project types'!D10"/><Relationship Id="rId36" Type="http://schemas.openxmlformats.org/officeDocument/2006/relationships/hyperlink" Target="#'Project types'!D31"/><Relationship Id="rId57" Type="http://schemas.openxmlformats.org/officeDocument/2006/relationships/hyperlink" Target="#'Project types'!D52"/><Relationship Id="rId106" Type="http://schemas.openxmlformats.org/officeDocument/2006/relationships/hyperlink" Target="#'Project types'!D101"/><Relationship Id="rId127" Type="http://schemas.openxmlformats.org/officeDocument/2006/relationships/hyperlink" Target="#'Project types'!D122"/><Relationship Id="rId10" Type="http://schemas.openxmlformats.org/officeDocument/2006/relationships/image" Target="../media/image6.svg"/><Relationship Id="rId31" Type="http://schemas.openxmlformats.org/officeDocument/2006/relationships/hyperlink" Target="#'Project types'!D26"/><Relationship Id="rId52" Type="http://schemas.openxmlformats.org/officeDocument/2006/relationships/hyperlink" Target="#'Project types'!D47"/><Relationship Id="rId73" Type="http://schemas.openxmlformats.org/officeDocument/2006/relationships/hyperlink" Target="#'Project types'!D68"/><Relationship Id="rId78" Type="http://schemas.openxmlformats.org/officeDocument/2006/relationships/hyperlink" Target="#'Project types'!D73"/><Relationship Id="rId94" Type="http://schemas.openxmlformats.org/officeDocument/2006/relationships/hyperlink" Target="#'Project types'!D89"/><Relationship Id="rId99" Type="http://schemas.openxmlformats.org/officeDocument/2006/relationships/hyperlink" Target="#'Project types'!D94"/><Relationship Id="rId101" Type="http://schemas.openxmlformats.org/officeDocument/2006/relationships/hyperlink" Target="#'Project types'!D96"/><Relationship Id="rId122" Type="http://schemas.openxmlformats.org/officeDocument/2006/relationships/hyperlink" Target="#'Project types'!D117"/><Relationship Id="rId143" Type="http://schemas.openxmlformats.org/officeDocument/2006/relationships/hyperlink" Target="#'Project types'!K23"/><Relationship Id="rId148" Type="http://schemas.openxmlformats.org/officeDocument/2006/relationships/hyperlink" Target="#'Project types'!K28"/><Relationship Id="rId164" Type="http://schemas.openxmlformats.org/officeDocument/2006/relationships/hyperlink" Target="#'Project types'!K45"/><Relationship Id="rId169" Type="http://schemas.openxmlformats.org/officeDocument/2006/relationships/hyperlink" Target="#'Project types'!K50"/><Relationship Id="rId185" Type="http://schemas.openxmlformats.org/officeDocument/2006/relationships/hyperlink" Target="#'Project types'!K66"/><Relationship Id="rId4" Type="http://schemas.openxmlformats.org/officeDocument/2006/relationships/hyperlink" Target="#'Project types'!D6"/><Relationship Id="rId9" Type="http://schemas.openxmlformats.org/officeDocument/2006/relationships/image" Target="../media/image5.png"/><Relationship Id="rId180" Type="http://schemas.openxmlformats.org/officeDocument/2006/relationships/hyperlink" Target="#'Project types'!K61"/><Relationship Id="rId210" Type="http://schemas.openxmlformats.org/officeDocument/2006/relationships/hyperlink" Target="#'Project types'!K91"/><Relationship Id="rId215" Type="http://schemas.openxmlformats.org/officeDocument/2006/relationships/hyperlink" Target="#'Project types'!K96"/><Relationship Id="rId236" Type="http://schemas.openxmlformats.org/officeDocument/2006/relationships/hyperlink" Target="#'Project types'!K117"/><Relationship Id="rId26" Type="http://schemas.openxmlformats.org/officeDocument/2006/relationships/hyperlink" Target="#'Project types'!D21"/><Relationship Id="rId231" Type="http://schemas.openxmlformats.org/officeDocument/2006/relationships/hyperlink" Target="#'Project types'!K112"/><Relationship Id="rId47" Type="http://schemas.openxmlformats.org/officeDocument/2006/relationships/hyperlink" Target="#'Project types'!D42"/><Relationship Id="rId68" Type="http://schemas.openxmlformats.org/officeDocument/2006/relationships/hyperlink" Target="#'Project types'!D63"/><Relationship Id="rId89" Type="http://schemas.openxmlformats.org/officeDocument/2006/relationships/hyperlink" Target="#'Project types'!D84"/><Relationship Id="rId112" Type="http://schemas.openxmlformats.org/officeDocument/2006/relationships/hyperlink" Target="#'Project types'!D107"/><Relationship Id="rId133" Type="http://schemas.openxmlformats.org/officeDocument/2006/relationships/hyperlink" Target="#'Project types'!K13"/><Relationship Id="rId154" Type="http://schemas.openxmlformats.org/officeDocument/2006/relationships/hyperlink" Target="#'Project types'!K35"/><Relationship Id="rId175" Type="http://schemas.openxmlformats.org/officeDocument/2006/relationships/hyperlink" Target="#'Project types'!K56"/><Relationship Id="rId196" Type="http://schemas.openxmlformats.org/officeDocument/2006/relationships/hyperlink" Target="#'Project types'!K77"/><Relationship Id="rId200" Type="http://schemas.openxmlformats.org/officeDocument/2006/relationships/hyperlink" Target="#'Project types'!K81"/><Relationship Id="rId16" Type="http://schemas.openxmlformats.org/officeDocument/2006/relationships/hyperlink" Target="#'Project types'!D11"/><Relationship Id="rId221" Type="http://schemas.openxmlformats.org/officeDocument/2006/relationships/hyperlink" Target="#'Project types'!K102"/><Relationship Id="rId37" Type="http://schemas.openxmlformats.org/officeDocument/2006/relationships/hyperlink" Target="#'Project types'!D32"/><Relationship Id="rId58" Type="http://schemas.openxmlformats.org/officeDocument/2006/relationships/hyperlink" Target="#'Project types'!D53"/><Relationship Id="rId79" Type="http://schemas.openxmlformats.org/officeDocument/2006/relationships/hyperlink" Target="#'Project types'!D74"/><Relationship Id="rId102" Type="http://schemas.openxmlformats.org/officeDocument/2006/relationships/hyperlink" Target="#'Project types'!D97"/><Relationship Id="rId123" Type="http://schemas.openxmlformats.org/officeDocument/2006/relationships/hyperlink" Target="#'Project types'!D118"/><Relationship Id="rId144" Type="http://schemas.openxmlformats.org/officeDocument/2006/relationships/hyperlink" Target="#'Project types'!K24"/><Relationship Id="rId90" Type="http://schemas.openxmlformats.org/officeDocument/2006/relationships/hyperlink" Target="#'Project types'!D85"/><Relationship Id="rId165" Type="http://schemas.openxmlformats.org/officeDocument/2006/relationships/hyperlink" Target="#'Project types'!K46"/><Relationship Id="rId186" Type="http://schemas.openxmlformats.org/officeDocument/2006/relationships/hyperlink" Target="#'Project types'!K67"/><Relationship Id="rId211" Type="http://schemas.openxmlformats.org/officeDocument/2006/relationships/hyperlink" Target="#'Project types'!K92"/><Relationship Id="rId232" Type="http://schemas.openxmlformats.org/officeDocument/2006/relationships/hyperlink" Target="#'Project types'!K113"/><Relationship Id="rId27" Type="http://schemas.openxmlformats.org/officeDocument/2006/relationships/hyperlink" Target="#'Project types'!D22"/><Relationship Id="rId48" Type="http://schemas.openxmlformats.org/officeDocument/2006/relationships/hyperlink" Target="#'Project types'!D43"/><Relationship Id="rId69" Type="http://schemas.openxmlformats.org/officeDocument/2006/relationships/hyperlink" Target="#'Project types'!D64"/><Relationship Id="rId113" Type="http://schemas.openxmlformats.org/officeDocument/2006/relationships/hyperlink" Target="#'Project types'!D108"/><Relationship Id="rId134" Type="http://schemas.openxmlformats.org/officeDocument/2006/relationships/hyperlink" Target="#'Project types'!K14"/><Relationship Id="rId80" Type="http://schemas.openxmlformats.org/officeDocument/2006/relationships/hyperlink" Target="#'Project types'!D75"/><Relationship Id="rId155" Type="http://schemas.openxmlformats.org/officeDocument/2006/relationships/hyperlink" Target="#'Project types'!K36"/><Relationship Id="rId176" Type="http://schemas.openxmlformats.org/officeDocument/2006/relationships/hyperlink" Target="#'Project types'!K57"/><Relationship Id="rId197" Type="http://schemas.openxmlformats.org/officeDocument/2006/relationships/hyperlink" Target="#'Project types'!K78"/><Relationship Id="rId201" Type="http://schemas.openxmlformats.org/officeDocument/2006/relationships/hyperlink" Target="#'Project types'!K82"/><Relationship Id="rId222" Type="http://schemas.openxmlformats.org/officeDocument/2006/relationships/hyperlink" Target="#'Project types'!K103"/><Relationship Id="rId17" Type="http://schemas.openxmlformats.org/officeDocument/2006/relationships/hyperlink" Target="#'Project types'!D12"/><Relationship Id="rId38" Type="http://schemas.openxmlformats.org/officeDocument/2006/relationships/hyperlink" Target="#'Project types'!D33"/><Relationship Id="rId59" Type="http://schemas.openxmlformats.org/officeDocument/2006/relationships/hyperlink" Target="#'Project types'!D54"/><Relationship Id="rId103" Type="http://schemas.openxmlformats.org/officeDocument/2006/relationships/hyperlink" Target="#'Project types'!D98"/><Relationship Id="rId124" Type="http://schemas.openxmlformats.org/officeDocument/2006/relationships/hyperlink" Target="#'Project types'!D119"/><Relationship Id="rId70" Type="http://schemas.openxmlformats.org/officeDocument/2006/relationships/hyperlink" Target="#'Project types'!D65"/><Relationship Id="rId91" Type="http://schemas.openxmlformats.org/officeDocument/2006/relationships/hyperlink" Target="#'Project types'!D86"/><Relationship Id="rId145" Type="http://schemas.openxmlformats.org/officeDocument/2006/relationships/hyperlink" Target="#'Project types'!K25"/><Relationship Id="rId166" Type="http://schemas.openxmlformats.org/officeDocument/2006/relationships/hyperlink" Target="#'Project types'!K47"/><Relationship Id="rId187" Type="http://schemas.openxmlformats.org/officeDocument/2006/relationships/hyperlink" Target="#'Project types'!K68"/><Relationship Id="rId1" Type="http://schemas.openxmlformats.org/officeDocument/2006/relationships/hyperlink" Target="#'Project types'!K31"/><Relationship Id="rId212" Type="http://schemas.openxmlformats.org/officeDocument/2006/relationships/hyperlink" Target="#'Project types'!K93"/><Relationship Id="rId233" Type="http://schemas.openxmlformats.org/officeDocument/2006/relationships/hyperlink" Target="#'Project types'!K114"/><Relationship Id="rId28" Type="http://schemas.openxmlformats.org/officeDocument/2006/relationships/hyperlink" Target="#'Project types'!D23"/><Relationship Id="rId49" Type="http://schemas.openxmlformats.org/officeDocument/2006/relationships/hyperlink" Target="#'Project types'!D44"/><Relationship Id="rId114" Type="http://schemas.openxmlformats.org/officeDocument/2006/relationships/hyperlink" Target="#'Project types'!D109"/><Relationship Id="rId60" Type="http://schemas.openxmlformats.org/officeDocument/2006/relationships/hyperlink" Target="#'Project types'!D55"/><Relationship Id="rId81" Type="http://schemas.openxmlformats.org/officeDocument/2006/relationships/hyperlink" Target="#'Project types'!D76"/><Relationship Id="rId135" Type="http://schemas.openxmlformats.org/officeDocument/2006/relationships/hyperlink" Target="#'Project types'!K15"/><Relationship Id="rId156" Type="http://schemas.openxmlformats.org/officeDocument/2006/relationships/hyperlink" Target="#'Project types'!K37"/><Relationship Id="rId177" Type="http://schemas.openxmlformats.org/officeDocument/2006/relationships/hyperlink" Target="#'Project types'!K58"/><Relationship Id="rId198" Type="http://schemas.openxmlformats.org/officeDocument/2006/relationships/hyperlink" Target="#'Project types'!K79"/><Relationship Id="rId202" Type="http://schemas.openxmlformats.org/officeDocument/2006/relationships/hyperlink" Target="#'Project types'!K83"/><Relationship Id="rId223" Type="http://schemas.openxmlformats.org/officeDocument/2006/relationships/hyperlink" Target="#'Project types'!K104"/><Relationship Id="rId18" Type="http://schemas.openxmlformats.org/officeDocument/2006/relationships/hyperlink" Target="#'Project types'!D13"/><Relationship Id="rId39" Type="http://schemas.openxmlformats.org/officeDocument/2006/relationships/hyperlink" Target="#'Project types'!D34"/><Relationship Id="rId50" Type="http://schemas.openxmlformats.org/officeDocument/2006/relationships/hyperlink" Target="#'Project types'!D45"/><Relationship Id="rId104" Type="http://schemas.openxmlformats.org/officeDocument/2006/relationships/hyperlink" Target="#'Project types'!D99"/><Relationship Id="rId125" Type="http://schemas.openxmlformats.org/officeDocument/2006/relationships/hyperlink" Target="#'Project types'!D120"/><Relationship Id="rId146" Type="http://schemas.openxmlformats.org/officeDocument/2006/relationships/hyperlink" Target="#'Project types'!K26"/><Relationship Id="rId167" Type="http://schemas.openxmlformats.org/officeDocument/2006/relationships/hyperlink" Target="#'Project types'!K48"/><Relationship Id="rId188" Type="http://schemas.openxmlformats.org/officeDocument/2006/relationships/hyperlink" Target="#'Project types'!K69"/><Relationship Id="rId71" Type="http://schemas.openxmlformats.org/officeDocument/2006/relationships/hyperlink" Target="#'Project types'!D66"/><Relationship Id="rId92" Type="http://schemas.openxmlformats.org/officeDocument/2006/relationships/hyperlink" Target="#'Project types'!D87"/><Relationship Id="rId213" Type="http://schemas.openxmlformats.org/officeDocument/2006/relationships/hyperlink" Target="#'Project types'!K94"/><Relationship Id="rId234" Type="http://schemas.openxmlformats.org/officeDocument/2006/relationships/hyperlink" Target="#'Project types'!K115"/><Relationship Id="rId2" Type="http://schemas.openxmlformats.org/officeDocument/2006/relationships/image" Target="../media/image1.png"/><Relationship Id="rId29" Type="http://schemas.openxmlformats.org/officeDocument/2006/relationships/hyperlink" Target="#'Project types'!D24"/><Relationship Id="rId40" Type="http://schemas.openxmlformats.org/officeDocument/2006/relationships/hyperlink" Target="#'Project types'!D35"/><Relationship Id="rId115" Type="http://schemas.openxmlformats.org/officeDocument/2006/relationships/hyperlink" Target="#'Project types'!D110"/><Relationship Id="rId136" Type="http://schemas.openxmlformats.org/officeDocument/2006/relationships/hyperlink" Target="#'Project types'!K16"/><Relationship Id="rId157" Type="http://schemas.openxmlformats.org/officeDocument/2006/relationships/hyperlink" Target="#'Project types'!K38"/><Relationship Id="rId178" Type="http://schemas.openxmlformats.org/officeDocument/2006/relationships/hyperlink" Target="#'Project types'!K59"/><Relationship Id="rId61" Type="http://schemas.openxmlformats.org/officeDocument/2006/relationships/hyperlink" Target="#'Project types'!D56"/><Relationship Id="rId82" Type="http://schemas.openxmlformats.org/officeDocument/2006/relationships/hyperlink" Target="#'Project types'!D77"/><Relationship Id="rId199" Type="http://schemas.openxmlformats.org/officeDocument/2006/relationships/hyperlink" Target="#'Project types'!K80"/><Relationship Id="rId203" Type="http://schemas.openxmlformats.org/officeDocument/2006/relationships/hyperlink" Target="#'Project types'!K84"/><Relationship Id="rId19" Type="http://schemas.openxmlformats.org/officeDocument/2006/relationships/hyperlink" Target="#'Project types'!D14"/><Relationship Id="rId224" Type="http://schemas.openxmlformats.org/officeDocument/2006/relationships/hyperlink" Target="#'Project types'!K105"/><Relationship Id="rId30" Type="http://schemas.openxmlformats.org/officeDocument/2006/relationships/hyperlink" Target="#'Project types'!D25"/><Relationship Id="rId105" Type="http://schemas.openxmlformats.org/officeDocument/2006/relationships/hyperlink" Target="#'Project types'!D100"/><Relationship Id="rId126" Type="http://schemas.openxmlformats.org/officeDocument/2006/relationships/hyperlink" Target="#'Project types'!D121"/><Relationship Id="rId147" Type="http://schemas.openxmlformats.org/officeDocument/2006/relationships/hyperlink" Target="#'Project types'!K27"/><Relationship Id="rId168" Type="http://schemas.openxmlformats.org/officeDocument/2006/relationships/hyperlink" Target="#'Project types'!K49"/><Relationship Id="rId51" Type="http://schemas.openxmlformats.org/officeDocument/2006/relationships/hyperlink" Target="#'Project types'!D46"/><Relationship Id="rId72" Type="http://schemas.openxmlformats.org/officeDocument/2006/relationships/hyperlink" Target="#'Project types'!D67"/><Relationship Id="rId93" Type="http://schemas.openxmlformats.org/officeDocument/2006/relationships/hyperlink" Target="#'Project types'!D88"/><Relationship Id="rId189" Type="http://schemas.openxmlformats.org/officeDocument/2006/relationships/hyperlink" Target="#'Project types'!K70"/><Relationship Id="rId3" Type="http://schemas.openxmlformats.org/officeDocument/2006/relationships/image" Target="../media/image2.svg"/><Relationship Id="rId214" Type="http://schemas.openxmlformats.org/officeDocument/2006/relationships/hyperlink" Target="#'Project types'!K95"/><Relationship Id="rId235" Type="http://schemas.openxmlformats.org/officeDocument/2006/relationships/hyperlink" Target="#'Project types'!K116"/><Relationship Id="rId116" Type="http://schemas.openxmlformats.org/officeDocument/2006/relationships/hyperlink" Target="#'Project types'!D111"/><Relationship Id="rId137" Type="http://schemas.openxmlformats.org/officeDocument/2006/relationships/hyperlink" Target="#'Project types'!K17"/><Relationship Id="rId158" Type="http://schemas.openxmlformats.org/officeDocument/2006/relationships/hyperlink" Target="#'Project types'!K39"/><Relationship Id="rId20" Type="http://schemas.openxmlformats.org/officeDocument/2006/relationships/hyperlink" Target="#'Project types'!D15"/><Relationship Id="rId41" Type="http://schemas.openxmlformats.org/officeDocument/2006/relationships/hyperlink" Target="#'Project types'!D36"/><Relationship Id="rId62" Type="http://schemas.openxmlformats.org/officeDocument/2006/relationships/hyperlink" Target="#'Project types'!D57"/><Relationship Id="rId83" Type="http://schemas.openxmlformats.org/officeDocument/2006/relationships/hyperlink" Target="#'Project types'!D78"/><Relationship Id="rId179" Type="http://schemas.openxmlformats.org/officeDocument/2006/relationships/hyperlink" Target="#'Project types'!K60"/><Relationship Id="rId190" Type="http://schemas.openxmlformats.org/officeDocument/2006/relationships/hyperlink" Target="#'Project types'!K71"/><Relationship Id="rId204" Type="http://schemas.openxmlformats.org/officeDocument/2006/relationships/hyperlink" Target="#'Project types'!K85"/><Relationship Id="rId225" Type="http://schemas.openxmlformats.org/officeDocument/2006/relationships/hyperlink" Target="#'Project types'!K106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svg"/><Relationship Id="rId2" Type="http://schemas.openxmlformats.org/officeDocument/2006/relationships/image" Target="../media/image7.png"/><Relationship Id="rId1" Type="http://schemas.openxmlformats.org/officeDocument/2006/relationships/hyperlink" Target="#'Prepare Gantt Chart'!F6"/><Relationship Id="rId4" Type="http://schemas.openxmlformats.org/officeDocument/2006/relationships/image" Target="../media/image9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svg"/><Relationship Id="rId2" Type="http://schemas.openxmlformats.org/officeDocument/2006/relationships/image" Target="../media/image7.png"/><Relationship Id="rId1" Type="http://schemas.openxmlformats.org/officeDocument/2006/relationships/hyperlink" Target="#'Prepare Gantt Chart'!F6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svg"/><Relationship Id="rId2" Type="http://schemas.openxmlformats.org/officeDocument/2006/relationships/image" Target="../media/image7.png"/><Relationship Id="rId1" Type="http://schemas.openxmlformats.org/officeDocument/2006/relationships/hyperlink" Target="#'Prepare Gantt Chart'!F6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svg"/><Relationship Id="rId2" Type="http://schemas.openxmlformats.org/officeDocument/2006/relationships/image" Target="../media/image7.png"/><Relationship Id="rId1" Type="http://schemas.openxmlformats.org/officeDocument/2006/relationships/hyperlink" Target="#'Prepare Gantt Chart'!F6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95250</xdr:colOff>
      <xdr:row>29</xdr:row>
      <xdr:rowOff>3627</xdr:rowOff>
    </xdr:from>
    <xdr:to>
      <xdr:col>11</xdr:col>
      <xdr:colOff>317500</xdr:colOff>
      <xdr:row>29</xdr:row>
      <xdr:rowOff>221214</xdr:rowOff>
    </xdr:to>
    <xdr:pic>
      <xdr:nvPicPr>
        <xdr:cNvPr id="205" name="Graphic 204" descr="Bar graph with downward trend">
          <a:hlinkClick xmlns:r="http://schemas.openxmlformats.org/officeDocument/2006/relationships" r:id="rId1" tooltip="Benefit: 60 ton CO2/sq km/year (94/117); Average annual cost: 400 $/sq km/year (23/117); Utility: 15 (23/117)"/>
          <a:extLst>
            <a:ext uri="{FF2B5EF4-FFF2-40B4-BE49-F238E27FC236}">
              <a16:creationId xmlns:a16="http://schemas.microsoft.com/office/drawing/2014/main" id="{2AC3B2F3-0AAA-4004-B1DF-A03081C02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7298190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4790568</xdr:colOff>
      <xdr:row>4</xdr:row>
      <xdr:rowOff>23813</xdr:rowOff>
    </xdr:from>
    <xdr:to>
      <xdr:col>5</xdr:col>
      <xdr:colOff>5006568</xdr:colOff>
      <xdr:row>5</xdr:row>
      <xdr:rowOff>9624</xdr:rowOff>
    </xdr:to>
    <xdr:pic>
      <xdr:nvPicPr>
        <xdr:cNvPr id="3" name="Graphic 2" descr="Help">
          <a:hlinkClick xmlns:r="http://schemas.openxmlformats.org/officeDocument/2006/relationships" r:id="rId4" tooltip="Protect (and expand) marine areas to conserve biodiversity and boost ocean carbon sinks, reducing atmospheric CO₂ and supporting climate resilience."/>
          <a:extLst>
            <a:ext uri="{FF2B5EF4-FFF2-40B4-BE49-F238E27FC236}">
              <a16:creationId xmlns:a16="http://schemas.microsoft.com/office/drawing/2014/main" id="{F8BFBAF7-BC1E-4161-9BB7-41789BE885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8" y="1563688"/>
          <a:ext cx="216000" cy="215999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4</xdr:row>
      <xdr:rowOff>7940</xdr:rowOff>
    </xdr:from>
    <xdr:to>
      <xdr:col>11</xdr:col>
      <xdr:colOff>317500</xdr:colOff>
      <xdr:row>5</xdr:row>
      <xdr:rowOff>3277</xdr:rowOff>
    </xdr:to>
    <xdr:pic>
      <xdr:nvPicPr>
        <xdr:cNvPr id="5" name="Graphic 4" descr="Bar graph with downward trend">
          <a:hlinkClick xmlns:r="http://schemas.openxmlformats.org/officeDocument/2006/relationships" r:id="rId7" tooltip="Benefit: 40 ton CO2/sq km/year (100/117); Average annual cost: 400 $/sq km/year (22/117); Utility: 10 (22/117)"/>
          <a:extLst>
            <a:ext uri="{FF2B5EF4-FFF2-40B4-BE49-F238E27FC236}">
              <a16:creationId xmlns:a16="http://schemas.microsoft.com/office/drawing/2014/main" id="{D55ADAEB-B0B8-4FE0-BE5A-35337322E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547815"/>
          <a:ext cx="222250" cy="225525"/>
        </a:xfrm>
        <a:prstGeom prst="rect">
          <a:avLst/>
        </a:prstGeom>
      </xdr:spPr>
    </xdr:pic>
    <xdr:clientData/>
  </xdr:twoCellAnchor>
  <xdr:twoCellAnchor editAs="absolute">
    <xdr:from>
      <xdr:col>11</xdr:col>
      <xdr:colOff>377470</xdr:colOff>
      <xdr:row>4</xdr:row>
      <xdr:rowOff>14290</xdr:rowOff>
    </xdr:from>
    <xdr:to>
      <xdr:col>11</xdr:col>
      <xdr:colOff>583845</xdr:colOff>
      <xdr:row>5</xdr:row>
      <xdr:rowOff>3277</xdr:rowOff>
    </xdr:to>
    <xdr:pic>
      <xdr:nvPicPr>
        <xdr:cNvPr id="4" name="Graphic 3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D9E2F7FA-076B-448B-A7AE-674ED7133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2408" y="1554165"/>
          <a:ext cx="206375" cy="219175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4790568</xdr:colOff>
      <xdr:row>5</xdr:row>
      <xdr:rowOff>25266</xdr:rowOff>
    </xdr:from>
    <xdr:to>
      <xdr:col>5</xdr:col>
      <xdr:colOff>5006568</xdr:colOff>
      <xdr:row>6</xdr:row>
      <xdr:rowOff>11080</xdr:rowOff>
    </xdr:to>
    <xdr:pic>
      <xdr:nvPicPr>
        <xdr:cNvPr id="12" name="Graphic 11" descr="Help">
          <a:hlinkClick xmlns:r="http://schemas.openxmlformats.org/officeDocument/2006/relationships" r:id="rId11" tooltip="Sustainably conserving mangroves preserves powerful carbon sinks and protects coastlines, mitigating climate impacts."/>
          <a:extLst>
            <a:ext uri="{FF2B5EF4-FFF2-40B4-BE49-F238E27FC236}">
              <a16:creationId xmlns:a16="http://schemas.microsoft.com/office/drawing/2014/main" id="{BFAEBD4A-F1F4-4FBD-A4C7-4407B54240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8" y="1795329"/>
          <a:ext cx="216000" cy="216001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5</xdr:row>
      <xdr:rowOff>6243</xdr:rowOff>
    </xdr:from>
    <xdr:to>
      <xdr:col>11</xdr:col>
      <xdr:colOff>317500</xdr:colOff>
      <xdr:row>6</xdr:row>
      <xdr:rowOff>3168</xdr:rowOff>
    </xdr:to>
    <xdr:pic>
      <xdr:nvPicPr>
        <xdr:cNvPr id="13" name="Graphic 12" descr="Bar graph with downward trend">
          <a:hlinkClick xmlns:r="http://schemas.openxmlformats.org/officeDocument/2006/relationships" r:id="rId12" tooltip="Benefit: 300 ton CO2/sq km/year (70/117); Average annual cost: 2000 $/sq km/year (28/117); Utility: 15 (28/117)"/>
          <a:extLst>
            <a:ext uri="{FF2B5EF4-FFF2-40B4-BE49-F238E27FC236}">
              <a16:creationId xmlns:a16="http://schemas.microsoft.com/office/drawing/2014/main" id="{F9F6B88C-F467-4962-97CC-010A2D101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776306"/>
          <a:ext cx="222250" cy="227112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4790568</xdr:colOff>
      <xdr:row>6</xdr:row>
      <xdr:rowOff>23541</xdr:rowOff>
    </xdr:from>
    <xdr:to>
      <xdr:col>5</xdr:col>
      <xdr:colOff>5006568</xdr:colOff>
      <xdr:row>7</xdr:row>
      <xdr:rowOff>9352</xdr:rowOff>
    </xdr:to>
    <xdr:pic>
      <xdr:nvPicPr>
        <xdr:cNvPr id="14" name="Graphic 13" descr="Help">
          <a:hlinkClick xmlns:r="http://schemas.openxmlformats.org/officeDocument/2006/relationships" r:id="rId13" tooltip="Healthy coral reefs support marine biodiversity and carbon cycling, aiding ocean-based carbon sequestration and climate resilience."/>
          <a:extLst>
            <a:ext uri="{FF2B5EF4-FFF2-40B4-BE49-F238E27FC236}">
              <a16:creationId xmlns:a16="http://schemas.microsoft.com/office/drawing/2014/main" id="{EFB56E09-E9E5-4996-9E18-998B3CA19B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8" y="2023791"/>
          <a:ext cx="216000" cy="215999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4790568</xdr:colOff>
      <xdr:row>7</xdr:row>
      <xdr:rowOff>24993</xdr:rowOff>
    </xdr:from>
    <xdr:to>
      <xdr:col>5</xdr:col>
      <xdr:colOff>5006568</xdr:colOff>
      <xdr:row>8</xdr:row>
      <xdr:rowOff>10807</xdr:rowOff>
    </xdr:to>
    <xdr:pic>
      <xdr:nvPicPr>
        <xdr:cNvPr id="15" name="Graphic 14" descr="Help">
          <a:hlinkClick xmlns:r="http://schemas.openxmlformats.org/officeDocument/2006/relationships" r:id="rId14" tooltip="Restoring mangroves increases carbon storage and stabilizes coasts against climate-related erosion and storms."/>
          <a:extLst>
            <a:ext uri="{FF2B5EF4-FFF2-40B4-BE49-F238E27FC236}">
              <a16:creationId xmlns:a16="http://schemas.microsoft.com/office/drawing/2014/main" id="{526B5A0C-1D05-4790-80E3-8404C6BEB2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8" y="2255431"/>
          <a:ext cx="216000" cy="216001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4790568</xdr:colOff>
      <xdr:row>8</xdr:row>
      <xdr:rowOff>23268</xdr:rowOff>
    </xdr:from>
    <xdr:to>
      <xdr:col>5</xdr:col>
      <xdr:colOff>5006568</xdr:colOff>
      <xdr:row>9</xdr:row>
      <xdr:rowOff>9079</xdr:rowOff>
    </xdr:to>
    <xdr:pic>
      <xdr:nvPicPr>
        <xdr:cNvPr id="23" name="Graphic 22" descr="Help">
          <a:hlinkClick xmlns:r="http://schemas.openxmlformats.org/officeDocument/2006/relationships" r:id="rId15" tooltip="Coral reef restoration rebuilds ecosystems that support carbon cycling and coastal protection, reducing climate vulnerability."/>
          <a:extLst>
            <a:ext uri="{FF2B5EF4-FFF2-40B4-BE49-F238E27FC236}">
              <a16:creationId xmlns:a16="http://schemas.microsoft.com/office/drawing/2014/main" id="{D0025BA7-3775-49AA-A855-A2701ED64B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8" y="2483893"/>
          <a:ext cx="216000" cy="215999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4790568</xdr:colOff>
      <xdr:row>9</xdr:row>
      <xdr:rowOff>24721</xdr:rowOff>
    </xdr:from>
    <xdr:to>
      <xdr:col>5</xdr:col>
      <xdr:colOff>5006568</xdr:colOff>
      <xdr:row>10</xdr:row>
      <xdr:rowOff>10535</xdr:rowOff>
    </xdr:to>
    <xdr:pic>
      <xdr:nvPicPr>
        <xdr:cNvPr id="24" name="Graphic 23" descr="Help">
          <a:hlinkClick xmlns:r="http://schemas.openxmlformats.org/officeDocument/2006/relationships" r:id="rId16" tooltip="Sustainable fishing maintains marine food webs and ecosystem health, preserving the ocean’s capacity to sequester carbon."/>
          <a:extLst>
            <a:ext uri="{FF2B5EF4-FFF2-40B4-BE49-F238E27FC236}">
              <a16:creationId xmlns:a16="http://schemas.microsoft.com/office/drawing/2014/main" id="{FD496DB5-2CF9-48BC-BD24-991E5424ED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8" y="2715534"/>
          <a:ext cx="216000" cy="216001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4790568</xdr:colOff>
      <xdr:row>10</xdr:row>
      <xdr:rowOff>26172</xdr:rowOff>
    </xdr:from>
    <xdr:to>
      <xdr:col>5</xdr:col>
      <xdr:colOff>5006568</xdr:colOff>
      <xdr:row>11</xdr:row>
      <xdr:rowOff>11983</xdr:rowOff>
    </xdr:to>
    <xdr:pic>
      <xdr:nvPicPr>
        <xdr:cNvPr id="25" name="Graphic 24" descr="Help">
          <a:hlinkClick xmlns:r="http://schemas.openxmlformats.org/officeDocument/2006/relationships" r:id="rId17" tooltip="Apply ocean fertilization by carefully adding nutrients—usually iron—to boost phytoplankton growth, increasing CO₂ absorption and ocean carbon sinks."/>
          <a:extLst>
            <a:ext uri="{FF2B5EF4-FFF2-40B4-BE49-F238E27FC236}">
              <a16:creationId xmlns:a16="http://schemas.microsoft.com/office/drawing/2014/main" id="{5DED465E-88A5-477F-A91D-8987C6576F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8" y="2947172"/>
          <a:ext cx="216000" cy="215999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4790568</xdr:colOff>
      <xdr:row>11</xdr:row>
      <xdr:rowOff>27623</xdr:rowOff>
    </xdr:from>
    <xdr:to>
      <xdr:col>5</xdr:col>
      <xdr:colOff>5006568</xdr:colOff>
      <xdr:row>12</xdr:row>
      <xdr:rowOff>16612</xdr:rowOff>
    </xdr:to>
    <xdr:pic>
      <xdr:nvPicPr>
        <xdr:cNvPr id="26" name="Graphic 25" descr="Help">
          <a:hlinkClick xmlns:r="http://schemas.openxmlformats.org/officeDocument/2006/relationships" r:id="rId18" tooltip="Repopulating overfished areas restores ecological balance, improving carbon sequestration by supporting healthy, functioning marine ecosystems."/>
          <a:extLst>
            <a:ext uri="{FF2B5EF4-FFF2-40B4-BE49-F238E27FC236}">
              <a16:creationId xmlns:a16="http://schemas.microsoft.com/office/drawing/2014/main" id="{AEFF038A-94EA-499C-8686-C6E17A2169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8" y="3178811"/>
          <a:ext cx="216000" cy="219176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4790568</xdr:colOff>
      <xdr:row>12</xdr:row>
      <xdr:rowOff>29075</xdr:rowOff>
    </xdr:from>
    <xdr:to>
      <xdr:col>5</xdr:col>
      <xdr:colOff>5006568</xdr:colOff>
      <xdr:row>13</xdr:row>
      <xdr:rowOff>18061</xdr:rowOff>
    </xdr:to>
    <xdr:pic>
      <xdr:nvPicPr>
        <xdr:cNvPr id="27" name="Graphic 26" descr="Help">
          <a:hlinkClick xmlns:r="http://schemas.openxmlformats.org/officeDocument/2006/relationships" r:id="rId19" tooltip="Sustainable aquaculture reduces environmental impact, supports healthy water systems and reduces emissions from overexploitation."/>
          <a:extLst>
            <a:ext uri="{FF2B5EF4-FFF2-40B4-BE49-F238E27FC236}">
              <a16:creationId xmlns:a16="http://schemas.microsoft.com/office/drawing/2014/main" id="{5117108D-1FAE-4727-90A0-366A62D12B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8" y="3410450"/>
          <a:ext cx="216000" cy="219174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4790568</xdr:colOff>
      <xdr:row>13</xdr:row>
      <xdr:rowOff>30526</xdr:rowOff>
    </xdr:from>
    <xdr:to>
      <xdr:col>5</xdr:col>
      <xdr:colOff>5006568</xdr:colOff>
      <xdr:row>14</xdr:row>
      <xdr:rowOff>19515</xdr:rowOff>
    </xdr:to>
    <xdr:pic>
      <xdr:nvPicPr>
        <xdr:cNvPr id="28" name="Graphic 27" descr="Help">
          <a:hlinkClick xmlns:r="http://schemas.openxmlformats.org/officeDocument/2006/relationships" r:id="rId20" tooltip="Removing shipping pollutants improves ocean health and reduces emissions from fossil fuels, contributing to climate mitigation."/>
          <a:extLst>
            <a:ext uri="{FF2B5EF4-FFF2-40B4-BE49-F238E27FC236}">
              <a16:creationId xmlns:a16="http://schemas.microsoft.com/office/drawing/2014/main" id="{5D9A18C0-A1AB-4B1B-A185-626045D1F9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8" y="3642089"/>
          <a:ext cx="216000" cy="219176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4790568</xdr:colOff>
      <xdr:row>14</xdr:row>
      <xdr:rowOff>41501</xdr:rowOff>
    </xdr:from>
    <xdr:to>
      <xdr:col>5</xdr:col>
      <xdr:colOff>5006568</xdr:colOff>
      <xdr:row>15</xdr:row>
      <xdr:rowOff>27312</xdr:rowOff>
    </xdr:to>
    <xdr:pic>
      <xdr:nvPicPr>
        <xdr:cNvPr id="29" name="Graphic 28" descr="Help">
          <a:hlinkClick xmlns:r="http://schemas.openxmlformats.org/officeDocument/2006/relationships" r:id="rId21" tooltip="Restrict bottom trawling to prevent habitat (seafloor) destruction and release of stored seabed carbon, helping maintain oceanic carbon stocks."/>
          <a:extLst>
            <a:ext uri="{FF2B5EF4-FFF2-40B4-BE49-F238E27FC236}">
              <a16:creationId xmlns:a16="http://schemas.microsoft.com/office/drawing/2014/main" id="{749AFB12-9904-459B-9B5C-74005F6A47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8" y="3883251"/>
          <a:ext cx="216000" cy="215999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4790568</xdr:colOff>
      <xdr:row>15</xdr:row>
      <xdr:rowOff>23902</xdr:rowOff>
    </xdr:from>
    <xdr:to>
      <xdr:col>5</xdr:col>
      <xdr:colOff>5006568</xdr:colOff>
      <xdr:row>16</xdr:row>
      <xdr:rowOff>9716</xdr:rowOff>
    </xdr:to>
    <xdr:pic>
      <xdr:nvPicPr>
        <xdr:cNvPr id="30" name="Graphic 29" descr="Help">
          <a:hlinkClick xmlns:r="http://schemas.openxmlformats.org/officeDocument/2006/relationships" r:id="rId22" tooltip="Carbon taxing shipping emissions incentivizes cleaner operations and supports ocean-based carbon sequestration projects."/>
          <a:extLst>
            <a:ext uri="{FF2B5EF4-FFF2-40B4-BE49-F238E27FC236}">
              <a16:creationId xmlns:a16="http://schemas.microsoft.com/office/drawing/2014/main" id="{AA2A7F5D-FB2F-4211-B021-3031AC17B1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8" y="4095840"/>
          <a:ext cx="216000" cy="216001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4790568</xdr:colOff>
      <xdr:row>16</xdr:row>
      <xdr:rowOff>44405</xdr:rowOff>
    </xdr:from>
    <xdr:to>
      <xdr:col>5</xdr:col>
      <xdr:colOff>5006568</xdr:colOff>
      <xdr:row>17</xdr:row>
      <xdr:rowOff>30216</xdr:rowOff>
    </xdr:to>
    <xdr:pic>
      <xdr:nvPicPr>
        <xdr:cNvPr id="31" name="Graphic 30" descr="Help">
          <a:hlinkClick xmlns:r="http://schemas.openxmlformats.org/officeDocument/2006/relationships" r:id="rId23" tooltip="Wetlands capture large amounts of carbon; conserving them protects this carbon sink and helps regulate climate."/>
          <a:extLst>
            <a:ext uri="{FF2B5EF4-FFF2-40B4-BE49-F238E27FC236}">
              <a16:creationId xmlns:a16="http://schemas.microsoft.com/office/drawing/2014/main" id="{0C2CB697-7C9A-4ECD-8F77-9E7EF50106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8" y="4346530"/>
          <a:ext cx="216000" cy="215999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4790568</xdr:colOff>
      <xdr:row>17</xdr:row>
      <xdr:rowOff>29980</xdr:rowOff>
    </xdr:from>
    <xdr:to>
      <xdr:col>5</xdr:col>
      <xdr:colOff>5006568</xdr:colOff>
      <xdr:row>18</xdr:row>
      <xdr:rowOff>15794</xdr:rowOff>
    </xdr:to>
    <xdr:pic>
      <xdr:nvPicPr>
        <xdr:cNvPr id="32" name="Graphic 31" descr="Help">
          <a:hlinkClick xmlns:r="http://schemas.openxmlformats.org/officeDocument/2006/relationships" r:id="rId24" tooltip="Healthy lakes sequester carbon efficiently and support aquatic ecosystems crucial for local climate regulation."/>
          <a:extLst>
            <a:ext uri="{FF2B5EF4-FFF2-40B4-BE49-F238E27FC236}">
              <a16:creationId xmlns:a16="http://schemas.microsoft.com/office/drawing/2014/main" id="{43590230-C9AE-4A5B-B714-7C64E848A2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8" y="4562293"/>
          <a:ext cx="216000" cy="216001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4790568</xdr:colOff>
      <xdr:row>18</xdr:row>
      <xdr:rowOff>31432</xdr:rowOff>
    </xdr:from>
    <xdr:to>
      <xdr:col>5</xdr:col>
      <xdr:colOff>5006568</xdr:colOff>
      <xdr:row>19</xdr:row>
      <xdr:rowOff>17243</xdr:rowOff>
    </xdr:to>
    <xdr:pic>
      <xdr:nvPicPr>
        <xdr:cNvPr id="33" name="Graphic 32" descr="Help">
          <a:hlinkClick xmlns:r="http://schemas.openxmlformats.org/officeDocument/2006/relationships" r:id="rId25" tooltip="Conserving rivers maintains water quality and carbon cycling, supporting natural climate mitigation processes."/>
          <a:extLst>
            <a:ext uri="{FF2B5EF4-FFF2-40B4-BE49-F238E27FC236}">
              <a16:creationId xmlns:a16="http://schemas.microsoft.com/office/drawing/2014/main" id="{CA3520D5-E2E8-405D-BD1E-40A1654A12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8" y="4793932"/>
          <a:ext cx="216000" cy="215999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4790568</xdr:colOff>
      <xdr:row>19</xdr:row>
      <xdr:rowOff>29708</xdr:rowOff>
    </xdr:from>
    <xdr:to>
      <xdr:col>5</xdr:col>
      <xdr:colOff>5006568</xdr:colOff>
      <xdr:row>20</xdr:row>
      <xdr:rowOff>15522</xdr:rowOff>
    </xdr:to>
    <xdr:pic>
      <xdr:nvPicPr>
        <xdr:cNvPr id="34" name="Graphic 33" descr="Help">
          <a:hlinkClick xmlns:r="http://schemas.openxmlformats.org/officeDocument/2006/relationships" r:id="rId26" tooltip="Protecting and recharging aquifers secures freshwater supplies and preserves underground carbon storage potentials."/>
          <a:extLst>
            <a:ext uri="{FF2B5EF4-FFF2-40B4-BE49-F238E27FC236}">
              <a16:creationId xmlns:a16="http://schemas.microsoft.com/office/drawing/2014/main" id="{37FF3D7D-8C29-4169-8BFA-D3F252F83E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8" y="5022396"/>
          <a:ext cx="216000" cy="216001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4790568</xdr:colOff>
      <xdr:row>20</xdr:row>
      <xdr:rowOff>31160</xdr:rowOff>
    </xdr:from>
    <xdr:to>
      <xdr:col>5</xdr:col>
      <xdr:colOff>5006568</xdr:colOff>
      <xdr:row>21</xdr:row>
      <xdr:rowOff>16971</xdr:rowOff>
    </xdr:to>
    <xdr:pic>
      <xdr:nvPicPr>
        <xdr:cNvPr id="35" name="Graphic 34" descr="Help">
          <a:hlinkClick xmlns:r="http://schemas.openxmlformats.org/officeDocument/2006/relationships" r:id="rId27" tooltip="Restoring wetlands returns lost carbon storage capacity and improves ecosystem services that buffer climate impacts."/>
          <a:extLst>
            <a:ext uri="{FF2B5EF4-FFF2-40B4-BE49-F238E27FC236}">
              <a16:creationId xmlns:a16="http://schemas.microsoft.com/office/drawing/2014/main" id="{826A5F4F-5DE2-4DC3-9510-18AE9E8473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8" y="5254035"/>
          <a:ext cx="216000" cy="215999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4790568</xdr:colOff>
      <xdr:row>21</xdr:row>
      <xdr:rowOff>29435</xdr:rowOff>
    </xdr:from>
    <xdr:to>
      <xdr:col>5</xdr:col>
      <xdr:colOff>5006568</xdr:colOff>
      <xdr:row>22</xdr:row>
      <xdr:rowOff>15249</xdr:rowOff>
    </xdr:to>
    <xdr:pic>
      <xdr:nvPicPr>
        <xdr:cNvPr id="36" name="Graphic 35" descr="Help">
          <a:hlinkClick xmlns:r="http://schemas.openxmlformats.org/officeDocument/2006/relationships" r:id="rId28" tooltip="Reviving lakes improves carbon sequestration, aquatic biodiversity, and local climate regulation."/>
          <a:extLst>
            <a:ext uri="{FF2B5EF4-FFF2-40B4-BE49-F238E27FC236}">
              <a16:creationId xmlns:a16="http://schemas.microsoft.com/office/drawing/2014/main" id="{6CEFC679-9243-40EB-985F-C2369E27BE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8" y="5482498"/>
          <a:ext cx="216000" cy="216001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4790568</xdr:colOff>
      <xdr:row>22</xdr:row>
      <xdr:rowOff>30887</xdr:rowOff>
    </xdr:from>
    <xdr:to>
      <xdr:col>5</xdr:col>
      <xdr:colOff>5006568</xdr:colOff>
      <xdr:row>23</xdr:row>
      <xdr:rowOff>16698</xdr:rowOff>
    </xdr:to>
    <xdr:pic>
      <xdr:nvPicPr>
        <xdr:cNvPr id="37" name="Graphic 36" descr="Help">
          <a:hlinkClick xmlns:r="http://schemas.openxmlformats.org/officeDocument/2006/relationships" r:id="rId29" tooltip="Restored rivers support habitats and natural carbon cycling, helping reduce greenhouse gas concentrations."/>
          <a:extLst>
            <a:ext uri="{FF2B5EF4-FFF2-40B4-BE49-F238E27FC236}">
              <a16:creationId xmlns:a16="http://schemas.microsoft.com/office/drawing/2014/main" id="{ADE99F71-BF90-4EC0-BC2A-AED1E679B4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8" y="5714137"/>
          <a:ext cx="216000" cy="215999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4790568</xdr:colOff>
      <xdr:row>23</xdr:row>
      <xdr:rowOff>32339</xdr:rowOff>
    </xdr:from>
    <xdr:to>
      <xdr:col>5</xdr:col>
      <xdr:colOff>5006568</xdr:colOff>
      <xdr:row>24</xdr:row>
      <xdr:rowOff>18153</xdr:rowOff>
    </xdr:to>
    <xdr:pic>
      <xdr:nvPicPr>
        <xdr:cNvPr id="38" name="Graphic 37" descr="Help">
          <a:hlinkClick xmlns:r="http://schemas.openxmlformats.org/officeDocument/2006/relationships" r:id="rId30" tooltip="Sustainable aquifer restoration maintains groundwater storage and reduces emissions from water infrastructure."/>
          <a:extLst>
            <a:ext uri="{FF2B5EF4-FFF2-40B4-BE49-F238E27FC236}">
              <a16:creationId xmlns:a16="http://schemas.microsoft.com/office/drawing/2014/main" id="{6D00805F-0800-4CEB-B2F1-EFEA76008C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8" y="5945777"/>
          <a:ext cx="216000" cy="216001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4790568</xdr:colOff>
      <xdr:row>24</xdr:row>
      <xdr:rowOff>33790</xdr:rowOff>
    </xdr:from>
    <xdr:to>
      <xdr:col>5</xdr:col>
      <xdr:colOff>5006568</xdr:colOff>
      <xdr:row>25</xdr:row>
      <xdr:rowOff>22776</xdr:rowOff>
    </xdr:to>
    <xdr:pic>
      <xdr:nvPicPr>
        <xdr:cNvPr id="39" name="Graphic 38" descr="Help">
          <a:hlinkClick xmlns:r="http://schemas.openxmlformats.org/officeDocument/2006/relationships" r:id="rId31" tooltip="Treating and recycling wastewater reduces methane emissions and conserves water, aiding climate mitigation."/>
          <a:extLst>
            <a:ext uri="{FF2B5EF4-FFF2-40B4-BE49-F238E27FC236}">
              <a16:creationId xmlns:a16="http://schemas.microsoft.com/office/drawing/2014/main" id="{D8FF1AB8-2F2D-4847-AA34-407C65AD33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8" y="6177415"/>
          <a:ext cx="216000" cy="219174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4790568</xdr:colOff>
      <xdr:row>25</xdr:row>
      <xdr:rowOff>35241</xdr:rowOff>
    </xdr:from>
    <xdr:to>
      <xdr:col>5</xdr:col>
      <xdr:colOff>5006568</xdr:colOff>
      <xdr:row>26</xdr:row>
      <xdr:rowOff>24230</xdr:rowOff>
    </xdr:to>
    <xdr:pic>
      <xdr:nvPicPr>
        <xdr:cNvPr id="40" name="Graphic 39" descr="Help">
          <a:hlinkClick xmlns:r="http://schemas.openxmlformats.org/officeDocument/2006/relationships" r:id="rId32" tooltip="Improving water supply sustainability reduces energy use and emissions linked to water extraction and treatment."/>
          <a:extLst>
            <a:ext uri="{FF2B5EF4-FFF2-40B4-BE49-F238E27FC236}">
              <a16:creationId xmlns:a16="http://schemas.microsoft.com/office/drawing/2014/main" id="{1ED4DA7A-0E05-4251-831F-A596FB15EF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8" y="6409054"/>
          <a:ext cx="216000" cy="219176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4790568</xdr:colOff>
      <xdr:row>26</xdr:row>
      <xdr:rowOff>17643</xdr:rowOff>
    </xdr:from>
    <xdr:to>
      <xdr:col>5</xdr:col>
      <xdr:colOff>5006568</xdr:colOff>
      <xdr:row>27</xdr:row>
      <xdr:rowOff>5041</xdr:rowOff>
    </xdr:to>
    <xdr:pic>
      <xdr:nvPicPr>
        <xdr:cNvPr id="41" name="Graphic 40" descr="Help">
          <a:hlinkClick xmlns:r="http://schemas.openxmlformats.org/officeDocument/2006/relationships" r:id="rId33" tooltip="Carbon taxing water-related emissions incentivizes efficiency and invests in natural carbon sinks protection."/>
          <a:extLst>
            <a:ext uri="{FF2B5EF4-FFF2-40B4-BE49-F238E27FC236}">
              <a16:creationId xmlns:a16="http://schemas.microsoft.com/office/drawing/2014/main" id="{93D9540C-A313-4764-93C7-E698ECF253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8" y="6621643"/>
          <a:ext cx="216000" cy="217586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4790568</xdr:colOff>
      <xdr:row>27</xdr:row>
      <xdr:rowOff>47668</xdr:rowOff>
    </xdr:from>
    <xdr:to>
      <xdr:col>5</xdr:col>
      <xdr:colOff>5006568</xdr:colOff>
      <xdr:row>28</xdr:row>
      <xdr:rowOff>33482</xdr:rowOff>
    </xdr:to>
    <xdr:pic>
      <xdr:nvPicPr>
        <xdr:cNvPr id="42" name="Graphic 41" descr="Help">
          <a:hlinkClick xmlns:r="http://schemas.openxmlformats.org/officeDocument/2006/relationships" r:id="rId34" tooltip="Conserving barren lands prevents desertification and soil carbon loss, helping maintain terrestrial carbon stocks."/>
          <a:extLst>
            <a:ext uri="{FF2B5EF4-FFF2-40B4-BE49-F238E27FC236}">
              <a16:creationId xmlns:a16="http://schemas.microsoft.com/office/drawing/2014/main" id="{99F13DA4-EE84-4637-9B77-075412F928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8" y="6881856"/>
          <a:ext cx="216000" cy="216001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4790568</xdr:colOff>
      <xdr:row>28</xdr:row>
      <xdr:rowOff>25081</xdr:rowOff>
    </xdr:from>
    <xdr:to>
      <xdr:col>5</xdr:col>
      <xdr:colOff>5006568</xdr:colOff>
      <xdr:row>29</xdr:row>
      <xdr:rowOff>14067</xdr:rowOff>
    </xdr:to>
    <xdr:pic>
      <xdr:nvPicPr>
        <xdr:cNvPr id="43" name="Graphic 42" descr="Help">
          <a:hlinkClick xmlns:r="http://schemas.openxmlformats.org/officeDocument/2006/relationships" r:id="rId35" tooltip="Efficient water use in degraded lands supports vegetation growth, enhancing carbon sequestration and ecosystem resilience."/>
          <a:extLst>
            <a:ext uri="{FF2B5EF4-FFF2-40B4-BE49-F238E27FC236}">
              <a16:creationId xmlns:a16="http://schemas.microsoft.com/office/drawing/2014/main" id="{C76D082B-E2EC-45F7-8367-AA99C873DB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8" y="7089456"/>
          <a:ext cx="216000" cy="219174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4790568</xdr:colOff>
      <xdr:row>29</xdr:row>
      <xdr:rowOff>11282</xdr:rowOff>
    </xdr:from>
    <xdr:to>
      <xdr:col>5</xdr:col>
      <xdr:colOff>5006568</xdr:colOff>
      <xdr:row>29</xdr:row>
      <xdr:rowOff>225696</xdr:rowOff>
    </xdr:to>
    <xdr:pic>
      <xdr:nvPicPr>
        <xdr:cNvPr id="44" name="Graphic 43" descr="Help">
          <a:hlinkClick xmlns:r="http://schemas.openxmlformats.org/officeDocument/2006/relationships" r:id="rId36" tooltip="Managing wetlands in marginal areas maintains ecological carbon sinks and local climate regulation."/>
          <a:extLst>
            <a:ext uri="{FF2B5EF4-FFF2-40B4-BE49-F238E27FC236}">
              <a16:creationId xmlns:a16="http://schemas.microsoft.com/office/drawing/2014/main" id="{18FE80A8-4CD6-4781-A124-EC6828B5E7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8" y="7305845"/>
          <a:ext cx="216000" cy="214414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4790568</xdr:colOff>
      <xdr:row>30</xdr:row>
      <xdr:rowOff>10919</xdr:rowOff>
    </xdr:from>
    <xdr:to>
      <xdr:col>5</xdr:col>
      <xdr:colOff>5006568</xdr:colOff>
      <xdr:row>30</xdr:row>
      <xdr:rowOff>225330</xdr:rowOff>
    </xdr:to>
    <xdr:pic>
      <xdr:nvPicPr>
        <xdr:cNvPr id="45" name="Graphic 44" descr="Help">
          <a:hlinkClick xmlns:r="http://schemas.openxmlformats.org/officeDocument/2006/relationships" r:id="rId37" tooltip="Healthy soils store carbon, reduce erosion, and lower emissions from land degradation."/>
          <a:extLst>
            <a:ext uri="{FF2B5EF4-FFF2-40B4-BE49-F238E27FC236}">
              <a16:creationId xmlns:a16="http://schemas.microsoft.com/office/drawing/2014/main" id="{F8413223-2030-444C-AAF6-835CFA178D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8" y="7535669"/>
          <a:ext cx="216000" cy="214411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4790568</xdr:colOff>
      <xdr:row>31</xdr:row>
      <xdr:rowOff>23256</xdr:rowOff>
    </xdr:from>
    <xdr:to>
      <xdr:col>5</xdr:col>
      <xdr:colOff>5006568</xdr:colOff>
      <xdr:row>32</xdr:row>
      <xdr:rowOff>9070</xdr:rowOff>
    </xdr:to>
    <xdr:pic>
      <xdr:nvPicPr>
        <xdr:cNvPr id="46" name="Graphic 45" descr="Help">
          <a:hlinkClick xmlns:r="http://schemas.openxmlformats.org/officeDocument/2006/relationships" r:id="rId38" tooltip="Planting trees on degraded (non forrested) lands restores carbon sinks, prevents erosion, and combats desertification, reducing atmospheric CO₂."/>
          <a:extLst>
            <a:ext uri="{FF2B5EF4-FFF2-40B4-BE49-F238E27FC236}">
              <a16:creationId xmlns:a16="http://schemas.microsoft.com/office/drawing/2014/main" id="{D4D37BA0-C6A0-48FB-93D2-C825B6372A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8" y="7778194"/>
          <a:ext cx="216000" cy="216001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4790568</xdr:colOff>
      <xdr:row>32</xdr:row>
      <xdr:rowOff>24604</xdr:rowOff>
    </xdr:from>
    <xdr:to>
      <xdr:col>5</xdr:col>
      <xdr:colOff>5006568</xdr:colOff>
      <xdr:row>33</xdr:row>
      <xdr:rowOff>10415</xdr:rowOff>
    </xdr:to>
    <xdr:pic>
      <xdr:nvPicPr>
        <xdr:cNvPr id="47" name="Graphic 46" descr="Help">
          <a:hlinkClick xmlns:r="http://schemas.openxmlformats.org/officeDocument/2006/relationships" r:id="rId39" tooltip="Agroforestry integrates trees with agriculture, increasing carbon storage and improving land resilience to climate impacts."/>
          <a:extLst>
            <a:ext uri="{FF2B5EF4-FFF2-40B4-BE49-F238E27FC236}">
              <a16:creationId xmlns:a16="http://schemas.microsoft.com/office/drawing/2014/main" id="{A76A4CB0-AA49-4278-9BD3-DF0FC95BCD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8" y="8009729"/>
          <a:ext cx="216000" cy="215999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4790568</xdr:colOff>
      <xdr:row>33</xdr:row>
      <xdr:rowOff>11295</xdr:rowOff>
    </xdr:from>
    <xdr:to>
      <xdr:col>5</xdr:col>
      <xdr:colOff>5006568</xdr:colOff>
      <xdr:row>33</xdr:row>
      <xdr:rowOff>225709</xdr:rowOff>
    </xdr:to>
    <xdr:pic>
      <xdr:nvPicPr>
        <xdr:cNvPr id="48" name="Graphic 47" descr="Help">
          <a:hlinkClick xmlns:r="http://schemas.openxmlformats.org/officeDocument/2006/relationships" r:id="rId40" tooltip="Taxing emissions from barren land use motivates restoration and sustainable management to enhance carbon sinks."/>
          <a:extLst>
            <a:ext uri="{FF2B5EF4-FFF2-40B4-BE49-F238E27FC236}">
              <a16:creationId xmlns:a16="http://schemas.microsoft.com/office/drawing/2014/main" id="{104AED8F-C215-4DC9-A45F-C91B159A16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8" y="8226608"/>
          <a:ext cx="216000" cy="214414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34</xdr:row>
      <xdr:rowOff>14108</xdr:rowOff>
    </xdr:from>
    <xdr:to>
      <xdr:col>5</xdr:col>
      <xdr:colOff>5006569</xdr:colOff>
      <xdr:row>35</xdr:row>
      <xdr:rowOff>897</xdr:rowOff>
    </xdr:to>
    <xdr:pic>
      <xdr:nvPicPr>
        <xdr:cNvPr id="49" name="Graphic 48" descr="Help">
          <a:hlinkClick xmlns:r="http://schemas.openxmlformats.org/officeDocument/2006/relationships" r:id="rId41" tooltip="Protecting critical habitats preserves biodiversity and carbon-rich ecosystems essential for climate mitigation."/>
          <a:extLst>
            <a:ext uri="{FF2B5EF4-FFF2-40B4-BE49-F238E27FC236}">
              <a16:creationId xmlns:a16="http://schemas.microsoft.com/office/drawing/2014/main" id="{2C4D7F62-E258-49E2-966D-875E562A7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8459608"/>
          <a:ext cx="216000" cy="21697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35</xdr:row>
      <xdr:rowOff>23515</xdr:rowOff>
    </xdr:from>
    <xdr:to>
      <xdr:col>5</xdr:col>
      <xdr:colOff>5006569</xdr:colOff>
      <xdr:row>36</xdr:row>
      <xdr:rowOff>10915</xdr:rowOff>
    </xdr:to>
    <xdr:pic>
      <xdr:nvPicPr>
        <xdr:cNvPr id="50" name="Graphic 49" descr="Help">
          <a:hlinkClick xmlns:r="http://schemas.openxmlformats.org/officeDocument/2006/relationships" r:id="rId42" tooltip="Safeguarding rare species maintains ecosystem functions that regulate carbon and climate balance."/>
          <a:extLst>
            <a:ext uri="{FF2B5EF4-FFF2-40B4-BE49-F238E27FC236}">
              <a16:creationId xmlns:a16="http://schemas.microsoft.com/office/drawing/2014/main" id="{6268DBD6-84B1-4EEF-8650-0EF3DEBFB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8699203"/>
          <a:ext cx="216000" cy="21758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36</xdr:row>
      <xdr:rowOff>23152</xdr:rowOff>
    </xdr:from>
    <xdr:to>
      <xdr:col>5</xdr:col>
      <xdr:colOff>5006569</xdr:colOff>
      <xdr:row>37</xdr:row>
      <xdr:rowOff>10552</xdr:rowOff>
    </xdr:to>
    <xdr:pic>
      <xdr:nvPicPr>
        <xdr:cNvPr id="51" name="Graphic 50" descr="Help">
          <a:hlinkClick xmlns:r="http://schemas.openxmlformats.org/officeDocument/2006/relationships" r:id="rId43" tooltip="Old-growth forests store vast amounts of carbon and support climate stability by preserving these vital reserves."/>
          <a:extLst>
            <a:ext uri="{FF2B5EF4-FFF2-40B4-BE49-F238E27FC236}">
              <a16:creationId xmlns:a16="http://schemas.microsoft.com/office/drawing/2014/main" id="{5A87A25C-2392-49A8-9194-B0360BA11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8929027"/>
          <a:ext cx="216000" cy="217588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37</xdr:row>
      <xdr:rowOff>22789</xdr:rowOff>
    </xdr:from>
    <xdr:to>
      <xdr:col>5</xdr:col>
      <xdr:colOff>5006569</xdr:colOff>
      <xdr:row>38</xdr:row>
      <xdr:rowOff>10189</xdr:rowOff>
    </xdr:to>
    <xdr:pic>
      <xdr:nvPicPr>
        <xdr:cNvPr id="52" name="Graphic 51" descr="Help">
          <a:hlinkClick xmlns:r="http://schemas.openxmlformats.org/officeDocument/2006/relationships" r:id="rId44" tooltip="Preventing deforestation avoids carbon emissions and preserves forest carbon stocks essential to climate regulation."/>
          <a:extLst>
            <a:ext uri="{FF2B5EF4-FFF2-40B4-BE49-F238E27FC236}">
              <a16:creationId xmlns:a16="http://schemas.microsoft.com/office/drawing/2014/main" id="{68679FC3-FDBA-4C94-B81B-D0FB5566C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9158852"/>
          <a:ext cx="216000" cy="21758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38</xdr:row>
      <xdr:rowOff>22426</xdr:rowOff>
    </xdr:from>
    <xdr:to>
      <xdr:col>5</xdr:col>
      <xdr:colOff>5006569</xdr:colOff>
      <xdr:row>39</xdr:row>
      <xdr:rowOff>9826</xdr:rowOff>
    </xdr:to>
    <xdr:pic>
      <xdr:nvPicPr>
        <xdr:cNvPr id="53" name="Graphic 52" descr="Help">
          <a:hlinkClick xmlns:r="http://schemas.openxmlformats.org/officeDocument/2006/relationships" r:id="rId45" tooltip="Managing forests sustainably balances wood production with continuous carbon sequestration and ecosystem health."/>
          <a:extLst>
            <a:ext uri="{FF2B5EF4-FFF2-40B4-BE49-F238E27FC236}">
              <a16:creationId xmlns:a16="http://schemas.microsoft.com/office/drawing/2014/main" id="{CDD3773E-B76D-4E48-BFF0-2F0D3295C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9388676"/>
          <a:ext cx="216000" cy="217588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39</xdr:row>
      <xdr:rowOff>22063</xdr:rowOff>
    </xdr:from>
    <xdr:to>
      <xdr:col>5</xdr:col>
      <xdr:colOff>5006569</xdr:colOff>
      <xdr:row>40</xdr:row>
      <xdr:rowOff>9463</xdr:rowOff>
    </xdr:to>
    <xdr:pic>
      <xdr:nvPicPr>
        <xdr:cNvPr id="54" name="Graphic 53" descr="Help">
          <a:hlinkClick xmlns:r="http://schemas.openxmlformats.org/officeDocument/2006/relationships" r:id="rId46" tooltip="Grasslands store significant soil carbon; sustainable practices prevent degradation and emissions."/>
          <a:extLst>
            <a:ext uri="{FF2B5EF4-FFF2-40B4-BE49-F238E27FC236}">
              <a16:creationId xmlns:a16="http://schemas.microsoft.com/office/drawing/2014/main" id="{70D58087-CF6C-401C-97FA-2AE742B3B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9618501"/>
          <a:ext cx="216000" cy="21758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40</xdr:row>
      <xdr:rowOff>21700</xdr:rowOff>
    </xdr:from>
    <xdr:to>
      <xdr:col>5</xdr:col>
      <xdr:colOff>5006569</xdr:colOff>
      <xdr:row>41</xdr:row>
      <xdr:rowOff>9100</xdr:rowOff>
    </xdr:to>
    <xdr:pic>
      <xdr:nvPicPr>
        <xdr:cNvPr id="55" name="Graphic 54" descr="Help">
          <a:hlinkClick xmlns:r="http://schemas.openxmlformats.org/officeDocument/2006/relationships" r:id="rId47" tooltip="Restoring forests recovers lost carbon sinks and strengthens ecosystem resilience to climate change."/>
          <a:extLst>
            <a:ext uri="{FF2B5EF4-FFF2-40B4-BE49-F238E27FC236}">
              <a16:creationId xmlns:a16="http://schemas.microsoft.com/office/drawing/2014/main" id="{ED1BF099-599A-4964-8FC5-1B9A6413A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9848325"/>
          <a:ext cx="216000" cy="217588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41</xdr:row>
      <xdr:rowOff>21337</xdr:rowOff>
    </xdr:from>
    <xdr:to>
      <xdr:col>5</xdr:col>
      <xdr:colOff>5006569</xdr:colOff>
      <xdr:row>42</xdr:row>
      <xdr:rowOff>8737</xdr:rowOff>
    </xdr:to>
    <xdr:pic>
      <xdr:nvPicPr>
        <xdr:cNvPr id="56" name="Graphic 55" descr="Help">
          <a:hlinkClick xmlns:r="http://schemas.openxmlformats.org/officeDocument/2006/relationships" r:id="rId48" tooltip="Restoring grasslands boosts soil carbon storage and biodiversity, helping mitigate climate change."/>
          <a:extLst>
            <a:ext uri="{FF2B5EF4-FFF2-40B4-BE49-F238E27FC236}">
              <a16:creationId xmlns:a16="http://schemas.microsoft.com/office/drawing/2014/main" id="{865854EE-5C52-48BC-B1C2-1FADA3BDC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0078150"/>
          <a:ext cx="216000" cy="21758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42</xdr:row>
      <xdr:rowOff>20974</xdr:rowOff>
    </xdr:from>
    <xdr:to>
      <xdr:col>5</xdr:col>
      <xdr:colOff>5006569</xdr:colOff>
      <xdr:row>43</xdr:row>
      <xdr:rowOff>8374</xdr:rowOff>
    </xdr:to>
    <xdr:pic>
      <xdr:nvPicPr>
        <xdr:cNvPr id="57" name="Graphic 56" descr="Help">
          <a:hlinkClick xmlns:r="http://schemas.openxmlformats.org/officeDocument/2006/relationships" r:id="rId49" tooltip="Expanding agroforestry integrates trees and crops, increasing carbon capture and improving land productivity resilient to climate extremes."/>
          <a:extLst>
            <a:ext uri="{FF2B5EF4-FFF2-40B4-BE49-F238E27FC236}">
              <a16:creationId xmlns:a16="http://schemas.microsoft.com/office/drawing/2014/main" id="{198F14CA-256B-4C32-97B5-404CBD5C9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0307974"/>
          <a:ext cx="216000" cy="217588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43</xdr:row>
      <xdr:rowOff>20611</xdr:rowOff>
    </xdr:from>
    <xdr:to>
      <xdr:col>5</xdr:col>
      <xdr:colOff>5006569</xdr:colOff>
      <xdr:row>44</xdr:row>
      <xdr:rowOff>8011</xdr:rowOff>
    </xdr:to>
    <xdr:pic>
      <xdr:nvPicPr>
        <xdr:cNvPr id="58" name="Graphic 57" descr="Help">
          <a:hlinkClick xmlns:r="http://schemas.openxmlformats.org/officeDocument/2006/relationships" r:id="rId50" tooltip="Sustainable silviculture improves forest growth, carbon storage, and sustainable timber supply."/>
          <a:extLst>
            <a:ext uri="{FF2B5EF4-FFF2-40B4-BE49-F238E27FC236}">
              <a16:creationId xmlns:a16="http://schemas.microsoft.com/office/drawing/2014/main" id="{F94BAD64-A4D7-4109-8AF6-4FEED1C74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0537799"/>
          <a:ext cx="216000" cy="21758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44</xdr:row>
      <xdr:rowOff>20248</xdr:rowOff>
    </xdr:from>
    <xdr:to>
      <xdr:col>5</xdr:col>
      <xdr:colOff>5006569</xdr:colOff>
      <xdr:row>45</xdr:row>
      <xdr:rowOff>7036</xdr:rowOff>
    </xdr:to>
    <xdr:pic>
      <xdr:nvPicPr>
        <xdr:cNvPr id="59" name="Graphic 58" descr="Help">
          <a:hlinkClick xmlns:r="http://schemas.openxmlformats.org/officeDocument/2006/relationships" r:id="rId51" tooltip="Integrating trees with grazing increases carbon sequestration and land carbon resilience."/>
          <a:extLst>
            <a:ext uri="{FF2B5EF4-FFF2-40B4-BE49-F238E27FC236}">
              <a16:creationId xmlns:a16="http://schemas.microsoft.com/office/drawing/2014/main" id="{3B7031A5-08BA-4033-81D8-BFB152D12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0767623"/>
          <a:ext cx="216000" cy="216976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45</xdr:row>
      <xdr:rowOff>19885</xdr:rowOff>
    </xdr:from>
    <xdr:to>
      <xdr:col>5</xdr:col>
      <xdr:colOff>5006569</xdr:colOff>
      <xdr:row>46</xdr:row>
      <xdr:rowOff>6675</xdr:rowOff>
    </xdr:to>
    <xdr:pic>
      <xdr:nvPicPr>
        <xdr:cNvPr id="60" name="Graphic 59" descr="Help">
          <a:hlinkClick xmlns:r="http://schemas.openxmlformats.org/officeDocument/2006/relationships" r:id="rId52" tooltip="Improving energy efficiency in forestry reduces emissions from operations and processing."/>
          <a:extLst>
            <a:ext uri="{FF2B5EF4-FFF2-40B4-BE49-F238E27FC236}">
              <a16:creationId xmlns:a16="http://schemas.microsoft.com/office/drawing/2014/main" id="{628DC1BB-08B1-4F26-9D4D-DDA351DF4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0997448"/>
          <a:ext cx="216000" cy="21697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46</xdr:row>
      <xdr:rowOff>19522</xdr:rowOff>
    </xdr:from>
    <xdr:to>
      <xdr:col>5</xdr:col>
      <xdr:colOff>5006569</xdr:colOff>
      <xdr:row>47</xdr:row>
      <xdr:rowOff>6311</xdr:rowOff>
    </xdr:to>
    <xdr:pic>
      <xdr:nvPicPr>
        <xdr:cNvPr id="61" name="Graphic 60" descr="Help">
          <a:hlinkClick xmlns:r="http://schemas.openxmlformats.org/officeDocument/2006/relationships" r:id="rId53" tooltip="Proper fire management limits carbon release from wildfires and protects forest carbon stocks."/>
          <a:extLst>
            <a:ext uri="{FF2B5EF4-FFF2-40B4-BE49-F238E27FC236}">
              <a16:creationId xmlns:a16="http://schemas.microsoft.com/office/drawing/2014/main" id="{A36CE6FE-F0BB-4C12-BDBD-BADFFD30A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1227272"/>
          <a:ext cx="216000" cy="21697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47</xdr:row>
      <xdr:rowOff>19159</xdr:rowOff>
    </xdr:from>
    <xdr:to>
      <xdr:col>5</xdr:col>
      <xdr:colOff>5006569</xdr:colOff>
      <xdr:row>48</xdr:row>
      <xdr:rowOff>5949</xdr:rowOff>
    </xdr:to>
    <xdr:pic>
      <xdr:nvPicPr>
        <xdr:cNvPr id="62" name="Graphic 61" descr="Help">
          <a:hlinkClick xmlns:r="http://schemas.openxmlformats.org/officeDocument/2006/relationships" r:id="rId54" tooltip="Carbon taxes on forestry emissions encourage practices that reduce deforestation and increase carbon uptake."/>
          <a:extLst>
            <a:ext uri="{FF2B5EF4-FFF2-40B4-BE49-F238E27FC236}">
              <a16:creationId xmlns:a16="http://schemas.microsoft.com/office/drawing/2014/main" id="{4A61FEEA-A3F2-4E11-9489-4437AA86D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1457097"/>
          <a:ext cx="216000" cy="21697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47</xdr:row>
      <xdr:rowOff>228346</xdr:rowOff>
    </xdr:from>
    <xdr:to>
      <xdr:col>5</xdr:col>
      <xdr:colOff>5006569</xdr:colOff>
      <xdr:row>48</xdr:row>
      <xdr:rowOff>216723</xdr:rowOff>
    </xdr:to>
    <xdr:pic>
      <xdr:nvPicPr>
        <xdr:cNvPr id="63" name="Graphic 62" descr="Help">
          <a:hlinkClick xmlns:r="http://schemas.openxmlformats.org/officeDocument/2006/relationships" r:id="rId55" tooltip="Using offsets supports activities that remove or avoid carbon emissions, helping reach climate goals."/>
          <a:extLst>
            <a:ext uri="{FF2B5EF4-FFF2-40B4-BE49-F238E27FC236}">
              <a16:creationId xmlns:a16="http://schemas.microsoft.com/office/drawing/2014/main" id="{870BBD96-993C-426A-B01B-FA11DB116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1666284"/>
          <a:ext cx="216000" cy="218564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49</xdr:row>
      <xdr:rowOff>13548</xdr:rowOff>
    </xdr:from>
    <xdr:to>
      <xdr:col>5</xdr:col>
      <xdr:colOff>5006569</xdr:colOff>
      <xdr:row>50</xdr:row>
      <xdr:rowOff>338</xdr:rowOff>
    </xdr:to>
    <xdr:pic>
      <xdr:nvPicPr>
        <xdr:cNvPr id="64" name="Graphic 63" descr="Help">
          <a:hlinkClick xmlns:r="http://schemas.openxmlformats.org/officeDocument/2006/relationships" r:id="rId56" tooltip="Conserving soils prevents carbon loss and degradation emissions, maintaining agricultural carbon stocks."/>
          <a:extLst>
            <a:ext uri="{FF2B5EF4-FFF2-40B4-BE49-F238E27FC236}">
              <a16:creationId xmlns:a16="http://schemas.microsoft.com/office/drawing/2014/main" id="{6C65F973-F5BF-4103-B4BC-52A06A461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1911861"/>
          <a:ext cx="216000" cy="21697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50</xdr:row>
      <xdr:rowOff>10742</xdr:rowOff>
    </xdr:from>
    <xdr:to>
      <xdr:col>5</xdr:col>
      <xdr:colOff>5006569</xdr:colOff>
      <xdr:row>50</xdr:row>
      <xdr:rowOff>226742</xdr:rowOff>
    </xdr:to>
    <xdr:pic>
      <xdr:nvPicPr>
        <xdr:cNvPr id="65" name="Graphic 64" descr="Help">
          <a:hlinkClick xmlns:r="http://schemas.openxmlformats.org/officeDocument/2006/relationships" r:id="rId57" tooltip="Afforestation is the process of planting trees in areas that have not been forested in recent history, helping restore abandoned and degraded agricultural lands, preventing desertification and creating carbon sinks."/>
          <a:extLst>
            <a:ext uri="{FF2B5EF4-FFF2-40B4-BE49-F238E27FC236}">
              <a16:creationId xmlns:a16="http://schemas.microsoft.com/office/drawing/2014/main" id="{02FB2478-AE80-41A2-80D3-8FE3C465B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2139242"/>
          <a:ext cx="216000" cy="216000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51</xdr:row>
      <xdr:rowOff>16729</xdr:rowOff>
    </xdr:from>
    <xdr:to>
      <xdr:col>5</xdr:col>
      <xdr:colOff>5006569</xdr:colOff>
      <xdr:row>52</xdr:row>
      <xdr:rowOff>2542</xdr:rowOff>
    </xdr:to>
    <xdr:pic>
      <xdr:nvPicPr>
        <xdr:cNvPr id="66" name="Graphic 65" descr="Help">
          <a:hlinkClick xmlns:r="http://schemas.openxmlformats.org/officeDocument/2006/relationships" r:id="rId58" tooltip="Reducing emissions from crops lowers agriculture’s climate footprint and promotes sustainable food production."/>
          <a:extLst>
            <a:ext uri="{FF2B5EF4-FFF2-40B4-BE49-F238E27FC236}">
              <a16:creationId xmlns:a16="http://schemas.microsoft.com/office/drawing/2014/main" id="{D1C7EB52-B4D5-431E-BF58-AD62C5148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2375417"/>
          <a:ext cx="216000" cy="216000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52</xdr:row>
      <xdr:rowOff>16366</xdr:rowOff>
    </xdr:from>
    <xdr:to>
      <xdr:col>5</xdr:col>
      <xdr:colOff>5006569</xdr:colOff>
      <xdr:row>53</xdr:row>
      <xdr:rowOff>2178</xdr:rowOff>
    </xdr:to>
    <xdr:pic>
      <xdr:nvPicPr>
        <xdr:cNvPr id="67" name="Graphic 66" descr="Help">
          <a:hlinkClick xmlns:r="http://schemas.openxmlformats.org/officeDocument/2006/relationships" r:id="rId59" tooltip="Managing pasture emissions reduces methane and nitrous oxide, powerful greenhouse gases from livestock."/>
          <a:extLst>
            <a:ext uri="{FF2B5EF4-FFF2-40B4-BE49-F238E27FC236}">
              <a16:creationId xmlns:a16="http://schemas.microsoft.com/office/drawing/2014/main" id="{D6BE08E7-5765-4A0E-8F37-70DA7C99C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2605241"/>
          <a:ext cx="216000" cy="216000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53</xdr:row>
      <xdr:rowOff>9653</xdr:rowOff>
    </xdr:from>
    <xdr:to>
      <xdr:col>5</xdr:col>
      <xdr:colOff>5006569</xdr:colOff>
      <xdr:row>53</xdr:row>
      <xdr:rowOff>225653</xdr:rowOff>
    </xdr:to>
    <xdr:pic>
      <xdr:nvPicPr>
        <xdr:cNvPr id="68" name="Graphic 67" descr="Help">
          <a:hlinkClick xmlns:r="http://schemas.openxmlformats.org/officeDocument/2006/relationships" r:id="rId60" tooltip="Improved water and soil management in rice reduces methane emissions, a key climate mitigation step."/>
          <a:extLst>
            <a:ext uri="{FF2B5EF4-FFF2-40B4-BE49-F238E27FC236}">
              <a16:creationId xmlns:a16="http://schemas.microsoft.com/office/drawing/2014/main" id="{6E6F4117-79BC-4978-9AF0-70DAD0CCE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2828716"/>
          <a:ext cx="216000" cy="216000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54</xdr:row>
      <xdr:rowOff>9290</xdr:rowOff>
    </xdr:from>
    <xdr:to>
      <xdr:col>5</xdr:col>
      <xdr:colOff>5006569</xdr:colOff>
      <xdr:row>54</xdr:row>
      <xdr:rowOff>225290</xdr:rowOff>
    </xdr:to>
    <xdr:pic>
      <xdr:nvPicPr>
        <xdr:cNvPr id="69" name="Graphic 68" descr="Help">
          <a:hlinkClick xmlns:r="http://schemas.openxmlformats.org/officeDocument/2006/relationships" r:id="rId61" tooltip="Managing manure reduces methane emissions and recycles nutrients, contributing to lower agriculture emissions."/>
          <a:extLst>
            <a:ext uri="{FF2B5EF4-FFF2-40B4-BE49-F238E27FC236}">
              <a16:creationId xmlns:a16="http://schemas.microsoft.com/office/drawing/2014/main" id="{BD1EE26D-4179-4947-B0EF-52912411D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3058540"/>
          <a:ext cx="216000" cy="216000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55</xdr:row>
      <xdr:rowOff>8927</xdr:rowOff>
    </xdr:from>
    <xdr:to>
      <xdr:col>5</xdr:col>
      <xdr:colOff>5006569</xdr:colOff>
      <xdr:row>55</xdr:row>
      <xdr:rowOff>224927</xdr:rowOff>
    </xdr:to>
    <xdr:pic>
      <xdr:nvPicPr>
        <xdr:cNvPr id="70" name="Graphic 69" descr="Help">
          <a:hlinkClick xmlns:r="http://schemas.openxmlformats.org/officeDocument/2006/relationships" r:id="rId62" tooltip="Lowering methane from ruminants directly cuts powerful greenhouse gas emissions from livestock."/>
          <a:extLst>
            <a:ext uri="{FF2B5EF4-FFF2-40B4-BE49-F238E27FC236}">
              <a16:creationId xmlns:a16="http://schemas.microsoft.com/office/drawing/2014/main" id="{40320FBA-C733-4F61-B5F6-85C291C51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3288365"/>
          <a:ext cx="216000" cy="216000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56</xdr:row>
      <xdr:rowOff>8564</xdr:rowOff>
    </xdr:from>
    <xdr:to>
      <xdr:col>5</xdr:col>
      <xdr:colOff>5006569</xdr:colOff>
      <xdr:row>56</xdr:row>
      <xdr:rowOff>224564</xdr:rowOff>
    </xdr:to>
    <xdr:pic>
      <xdr:nvPicPr>
        <xdr:cNvPr id="71" name="Graphic 70" descr="Help">
          <a:hlinkClick xmlns:r="http://schemas.openxmlformats.org/officeDocument/2006/relationships" r:id="rId63" tooltip="Minimizing synthetic fertilizer use cuts nitrous oxide emissions and prevents nutrient pollution."/>
          <a:extLst>
            <a:ext uri="{FF2B5EF4-FFF2-40B4-BE49-F238E27FC236}">
              <a16:creationId xmlns:a16="http://schemas.microsoft.com/office/drawing/2014/main" id="{53190B25-D3C5-40E7-A70D-B318ED051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3518189"/>
          <a:ext cx="216000" cy="216000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57</xdr:row>
      <xdr:rowOff>263</xdr:rowOff>
    </xdr:from>
    <xdr:to>
      <xdr:col>5</xdr:col>
      <xdr:colOff>5006569</xdr:colOff>
      <xdr:row>57</xdr:row>
      <xdr:rowOff>217850</xdr:rowOff>
    </xdr:to>
    <xdr:pic>
      <xdr:nvPicPr>
        <xdr:cNvPr id="72" name="Graphic 71" descr="Help">
          <a:hlinkClick xmlns:r="http://schemas.openxmlformats.org/officeDocument/2006/relationships" r:id="rId64" tooltip="Efficient water use in agriculture lowers energy use and emissions while sustaining crop yields."/>
          <a:extLst>
            <a:ext uri="{FF2B5EF4-FFF2-40B4-BE49-F238E27FC236}">
              <a16:creationId xmlns:a16="http://schemas.microsoft.com/office/drawing/2014/main" id="{8FC9A7F3-0A73-4BA3-9323-649253B41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3740076"/>
          <a:ext cx="216000" cy="21758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57</xdr:row>
      <xdr:rowOff>230087</xdr:rowOff>
    </xdr:from>
    <xdr:to>
      <xdr:col>5</xdr:col>
      <xdr:colOff>5006569</xdr:colOff>
      <xdr:row>58</xdr:row>
      <xdr:rowOff>217488</xdr:rowOff>
    </xdr:to>
    <xdr:pic>
      <xdr:nvPicPr>
        <xdr:cNvPr id="73" name="Graphic 72" descr="Help">
          <a:hlinkClick xmlns:r="http://schemas.openxmlformats.org/officeDocument/2006/relationships" r:id="rId65" tooltip="Proper agricultural waste management reduces methane and improves nutrient cycling, mitigating emissions."/>
          <a:extLst>
            <a:ext uri="{FF2B5EF4-FFF2-40B4-BE49-F238E27FC236}">
              <a16:creationId xmlns:a16="http://schemas.microsoft.com/office/drawing/2014/main" id="{66B820EF-ABD4-4F01-9FF7-1866ADCBD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3969900"/>
          <a:ext cx="216000" cy="217588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59</xdr:row>
      <xdr:rowOff>5887</xdr:rowOff>
    </xdr:from>
    <xdr:to>
      <xdr:col>5</xdr:col>
      <xdr:colOff>5006569</xdr:colOff>
      <xdr:row>59</xdr:row>
      <xdr:rowOff>223475</xdr:rowOff>
    </xdr:to>
    <xdr:pic>
      <xdr:nvPicPr>
        <xdr:cNvPr id="74" name="Graphic 73" descr="Help">
          <a:hlinkClick xmlns:r="http://schemas.openxmlformats.org/officeDocument/2006/relationships" r:id="rId66" tooltip="Boosting farm energy efficiency cuts fossil fuel use and associated emissions."/>
          <a:extLst>
            <a:ext uri="{FF2B5EF4-FFF2-40B4-BE49-F238E27FC236}">
              <a16:creationId xmlns:a16="http://schemas.microsoft.com/office/drawing/2014/main" id="{B6533088-276C-4CE1-AB37-08A07395E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4206075"/>
          <a:ext cx="216000" cy="217588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60</xdr:row>
      <xdr:rowOff>5525</xdr:rowOff>
    </xdr:from>
    <xdr:to>
      <xdr:col>5</xdr:col>
      <xdr:colOff>5006569</xdr:colOff>
      <xdr:row>60</xdr:row>
      <xdr:rowOff>223112</xdr:rowOff>
    </xdr:to>
    <xdr:pic>
      <xdr:nvPicPr>
        <xdr:cNvPr id="75" name="Graphic 74" descr="Help">
          <a:hlinkClick xmlns:r="http://schemas.openxmlformats.org/officeDocument/2006/relationships" r:id="rId67" tooltip="Carbon taxing agricultural emissions drives adoption of cleaner, low-carbon farming technologies."/>
          <a:extLst>
            <a:ext uri="{FF2B5EF4-FFF2-40B4-BE49-F238E27FC236}">
              <a16:creationId xmlns:a16="http://schemas.microsoft.com/office/drawing/2014/main" id="{584A1EE3-5AA5-4C51-8879-9ECDB5109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4435900"/>
          <a:ext cx="216000" cy="21758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61</xdr:row>
      <xdr:rowOff>14077</xdr:rowOff>
    </xdr:from>
    <xdr:to>
      <xdr:col>5</xdr:col>
      <xdr:colOff>5006569</xdr:colOff>
      <xdr:row>62</xdr:row>
      <xdr:rowOff>867</xdr:rowOff>
    </xdr:to>
    <xdr:pic>
      <xdr:nvPicPr>
        <xdr:cNvPr id="76" name="Graphic 75" descr="Help">
          <a:hlinkClick xmlns:r="http://schemas.openxmlformats.org/officeDocument/2006/relationships" r:id="rId68" tooltip="Urban green spaces increase carbon uptake, reduce heat, and improve climate resilience in settlements."/>
          <a:extLst>
            <a:ext uri="{FF2B5EF4-FFF2-40B4-BE49-F238E27FC236}">
              <a16:creationId xmlns:a16="http://schemas.microsoft.com/office/drawing/2014/main" id="{18D19E5D-E2B3-434F-9BB7-64C85B89E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4674640"/>
          <a:ext cx="216000" cy="21697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62</xdr:row>
      <xdr:rowOff>13714</xdr:rowOff>
    </xdr:from>
    <xdr:to>
      <xdr:col>5</xdr:col>
      <xdr:colOff>5006569</xdr:colOff>
      <xdr:row>63</xdr:row>
      <xdr:rowOff>503</xdr:rowOff>
    </xdr:to>
    <xdr:pic>
      <xdr:nvPicPr>
        <xdr:cNvPr id="77" name="Graphic 76" descr="Help">
          <a:hlinkClick xmlns:r="http://schemas.openxmlformats.org/officeDocument/2006/relationships" r:id="rId69" tooltip="Reliable and efficient water supply reduces energy use and emissions linked to urban water systems."/>
          <a:extLst>
            <a:ext uri="{FF2B5EF4-FFF2-40B4-BE49-F238E27FC236}">
              <a16:creationId xmlns:a16="http://schemas.microsoft.com/office/drawing/2014/main" id="{10A6C1F9-83B0-4394-9A93-A757C4FE8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4904464"/>
          <a:ext cx="216000" cy="21697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63</xdr:row>
      <xdr:rowOff>13351</xdr:rowOff>
    </xdr:from>
    <xdr:to>
      <xdr:col>5</xdr:col>
      <xdr:colOff>5006569</xdr:colOff>
      <xdr:row>64</xdr:row>
      <xdr:rowOff>141</xdr:rowOff>
    </xdr:to>
    <xdr:pic>
      <xdr:nvPicPr>
        <xdr:cNvPr id="78" name="Graphic 77" descr="Help">
          <a:hlinkClick xmlns:r="http://schemas.openxmlformats.org/officeDocument/2006/relationships" r:id="rId70" tooltip="Expanding renewables and storage enables low-carbon power and reduces fossil fuel reliance."/>
          <a:extLst>
            <a:ext uri="{FF2B5EF4-FFF2-40B4-BE49-F238E27FC236}">
              <a16:creationId xmlns:a16="http://schemas.microsoft.com/office/drawing/2014/main" id="{ACFADA45-C762-467A-930F-29E6D70D0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5134289"/>
          <a:ext cx="216000" cy="21697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64</xdr:row>
      <xdr:rowOff>12988</xdr:rowOff>
    </xdr:from>
    <xdr:to>
      <xdr:col>5</xdr:col>
      <xdr:colOff>5006569</xdr:colOff>
      <xdr:row>64</xdr:row>
      <xdr:rowOff>229965</xdr:rowOff>
    </xdr:to>
    <xdr:pic>
      <xdr:nvPicPr>
        <xdr:cNvPr id="80" name="Graphic 79" descr="Help">
          <a:hlinkClick xmlns:r="http://schemas.openxmlformats.org/officeDocument/2006/relationships" r:id="rId71" tooltip="Electrifying energy systems cuts fossil fuel emissions and facilitates renewable energy integration."/>
          <a:extLst>
            <a:ext uri="{FF2B5EF4-FFF2-40B4-BE49-F238E27FC236}">
              <a16:creationId xmlns:a16="http://schemas.microsoft.com/office/drawing/2014/main" id="{1C93FA88-E3D9-4463-A2DF-3DFB60F09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5364113"/>
          <a:ext cx="216000" cy="21697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65</xdr:row>
      <xdr:rowOff>12625</xdr:rowOff>
    </xdr:from>
    <xdr:to>
      <xdr:col>5</xdr:col>
      <xdr:colOff>5006569</xdr:colOff>
      <xdr:row>65</xdr:row>
      <xdr:rowOff>229602</xdr:rowOff>
    </xdr:to>
    <xdr:pic>
      <xdr:nvPicPr>
        <xdr:cNvPr id="81" name="Graphic 80" descr="Help">
          <a:hlinkClick xmlns:r="http://schemas.openxmlformats.org/officeDocument/2006/relationships" r:id="rId72" tooltip="Retrofitting buildings boosts energy efficiency, lowers emissions and reduces energy demand."/>
          <a:extLst>
            <a:ext uri="{FF2B5EF4-FFF2-40B4-BE49-F238E27FC236}">
              <a16:creationId xmlns:a16="http://schemas.microsoft.com/office/drawing/2014/main" id="{FB34FDE9-492C-4554-867C-E9EBA5C65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5593938"/>
          <a:ext cx="216000" cy="21697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66</xdr:row>
      <xdr:rowOff>12262</xdr:rowOff>
    </xdr:from>
    <xdr:to>
      <xdr:col>5</xdr:col>
      <xdr:colOff>5006569</xdr:colOff>
      <xdr:row>66</xdr:row>
      <xdr:rowOff>229239</xdr:rowOff>
    </xdr:to>
    <xdr:pic>
      <xdr:nvPicPr>
        <xdr:cNvPr id="82" name="Graphic 81" descr="Help">
          <a:hlinkClick xmlns:r="http://schemas.openxmlformats.org/officeDocument/2006/relationships" r:id="rId73" tooltip="Sustainable wastewater management cuts methane emissions and promotes resource recovery."/>
          <a:extLst>
            <a:ext uri="{FF2B5EF4-FFF2-40B4-BE49-F238E27FC236}">
              <a16:creationId xmlns:a16="http://schemas.microsoft.com/office/drawing/2014/main" id="{C33F0518-2379-4A7A-AF2E-0F958AF4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5823762"/>
          <a:ext cx="216000" cy="21697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67</xdr:row>
      <xdr:rowOff>11899</xdr:rowOff>
    </xdr:from>
    <xdr:to>
      <xdr:col>5</xdr:col>
      <xdr:colOff>5006569</xdr:colOff>
      <xdr:row>67</xdr:row>
      <xdr:rowOff>228876</xdr:rowOff>
    </xdr:to>
    <xdr:pic>
      <xdr:nvPicPr>
        <xdr:cNvPr id="83" name="Graphic 82" descr="Help">
          <a:hlinkClick xmlns:r="http://schemas.openxmlformats.org/officeDocument/2006/relationships" r:id="rId74" tooltip="Proper waste management reduces methane from landfills, a potent greenhouse gas."/>
          <a:extLst>
            <a:ext uri="{FF2B5EF4-FFF2-40B4-BE49-F238E27FC236}">
              <a16:creationId xmlns:a16="http://schemas.microsoft.com/office/drawing/2014/main" id="{10CB70C7-2FB1-42A5-B6B1-995853DCC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6053587"/>
          <a:ext cx="216000" cy="21697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68</xdr:row>
      <xdr:rowOff>11536</xdr:rowOff>
    </xdr:from>
    <xdr:to>
      <xdr:col>5</xdr:col>
      <xdr:colOff>5006569</xdr:colOff>
      <xdr:row>68</xdr:row>
      <xdr:rowOff>228513</xdr:rowOff>
    </xdr:to>
    <xdr:pic>
      <xdr:nvPicPr>
        <xdr:cNvPr id="84" name="Graphic 83" descr="Help">
          <a:hlinkClick xmlns:r="http://schemas.openxmlformats.org/officeDocument/2006/relationships" r:id="rId75" tooltip="Cutting fluorinated greenhouse gases drastically lowers high global warming potential emissions."/>
          <a:extLst>
            <a:ext uri="{FF2B5EF4-FFF2-40B4-BE49-F238E27FC236}">
              <a16:creationId xmlns:a16="http://schemas.microsoft.com/office/drawing/2014/main" id="{8E6BA688-D2EC-4D67-B964-64C322AFB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6283411"/>
          <a:ext cx="216000" cy="21697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69</xdr:row>
      <xdr:rowOff>11173</xdr:rowOff>
    </xdr:from>
    <xdr:to>
      <xdr:col>5</xdr:col>
      <xdr:colOff>5006569</xdr:colOff>
      <xdr:row>69</xdr:row>
      <xdr:rowOff>228150</xdr:rowOff>
    </xdr:to>
    <xdr:pic>
      <xdr:nvPicPr>
        <xdr:cNvPr id="85" name="Graphic 84" descr="Help">
          <a:hlinkClick xmlns:r="http://schemas.openxmlformats.org/officeDocument/2006/relationships" r:id="rId76" tooltip="Compact land use reduces transport emissions by shortening travel distances and encouraging clean mobility."/>
          <a:extLst>
            <a:ext uri="{FF2B5EF4-FFF2-40B4-BE49-F238E27FC236}">
              <a16:creationId xmlns:a16="http://schemas.microsoft.com/office/drawing/2014/main" id="{78CE4B89-C3CF-45CE-8FED-E6484492B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6513236"/>
          <a:ext cx="216000" cy="21697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70</xdr:row>
      <xdr:rowOff>10810</xdr:rowOff>
    </xdr:from>
    <xdr:to>
      <xdr:col>5</xdr:col>
      <xdr:colOff>5006569</xdr:colOff>
      <xdr:row>70</xdr:row>
      <xdr:rowOff>227786</xdr:rowOff>
    </xdr:to>
    <xdr:pic>
      <xdr:nvPicPr>
        <xdr:cNvPr id="86" name="Graphic 85" descr="Help">
          <a:hlinkClick xmlns:r="http://schemas.openxmlformats.org/officeDocument/2006/relationships" r:id="rId77" tooltip="Efficient appliances reduce energy use and associated emissions in households and businesses."/>
          <a:extLst>
            <a:ext uri="{FF2B5EF4-FFF2-40B4-BE49-F238E27FC236}">
              <a16:creationId xmlns:a16="http://schemas.microsoft.com/office/drawing/2014/main" id="{D1C72258-989F-4C0A-9D67-032DA3F1F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6743060"/>
          <a:ext cx="216000" cy="216976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71</xdr:row>
      <xdr:rowOff>10447</xdr:rowOff>
    </xdr:from>
    <xdr:to>
      <xdr:col>5</xdr:col>
      <xdr:colOff>5006569</xdr:colOff>
      <xdr:row>71</xdr:row>
      <xdr:rowOff>227424</xdr:rowOff>
    </xdr:to>
    <xdr:pic>
      <xdr:nvPicPr>
        <xdr:cNvPr id="87" name="Graphic 86" descr="Help">
          <a:hlinkClick xmlns:r="http://schemas.openxmlformats.org/officeDocument/2006/relationships" r:id="rId78" tooltip="Removing subsidies that hinder energy efficiency promotes adoption of low-carbon technologies."/>
          <a:extLst>
            <a:ext uri="{FF2B5EF4-FFF2-40B4-BE49-F238E27FC236}">
              <a16:creationId xmlns:a16="http://schemas.microsoft.com/office/drawing/2014/main" id="{35525367-0C01-449F-948F-62FC7B808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6972885"/>
          <a:ext cx="216000" cy="21697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72</xdr:row>
      <xdr:rowOff>10084</xdr:rowOff>
    </xdr:from>
    <xdr:to>
      <xdr:col>5</xdr:col>
      <xdr:colOff>5006569</xdr:colOff>
      <xdr:row>72</xdr:row>
      <xdr:rowOff>227061</xdr:rowOff>
    </xdr:to>
    <xdr:pic>
      <xdr:nvPicPr>
        <xdr:cNvPr id="88" name="Graphic 87" descr="Help">
          <a:hlinkClick xmlns:r="http://schemas.openxmlformats.org/officeDocument/2006/relationships" r:id="rId79" tooltip="Certifications drive improvements in building performance and lower emissions."/>
          <a:extLst>
            <a:ext uri="{FF2B5EF4-FFF2-40B4-BE49-F238E27FC236}">
              <a16:creationId xmlns:a16="http://schemas.microsoft.com/office/drawing/2014/main" id="{9FC2536A-DEF4-4E76-8150-6441CC57B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7202709"/>
          <a:ext cx="216000" cy="21697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73</xdr:row>
      <xdr:rowOff>9721</xdr:rowOff>
    </xdr:from>
    <xdr:to>
      <xdr:col>5</xdr:col>
      <xdr:colOff>5006569</xdr:colOff>
      <xdr:row>73</xdr:row>
      <xdr:rowOff>226698</xdr:rowOff>
    </xdr:to>
    <xdr:pic>
      <xdr:nvPicPr>
        <xdr:cNvPr id="89" name="Graphic 88" descr="Help">
          <a:hlinkClick xmlns:r="http://schemas.openxmlformats.org/officeDocument/2006/relationships" r:id="rId80" tooltip="Carbon taxes incentivize emissions reduction in settlements and support climate-friendly investments."/>
          <a:extLst>
            <a:ext uri="{FF2B5EF4-FFF2-40B4-BE49-F238E27FC236}">
              <a16:creationId xmlns:a16="http://schemas.microsoft.com/office/drawing/2014/main" id="{A549718E-DF07-4128-8D40-A1CDA6204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7432534"/>
          <a:ext cx="216000" cy="21697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74</xdr:row>
      <xdr:rowOff>9358</xdr:rowOff>
    </xdr:from>
    <xdr:to>
      <xdr:col>5</xdr:col>
      <xdr:colOff>5006569</xdr:colOff>
      <xdr:row>74</xdr:row>
      <xdr:rowOff>226335</xdr:rowOff>
    </xdr:to>
    <xdr:pic>
      <xdr:nvPicPr>
        <xdr:cNvPr id="90" name="Graphic 89" descr="Help">
          <a:hlinkClick xmlns:r="http://schemas.openxmlformats.org/officeDocument/2006/relationships" r:id="rId81" tooltip="Expanding public transport reduces fossil fuel use and emissions from private vehicles."/>
          <a:extLst>
            <a:ext uri="{FF2B5EF4-FFF2-40B4-BE49-F238E27FC236}">
              <a16:creationId xmlns:a16="http://schemas.microsoft.com/office/drawing/2014/main" id="{D76E6E8A-7978-475D-BAA1-B10A673A2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7662358"/>
          <a:ext cx="216000" cy="21697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75</xdr:row>
      <xdr:rowOff>8995</xdr:rowOff>
    </xdr:from>
    <xdr:to>
      <xdr:col>5</xdr:col>
      <xdr:colOff>5006569</xdr:colOff>
      <xdr:row>75</xdr:row>
      <xdr:rowOff>225972</xdr:rowOff>
    </xdr:to>
    <xdr:pic>
      <xdr:nvPicPr>
        <xdr:cNvPr id="91" name="Graphic 90" descr="Help">
          <a:hlinkClick xmlns:r="http://schemas.openxmlformats.org/officeDocument/2006/relationships" r:id="rId82" tooltip="Integrating transport modes encourages low-emission travel and cuts overall transport emissions."/>
          <a:extLst>
            <a:ext uri="{FF2B5EF4-FFF2-40B4-BE49-F238E27FC236}">
              <a16:creationId xmlns:a16="http://schemas.microsoft.com/office/drawing/2014/main" id="{FE10D970-A101-42F1-A072-6E1BB9BBF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7892183"/>
          <a:ext cx="216000" cy="21697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76</xdr:row>
      <xdr:rowOff>8632</xdr:rowOff>
    </xdr:from>
    <xdr:to>
      <xdr:col>5</xdr:col>
      <xdr:colOff>5006569</xdr:colOff>
      <xdr:row>76</xdr:row>
      <xdr:rowOff>225609</xdr:rowOff>
    </xdr:to>
    <xdr:pic>
      <xdr:nvPicPr>
        <xdr:cNvPr id="92" name="Graphic 91" descr="Help">
          <a:hlinkClick xmlns:r="http://schemas.openxmlformats.org/officeDocument/2006/relationships" r:id="rId83" tooltip="Rail transport is more energy efficient and lower emission than road or air travel, reducing transport climate impact."/>
          <a:extLst>
            <a:ext uri="{FF2B5EF4-FFF2-40B4-BE49-F238E27FC236}">
              <a16:creationId xmlns:a16="http://schemas.microsoft.com/office/drawing/2014/main" id="{14E15E57-8627-451F-A8DD-B3B74A189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8122007"/>
          <a:ext cx="216000" cy="21697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77</xdr:row>
      <xdr:rowOff>8269</xdr:rowOff>
    </xdr:from>
    <xdr:to>
      <xdr:col>5</xdr:col>
      <xdr:colOff>5006569</xdr:colOff>
      <xdr:row>77</xdr:row>
      <xdr:rowOff>225246</xdr:rowOff>
    </xdr:to>
    <xdr:pic>
      <xdr:nvPicPr>
        <xdr:cNvPr id="93" name="Graphic 92" descr="Help">
          <a:hlinkClick xmlns:r="http://schemas.openxmlformats.org/officeDocument/2006/relationships" r:id="rId84" tooltip="Expanding EV charging speeds transition to electric vehicles, reducing fossil fuel emissions."/>
          <a:extLst>
            <a:ext uri="{FF2B5EF4-FFF2-40B4-BE49-F238E27FC236}">
              <a16:creationId xmlns:a16="http://schemas.microsoft.com/office/drawing/2014/main" id="{05041639-9A99-4DD8-8183-0379557C2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8351832"/>
          <a:ext cx="216000" cy="21697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78</xdr:row>
      <xdr:rowOff>7296</xdr:rowOff>
    </xdr:from>
    <xdr:to>
      <xdr:col>5</xdr:col>
      <xdr:colOff>5006569</xdr:colOff>
      <xdr:row>78</xdr:row>
      <xdr:rowOff>224883</xdr:rowOff>
    </xdr:to>
    <xdr:pic>
      <xdr:nvPicPr>
        <xdr:cNvPr id="94" name="Graphic 93" descr="Help">
          <a:hlinkClick xmlns:r="http://schemas.openxmlformats.org/officeDocument/2006/relationships" r:id="rId85" tooltip="Cleaner maritime transport cuts greenhouse gases and marine pollution from shipping."/>
          <a:extLst>
            <a:ext uri="{FF2B5EF4-FFF2-40B4-BE49-F238E27FC236}">
              <a16:creationId xmlns:a16="http://schemas.microsoft.com/office/drawing/2014/main" id="{9B9A320B-F402-412C-A566-D10377F38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8581046"/>
          <a:ext cx="216000" cy="21758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79</xdr:row>
      <xdr:rowOff>6932</xdr:rowOff>
    </xdr:from>
    <xdr:to>
      <xdr:col>5</xdr:col>
      <xdr:colOff>5006569</xdr:colOff>
      <xdr:row>79</xdr:row>
      <xdr:rowOff>224520</xdr:rowOff>
    </xdr:to>
    <xdr:pic>
      <xdr:nvPicPr>
        <xdr:cNvPr id="95" name="Graphic 94" descr="Help">
          <a:hlinkClick xmlns:r="http://schemas.openxmlformats.org/officeDocument/2006/relationships" r:id="rId86" tooltip="Improving inland shipping efficiency lowers emissions in a key freight sector."/>
          <a:extLst>
            <a:ext uri="{FF2B5EF4-FFF2-40B4-BE49-F238E27FC236}">
              <a16:creationId xmlns:a16="http://schemas.microsoft.com/office/drawing/2014/main" id="{0BE442D2-307C-4DFC-83DB-60F6F9313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8810870"/>
          <a:ext cx="216000" cy="217588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80</xdr:row>
      <xdr:rowOff>6570</xdr:rowOff>
    </xdr:from>
    <xdr:to>
      <xdr:col>5</xdr:col>
      <xdr:colOff>5006569</xdr:colOff>
      <xdr:row>80</xdr:row>
      <xdr:rowOff>224157</xdr:rowOff>
    </xdr:to>
    <xdr:pic>
      <xdr:nvPicPr>
        <xdr:cNvPr id="96" name="Graphic 95" descr="Help">
          <a:hlinkClick xmlns:r="http://schemas.openxmlformats.org/officeDocument/2006/relationships" r:id="rId87" tooltip="Reducing aviation emissions is vital for climate mitigation given growing air travel demand."/>
          <a:extLst>
            <a:ext uri="{FF2B5EF4-FFF2-40B4-BE49-F238E27FC236}">
              <a16:creationId xmlns:a16="http://schemas.microsoft.com/office/drawing/2014/main" id="{380E32B9-3DC1-47F3-8CDB-F848B5F04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9040695"/>
          <a:ext cx="216000" cy="21758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81</xdr:row>
      <xdr:rowOff>6206</xdr:rowOff>
    </xdr:from>
    <xdr:to>
      <xdr:col>5</xdr:col>
      <xdr:colOff>5006569</xdr:colOff>
      <xdr:row>81</xdr:row>
      <xdr:rowOff>223794</xdr:rowOff>
    </xdr:to>
    <xdr:pic>
      <xdr:nvPicPr>
        <xdr:cNvPr id="97" name="Graphic 96" descr="Help">
          <a:hlinkClick xmlns:r="http://schemas.openxmlformats.org/officeDocument/2006/relationships" r:id="rId88" tooltip="Subsidies encourage shifts to low-carbon transit options, lowering overall transport emissions."/>
          <a:extLst>
            <a:ext uri="{FF2B5EF4-FFF2-40B4-BE49-F238E27FC236}">
              <a16:creationId xmlns:a16="http://schemas.microsoft.com/office/drawing/2014/main" id="{DD661BFE-39F0-4B20-8E89-7B670650F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9270519"/>
          <a:ext cx="216000" cy="217588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82</xdr:row>
      <xdr:rowOff>5844</xdr:rowOff>
    </xdr:from>
    <xdr:to>
      <xdr:col>5</xdr:col>
      <xdr:colOff>5006569</xdr:colOff>
      <xdr:row>82</xdr:row>
      <xdr:rowOff>223431</xdr:rowOff>
    </xdr:to>
    <xdr:pic>
      <xdr:nvPicPr>
        <xdr:cNvPr id="98" name="Graphic 97" descr="Help">
          <a:hlinkClick xmlns:r="http://schemas.openxmlformats.org/officeDocument/2006/relationships" r:id="rId89" tooltip="Phasing out fossil fuel vehicles decreases transport sector carbon emissions significantly."/>
          <a:extLst>
            <a:ext uri="{FF2B5EF4-FFF2-40B4-BE49-F238E27FC236}">
              <a16:creationId xmlns:a16="http://schemas.microsoft.com/office/drawing/2014/main" id="{50133A30-234A-4AAB-8E22-226496B15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9500344"/>
          <a:ext cx="216000" cy="21758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83</xdr:row>
      <xdr:rowOff>5480</xdr:rowOff>
    </xdr:from>
    <xdr:to>
      <xdr:col>5</xdr:col>
      <xdr:colOff>5006569</xdr:colOff>
      <xdr:row>83</xdr:row>
      <xdr:rowOff>223067</xdr:rowOff>
    </xdr:to>
    <xdr:pic>
      <xdr:nvPicPr>
        <xdr:cNvPr id="99" name="Graphic 98" descr="Help">
          <a:hlinkClick xmlns:r="http://schemas.openxmlformats.org/officeDocument/2006/relationships" r:id="rId90" tooltip="Efficiency standards reduce fuel consumption and emissions across vehicle fleets."/>
          <a:extLst>
            <a:ext uri="{FF2B5EF4-FFF2-40B4-BE49-F238E27FC236}">
              <a16:creationId xmlns:a16="http://schemas.microsoft.com/office/drawing/2014/main" id="{88916341-251C-481C-BD4F-38CEAF65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9730168"/>
          <a:ext cx="216000" cy="21758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84</xdr:row>
      <xdr:rowOff>5117</xdr:rowOff>
    </xdr:from>
    <xdr:to>
      <xdr:col>5</xdr:col>
      <xdr:colOff>5006569</xdr:colOff>
      <xdr:row>84</xdr:row>
      <xdr:rowOff>222705</xdr:rowOff>
    </xdr:to>
    <xdr:pic>
      <xdr:nvPicPr>
        <xdr:cNvPr id="100" name="Graphic 99" descr="Help">
          <a:hlinkClick xmlns:r="http://schemas.openxmlformats.org/officeDocument/2006/relationships" r:id="rId91" tooltip="Carbon taxes on transport incentivize cleaner technologies and investments to cut emissions."/>
          <a:extLst>
            <a:ext uri="{FF2B5EF4-FFF2-40B4-BE49-F238E27FC236}">
              <a16:creationId xmlns:a16="http://schemas.microsoft.com/office/drawing/2014/main" id="{0DDBB31D-9C03-423A-9007-ABFAFE547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19959992"/>
          <a:ext cx="216000" cy="217588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85</xdr:row>
      <xdr:rowOff>20020</xdr:rowOff>
    </xdr:from>
    <xdr:to>
      <xdr:col>5</xdr:col>
      <xdr:colOff>5006569</xdr:colOff>
      <xdr:row>86</xdr:row>
      <xdr:rowOff>6810</xdr:rowOff>
    </xdr:to>
    <xdr:pic>
      <xdr:nvPicPr>
        <xdr:cNvPr id="101" name="Graphic 100" descr="Help">
          <a:hlinkClick xmlns:r="http://schemas.openxmlformats.org/officeDocument/2006/relationships" r:id="rId92" tooltip="Boosting energy efficiency in materials industries cuts high industrial emissions and energy use."/>
          <a:extLst>
            <a:ext uri="{FF2B5EF4-FFF2-40B4-BE49-F238E27FC236}">
              <a16:creationId xmlns:a16="http://schemas.microsoft.com/office/drawing/2014/main" id="{10B61384-4BC0-476B-97CD-F140A6B40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0205083"/>
          <a:ext cx="216000" cy="21697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86</xdr:row>
      <xdr:rowOff>29427</xdr:rowOff>
    </xdr:from>
    <xdr:to>
      <xdr:col>5</xdr:col>
      <xdr:colOff>5006569</xdr:colOff>
      <xdr:row>87</xdr:row>
      <xdr:rowOff>16827</xdr:rowOff>
    </xdr:to>
    <xdr:pic>
      <xdr:nvPicPr>
        <xdr:cNvPr id="102" name="Graphic 101" descr="Help">
          <a:hlinkClick xmlns:r="http://schemas.openxmlformats.org/officeDocument/2006/relationships" r:id="rId93" tooltip="Improving steel production efficiency reduces one of the largest industrial CO₂ sources."/>
          <a:extLst>
            <a:ext uri="{FF2B5EF4-FFF2-40B4-BE49-F238E27FC236}">
              <a16:creationId xmlns:a16="http://schemas.microsoft.com/office/drawing/2014/main" id="{1ECFCC67-3CFA-4E12-BD05-9581151FE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0444677"/>
          <a:ext cx="216000" cy="217588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87</xdr:row>
      <xdr:rowOff>29064</xdr:rowOff>
    </xdr:from>
    <xdr:to>
      <xdr:col>5</xdr:col>
      <xdr:colOff>5006569</xdr:colOff>
      <xdr:row>88</xdr:row>
      <xdr:rowOff>16464</xdr:rowOff>
    </xdr:to>
    <xdr:pic>
      <xdr:nvPicPr>
        <xdr:cNvPr id="103" name="Graphic 102" descr="Help">
          <a:hlinkClick xmlns:r="http://schemas.openxmlformats.org/officeDocument/2006/relationships" r:id="rId94" tooltip="Cutting energy use and emissions in cement lowers a major global source of industrial CO₂."/>
          <a:extLst>
            <a:ext uri="{FF2B5EF4-FFF2-40B4-BE49-F238E27FC236}">
              <a16:creationId xmlns:a16="http://schemas.microsoft.com/office/drawing/2014/main" id="{E1FF5729-F93B-48D1-AFCB-DB5D4EDE6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0674502"/>
          <a:ext cx="216000" cy="21758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88</xdr:row>
      <xdr:rowOff>28701</xdr:rowOff>
    </xdr:from>
    <xdr:to>
      <xdr:col>5</xdr:col>
      <xdr:colOff>5006569</xdr:colOff>
      <xdr:row>89</xdr:row>
      <xdr:rowOff>16101</xdr:rowOff>
    </xdr:to>
    <xdr:pic>
      <xdr:nvPicPr>
        <xdr:cNvPr id="104" name="Graphic 103" descr="Help">
          <a:hlinkClick xmlns:r="http://schemas.openxmlformats.org/officeDocument/2006/relationships" r:id="rId95" tooltip="Efficient data center management lowers rising emissions from digital infrastructure."/>
          <a:extLst>
            <a:ext uri="{FF2B5EF4-FFF2-40B4-BE49-F238E27FC236}">
              <a16:creationId xmlns:a16="http://schemas.microsoft.com/office/drawing/2014/main" id="{36C71EB7-07DD-449A-BDE4-BE2F8CE2C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0904326"/>
          <a:ext cx="216000" cy="217588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89</xdr:row>
      <xdr:rowOff>28338</xdr:rowOff>
    </xdr:from>
    <xdr:to>
      <xdr:col>5</xdr:col>
      <xdr:colOff>5006569</xdr:colOff>
      <xdr:row>90</xdr:row>
      <xdr:rowOff>15738</xdr:rowOff>
    </xdr:to>
    <xdr:pic>
      <xdr:nvPicPr>
        <xdr:cNvPr id="105" name="Graphic 104" descr="Help">
          <a:hlinkClick xmlns:r="http://schemas.openxmlformats.org/officeDocument/2006/relationships" r:id="rId96" tooltip="Improving oil extraction and refining reduces energy waste and associated CO₂ emissions."/>
          <a:extLst>
            <a:ext uri="{FF2B5EF4-FFF2-40B4-BE49-F238E27FC236}">
              <a16:creationId xmlns:a16="http://schemas.microsoft.com/office/drawing/2014/main" id="{37EF78A2-664C-4E67-BF5B-C6E387121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1134151"/>
          <a:ext cx="216000" cy="21758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90</xdr:row>
      <xdr:rowOff>27975</xdr:rowOff>
    </xdr:from>
    <xdr:to>
      <xdr:col>5</xdr:col>
      <xdr:colOff>5006569</xdr:colOff>
      <xdr:row>91</xdr:row>
      <xdr:rowOff>15375</xdr:rowOff>
    </xdr:to>
    <xdr:pic>
      <xdr:nvPicPr>
        <xdr:cNvPr id="106" name="Graphic 105" descr="Help">
          <a:hlinkClick xmlns:r="http://schemas.openxmlformats.org/officeDocument/2006/relationships" r:id="rId97" tooltip="Energy improvements in chemicals production help cut a significant share of industrial emissions."/>
          <a:extLst>
            <a:ext uri="{FF2B5EF4-FFF2-40B4-BE49-F238E27FC236}">
              <a16:creationId xmlns:a16="http://schemas.microsoft.com/office/drawing/2014/main" id="{54EF2990-6D5C-46C5-BDD6-44DE94DB0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1363975"/>
          <a:ext cx="216000" cy="217588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91</xdr:row>
      <xdr:rowOff>27612</xdr:rowOff>
    </xdr:from>
    <xdr:to>
      <xdr:col>5</xdr:col>
      <xdr:colOff>5006569</xdr:colOff>
      <xdr:row>92</xdr:row>
      <xdr:rowOff>15012</xdr:rowOff>
    </xdr:to>
    <xdr:pic>
      <xdr:nvPicPr>
        <xdr:cNvPr id="107" name="Graphic 106" descr="Help">
          <a:hlinkClick xmlns:r="http://schemas.openxmlformats.org/officeDocument/2006/relationships" r:id="rId98" tooltip="Making petrochemicals cleaner reduces fossil fuel dependence and emissions."/>
          <a:extLst>
            <a:ext uri="{FF2B5EF4-FFF2-40B4-BE49-F238E27FC236}">
              <a16:creationId xmlns:a16="http://schemas.microsoft.com/office/drawing/2014/main" id="{FDF59358-3224-477A-96DD-DC1BB7665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1593800"/>
          <a:ext cx="216000" cy="21758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92</xdr:row>
      <xdr:rowOff>27249</xdr:rowOff>
    </xdr:from>
    <xdr:to>
      <xdr:col>5</xdr:col>
      <xdr:colOff>5006569</xdr:colOff>
      <xdr:row>93</xdr:row>
      <xdr:rowOff>14649</xdr:rowOff>
    </xdr:to>
    <xdr:pic>
      <xdr:nvPicPr>
        <xdr:cNvPr id="108" name="Graphic 107" descr="Help">
          <a:hlinkClick xmlns:r="http://schemas.openxmlformats.org/officeDocument/2006/relationships" r:id="rId99" tooltip="Aluminum production efficiency upgrades save energy and reduce carbon footprint."/>
          <a:extLst>
            <a:ext uri="{FF2B5EF4-FFF2-40B4-BE49-F238E27FC236}">
              <a16:creationId xmlns:a16="http://schemas.microsoft.com/office/drawing/2014/main" id="{2A0870B5-DC3F-4C89-81E2-8375C5C39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1823624"/>
          <a:ext cx="216000" cy="217588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93</xdr:row>
      <xdr:rowOff>26886</xdr:rowOff>
    </xdr:from>
    <xdr:to>
      <xdr:col>5</xdr:col>
      <xdr:colOff>5006569</xdr:colOff>
      <xdr:row>94</xdr:row>
      <xdr:rowOff>14286</xdr:rowOff>
    </xdr:to>
    <xdr:pic>
      <xdr:nvPicPr>
        <xdr:cNvPr id="109" name="Graphic 108" descr="Help">
          <a:hlinkClick xmlns:r="http://schemas.openxmlformats.org/officeDocument/2006/relationships" r:id="rId100" tooltip="Efficient paper manufacturing lowers emissions and energy use in this resource-intensive sector."/>
          <a:extLst>
            <a:ext uri="{FF2B5EF4-FFF2-40B4-BE49-F238E27FC236}">
              <a16:creationId xmlns:a16="http://schemas.microsoft.com/office/drawing/2014/main" id="{8E2CD897-2AEE-4D49-8866-8DC3DDCC8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2053449"/>
          <a:ext cx="216000" cy="21758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94</xdr:row>
      <xdr:rowOff>26523</xdr:rowOff>
    </xdr:from>
    <xdr:to>
      <xdr:col>5</xdr:col>
      <xdr:colOff>5006569</xdr:colOff>
      <xdr:row>95</xdr:row>
      <xdr:rowOff>13923</xdr:rowOff>
    </xdr:to>
    <xdr:pic>
      <xdr:nvPicPr>
        <xdr:cNvPr id="111" name="Graphic 110" descr="Help">
          <a:hlinkClick xmlns:r="http://schemas.openxmlformats.org/officeDocument/2006/relationships" r:id="rId101" tooltip="Mining sector energy savings reduce emissions and resource overuse."/>
          <a:extLst>
            <a:ext uri="{FF2B5EF4-FFF2-40B4-BE49-F238E27FC236}">
              <a16:creationId xmlns:a16="http://schemas.microsoft.com/office/drawing/2014/main" id="{4C94579F-8465-4C73-BE34-893F7A987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2283273"/>
          <a:ext cx="216000" cy="217588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95</xdr:row>
      <xdr:rowOff>26160</xdr:rowOff>
    </xdr:from>
    <xdr:to>
      <xdr:col>5</xdr:col>
      <xdr:colOff>5006569</xdr:colOff>
      <xdr:row>96</xdr:row>
      <xdr:rowOff>13560</xdr:rowOff>
    </xdr:to>
    <xdr:pic>
      <xdr:nvPicPr>
        <xdr:cNvPr id="112" name="Graphic 111" descr="Help">
          <a:hlinkClick xmlns:r="http://schemas.openxmlformats.org/officeDocument/2006/relationships" r:id="rId102" tooltip="Managing industrial water sustainably reduces energy use and emissions tied to water processes."/>
          <a:extLst>
            <a:ext uri="{FF2B5EF4-FFF2-40B4-BE49-F238E27FC236}">
              <a16:creationId xmlns:a16="http://schemas.microsoft.com/office/drawing/2014/main" id="{6BDC94CF-E861-44F8-A242-F90571B47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2513098"/>
          <a:ext cx="216000" cy="21758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96</xdr:row>
      <xdr:rowOff>25797</xdr:rowOff>
    </xdr:from>
    <xdr:to>
      <xdr:col>5</xdr:col>
      <xdr:colOff>5006569</xdr:colOff>
      <xdr:row>97</xdr:row>
      <xdr:rowOff>13197</xdr:rowOff>
    </xdr:to>
    <xdr:pic>
      <xdr:nvPicPr>
        <xdr:cNvPr id="113" name="Graphic 112" descr="Help">
          <a:hlinkClick xmlns:r="http://schemas.openxmlformats.org/officeDocument/2006/relationships" r:id="rId103" tooltip="Sustainable industrial waste handling lowers emissions from landfill and incineration."/>
          <a:extLst>
            <a:ext uri="{FF2B5EF4-FFF2-40B4-BE49-F238E27FC236}">
              <a16:creationId xmlns:a16="http://schemas.microsoft.com/office/drawing/2014/main" id="{58C84BD4-D81C-4FE8-B43D-F66A6E837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2742922"/>
          <a:ext cx="216000" cy="217588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97</xdr:row>
      <xdr:rowOff>25434</xdr:rowOff>
    </xdr:from>
    <xdr:to>
      <xdr:col>5</xdr:col>
      <xdr:colOff>5006569</xdr:colOff>
      <xdr:row>98</xdr:row>
      <xdr:rowOff>12834</xdr:rowOff>
    </xdr:to>
    <xdr:pic>
      <xdr:nvPicPr>
        <xdr:cNvPr id="114" name="Graphic 113" descr="Help">
          <a:hlinkClick xmlns:r="http://schemas.openxmlformats.org/officeDocument/2006/relationships" r:id="rId104" tooltip="Cleaner desalination technologies reduce high emissions tied to freshwater production."/>
          <a:extLst>
            <a:ext uri="{FF2B5EF4-FFF2-40B4-BE49-F238E27FC236}">
              <a16:creationId xmlns:a16="http://schemas.microsoft.com/office/drawing/2014/main" id="{EBDC0B36-B34A-4515-8F6E-4B189246B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2972747"/>
          <a:ext cx="216000" cy="21758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98</xdr:row>
      <xdr:rowOff>25071</xdr:rowOff>
    </xdr:from>
    <xdr:to>
      <xdr:col>5</xdr:col>
      <xdr:colOff>5006569</xdr:colOff>
      <xdr:row>99</xdr:row>
      <xdr:rowOff>12471</xdr:rowOff>
    </xdr:to>
    <xdr:pic>
      <xdr:nvPicPr>
        <xdr:cNvPr id="115" name="Graphic 114" descr="Help">
          <a:hlinkClick xmlns:r="http://schemas.openxmlformats.org/officeDocument/2006/relationships" r:id="rId105" tooltip="Eliminating subsidies disincentivizes wasteful energy consumption in industry, prompting efficiency."/>
          <a:extLst>
            <a:ext uri="{FF2B5EF4-FFF2-40B4-BE49-F238E27FC236}">
              <a16:creationId xmlns:a16="http://schemas.microsoft.com/office/drawing/2014/main" id="{0F7999C5-D5D8-4511-BE5A-D14AB5479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3202571"/>
          <a:ext cx="216000" cy="217588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99</xdr:row>
      <xdr:rowOff>24708</xdr:rowOff>
    </xdr:from>
    <xdr:to>
      <xdr:col>5</xdr:col>
      <xdr:colOff>5006569</xdr:colOff>
      <xdr:row>100</xdr:row>
      <xdr:rowOff>12108</xdr:rowOff>
    </xdr:to>
    <xdr:pic>
      <xdr:nvPicPr>
        <xdr:cNvPr id="116" name="Graphic 115" descr="Help">
          <a:hlinkClick xmlns:r="http://schemas.openxmlformats.org/officeDocument/2006/relationships" r:id="rId106" tooltip="Motor efficiency standards cut industrial electricity demand and related emissions."/>
          <a:extLst>
            <a:ext uri="{FF2B5EF4-FFF2-40B4-BE49-F238E27FC236}">
              <a16:creationId xmlns:a16="http://schemas.microsoft.com/office/drawing/2014/main" id="{7E13A6A8-FD3E-4903-87BD-44AD2D66B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3432396"/>
          <a:ext cx="216000" cy="21758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100</xdr:row>
      <xdr:rowOff>11645</xdr:rowOff>
    </xdr:from>
    <xdr:to>
      <xdr:col>5</xdr:col>
      <xdr:colOff>5006569</xdr:colOff>
      <xdr:row>100</xdr:row>
      <xdr:rowOff>227645</xdr:rowOff>
    </xdr:to>
    <xdr:pic>
      <xdr:nvPicPr>
        <xdr:cNvPr id="117" name="Graphic 116" descr="Help">
          <a:hlinkClick xmlns:r="http://schemas.openxmlformats.org/officeDocument/2006/relationships" r:id="rId107" tooltip="Carbon taxes drive industrial emission reductions and support clean technology investment."/>
          <a:extLst>
            <a:ext uri="{FF2B5EF4-FFF2-40B4-BE49-F238E27FC236}">
              <a16:creationId xmlns:a16="http://schemas.microsoft.com/office/drawing/2014/main" id="{D048EC98-1E07-42D6-8070-8B905969B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3649520"/>
          <a:ext cx="216000" cy="216000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101</xdr:row>
      <xdr:rowOff>23982</xdr:rowOff>
    </xdr:from>
    <xdr:to>
      <xdr:col>5</xdr:col>
      <xdr:colOff>5006569</xdr:colOff>
      <xdr:row>102</xdr:row>
      <xdr:rowOff>11382</xdr:rowOff>
    </xdr:to>
    <xdr:pic>
      <xdr:nvPicPr>
        <xdr:cNvPr id="118" name="Graphic 117" descr="Help">
          <a:hlinkClick xmlns:r="http://schemas.openxmlformats.org/officeDocument/2006/relationships" r:id="rId108" tooltip="Expanding solar PV replaces fossil fuels with clean energy, reducing GHG emissions."/>
          <a:extLst>
            <a:ext uri="{FF2B5EF4-FFF2-40B4-BE49-F238E27FC236}">
              <a16:creationId xmlns:a16="http://schemas.microsoft.com/office/drawing/2014/main" id="{28EE701E-21CD-4C61-A400-4B0AFE000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3892045"/>
          <a:ext cx="216000" cy="21758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102</xdr:row>
      <xdr:rowOff>3469</xdr:rowOff>
    </xdr:from>
    <xdr:to>
      <xdr:col>5</xdr:col>
      <xdr:colOff>5006569</xdr:colOff>
      <xdr:row>102</xdr:row>
      <xdr:rowOff>221056</xdr:rowOff>
    </xdr:to>
    <xdr:pic>
      <xdr:nvPicPr>
        <xdr:cNvPr id="119" name="Graphic 118" descr="Help">
          <a:hlinkClick xmlns:r="http://schemas.openxmlformats.org/officeDocument/2006/relationships" r:id="rId109" tooltip="Offshore wind farms generate large-scale clean electricity, displacing carbon-intensive power."/>
          <a:extLst>
            <a:ext uri="{FF2B5EF4-FFF2-40B4-BE49-F238E27FC236}">
              <a16:creationId xmlns:a16="http://schemas.microsoft.com/office/drawing/2014/main" id="{3F0D926B-1983-4506-BCC9-7DFE668EA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4101719"/>
          <a:ext cx="216000" cy="21758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103</xdr:row>
      <xdr:rowOff>17393</xdr:rowOff>
    </xdr:from>
    <xdr:to>
      <xdr:col>5</xdr:col>
      <xdr:colOff>5006569</xdr:colOff>
      <xdr:row>104</xdr:row>
      <xdr:rowOff>3206</xdr:rowOff>
    </xdr:to>
    <xdr:pic>
      <xdr:nvPicPr>
        <xdr:cNvPr id="120" name="Graphic 119" descr="Help">
          <a:hlinkClick xmlns:r="http://schemas.openxmlformats.org/officeDocument/2006/relationships" r:id="rId110" tooltip="Onshore wind is a mature renewable technology key to clean power expansion and emissions cuts."/>
          <a:extLst>
            <a:ext uri="{FF2B5EF4-FFF2-40B4-BE49-F238E27FC236}">
              <a16:creationId xmlns:a16="http://schemas.microsoft.com/office/drawing/2014/main" id="{E0E49A42-EEB9-4895-A5E1-21E1170F8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4345831"/>
          <a:ext cx="216000" cy="216000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104</xdr:row>
      <xdr:rowOff>10680</xdr:rowOff>
    </xdr:from>
    <xdr:to>
      <xdr:col>5</xdr:col>
      <xdr:colOff>5006569</xdr:colOff>
      <xdr:row>104</xdr:row>
      <xdr:rowOff>226680</xdr:rowOff>
    </xdr:to>
    <xdr:pic>
      <xdr:nvPicPr>
        <xdr:cNvPr id="121" name="Graphic 120" descr="Help">
          <a:hlinkClick xmlns:r="http://schemas.openxmlformats.org/officeDocument/2006/relationships" r:id="rId111" tooltip="Geothermal provides steady, low-carbon baseload power, reducing fossil fuel dependency."/>
          <a:extLst>
            <a:ext uri="{FF2B5EF4-FFF2-40B4-BE49-F238E27FC236}">
              <a16:creationId xmlns:a16="http://schemas.microsoft.com/office/drawing/2014/main" id="{CBF81672-206A-4575-83D0-9ADF95C90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4569305"/>
          <a:ext cx="216000" cy="216000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105</xdr:row>
      <xdr:rowOff>10317</xdr:rowOff>
    </xdr:from>
    <xdr:to>
      <xdr:col>5</xdr:col>
      <xdr:colOff>5006569</xdr:colOff>
      <xdr:row>105</xdr:row>
      <xdr:rowOff>226317</xdr:rowOff>
    </xdr:to>
    <xdr:pic>
      <xdr:nvPicPr>
        <xdr:cNvPr id="122" name="Graphic 121" descr="Help">
          <a:hlinkClick xmlns:r="http://schemas.openxmlformats.org/officeDocument/2006/relationships" r:id="rId112" tooltip="Hydropower generates renewable energy with minimal emissions, supporting grid decarbonization."/>
          <a:extLst>
            <a:ext uri="{FF2B5EF4-FFF2-40B4-BE49-F238E27FC236}">
              <a16:creationId xmlns:a16="http://schemas.microsoft.com/office/drawing/2014/main" id="{6CBFC83D-C8DE-443E-B870-2D0DD79B0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4799130"/>
          <a:ext cx="216000" cy="216000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106</xdr:row>
      <xdr:rowOff>2017</xdr:rowOff>
    </xdr:from>
    <xdr:to>
      <xdr:col>5</xdr:col>
      <xdr:colOff>5006569</xdr:colOff>
      <xdr:row>106</xdr:row>
      <xdr:rowOff>219604</xdr:rowOff>
    </xdr:to>
    <xdr:pic>
      <xdr:nvPicPr>
        <xdr:cNvPr id="123" name="Graphic 122" descr="Help">
          <a:hlinkClick xmlns:r="http://schemas.openxmlformats.org/officeDocument/2006/relationships" r:id="rId113" tooltip="Wave energy taps an untapped marine resource for clean, renewable electricity generation."/>
          <a:extLst>
            <a:ext uri="{FF2B5EF4-FFF2-40B4-BE49-F238E27FC236}">
              <a16:creationId xmlns:a16="http://schemas.microsoft.com/office/drawing/2014/main" id="{A313C9FF-45A2-433C-8F57-8AF7C2F40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5021017"/>
          <a:ext cx="216000" cy="21758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107</xdr:row>
      <xdr:rowOff>1653</xdr:rowOff>
    </xdr:from>
    <xdr:to>
      <xdr:col>5</xdr:col>
      <xdr:colOff>5006569</xdr:colOff>
      <xdr:row>107</xdr:row>
      <xdr:rowOff>219241</xdr:rowOff>
    </xdr:to>
    <xdr:pic>
      <xdr:nvPicPr>
        <xdr:cNvPr id="124" name="Graphic 123" descr="Help">
          <a:hlinkClick xmlns:r="http://schemas.openxmlformats.org/officeDocument/2006/relationships" r:id="rId114" tooltip="Tidal power offers predictable, renewable energy to displace fossil generation and reduce emissions."/>
          <a:extLst>
            <a:ext uri="{FF2B5EF4-FFF2-40B4-BE49-F238E27FC236}">
              <a16:creationId xmlns:a16="http://schemas.microsoft.com/office/drawing/2014/main" id="{DB071366-8D31-4642-A8F2-4213D70D1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5250841"/>
          <a:ext cx="216000" cy="217588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108</xdr:row>
      <xdr:rowOff>1291</xdr:rowOff>
    </xdr:from>
    <xdr:to>
      <xdr:col>5</xdr:col>
      <xdr:colOff>5006569</xdr:colOff>
      <xdr:row>108</xdr:row>
      <xdr:rowOff>218878</xdr:rowOff>
    </xdr:to>
    <xdr:pic>
      <xdr:nvPicPr>
        <xdr:cNvPr id="125" name="Graphic 124" descr="Help">
          <a:hlinkClick xmlns:r="http://schemas.openxmlformats.org/officeDocument/2006/relationships" r:id="rId115" tooltip="Nuclear plants provide large-scale zero-emission electricity critical for deep decarbonization."/>
          <a:extLst>
            <a:ext uri="{FF2B5EF4-FFF2-40B4-BE49-F238E27FC236}">
              <a16:creationId xmlns:a16="http://schemas.microsoft.com/office/drawing/2014/main" id="{84B4F13F-98E1-479B-A809-64227D9E2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5480666"/>
          <a:ext cx="216000" cy="21758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109</xdr:row>
      <xdr:rowOff>927</xdr:rowOff>
    </xdr:from>
    <xdr:to>
      <xdr:col>5</xdr:col>
      <xdr:colOff>5006569</xdr:colOff>
      <xdr:row>109</xdr:row>
      <xdr:rowOff>218514</xdr:rowOff>
    </xdr:to>
    <xdr:pic>
      <xdr:nvPicPr>
        <xdr:cNvPr id="126" name="Graphic 125" descr="Help">
          <a:hlinkClick xmlns:r="http://schemas.openxmlformats.org/officeDocument/2006/relationships" r:id="rId116" tooltip="Thermal gradient energy converts natural temperature differences to clean power, lowering emissions."/>
          <a:extLst>
            <a:ext uri="{FF2B5EF4-FFF2-40B4-BE49-F238E27FC236}">
              <a16:creationId xmlns:a16="http://schemas.microsoft.com/office/drawing/2014/main" id="{F6B6FAB1-385F-45E1-B073-01E48F31C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5710490"/>
          <a:ext cx="216000" cy="21758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110</xdr:row>
      <xdr:rowOff>564</xdr:rowOff>
    </xdr:from>
    <xdr:to>
      <xdr:col>5</xdr:col>
      <xdr:colOff>5006569</xdr:colOff>
      <xdr:row>110</xdr:row>
      <xdr:rowOff>218152</xdr:rowOff>
    </xdr:to>
    <xdr:pic>
      <xdr:nvPicPr>
        <xdr:cNvPr id="127" name="Graphic 126" descr="Help">
          <a:hlinkClick xmlns:r="http://schemas.openxmlformats.org/officeDocument/2006/relationships" r:id="rId117" tooltip="Converting waste to energy reduces landfill methane and generates electricity, aiding climate goals."/>
          <a:extLst>
            <a:ext uri="{FF2B5EF4-FFF2-40B4-BE49-F238E27FC236}">
              <a16:creationId xmlns:a16="http://schemas.microsoft.com/office/drawing/2014/main" id="{FC11FB46-D289-4EB1-BC2B-F4D83511C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5940314"/>
          <a:ext cx="216000" cy="217588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111</xdr:row>
      <xdr:rowOff>201</xdr:rowOff>
    </xdr:from>
    <xdr:to>
      <xdr:col>5</xdr:col>
      <xdr:colOff>5006569</xdr:colOff>
      <xdr:row>111</xdr:row>
      <xdr:rowOff>218797</xdr:rowOff>
    </xdr:to>
    <xdr:pic>
      <xdr:nvPicPr>
        <xdr:cNvPr id="128" name="Graphic 127" descr="Help">
          <a:hlinkClick xmlns:r="http://schemas.openxmlformats.org/officeDocument/2006/relationships" r:id="rId118" tooltip="Green hydrogen stores renewable energy and offers a carbon-free fuel for sectors hard to electrify."/>
          <a:extLst>
            <a:ext uri="{FF2B5EF4-FFF2-40B4-BE49-F238E27FC236}">
              <a16:creationId xmlns:a16="http://schemas.microsoft.com/office/drawing/2014/main" id="{A04D93AE-947B-49A0-AB76-500DF4E68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6170139"/>
          <a:ext cx="216000" cy="218596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111</xdr:row>
      <xdr:rowOff>230026</xdr:rowOff>
    </xdr:from>
    <xdr:to>
      <xdr:col>5</xdr:col>
      <xdr:colOff>5006569</xdr:colOff>
      <xdr:row>112</xdr:row>
      <xdr:rowOff>218434</xdr:rowOff>
    </xdr:to>
    <xdr:pic>
      <xdr:nvPicPr>
        <xdr:cNvPr id="129" name="Graphic 128" descr="Help">
          <a:hlinkClick xmlns:r="http://schemas.openxmlformats.org/officeDocument/2006/relationships" r:id="rId119" tooltip="Ending fossil fuel extraction stops future emissions, forcing transitions to clean energy and fuels."/>
          <a:extLst>
            <a:ext uri="{FF2B5EF4-FFF2-40B4-BE49-F238E27FC236}">
              <a16:creationId xmlns:a16="http://schemas.microsoft.com/office/drawing/2014/main" id="{54554CAC-E530-4377-9E8F-8AE9A6C1C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6399964"/>
          <a:ext cx="216000" cy="218595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112</xdr:row>
      <xdr:rowOff>229663</xdr:rowOff>
    </xdr:from>
    <xdr:to>
      <xdr:col>5</xdr:col>
      <xdr:colOff>5006569</xdr:colOff>
      <xdr:row>113</xdr:row>
      <xdr:rowOff>218070</xdr:rowOff>
    </xdr:to>
    <xdr:pic>
      <xdr:nvPicPr>
        <xdr:cNvPr id="130" name="Graphic 129" descr="Help">
          <a:hlinkClick xmlns:r="http://schemas.openxmlformats.org/officeDocument/2006/relationships" r:id="rId120" tooltip="Shutting fossil plants avoids ongoing CO₂ emissions, enabling cleaner energy sources to dominate."/>
          <a:extLst>
            <a:ext uri="{FF2B5EF4-FFF2-40B4-BE49-F238E27FC236}">
              <a16:creationId xmlns:a16="http://schemas.microsoft.com/office/drawing/2014/main" id="{E81925D4-0888-431B-B9D1-299729981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6629788"/>
          <a:ext cx="216000" cy="218595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113</xdr:row>
      <xdr:rowOff>229300</xdr:rowOff>
    </xdr:from>
    <xdr:to>
      <xdr:col>5</xdr:col>
      <xdr:colOff>5006569</xdr:colOff>
      <xdr:row>114</xdr:row>
      <xdr:rowOff>213909</xdr:rowOff>
    </xdr:to>
    <xdr:pic>
      <xdr:nvPicPr>
        <xdr:cNvPr id="131" name="Graphic 130" descr="Help">
          <a:hlinkClick xmlns:r="http://schemas.openxmlformats.org/officeDocument/2006/relationships" r:id="rId121" tooltip="Converting fossil plants to renewable generation cuts emissions while using existing infrastructure."/>
          <a:extLst>
            <a:ext uri="{FF2B5EF4-FFF2-40B4-BE49-F238E27FC236}">
              <a16:creationId xmlns:a16="http://schemas.microsoft.com/office/drawing/2014/main" id="{BB0DF46C-ADF2-4286-A20B-5F51FBCE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6859613"/>
          <a:ext cx="216000" cy="214796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114</xdr:row>
      <xdr:rowOff>228937</xdr:rowOff>
    </xdr:from>
    <xdr:to>
      <xdr:col>5</xdr:col>
      <xdr:colOff>5006569</xdr:colOff>
      <xdr:row>115</xdr:row>
      <xdr:rowOff>213546</xdr:rowOff>
    </xdr:to>
    <xdr:pic>
      <xdr:nvPicPr>
        <xdr:cNvPr id="132" name="Graphic 131" descr="Help">
          <a:hlinkClick xmlns:r="http://schemas.openxmlformats.org/officeDocument/2006/relationships" r:id="rId122" tooltip="Improving grids supports higher renewable penetration and reduces curtailment and emissions."/>
          <a:extLst>
            <a:ext uri="{FF2B5EF4-FFF2-40B4-BE49-F238E27FC236}">
              <a16:creationId xmlns:a16="http://schemas.microsoft.com/office/drawing/2014/main" id="{B0D04F8B-D88C-4238-9797-86B2F242A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7089437"/>
          <a:ext cx="216000" cy="21479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115</xdr:row>
      <xdr:rowOff>228574</xdr:rowOff>
    </xdr:from>
    <xdr:to>
      <xdr:col>5</xdr:col>
      <xdr:colOff>5006569</xdr:colOff>
      <xdr:row>116</xdr:row>
      <xdr:rowOff>213182</xdr:rowOff>
    </xdr:to>
    <xdr:pic>
      <xdr:nvPicPr>
        <xdr:cNvPr id="133" name="Graphic 132" descr="Help">
          <a:hlinkClick xmlns:r="http://schemas.openxmlformats.org/officeDocument/2006/relationships" r:id="rId123" tooltip="Energy savings across sectors lower fuel demand and emissions, easing the energy transition."/>
          <a:extLst>
            <a:ext uri="{FF2B5EF4-FFF2-40B4-BE49-F238E27FC236}">
              <a16:creationId xmlns:a16="http://schemas.microsoft.com/office/drawing/2014/main" id="{B62164FA-886D-4CFD-8417-AD3C2FDEE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7319262"/>
          <a:ext cx="216000" cy="214795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116</xdr:row>
      <xdr:rowOff>228211</xdr:rowOff>
    </xdr:from>
    <xdr:to>
      <xdr:col>5</xdr:col>
      <xdr:colOff>5006569</xdr:colOff>
      <xdr:row>117</xdr:row>
      <xdr:rowOff>212820</xdr:rowOff>
    </xdr:to>
    <xdr:pic>
      <xdr:nvPicPr>
        <xdr:cNvPr id="134" name="Graphic 133" descr="Help">
          <a:hlinkClick xmlns:r="http://schemas.openxmlformats.org/officeDocument/2006/relationships" r:id="rId124" tooltip="Efficient water use in energy systems reduces fuel and emissions in cooling and processing."/>
          <a:extLst>
            <a:ext uri="{FF2B5EF4-FFF2-40B4-BE49-F238E27FC236}">
              <a16:creationId xmlns:a16="http://schemas.microsoft.com/office/drawing/2014/main" id="{564284C3-280C-431B-95FB-2F2915CA4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7549086"/>
          <a:ext cx="216000" cy="21479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117</xdr:row>
      <xdr:rowOff>227848</xdr:rowOff>
    </xdr:from>
    <xdr:to>
      <xdr:col>5</xdr:col>
      <xdr:colOff>5006569</xdr:colOff>
      <xdr:row>118</xdr:row>
      <xdr:rowOff>212457</xdr:rowOff>
    </xdr:to>
    <xdr:pic>
      <xdr:nvPicPr>
        <xdr:cNvPr id="135" name="Graphic 134" descr="Help">
          <a:hlinkClick xmlns:r="http://schemas.openxmlformats.org/officeDocument/2006/relationships" r:id="rId125" tooltip="Sustainable waste treatment in energy reduces methane and other greenhouse gases."/>
          <a:extLst>
            <a:ext uri="{FF2B5EF4-FFF2-40B4-BE49-F238E27FC236}">
              <a16:creationId xmlns:a16="http://schemas.microsoft.com/office/drawing/2014/main" id="{339C2363-6AD7-4FB5-90D2-0694C56E0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7778911"/>
          <a:ext cx="216000" cy="214796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118</xdr:row>
      <xdr:rowOff>227485</xdr:rowOff>
    </xdr:from>
    <xdr:to>
      <xdr:col>5</xdr:col>
      <xdr:colOff>5006569</xdr:colOff>
      <xdr:row>119</xdr:row>
      <xdr:rowOff>212094</xdr:rowOff>
    </xdr:to>
    <xdr:pic>
      <xdr:nvPicPr>
        <xdr:cNvPr id="136" name="Graphic 135" descr="Help">
          <a:hlinkClick xmlns:r="http://schemas.openxmlformats.org/officeDocument/2006/relationships" r:id="rId126" tooltip="Removing subsidies for fossil fuels shifts investment to clean energy, accelerating emissions decline."/>
          <a:extLst>
            <a:ext uri="{FF2B5EF4-FFF2-40B4-BE49-F238E27FC236}">
              <a16:creationId xmlns:a16="http://schemas.microsoft.com/office/drawing/2014/main" id="{B4D719BE-6610-49A7-9A04-CCFFC863D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8008735"/>
          <a:ext cx="216000" cy="214797"/>
        </a:xfrm>
        <a:prstGeom prst="rect">
          <a:avLst/>
        </a:prstGeom>
      </xdr:spPr>
    </xdr:pic>
    <xdr:clientData/>
  </xdr:twoCellAnchor>
  <xdr:twoCellAnchor editAs="absolute">
    <xdr:from>
      <xdr:col>5</xdr:col>
      <xdr:colOff>4790569</xdr:colOff>
      <xdr:row>120</xdr:row>
      <xdr:rowOff>17124</xdr:rowOff>
    </xdr:from>
    <xdr:to>
      <xdr:col>5</xdr:col>
      <xdr:colOff>5006569</xdr:colOff>
      <xdr:row>121</xdr:row>
      <xdr:rowOff>2936</xdr:rowOff>
    </xdr:to>
    <xdr:pic>
      <xdr:nvPicPr>
        <xdr:cNvPr id="137" name="Graphic 136" descr="Help">
          <a:hlinkClick xmlns:r="http://schemas.openxmlformats.org/officeDocument/2006/relationships" r:id="rId127" tooltip="Carbon taxation on energy emissions drives cleaner energy use and funds climate mitigation projects."/>
          <a:extLst>
            <a:ext uri="{FF2B5EF4-FFF2-40B4-BE49-F238E27FC236}">
              <a16:creationId xmlns:a16="http://schemas.microsoft.com/office/drawing/2014/main" id="{64172039-A87F-47AB-BCA0-34E673EE5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013069" y="28258749"/>
          <a:ext cx="216000" cy="216000"/>
        </a:xfrm>
        <a:prstGeom prst="rect">
          <a:avLst/>
        </a:prstGeom>
      </xdr:spPr>
    </xdr:pic>
    <xdr:clientData/>
  </xdr:twoCellAnchor>
  <xdr:twoCellAnchor editAs="absolute">
    <xdr:from>
      <xdr:col>11</xdr:col>
      <xdr:colOff>379937</xdr:colOff>
      <xdr:row>5</xdr:row>
      <xdr:rowOff>17282</xdr:rowOff>
    </xdr:from>
    <xdr:to>
      <xdr:col>42</xdr:col>
      <xdr:colOff>15875</xdr:colOff>
      <xdr:row>6</xdr:row>
      <xdr:rowOff>3448</xdr:rowOff>
    </xdr:to>
    <xdr:pic>
      <xdr:nvPicPr>
        <xdr:cNvPr id="138" name="Graphic 137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DABD59AC-2AB7-4CF8-8FF4-BCE9E9949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4875" y="1787345"/>
          <a:ext cx="231250" cy="216353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6</xdr:row>
      <xdr:rowOff>6135</xdr:rowOff>
    </xdr:from>
    <xdr:to>
      <xdr:col>11</xdr:col>
      <xdr:colOff>317500</xdr:colOff>
      <xdr:row>7</xdr:row>
      <xdr:rowOff>3060</xdr:rowOff>
    </xdr:to>
    <xdr:pic>
      <xdr:nvPicPr>
        <xdr:cNvPr id="159" name="Graphic 158" descr="Bar graph with downward trend">
          <a:hlinkClick xmlns:r="http://schemas.openxmlformats.org/officeDocument/2006/relationships" r:id="rId128" tooltip="Benefit: 100 ton CO2/sq km/year (82/117); Average annual cost: 2000 $/sq km/year (29/117); Utility: 5 (29/117)"/>
          <a:extLst>
            <a:ext uri="{FF2B5EF4-FFF2-40B4-BE49-F238E27FC236}">
              <a16:creationId xmlns:a16="http://schemas.microsoft.com/office/drawing/2014/main" id="{2179F7B7-A763-4C13-92DB-3249C016F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006385"/>
          <a:ext cx="222250" cy="227113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6</xdr:row>
      <xdr:rowOff>17452</xdr:rowOff>
    </xdr:from>
    <xdr:to>
      <xdr:col>42</xdr:col>
      <xdr:colOff>15875</xdr:colOff>
      <xdr:row>7</xdr:row>
      <xdr:rowOff>3617</xdr:rowOff>
    </xdr:to>
    <xdr:pic>
      <xdr:nvPicPr>
        <xdr:cNvPr id="160" name="Graphic 159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F002E1C5-5D43-4019-AFD9-D705C2DEB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017702"/>
          <a:ext cx="230896" cy="216353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7</xdr:row>
      <xdr:rowOff>6025</xdr:rowOff>
    </xdr:from>
    <xdr:to>
      <xdr:col>11</xdr:col>
      <xdr:colOff>317500</xdr:colOff>
      <xdr:row>8</xdr:row>
      <xdr:rowOff>2951</xdr:rowOff>
    </xdr:to>
    <xdr:pic>
      <xdr:nvPicPr>
        <xdr:cNvPr id="161" name="Graphic 160" descr="Bar graph with downward trend">
          <a:hlinkClick xmlns:r="http://schemas.openxmlformats.org/officeDocument/2006/relationships" r:id="rId129" tooltip="Benefit: 1000 ton CO2/sq km/year (40/117); Average annual cost: 142000 $/sq km/year (86/117); Utility: 0.704 (86/117)"/>
          <a:extLst>
            <a:ext uri="{FF2B5EF4-FFF2-40B4-BE49-F238E27FC236}">
              <a16:creationId xmlns:a16="http://schemas.microsoft.com/office/drawing/2014/main" id="{76BA576C-AAA2-4C47-8596-10AD43316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236463"/>
          <a:ext cx="222250" cy="227113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7</xdr:row>
      <xdr:rowOff>17622</xdr:rowOff>
    </xdr:from>
    <xdr:to>
      <xdr:col>42</xdr:col>
      <xdr:colOff>15875</xdr:colOff>
      <xdr:row>8</xdr:row>
      <xdr:rowOff>3788</xdr:rowOff>
    </xdr:to>
    <xdr:pic>
      <xdr:nvPicPr>
        <xdr:cNvPr id="162" name="Graphic 161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BD713994-6D5E-491A-AD7C-78AEDE4D9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248060"/>
          <a:ext cx="230896" cy="216353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8</xdr:row>
      <xdr:rowOff>5917</xdr:rowOff>
    </xdr:from>
    <xdr:to>
      <xdr:col>11</xdr:col>
      <xdr:colOff>317500</xdr:colOff>
      <xdr:row>9</xdr:row>
      <xdr:rowOff>2841</xdr:rowOff>
    </xdr:to>
    <xdr:pic>
      <xdr:nvPicPr>
        <xdr:cNvPr id="163" name="Graphic 162" descr="Bar graph with downward trend">
          <a:hlinkClick xmlns:r="http://schemas.openxmlformats.org/officeDocument/2006/relationships" r:id="rId130" tooltip="Benefit: 200 ton CO2/sq km/year (73/117); Average annual cost: 68000 $/sq km/year (72/117); Utility: 0.294 (72/117)"/>
          <a:extLst>
            <a:ext uri="{FF2B5EF4-FFF2-40B4-BE49-F238E27FC236}">
              <a16:creationId xmlns:a16="http://schemas.microsoft.com/office/drawing/2014/main" id="{B4BED686-CC9D-4515-BBA9-258EED42D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466542"/>
          <a:ext cx="222250" cy="227112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8</xdr:row>
      <xdr:rowOff>17792</xdr:rowOff>
    </xdr:from>
    <xdr:to>
      <xdr:col>42</xdr:col>
      <xdr:colOff>15875</xdr:colOff>
      <xdr:row>9</xdr:row>
      <xdr:rowOff>3957</xdr:rowOff>
    </xdr:to>
    <xdr:pic>
      <xdr:nvPicPr>
        <xdr:cNvPr id="164" name="Graphic 163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CA9D6FB3-7778-41DC-8BE5-2CB00F5DB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478417"/>
          <a:ext cx="230896" cy="216353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9</xdr:row>
      <xdr:rowOff>5807</xdr:rowOff>
    </xdr:from>
    <xdr:to>
      <xdr:col>11</xdr:col>
      <xdr:colOff>317500</xdr:colOff>
      <xdr:row>10</xdr:row>
      <xdr:rowOff>2732</xdr:rowOff>
    </xdr:to>
    <xdr:pic>
      <xdr:nvPicPr>
        <xdr:cNvPr id="165" name="Graphic 164" descr="Bar graph with downward trend">
          <a:hlinkClick xmlns:r="http://schemas.openxmlformats.org/officeDocument/2006/relationships" r:id="rId131" tooltip="Benefit: 10 ton CO2/sq km/year (112/117); Average annual cost: 1000 $/sq km/year (25/117); Utility: 1 (25/117)"/>
          <a:extLst>
            <a:ext uri="{FF2B5EF4-FFF2-40B4-BE49-F238E27FC236}">
              <a16:creationId xmlns:a16="http://schemas.microsoft.com/office/drawing/2014/main" id="{85D67F7A-245F-440E-9CC1-AEF7FF06F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696620"/>
          <a:ext cx="222250" cy="227112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9</xdr:row>
      <xdr:rowOff>17962</xdr:rowOff>
    </xdr:from>
    <xdr:to>
      <xdr:col>42</xdr:col>
      <xdr:colOff>15875</xdr:colOff>
      <xdr:row>10</xdr:row>
      <xdr:rowOff>4128</xdr:rowOff>
    </xdr:to>
    <xdr:pic>
      <xdr:nvPicPr>
        <xdr:cNvPr id="166" name="Graphic 165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98E41983-42A2-4BB2-90E8-20A37E875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708775"/>
          <a:ext cx="230896" cy="216353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10</xdr:row>
      <xdr:rowOff>5699</xdr:rowOff>
    </xdr:from>
    <xdr:to>
      <xdr:col>11</xdr:col>
      <xdr:colOff>317500</xdr:colOff>
      <xdr:row>11</xdr:row>
      <xdr:rowOff>2624</xdr:rowOff>
    </xdr:to>
    <xdr:pic>
      <xdr:nvPicPr>
        <xdr:cNvPr id="167" name="Graphic 166" descr="Bar graph with downward trend">
          <a:hlinkClick xmlns:r="http://schemas.openxmlformats.org/officeDocument/2006/relationships" r:id="rId132" tooltip="Benefit: 100 ton CO2/sq km/year (83/117); Average annual cost: 33000 $/sq km/year (58/117); Utility: 0.303 (58/117)"/>
          <a:extLst>
            <a:ext uri="{FF2B5EF4-FFF2-40B4-BE49-F238E27FC236}">
              <a16:creationId xmlns:a16="http://schemas.microsoft.com/office/drawing/2014/main" id="{AF01B766-89AB-4DE5-8115-C92B33B2A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926699"/>
          <a:ext cx="222250" cy="227113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10</xdr:row>
      <xdr:rowOff>18132</xdr:rowOff>
    </xdr:from>
    <xdr:to>
      <xdr:col>42</xdr:col>
      <xdr:colOff>15875</xdr:colOff>
      <xdr:row>11</xdr:row>
      <xdr:rowOff>4297</xdr:rowOff>
    </xdr:to>
    <xdr:pic>
      <xdr:nvPicPr>
        <xdr:cNvPr id="168" name="Graphic 167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E95E7547-F666-4369-9944-2C906CF39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939132"/>
          <a:ext cx="230896" cy="216353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11</xdr:row>
      <xdr:rowOff>5589</xdr:rowOff>
    </xdr:from>
    <xdr:to>
      <xdr:col>11</xdr:col>
      <xdr:colOff>317500</xdr:colOff>
      <xdr:row>12</xdr:row>
      <xdr:rowOff>2515</xdr:rowOff>
    </xdr:to>
    <xdr:pic>
      <xdr:nvPicPr>
        <xdr:cNvPr id="169" name="Graphic 168" descr="Bar graph with downward trend">
          <a:hlinkClick xmlns:r="http://schemas.openxmlformats.org/officeDocument/2006/relationships" r:id="rId133" tooltip="Benefit: 10 ton CO2/sq km/year (113/117); Average annual cost: 4000 $/sq km/year (41/117); Utility: 0.25 (41/117)"/>
          <a:extLst>
            <a:ext uri="{FF2B5EF4-FFF2-40B4-BE49-F238E27FC236}">
              <a16:creationId xmlns:a16="http://schemas.microsoft.com/office/drawing/2014/main" id="{4C98F9B6-56C0-4387-91C5-EBB1694E6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3156777"/>
          <a:ext cx="222250" cy="227113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11</xdr:row>
      <xdr:rowOff>18302</xdr:rowOff>
    </xdr:from>
    <xdr:to>
      <xdr:col>42</xdr:col>
      <xdr:colOff>15875</xdr:colOff>
      <xdr:row>12</xdr:row>
      <xdr:rowOff>4468</xdr:rowOff>
    </xdr:to>
    <xdr:pic>
      <xdr:nvPicPr>
        <xdr:cNvPr id="170" name="Graphic 169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0F71E499-2D0F-4076-9B82-C27AE51F2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3169490"/>
          <a:ext cx="230896" cy="216353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12</xdr:row>
      <xdr:rowOff>5481</xdr:rowOff>
    </xdr:from>
    <xdr:to>
      <xdr:col>11</xdr:col>
      <xdr:colOff>317500</xdr:colOff>
      <xdr:row>13</xdr:row>
      <xdr:rowOff>2405</xdr:rowOff>
    </xdr:to>
    <xdr:pic>
      <xdr:nvPicPr>
        <xdr:cNvPr id="171" name="Graphic 170" descr="Bar graph with downward trend">
          <a:hlinkClick xmlns:r="http://schemas.openxmlformats.org/officeDocument/2006/relationships" r:id="rId134" tooltip="Benefit: 500 ton CO2/sq km/year (56/117); Average annual cost: 25000 $/sq km/year (53/117); Utility: 2 (53/117)"/>
          <a:extLst>
            <a:ext uri="{FF2B5EF4-FFF2-40B4-BE49-F238E27FC236}">
              <a16:creationId xmlns:a16="http://schemas.microsoft.com/office/drawing/2014/main" id="{BE9D9B6F-1294-46B2-B541-7AB9713EE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3386856"/>
          <a:ext cx="222250" cy="227112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12</xdr:row>
      <xdr:rowOff>18472</xdr:rowOff>
    </xdr:from>
    <xdr:to>
      <xdr:col>42</xdr:col>
      <xdr:colOff>15875</xdr:colOff>
      <xdr:row>13</xdr:row>
      <xdr:rowOff>4637</xdr:rowOff>
    </xdr:to>
    <xdr:pic>
      <xdr:nvPicPr>
        <xdr:cNvPr id="172" name="Graphic 171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A8318D1D-A58C-4183-B8FB-00298B083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3399847"/>
          <a:ext cx="230896" cy="216353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13</xdr:row>
      <xdr:rowOff>5371</xdr:rowOff>
    </xdr:from>
    <xdr:to>
      <xdr:col>11</xdr:col>
      <xdr:colOff>317500</xdr:colOff>
      <xdr:row>14</xdr:row>
      <xdr:rowOff>2296</xdr:rowOff>
    </xdr:to>
    <xdr:pic>
      <xdr:nvPicPr>
        <xdr:cNvPr id="173" name="Graphic 172" descr="Bar graph with downward trend">
          <a:hlinkClick xmlns:r="http://schemas.openxmlformats.org/officeDocument/2006/relationships" r:id="rId135" tooltip="Benefit: 500 ton CO2/sq km/year (57/117); Average annual cost: 8000 $/sq km/year (46/117); Utility: 6.1 (46/117)"/>
          <a:extLst>
            <a:ext uri="{FF2B5EF4-FFF2-40B4-BE49-F238E27FC236}">
              <a16:creationId xmlns:a16="http://schemas.microsoft.com/office/drawing/2014/main" id="{6C9B4746-5230-4BEE-9B6F-F3E6E9E95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3616934"/>
          <a:ext cx="222250" cy="227112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13</xdr:row>
      <xdr:rowOff>18642</xdr:rowOff>
    </xdr:from>
    <xdr:to>
      <xdr:col>42</xdr:col>
      <xdr:colOff>15875</xdr:colOff>
      <xdr:row>14</xdr:row>
      <xdr:rowOff>1633</xdr:rowOff>
    </xdr:to>
    <xdr:pic>
      <xdr:nvPicPr>
        <xdr:cNvPr id="174" name="Graphic 173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E7C41F92-42ED-48E0-AFA4-C6726C176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3630205"/>
          <a:ext cx="230896" cy="21317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14</xdr:row>
      <xdr:rowOff>5263</xdr:rowOff>
    </xdr:from>
    <xdr:to>
      <xdr:col>11</xdr:col>
      <xdr:colOff>317500</xdr:colOff>
      <xdr:row>15</xdr:row>
      <xdr:rowOff>2188</xdr:rowOff>
    </xdr:to>
    <xdr:pic>
      <xdr:nvPicPr>
        <xdr:cNvPr id="175" name="Graphic 174" descr="Bar graph with downward trend">
          <a:hlinkClick xmlns:r="http://schemas.openxmlformats.org/officeDocument/2006/relationships" r:id="rId136" tooltip="Benefit: 20 ton CO2/sq km/year (106/117); Average annual cost: 5000 $/sq km/year (42/117); Utility: 0.4 (42/117)"/>
          <a:extLst>
            <a:ext uri="{FF2B5EF4-FFF2-40B4-BE49-F238E27FC236}">
              <a16:creationId xmlns:a16="http://schemas.microsoft.com/office/drawing/2014/main" id="{372003C0-326B-4B03-A77D-7FBEBCED6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3847013"/>
          <a:ext cx="222250" cy="227113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14</xdr:row>
      <xdr:rowOff>18812</xdr:rowOff>
    </xdr:from>
    <xdr:to>
      <xdr:col>42</xdr:col>
      <xdr:colOff>15875</xdr:colOff>
      <xdr:row>15</xdr:row>
      <xdr:rowOff>1802</xdr:rowOff>
    </xdr:to>
    <xdr:pic>
      <xdr:nvPicPr>
        <xdr:cNvPr id="176" name="Graphic 175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CE43C7E5-2998-4DB1-82D7-99B6846FB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3860562"/>
          <a:ext cx="230896" cy="21317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15</xdr:row>
      <xdr:rowOff>5153</xdr:rowOff>
    </xdr:from>
    <xdr:to>
      <xdr:col>11</xdr:col>
      <xdr:colOff>317500</xdr:colOff>
      <xdr:row>16</xdr:row>
      <xdr:rowOff>2079</xdr:rowOff>
    </xdr:to>
    <xdr:pic>
      <xdr:nvPicPr>
        <xdr:cNvPr id="177" name="Graphic 176" descr="Bar graph with downward trend">
          <a:hlinkClick xmlns:r="http://schemas.openxmlformats.org/officeDocument/2006/relationships" r:id="rId137" tooltip="Benefit: 30 ton CO2/sq km/year (103/117); Average annual cost: 40 $/sq km/year (1/117); Utility: 75 (1/117)"/>
          <a:extLst>
            <a:ext uri="{FF2B5EF4-FFF2-40B4-BE49-F238E27FC236}">
              <a16:creationId xmlns:a16="http://schemas.microsoft.com/office/drawing/2014/main" id="{DDB43483-44F5-4964-ACEC-E6A2154F7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4077091"/>
          <a:ext cx="222250" cy="227113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15</xdr:row>
      <xdr:rowOff>18982</xdr:rowOff>
    </xdr:from>
    <xdr:to>
      <xdr:col>42</xdr:col>
      <xdr:colOff>15875</xdr:colOff>
      <xdr:row>16</xdr:row>
      <xdr:rowOff>1973</xdr:rowOff>
    </xdr:to>
    <xdr:pic>
      <xdr:nvPicPr>
        <xdr:cNvPr id="178" name="Graphic 177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A000B7B0-D086-4B40-A66B-173491DD4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4090920"/>
          <a:ext cx="230896" cy="21317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16</xdr:row>
      <xdr:rowOff>5045</xdr:rowOff>
    </xdr:from>
    <xdr:to>
      <xdr:col>11</xdr:col>
      <xdr:colOff>317500</xdr:colOff>
      <xdr:row>17</xdr:row>
      <xdr:rowOff>1969</xdr:rowOff>
    </xdr:to>
    <xdr:pic>
      <xdr:nvPicPr>
        <xdr:cNvPr id="179" name="Graphic 178" descr="Bar graph with downward trend">
          <a:hlinkClick xmlns:r="http://schemas.openxmlformats.org/officeDocument/2006/relationships" r:id="rId138" tooltip="Benefit: 40 ton CO2/sq km/year (101/117); Average annual cost: 12000 $/sq km/year (48/117); Utility: 0.333 (48/117)"/>
          <a:extLst>
            <a:ext uri="{FF2B5EF4-FFF2-40B4-BE49-F238E27FC236}">
              <a16:creationId xmlns:a16="http://schemas.microsoft.com/office/drawing/2014/main" id="{B5290E12-6667-44F6-9BE9-6AB107E7A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4307170"/>
          <a:ext cx="222250" cy="227112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16</xdr:row>
      <xdr:rowOff>19152</xdr:rowOff>
    </xdr:from>
    <xdr:to>
      <xdr:col>42</xdr:col>
      <xdr:colOff>15875</xdr:colOff>
      <xdr:row>17</xdr:row>
      <xdr:rowOff>2142</xdr:rowOff>
    </xdr:to>
    <xdr:pic>
      <xdr:nvPicPr>
        <xdr:cNvPr id="180" name="Graphic 179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31878120-F2A4-4610-9A57-8C561DD84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4321277"/>
          <a:ext cx="230896" cy="21317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17</xdr:row>
      <xdr:rowOff>4935</xdr:rowOff>
    </xdr:from>
    <xdr:to>
      <xdr:col>11</xdr:col>
      <xdr:colOff>317500</xdr:colOff>
      <xdr:row>18</xdr:row>
      <xdr:rowOff>1860</xdr:rowOff>
    </xdr:to>
    <xdr:pic>
      <xdr:nvPicPr>
        <xdr:cNvPr id="181" name="Graphic 180" descr="Bar graph with downward trend">
          <a:hlinkClick xmlns:r="http://schemas.openxmlformats.org/officeDocument/2006/relationships" r:id="rId139" tooltip="Benefit: 100 ton CO2/sq km/year (84/117); Average annual cost: 15000 $/sq km/year (50/117); Utility: 0.667 (50/117)"/>
          <a:extLst>
            <a:ext uri="{FF2B5EF4-FFF2-40B4-BE49-F238E27FC236}">
              <a16:creationId xmlns:a16="http://schemas.microsoft.com/office/drawing/2014/main" id="{273F0458-7C71-41DA-A6CA-7599E8F8A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4537248"/>
          <a:ext cx="222250" cy="227112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17</xdr:row>
      <xdr:rowOff>19322</xdr:rowOff>
    </xdr:from>
    <xdr:to>
      <xdr:col>42</xdr:col>
      <xdr:colOff>15875</xdr:colOff>
      <xdr:row>18</xdr:row>
      <xdr:rowOff>2313</xdr:rowOff>
    </xdr:to>
    <xdr:pic>
      <xdr:nvPicPr>
        <xdr:cNvPr id="182" name="Graphic 181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C8A30B08-30F4-4D72-B2ED-1A05F6EE8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4551635"/>
          <a:ext cx="230896" cy="21317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18</xdr:row>
      <xdr:rowOff>4827</xdr:rowOff>
    </xdr:from>
    <xdr:to>
      <xdr:col>11</xdr:col>
      <xdr:colOff>317500</xdr:colOff>
      <xdr:row>19</xdr:row>
      <xdr:rowOff>1752</xdr:rowOff>
    </xdr:to>
    <xdr:pic>
      <xdr:nvPicPr>
        <xdr:cNvPr id="183" name="Graphic 182" descr="Bar graph with downward trend">
          <a:hlinkClick xmlns:r="http://schemas.openxmlformats.org/officeDocument/2006/relationships" r:id="rId140" tooltip="Benefit: 500 ton CO2/sq km/year (58/117); Average annual cost: 2000 $/sq km/year (30/117); Utility: 25 (30/117)"/>
          <a:extLst>
            <a:ext uri="{FF2B5EF4-FFF2-40B4-BE49-F238E27FC236}">
              <a16:creationId xmlns:a16="http://schemas.microsoft.com/office/drawing/2014/main" id="{F8E788CE-71FA-489F-ADA0-EAFF4CF62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4767327"/>
          <a:ext cx="222250" cy="227113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18</xdr:row>
      <xdr:rowOff>19492</xdr:rowOff>
    </xdr:from>
    <xdr:to>
      <xdr:col>42</xdr:col>
      <xdr:colOff>15875</xdr:colOff>
      <xdr:row>19</xdr:row>
      <xdr:rowOff>2482</xdr:rowOff>
    </xdr:to>
    <xdr:pic>
      <xdr:nvPicPr>
        <xdr:cNvPr id="184" name="Graphic 183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B3EE0EF7-9CE5-4FA5-B4C9-BD9CB2DCF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4781992"/>
          <a:ext cx="230896" cy="21317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19</xdr:row>
      <xdr:rowOff>4717</xdr:rowOff>
    </xdr:from>
    <xdr:to>
      <xdr:col>11</xdr:col>
      <xdr:colOff>317500</xdr:colOff>
      <xdr:row>20</xdr:row>
      <xdr:rowOff>1643</xdr:rowOff>
    </xdr:to>
    <xdr:pic>
      <xdr:nvPicPr>
        <xdr:cNvPr id="185" name="Graphic 184" descr="Bar graph with downward trend">
          <a:hlinkClick xmlns:r="http://schemas.openxmlformats.org/officeDocument/2006/relationships" r:id="rId141" tooltip="Benefit: 50 ton CO2/sq km/year (95/117); Average annual cost: 37000 $/sq km/year (63/117); Utility: 0.135 (63/117)"/>
          <a:extLst>
            <a:ext uri="{FF2B5EF4-FFF2-40B4-BE49-F238E27FC236}">
              <a16:creationId xmlns:a16="http://schemas.microsoft.com/office/drawing/2014/main" id="{81173E44-97E0-4A50-A34A-EE0B6DEBC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4997405"/>
          <a:ext cx="222250" cy="227113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19</xdr:row>
      <xdr:rowOff>19662</xdr:rowOff>
    </xdr:from>
    <xdr:to>
      <xdr:col>42</xdr:col>
      <xdr:colOff>15875</xdr:colOff>
      <xdr:row>20</xdr:row>
      <xdr:rowOff>2653</xdr:rowOff>
    </xdr:to>
    <xdr:pic>
      <xdr:nvPicPr>
        <xdr:cNvPr id="186" name="Graphic 185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D7B4B4D9-C2A3-4D62-BB56-4F6FFCB7F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5012350"/>
          <a:ext cx="230896" cy="21317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20</xdr:row>
      <xdr:rowOff>4609</xdr:rowOff>
    </xdr:from>
    <xdr:to>
      <xdr:col>11</xdr:col>
      <xdr:colOff>317500</xdr:colOff>
      <xdr:row>20</xdr:row>
      <xdr:rowOff>222196</xdr:rowOff>
    </xdr:to>
    <xdr:pic>
      <xdr:nvPicPr>
        <xdr:cNvPr id="187" name="Graphic 186" descr="Bar graph with downward trend">
          <a:hlinkClick xmlns:r="http://schemas.openxmlformats.org/officeDocument/2006/relationships" r:id="rId142" tooltip="Benefit: 300 ton CO2/sq km/year (71/117); Average annual cost: 42000 $/sq km/year (68/117); Utility: 0.714 (68/117)"/>
          <a:extLst>
            <a:ext uri="{FF2B5EF4-FFF2-40B4-BE49-F238E27FC236}">
              <a16:creationId xmlns:a16="http://schemas.microsoft.com/office/drawing/2014/main" id="{E45FCDE5-DE79-45DB-8472-E813A1C27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5227484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20</xdr:row>
      <xdr:rowOff>19832</xdr:rowOff>
    </xdr:from>
    <xdr:to>
      <xdr:col>42</xdr:col>
      <xdr:colOff>15875</xdr:colOff>
      <xdr:row>21</xdr:row>
      <xdr:rowOff>2822</xdr:rowOff>
    </xdr:to>
    <xdr:pic>
      <xdr:nvPicPr>
        <xdr:cNvPr id="188" name="Graphic 187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CD985D5F-C7BA-4531-9FB6-6D3C7F01B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5242707"/>
          <a:ext cx="230896" cy="21317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21</xdr:row>
      <xdr:rowOff>4499</xdr:rowOff>
    </xdr:from>
    <xdr:to>
      <xdr:col>11</xdr:col>
      <xdr:colOff>317500</xdr:colOff>
      <xdr:row>21</xdr:row>
      <xdr:rowOff>222086</xdr:rowOff>
    </xdr:to>
    <xdr:pic>
      <xdr:nvPicPr>
        <xdr:cNvPr id="189" name="Graphic 188" descr="Bar graph with downward trend">
          <a:hlinkClick xmlns:r="http://schemas.openxmlformats.org/officeDocument/2006/relationships" r:id="rId143" tooltip="Benefit: 200 ton CO2/sq km/year (74/117); Average annual cost: 42000 $/sq km/year (69/117); Utility: 0.476 (69/117)"/>
          <a:extLst>
            <a:ext uri="{FF2B5EF4-FFF2-40B4-BE49-F238E27FC236}">
              <a16:creationId xmlns:a16="http://schemas.microsoft.com/office/drawing/2014/main" id="{57382E25-FD52-4F76-A9A4-C5A66643D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5457562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21</xdr:row>
      <xdr:rowOff>20002</xdr:rowOff>
    </xdr:from>
    <xdr:to>
      <xdr:col>42</xdr:col>
      <xdr:colOff>15875</xdr:colOff>
      <xdr:row>22</xdr:row>
      <xdr:rowOff>2993</xdr:rowOff>
    </xdr:to>
    <xdr:pic>
      <xdr:nvPicPr>
        <xdr:cNvPr id="190" name="Graphic 189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9A9BCB93-0EE5-4123-9F3E-F9ACECDF0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5473065"/>
          <a:ext cx="230896" cy="21317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22</xdr:row>
      <xdr:rowOff>4391</xdr:rowOff>
    </xdr:from>
    <xdr:to>
      <xdr:col>11</xdr:col>
      <xdr:colOff>317500</xdr:colOff>
      <xdr:row>22</xdr:row>
      <xdr:rowOff>221979</xdr:rowOff>
    </xdr:to>
    <xdr:pic>
      <xdr:nvPicPr>
        <xdr:cNvPr id="191" name="Graphic 190" descr="Bar graph with downward trend">
          <a:hlinkClick xmlns:r="http://schemas.openxmlformats.org/officeDocument/2006/relationships" r:id="rId144" tooltip="Benefit: 500 ton CO2/sq km/year (59/117); Average annual cost: 14000 $/sq km/year (49/117); Utility: 3.571 (49/117)"/>
          <a:extLst>
            <a:ext uri="{FF2B5EF4-FFF2-40B4-BE49-F238E27FC236}">
              <a16:creationId xmlns:a16="http://schemas.microsoft.com/office/drawing/2014/main" id="{67282C28-C86C-402A-880E-504418717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5687641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22</xdr:row>
      <xdr:rowOff>20172</xdr:rowOff>
    </xdr:from>
    <xdr:to>
      <xdr:col>42</xdr:col>
      <xdr:colOff>15875</xdr:colOff>
      <xdr:row>23</xdr:row>
      <xdr:rowOff>3162</xdr:rowOff>
    </xdr:to>
    <xdr:pic>
      <xdr:nvPicPr>
        <xdr:cNvPr id="192" name="Graphic 191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2C2FDF01-298E-4613-B0B0-F2CD6AD43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5703422"/>
          <a:ext cx="230896" cy="21317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23</xdr:row>
      <xdr:rowOff>4281</xdr:rowOff>
    </xdr:from>
    <xdr:to>
      <xdr:col>11</xdr:col>
      <xdr:colOff>317500</xdr:colOff>
      <xdr:row>23</xdr:row>
      <xdr:rowOff>221869</xdr:rowOff>
    </xdr:to>
    <xdr:pic>
      <xdr:nvPicPr>
        <xdr:cNvPr id="193" name="Graphic 192" descr="Bar graph with downward trend">
          <a:hlinkClick xmlns:r="http://schemas.openxmlformats.org/officeDocument/2006/relationships" r:id="rId145" tooltip="Benefit: 50 ton CO2/sq km/year (96/117); Average annual cost: 42000 $/sq km/year (70/117); Utility: 0.119 (70/117)"/>
          <a:extLst>
            <a:ext uri="{FF2B5EF4-FFF2-40B4-BE49-F238E27FC236}">
              <a16:creationId xmlns:a16="http://schemas.microsoft.com/office/drawing/2014/main" id="{6BAF7052-5689-4EC6-97BE-C99F9D837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5917719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23</xdr:row>
      <xdr:rowOff>20342</xdr:rowOff>
    </xdr:from>
    <xdr:to>
      <xdr:col>42</xdr:col>
      <xdr:colOff>15875</xdr:colOff>
      <xdr:row>24</xdr:row>
      <xdr:rowOff>3333</xdr:rowOff>
    </xdr:to>
    <xdr:pic>
      <xdr:nvPicPr>
        <xdr:cNvPr id="194" name="Graphic 193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773057B0-94CB-47A2-A172-7311AEE2A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5933780"/>
          <a:ext cx="230896" cy="21317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24</xdr:row>
      <xdr:rowOff>4173</xdr:rowOff>
    </xdr:from>
    <xdr:to>
      <xdr:col>11</xdr:col>
      <xdr:colOff>317500</xdr:colOff>
      <xdr:row>24</xdr:row>
      <xdr:rowOff>221760</xdr:rowOff>
    </xdr:to>
    <xdr:pic>
      <xdr:nvPicPr>
        <xdr:cNvPr id="195" name="Graphic 194" descr="Bar graph with downward trend">
          <a:hlinkClick xmlns:r="http://schemas.openxmlformats.org/officeDocument/2006/relationships" r:id="rId146" tooltip="Benefit: 4000 ton CO2/sq km/year (26/117); Average annual cost: 3345000 $/sq km/year (113/117); Utility: 0.12 (113/117)"/>
          <a:extLst>
            <a:ext uri="{FF2B5EF4-FFF2-40B4-BE49-F238E27FC236}">
              <a16:creationId xmlns:a16="http://schemas.microsoft.com/office/drawing/2014/main" id="{1069269D-D0D2-49DA-AECD-1455F1D2D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6147798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24</xdr:row>
      <xdr:rowOff>20512</xdr:rowOff>
    </xdr:from>
    <xdr:to>
      <xdr:col>42</xdr:col>
      <xdr:colOff>15875</xdr:colOff>
      <xdr:row>25</xdr:row>
      <xdr:rowOff>3502</xdr:rowOff>
    </xdr:to>
    <xdr:pic>
      <xdr:nvPicPr>
        <xdr:cNvPr id="196" name="Graphic 195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28F486B9-D24E-4CFF-B249-42A30EB2D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6164137"/>
          <a:ext cx="230896" cy="21317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25</xdr:row>
      <xdr:rowOff>4063</xdr:rowOff>
    </xdr:from>
    <xdr:to>
      <xdr:col>11</xdr:col>
      <xdr:colOff>317500</xdr:colOff>
      <xdr:row>25</xdr:row>
      <xdr:rowOff>221650</xdr:rowOff>
    </xdr:to>
    <xdr:pic>
      <xdr:nvPicPr>
        <xdr:cNvPr id="197" name="Graphic 196" descr="Bar graph with downward trend">
          <a:hlinkClick xmlns:r="http://schemas.openxmlformats.org/officeDocument/2006/relationships" r:id="rId147" tooltip="Benefit: 2000 ton CO2/sq km/year (35/117); Average annual cost: 30000 $/sq km/year (54/117); Utility: 6.667 (54/117)"/>
          <a:extLst>
            <a:ext uri="{FF2B5EF4-FFF2-40B4-BE49-F238E27FC236}">
              <a16:creationId xmlns:a16="http://schemas.microsoft.com/office/drawing/2014/main" id="{4218304E-4CDF-4C4B-B893-F5552452F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6377876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25</xdr:row>
      <xdr:rowOff>20682</xdr:rowOff>
    </xdr:from>
    <xdr:to>
      <xdr:col>42</xdr:col>
      <xdr:colOff>15875</xdr:colOff>
      <xdr:row>26</xdr:row>
      <xdr:rowOff>3673</xdr:rowOff>
    </xdr:to>
    <xdr:pic>
      <xdr:nvPicPr>
        <xdr:cNvPr id="198" name="Graphic 197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24636EAB-0319-47A3-B2E9-A3CDFD877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6394495"/>
          <a:ext cx="230896" cy="21317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26</xdr:row>
      <xdr:rowOff>3955</xdr:rowOff>
    </xdr:from>
    <xdr:to>
      <xdr:col>11</xdr:col>
      <xdr:colOff>317500</xdr:colOff>
      <xdr:row>26</xdr:row>
      <xdr:rowOff>221543</xdr:rowOff>
    </xdr:to>
    <xdr:pic>
      <xdr:nvPicPr>
        <xdr:cNvPr id="199" name="Graphic 198" descr="Bar graph with downward trend">
          <a:hlinkClick xmlns:r="http://schemas.openxmlformats.org/officeDocument/2006/relationships" r:id="rId148" tooltip="Benefit: 500 ton CO2/sq km/year (60/117); Average annual cost: 40 $/sq km/year (2/117); Utility: 1250 (2/117)"/>
          <a:extLst>
            <a:ext uri="{FF2B5EF4-FFF2-40B4-BE49-F238E27FC236}">
              <a16:creationId xmlns:a16="http://schemas.microsoft.com/office/drawing/2014/main" id="{036D2765-6EA3-46B2-9ECA-C082C6891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6607955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26</xdr:row>
      <xdr:rowOff>20852</xdr:rowOff>
    </xdr:from>
    <xdr:to>
      <xdr:col>42</xdr:col>
      <xdr:colOff>15875</xdr:colOff>
      <xdr:row>27</xdr:row>
      <xdr:rowOff>3842</xdr:rowOff>
    </xdr:to>
    <xdr:pic>
      <xdr:nvPicPr>
        <xdr:cNvPr id="200" name="Graphic 199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0B29C31B-256A-494C-A586-440939F4C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6624852"/>
          <a:ext cx="230896" cy="21317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27</xdr:row>
      <xdr:rowOff>3845</xdr:rowOff>
    </xdr:from>
    <xdr:to>
      <xdr:col>11</xdr:col>
      <xdr:colOff>317500</xdr:colOff>
      <xdr:row>27</xdr:row>
      <xdr:rowOff>221433</xdr:rowOff>
    </xdr:to>
    <xdr:pic>
      <xdr:nvPicPr>
        <xdr:cNvPr id="201" name="Graphic 200" descr="Bar graph with downward trend">
          <a:hlinkClick xmlns:r="http://schemas.openxmlformats.org/officeDocument/2006/relationships" r:id="rId149" tooltip="Benefit: 5 ton CO2/sq km/year (116/117); Average annual cost: 100 $/sq km/year (20/117); Utility: 5 (20/117)"/>
          <a:extLst>
            <a:ext uri="{FF2B5EF4-FFF2-40B4-BE49-F238E27FC236}">
              <a16:creationId xmlns:a16="http://schemas.microsoft.com/office/drawing/2014/main" id="{7DC6EEEF-C49F-4AE6-A3F5-85816F4E2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6838033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27</xdr:row>
      <xdr:rowOff>21022</xdr:rowOff>
    </xdr:from>
    <xdr:to>
      <xdr:col>42</xdr:col>
      <xdr:colOff>15875</xdr:colOff>
      <xdr:row>28</xdr:row>
      <xdr:rowOff>7982</xdr:rowOff>
    </xdr:to>
    <xdr:pic>
      <xdr:nvPicPr>
        <xdr:cNvPr id="202" name="Graphic 201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0337624E-7A34-45B3-A7B4-EF02229B3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6855210"/>
          <a:ext cx="230896" cy="21714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28</xdr:row>
      <xdr:rowOff>3737</xdr:rowOff>
    </xdr:from>
    <xdr:to>
      <xdr:col>11</xdr:col>
      <xdr:colOff>317500</xdr:colOff>
      <xdr:row>28</xdr:row>
      <xdr:rowOff>221324</xdr:rowOff>
    </xdr:to>
    <xdr:pic>
      <xdr:nvPicPr>
        <xdr:cNvPr id="203" name="Graphic 202" descr="Bar graph with downward trend">
          <a:hlinkClick xmlns:r="http://schemas.openxmlformats.org/officeDocument/2006/relationships" r:id="rId150" tooltip="Benefit: 20 ton CO2/sq km/year (107/117); Average annual cost: 500 $/sq km/year (24/117); Utility: 4 (24/117)"/>
          <a:extLst>
            <a:ext uri="{FF2B5EF4-FFF2-40B4-BE49-F238E27FC236}">
              <a16:creationId xmlns:a16="http://schemas.microsoft.com/office/drawing/2014/main" id="{64389711-7455-4BC0-A445-B9724F4A4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7068112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28</xdr:row>
      <xdr:rowOff>21192</xdr:rowOff>
    </xdr:from>
    <xdr:to>
      <xdr:col>42</xdr:col>
      <xdr:colOff>15875</xdr:colOff>
      <xdr:row>29</xdr:row>
      <xdr:rowOff>8150</xdr:rowOff>
    </xdr:to>
    <xdr:pic>
      <xdr:nvPicPr>
        <xdr:cNvPr id="204" name="Graphic 203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1EE0B99F-DB5B-4363-B1AD-13E696F27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7085567"/>
          <a:ext cx="230896" cy="217146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29</xdr:row>
      <xdr:rowOff>21362</xdr:rowOff>
    </xdr:from>
    <xdr:to>
      <xdr:col>42</xdr:col>
      <xdr:colOff>15875</xdr:colOff>
      <xdr:row>30</xdr:row>
      <xdr:rowOff>8322</xdr:rowOff>
    </xdr:to>
    <xdr:pic>
      <xdr:nvPicPr>
        <xdr:cNvPr id="206" name="Graphic 205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2A6EC3B9-1A65-4F79-BB89-E3E6CDD8D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7315925"/>
          <a:ext cx="230896" cy="21714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30</xdr:row>
      <xdr:rowOff>3519</xdr:rowOff>
    </xdr:from>
    <xdr:to>
      <xdr:col>11</xdr:col>
      <xdr:colOff>317500</xdr:colOff>
      <xdr:row>30</xdr:row>
      <xdr:rowOff>221107</xdr:rowOff>
    </xdr:to>
    <xdr:pic>
      <xdr:nvPicPr>
        <xdr:cNvPr id="207" name="Graphic 206" descr="Bar graph with downward trend">
          <a:hlinkClick xmlns:r="http://schemas.openxmlformats.org/officeDocument/2006/relationships" r:id="rId151" tooltip="Benefit: 50 ton CO2/sq km/year (97/117); Average annual cost: 300 $/sq km/year (21/117); Utility: 16.667 (21/117)"/>
          <a:extLst>
            <a:ext uri="{FF2B5EF4-FFF2-40B4-BE49-F238E27FC236}">
              <a16:creationId xmlns:a16="http://schemas.microsoft.com/office/drawing/2014/main" id="{BB0DC690-EF47-463F-8F00-C0806440B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7528269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30</xdr:row>
      <xdr:rowOff>21532</xdr:rowOff>
    </xdr:from>
    <xdr:to>
      <xdr:col>42</xdr:col>
      <xdr:colOff>15875</xdr:colOff>
      <xdr:row>31</xdr:row>
      <xdr:rowOff>8491</xdr:rowOff>
    </xdr:to>
    <xdr:pic>
      <xdr:nvPicPr>
        <xdr:cNvPr id="208" name="Graphic 207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3C48BD3D-2ABA-4D49-81F5-8A19D7644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7546282"/>
          <a:ext cx="230896" cy="21714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31</xdr:row>
      <xdr:rowOff>3409</xdr:rowOff>
    </xdr:from>
    <xdr:to>
      <xdr:col>11</xdr:col>
      <xdr:colOff>317500</xdr:colOff>
      <xdr:row>31</xdr:row>
      <xdr:rowOff>220997</xdr:rowOff>
    </xdr:to>
    <xdr:pic>
      <xdr:nvPicPr>
        <xdr:cNvPr id="209" name="Graphic 208" descr="Bar graph with downward trend">
          <a:hlinkClick xmlns:r="http://schemas.openxmlformats.org/officeDocument/2006/relationships" r:id="rId152" tooltip="Benefit: 400 ton CO2/sq km/year (68/117); Average annual cost: 30000 $/sq km/year (55/117); Utility: 1.333 (55/117)"/>
          <a:extLst>
            <a:ext uri="{FF2B5EF4-FFF2-40B4-BE49-F238E27FC236}">
              <a16:creationId xmlns:a16="http://schemas.microsoft.com/office/drawing/2014/main" id="{9C9FDEFA-6B7E-4C70-AFA1-38F3FAAE3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7758347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31</xdr:row>
      <xdr:rowOff>21702</xdr:rowOff>
    </xdr:from>
    <xdr:to>
      <xdr:col>42</xdr:col>
      <xdr:colOff>15875</xdr:colOff>
      <xdr:row>32</xdr:row>
      <xdr:rowOff>8662</xdr:rowOff>
    </xdr:to>
    <xdr:pic>
      <xdr:nvPicPr>
        <xdr:cNvPr id="210" name="Graphic 209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95FC88FA-E295-415E-B76E-30150E6D9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7776640"/>
          <a:ext cx="230896" cy="21714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32</xdr:row>
      <xdr:rowOff>3301</xdr:rowOff>
    </xdr:from>
    <xdr:to>
      <xdr:col>11</xdr:col>
      <xdr:colOff>317500</xdr:colOff>
      <xdr:row>32</xdr:row>
      <xdr:rowOff>220888</xdr:rowOff>
    </xdr:to>
    <xdr:pic>
      <xdr:nvPicPr>
        <xdr:cNvPr id="211" name="Graphic 210" descr="Bar graph with downward trend">
          <a:hlinkClick xmlns:r="http://schemas.openxmlformats.org/officeDocument/2006/relationships" r:id="rId153" tooltip="Benefit: 100 ton CO2/sq km/year (85/117); Average annual cost: 1000 $/sq km/year (26/117); Utility: 10 (26/117)"/>
          <a:extLst>
            <a:ext uri="{FF2B5EF4-FFF2-40B4-BE49-F238E27FC236}">
              <a16:creationId xmlns:a16="http://schemas.microsoft.com/office/drawing/2014/main" id="{67AD8F9C-F8E4-4D97-A815-D5432D0F2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7988426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32</xdr:row>
      <xdr:rowOff>21872</xdr:rowOff>
    </xdr:from>
    <xdr:to>
      <xdr:col>42</xdr:col>
      <xdr:colOff>15875</xdr:colOff>
      <xdr:row>33</xdr:row>
      <xdr:rowOff>8830</xdr:rowOff>
    </xdr:to>
    <xdr:pic>
      <xdr:nvPicPr>
        <xdr:cNvPr id="212" name="Graphic 211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AD7D3E30-D405-4477-ABA2-F4066D955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8006997"/>
          <a:ext cx="230896" cy="217146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33</xdr:row>
      <xdr:rowOff>3191</xdr:rowOff>
    </xdr:from>
    <xdr:to>
      <xdr:col>11</xdr:col>
      <xdr:colOff>317500</xdr:colOff>
      <xdr:row>33</xdr:row>
      <xdr:rowOff>220778</xdr:rowOff>
    </xdr:to>
    <xdr:pic>
      <xdr:nvPicPr>
        <xdr:cNvPr id="213" name="Graphic 212" descr="Bar graph with downward trend">
          <a:hlinkClick xmlns:r="http://schemas.openxmlformats.org/officeDocument/2006/relationships" r:id="rId154" tooltip="Benefit: 20 ton CO2/sq km/year (108/117); Average annual cost: 40 $/sq km/year (3/117); Utility: 50 (3/117)"/>
          <a:extLst>
            <a:ext uri="{FF2B5EF4-FFF2-40B4-BE49-F238E27FC236}">
              <a16:creationId xmlns:a16="http://schemas.microsoft.com/office/drawing/2014/main" id="{9130361A-F124-48D5-99E7-E07417938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8218504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33</xdr:row>
      <xdr:rowOff>22042</xdr:rowOff>
    </xdr:from>
    <xdr:to>
      <xdr:col>42</xdr:col>
      <xdr:colOff>15875</xdr:colOff>
      <xdr:row>34</xdr:row>
      <xdr:rowOff>9002</xdr:rowOff>
    </xdr:to>
    <xdr:pic>
      <xdr:nvPicPr>
        <xdr:cNvPr id="214" name="Graphic 213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9AA51A85-143C-4443-A51C-6B5277CF1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8237355"/>
          <a:ext cx="230896" cy="21714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34</xdr:row>
      <xdr:rowOff>3083</xdr:rowOff>
    </xdr:from>
    <xdr:to>
      <xdr:col>11</xdr:col>
      <xdr:colOff>317500</xdr:colOff>
      <xdr:row>34</xdr:row>
      <xdr:rowOff>220671</xdr:rowOff>
    </xdr:to>
    <xdr:pic>
      <xdr:nvPicPr>
        <xdr:cNvPr id="215" name="Graphic 214" descr="Bar graph with downward trend">
          <a:hlinkClick xmlns:r="http://schemas.openxmlformats.org/officeDocument/2006/relationships" r:id="rId155" tooltip="Benefit: 100 ton CO2/sq km/year (86/117); Average annual cost: 3000 $/sq km/year (38/117); Utility: 3.333 (38/117)"/>
          <a:extLst>
            <a:ext uri="{FF2B5EF4-FFF2-40B4-BE49-F238E27FC236}">
              <a16:creationId xmlns:a16="http://schemas.microsoft.com/office/drawing/2014/main" id="{49C42B96-D6FA-4697-A5D4-49AF96C9E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8448583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34</xdr:row>
      <xdr:rowOff>22212</xdr:rowOff>
    </xdr:from>
    <xdr:to>
      <xdr:col>42</xdr:col>
      <xdr:colOff>15875</xdr:colOff>
      <xdr:row>35</xdr:row>
      <xdr:rowOff>9171</xdr:rowOff>
    </xdr:to>
    <xdr:pic>
      <xdr:nvPicPr>
        <xdr:cNvPr id="216" name="Graphic 215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A595A0BE-8C6A-490E-A680-9DA775775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8467712"/>
          <a:ext cx="230896" cy="21714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35</xdr:row>
      <xdr:rowOff>2973</xdr:rowOff>
    </xdr:from>
    <xdr:to>
      <xdr:col>11</xdr:col>
      <xdr:colOff>317500</xdr:colOff>
      <xdr:row>35</xdr:row>
      <xdr:rowOff>220561</xdr:rowOff>
    </xdr:to>
    <xdr:pic>
      <xdr:nvPicPr>
        <xdr:cNvPr id="217" name="Graphic 216" descr="Bar graph with downward trend">
          <a:hlinkClick xmlns:r="http://schemas.openxmlformats.org/officeDocument/2006/relationships" r:id="rId156" tooltip="Benefit: 100 ton CO2/sq km/year (87/117); Average annual cost: 2000 $/sq km/year (31/117); Utility: 5 (31/117)"/>
          <a:extLst>
            <a:ext uri="{FF2B5EF4-FFF2-40B4-BE49-F238E27FC236}">
              <a16:creationId xmlns:a16="http://schemas.microsoft.com/office/drawing/2014/main" id="{51631286-9602-4DE3-BEAB-5017AB583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8678661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35</xdr:row>
      <xdr:rowOff>22382</xdr:rowOff>
    </xdr:from>
    <xdr:to>
      <xdr:col>42</xdr:col>
      <xdr:colOff>15875</xdr:colOff>
      <xdr:row>36</xdr:row>
      <xdr:rowOff>9342</xdr:rowOff>
    </xdr:to>
    <xdr:pic>
      <xdr:nvPicPr>
        <xdr:cNvPr id="218" name="Graphic 217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B702169C-2F6A-4803-B9DE-F47A477D3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8698070"/>
          <a:ext cx="230896" cy="21714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36</xdr:row>
      <xdr:rowOff>2865</xdr:rowOff>
    </xdr:from>
    <xdr:to>
      <xdr:col>11</xdr:col>
      <xdr:colOff>317500</xdr:colOff>
      <xdr:row>36</xdr:row>
      <xdr:rowOff>220452</xdr:rowOff>
    </xdr:to>
    <xdr:pic>
      <xdr:nvPicPr>
        <xdr:cNvPr id="219" name="Graphic 218" descr="Bar graph with downward trend">
          <a:hlinkClick xmlns:r="http://schemas.openxmlformats.org/officeDocument/2006/relationships" r:id="rId157" tooltip="Benefit: 150 ton CO2/sq km/year (80/117); Average annual cost: 2000 $/sq km/year (32/117); Utility: 7.5 (32/117)"/>
          <a:extLst>
            <a:ext uri="{FF2B5EF4-FFF2-40B4-BE49-F238E27FC236}">
              <a16:creationId xmlns:a16="http://schemas.microsoft.com/office/drawing/2014/main" id="{BE4799CF-598D-436A-8FE3-0A7EDBE57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8908740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36</xdr:row>
      <xdr:rowOff>22552</xdr:rowOff>
    </xdr:from>
    <xdr:to>
      <xdr:col>42</xdr:col>
      <xdr:colOff>15875</xdr:colOff>
      <xdr:row>37</xdr:row>
      <xdr:rowOff>9510</xdr:rowOff>
    </xdr:to>
    <xdr:pic>
      <xdr:nvPicPr>
        <xdr:cNvPr id="220" name="Graphic 219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8566738F-2601-48CC-ABA5-67777B8B7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8928427"/>
          <a:ext cx="230896" cy="217146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37</xdr:row>
      <xdr:rowOff>2755</xdr:rowOff>
    </xdr:from>
    <xdr:to>
      <xdr:col>11</xdr:col>
      <xdr:colOff>317500</xdr:colOff>
      <xdr:row>37</xdr:row>
      <xdr:rowOff>220342</xdr:rowOff>
    </xdr:to>
    <xdr:pic>
      <xdr:nvPicPr>
        <xdr:cNvPr id="221" name="Graphic 220" descr="Bar graph with downward trend">
          <a:hlinkClick xmlns:r="http://schemas.openxmlformats.org/officeDocument/2006/relationships" r:id="rId158" tooltip="Benefit: 200 ton CO2/sq km/year (75/117); Average annual cost: 103000 $/sq km/year (80/117); Utility: 0.194 (80/117)"/>
          <a:extLst>
            <a:ext uri="{FF2B5EF4-FFF2-40B4-BE49-F238E27FC236}">
              <a16:creationId xmlns:a16="http://schemas.microsoft.com/office/drawing/2014/main" id="{8894EC4E-A061-4B85-B24A-AD5851FF7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9138818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37</xdr:row>
      <xdr:rowOff>22722</xdr:rowOff>
    </xdr:from>
    <xdr:to>
      <xdr:col>42</xdr:col>
      <xdr:colOff>15875</xdr:colOff>
      <xdr:row>38</xdr:row>
      <xdr:rowOff>9682</xdr:rowOff>
    </xdr:to>
    <xdr:pic>
      <xdr:nvPicPr>
        <xdr:cNvPr id="222" name="Graphic 221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41FE120F-46D6-43AF-9527-2FC26D534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9158785"/>
          <a:ext cx="230896" cy="21714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38</xdr:row>
      <xdr:rowOff>2647</xdr:rowOff>
    </xdr:from>
    <xdr:to>
      <xdr:col>11</xdr:col>
      <xdr:colOff>317500</xdr:colOff>
      <xdr:row>38</xdr:row>
      <xdr:rowOff>220235</xdr:rowOff>
    </xdr:to>
    <xdr:pic>
      <xdr:nvPicPr>
        <xdr:cNvPr id="223" name="Graphic 222" descr="Bar graph with downward trend">
          <a:hlinkClick xmlns:r="http://schemas.openxmlformats.org/officeDocument/2006/relationships" r:id="rId159" tooltip="Benefit: 170 ton CO2/sq km/year (79/117); Average annual cost: 87000 $/sq km/year (77/117); Utility: 0.195 (77/117)"/>
          <a:extLst>
            <a:ext uri="{FF2B5EF4-FFF2-40B4-BE49-F238E27FC236}">
              <a16:creationId xmlns:a16="http://schemas.microsoft.com/office/drawing/2014/main" id="{0764537C-0E1B-4B39-908E-906A64C8E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9368897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38</xdr:row>
      <xdr:rowOff>22892</xdr:rowOff>
    </xdr:from>
    <xdr:to>
      <xdr:col>42</xdr:col>
      <xdr:colOff>15875</xdr:colOff>
      <xdr:row>39</xdr:row>
      <xdr:rowOff>9851</xdr:rowOff>
    </xdr:to>
    <xdr:pic>
      <xdr:nvPicPr>
        <xdr:cNvPr id="224" name="Graphic 223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DA1DBA27-586B-4F7B-BBB2-C7134D707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9389142"/>
          <a:ext cx="230896" cy="21714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39</xdr:row>
      <xdr:rowOff>2537</xdr:rowOff>
    </xdr:from>
    <xdr:to>
      <xdr:col>11</xdr:col>
      <xdr:colOff>317500</xdr:colOff>
      <xdr:row>39</xdr:row>
      <xdr:rowOff>220125</xdr:rowOff>
    </xdr:to>
    <xdr:pic>
      <xdr:nvPicPr>
        <xdr:cNvPr id="225" name="Graphic 224" descr="Bar graph with downward trend">
          <a:hlinkClick xmlns:r="http://schemas.openxmlformats.org/officeDocument/2006/relationships" r:id="rId160" tooltip="Benefit: 10 ton CO2/sq km/year (114/117); Average annual cost: 24000 $/sq km/year (52/117); Utility: 0.042 (52/117)"/>
          <a:extLst>
            <a:ext uri="{FF2B5EF4-FFF2-40B4-BE49-F238E27FC236}">
              <a16:creationId xmlns:a16="http://schemas.microsoft.com/office/drawing/2014/main" id="{7FBA24E3-589C-4CB4-BFA2-3EAFAD87C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9598975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39</xdr:row>
      <xdr:rowOff>23062</xdr:rowOff>
    </xdr:from>
    <xdr:to>
      <xdr:col>42</xdr:col>
      <xdr:colOff>15875</xdr:colOff>
      <xdr:row>40</xdr:row>
      <xdr:rowOff>10022</xdr:rowOff>
    </xdr:to>
    <xdr:pic>
      <xdr:nvPicPr>
        <xdr:cNvPr id="226" name="Graphic 225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9AB5A36C-3BBC-4F8C-9D37-EA5B4C780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9619500"/>
          <a:ext cx="230896" cy="21714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40</xdr:row>
      <xdr:rowOff>2429</xdr:rowOff>
    </xdr:from>
    <xdr:to>
      <xdr:col>11</xdr:col>
      <xdr:colOff>317500</xdr:colOff>
      <xdr:row>40</xdr:row>
      <xdr:rowOff>220016</xdr:rowOff>
    </xdr:to>
    <xdr:pic>
      <xdr:nvPicPr>
        <xdr:cNvPr id="227" name="Graphic 226" descr="Bar graph with downward trend">
          <a:hlinkClick xmlns:r="http://schemas.openxmlformats.org/officeDocument/2006/relationships" r:id="rId161" tooltip="Benefit: 500 ton CO2/sq km/year (61/117); Average annual cost: 134000 $/sq km/year (83/117); Utility: 0.373 (83/117)"/>
          <a:extLst>
            <a:ext uri="{FF2B5EF4-FFF2-40B4-BE49-F238E27FC236}">
              <a16:creationId xmlns:a16="http://schemas.microsoft.com/office/drawing/2014/main" id="{BAD2DD41-6410-421D-8B69-C74AA89C5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9829054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40</xdr:row>
      <xdr:rowOff>23232</xdr:rowOff>
    </xdr:from>
    <xdr:to>
      <xdr:col>42</xdr:col>
      <xdr:colOff>15875</xdr:colOff>
      <xdr:row>41</xdr:row>
      <xdr:rowOff>10190</xdr:rowOff>
    </xdr:to>
    <xdr:pic>
      <xdr:nvPicPr>
        <xdr:cNvPr id="228" name="Graphic 227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83366663-2566-4FAE-8325-1BD27A75E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9849857"/>
          <a:ext cx="230896" cy="217146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41</xdr:row>
      <xdr:rowOff>2319</xdr:rowOff>
    </xdr:from>
    <xdr:to>
      <xdr:col>11</xdr:col>
      <xdr:colOff>317500</xdr:colOff>
      <xdr:row>41</xdr:row>
      <xdr:rowOff>219906</xdr:rowOff>
    </xdr:to>
    <xdr:pic>
      <xdr:nvPicPr>
        <xdr:cNvPr id="229" name="Graphic 228" descr="Bar graph with downward trend">
          <a:hlinkClick xmlns:r="http://schemas.openxmlformats.org/officeDocument/2006/relationships" r:id="rId162" tooltip="Benefit: 200 ton CO2/sq km/year (76/117); Average annual cost: 37000 $/sq km/year (64/117); Utility: 0.541 (64/117)"/>
          <a:extLst>
            <a:ext uri="{FF2B5EF4-FFF2-40B4-BE49-F238E27FC236}">
              <a16:creationId xmlns:a16="http://schemas.microsoft.com/office/drawing/2014/main" id="{952C05EC-4D14-4E88-B323-1E7510D3D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0059132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41</xdr:row>
      <xdr:rowOff>23402</xdr:rowOff>
    </xdr:from>
    <xdr:to>
      <xdr:col>42</xdr:col>
      <xdr:colOff>15875</xdr:colOff>
      <xdr:row>42</xdr:row>
      <xdr:rowOff>7981</xdr:rowOff>
    </xdr:to>
    <xdr:pic>
      <xdr:nvPicPr>
        <xdr:cNvPr id="230" name="Graphic 229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791CD907-755D-41ED-9A45-98E266FB2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0080215"/>
          <a:ext cx="230896" cy="214766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42</xdr:row>
      <xdr:rowOff>2211</xdr:rowOff>
    </xdr:from>
    <xdr:to>
      <xdr:col>11</xdr:col>
      <xdr:colOff>317500</xdr:colOff>
      <xdr:row>42</xdr:row>
      <xdr:rowOff>219799</xdr:rowOff>
    </xdr:to>
    <xdr:pic>
      <xdr:nvPicPr>
        <xdr:cNvPr id="231" name="Graphic 230" descr="Bar graph with downward trend">
          <a:hlinkClick xmlns:r="http://schemas.openxmlformats.org/officeDocument/2006/relationships" r:id="rId163" tooltip="Benefit: 100 ton CO2/sq km/year (88/117); Average annual cost: 23000 $/sq km/year (51/117); Utility: 0.435 (51/117)"/>
          <a:extLst>
            <a:ext uri="{FF2B5EF4-FFF2-40B4-BE49-F238E27FC236}">
              <a16:creationId xmlns:a16="http://schemas.microsoft.com/office/drawing/2014/main" id="{5037A896-FF1B-4EB6-8EA1-0D19FF91D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0289211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43</xdr:row>
      <xdr:rowOff>2101</xdr:rowOff>
    </xdr:from>
    <xdr:to>
      <xdr:col>11</xdr:col>
      <xdr:colOff>317500</xdr:colOff>
      <xdr:row>43</xdr:row>
      <xdr:rowOff>219689</xdr:rowOff>
    </xdr:to>
    <xdr:pic>
      <xdr:nvPicPr>
        <xdr:cNvPr id="233" name="Graphic 232" descr="Bar graph with downward trend">
          <a:hlinkClick xmlns:r="http://schemas.openxmlformats.org/officeDocument/2006/relationships" r:id="rId164" tooltip="Benefit: 130 ton CO2/sq km/year (81/117); Average annual cost: 53000 $/sq km/year (71/117); Utility: 0.245 (71/117)"/>
          <a:extLst>
            <a:ext uri="{FF2B5EF4-FFF2-40B4-BE49-F238E27FC236}">
              <a16:creationId xmlns:a16="http://schemas.microsoft.com/office/drawing/2014/main" id="{150A42B0-3B1D-46AC-81AA-5A852FF64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0519289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44</xdr:row>
      <xdr:rowOff>1993</xdr:rowOff>
    </xdr:from>
    <xdr:to>
      <xdr:col>11</xdr:col>
      <xdr:colOff>317500</xdr:colOff>
      <xdr:row>44</xdr:row>
      <xdr:rowOff>219580</xdr:rowOff>
    </xdr:to>
    <xdr:pic>
      <xdr:nvPicPr>
        <xdr:cNvPr id="235" name="Graphic 234" descr="Bar graph with downward trend">
          <a:hlinkClick xmlns:r="http://schemas.openxmlformats.org/officeDocument/2006/relationships" r:id="rId165" tooltip="Benefit: 100 ton CO2/sq km/year (89/117); Average annual cost: 82000 $/sq km/year (76/117); Utility: 0.122 (76/117)"/>
          <a:extLst>
            <a:ext uri="{FF2B5EF4-FFF2-40B4-BE49-F238E27FC236}">
              <a16:creationId xmlns:a16="http://schemas.microsoft.com/office/drawing/2014/main" id="{85C290AC-20AA-423F-B11F-AFD7C1B9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0749368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45</xdr:row>
      <xdr:rowOff>1883</xdr:rowOff>
    </xdr:from>
    <xdr:to>
      <xdr:col>11</xdr:col>
      <xdr:colOff>317500</xdr:colOff>
      <xdr:row>45</xdr:row>
      <xdr:rowOff>219470</xdr:rowOff>
    </xdr:to>
    <xdr:pic>
      <xdr:nvPicPr>
        <xdr:cNvPr id="237" name="Graphic 236" descr="Bar graph with downward trend">
          <a:hlinkClick xmlns:r="http://schemas.openxmlformats.org/officeDocument/2006/relationships" r:id="rId166" tooltip="Benefit: 50 ton CO2/sq km/year (98/117); Average annual cost: 1000 $/sq km/year (27/117); Utility: 5 (27/117)"/>
          <a:extLst>
            <a:ext uri="{FF2B5EF4-FFF2-40B4-BE49-F238E27FC236}">
              <a16:creationId xmlns:a16="http://schemas.microsoft.com/office/drawing/2014/main" id="{6574EA48-B505-46C4-B73E-8D5F7C8DF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0979446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46</xdr:row>
      <xdr:rowOff>1775</xdr:rowOff>
    </xdr:from>
    <xdr:to>
      <xdr:col>11</xdr:col>
      <xdr:colOff>317500</xdr:colOff>
      <xdr:row>46</xdr:row>
      <xdr:rowOff>219363</xdr:rowOff>
    </xdr:to>
    <xdr:pic>
      <xdr:nvPicPr>
        <xdr:cNvPr id="239" name="Graphic 238" descr="Bar graph with downward trend">
          <a:hlinkClick xmlns:r="http://schemas.openxmlformats.org/officeDocument/2006/relationships" r:id="rId167" tooltip="Benefit: 100 ton CO2/sq km/year (90/117); Average annual cost: 2000 $/sq km/year (33/117); Utility: 5 (33/117)"/>
          <a:extLst>
            <a:ext uri="{FF2B5EF4-FFF2-40B4-BE49-F238E27FC236}">
              <a16:creationId xmlns:a16="http://schemas.microsoft.com/office/drawing/2014/main" id="{C32480A1-6C78-439C-9754-B9B93FF96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1209525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47</xdr:row>
      <xdr:rowOff>1665</xdr:rowOff>
    </xdr:from>
    <xdr:to>
      <xdr:col>11</xdr:col>
      <xdr:colOff>317500</xdr:colOff>
      <xdr:row>47</xdr:row>
      <xdr:rowOff>219253</xdr:rowOff>
    </xdr:to>
    <xdr:pic>
      <xdr:nvPicPr>
        <xdr:cNvPr id="241" name="Graphic 240" descr="Bar graph with downward trend">
          <a:hlinkClick xmlns:r="http://schemas.openxmlformats.org/officeDocument/2006/relationships" r:id="rId168" tooltip="Benefit: 100 ton CO2/sq km/year (91/117); Average annual cost: 40 $/sq km/year (4/117); Utility: 250 (4/117)"/>
          <a:extLst>
            <a:ext uri="{FF2B5EF4-FFF2-40B4-BE49-F238E27FC236}">
              <a16:creationId xmlns:a16="http://schemas.microsoft.com/office/drawing/2014/main" id="{2A41EC77-87F9-467E-B23C-BA0AF9375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1439603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48</xdr:row>
      <xdr:rowOff>1557</xdr:rowOff>
    </xdr:from>
    <xdr:to>
      <xdr:col>11</xdr:col>
      <xdr:colOff>317500</xdr:colOff>
      <xdr:row>48</xdr:row>
      <xdr:rowOff>219144</xdr:rowOff>
    </xdr:to>
    <xdr:pic>
      <xdr:nvPicPr>
        <xdr:cNvPr id="243" name="Graphic 242" descr="Bar graph with downward trend">
          <a:hlinkClick xmlns:r="http://schemas.openxmlformats.org/officeDocument/2006/relationships" r:id="rId169" tooltip="Benefit: 250 ton CO2/sq km/year (72/117); Average annual cost: 40 $/sq km/year (5/117); Utility: 625 (5/117)"/>
          <a:extLst>
            <a:ext uri="{FF2B5EF4-FFF2-40B4-BE49-F238E27FC236}">
              <a16:creationId xmlns:a16="http://schemas.microsoft.com/office/drawing/2014/main" id="{C0A30E1E-EE97-4C49-81DF-7134AB693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1669682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49</xdr:row>
      <xdr:rowOff>1447</xdr:rowOff>
    </xdr:from>
    <xdr:to>
      <xdr:col>11</xdr:col>
      <xdr:colOff>317500</xdr:colOff>
      <xdr:row>49</xdr:row>
      <xdr:rowOff>219034</xdr:rowOff>
    </xdr:to>
    <xdr:pic>
      <xdr:nvPicPr>
        <xdr:cNvPr id="245" name="Graphic 244" descr="Bar graph with downward trend">
          <a:hlinkClick xmlns:r="http://schemas.openxmlformats.org/officeDocument/2006/relationships" r:id="rId170" tooltip="Benefit: 80 ton CO2/sq km/year (93/117); Average annual cost: 3000 $/sq km/year (39/117); Utility: 2.667 (39/117)"/>
          <a:extLst>
            <a:ext uri="{FF2B5EF4-FFF2-40B4-BE49-F238E27FC236}">
              <a16:creationId xmlns:a16="http://schemas.microsoft.com/office/drawing/2014/main" id="{50AC4104-16A5-49ED-8F92-5AE98C2C8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1899760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50</xdr:row>
      <xdr:rowOff>1339</xdr:rowOff>
    </xdr:from>
    <xdr:to>
      <xdr:col>11</xdr:col>
      <xdr:colOff>317500</xdr:colOff>
      <xdr:row>50</xdr:row>
      <xdr:rowOff>218927</xdr:rowOff>
    </xdr:to>
    <xdr:pic>
      <xdr:nvPicPr>
        <xdr:cNvPr id="247" name="Graphic 246" descr="Bar graph with downward trend">
          <a:hlinkClick xmlns:r="http://schemas.openxmlformats.org/officeDocument/2006/relationships" r:id="rId171" tooltip="Benefit: 2000 ton CO2/sq km/year (36/117); Average annual cost: 182000 $/sq km/year (93/117); Utility: 1.099 (93/117)"/>
          <a:extLst>
            <a:ext uri="{FF2B5EF4-FFF2-40B4-BE49-F238E27FC236}">
              <a16:creationId xmlns:a16="http://schemas.microsoft.com/office/drawing/2014/main" id="{1CB8961D-3445-4E5C-A51C-B673B7A95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2129839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51</xdr:row>
      <xdr:rowOff>1229</xdr:rowOff>
    </xdr:from>
    <xdr:to>
      <xdr:col>11</xdr:col>
      <xdr:colOff>317500</xdr:colOff>
      <xdr:row>51</xdr:row>
      <xdr:rowOff>218817</xdr:rowOff>
    </xdr:to>
    <xdr:pic>
      <xdr:nvPicPr>
        <xdr:cNvPr id="249" name="Graphic 248" descr="Bar graph with downward trend">
          <a:hlinkClick xmlns:r="http://schemas.openxmlformats.org/officeDocument/2006/relationships" r:id="rId172" tooltip="Benefit: 30 ton CO2/sq km/year (104/117); Average annual cost: 2000 $/sq km/year (34/117); Utility: 1.5 (34/117)"/>
          <a:extLst>
            <a:ext uri="{FF2B5EF4-FFF2-40B4-BE49-F238E27FC236}">
              <a16:creationId xmlns:a16="http://schemas.microsoft.com/office/drawing/2014/main" id="{330FD54A-E704-4163-9E0F-7255C3ACD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2359917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52</xdr:row>
      <xdr:rowOff>1121</xdr:rowOff>
    </xdr:from>
    <xdr:to>
      <xdr:col>11</xdr:col>
      <xdr:colOff>317500</xdr:colOff>
      <xdr:row>52</xdr:row>
      <xdr:rowOff>218708</xdr:rowOff>
    </xdr:to>
    <xdr:pic>
      <xdr:nvPicPr>
        <xdr:cNvPr id="251" name="Graphic 250" descr="Bar graph with downward trend">
          <a:hlinkClick xmlns:r="http://schemas.openxmlformats.org/officeDocument/2006/relationships" r:id="rId173" tooltip="Benefit: 10 ton CO2/sq km/year (115/117); Average annual cost: 3000 $/sq km/year (40/117); Utility: 0.333 (40/117)"/>
          <a:extLst>
            <a:ext uri="{FF2B5EF4-FFF2-40B4-BE49-F238E27FC236}">
              <a16:creationId xmlns:a16="http://schemas.microsoft.com/office/drawing/2014/main" id="{4CF27AC9-AA86-4F4B-BE4D-F24F6BD3F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2589996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53</xdr:row>
      <xdr:rowOff>1011</xdr:rowOff>
    </xdr:from>
    <xdr:to>
      <xdr:col>11</xdr:col>
      <xdr:colOff>317500</xdr:colOff>
      <xdr:row>53</xdr:row>
      <xdr:rowOff>218598</xdr:rowOff>
    </xdr:to>
    <xdr:pic>
      <xdr:nvPicPr>
        <xdr:cNvPr id="253" name="Graphic 252" descr="Bar graph with downward trend">
          <a:hlinkClick xmlns:r="http://schemas.openxmlformats.org/officeDocument/2006/relationships" r:id="rId174" tooltip="Benefit: 190 ton CO2/sq km/year (78/117); Average annual cost: 2000 $/sq km/year (35/117); Utility: 9.5 (35/117)"/>
          <a:extLst>
            <a:ext uri="{FF2B5EF4-FFF2-40B4-BE49-F238E27FC236}">
              <a16:creationId xmlns:a16="http://schemas.microsoft.com/office/drawing/2014/main" id="{C2F8E7A3-626D-4824-9E2A-E393D9BB4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2820074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54</xdr:row>
      <xdr:rowOff>903</xdr:rowOff>
    </xdr:from>
    <xdr:to>
      <xdr:col>11</xdr:col>
      <xdr:colOff>317500</xdr:colOff>
      <xdr:row>54</xdr:row>
      <xdr:rowOff>218491</xdr:rowOff>
    </xdr:to>
    <xdr:pic>
      <xdr:nvPicPr>
        <xdr:cNvPr id="255" name="Graphic 254" descr="Bar graph with downward trend">
          <a:hlinkClick xmlns:r="http://schemas.openxmlformats.org/officeDocument/2006/relationships" r:id="rId175" tooltip="Benefit: 50 ton CO2/sq km/year (99/117); Average annual cost: 11000 $/sq km/year (47/117); Utility: 0.455 (47/117)"/>
          <a:extLst>
            <a:ext uri="{FF2B5EF4-FFF2-40B4-BE49-F238E27FC236}">
              <a16:creationId xmlns:a16="http://schemas.microsoft.com/office/drawing/2014/main" id="{DAE52D2D-576D-4B59-9D45-1F417A2B1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3050153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55</xdr:row>
      <xdr:rowOff>793</xdr:rowOff>
    </xdr:from>
    <xdr:to>
      <xdr:col>11</xdr:col>
      <xdr:colOff>317500</xdr:colOff>
      <xdr:row>55</xdr:row>
      <xdr:rowOff>218381</xdr:rowOff>
    </xdr:to>
    <xdr:pic>
      <xdr:nvPicPr>
        <xdr:cNvPr id="257" name="Graphic 256" descr="Bar graph with downward trend">
          <a:hlinkClick xmlns:r="http://schemas.openxmlformats.org/officeDocument/2006/relationships" r:id="rId176" tooltip="Benefit: 15 ton CO2/sq km/year (111/117); Average annual cost: 2000 $/sq km/year (36/117); Utility: 0.75 (36/117)"/>
          <a:extLst>
            <a:ext uri="{FF2B5EF4-FFF2-40B4-BE49-F238E27FC236}">
              <a16:creationId xmlns:a16="http://schemas.microsoft.com/office/drawing/2014/main" id="{34873817-AA23-423E-88F2-96D38A8C6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3280231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56</xdr:row>
      <xdr:rowOff>685</xdr:rowOff>
    </xdr:from>
    <xdr:to>
      <xdr:col>11</xdr:col>
      <xdr:colOff>317500</xdr:colOff>
      <xdr:row>56</xdr:row>
      <xdr:rowOff>218272</xdr:rowOff>
    </xdr:to>
    <xdr:pic>
      <xdr:nvPicPr>
        <xdr:cNvPr id="259" name="Graphic 258" descr="Bar graph with downward trend">
          <a:hlinkClick xmlns:r="http://schemas.openxmlformats.org/officeDocument/2006/relationships" r:id="rId177" tooltip="Benefit: 20 ton CO2/sq km/year (109/117); Average annual cost: 2000 $/sq km/year (37/117); Utility: 1 (37/117)"/>
          <a:extLst>
            <a:ext uri="{FF2B5EF4-FFF2-40B4-BE49-F238E27FC236}">
              <a16:creationId xmlns:a16="http://schemas.microsoft.com/office/drawing/2014/main" id="{7C56115B-154F-442D-8E1C-3FEB4EED5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3510310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57</xdr:row>
      <xdr:rowOff>575</xdr:rowOff>
    </xdr:from>
    <xdr:to>
      <xdr:col>11</xdr:col>
      <xdr:colOff>317500</xdr:colOff>
      <xdr:row>57</xdr:row>
      <xdr:rowOff>218162</xdr:rowOff>
    </xdr:to>
    <xdr:pic>
      <xdr:nvPicPr>
        <xdr:cNvPr id="261" name="Graphic 260" descr="Bar graph with downward trend">
          <a:hlinkClick xmlns:r="http://schemas.openxmlformats.org/officeDocument/2006/relationships" r:id="rId178" tooltip="Benefit: 30 ton CO2/sq km/year (105/117); Average annual cost: 116000 $/sq km/year (81/117); Utility: 0.026 (81/117)"/>
          <a:extLst>
            <a:ext uri="{FF2B5EF4-FFF2-40B4-BE49-F238E27FC236}">
              <a16:creationId xmlns:a16="http://schemas.microsoft.com/office/drawing/2014/main" id="{4F033B34-400E-4EE8-B9E6-EFFCB64D7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3740388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58</xdr:row>
      <xdr:rowOff>467</xdr:rowOff>
    </xdr:from>
    <xdr:to>
      <xdr:col>11</xdr:col>
      <xdr:colOff>317500</xdr:colOff>
      <xdr:row>58</xdr:row>
      <xdr:rowOff>218055</xdr:rowOff>
    </xdr:to>
    <xdr:pic>
      <xdr:nvPicPr>
        <xdr:cNvPr id="263" name="Graphic 262" descr="Bar graph with downward trend">
          <a:hlinkClick xmlns:r="http://schemas.openxmlformats.org/officeDocument/2006/relationships" r:id="rId179" tooltip="Benefit: 5 ton CO2/sq km/year (117/117); Average annual cost: 70000 $/sq km/year (73/117); Utility: 0.007 (73/117)"/>
          <a:extLst>
            <a:ext uri="{FF2B5EF4-FFF2-40B4-BE49-F238E27FC236}">
              <a16:creationId xmlns:a16="http://schemas.microsoft.com/office/drawing/2014/main" id="{DA592BED-AF11-4979-B70E-F2CF04255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3970467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59</xdr:row>
      <xdr:rowOff>357</xdr:rowOff>
    </xdr:from>
    <xdr:to>
      <xdr:col>11</xdr:col>
      <xdr:colOff>317500</xdr:colOff>
      <xdr:row>59</xdr:row>
      <xdr:rowOff>217945</xdr:rowOff>
    </xdr:to>
    <xdr:pic>
      <xdr:nvPicPr>
        <xdr:cNvPr id="265" name="Graphic 264" descr="Bar graph with downward trend">
          <a:hlinkClick xmlns:r="http://schemas.openxmlformats.org/officeDocument/2006/relationships" r:id="rId180" tooltip="Benefit: 40 ton CO2/sq km/year (102/117); Average annual cost: 73000 $/sq km/year (74/117); Utility: 0.055 (74/117)"/>
          <a:extLst>
            <a:ext uri="{FF2B5EF4-FFF2-40B4-BE49-F238E27FC236}">
              <a16:creationId xmlns:a16="http://schemas.microsoft.com/office/drawing/2014/main" id="{7C11DFD9-DB2D-4697-8136-45D88F7C7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4200545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60</xdr:row>
      <xdr:rowOff>249</xdr:rowOff>
    </xdr:from>
    <xdr:to>
      <xdr:col>11</xdr:col>
      <xdr:colOff>317500</xdr:colOff>
      <xdr:row>60</xdr:row>
      <xdr:rowOff>217836</xdr:rowOff>
    </xdr:to>
    <xdr:pic>
      <xdr:nvPicPr>
        <xdr:cNvPr id="267" name="Graphic 266" descr="Bar graph with downward trend">
          <a:hlinkClick xmlns:r="http://schemas.openxmlformats.org/officeDocument/2006/relationships" r:id="rId181" tooltip="Benefit: 20 ton CO2/sq km/year (110/117); Average annual cost: 40 $/sq km/year (6/117); Utility: 50 (6/117)"/>
          <a:extLst>
            <a:ext uri="{FF2B5EF4-FFF2-40B4-BE49-F238E27FC236}">
              <a16:creationId xmlns:a16="http://schemas.microsoft.com/office/drawing/2014/main" id="{C1467E33-AEAB-4127-8A73-079FAFB58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4430624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61</xdr:row>
      <xdr:rowOff>139</xdr:rowOff>
    </xdr:from>
    <xdr:to>
      <xdr:col>11</xdr:col>
      <xdr:colOff>317500</xdr:colOff>
      <xdr:row>61</xdr:row>
      <xdr:rowOff>217726</xdr:rowOff>
    </xdr:to>
    <xdr:pic>
      <xdr:nvPicPr>
        <xdr:cNvPr id="269" name="Graphic 268" descr="Bar graph with downward trend">
          <a:hlinkClick xmlns:r="http://schemas.openxmlformats.org/officeDocument/2006/relationships" r:id="rId182" tooltip="Benefit: 500 ton CO2/sq km/year (62/117); Average annual cost: 1078000 $/sq km/year (106/117); Utility: 0.046 (106/117)"/>
          <a:extLst>
            <a:ext uri="{FF2B5EF4-FFF2-40B4-BE49-F238E27FC236}">
              <a16:creationId xmlns:a16="http://schemas.microsoft.com/office/drawing/2014/main" id="{D33CFEE3-0AA3-4965-A14A-A053094AC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4660702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62</xdr:row>
      <xdr:rowOff>31</xdr:rowOff>
    </xdr:from>
    <xdr:to>
      <xdr:col>11</xdr:col>
      <xdr:colOff>317500</xdr:colOff>
      <xdr:row>62</xdr:row>
      <xdr:rowOff>217619</xdr:rowOff>
    </xdr:to>
    <xdr:pic>
      <xdr:nvPicPr>
        <xdr:cNvPr id="271" name="Graphic 270" descr="Bar graph with downward trend">
          <a:hlinkClick xmlns:r="http://schemas.openxmlformats.org/officeDocument/2006/relationships" r:id="rId183" tooltip="Benefit: 500 ton CO2/sq km/year (63/117); Average annual cost: 6000 $/sq km/year (45/117); Utility: 8.333 (45/117)"/>
          <a:extLst>
            <a:ext uri="{FF2B5EF4-FFF2-40B4-BE49-F238E27FC236}">
              <a16:creationId xmlns:a16="http://schemas.microsoft.com/office/drawing/2014/main" id="{269585CC-E7C6-4058-8719-EF6757F72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4890781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62</xdr:row>
      <xdr:rowOff>230109</xdr:rowOff>
    </xdr:from>
    <xdr:to>
      <xdr:col>11</xdr:col>
      <xdr:colOff>317500</xdr:colOff>
      <xdr:row>63</xdr:row>
      <xdr:rowOff>217509</xdr:rowOff>
    </xdr:to>
    <xdr:pic>
      <xdr:nvPicPr>
        <xdr:cNvPr id="273" name="Graphic 272" descr="Bar graph with downward trend">
          <a:hlinkClick xmlns:r="http://schemas.openxmlformats.org/officeDocument/2006/relationships" r:id="rId184" tooltip="Benefit: 5000 ton CO2/sq km/year (15/117); Average annual cost: 172000 $/sq km/year (92/117); Utility: 2.907 (92/117)"/>
          <a:extLst>
            <a:ext uri="{FF2B5EF4-FFF2-40B4-BE49-F238E27FC236}">
              <a16:creationId xmlns:a16="http://schemas.microsoft.com/office/drawing/2014/main" id="{2059506A-2335-44E7-876B-A06D64E61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5120859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63</xdr:row>
      <xdr:rowOff>230000</xdr:rowOff>
    </xdr:from>
    <xdr:to>
      <xdr:col>11</xdr:col>
      <xdr:colOff>317500</xdr:colOff>
      <xdr:row>64</xdr:row>
      <xdr:rowOff>217400</xdr:rowOff>
    </xdr:to>
    <xdr:pic>
      <xdr:nvPicPr>
        <xdr:cNvPr id="275" name="Graphic 274" descr="Bar graph with downward trend">
          <a:hlinkClick xmlns:r="http://schemas.openxmlformats.org/officeDocument/2006/relationships" r:id="rId185" tooltip="Benefit: 5000 ton CO2/sq km/year (16/117); Average annual cost: 35000 $/sq km/year (60/117); Utility: 14.286 (60/117)"/>
          <a:extLst>
            <a:ext uri="{FF2B5EF4-FFF2-40B4-BE49-F238E27FC236}">
              <a16:creationId xmlns:a16="http://schemas.microsoft.com/office/drawing/2014/main" id="{8E6DB794-1E90-494B-9D83-14486AD6A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5350938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64</xdr:row>
      <xdr:rowOff>229891</xdr:rowOff>
    </xdr:from>
    <xdr:to>
      <xdr:col>11</xdr:col>
      <xdr:colOff>317500</xdr:colOff>
      <xdr:row>65</xdr:row>
      <xdr:rowOff>217290</xdr:rowOff>
    </xdr:to>
    <xdr:pic>
      <xdr:nvPicPr>
        <xdr:cNvPr id="277" name="Graphic 276" descr="Bar graph with downward trend">
          <a:hlinkClick xmlns:r="http://schemas.openxmlformats.org/officeDocument/2006/relationships" r:id="rId186" tooltip="Benefit: 20000 ton CO2/sq km/year (10/117); Average annual cost: 168000 $/sq km/year (91/117); Utility: 11.905 (91/117)"/>
          <a:extLst>
            <a:ext uri="{FF2B5EF4-FFF2-40B4-BE49-F238E27FC236}">
              <a16:creationId xmlns:a16="http://schemas.microsoft.com/office/drawing/2014/main" id="{1D9F46CB-0E8F-435D-A429-B26419725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5581016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65</xdr:row>
      <xdr:rowOff>229782</xdr:rowOff>
    </xdr:from>
    <xdr:to>
      <xdr:col>11</xdr:col>
      <xdr:colOff>317500</xdr:colOff>
      <xdr:row>66</xdr:row>
      <xdr:rowOff>217183</xdr:rowOff>
    </xdr:to>
    <xdr:pic>
      <xdr:nvPicPr>
        <xdr:cNvPr id="279" name="Graphic 278" descr="Bar graph with downward trend">
          <a:hlinkClick xmlns:r="http://schemas.openxmlformats.org/officeDocument/2006/relationships" r:id="rId187" tooltip="Benefit: 5000 ton CO2/sq km/year (17/117); Average annual cost: 34000 $/sq km/year (59/117); Utility: 14.706 (59/117)"/>
          <a:extLst>
            <a:ext uri="{FF2B5EF4-FFF2-40B4-BE49-F238E27FC236}">
              <a16:creationId xmlns:a16="http://schemas.microsoft.com/office/drawing/2014/main" id="{5001E192-8F72-4D95-8BED-D0940DD7F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5811095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66</xdr:row>
      <xdr:rowOff>229673</xdr:rowOff>
    </xdr:from>
    <xdr:to>
      <xdr:col>11</xdr:col>
      <xdr:colOff>317500</xdr:colOff>
      <xdr:row>67</xdr:row>
      <xdr:rowOff>217073</xdr:rowOff>
    </xdr:to>
    <xdr:pic>
      <xdr:nvPicPr>
        <xdr:cNvPr id="281" name="Graphic 280" descr="Bar graph with downward trend">
          <a:hlinkClick xmlns:r="http://schemas.openxmlformats.org/officeDocument/2006/relationships" r:id="rId188" tooltip="Benefit: 5000 ton CO2/sq km/year (18/117); Average annual cost: 5000 $/sq km/year (43/117); Utility: 100 (43/117)"/>
          <a:extLst>
            <a:ext uri="{FF2B5EF4-FFF2-40B4-BE49-F238E27FC236}">
              <a16:creationId xmlns:a16="http://schemas.microsoft.com/office/drawing/2014/main" id="{DDA9B19C-CCC1-4F9D-8FFE-7AD5FD429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6041173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67</xdr:row>
      <xdr:rowOff>229564</xdr:rowOff>
    </xdr:from>
    <xdr:to>
      <xdr:col>11</xdr:col>
      <xdr:colOff>317500</xdr:colOff>
      <xdr:row>68</xdr:row>
      <xdr:rowOff>216964</xdr:rowOff>
    </xdr:to>
    <xdr:pic>
      <xdr:nvPicPr>
        <xdr:cNvPr id="283" name="Graphic 282" descr="Bar graph with downward trend">
          <a:hlinkClick xmlns:r="http://schemas.openxmlformats.org/officeDocument/2006/relationships" r:id="rId189" tooltip="Benefit: 500 ton CO2/sq km/year (64/117); Average annual cost: 5000 $/sq km/year (44/117); Utility: 10 (44/117)"/>
          <a:extLst>
            <a:ext uri="{FF2B5EF4-FFF2-40B4-BE49-F238E27FC236}">
              <a16:creationId xmlns:a16="http://schemas.microsoft.com/office/drawing/2014/main" id="{4BB4B9E1-1938-46EC-ACB2-90D894EBF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6271252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68</xdr:row>
      <xdr:rowOff>229455</xdr:rowOff>
    </xdr:from>
    <xdr:to>
      <xdr:col>11</xdr:col>
      <xdr:colOff>317500</xdr:colOff>
      <xdr:row>69</xdr:row>
      <xdr:rowOff>216854</xdr:rowOff>
    </xdr:to>
    <xdr:pic>
      <xdr:nvPicPr>
        <xdr:cNvPr id="285" name="Graphic 284" descr="Bar graph with downward trend">
          <a:hlinkClick xmlns:r="http://schemas.openxmlformats.org/officeDocument/2006/relationships" r:id="rId190" tooltip="Benefit: 4000 ton CO2/sq km/year (27/117); Average annual cost: 32000 $/sq km/year (56/117); Utility: 12.5 (56/117)"/>
          <a:extLst>
            <a:ext uri="{FF2B5EF4-FFF2-40B4-BE49-F238E27FC236}">
              <a16:creationId xmlns:a16="http://schemas.microsoft.com/office/drawing/2014/main" id="{1CEE9AA9-A63B-4AE3-A668-C23A622C8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6501330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69</xdr:row>
      <xdr:rowOff>229346</xdr:rowOff>
    </xdr:from>
    <xdr:to>
      <xdr:col>11</xdr:col>
      <xdr:colOff>317500</xdr:colOff>
      <xdr:row>70</xdr:row>
      <xdr:rowOff>216747</xdr:rowOff>
    </xdr:to>
    <xdr:pic>
      <xdr:nvPicPr>
        <xdr:cNvPr id="287" name="Graphic 286" descr="Bar graph with downward trend">
          <a:hlinkClick xmlns:r="http://schemas.openxmlformats.org/officeDocument/2006/relationships" r:id="rId191" tooltip="Benefit: 3000 ton CO2/sq km/year (29/117); Average annual cost: 40 $/sq km/year (7/117); Utility: 7500 (7/117)"/>
          <a:extLst>
            <a:ext uri="{FF2B5EF4-FFF2-40B4-BE49-F238E27FC236}">
              <a16:creationId xmlns:a16="http://schemas.microsoft.com/office/drawing/2014/main" id="{A329A629-A9EE-4C60-A8E4-7AC07584E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6731409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70</xdr:row>
      <xdr:rowOff>229237</xdr:rowOff>
    </xdr:from>
    <xdr:to>
      <xdr:col>11</xdr:col>
      <xdr:colOff>317500</xdr:colOff>
      <xdr:row>71</xdr:row>
      <xdr:rowOff>216637</xdr:rowOff>
    </xdr:to>
    <xdr:pic>
      <xdr:nvPicPr>
        <xdr:cNvPr id="289" name="Graphic 288" descr="Bar graph with downward trend">
          <a:hlinkClick xmlns:r="http://schemas.openxmlformats.org/officeDocument/2006/relationships" r:id="rId192" tooltip="Benefit: 400 ton CO2/sq km/year (69/117); Average annual cost: 40 $/sq km/year (8/117); Utility: 1000 (8/117)"/>
          <a:extLst>
            <a:ext uri="{FF2B5EF4-FFF2-40B4-BE49-F238E27FC236}">
              <a16:creationId xmlns:a16="http://schemas.microsoft.com/office/drawing/2014/main" id="{E7F8CD8B-57D8-4898-9699-B1F98B47D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6961487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71</xdr:row>
      <xdr:rowOff>229128</xdr:rowOff>
    </xdr:from>
    <xdr:to>
      <xdr:col>11</xdr:col>
      <xdr:colOff>317500</xdr:colOff>
      <xdr:row>72</xdr:row>
      <xdr:rowOff>216528</xdr:rowOff>
    </xdr:to>
    <xdr:pic>
      <xdr:nvPicPr>
        <xdr:cNvPr id="291" name="Graphic 290" descr="Bar graph with downward trend">
          <a:hlinkClick xmlns:r="http://schemas.openxmlformats.org/officeDocument/2006/relationships" r:id="rId193" tooltip="Benefit: 3000 ton CO2/sq km/year (30/117); Average annual cost: 40 $/sq km/year (9/117); Utility: 7500 (9/117)"/>
          <a:extLst>
            <a:ext uri="{FF2B5EF4-FFF2-40B4-BE49-F238E27FC236}">
              <a16:creationId xmlns:a16="http://schemas.microsoft.com/office/drawing/2014/main" id="{EC600ADA-C0BD-4CC7-A535-D869729DF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7191566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72</xdr:row>
      <xdr:rowOff>229019</xdr:rowOff>
    </xdr:from>
    <xdr:to>
      <xdr:col>11</xdr:col>
      <xdr:colOff>317500</xdr:colOff>
      <xdr:row>73</xdr:row>
      <xdr:rowOff>216418</xdr:rowOff>
    </xdr:to>
    <xdr:pic>
      <xdr:nvPicPr>
        <xdr:cNvPr id="293" name="Graphic 292" descr="Bar graph with downward trend">
          <a:hlinkClick xmlns:r="http://schemas.openxmlformats.org/officeDocument/2006/relationships" r:id="rId194" tooltip="Benefit: 1000 ton CO2/sq km/year (41/117); Average annual cost: 40 $/sq km/year (10/117); Utility: 2500 (10/117)"/>
          <a:extLst>
            <a:ext uri="{FF2B5EF4-FFF2-40B4-BE49-F238E27FC236}">
              <a16:creationId xmlns:a16="http://schemas.microsoft.com/office/drawing/2014/main" id="{15CB40D8-33F8-4836-A1FD-7121C3E76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7421644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73</xdr:row>
      <xdr:rowOff>228910</xdr:rowOff>
    </xdr:from>
    <xdr:to>
      <xdr:col>11</xdr:col>
      <xdr:colOff>317500</xdr:colOff>
      <xdr:row>74</xdr:row>
      <xdr:rowOff>216311</xdr:rowOff>
    </xdr:to>
    <xdr:pic>
      <xdr:nvPicPr>
        <xdr:cNvPr id="295" name="Graphic 294" descr="Bar graph with downward trend">
          <a:hlinkClick xmlns:r="http://schemas.openxmlformats.org/officeDocument/2006/relationships" r:id="rId195" tooltip="Benefit: 5000 ton CO2/sq km/year (19/117); Average annual cost: 100000 $/sq km/year (78/117); Utility: 5 (78/117)"/>
          <a:extLst>
            <a:ext uri="{FF2B5EF4-FFF2-40B4-BE49-F238E27FC236}">
              <a16:creationId xmlns:a16="http://schemas.microsoft.com/office/drawing/2014/main" id="{E4077F0C-D568-4B28-8E70-0FCBBA262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7651723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74</xdr:row>
      <xdr:rowOff>228801</xdr:rowOff>
    </xdr:from>
    <xdr:to>
      <xdr:col>11</xdr:col>
      <xdr:colOff>317500</xdr:colOff>
      <xdr:row>75</xdr:row>
      <xdr:rowOff>216201</xdr:rowOff>
    </xdr:to>
    <xdr:pic>
      <xdr:nvPicPr>
        <xdr:cNvPr id="297" name="Graphic 296" descr="Bar graph with downward trend">
          <a:hlinkClick xmlns:r="http://schemas.openxmlformats.org/officeDocument/2006/relationships" r:id="rId196" tooltip="Benefit: 5000 ton CO2/sq km/year (20/117); Average annual cost: 160000 $/sq km/year (87/117); Utility: 3.125 (87/117)"/>
          <a:extLst>
            <a:ext uri="{FF2B5EF4-FFF2-40B4-BE49-F238E27FC236}">
              <a16:creationId xmlns:a16="http://schemas.microsoft.com/office/drawing/2014/main" id="{5DA270B1-0051-4A18-9709-92CE0E0E8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7881801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75</xdr:row>
      <xdr:rowOff>228692</xdr:rowOff>
    </xdr:from>
    <xdr:to>
      <xdr:col>11</xdr:col>
      <xdr:colOff>317500</xdr:colOff>
      <xdr:row>76</xdr:row>
      <xdr:rowOff>216092</xdr:rowOff>
    </xdr:to>
    <xdr:pic>
      <xdr:nvPicPr>
        <xdr:cNvPr id="299" name="Graphic 298" descr="Bar graph with downward trend">
          <a:hlinkClick xmlns:r="http://schemas.openxmlformats.org/officeDocument/2006/relationships" r:id="rId197" tooltip="Benefit: 50000 ton CO2/sq km/year (7/117); Average annual cost: 160000 $/sq km/year (88/117); Utility: 31.25 (88/117)"/>
          <a:extLst>
            <a:ext uri="{FF2B5EF4-FFF2-40B4-BE49-F238E27FC236}">
              <a16:creationId xmlns:a16="http://schemas.microsoft.com/office/drawing/2014/main" id="{2C294E06-4BEE-4F50-9B75-778BA25B2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8111880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76</xdr:row>
      <xdr:rowOff>228583</xdr:rowOff>
    </xdr:from>
    <xdr:to>
      <xdr:col>11</xdr:col>
      <xdr:colOff>317500</xdr:colOff>
      <xdr:row>77</xdr:row>
      <xdr:rowOff>215982</xdr:rowOff>
    </xdr:to>
    <xdr:pic>
      <xdr:nvPicPr>
        <xdr:cNvPr id="301" name="Graphic 300" descr="Bar graph with downward trend">
          <a:hlinkClick xmlns:r="http://schemas.openxmlformats.org/officeDocument/2006/relationships" r:id="rId198" tooltip="Benefit: 30000 ton CO2/sq km/year (9/117); Average annual cost: 140000 $/sq km/year (85/117); Utility: 21.429 (85/117)"/>
          <a:extLst>
            <a:ext uri="{FF2B5EF4-FFF2-40B4-BE49-F238E27FC236}">
              <a16:creationId xmlns:a16="http://schemas.microsoft.com/office/drawing/2014/main" id="{F7E8E3B6-5C45-4F10-B841-DEA845708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8341958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77</xdr:row>
      <xdr:rowOff>228474</xdr:rowOff>
    </xdr:from>
    <xdr:to>
      <xdr:col>11</xdr:col>
      <xdr:colOff>317500</xdr:colOff>
      <xdr:row>78</xdr:row>
      <xdr:rowOff>215875</xdr:rowOff>
    </xdr:to>
    <xdr:pic>
      <xdr:nvPicPr>
        <xdr:cNvPr id="303" name="Graphic 302" descr="Bar graph with downward trend">
          <a:hlinkClick xmlns:r="http://schemas.openxmlformats.org/officeDocument/2006/relationships" r:id="rId199" tooltip="Benefit: 50000 ton CO2/sq km/year (8/117); Average annual cost: 350000 $/sq km/year (99/117); Utility: 14.286 (99/117)"/>
          <a:extLst>
            <a:ext uri="{FF2B5EF4-FFF2-40B4-BE49-F238E27FC236}">
              <a16:creationId xmlns:a16="http://schemas.microsoft.com/office/drawing/2014/main" id="{2AB399DF-A3CF-4B84-8BB7-E96B3F5F0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8572037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78</xdr:row>
      <xdr:rowOff>228365</xdr:rowOff>
    </xdr:from>
    <xdr:to>
      <xdr:col>11</xdr:col>
      <xdr:colOff>317500</xdr:colOff>
      <xdr:row>79</xdr:row>
      <xdr:rowOff>215765</xdr:rowOff>
    </xdr:to>
    <xdr:pic>
      <xdr:nvPicPr>
        <xdr:cNvPr id="305" name="Graphic 304" descr="Bar graph with downward trend">
          <a:hlinkClick xmlns:r="http://schemas.openxmlformats.org/officeDocument/2006/relationships" r:id="rId200" tooltip="Benefit: 500 ton CO2/sq km/year (65/117); Average annual cost: 221000 $/sq km/year (97/117); Utility: 0.226 (97/117)"/>
          <a:extLst>
            <a:ext uri="{FF2B5EF4-FFF2-40B4-BE49-F238E27FC236}">
              <a16:creationId xmlns:a16="http://schemas.microsoft.com/office/drawing/2014/main" id="{CA90C1A3-CBE1-4F53-B231-6C0C6529C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8802115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79</xdr:row>
      <xdr:rowOff>228256</xdr:rowOff>
    </xdr:from>
    <xdr:to>
      <xdr:col>11</xdr:col>
      <xdr:colOff>317500</xdr:colOff>
      <xdr:row>80</xdr:row>
      <xdr:rowOff>215656</xdr:rowOff>
    </xdr:to>
    <xdr:pic>
      <xdr:nvPicPr>
        <xdr:cNvPr id="307" name="Graphic 306" descr="Bar graph with downward trend">
          <a:hlinkClick xmlns:r="http://schemas.openxmlformats.org/officeDocument/2006/relationships" r:id="rId201" tooltip="Benefit: 75000 ton CO2/sq km/year (6/117); Average annual cost: 221000 $/sq km/year (98/117); Utility: 33.937 (98/117)"/>
          <a:extLst>
            <a:ext uri="{FF2B5EF4-FFF2-40B4-BE49-F238E27FC236}">
              <a16:creationId xmlns:a16="http://schemas.microsoft.com/office/drawing/2014/main" id="{51435E90-485D-4F4B-81A0-56210E7AE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9032194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80</xdr:row>
      <xdr:rowOff>228147</xdr:rowOff>
    </xdr:from>
    <xdr:to>
      <xdr:col>11</xdr:col>
      <xdr:colOff>317500</xdr:colOff>
      <xdr:row>81</xdr:row>
      <xdr:rowOff>215546</xdr:rowOff>
    </xdr:to>
    <xdr:pic>
      <xdr:nvPicPr>
        <xdr:cNvPr id="309" name="Graphic 308" descr="Bar graph with downward trend">
          <a:hlinkClick xmlns:r="http://schemas.openxmlformats.org/officeDocument/2006/relationships" r:id="rId202" tooltip="Benefit: 5000 ton CO2/sq km/year (21/117); Average annual cost: 40 $/sq km/year (11/117); Utility: 12500 (11/117)"/>
          <a:extLst>
            <a:ext uri="{FF2B5EF4-FFF2-40B4-BE49-F238E27FC236}">
              <a16:creationId xmlns:a16="http://schemas.microsoft.com/office/drawing/2014/main" id="{94B566C8-D39B-4C42-9F72-BD9A3C0A1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9262272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81</xdr:row>
      <xdr:rowOff>228038</xdr:rowOff>
    </xdr:from>
    <xdr:to>
      <xdr:col>11</xdr:col>
      <xdr:colOff>317500</xdr:colOff>
      <xdr:row>82</xdr:row>
      <xdr:rowOff>215439</xdr:rowOff>
    </xdr:to>
    <xdr:pic>
      <xdr:nvPicPr>
        <xdr:cNvPr id="311" name="Graphic 310" descr="Bar graph with downward trend">
          <a:hlinkClick xmlns:r="http://schemas.openxmlformats.org/officeDocument/2006/relationships" r:id="rId203" tooltip="Benefit: 1000 ton CO2/sq km/year (42/117); Average annual cost: 40 $/sq km/year (12/117); Utility: 2500 (12/117)"/>
          <a:extLst>
            <a:ext uri="{FF2B5EF4-FFF2-40B4-BE49-F238E27FC236}">
              <a16:creationId xmlns:a16="http://schemas.microsoft.com/office/drawing/2014/main" id="{31F4E6D3-F8E5-4548-BBF4-3547B1697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9492351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82</xdr:row>
      <xdr:rowOff>227929</xdr:rowOff>
    </xdr:from>
    <xdr:to>
      <xdr:col>11</xdr:col>
      <xdr:colOff>317500</xdr:colOff>
      <xdr:row>83</xdr:row>
      <xdr:rowOff>215329</xdr:rowOff>
    </xdr:to>
    <xdr:pic>
      <xdr:nvPicPr>
        <xdr:cNvPr id="313" name="Graphic 312" descr="Bar graph with downward trend">
          <a:hlinkClick xmlns:r="http://schemas.openxmlformats.org/officeDocument/2006/relationships" r:id="rId204" tooltip="Benefit: 500 ton CO2/sq km/year (66/117); Average annual cost: 40 $/sq km/year (13/117); Utility: 1250 (13/117)"/>
          <a:extLst>
            <a:ext uri="{FF2B5EF4-FFF2-40B4-BE49-F238E27FC236}">
              <a16:creationId xmlns:a16="http://schemas.microsoft.com/office/drawing/2014/main" id="{B48916B1-6DAF-4D12-885A-1C2A7950E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9722429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83</xdr:row>
      <xdr:rowOff>227820</xdr:rowOff>
    </xdr:from>
    <xdr:to>
      <xdr:col>11</xdr:col>
      <xdr:colOff>317500</xdr:colOff>
      <xdr:row>84</xdr:row>
      <xdr:rowOff>215220</xdr:rowOff>
    </xdr:to>
    <xdr:pic>
      <xdr:nvPicPr>
        <xdr:cNvPr id="315" name="Graphic 314" descr="Bar graph with downward trend">
          <a:hlinkClick xmlns:r="http://schemas.openxmlformats.org/officeDocument/2006/relationships" r:id="rId205" tooltip="Benefit: 100 ton CO2/sq km/year (92/117); Average annual cost: 40 $/sq km/year (14/117); Utility: 250 (14/117)"/>
          <a:extLst>
            <a:ext uri="{FF2B5EF4-FFF2-40B4-BE49-F238E27FC236}">
              <a16:creationId xmlns:a16="http://schemas.microsoft.com/office/drawing/2014/main" id="{C03A48E8-ADAA-40F3-B0FB-93CC6AE8C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19952508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84</xdr:row>
      <xdr:rowOff>227711</xdr:rowOff>
    </xdr:from>
    <xdr:to>
      <xdr:col>11</xdr:col>
      <xdr:colOff>317500</xdr:colOff>
      <xdr:row>85</xdr:row>
      <xdr:rowOff>215110</xdr:rowOff>
    </xdr:to>
    <xdr:pic>
      <xdr:nvPicPr>
        <xdr:cNvPr id="317" name="Graphic 316" descr="Bar graph with downward trend">
          <a:hlinkClick xmlns:r="http://schemas.openxmlformats.org/officeDocument/2006/relationships" r:id="rId206" tooltip="Benefit: 1000 ton CO2/sq km/year (43/117); Average annual cost: 37000 $/sq km/year (65/117); Utility: 2.703 (65/117)"/>
          <a:extLst>
            <a:ext uri="{FF2B5EF4-FFF2-40B4-BE49-F238E27FC236}">
              <a16:creationId xmlns:a16="http://schemas.microsoft.com/office/drawing/2014/main" id="{9A807A07-F9D9-4F39-A989-883E708A3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0182586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85</xdr:row>
      <xdr:rowOff>227602</xdr:rowOff>
    </xdr:from>
    <xdr:to>
      <xdr:col>11</xdr:col>
      <xdr:colOff>317500</xdr:colOff>
      <xdr:row>86</xdr:row>
      <xdr:rowOff>215003</xdr:rowOff>
    </xdr:to>
    <xdr:pic>
      <xdr:nvPicPr>
        <xdr:cNvPr id="319" name="Graphic 318" descr="Bar graph with downward trend">
          <a:hlinkClick xmlns:r="http://schemas.openxmlformats.org/officeDocument/2006/relationships" r:id="rId207" tooltip="Benefit: 10000 ton CO2/sq km/year (13/117); Average annual cost: 186000 $/sq km/year (95/117); Utility: 5.376 (95/117)"/>
          <a:extLst>
            <a:ext uri="{FF2B5EF4-FFF2-40B4-BE49-F238E27FC236}">
              <a16:creationId xmlns:a16="http://schemas.microsoft.com/office/drawing/2014/main" id="{B968F28D-46CB-42DE-B124-F4C42324B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0412665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86</xdr:row>
      <xdr:rowOff>227493</xdr:rowOff>
    </xdr:from>
    <xdr:to>
      <xdr:col>11</xdr:col>
      <xdr:colOff>317500</xdr:colOff>
      <xdr:row>87</xdr:row>
      <xdr:rowOff>214893</xdr:rowOff>
    </xdr:to>
    <xdr:pic>
      <xdr:nvPicPr>
        <xdr:cNvPr id="321" name="Graphic 320" descr="Bar graph with downward trend">
          <a:hlinkClick xmlns:r="http://schemas.openxmlformats.org/officeDocument/2006/relationships" r:id="rId208" tooltip="Benefit: 15000 ton CO2/sq km/year (12/117); Average annual cost: 370000 $/sq km/year (100/117); Utility: 4.054 (100/117)"/>
          <a:extLst>
            <a:ext uri="{FF2B5EF4-FFF2-40B4-BE49-F238E27FC236}">
              <a16:creationId xmlns:a16="http://schemas.microsoft.com/office/drawing/2014/main" id="{68FCB588-0557-4D9E-94C0-9CCD28B53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0642743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87</xdr:row>
      <xdr:rowOff>227384</xdr:rowOff>
    </xdr:from>
    <xdr:to>
      <xdr:col>11</xdr:col>
      <xdr:colOff>317500</xdr:colOff>
      <xdr:row>88</xdr:row>
      <xdr:rowOff>214784</xdr:rowOff>
    </xdr:to>
    <xdr:pic>
      <xdr:nvPicPr>
        <xdr:cNvPr id="323" name="Graphic 322" descr="Bar graph with downward trend">
          <a:hlinkClick xmlns:r="http://schemas.openxmlformats.org/officeDocument/2006/relationships" r:id="rId209" tooltip="Benefit: 6000 ton CO2/sq km/year (14/117); Average annual cost: 37000 $/sq km/year (66/117); Utility: 16.216 (66/117)"/>
          <a:extLst>
            <a:ext uri="{FF2B5EF4-FFF2-40B4-BE49-F238E27FC236}">
              <a16:creationId xmlns:a16="http://schemas.microsoft.com/office/drawing/2014/main" id="{D1413E54-6B18-4DE9-8EA0-7B5B2DF04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0872822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88</xdr:row>
      <xdr:rowOff>227275</xdr:rowOff>
    </xdr:from>
    <xdr:to>
      <xdr:col>11</xdr:col>
      <xdr:colOff>317500</xdr:colOff>
      <xdr:row>89</xdr:row>
      <xdr:rowOff>214674</xdr:rowOff>
    </xdr:to>
    <xdr:pic>
      <xdr:nvPicPr>
        <xdr:cNvPr id="325" name="Graphic 324" descr="Bar graph with downward trend">
          <a:hlinkClick xmlns:r="http://schemas.openxmlformats.org/officeDocument/2006/relationships" r:id="rId210" tooltip="Benefit: 5000 ton CO2/sq km/year (22/117); Average annual cost: 117000 $/sq km/year (82/117); Utility: 4.274 (82/117)"/>
          <a:extLst>
            <a:ext uri="{FF2B5EF4-FFF2-40B4-BE49-F238E27FC236}">
              <a16:creationId xmlns:a16="http://schemas.microsoft.com/office/drawing/2014/main" id="{9FFB464A-6C6A-46CB-863F-AF1FFD534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1102900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89</xdr:row>
      <xdr:rowOff>227166</xdr:rowOff>
    </xdr:from>
    <xdr:to>
      <xdr:col>11</xdr:col>
      <xdr:colOff>317500</xdr:colOff>
      <xdr:row>90</xdr:row>
      <xdr:rowOff>214567</xdr:rowOff>
    </xdr:to>
    <xdr:pic>
      <xdr:nvPicPr>
        <xdr:cNvPr id="327" name="Graphic 326" descr="Bar graph with downward trend">
          <a:hlinkClick xmlns:r="http://schemas.openxmlformats.org/officeDocument/2006/relationships" r:id="rId211" tooltip="Benefit: 3000 ton CO2/sq km/year (31/117); Average annual cost: 184000 $/sq km/year (94/117); Utility: 1.63 (94/117)"/>
          <a:extLst>
            <a:ext uri="{FF2B5EF4-FFF2-40B4-BE49-F238E27FC236}">
              <a16:creationId xmlns:a16="http://schemas.microsoft.com/office/drawing/2014/main" id="{8035D52F-82D1-4B9D-BE36-77084CEAE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1332979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90</xdr:row>
      <xdr:rowOff>227057</xdr:rowOff>
    </xdr:from>
    <xdr:to>
      <xdr:col>11</xdr:col>
      <xdr:colOff>317500</xdr:colOff>
      <xdr:row>91</xdr:row>
      <xdr:rowOff>214457</xdr:rowOff>
    </xdr:to>
    <xdr:pic>
      <xdr:nvPicPr>
        <xdr:cNvPr id="329" name="Graphic 328" descr="Bar graph with downward trend">
          <a:hlinkClick xmlns:r="http://schemas.openxmlformats.org/officeDocument/2006/relationships" r:id="rId212" tooltip="Benefit: 3000 ton CO2/sq km/year (32/117); Average annual cost: 186000 $/sq km/year (96/117); Utility: 1.613 (96/117)"/>
          <a:extLst>
            <a:ext uri="{FF2B5EF4-FFF2-40B4-BE49-F238E27FC236}">
              <a16:creationId xmlns:a16="http://schemas.microsoft.com/office/drawing/2014/main" id="{526C6895-CA08-41BB-ACA9-6C4155B28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1563057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91</xdr:row>
      <xdr:rowOff>226948</xdr:rowOff>
    </xdr:from>
    <xdr:to>
      <xdr:col>11</xdr:col>
      <xdr:colOff>317500</xdr:colOff>
      <xdr:row>92</xdr:row>
      <xdr:rowOff>214348</xdr:rowOff>
    </xdr:to>
    <xdr:pic>
      <xdr:nvPicPr>
        <xdr:cNvPr id="331" name="Graphic 330" descr="Bar graph with downward trend">
          <a:hlinkClick xmlns:r="http://schemas.openxmlformats.org/officeDocument/2006/relationships" r:id="rId213" tooltip="Benefit: 3000 ton CO2/sq km/year (33/117); Average annual cost: 373000 $/sq km/year (101/117); Utility: 0.804 (101/117)"/>
          <a:extLst>
            <a:ext uri="{FF2B5EF4-FFF2-40B4-BE49-F238E27FC236}">
              <a16:creationId xmlns:a16="http://schemas.microsoft.com/office/drawing/2014/main" id="{4C6456CB-113E-48A1-951A-8F2F5B017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1793136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92</xdr:row>
      <xdr:rowOff>226839</xdr:rowOff>
    </xdr:from>
    <xdr:to>
      <xdr:col>11</xdr:col>
      <xdr:colOff>317500</xdr:colOff>
      <xdr:row>93</xdr:row>
      <xdr:rowOff>214238</xdr:rowOff>
    </xdr:to>
    <xdr:pic>
      <xdr:nvPicPr>
        <xdr:cNvPr id="333" name="Graphic 332" descr="Bar graph with downward trend">
          <a:hlinkClick xmlns:r="http://schemas.openxmlformats.org/officeDocument/2006/relationships" r:id="rId214" tooltip="Benefit: 1000 ton CO2/sq km/year (44/117); Average annual cost: 35000 $/sq km/year (61/117); Utility: 2.857 (61/117)"/>
          <a:extLst>
            <a:ext uri="{FF2B5EF4-FFF2-40B4-BE49-F238E27FC236}">
              <a16:creationId xmlns:a16="http://schemas.microsoft.com/office/drawing/2014/main" id="{B664CC49-FC2A-45DD-AE1E-05B4FFA8E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2023214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93</xdr:row>
      <xdr:rowOff>226730</xdr:rowOff>
    </xdr:from>
    <xdr:to>
      <xdr:col>11</xdr:col>
      <xdr:colOff>317500</xdr:colOff>
      <xdr:row>94</xdr:row>
      <xdr:rowOff>214131</xdr:rowOff>
    </xdr:to>
    <xdr:pic>
      <xdr:nvPicPr>
        <xdr:cNvPr id="335" name="Graphic 334" descr="Bar graph with downward trend">
          <a:hlinkClick xmlns:r="http://schemas.openxmlformats.org/officeDocument/2006/relationships" r:id="rId215" tooltip="Benefit: 1000 ton CO2/sq km/year (45/117); Average annual cost: 37000 $/sq km/year (67/117); Utility: 2.703 (67/117)"/>
          <a:extLst>
            <a:ext uri="{FF2B5EF4-FFF2-40B4-BE49-F238E27FC236}">
              <a16:creationId xmlns:a16="http://schemas.microsoft.com/office/drawing/2014/main" id="{DE293961-A9D8-49CF-BD30-5C43E0494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2253293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94</xdr:row>
      <xdr:rowOff>226621</xdr:rowOff>
    </xdr:from>
    <xdr:to>
      <xdr:col>11</xdr:col>
      <xdr:colOff>317500</xdr:colOff>
      <xdr:row>95</xdr:row>
      <xdr:rowOff>214021</xdr:rowOff>
    </xdr:to>
    <xdr:pic>
      <xdr:nvPicPr>
        <xdr:cNvPr id="337" name="Graphic 336" descr="Bar graph with downward trend">
          <a:hlinkClick xmlns:r="http://schemas.openxmlformats.org/officeDocument/2006/relationships" r:id="rId216" tooltip="Benefit: 500 ton CO2/sq km/year (67/117); Average annual cost: 35000 $/sq km/year (62/117); Utility: 1.429 (62/117)"/>
          <a:extLst>
            <a:ext uri="{FF2B5EF4-FFF2-40B4-BE49-F238E27FC236}">
              <a16:creationId xmlns:a16="http://schemas.microsoft.com/office/drawing/2014/main" id="{0F38ECB4-4888-405E-9963-C80F4659F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2483371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95</xdr:row>
      <xdr:rowOff>226512</xdr:rowOff>
    </xdr:from>
    <xdr:to>
      <xdr:col>11</xdr:col>
      <xdr:colOff>317500</xdr:colOff>
      <xdr:row>96</xdr:row>
      <xdr:rowOff>213912</xdr:rowOff>
    </xdr:to>
    <xdr:pic>
      <xdr:nvPicPr>
        <xdr:cNvPr id="339" name="Graphic 338" descr="Bar graph with downward trend">
          <a:hlinkClick xmlns:r="http://schemas.openxmlformats.org/officeDocument/2006/relationships" r:id="rId217" tooltip="Benefit: 1000 ton CO2/sq km/year (46/117); Average annual cost: 32000 $/sq km/year (57/117); Utility: 3.125 (57/117)"/>
          <a:extLst>
            <a:ext uri="{FF2B5EF4-FFF2-40B4-BE49-F238E27FC236}">
              <a16:creationId xmlns:a16="http://schemas.microsoft.com/office/drawing/2014/main" id="{C83C4BD8-7532-4F6C-A473-4C5FC9C9F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2713450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96</xdr:row>
      <xdr:rowOff>226403</xdr:rowOff>
    </xdr:from>
    <xdr:to>
      <xdr:col>11</xdr:col>
      <xdr:colOff>317500</xdr:colOff>
      <xdr:row>97</xdr:row>
      <xdr:rowOff>213802</xdr:rowOff>
    </xdr:to>
    <xdr:pic>
      <xdr:nvPicPr>
        <xdr:cNvPr id="341" name="Graphic 340" descr="Bar graph with downward trend">
          <a:hlinkClick xmlns:r="http://schemas.openxmlformats.org/officeDocument/2006/relationships" r:id="rId218" tooltip="Benefit: 5000 ton CO2/sq km/year (23/117); Average annual cost: 4597000 $/sq km/year (114/117); Utility: 0.109 (114/117)"/>
          <a:extLst>
            <a:ext uri="{FF2B5EF4-FFF2-40B4-BE49-F238E27FC236}">
              <a16:creationId xmlns:a16="http://schemas.microsoft.com/office/drawing/2014/main" id="{65CCE795-7856-4479-ADEB-F757101C5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2943528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97</xdr:row>
      <xdr:rowOff>226294</xdr:rowOff>
    </xdr:from>
    <xdr:to>
      <xdr:col>11</xdr:col>
      <xdr:colOff>317500</xdr:colOff>
      <xdr:row>98</xdr:row>
      <xdr:rowOff>213695</xdr:rowOff>
    </xdr:to>
    <xdr:pic>
      <xdr:nvPicPr>
        <xdr:cNvPr id="343" name="Graphic 342" descr="Bar graph with downward trend">
          <a:hlinkClick xmlns:r="http://schemas.openxmlformats.org/officeDocument/2006/relationships" r:id="rId219" tooltip="Benefit: 1000 ton CO2/sq km/year (47/117); Average annual cost: 40 $/sq km/year (15/117); Utility: 2500 (15/117)"/>
          <a:extLst>
            <a:ext uri="{FF2B5EF4-FFF2-40B4-BE49-F238E27FC236}">
              <a16:creationId xmlns:a16="http://schemas.microsoft.com/office/drawing/2014/main" id="{9B5F994C-F82B-4420-ACCD-2F4A0CFA3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3173607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98</xdr:row>
      <xdr:rowOff>226185</xdr:rowOff>
    </xdr:from>
    <xdr:to>
      <xdr:col>11</xdr:col>
      <xdr:colOff>317500</xdr:colOff>
      <xdr:row>99</xdr:row>
      <xdr:rowOff>213585</xdr:rowOff>
    </xdr:to>
    <xdr:pic>
      <xdr:nvPicPr>
        <xdr:cNvPr id="345" name="Graphic 344" descr="Bar graph with downward trend">
          <a:hlinkClick xmlns:r="http://schemas.openxmlformats.org/officeDocument/2006/relationships" r:id="rId220" tooltip="Benefit: 200 ton CO2/sq km/year (77/117); Average annual cost: 40 $/sq km/year (16/117); Utility: 500 (16/117)"/>
          <a:extLst>
            <a:ext uri="{FF2B5EF4-FFF2-40B4-BE49-F238E27FC236}">
              <a16:creationId xmlns:a16="http://schemas.microsoft.com/office/drawing/2014/main" id="{8A5DAA4D-1EF4-4BBE-8C47-9ED42B32F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3403685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99</xdr:row>
      <xdr:rowOff>226076</xdr:rowOff>
    </xdr:from>
    <xdr:to>
      <xdr:col>11</xdr:col>
      <xdr:colOff>317500</xdr:colOff>
      <xdr:row>100</xdr:row>
      <xdr:rowOff>213476</xdr:rowOff>
    </xdr:to>
    <xdr:pic>
      <xdr:nvPicPr>
        <xdr:cNvPr id="347" name="Graphic 346" descr="Bar graph with downward trend">
          <a:hlinkClick xmlns:r="http://schemas.openxmlformats.org/officeDocument/2006/relationships" r:id="rId221" tooltip="Benefit: 1000 ton CO2/sq km/year (48/117); Average annual cost: 40 $/sq km/year (17/117); Utility: 2500 (17/117)"/>
          <a:extLst>
            <a:ext uri="{FF2B5EF4-FFF2-40B4-BE49-F238E27FC236}">
              <a16:creationId xmlns:a16="http://schemas.microsoft.com/office/drawing/2014/main" id="{4494792F-28C9-413A-846E-63CA48A0F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3633764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100</xdr:row>
      <xdr:rowOff>225967</xdr:rowOff>
    </xdr:from>
    <xdr:to>
      <xdr:col>11</xdr:col>
      <xdr:colOff>317500</xdr:colOff>
      <xdr:row>101</xdr:row>
      <xdr:rowOff>213366</xdr:rowOff>
    </xdr:to>
    <xdr:pic>
      <xdr:nvPicPr>
        <xdr:cNvPr id="349" name="Graphic 348" descr="Bar graph with downward trend">
          <a:hlinkClick xmlns:r="http://schemas.openxmlformats.org/officeDocument/2006/relationships" r:id="rId222" tooltip="Benefit: 20000 ton CO2/sq km/year (11/117); Average annual cost: 910000 $/sq km/year (104/117); Utility: 2.198 (104/117)"/>
          <a:extLst>
            <a:ext uri="{FF2B5EF4-FFF2-40B4-BE49-F238E27FC236}">
              <a16:creationId xmlns:a16="http://schemas.microsoft.com/office/drawing/2014/main" id="{2EDF06B3-508A-4145-BEEE-501413736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3863842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101</xdr:row>
      <xdr:rowOff>225858</xdr:rowOff>
    </xdr:from>
    <xdr:to>
      <xdr:col>11</xdr:col>
      <xdr:colOff>317500</xdr:colOff>
      <xdr:row>102</xdr:row>
      <xdr:rowOff>213259</xdr:rowOff>
    </xdr:to>
    <xdr:pic>
      <xdr:nvPicPr>
        <xdr:cNvPr id="351" name="Graphic 350" descr="Bar graph with downward trend">
          <a:hlinkClick xmlns:r="http://schemas.openxmlformats.org/officeDocument/2006/relationships" r:id="rId223" tooltip="Benefit: 100000 ton CO2/sq km/year (4/117); Average annual cost: 32018000 $/sq km/year (117/117); Utility: 0.312 (117/117)"/>
          <a:extLst>
            <a:ext uri="{FF2B5EF4-FFF2-40B4-BE49-F238E27FC236}">
              <a16:creationId xmlns:a16="http://schemas.microsoft.com/office/drawing/2014/main" id="{AAFD05B8-17BE-4B08-A475-89E99EE02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4093921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102</xdr:row>
      <xdr:rowOff>225749</xdr:rowOff>
    </xdr:from>
    <xdr:to>
      <xdr:col>11</xdr:col>
      <xdr:colOff>317500</xdr:colOff>
      <xdr:row>103</xdr:row>
      <xdr:rowOff>213149</xdr:rowOff>
    </xdr:to>
    <xdr:pic>
      <xdr:nvPicPr>
        <xdr:cNvPr id="353" name="Graphic 352" descr="Bar graph with downward trend">
          <a:hlinkClick xmlns:r="http://schemas.openxmlformats.org/officeDocument/2006/relationships" r:id="rId224" tooltip="Benefit: 5000 ton CO2/sq km/year (24/117); Average annual cost: 9606000 $/sq km/year (116/117); Utility: 0.052 (116/117)"/>
          <a:extLst>
            <a:ext uri="{FF2B5EF4-FFF2-40B4-BE49-F238E27FC236}">
              <a16:creationId xmlns:a16="http://schemas.microsoft.com/office/drawing/2014/main" id="{82A2ACD4-2199-455D-9CAB-D4D2675F5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4323999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103</xdr:row>
      <xdr:rowOff>225640</xdr:rowOff>
    </xdr:from>
    <xdr:to>
      <xdr:col>11</xdr:col>
      <xdr:colOff>317500</xdr:colOff>
      <xdr:row>104</xdr:row>
      <xdr:rowOff>213040</xdr:rowOff>
    </xdr:to>
    <xdr:pic>
      <xdr:nvPicPr>
        <xdr:cNvPr id="355" name="Graphic 354" descr="Bar graph with downward trend">
          <a:hlinkClick xmlns:r="http://schemas.openxmlformats.org/officeDocument/2006/relationships" r:id="rId225" tooltip="Benefit: 2000 ton CO2/sq km/year (37/117); Average annual cost: 2720000 $/sq km/year (111/117); Utility: 0.074 (111/117)"/>
          <a:extLst>
            <a:ext uri="{FF2B5EF4-FFF2-40B4-BE49-F238E27FC236}">
              <a16:creationId xmlns:a16="http://schemas.microsoft.com/office/drawing/2014/main" id="{C441372B-9F8E-4241-9D58-2D2C1E899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4554078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104</xdr:row>
      <xdr:rowOff>225531</xdr:rowOff>
    </xdr:from>
    <xdr:to>
      <xdr:col>11</xdr:col>
      <xdr:colOff>317500</xdr:colOff>
      <xdr:row>105</xdr:row>
      <xdr:rowOff>212930</xdr:rowOff>
    </xdr:to>
    <xdr:pic>
      <xdr:nvPicPr>
        <xdr:cNvPr id="357" name="Graphic 356" descr="Bar graph with downward trend">
          <a:hlinkClick xmlns:r="http://schemas.openxmlformats.org/officeDocument/2006/relationships" r:id="rId226" tooltip="Benefit: 3000 ton CO2/sq km/year (34/117); Average annual cost: 1392000 $/sq km/year (107/117); Utility: 0.216 (107/117)"/>
          <a:extLst>
            <a:ext uri="{FF2B5EF4-FFF2-40B4-BE49-F238E27FC236}">
              <a16:creationId xmlns:a16="http://schemas.microsoft.com/office/drawing/2014/main" id="{E905DC60-DFFF-442D-90A2-1F4CD37DE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4784156"/>
          <a:ext cx="222250" cy="217587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105</xdr:row>
      <xdr:rowOff>225422</xdr:rowOff>
    </xdr:from>
    <xdr:to>
      <xdr:col>11</xdr:col>
      <xdr:colOff>317500</xdr:colOff>
      <xdr:row>106</xdr:row>
      <xdr:rowOff>212823</xdr:rowOff>
    </xdr:to>
    <xdr:pic>
      <xdr:nvPicPr>
        <xdr:cNvPr id="359" name="Graphic 358" descr="Bar graph with downward trend">
          <a:hlinkClick xmlns:r="http://schemas.openxmlformats.org/officeDocument/2006/relationships" r:id="rId227" tooltip="Benefit: 1000 ton CO2/sq km/year (49/117); Average annual cost: 2767000 $/sq km/year (112/117); Utility: 0.036 (112/117)"/>
          <a:extLst>
            <a:ext uri="{FF2B5EF4-FFF2-40B4-BE49-F238E27FC236}">
              <a16:creationId xmlns:a16="http://schemas.microsoft.com/office/drawing/2014/main" id="{FA27B987-BFAC-462A-8E2E-F8C027CDB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5014235"/>
          <a:ext cx="222250" cy="217588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106</xdr:row>
      <xdr:rowOff>225313</xdr:rowOff>
    </xdr:from>
    <xdr:to>
      <xdr:col>11</xdr:col>
      <xdr:colOff>317500</xdr:colOff>
      <xdr:row>107</xdr:row>
      <xdr:rowOff>215888</xdr:rowOff>
    </xdr:to>
    <xdr:pic>
      <xdr:nvPicPr>
        <xdr:cNvPr id="361" name="Graphic 360" descr="Bar graph with downward trend">
          <a:hlinkClick xmlns:r="http://schemas.openxmlformats.org/officeDocument/2006/relationships" r:id="rId228" tooltip="Benefit: 2000 ton CO2/sq km/year (38/117); Average annual cost: 630000 $/sq km/year (102/117); Utility: 0.317 (102/117)"/>
          <a:extLst>
            <a:ext uri="{FF2B5EF4-FFF2-40B4-BE49-F238E27FC236}">
              <a16:creationId xmlns:a16="http://schemas.microsoft.com/office/drawing/2014/main" id="{16A8408F-2AB8-42F0-BB87-787D875DF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5244313"/>
          <a:ext cx="222250" cy="220763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107</xdr:row>
      <xdr:rowOff>225204</xdr:rowOff>
    </xdr:from>
    <xdr:to>
      <xdr:col>11</xdr:col>
      <xdr:colOff>317500</xdr:colOff>
      <xdr:row>108</xdr:row>
      <xdr:rowOff>215779</xdr:rowOff>
    </xdr:to>
    <xdr:pic>
      <xdr:nvPicPr>
        <xdr:cNvPr id="363" name="Graphic 362" descr="Bar graph with downward trend">
          <a:hlinkClick xmlns:r="http://schemas.openxmlformats.org/officeDocument/2006/relationships" r:id="rId229" tooltip="Benefit: 200000 ton CO2/sq km/year (2/117); Average annual cost: 138000 $/sq km/year (84/117); Utility: 144.928 (84/117)"/>
          <a:extLst>
            <a:ext uri="{FF2B5EF4-FFF2-40B4-BE49-F238E27FC236}">
              <a16:creationId xmlns:a16="http://schemas.microsoft.com/office/drawing/2014/main" id="{EDE398BD-AF7A-4B1F-9A3C-85A02A1B1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5474392"/>
          <a:ext cx="222250" cy="220762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108</xdr:row>
      <xdr:rowOff>225095</xdr:rowOff>
    </xdr:from>
    <xdr:to>
      <xdr:col>11</xdr:col>
      <xdr:colOff>317500</xdr:colOff>
      <xdr:row>109</xdr:row>
      <xdr:rowOff>215669</xdr:rowOff>
    </xdr:to>
    <xdr:pic>
      <xdr:nvPicPr>
        <xdr:cNvPr id="365" name="Graphic 364" descr="Bar graph with downward trend">
          <a:hlinkClick xmlns:r="http://schemas.openxmlformats.org/officeDocument/2006/relationships" r:id="rId230" tooltip="Benefit: 1000 ton CO2/sq km/year (50/117); Average annual cost: 2228000 $/sq km/year (108/117); Utility: 0.045 (108/117)"/>
          <a:extLst>
            <a:ext uri="{FF2B5EF4-FFF2-40B4-BE49-F238E27FC236}">
              <a16:creationId xmlns:a16="http://schemas.microsoft.com/office/drawing/2014/main" id="{EF8593D0-AAC9-4557-8416-FB95B7C7C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5704470"/>
          <a:ext cx="222250" cy="220762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109</xdr:row>
      <xdr:rowOff>224986</xdr:rowOff>
    </xdr:from>
    <xdr:to>
      <xdr:col>11</xdr:col>
      <xdr:colOff>317500</xdr:colOff>
      <xdr:row>110</xdr:row>
      <xdr:rowOff>215562</xdr:rowOff>
    </xdr:to>
    <xdr:pic>
      <xdr:nvPicPr>
        <xdr:cNvPr id="367" name="Graphic 366" descr="Bar graph with downward trend">
          <a:hlinkClick xmlns:r="http://schemas.openxmlformats.org/officeDocument/2006/relationships" r:id="rId231" tooltip="Benefit: 1000 ton CO2/sq km/year (51/117); Average annual cost: 5830000 $/sq km/year (115/117); Utility: 0.017 (115/117)"/>
          <a:extLst>
            <a:ext uri="{FF2B5EF4-FFF2-40B4-BE49-F238E27FC236}">
              <a16:creationId xmlns:a16="http://schemas.microsoft.com/office/drawing/2014/main" id="{C2E621FC-38CB-42DB-8EE4-60B6B9465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5934549"/>
          <a:ext cx="222250" cy="220763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110</xdr:row>
      <xdr:rowOff>224877</xdr:rowOff>
    </xdr:from>
    <xdr:to>
      <xdr:col>11</xdr:col>
      <xdr:colOff>317500</xdr:colOff>
      <xdr:row>111</xdr:row>
      <xdr:rowOff>215452</xdr:rowOff>
    </xdr:to>
    <xdr:pic>
      <xdr:nvPicPr>
        <xdr:cNvPr id="369" name="Graphic 368" descr="Bar graph with downward trend">
          <a:hlinkClick xmlns:r="http://schemas.openxmlformats.org/officeDocument/2006/relationships" r:id="rId232" tooltip="Benefit: 4000 ton CO2/sq km/year (28/117); Average annual cost: 980000 $/sq km/year (105/117); Utility: 0.408 (105/117)"/>
          <a:extLst>
            <a:ext uri="{FF2B5EF4-FFF2-40B4-BE49-F238E27FC236}">
              <a16:creationId xmlns:a16="http://schemas.microsoft.com/office/drawing/2014/main" id="{F6D35348-64A3-4AAF-B38A-6C407FA5A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6164627"/>
          <a:ext cx="222250" cy="220763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111</xdr:row>
      <xdr:rowOff>224768</xdr:rowOff>
    </xdr:from>
    <xdr:to>
      <xdr:col>11</xdr:col>
      <xdr:colOff>317500</xdr:colOff>
      <xdr:row>112</xdr:row>
      <xdr:rowOff>215343</xdr:rowOff>
    </xdr:to>
    <xdr:pic>
      <xdr:nvPicPr>
        <xdr:cNvPr id="371" name="Graphic 370" descr="Bar graph with downward trend">
          <a:hlinkClick xmlns:r="http://schemas.openxmlformats.org/officeDocument/2006/relationships" r:id="rId233" tooltip="Benefit: 350000 ton CO2/sq km/year (1/117); Average annual cost: 2400000 $/sq km/year (109/117); Utility: 14.583 (109/117)"/>
          <a:extLst>
            <a:ext uri="{FF2B5EF4-FFF2-40B4-BE49-F238E27FC236}">
              <a16:creationId xmlns:a16="http://schemas.microsoft.com/office/drawing/2014/main" id="{DFD75953-4D97-4A6B-B607-4FAB95202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6394706"/>
          <a:ext cx="222250" cy="220762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112</xdr:row>
      <xdr:rowOff>224659</xdr:rowOff>
    </xdr:from>
    <xdr:to>
      <xdr:col>11</xdr:col>
      <xdr:colOff>317500</xdr:colOff>
      <xdr:row>113</xdr:row>
      <xdr:rowOff>215233</xdr:rowOff>
    </xdr:to>
    <xdr:pic>
      <xdr:nvPicPr>
        <xdr:cNvPr id="373" name="Graphic 372" descr="Bar graph with downward trend">
          <a:hlinkClick xmlns:r="http://schemas.openxmlformats.org/officeDocument/2006/relationships" r:id="rId234" tooltip="Benefit: 200000 ton CO2/sq km/year (3/117); Average annual cost: 2400000 $/sq km/year (110/117); Utility: 8.333 (110/117)"/>
          <a:extLst>
            <a:ext uri="{FF2B5EF4-FFF2-40B4-BE49-F238E27FC236}">
              <a16:creationId xmlns:a16="http://schemas.microsoft.com/office/drawing/2014/main" id="{DB991C5D-1AC6-49BC-A958-4A58BE754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6624784"/>
          <a:ext cx="222250" cy="220762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113</xdr:row>
      <xdr:rowOff>224550</xdr:rowOff>
    </xdr:from>
    <xdr:to>
      <xdr:col>11</xdr:col>
      <xdr:colOff>317500</xdr:colOff>
      <xdr:row>114</xdr:row>
      <xdr:rowOff>215126</xdr:rowOff>
    </xdr:to>
    <xdr:pic>
      <xdr:nvPicPr>
        <xdr:cNvPr id="375" name="Graphic 374" descr="Bar graph with downward trend">
          <a:hlinkClick xmlns:r="http://schemas.openxmlformats.org/officeDocument/2006/relationships" r:id="rId235" tooltip="Benefit: 80000 ton CO2/sq km/year (5/117); Average annual cost: 638000 $/sq km/year (103/117); Utility: 12.539 (103/117)"/>
          <a:extLst>
            <a:ext uri="{FF2B5EF4-FFF2-40B4-BE49-F238E27FC236}">
              <a16:creationId xmlns:a16="http://schemas.microsoft.com/office/drawing/2014/main" id="{98B7C843-3316-4BC9-A3F9-944ADF6C3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6854863"/>
          <a:ext cx="222250" cy="220763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114</xdr:row>
      <xdr:rowOff>224441</xdr:rowOff>
    </xdr:from>
    <xdr:to>
      <xdr:col>11</xdr:col>
      <xdr:colOff>317500</xdr:colOff>
      <xdr:row>115</xdr:row>
      <xdr:rowOff>215016</xdr:rowOff>
    </xdr:to>
    <xdr:pic>
      <xdr:nvPicPr>
        <xdr:cNvPr id="377" name="Graphic 376" descr="Bar graph with downward trend">
          <a:hlinkClick xmlns:r="http://schemas.openxmlformats.org/officeDocument/2006/relationships" r:id="rId236" tooltip="Benefit: 5000 ton CO2/sq km/year (25/117); Average annual cost: 160000 $/sq km/year (89/117); Utility: 3.125 (89/117)"/>
          <a:extLst>
            <a:ext uri="{FF2B5EF4-FFF2-40B4-BE49-F238E27FC236}">
              <a16:creationId xmlns:a16="http://schemas.microsoft.com/office/drawing/2014/main" id="{62C1B87F-9934-4049-A5B4-8F1C7777D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7084941"/>
          <a:ext cx="222250" cy="220763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115</xdr:row>
      <xdr:rowOff>224332</xdr:rowOff>
    </xdr:from>
    <xdr:to>
      <xdr:col>11</xdr:col>
      <xdr:colOff>317500</xdr:colOff>
      <xdr:row>116</xdr:row>
      <xdr:rowOff>214907</xdr:rowOff>
    </xdr:to>
    <xdr:pic>
      <xdr:nvPicPr>
        <xdr:cNvPr id="379" name="Graphic 378" descr="Bar graph with downward trend">
          <a:hlinkClick xmlns:r="http://schemas.openxmlformats.org/officeDocument/2006/relationships" r:id="rId237" tooltip="Benefit: 1000 ton CO2/sq km/year (52/117); Average annual cost: 162000 $/sq km/year (90/117); Utility: 0.617 (90/117)"/>
          <a:extLst>
            <a:ext uri="{FF2B5EF4-FFF2-40B4-BE49-F238E27FC236}">
              <a16:creationId xmlns:a16="http://schemas.microsoft.com/office/drawing/2014/main" id="{E0A237F2-539E-4CDA-84C8-DD6D9C40E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7315020"/>
          <a:ext cx="222250" cy="220762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116</xdr:row>
      <xdr:rowOff>224223</xdr:rowOff>
    </xdr:from>
    <xdr:to>
      <xdr:col>11</xdr:col>
      <xdr:colOff>317500</xdr:colOff>
      <xdr:row>117</xdr:row>
      <xdr:rowOff>214797</xdr:rowOff>
    </xdr:to>
    <xdr:pic>
      <xdr:nvPicPr>
        <xdr:cNvPr id="381" name="Graphic 380" descr="Bar graph with downward trend">
          <a:hlinkClick xmlns:r="http://schemas.openxmlformats.org/officeDocument/2006/relationships" r:id="rId238" tooltip="Benefit: 2000 ton CO2/sq km/year (39/117); Average annual cost: 74000 $/sq km/year (75/117); Utility: 2.703 (75/117)"/>
          <a:extLst>
            <a:ext uri="{FF2B5EF4-FFF2-40B4-BE49-F238E27FC236}">
              <a16:creationId xmlns:a16="http://schemas.microsoft.com/office/drawing/2014/main" id="{C1841A30-5468-4FAA-A162-FA251449C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7545098"/>
          <a:ext cx="222250" cy="220762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117</xdr:row>
      <xdr:rowOff>224114</xdr:rowOff>
    </xdr:from>
    <xdr:to>
      <xdr:col>11</xdr:col>
      <xdr:colOff>317500</xdr:colOff>
      <xdr:row>118</xdr:row>
      <xdr:rowOff>214690</xdr:rowOff>
    </xdr:to>
    <xdr:pic>
      <xdr:nvPicPr>
        <xdr:cNvPr id="383" name="Graphic 382" descr="Bar graph with downward trend">
          <a:hlinkClick xmlns:r="http://schemas.openxmlformats.org/officeDocument/2006/relationships" r:id="rId239" tooltip="Benefit: 1000 ton CO2/sq km/year (53/117); Average annual cost: 102000 $/sq km/year (79/117); Utility: 0.98 (79/117)"/>
          <a:extLst>
            <a:ext uri="{FF2B5EF4-FFF2-40B4-BE49-F238E27FC236}">
              <a16:creationId xmlns:a16="http://schemas.microsoft.com/office/drawing/2014/main" id="{CBE75223-82F2-4817-B48D-109637C5D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7775177"/>
          <a:ext cx="222250" cy="220763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118</xdr:row>
      <xdr:rowOff>224005</xdr:rowOff>
    </xdr:from>
    <xdr:to>
      <xdr:col>11</xdr:col>
      <xdr:colOff>317500</xdr:colOff>
      <xdr:row>119</xdr:row>
      <xdr:rowOff>214580</xdr:rowOff>
    </xdr:to>
    <xdr:pic>
      <xdr:nvPicPr>
        <xdr:cNvPr id="385" name="Graphic 384" descr="Bar graph with downward trend">
          <a:hlinkClick xmlns:r="http://schemas.openxmlformats.org/officeDocument/2006/relationships" r:id="rId240" tooltip="Benefit: 1000 ton CO2/sq km/year (54/117); Average annual cost: 40 $/sq km/year (18/117); Utility: 2500 (18/117)"/>
          <a:extLst>
            <a:ext uri="{FF2B5EF4-FFF2-40B4-BE49-F238E27FC236}">
              <a16:creationId xmlns:a16="http://schemas.microsoft.com/office/drawing/2014/main" id="{26DF04FF-C6FE-4200-8BE3-37C94A79B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8005255"/>
          <a:ext cx="222250" cy="220763"/>
        </a:xfrm>
        <a:prstGeom prst="rect">
          <a:avLst/>
        </a:prstGeom>
      </xdr:spPr>
    </xdr:pic>
    <xdr:clientData/>
  </xdr:twoCellAnchor>
  <xdr:twoCellAnchor editAs="absolute">
    <xdr:from>
      <xdr:col>11</xdr:col>
      <xdr:colOff>95250</xdr:colOff>
      <xdr:row>119</xdr:row>
      <xdr:rowOff>223840</xdr:rowOff>
    </xdr:from>
    <xdr:to>
      <xdr:col>11</xdr:col>
      <xdr:colOff>317500</xdr:colOff>
      <xdr:row>120</xdr:row>
      <xdr:rowOff>214415</xdr:rowOff>
    </xdr:to>
    <xdr:pic>
      <xdr:nvPicPr>
        <xdr:cNvPr id="389" name="Graphic 388" descr="Bar graph with downward trend">
          <a:hlinkClick xmlns:r="http://schemas.openxmlformats.org/officeDocument/2006/relationships" r:id="rId241" tooltip="Benefit: 1000 ton CO2/sq km/year (55/117); Average annual cost: 40 $/sq km/year (19/117); Utility: 2500 (19/117)"/>
          <a:extLst>
            <a:ext uri="{FF2B5EF4-FFF2-40B4-BE49-F238E27FC236}">
              <a16:creationId xmlns:a16="http://schemas.microsoft.com/office/drawing/2014/main" id="{8C2741EB-DDF1-44D5-94BA-78367DD92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30188" y="28235278"/>
          <a:ext cx="222250" cy="220762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42</xdr:row>
      <xdr:rowOff>23572</xdr:rowOff>
    </xdr:from>
    <xdr:to>
      <xdr:col>42</xdr:col>
      <xdr:colOff>15875</xdr:colOff>
      <xdr:row>43</xdr:row>
      <xdr:rowOff>8150</xdr:rowOff>
    </xdr:to>
    <xdr:pic>
      <xdr:nvPicPr>
        <xdr:cNvPr id="387" name="Graphic 386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A27897B3-D5D9-4E18-8320-FD17491A9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0310572"/>
          <a:ext cx="230896" cy="214766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43</xdr:row>
      <xdr:rowOff>23742</xdr:rowOff>
    </xdr:from>
    <xdr:to>
      <xdr:col>42</xdr:col>
      <xdr:colOff>15875</xdr:colOff>
      <xdr:row>44</xdr:row>
      <xdr:rowOff>8320</xdr:rowOff>
    </xdr:to>
    <xdr:pic>
      <xdr:nvPicPr>
        <xdr:cNvPr id="388" name="Graphic 387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AA6E69B7-EC6E-4D48-9292-3F548FEFD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0540930"/>
          <a:ext cx="230896" cy="214765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44</xdr:row>
      <xdr:rowOff>23912</xdr:rowOff>
    </xdr:from>
    <xdr:to>
      <xdr:col>42</xdr:col>
      <xdr:colOff>15875</xdr:colOff>
      <xdr:row>45</xdr:row>
      <xdr:rowOff>8489</xdr:rowOff>
    </xdr:to>
    <xdr:pic>
      <xdr:nvPicPr>
        <xdr:cNvPr id="391" name="Graphic 390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8D057514-9E96-4402-8F55-BC8C74952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0771287"/>
          <a:ext cx="230896" cy="214765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45</xdr:row>
      <xdr:rowOff>24082</xdr:rowOff>
    </xdr:from>
    <xdr:to>
      <xdr:col>42</xdr:col>
      <xdr:colOff>15875</xdr:colOff>
      <xdr:row>46</xdr:row>
      <xdr:rowOff>8661</xdr:rowOff>
    </xdr:to>
    <xdr:pic>
      <xdr:nvPicPr>
        <xdr:cNvPr id="392" name="Graphic 391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54C347F7-74A7-49F8-8C59-E85507257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1001645"/>
          <a:ext cx="230896" cy="214766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46</xdr:row>
      <xdr:rowOff>24252</xdr:rowOff>
    </xdr:from>
    <xdr:to>
      <xdr:col>42</xdr:col>
      <xdr:colOff>15875</xdr:colOff>
      <xdr:row>47</xdr:row>
      <xdr:rowOff>8830</xdr:rowOff>
    </xdr:to>
    <xdr:pic>
      <xdr:nvPicPr>
        <xdr:cNvPr id="393" name="Graphic 392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C045E853-0FF7-4F1B-9F11-74ADE312A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1232002"/>
          <a:ext cx="230896" cy="214766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47</xdr:row>
      <xdr:rowOff>24422</xdr:rowOff>
    </xdr:from>
    <xdr:to>
      <xdr:col>42</xdr:col>
      <xdr:colOff>15875</xdr:colOff>
      <xdr:row>48</xdr:row>
      <xdr:rowOff>9000</xdr:rowOff>
    </xdr:to>
    <xdr:pic>
      <xdr:nvPicPr>
        <xdr:cNvPr id="394" name="Graphic 393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F0D6F2C8-CD6B-4512-8703-0CA016AAB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1462360"/>
          <a:ext cx="230896" cy="214765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48</xdr:row>
      <xdr:rowOff>24592</xdr:rowOff>
    </xdr:from>
    <xdr:to>
      <xdr:col>42</xdr:col>
      <xdr:colOff>15875</xdr:colOff>
      <xdr:row>49</xdr:row>
      <xdr:rowOff>9169</xdr:rowOff>
    </xdr:to>
    <xdr:pic>
      <xdr:nvPicPr>
        <xdr:cNvPr id="395" name="Graphic 394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2AFDB498-917B-4683-A564-FD97DE426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1692717"/>
          <a:ext cx="230896" cy="214765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49</xdr:row>
      <xdr:rowOff>24762</xdr:rowOff>
    </xdr:from>
    <xdr:to>
      <xdr:col>42</xdr:col>
      <xdr:colOff>15875</xdr:colOff>
      <xdr:row>50</xdr:row>
      <xdr:rowOff>9341</xdr:rowOff>
    </xdr:to>
    <xdr:pic>
      <xdr:nvPicPr>
        <xdr:cNvPr id="396" name="Graphic 395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FC5406D9-EE01-480C-87DE-578B2ADD1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1923075"/>
          <a:ext cx="230896" cy="214766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50</xdr:row>
      <xdr:rowOff>24932</xdr:rowOff>
    </xdr:from>
    <xdr:to>
      <xdr:col>42</xdr:col>
      <xdr:colOff>15875</xdr:colOff>
      <xdr:row>51</xdr:row>
      <xdr:rowOff>9510</xdr:rowOff>
    </xdr:to>
    <xdr:pic>
      <xdr:nvPicPr>
        <xdr:cNvPr id="397" name="Graphic 396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3980311D-A3EF-4F4C-AB81-85164FE5B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2153432"/>
          <a:ext cx="230896" cy="214766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51</xdr:row>
      <xdr:rowOff>25102</xdr:rowOff>
    </xdr:from>
    <xdr:to>
      <xdr:col>42</xdr:col>
      <xdr:colOff>15875</xdr:colOff>
      <xdr:row>52</xdr:row>
      <xdr:rowOff>9680</xdr:rowOff>
    </xdr:to>
    <xdr:pic>
      <xdr:nvPicPr>
        <xdr:cNvPr id="398" name="Graphic 397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090A8DDE-083E-49DB-9D1B-7F6B2FA52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2383790"/>
          <a:ext cx="230896" cy="214765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52</xdr:row>
      <xdr:rowOff>25272</xdr:rowOff>
    </xdr:from>
    <xdr:to>
      <xdr:col>42</xdr:col>
      <xdr:colOff>15875</xdr:colOff>
      <xdr:row>53</xdr:row>
      <xdr:rowOff>9849</xdr:rowOff>
    </xdr:to>
    <xdr:pic>
      <xdr:nvPicPr>
        <xdr:cNvPr id="399" name="Graphic 398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FEC52FAA-062A-4205-B120-88542B75A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2614147"/>
          <a:ext cx="230896" cy="214765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53</xdr:row>
      <xdr:rowOff>25442</xdr:rowOff>
    </xdr:from>
    <xdr:to>
      <xdr:col>42</xdr:col>
      <xdr:colOff>15875</xdr:colOff>
      <xdr:row>54</xdr:row>
      <xdr:rowOff>10021</xdr:rowOff>
    </xdr:to>
    <xdr:pic>
      <xdr:nvPicPr>
        <xdr:cNvPr id="400" name="Graphic 399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F389C02D-D5AA-4869-A897-9F38A3780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2844505"/>
          <a:ext cx="230896" cy="214766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54</xdr:row>
      <xdr:rowOff>25612</xdr:rowOff>
    </xdr:from>
    <xdr:to>
      <xdr:col>42</xdr:col>
      <xdr:colOff>15875</xdr:colOff>
      <xdr:row>55</xdr:row>
      <xdr:rowOff>10190</xdr:rowOff>
    </xdr:to>
    <xdr:pic>
      <xdr:nvPicPr>
        <xdr:cNvPr id="401" name="Graphic 400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3B4937C3-C841-49F3-9E16-C2B9EDCB7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3074862"/>
          <a:ext cx="230896" cy="214766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55</xdr:row>
      <xdr:rowOff>25782</xdr:rowOff>
    </xdr:from>
    <xdr:to>
      <xdr:col>42</xdr:col>
      <xdr:colOff>15875</xdr:colOff>
      <xdr:row>56</xdr:row>
      <xdr:rowOff>10360</xdr:rowOff>
    </xdr:to>
    <xdr:pic>
      <xdr:nvPicPr>
        <xdr:cNvPr id="402" name="Graphic 401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BE15D889-1A89-4A8A-A556-3EC3907DF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3305220"/>
          <a:ext cx="230896" cy="214765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56</xdr:row>
      <xdr:rowOff>25952</xdr:rowOff>
    </xdr:from>
    <xdr:to>
      <xdr:col>42</xdr:col>
      <xdr:colOff>15875</xdr:colOff>
      <xdr:row>57</xdr:row>
      <xdr:rowOff>10529</xdr:rowOff>
    </xdr:to>
    <xdr:pic>
      <xdr:nvPicPr>
        <xdr:cNvPr id="403" name="Graphic 402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3013952C-4DB9-4E08-BE9F-5BAD92C75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3535577"/>
          <a:ext cx="230896" cy="214765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57</xdr:row>
      <xdr:rowOff>26122</xdr:rowOff>
    </xdr:from>
    <xdr:to>
      <xdr:col>42</xdr:col>
      <xdr:colOff>15875</xdr:colOff>
      <xdr:row>58</xdr:row>
      <xdr:rowOff>10701</xdr:rowOff>
    </xdr:to>
    <xdr:pic>
      <xdr:nvPicPr>
        <xdr:cNvPr id="404" name="Graphic 403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F96C0E77-FD2E-4007-9FDC-CFBBFA3EC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3765935"/>
          <a:ext cx="230896" cy="214766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58</xdr:row>
      <xdr:rowOff>26292</xdr:rowOff>
    </xdr:from>
    <xdr:to>
      <xdr:col>42</xdr:col>
      <xdr:colOff>15875</xdr:colOff>
      <xdr:row>59</xdr:row>
      <xdr:rowOff>10870</xdr:rowOff>
    </xdr:to>
    <xdr:pic>
      <xdr:nvPicPr>
        <xdr:cNvPr id="405" name="Graphic 404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1C7D2EF6-5449-495A-BE15-7DDB55456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3996292"/>
          <a:ext cx="230896" cy="214766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59</xdr:row>
      <xdr:rowOff>26462</xdr:rowOff>
    </xdr:from>
    <xdr:to>
      <xdr:col>42</xdr:col>
      <xdr:colOff>15875</xdr:colOff>
      <xdr:row>60</xdr:row>
      <xdr:rowOff>11040</xdr:rowOff>
    </xdr:to>
    <xdr:pic>
      <xdr:nvPicPr>
        <xdr:cNvPr id="406" name="Graphic 405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364737D6-6798-4918-974D-3890B3671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4226650"/>
          <a:ext cx="230896" cy="214765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60</xdr:row>
      <xdr:rowOff>26632</xdr:rowOff>
    </xdr:from>
    <xdr:to>
      <xdr:col>42</xdr:col>
      <xdr:colOff>15875</xdr:colOff>
      <xdr:row>61</xdr:row>
      <xdr:rowOff>11209</xdr:rowOff>
    </xdr:to>
    <xdr:pic>
      <xdr:nvPicPr>
        <xdr:cNvPr id="407" name="Graphic 406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E621443B-8AF4-47BF-9CCD-D088083FC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4457007"/>
          <a:ext cx="230896" cy="214765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61</xdr:row>
      <xdr:rowOff>26802</xdr:rowOff>
    </xdr:from>
    <xdr:to>
      <xdr:col>42</xdr:col>
      <xdr:colOff>15875</xdr:colOff>
      <xdr:row>62</xdr:row>
      <xdr:rowOff>11381</xdr:rowOff>
    </xdr:to>
    <xdr:pic>
      <xdr:nvPicPr>
        <xdr:cNvPr id="408" name="Graphic 407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E08F0CAA-1326-44DD-ADF1-EB5724D93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4687365"/>
          <a:ext cx="230896" cy="214766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62</xdr:row>
      <xdr:rowOff>26972</xdr:rowOff>
    </xdr:from>
    <xdr:to>
      <xdr:col>42</xdr:col>
      <xdr:colOff>15875</xdr:colOff>
      <xdr:row>63</xdr:row>
      <xdr:rowOff>11550</xdr:rowOff>
    </xdr:to>
    <xdr:pic>
      <xdr:nvPicPr>
        <xdr:cNvPr id="409" name="Graphic 408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5C078330-232E-40C6-8710-63EF7B4EE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4917722"/>
          <a:ext cx="230896" cy="214766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63</xdr:row>
      <xdr:rowOff>27142</xdr:rowOff>
    </xdr:from>
    <xdr:to>
      <xdr:col>42</xdr:col>
      <xdr:colOff>15875</xdr:colOff>
      <xdr:row>64</xdr:row>
      <xdr:rowOff>11720</xdr:rowOff>
    </xdr:to>
    <xdr:pic>
      <xdr:nvPicPr>
        <xdr:cNvPr id="410" name="Graphic 409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B4AF3D1A-A6FB-4BC7-83AF-5FABDCFCE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5148080"/>
          <a:ext cx="230896" cy="214765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64</xdr:row>
      <xdr:rowOff>27312</xdr:rowOff>
    </xdr:from>
    <xdr:to>
      <xdr:col>42</xdr:col>
      <xdr:colOff>15875</xdr:colOff>
      <xdr:row>65</xdr:row>
      <xdr:rowOff>11889</xdr:rowOff>
    </xdr:to>
    <xdr:pic>
      <xdr:nvPicPr>
        <xdr:cNvPr id="411" name="Graphic 410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DB4EBEA3-A858-400C-A01A-F1801C314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5378437"/>
          <a:ext cx="230896" cy="214765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65</xdr:row>
      <xdr:rowOff>27482</xdr:rowOff>
    </xdr:from>
    <xdr:to>
      <xdr:col>42</xdr:col>
      <xdr:colOff>15875</xdr:colOff>
      <xdr:row>66</xdr:row>
      <xdr:rowOff>12061</xdr:rowOff>
    </xdr:to>
    <xdr:pic>
      <xdr:nvPicPr>
        <xdr:cNvPr id="412" name="Graphic 411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FFCA95B9-42D6-435F-B387-129308143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5608795"/>
          <a:ext cx="230896" cy="214766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66</xdr:row>
      <xdr:rowOff>27652</xdr:rowOff>
    </xdr:from>
    <xdr:to>
      <xdr:col>42</xdr:col>
      <xdr:colOff>15875</xdr:colOff>
      <xdr:row>67</xdr:row>
      <xdr:rowOff>12230</xdr:rowOff>
    </xdr:to>
    <xdr:pic>
      <xdr:nvPicPr>
        <xdr:cNvPr id="413" name="Graphic 412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D7DA6EAE-F63A-490E-9FF7-ECCC2CDBD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5839152"/>
          <a:ext cx="230896" cy="214766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67</xdr:row>
      <xdr:rowOff>27822</xdr:rowOff>
    </xdr:from>
    <xdr:to>
      <xdr:col>42</xdr:col>
      <xdr:colOff>15875</xdr:colOff>
      <xdr:row>68</xdr:row>
      <xdr:rowOff>12400</xdr:rowOff>
    </xdr:to>
    <xdr:pic>
      <xdr:nvPicPr>
        <xdr:cNvPr id="414" name="Graphic 413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C7ED7BDB-03AA-459F-881E-891FA5053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6069510"/>
          <a:ext cx="230896" cy="214765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68</xdr:row>
      <xdr:rowOff>27992</xdr:rowOff>
    </xdr:from>
    <xdr:to>
      <xdr:col>42</xdr:col>
      <xdr:colOff>15875</xdr:colOff>
      <xdr:row>69</xdr:row>
      <xdr:rowOff>12569</xdr:rowOff>
    </xdr:to>
    <xdr:pic>
      <xdr:nvPicPr>
        <xdr:cNvPr id="415" name="Graphic 414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6B5799AC-FF4C-471C-A0A6-3CA911C1C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6299867"/>
          <a:ext cx="230896" cy="214765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69</xdr:row>
      <xdr:rowOff>28162</xdr:rowOff>
    </xdr:from>
    <xdr:to>
      <xdr:col>42</xdr:col>
      <xdr:colOff>15875</xdr:colOff>
      <xdr:row>70</xdr:row>
      <xdr:rowOff>22266</xdr:rowOff>
    </xdr:to>
    <xdr:pic>
      <xdr:nvPicPr>
        <xdr:cNvPr id="416" name="Graphic 415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C2305384-E120-4B0D-9720-13A13E2C6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6530225"/>
          <a:ext cx="230896" cy="224291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70</xdr:row>
      <xdr:rowOff>28332</xdr:rowOff>
    </xdr:from>
    <xdr:to>
      <xdr:col>42</xdr:col>
      <xdr:colOff>15875</xdr:colOff>
      <xdr:row>71</xdr:row>
      <xdr:rowOff>22435</xdr:rowOff>
    </xdr:to>
    <xdr:pic>
      <xdr:nvPicPr>
        <xdr:cNvPr id="417" name="Graphic 416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3B8C44EE-827C-4A47-80F2-B56761864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6760582"/>
          <a:ext cx="230896" cy="224291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71</xdr:row>
      <xdr:rowOff>28502</xdr:rowOff>
    </xdr:from>
    <xdr:to>
      <xdr:col>42</xdr:col>
      <xdr:colOff>15875</xdr:colOff>
      <xdr:row>72</xdr:row>
      <xdr:rowOff>22605</xdr:rowOff>
    </xdr:to>
    <xdr:pic>
      <xdr:nvPicPr>
        <xdr:cNvPr id="418" name="Graphic 417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F6C32916-37F6-4F90-B1D1-9CEBB4C58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6990940"/>
          <a:ext cx="230896" cy="224290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72</xdr:row>
      <xdr:rowOff>28672</xdr:rowOff>
    </xdr:from>
    <xdr:to>
      <xdr:col>42</xdr:col>
      <xdr:colOff>15875</xdr:colOff>
      <xdr:row>73</xdr:row>
      <xdr:rowOff>22774</xdr:rowOff>
    </xdr:to>
    <xdr:pic>
      <xdr:nvPicPr>
        <xdr:cNvPr id="419" name="Graphic 418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EBB9EDC2-7DE0-4A3B-A491-6D100699F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7221297"/>
          <a:ext cx="230896" cy="224290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73</xdr:row>
      <xdr:rowOff>28842</xdr:rowOff>
    </xdr:from>
    <xdr:to>
      <xdr:col>42</xdr:col>
      <xdr:colOff>15875</xdr:colOff>
      <xdr:row>74</xdr:row>
      <xdr:rowOff>22946</xdr:rowOff>
    </xdr:to>
    <xdr:pic>
      <xdr:nvPicPr>
        <xdr:cNvPr id="420" name="Graphic 419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A8B54BE3-C623-4BDE-AB73-5AABB45F1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7451655"/>
          <a:ext cx="230896" cy="224291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74</xdr:row>
      <xdr:rowOff>29012</xdr:rowOff>
    </xdr:from>
    <xdr:to>
      <xdr:col>42</xdr:col>
      <xdr:colOff>15875</xdr:colOff>
      <xdr:row>75</xdr:row>
      <xdr:rowOff>23115</xdr:rowOff>
    </xdr:to>
    <xdr:pic>
      <xdr:nvPicPr>
        <xdr:cNvPr id="421" name="Graphic 420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95440C8F-84D9-45B1-9C71-1EF7586F1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7682012"/>
          <a:ext cx="230896" cy="224291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75</xdr:row>
      <xdr:rowOff>29182</xdr:rowOff>
    </xdr:from>
    <xdr:to>
      <xdr:col>42</xdr:col>
      <xdr:colOff>15875</xdr:colOff>
      <xdr:row>76</xdr:row>
      <xdr:rowOff>23285</xdr:rowOff>
    </xdr:to>
    <xdr:pic>
      <xdr:nvPicPr>
        <xdr:cNvPr id="422" name="Graphic 421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BC08593D-7952-4F00-82A8-7DFEADED6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7912370"/>
          <a:ext cx="230896" cy="224290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76</xdr:row>
      <xdr:rowOff>29352</xdr:rowOff>
    </xdr:from>
    <xdr:to>
      <xdr:col>42</xdr:col>
      <xdr:colOff>15875</xdr:colOff>
      <xdr:row>77</xdr:row>
      <xdr:rowOff>23454</xdr:rowOff>
    </xdr:to>
    <xdr:pic>
      <xdr:nvPicPr>
        <xdr:cNvPr id="423" name="Graphic 422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5CD6A535-3296-43AE-9A3F-E9BA676F1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8142727"/>
          <a:ext cx="230896" cy="224290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77</xdr:row>
      <xdr:rowOff>29522</xdr:rowOff>
    </xdr:from>
    <xdr:to>
      <xdr:col>42</xdr:col>
      <xdr:colOff>15875</xdr:colOff>
      <xdr:row>78</xdr:row>
      <xdr:rowOff>23626</xdr:rowOff>
    </xdr:to>
    <xdr:pic>
      <xdr:nvPicPr>
        <xdr:cNvPr id="424" name="Graphic 423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549C0986-CB15-4822-8CBC-6E3CF661B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8373085"/>
          <a:ext cx="230896" cy="224291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78</xdr:row>
      <xdr:rowOff>29692</xdr:rowOff>
    </xdr:from>
    <xdr:to>
      <xdr:col>42</xdr:col>
      <xdr:colOff>15875</xdr:colOff>
      <xdr:row>79</xdr:row>
      <xdr:rowOff>23795</xdr:rowOff>
    </xdr:to>
    <xdr:pic>
      <xdr:nvPicPr>
        <xdr:cNvPr id="425" name="Graphic 424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C6D75A74-9E76-4194-898A-2A448A963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8603442"/>
          <a:ext cx="230896" cy="224291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79</xdr:row>
      <xdr:rowOff>29862</xdr:rowOff>
    </xdr:from>
    <xdr:to>
      <xdr:col>42</xdr:col>
      <xdr:colOff>15875</xdr:colOff>
      <xdr:row>80</xdr:row>
      <xdr:rowOff>23965</xdr:rowOff>
    </xdr:to>
    <xdr:pic>
      <xdr:nvPicPr>
        <xdr:cNvPr id="426" name="Graphic 425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32233BC1-D0E4-4D3E-BC64-E4CE7F2A0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8833800"/>
          <a:ext cx="230896" cy="224290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80</xdr:row>
      <xdr:rowOff>30032</xdr:rowOff>
    </xdr:from>
    <xdr:to>
      <xdr:col>42</xdr:col>
      <xdr:colOff>15875</xdr:colOff>
      <xdr:row>81</xdr:row>
      <xdr:rowOff>24134</xdr:rowOff>
    </xdr:to>
    <xdr:pic>
      <xdr:nvPicPr>
        <xdr:cNvPr id="427" name="Graphic 426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25C46746-2A2A-4F79-A426-DE703B586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9064157"/>
          <a:ext cx="230896" cy="224290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81</xdr:row>
      <xdr:rowOff>30202</xdr:rowOff>
    </xdr:from>
    <xdr:to>
      <xdr:col>42</xdr:col>
      <xdr:colOff>15875</xdr:colOff>
      <xdr:row>82</xdr:row>
      <xdr:rowOff>24306</xdr:rowOff>
    </xdr:to>
    <xdr:pic>
      <xdr:nvPicPr>
        <xdr:cNvPr id="428" name="Graphic 427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757605E7-800E-4C3B-BE6A-B5FAA347D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9294515"/>
          <a:ext cx="230896" cy="224291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82</xdr:row>
      <xdr:rowOff>30372</xdr:rowOff>
    </xdr:from>
    <xdr:to>
      <xdr:col>42</xdr:col>
      <xdr:colOff>15875</xdr:colOff>
      <xdr:row>83</xdr:row>
      <xdr:rowOff>24475</xdr:rowOff>
    </xdr:to>
    <xdr:pic>
      <xdr:nvPicPr>
        <xdr:cNvPr id="429" name="Graphic 428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3B8EB11D-6169-49DC-80CB-1864DCF80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9524872"/>
          <a:ext cx="230896" cy="224291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83</xdr:row>
      <xdr:rowOff>30542</xdr:rowOff>
    </xdr:from>
    <xdr:to>
      <xdr:col>42</xdr:col>
      <xdr:colOff>15875</xdr:colOff>
      <xdr:row>84</xdr:row>
      <xdr:rowOff>24645</xdr:rowOff>
    </xdr:to>
    <xdr:pic>
      <xdr:nvPicPr>
        <xdr:cNvPr id="430" name="Graphic 429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E6C17B14-F177-445B-A88D-2560A2084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9755230"/>
          <a:ext cx="230896" cy="224290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84</xdr:row>
      <xdr:rowOff>30712</xdr:rowOff>
    </xdr:from>
    <xdr:to>
      <xdr:col>42</xdr:col>
      <xdr:colOff>15875</xdr:colOff>
      <xdr:row>85</xdr:row>
      <xdr:rowOff>24814</xdr:rowOff>
    </xdr:to>
    <xdr:pic>
      <xdr:nvPicPr>
        <xdr:cNvPr id="431" name="Graphic 430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9160E784-0908-4FDD-919B-76F7F3D5F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19985587"/>
          <a:ext cx="230896" cy="224290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85</xdr:row>
      <xdr:rowOff>30882</xdr:rowOff>
    </xdr:from>
    <xdr:to>
      <xdr:col>42</xdr:col>
      <xdr:colOff>15875</xdr:colOff>
      <xdr:row>86</xdr:row>
      <xdr:rowOff>24986</xdr:rowOff>
    </xdr:to>
    <xdr:pic>
      <xdr:nvPicPr>
        <xdr:cNvPr id="432" name="Graphic 431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71045551-B176-4866-99D2-CE923B34F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0215945"/>
          <a:ext cx="230896" cy="224291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86</xdr:row>
      <xdr:rowOff>31052</xdr:rowOff>
    </xdr:from>
    <xdr:to>
      <xdr:col>42</xdr:col>
      <xdr:colOff>15875</xdr:colOff>
      <xdr:row>87</xdr:row>
      <xdr:rowOff>25155</xdr:rowOff>
    </xdr:to>
    <xdr:pic>
      <xdr:nvPicPr>
        <xdr:cNvPr id="433" name="Graphic 432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AB6105C9-34E1-4540-8ACB-123AF9B9D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0446302"/>
          <a:ext cx="230896" cy="224291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87</xdr:row>
      <xdr:rowOff>31222</xdr:rowOff>
    </xdr:from>
    <xdr:to>
      <xdr:col>42</xdr:col>
      <xdr:colOff>15875</xdr:colOff>
      <xdr:row>88</xdr:row>
      <xdr:rowOff>25325</xdr:rowOff>
    </xdr:to>
    <xdr:pic>
      <xdr:nvPicPr>
        <xdr:cNvPr id="434" name="Graphic 433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7FD7C3A4-9F72-4B42-826B-8DC7BCFFD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0676660"/>
          <a:ext cx="230896" cy="224290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88</xdr:row>
      <xdr:rowOff>31392</xdr:rowOff>
    </xdr:from>
    <xdr:to>
      <xdr:col>42</xdr:col>
      <xdr:colOff>15875</xdr:colOff>
      <xdr:row>89</xdr:row>
      <xdr:rowOff>22319</xdr:rowOff>
    </xdr:to>
    <xdr:pic>
      <xdr:nvPicPr>
        <xdr:cNvPr id="435" name="Graphic 434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DA1627DF-5394-4697-8F91-2AF0A5E29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0907017"/>
          <a:ext cx="230896" cy="221115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89</xdr:row>
      <xdr:rowOff>31562</xdr:rowOff>
    </xdr:from>
    <xdr:to>
      <xdr:col>42</xdr:col>
      <xdr:colOff>15875</xdr:colOff>
      <xdr:row>90</xdr:row>
      <xdr:rowOff>22491</xdr:rowOff>
    </xdr:to>
    <xdr:pic>
      <xdr:nvPicPr>
        <xdr:cNvPr id="436" name="Graphic 435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BFF4BF1D-EB9E-4A7B-B58B-F06B3CC5A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1137375"/>
          <a:ext cx="230896" cy="221116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90</xdr:row>
      <xdr:rowOff>31732</xdr:rowOff>
    </xdr:from>
    <xdr:to>
      <xdr:col>42</xdr:col>
      <xdr:colOff>15875</xdr:colOff>
      <xdr:row>91</xdr:row>
      <xdr:rowOff>22660</xdr:rowOff>
    </xdr:to>
    <xdr:pic>
      <xdr:nvPicPr>
        <xdr:cNvPr id="437" name="Graphic 436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785134B9-D140-4417-8C99-BEE52A385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1367732"/>
          <a:ext cx="230896" cy="221116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91</xdr:row>
      <xdr:rowOff>31902</xdr:rowOff>
    </xdr:from>
    <xdr:to>
      <xdr:col>42</xdr:col>
      <xdr:colOff>15875</xdr:colOff>
      <xdr:row>92</xdr:row>
      <xdr:rowOff>22830</xdr:rowOff>
    </xdr:to>
    <xdr:pic>
      <xdr:nvPicPr>
        <xdr:cNvPr id="438" name="Graphic 437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6FD7E462-DA91-4BA6-BF3C-030F67838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1598090"/>
          <a:ext cx="230896" cy="221115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92</xdr:row>
      <xdr:rowOff>32072</xdr:rowOff>
    </xdr:from>
    <xdr:to>
      <xdr:col>42</xdr:col>
      <xdr:colOff>15875</xdr:colOff>
      <xdr:row>93</xdr:row>
      <xdr:rowOff>22999</xdr:rowOff>
    </xdr:to>
    <xdr:pic>
      <xdr:nvPicPr>
        <xdr:cNvPr id="439" name="Graphic 438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33CF2F11-A8A4-48F9-A8DE-723D7393F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1828447"/>
          <a:ext cx="230896" cy="221115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93</xdr:row>
      <xdr:rowOff>32242</xdr:rowOff>
    </xdr:from>
    <xdr:to>
      <xdr:col>42</xdr:col>
      <xdr:colOff>15875</xdr:colOff>
      <xdr:row>94</xdr:row>
      <xdr:rowOff>23171</xdr:rowOff>
    </xdr:to>
    <xdr:pic>
      <xdr:nvPicPr>
        <xdr:cNvPr id="440" name="Graphic 439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5BB1445F-2955-4735-A24A-4D448DC7B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2058805"/>
          <a:ext cx="230896" cy="221116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94</xdr:row>
      <xdr:rowOff>32412</xdr:rowOff>
    </xdr:from>
    <xdr:to>
      <xdr:col>42</xdr:col>
      <xdr:colOff>15875</xdr:colOff>
      <xdr:row>95</xdr:row>
      <xdr:rowOff>23340</xdr:rowOff>
    </xdr:to>
    <xdr:pic>
      <xdr:nvPicPr>
        <xdr:cNvPr id="441" name="Graphic 440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0C8771A0-EB4A-4748-BE5C-C29AD68BF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2289162"/>
          <a:ext cx="230896" cy="221116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95</xdr:row>
      <xdr:rowOff>32582</xdr:rowOff>
    </xdr:from>
    <xdr:to>
      <xdr:col>42</xdr:col>
      <xdr:colOff>15875</xdr:colOff>
      <xdr:row>96</xdr:row>
      <xdr:rowOff>23510</xdr:rowOff>
    </xdr:to>
    <xdr:pic>
      <xdr:nvPicPr>
        <xdr:cNvPr id="442" name="Graphic 441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A1AC8F0D-A42F-4A61-9762-E8C443414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2519520"/>
          <a:ext cx="230896" cy="221115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96</xdr:row>
      <xdr:rowOff>32752</xdr:rowOff>
    </xdr:from>
    <xdr:to>
      <xdr:col>42</xdr:col>
      <xdr:colOff>15875</xdr:colOff>
      <xdr:row>97</xdr:row>
      <xdr:rowOff>23679</xdr:rowOff>
    </xdr:to>
    <xdr:pic>
      <xdr:nvPicPr>
        <xdr:cNvPr id="443" name="Graphic 442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92963C6D-7BB2-42B9-8C29-2231AFDD7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2749877"/>
          <a:ext cx="230896" cy="221115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97</xdr:row>
      <xdr:rowOff>32922</xdr:rowOff>
    </xdr:from>
    <xdr:to>
      <xdr:col>42</xdr:col>
      <xdr:colOff>15875</xdr:colOff>
      <xdr:row>98</xdr:row>
      <xdr:rowOff>23851</xdr:rowOff>
    </xdr:to>
    <xdr:pic>
      <xdr:nvPicPr>
        <xdr:cNvPr id="444" name="Graphic 443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8FFEC331-AD76-4D47-AEA4-A0F428534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2980235"/>
          <a:ext cx="230896" cy="221116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98</xdr:row>
      <xdr:rowOff>33092</xdr:rowOff>
    </xdr:from>
    <xdr:to>
      <xdr:col>42</xdr:col>
      <xdr:colOff>15875</xdr:colOff>
      <xdr:row>99</xdr:row>
      <xdr:rowOff>24020</xdr:rowOff>
    </xdr:to>
    <xdr:pic>
      <xdr:nvPicPr>
        <xdr:cNvPr id="445" name="Graphic 444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EC4BBD5D-458A-4B30-9277-D4890E23B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3210592"/>
          <a:ext cx="230896" cy="221116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99</xdr:row>
      <xdr:rowOff>33262</xdr:rowOff>
    </xdr:from>
    <xdr:to>
      <xdr:col>42</xdr:col>
      <xdr:colOff>15875</xdr:colOff>
      <xdr:row>100</xdr:row>
      <xdr:rowOff>24190</xdr:rowOff>
    </xdr:to>
    <xdr:pic>
      <xdr:nvPicPr>
        <xdr:cNvPr id="446" name="Graphic 445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4B19FD63-89DC-4B3C-89D0-8A67CCFE5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3440950"/>
          <a:ext cx="230896" cy="221115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100</xdr:row>
      <xdr:rowOff>33432</xdr:rowOff>
    </xdr:from>
    <xdr:to>
      <xdr:col>42</xdr:col>
      <xdr:colOff>15875</xdr:colOff>
      <xdr:row>101</xdr:row>
      <xdr:rowOff>24359</xdr:rowOff>
    </xdr:to>
    <xdr:pic>
      <xdr:nvPicPr>
        <xdr:cNvPr id="447" name="Graphic 446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E116A8C9-BB20-4C73-9385-34A4EC74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3671307"/>
          <a:ext cx="230896" cy="221115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101</xdr:row>
      <xdr:rowOff>33602</xdr:rowOff>
    </xdr:from>
    <xdr:to>
      <xdr:col>42</xdr:col>
      <xdr:colOff>15875</xdr:colOff>
      <xdr:row>102</xdr:row>
      <xdr:rowOff>24531</xdr:rowOff>
    </xdr:to>
    <xdr:pic>
      <xdr:nvPicPr>
        <xdr:cNvPr id="448" name="Graphic 447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A440DBAD-5720-4285-8248-DDC697ECD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3901665"/>
          <a:ext cx="230896" cy="221116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102</xdr:row>
      <xdr:rowOff>33772</xdr:rowOff>
    </xdr:from>
    <xdr:to>
      <xdr:col>42</xdr:col>
      <xdr:colOff>15875</xdr:colOff>
      <xdr:row>103</xdr:row>
      <xdr:rowOff>24700</xdr:rowOff>
    </xdr:to>
    <xdr:pic>
      <xdr:nvPicPr>
        <xdr:cNvPr id="449" name="Graphic 448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130164E5-1AE1-43F4-885E-36377BBD7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4132022"/>
          <a:ext cx="230896" cy="221116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103</xdr:row>
      <xdr:rowOff>33942</xdr:rowOff>
    </xdr:from>
    <xdr:to>
      <xdr:col>42</xdr:col>
      <xdr:colOff>15875</xdr:colOff>
      <xdr:row>104</xdr:row>
      <xdr:rowOff>24870</xdr:rowOff>
    </xdr:to>
    <xdr:pic>
      <xdr:nvPicPr>
        <xdr:cNvPr id="450" name="Graphic 449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9783AD27-BF0B-42EC-9DF4-AB3084699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4362380"/>
          <a:ext cx="230896" cy="221115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104</xdr:row>
      <xdr:rowOff>34112</xdr:rowOff>
    </xdr:from>
    <xdr:to>
      <xdr:col>42</xdr:col>
      <xdr:colOff>15875</xdr:colOff>
      <xdr:row>105</xdr:row>
      <xdr:rowOff>25039</xdr:rowOff>
    </xdr:to>
    <xdr:pic>
      <xdr:nvPicPr>
        <xdr:cNvPr id="451" name="Graphic 450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6B796E50-1041-4090-9413-B24869829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4592737"/>
          <a:ext cx="230896" cy="221115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105</xdr:row>
      <xdr:rowOff>34282</xdr:rowOff>
    </xdr:from>
    <xdr:to>
      <xdr:col>42</xdr:col>
      <xdr:colOff>15875</xdr:colOff>
      <xdr:row>106</xdr:row>
      <xdr:rowOff>25211</xdr:rowOff>
    </xdr:to>
    <xdr:pic>
      <xdr:nvPicPr>
        <xdr:cNvPr id="452" name="Graphic 451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97940492-DB8E-4135-85D4-B70D94718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4823095"/>
          <a:ext cx="230896" cy="221116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106</xdr:row>
      <xdr:rowOff>34452</xdr:rowOff>
    </xdr:from>
    <xdr:to>
      <xdr:col>42</xdr:col>
      <xdr:colOff>15875</xdr:colOff>
      <xdr:row>107</xdr:row>
      <xdr:rowOff>25380</xdr:rowOff>
    </xdr:to>
    <xdr:pic>
      <xdr:nvPicPr>
        <xdr:cNvPr id="453" name="Graphic 452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2FFB74C5-230D-4B2C-8B66-7323ED094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5053452"/>
          <a:ext cx="230896" cy="221116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107</xdr:row>
      <xdr:rowOff>34622</xdr:rowOff>
    </xdr:from>
    <xdr:to>
      <xdr:col>42</xdr:col>
      <xdr:colOff>15875</xdr:colOff>
      <xdr:row>108</xdr:row>
      <xdr:rowOff>22375</xdr:rowOff>
    </xdr:to>
    <xdr:pic>
      <xdr:nvPicPr>
        <xdr:cNvPr id="454" name="Graphic 453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A3669300-EA18-4166-9F60-B2F77C5A3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5283810"/>
          <a:ext cx="230896" cy="217940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108</xdr:row>
      <xdr:rowOff>34792</xdr:rowOff>
    </xdr:from>
    <xdr:to>
      <xdr:col>42</xdr:col>
      <xdr:colOff>15875</xdr:colOff>
      <xdr:row>109</xdr:row>
      <xdr:rowOff>22544</xdr:rowOff>
    </xdr:to>
    <xdr:pic>
      <xdr:nvPicPr>
        <xdr:cNvPr id="455" name="Graphic 454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61476712-185C-41D5-9FF6-E4F0227CA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5514167"/>
          <a:ext cx="230896" cy="217940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109</xdr:row>
      <xdr:rowOff>34962</xdr:rowOff>
    </xdr:from>
    <xdr:to>
      <xdr:col>42</xdr:col>
      <xdr:colOff>15875</xdr:colOff>
      <xdr:row>110</xdr:row>
      <xdr:rowOff>22716</xdr:rowOff>
    </xdr:to>
    <xdr:pic>
      <xdr:nvPicPr>
        <xdr:cNvPr id="456" name="Graphic 455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C7003BFB-2CF9-4755-9FA4-69C347B19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5744525"/>
          <a:ext cx="230896" cy="217941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110</xdr:row>
      <xdr:rowOff>35132</xdr:rowOff>
    </xdr:from>
    <xdr:to>
      <xdr:col>42</xdr:col>
      <xdr:colOff>15875</xdr:colOff>
      <xdr:row>111</xdr:row>
      <xdr:rowOff>22885</xdr:rowOff>
    </xdr:to>
    <xdr:pic>
      <xdr:nvPicPr>
        <xdr:cNvPr id="457" name="Graphic 456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A8E789AE-D1E6-4E7A-BC71-270A56229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5974882"/>
          <a:ext cx="230896" cy="217941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111</xdr:row>
      <xdr:rowOff>35302</xdr:rowOff>
    </xdr:from>
    <xdr:to>
      <xdr:col>42</xdr:col>
      <xdr:colOff>15875</xdr:colOff>
      <xdr:row>112</xdr:row>
      <xdr:rowOff>23055</xdr:rowOff>
    </xdr:to>
    <xdr:pic>
      <xdr:nvPicPr>
        <xdr:cNvPr id="458" name="Graphic 457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2F76AD4E-77F1-40A0-9CFE-27C4D22A8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6205240"/>
          <a:ext cx="230896" cy="217940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112</xdr:row>
      <xdr:rowOff>35472</xdr:rowOff>
    </xdr:from>
    <xdr:to>
      <xdr:col>42</xdr:col>
      <xdr:colOff>15875</xdr:colOff>
      <xdr:row>113</xdr:row>
      <xdr:rowOff>23224</xdr:rowOff>
    </xdr:to>
    <xdr:pic>
      <xdr:nvPicPr>
        <xdr:cNvPr id="459" name="Graphic 458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ADAAEA9B-1DD4-4E24-826C-3DB69EAA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6435597"/>
          <a:ext cx="230896" cy="217940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113</xdr:row>
      <xdr:rowOff>35642</xdr:rowOff>
    </xdr:from>
    <xdr:to>
      <xdr:col>42</xdr:col>
      <xdr:colOff>15875</xdr:colOff>
      <xdr:row>114</xdr:row>
      <xdr:rowOff>23396</xdr:rowOff>
    </xdr:to>
    <xdr:pic>
      <xdr:nvPicPr>
        <xdr:cNvPr id="460" name="Graphic 459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13844D0E-341B-4B1D-820E-5439914A0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6665955"/>
          <a:ext cx="230896" cy="217941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114</xdr:row>
      <xdr:rowOff>35812</xdr:rowOff>
    </xdr:from>
    <xdr:to>
      <xdr:col>42</xdr:col>
      <xdr:colOff>15875</xdr:colOff>
      <xdr:row>115</xdr:row>
      <xdr:rowOff>23565</xdr:rowOff>
    </xdr:to>
    <xdr:pic>
      <xdr:nvPicPr>
        <xdr:cNvPr id="461" name="Graphic 460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A308BA99-1D3A-4C67-BEBD-07A84F655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6896312"/>
          <a:ext cx="230896" cy="217941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115</xdr:row>
      <xdr:rowOff>35982</xdr:rowOff>
    </xdr:from>
    <xdr:to>
      <xdr:col>42</xdr:col>
      <xdr:colOff>15875</xdr:colOff>
      <xdr:row>116</xdr:row>
      <xdr:rowOff>23735</xdr:rowOff>
    </xdr:to>
    <xdr:pic>
      <xdr:nvPicPr>
        <xdr:cNvPr id="462" name="Graphic 461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A8432D3B-F0B7-465F-8837-694D747E7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7126670"/>
          <a:ext cx="230896" cy="217940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116</xdr:row>
      <xdr:rowOff>36152</xdr:rowOff>
    </xdr:from>
    <xdr:to>
      <xdr:col>42</xdr:col>
      <xdr:colOff>15875</xdr:colOff>
      <xdr:row>117</xdr:row>
      <xdr:rowOff>23904</xdr:rowOff>
    </xdr:to>
    <xdr:pic>
      <xdr:nvPicPr>
        <xdr:cNvPr id="463" name="Graphic 462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4E245C00-DD05-499C-B261-E8F74AB65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7357027"/>
          <a:ext cx="230896" cy="217940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117</xdr:row>
      <xdr:rowOff>36322</xdr:rowOff>
    </xdr:from>
    <xdr:to>
      <xdr:col>42</xdr:col>
      <xdr:colOff>15875</xdr:colOff>
      <xdr:row>118</xdr:row>
      <xdr:rowOff>24076</xdr:rowOff>
    </xdr:to>
    <xdr:pic>
      <xdr:nvPicPr>
        <xdr:cNvPr id="464" name="Graphic 463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95C14624-6E97-48A6-B135-CBC8D039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7587385"/>
          <a:ext cx="230896" cy="217941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118</xdr:row>
      <xdr:rowOff>36492</xdr:rowOff>
    </xdr:from>
    <xdr:to>
      <xdr:col>42</xdr:col>
      <xdr:colOff>15875</xdr:colOff>
      <xdr:row>119</xdr:row>
      <xdr:rowOff>24245</xdr:rowOff>
    </xdr:to>
    <xdr:pic>
      <xdr:nvPicPr>
        <xdr:cNvPr id="465" name="Graphic 464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BAB78DDD-8733-4EC5-955A-676FD52A6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7817742"/>
          <a:ext cx="230896" cy="217941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119</xdr:row>
      <xdr:rowOff>36662</xdr:rowOff>
    </xdr:from>
    <xdr:to>
      <xdr:col>42</xdr:col>
      <xdr:colOff>15875</xdr:colOff>
      <xdr:row>120</xdr:row>
      <xdr:rowOff>24415</xdr:rowOff>
    </xdr:to>
    <xdr:pic>
      <xdr:nvPicPr>
        <xdr:cNvPr id="466" name="Graphic 465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0681B1D9-C590-4241-86B3-992FA5964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8048100"/>
          <a:ext cx="230896" cy="217940"/>
        </a:xfrm>
        <a:prstGeom prst="rect">
          <a:avLst/>
        </a:prstGeom>
      </xdr:spPr>
    </xdr:pic>
    <xdr:clientData/>
  </xdr:twoCellAnchor>
  <xdr:twoCellAnchor editAs="absolute">
    <xdr:from>
      <xdr:col>11</xdr:col>
      <xdr:colOff>380291</xdr:colOff>
      <xdr:row>120</xdr:row>
      <xdr:rowOff>36872</xdr:rowOff>
    </xdr:from>
    <xdr:to>
      <xdr:col>42</xdr:col>
      <xdr:colOff>15875</xdr:colOff>
      <xdr:row>121</xdr:row>
      <xdr:rowOff>24624</xdr:rowOff>
    </xdr:to>
    <xdr:pic>
      <xdr:nvPicPr>
        <xdr:cNvPr id="467" name="Graphic 466" descr="Presentation with bar chart RTL">
          <a:hlinkClick xmlns:r="http://schemas.openxmlformats.org/officeDocument/2006/relationships" r:id="rId8" tooltip="Show cost graph"/>
          <a:extLst>
            <a:ext uri="{FF2B5EF4-FFF2-40B4-BE49-F238E27FC236}">
              <a16:creationId xmlns:a16="http://schemas.microsoft.com/office/drawing/2014/main" id="{A30A7061-4809-4408-8726-0CFC4D959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215229" y="28278497"/>
          <a:ext cx="230896" cy="2179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22675</xdr:colOff>
      <xdr:row>0</xdr:row>
      <xdr:rowOff>22674</xdr:rowOff>
    </xdr:from>
    <xdr:to>
      <xdr:col>3</xdr:col>
      <xdr:colOff>685800</xdr:colOff>
      <xdr:row>2</xdr:row>
      <xdr:rowOff>638616</xdr:rowOff>
    </xdr:to>
    <xdr:pic>
      <xdr:nvPicPr>
        <xdr:cNvPr id="2" name="Graphic 1" descr="Back">
          <a:hlinkClick xmlns:r="http://schemas.openxmlformats.org/officeDocument/2006/relationships" r:id="rId1" tooltip="Go back to the Gantt Chart preparation page"/>
          <a:extLst>
            <a:ext uri="{FF2B5EF4-FFF2-40B4-BE49-F238E27FC236}">
              <a16:creationId xmlns:a16="http://schemas.microsoft.com/office/drawing/2014/main" id="{2FFFE239-8660-46FA-A13A-86FA45CE8B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 t="14091" b="1"/>
        <a:stretch/>
      </xdr:blipFill>
      <xdr:spPr>
        <a:xfrm>
          <a:off x="136975" y="22674"/>
          <a:ext cx="1006025" cy="869942"/>
        </a:xfrm>
        <a:prstGeom prst="rect">
          <a:avLst/>
        </a:prstGeom>
      </xdr:spPr>
    </xdr:pic>
    <xdr:clientData/>
  </xdr:twoCellAnchor>
  <xdr:oneCellAnchor>
    <xdr:from>
      <xdr:col>24</xdr:col>
      <xdr:colOff>0</xdr:colOff>
      <xdr:row>74</xdr:row>
      <xdr:rowOff>0</xdr:rowOff>
    </xdr:from>
    <xdr:ext cx="7620" cy="7620"/>
    <xdr:pic>
      <xdr:nvPicPr>
        <xdr:cNvPr id="3" name="Picture 2" descr="Attachments">
          <a:extLst>
            <a:ext uri="{FF2B5EF4-FFF2-40B4-BE49-F238E27FC236}">
              <a16:creationId xmlns:a16="http://schemas.microsoft.com/office/drawing/2014/main" id="{229EE77F-E73B-40EA-9FD0-1E9F62B74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57670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75</xdr:row>
      <xdr:rowOff>0</xdr:rowOff>
    </xdr:from>
    <xdr:ext cx="7620" cy="7620"/>
    <xdr:pic>
      <xdr:nvPicPr>
        <xdr:cNvPr id="4" name="Picture 3" descr="Attachments">
          <a:extLst>
            <a:ext uri="{FF2B5EF4-FFF2-40B4-BE49-F238E27FC236}">
              <a16:creationId xmlns:a16="http://schemas.microsoft.com/office/drawing/2014/main" id="{50489068-6318-41F3-8160-563F192A5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59575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96</xdr:row>
      <xdr:rowOff>0</xdr:rowOff>
    </xdr:from>
    <xdr:ext cx="7620" cy="7620"/>
    <xdr:pic>
      <xdr:nvPicPr>
        <xdr:cNvPr id="5" name="Picture 4" descr="Attachments">
          <a:extLst>
            <a:ext uri="{FF2B5EF4-FFF2-40B4-BE49-F238E27FC236}">
              <a16:creationId xmlns:a16="http://schemas.microsoft.com/office/drawing/2014/main" id="{CE42AFF0-B9EC-4504-9B14-C9E426C85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98310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97</xdr:row>
      <xdr:rowOff>0</xdr:rowOff>
    </xdr:from>
    <xdr:ext cx="7620" cy="7620"/>
    <xdr:pic>
      <xdr:nvPicPr>
        <xdr:cNvPr id="6" name="Picture 5" descr="Attachments">
          <a:extLst>
            <a:ext uri="{FF2B5EF4-FFF2-40B4-BE49-F238E27FC236}">
              <a16:creationId xmlns:a16="http://schemas.microsoft.com/office/drawing/2014/main" id="{92E5F433-A762-48C6-9EAA-C347E9393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200152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98</xdr:row>
      <xdr:rowOff>0</xdr:rowOff>
    </xdr:from>
    <xdr:ext cx="7620" cy="7620"/>
    <xdr:pic>
      <xdr:nvPicPr>
        <xdr:cNvPr id="7" name="Picture 6" descr="Attachments">
          <a:extLst>
            <a:ext uri="{FF2B5EF4-FFF2-40B4-BE49-F238E27FC236}">
              <a16:creationId xmlns:a16="http://schemas.microsoft.com/office/drawing/2014/main" id="{113517D2-E472-406F-B5DB-5A4CBCE4A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201993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99</xdr:row>
      <xdr:rowOff>0</xdr:rowOff>
    </xdr:from>
    <xdr:ext cx="7620" cy="7620"/>
    <xdr:pic>
      <xdr:nvPicPr>
        <xdr:cNvPr id="8" name="Picture 7" descr="Attachments">
          <a:extLst>
            <a:ext uri="{FF2B5EF4-FFF2-40B4-BE49-F238E27FC236}">
              <a16:creationId xmlns:a16="http://schemas.microsoft.com/office/drawing/2014/main" id="{2814F749-8779-41D7-B3F6-F6E81D4E2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20383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90</xdr:row>
      <xdr:rowOff>0</xdr:rowOff>
    </xdr:from>
    <xdr:ext cx="7620" cy="7620"/>
    <xdr:pic>
      <xdr:nvPicPr>
        <xdr:cNvPr id="9" name="Picture 8" descr="Attachments">
          <a:extLst>
            <a:ext uri="{FF2B5EF4-FFF2-40B4-BE49-F238E27FC236}">
              <a16:creationId xmlns:a16="http://schemas.microsoft.com/office/drawing/2014/main" id="{A6094CDA-7815-4294-B8DB-8D3318EBA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87261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0</xdr:rowOff>
    </xdr:from>
    <xdr:ext cx="7620" cy="7620"/>
    <xdr:pic>
      <xdr:nvPicPr>
        <xdr:cNvPr id="10" name="Picture 9" descr="Attachments">
          <a:extLst>
            <a:ext uri="{FF2B5EF4-FFF2-40B4-BE49-F238E27FC236}">
              <a16:creationId xmlns:a16="http://schemas.microsoft.com/office/drawing/2014/main" id="{FB13857E-9428-4436-8BCF-990721315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79895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44</xdr:row>
      <xdr:rowOff>0</xdr:rowOff>
    </xdr:from>
    <xdr:ext cx="7620" cy="7620"/>
    <xdr:pic>
      <xdr:nvPicPr>
        <xdr:cNvPr id="11" name="Picture 10" descr="Attachments">
          <a:extLst>
            <a:ext uri="{FF2B5EF4-FFF2-40B4-BE49-F238E27FC236}">
              <a16:creationId xmlns:a16="http://schemas.microsoft.com/office/drawing/2014/main" id="{3BB32B1D-2827-4367-8867-8BD763243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02298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</xdr:row>
      <xdr:rowOff>0</xdr:rowOff>
    </xdr:from>
    <xdr:ext cx="7620" cy="7620"/>
    <xdr:pic>
      <xdr:nvPicPr>
        <xdr:cNvPr id="12" name="Picture 11" descr="Attachments">
          <a:extLst>
            <a:ext uri="{FF2B5EF4-FFF2-40B4-BE49-F238E27FC236}">
              <a16:creationId xmlns:a16="http://schemas.microsoft.com/office/drawing/2014/main" id="{788FD5D8-A0E4-43BD-B298-9D01CCAC0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37655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96</xdr:row>
      <xdr:rowOff>0</xdr:rowOff>
    </xdr:from>
    <xdr:ext cx="7620" cy="7620"/>
    <xdr:pic>
      <xdr:nvPicPr>
        <xdr:cNvPr id="13" name="Picture 12" descr="Attachments">
          <a:extLst>
            <a:ext uri="{FF2B5EF4-FFF2-40B4-BE49-F238E27FC236}">
              <a16:creationId xmlns:a16="http://schemas.microsoft.com/office/drawing/2014/main" id="{22ABAA21-21DD-490B-A79B-538FD09AD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98310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45</xdr:row>
      <xdr:rowOff>0</xdr:rowOff>
    </xdr:from>
    <xdr:ext cx="7620" cy="7620"/>
    <xdr:pic>
      <xdr:nvPicPr>
        <xdr:cNvPr id="14" name="Picture 13" descr="Attachments">
          <a:extLst>
            <a:ext uri="{FF2B5EF4-FFF2-40B4-BE49-F238E27FC236}">
              <a16:creationId xmlns:a16="http://schemas.microsoft.com/office/drawing/2014/main" id="{7D09AADF-6160-403D-A6CF-57970ED68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0414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61</xdr:row>
      <xdr:rowOff>0</xdr:rowOff>
    </xdr:from>
    <xdr:ext cx="7620" cy="7620"/>
    <xdr:pic>
      <xdr:nvPicPr>
        <xdr:cNvPr id="15" name="Picture 14" descr="Attachments">
          <a:extLst>
            <a:ext uri="{FF2B5EF4-FFF2-40B4-BE49-F238E27FC236}">
              <a16:creationId xmlns:a16="http://schemas.microsoft.com/office/drawing/2014/main" id="{33B29E28-3045-4A71-8B80-B14F69919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33667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96</xdr:row>
      <xdr:rowOff>0</xdr:rowOff>
    </xdr:from>
    <xdr:ext cx="7620" cy="7620"/>
    <xdr:pic>
      <xdr:nvPicPr>
        <xdr:cNvPr id="16" name="Picture 15" descr="Attachments">
          <a:extLst>
            <a:ext uri="{FF2B5EF4-FFF2-40B4-BE49-F238E27FC236}">
              <a16:creationId xmlns:a16="http://schemas.microsoft.com/office/drawing/2014/main" id="{954CAEA1-BBFF-4C2A-AA1C-AB8CD5420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98310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67</xdr:row>
      <xdr:rowOff>0</xdr:rowOff>
    </xdr:from>
    <xdr:ext cx="7620" cy="7620"/>
    <xdr:pic>
      <xdr:nvPicPr>
        <xdr:cNvPr id="17" name="Picture 16" descr="Attachments">
          <a:extLst>
            <a:ext uri="{FF2B5EF4-FFF2-40B4-BE49-F238E27FC236}">
              <a16:creationId xmlns:a16="http://schemas.microsoft.com/office/drawing/2014/main" id="{2639FA2B-1DD3-425C-948A-8D78599DC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4478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18</xdr:row>
      <xdr:rowOff>0</xdr:rowOff>
    </xdr:from>
    <xdr:ext cx="7620" cy="7620"/>
    <xdr:pic>
      <xdr:nvPicPr>
        <xdr:cNvPr id="18" name="Picture 17" descr="Attachments">
          <a:extLst>
            <a:ext uri="{FF2B5EF4-FFF2-40B4-BE49-F238E27FC236}">
              <a16:creationId xmlns:a16="http://schemas.microsoft.com/office/drawing/2014/main" id="{6A438274-F3AF-4E51-A1CC-2D1AA672B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4292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</xdr:row>
      <xdr:rowOff>0</xdr:rowOff>
    </xdr:from>
    <xdr:ext cx="7620" cy="7620"/>
    <xdr:pic>
      <xdr:nvPicPr>
        <xdr:cNvPr id="19" name="Picture 18" descr="Attachments">
          <a:extLst>
            <a:ext uri="{FF2B5EF4-FFF2-40B4-BE49-F238E27FC236}">
              <a16:creationId xmlns:a16="http://schemas.microsoft.com/office/drawing/2014/main" id="{C257FF00-1418-44B6-8B5E-163918951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39497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</xdr:row>
      <xdr:rowOff>0</xdr:rowOff>
    </xdr:from>
    <xdr:ext cx="7620" cy="7620"/>
    <xdr:pic>
      <xdr:nvPicPr>
        <xdr:cNvPr id="20" name="Picture 19" descr="Attachments">
          <a:extLst>
            <a:ext uri="{FF2B5EF4-FFF2-40B4-BE49-F238E27FC236}">
              <a16:creationId xmlns:a16="http://schemas.microsoft.com/office/drawing/2014/main" id="{4E0983F6-B1C4-44B7-83CE-372B5F6DC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41338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19</xdr:row>
      <xdr:rowOff>0</xdr:rowOff>
    </xdr:from>
    <xdr:ext cx="7620" cy="7620"/>
    <xdr:pic>
      <xdr:nvPicPr>
        <xdr:cNvPr id="21" name="Picture 20" descr="Attachments">
          <a:extLst>
            <a:ext uri="{FF2B5EF4-FFF2-40B4-BE49-F238E27FC236}">
              <a16:creationId xmlns:a16="http://schemas.microsoft.com/office/drawing/2014/main" id="{559FF612-4FD3-485B-AB8C-09E0DEAD3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613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</xdr:row>
      <xdr:rowOff>0</xdr:rowOff>
    </xdr:from>
    <xdr:ext cx="7620" cy="7620"/>
    <xdr:pic>
      <xdr:nvPicPr>
        <xdr:cNvPr id="22" name="Picture 21" descr="Attachments">
          <a:extLst>
            <a:ext uri="{FF2B5EF4-FFF2-40B4-BE49-F238E27FC236}">
              <a16:creationId xmlns:a16="http://schemas.microsoft.com/office/drawing/2014/main" id="{BE1220D8-3BEA-4555-9144-36298632E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4318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96</xdr:row>
      <xdr:rowOff>0</xdr:rowOff>
    </xdr:from>
    <xdr:ext cx="7620" cy="7620"/>
    <xdr:pic>
      <xdr:nvPicPr>
        <xdr:cNvPr id="23" name="Picture 22" descr="Attachments">
          <a:extLst>
            <a:ext uri="{FF2B5EF4-FFF2-40B4-BE49-F238E27FC236}">
              <a16:creationId xmlns:a16="http://schemas.microsoft.com/office/drawing/2014/main" id="{802D17D0-981F-4C9A-B979-B1C44D4A6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98310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67</xdr:row>
      <xdr:rowOff>0</xdr:rowOff>
    </xdr:from>
    <xdr:ext cx="7620" cy="7620"/>
    <xdr:pic>
      <xdr:nvPicPr>
        <xdr:cNvPr id="24" name="Picture 23" descr="Attachments">
          <a:extLst>
            <a:ext uri="{FF2B5EF4-FFF2-40B4-BE49-F238E27FC236}">
              <a16:creationId xmlns:a16="http://schemas.microsoft.com/office/drawing/2014/main" id="{46C3B40A-9935-4E55-8194-DA3C9A7CE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4478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18</xdr:row>
      <xdr:rowOff>0</xdr:rowOff>
    </xdr:from>
    <xdr:ext cx="7620" cy="7620"/>
    <xdr:pic>
      <xdr:nvPicPr>
        <xdr:cNvPr id="25" name="Picture 24" descr="Attachments">
          <a:extLst>
            <a:ext uri="{FF2B5EF4-FFF2-40B4-BE49-F238E27FC236}">
              <a16:creationId xmlns:a16="http://schemas.microsoft.com/office/drawing/2014/main" id="{1F974F28-069E-4D0C-B00F-A7301F199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4292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</xdr:row>
      <xdr:rowOff>0</xdr:rowOff>
    </xdr:from>
    <xdr:ext cx="7620" cy="7620"/>
    <xdr:pic>
      <xdr:nvPicPr>
        <xdr:cNvPr id="26" name="Picture 25" descr="Attachments">
          <a:extLst>
            <a:ext uri="{FF2B5EF4-FFF2-40B4-BE49-F238E27FC236}">
              <a16:creationId xmlns:a16="http://schemas.microsoft.com/office/drawing/2014/main" id="{11E7DA97-61F2-49CA-B20B-A45D8A714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39497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</xdr:row>
      <xdr:rowOff>0</xdr:rowOff>
    </xdr:from>
    <xdr:ext cx="7620" cy="7620"/>
    <xdr:pic>
      <xdr:nvPicPr>
        <xdr:cNvPr id="27" name="Picture 26" descr="Attachments">
          <a:extLst>
            <a:ext uri="{FF2B5EF4-FFF2-40B4-BE49-F238E27FC236}">
              <a16:creationId xmlns:a16="http://schemas.microsoft.com/office/drawing/2014/main" id="{178A4A8B-2092-4C39-88CA-24FDCA7B7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41338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19</xdr:row>
      <xdr:rowOff>0</xdr:rowOff>
    </xdr:from>
    <xdr:ext cx="7620" cy="7620"/>
    <xdr:pic>
      <xdr:nvPicPr>
        <xdr:cNvPr id="28" name="Picture 27" descr="Attachments">
          <a:extLst>
            <a:ext uri="{FF2B5EF4-FFF2-40B4-BE49-F238E27FC236}">
              <a16:creationId xmlns:a16="http://schemas.microsoft.com/office/drawing/2014/main" id="{F5A53EE5-824D-4580-944B-A6224804C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613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</xdr:row>
      <xdr:rowOff>0</xdr:rowOff>
    </xdr:from>
    <xdr:ext cx="7620" cy="7620"/>
    <xdr:pic>
      <xdr:nvPicPr>
        <xdr:cNvPr id="29" name="Picture 28" descr="Attachments">
          <a:extLst>
            <a:ext uri="{FF2B5EF4-FFF2-40B4-BE49-F238E27FC236}">
              <a16:creationId xmlns:a16="http://schemas.microsoft.com/office/drawing/2014/main" id="{5498E41B-5ACC-4F0D-B959-D8CD1C9DE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4318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16</xdr:row>
      <xdr:rowOff>0</xdr:rowOff>
    </xdr:from>
    <xdr:ext cx="7620" cy="7620"/>
    <xdr:pic>
      <xdr:nvPicPr>
        <xdr:cNvPr id="30" name="Picture 29" descr="Attachments">
          <a:extLst>
            <a:ext uri="{FF2B5EF4-FFF2-40B4-BE49-F238E27FC236}">
              <a16:creationId xmlns:a16="http://schemas.microsoft.com/office/drawing/2014/main" id="{C05C4F06-0110-45EF-8A9E-603D07E76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054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17</xdr:row>
      <xdr:rowOff>0</xdr:rowOff>
    </xdr:from>
    <xdr:ext cx="7620" cy="7620"/>
    <xdr:pic>
      <xdr:nvPicPr>
        <xdr:cNvPr id="31" name="Picture 30" descr="Attachments">
          <a:extLst>
            <a:ext uri="{FF2B5EF4-FFF2-40B4-BE49-F238E27FC236}">
              <a16:creationId xmlns:a16="http://schemas.microsoft.com/office/drawing/2014/main" id="{5F771007-F151-45A4-B53F-7D9DC148B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245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17</xdr:row>
      <xdr:rowOff>0</xdr:rowOff>
    </xdr:from>
    <xdr:ext cx="7620" cy="7620"/>
    <xdr:pic>
      <xdr:nvPicPr>
        <xdr:cNvPr id="32" name="Picture 31" descr="Attachments">
          <a:extLst>
            <a:ext uri="{FF2B5EF4-FFF2-40B4-BE49-F238E27FC236}">
              <a16:creationId xmlns:a16="http://schemas.microsoft.com/office/drawing/2014/main" id="{3B27410A-C9F5-4492-94FA-F2A4567AA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245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17</xdr:row>
      <xdr:rowOff>0</xdr:rowOff>
    </xdr:from>
    <xdr:ext cx="7620" cy="7620"/>
    <xdr:pic>
      <xdr:nvPicPr>
        <xdr:cNvPr id="33" name="Picture 32" descr="Attachments">
          <a:extLst>
            <a:ext uri="{FF2B5EF4-FFF2-40B4-BE49-F238E27FC236}">
              <a16:creationId xmlns:a16="http://schemas.microsoft.com/office/drawing/2014/main" id="{7241807D-7668-4E34-ADB4-67E6BDC41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245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18</xdr:row>
      <xdr:rowOff>0</xdr:rowOff>
    </xdr:from>
    <xdr:ext cx="7620" cy="7620"/>
    <xdr:pic>
      <xdr:nvPicPr>
        <xdr:cNvPr id="34" name="Picture 33" descr="Attachments">
          <a:extLst>
            <a:ext uri="{FF2B5EF4-FFF2-40B4-BE49-F238E27FC236}">
              <a16:creationId xmlns:a16="http://schemas.microsoft.com/office/drawing/2014/main" id="{AE0AF1BE-330B-40F7-A7CB-1A5CA3A7F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4292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19</xdr:row>
      <xdr:rowOff>0</xdr:rowOff>
    </xdr:from>
    <xdr:ext cx="7620" cy="7620"/>
    <xdr:pic>
      <xdr:nvPicPr>
        <xdr:cNvPr id="35" name="Picture 34" descr="Attachments">
          <a:extLst>
            <a:ext uri="{FF2B5EF4-FFF2-40B4-BE49-F238E27FC236}">
              <a16:creationId xmlns:a16="http://schemas.microsoft.com/office/drawing/2014/main" id="{CB8BC1D7-56B3-4666-A76A-4A944763D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613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20</xdr:row>
      <xdr:rowOff>0</xdr:rowOff>
    </xdr:from>
    <xdr:ext cx="7620" cy="7620"/>
    <xdr:pic>
      <xdr:nvPicPr>
        <xdr:cNvPr id="36" name="Picture 35" descr="Attachments">
          <a:extLst>
            <a:ext uri="{FF2B5EF4-FFF2-40B4-BE49-F238E27FC236}">
              <a16:creationId xmlns:a16="http://schemas.microsoft.com/office/drawing/2014/main" id="{A4131404-29D1-4B25-906B-15AC1590F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7975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104</xdr:row>
      <xdr:rowOff>0</xdr:rowOff>
    </xdr:from>
    <xdr:ext cx="7620" cy="7620"/>
    <xdr:pic>
      <xdr:nvPicPr>
        <xdr:cNvPr id="37" name="Picture 36" descr="Attachments">
          <a:extLst>
            <a:ext uri="{FF2B5EF4-FFF2-40B4-BE49-F238E27FC236}">
              <a16:creationId xmlns:a16="http://schemas.microsoft.com/office/drawing/2014/main" id="{3A72EF8C-9E78-4ECF-8121-766EBCC24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21310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16</xdr:row>
      <xdr:rowOff>0</xdr:rowOff>
    </xdr:from>
    <xdr:ext cx="7620" cy="7620"/>
    <xdr:pic>
      <xdr:nvPicPr>
        <xdr:cNvPr id="38" name="Picture 37" descr="Attachments">
          <a:extLst>
            <a:ext uri="{FF2B5EF4-FFF2-40B4-BE49-F238E27FC236}">
              <a16:creationId xmlns:a16="http://schemas.microsoft.com/office/drawing/2014/main" id="{1D0282B5-C871-4C0B-833D-E97FDE95C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054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16</xdr:row>
      <xdr:rowOff>0</xdr:rowOff>
    </xdr:from>
    <xdr:ext cx="7620" cy="7620"/>
    <xdr:pic>
      <xdr:nvPicPr>
        <xdr:cNvPr id="39" name="Picture 38" descr="Attachments">
          <a:extLst>
            <a:ext uri="{FF2B5EF4-FFF2-40B4-BE49-F238E27FC236}">
              <a16:creationId xmlns:a16="http://schemas.microsoft.com/office/drawing/2014/main" id="{C3BC0BD6-2647-4D67-BCD1-47DE7769D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054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16</xdr:row>
      <xdr:rowOff>0</xdr:rowOff>
    </xdr:from>
    <xdr:ext cx="7620" cy="7620"/>
    <xdr:pic>
      <xdr:nvPicPr>
        <xdr:cNvPr id="40" name="Picture 39" descr="Attachments">
          <a:extLst>
            <a:ext uri="{FF2B5EF4-FFF2-40B4-BE49-F238E27FC236}">
              <a16:creationId xmlns:a16="http://schemas.microsoft.com/office/drawing/2014/main" id="{F222BE85-19D4-4E50-B5C8-441E3A864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054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17</xdr:row>
      <xdr:rowOff>0</xdr:rowOff>
    </xdr:from>
    <xdr:ext cx="7620" cy="7620"/>
    <xdr:pic>
      <xdr:nvPicPr>
        <xdr:cNvPr id="41" name="Picture 40" descr="Attachments">
          <a:extLst>
            <a:ext uri="{FF2B5EF4-FFF2-40B4-BE49-F238E27FC236}">
              <a16:creationId xmlns:a16="http://schemas.microsoft.com/office/drawing/2014/main" id="{A3DC11FB-1C96-48DB-B77C-5059186B4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245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17</xdr:row>
      <xdr:rowOff>0</xdr:rowOff>
    </xdr:from>
    <xdr:ext cx="7620" cy="7620"/>
    <xdr:pic>
      <xdr:nvPicPr>
        <xdr:cNvPr id="42" name="Picture 41" descr="Attachments">
          <a:extLst>
            <a:ext uri="{FF2B5EF4-FFF2-40B4-BE49-F238E27FC236}">
              <a16:creationId xmlns:a16="http://schemas.microsoft.com/office/drawing/2014/main" id="{E29919CA-265D-40B0-9CBE-1F8D3215B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245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104</xdr:row>
      <xdr:rowOff>0</xdr:rowOff>
    </xdr:from>
    <xdr:ext cx="7620" cy="7620"/>
    <xdr:pic>
      <xdr:nvPicPr>
        <xdr:cNvPr id="43" name="Picture 42" descr="Attachments">
          <a:extLst>
            <a:ext uri="{FF2B5EF4-FFF2-40B4-BE49-F238E27FC236}">
              <a16:creationId xmlns:a16="http://schemas.microsoft.com/office/drawing/2014/main" id="{975E0820-08F8-4E79-899C-2040F26FB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21310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16</xdr:row>
      <xdr:rowOff>0</xdr:rowOff>
    </xdr:from>
    <xdr:ext cx="7620" cy="7620"/>
    <xdr:pic>
      <xdr:nvPicPr>
        <xdr:cNvPr id="44" name="Picture 43" descr="Attachments">
          <a:extLst>
            <a:ext uri="{FF2B5EF4-FFF2-40B4-BE49-F238E27FC236}">
              <a16:creationId xmlns:a16="http://schemas.microsoft.com/office/drawing/2014/main" id="{E6EE4C42-F259-4439-A6C9-1109AC180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054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16</xdr:row>
      <xdr:rowOff>0</xdr:rowOff>
    </xdr:from>
    <xdr:ext cx="7620" cy="7620"/>
    <xdr:pic>
      <xdr:nvPicPr>
        <xdr:cNvPr id="45" name="Picture 44" descr="Attachments">
          <a:extLst>
            <a:ext uri="{FF2B5EF4-FFF2-40B4-BE49-F238E27FC236}">
              <a16:creationId xmlns:a16="http://schemas.microsoft.com/office/drawing/2014/main" id="{AC5D2FD0-5C2C-4D03-9162-ED96C2AA5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054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16</xdr:row>
      <xdr:rowOff>0</xdr:rowOff>
    </xdr:from>
    <xdr:ext cx="7620" cy="7620"/>
    <xdr:pic>
      <xdr:nvPicPr>
        <xdr:cNvPr id="46" name="Picture 45" descr="Attachments">
          <a:extLst>
            <a:ext uri="{FF2B5EF4-FFF2-40B4-BE49-F238E27FC236}">
              <a16:creationId xmlns:a16="http://schemas.microsoft.com/office/drawing/2014/main" id="{5A617C40-D25E-4517-8993-3E174ED11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054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17</xdr:row>
      <xdr:rowOff>0</xdr:rowOff>
    </xdr:from>
    <xdr:ext cx="7620" cy="7620"/>
    <xdr:pic>
      <xdr:nvPicPr>
        <xdr:cNvPr id="47" name="Picture 46" descr="Attachments">
          <a:extLst>
            <a:ext uri="{FF2B5EF4-FFF2-40B4-BE49-F238E27FC236}">
              <a16:creationId xmlns:a16="http://schemas.microsoft.com/office/drawing/2014/main" id="{39EBE8B9-D555-4669-9044-F9C4DEF12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245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17</xdr:row>
      <xdr:rowOff>0</xdr:rowOff>
    </xdr:from>
    <xdr:ext cx="7620" cy="7620"/>
    <xdr:pic>
      <xdr:nvPicPr>
        <xdr:cNvPr id="48" name="Picture 47" descr="Attachments">
          <a:extLst>
            <a:ext uri="{FF2B5EF4-FFF2-40B4-BE49-F238E27FC236}">
              <a16:creationId xmlns:a16="http://schemas.microsoft.com/office/drawing/2014/main" id="{B3083F8E-86A0-40FB-9676-AF5BCC79F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245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104</xdr:row>
      <xdr:rowOff>0</xdr:rowOff>
    </xdr:from>
    <xdr:ext cx="7620" cy="7620"/>
    <xdr:pic>
      <xdr:nvPicPr>
        <xdr:cNvPr id="49" name="Picture 48" descr="Attachments">
          <a:extLst>
            <a:ext uri="{FF2B5EF4-FFF2-40B4-BE49-F238E27FC236}">
              <a16:creationId xmlns:a16="http://schemas.microsoft.com/office/drawing/2014/main" id="{13DE3D0D-3501-43EB-AEC9-8BFC46BAD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21310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16</xdr:row>
      <xdr:rowOff>0</xdr:rowOff>
    </xdr:from>
    <xdr:ext cx="7620" cy="7620"/>
    <xdr:pic>
      <xdr:nvPicPr>
        <xdr:cNvPr id="50" name="Picture 49" descr="Attachments">
          <a:extLst>
            <a:ext uri="{FF2B5EF4-FFF2-40B4-BE49-F238E27FC236}">
              <a16:creationId xmlns:a16="http://schemas.microsoft.com/office/drawing/2014/main" id="{64F0B309-A07F-4160-826A-B4CCDB6ED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054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16</xdr:row>
      <xdr:rowOff>0</xdr:rowOff>
    </xdr:from>
    <xdr:ext cx="7620" cy="7620"/>
    <xdr:pic>
      <xdr:nvPicPr>
        <xdr:cNvPr id="51" name="Picture 50" descr="Attachments">
          <a:extLst>
            <a:ext uri="{FF2B5EF4-FFF2-40B4-BE49-F238E27FC236}">
              <a16:creationId xmlns:a16="http://schemas.microsoft.com/office/drawing/2014/main" id="{73A697DE-DFE7-42F1-BE35-43B85F15E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054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16</xdr:row>
      <xdr:rowOff>0</xdr:rowOff>
    </xdr:from>
    <xdr:ext cx="7620" cy="7620"/>
    <xdr:pic>
      <xdr:nvPicPr>
        <xdr:cNvPr id="52" name="Picture 51" descr="Attachments">
          <a:extLst>
            <a:ext uri="{FF2B5EF4-FFF2-40B4-BE49-F238E27FC236}">
              <a16:creationId xmlns:a16="http://schemas.microsoft.com/office/drawing/2014/main" id="{B9E44E47-6534-40F7-894C-3BDAED061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054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17</xdr:row>
      <xdr:rowOff>0</xdr:rowOff>
    </xdr:from>
    <xdr:ext cx="7620" cy="7620"/>
    <xdr:pic>
      <xdr:nvPicPr>
        <xdr:cNvPr id="53" name="Picture 52" descr="Attachments">
          <a:extLst>
            <a:ext uri="{FF2B5EF4-FFF2-40B4-BE49-F238E27FC236}">
              <a16:creationId xmlns:a16="http://schemas.microsoft.com/office/drawing/2014/main" id="{FFA4E9D8-C2A8-427E-AA38-A120B30AE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245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17</xdr:row>
      <xdr:rowOff>0</xdr:rowOff>
    </xdr:from>
    <xdr:ext cx="7620" cy="7620"/>
    <xdr:pic>
      <xdr:nvPicPr>
        <xdr:cNvPr id="54" name="Picture 53" descr="Attachments">
          <a:extLst>
            <a:ext uri="{FF2B5EF4-FFF2-40B4-BE49-F238E27FC236}">
              <a16:creationId xmlns:a16="http://schemas.microsoft.com/office/drawing/2014/main" id="{95980BD9-EC14-4546-8B0B-444ECCEE4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245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73</xdr:row>
      <xdr:rowOff>0</xdr:rowOff>
    </xdr:from>
    <xdr:ext cx="7620" cy="7620"/>
    <xdr:pic>
      <xdr:nvPicPr>
        <xdr:cNvPr id="55" name="Picture 54" descr="Attachments">
          <a:extLst>
            <a:ext uri="{FF2B5EF4-FFF2-40B4-BE49-F238E27FC236}">
              <a16:creationId xmlns:a16="http://schemas.microsoft.com/office/drawing/2014/main" id="{0433A8A7-3DF9-4C9F-92C6-3E9C92284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55829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74</xdr:row>
      <xdr:rowOff>0</xdr:rowOff>
    </xdr:from>
    <xdr:ext cx="7620" cy="7620"/>
    <xdr:pic>
      <xdr:nvPicPr>
        <xdr:cNvPr id="56" name="Picture 55" descr="Attachments">
          <a:extLst>
            <a:ext uri="{FF2B5EF4-FFF2-40B4-BE49-F238E27FC236}">
              <a16:creationId xmlns:a16="http://schemas.microsoft.com/office/drawing/2014/main" id="{09A6751B-7398-4FD2-9192-46CCA3EB1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57670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75</xdr:row>
      <xdr:rowOff>0</xdr:rowOff>
    </xdr:from>
    <xdr:ext cx="7620" cy="7620"/>
    <xdr:pic>
      <xdr:nvPicPr>
        <xdr:cNvPr id="57" name="Picture 56" descr="Attachments">
          <a:extLst>
            <a:ext uri="{FF2B5EF4-FFF2-40B4-BE49-F238E27FC236}">
              <a16:creationId xmlns:a16="http://schemas.microsoft.com/office/drawing/2014/main" id="{D344761A-6575-4AA3-8F08-D8E8E0C81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59575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96</xdr:row>
      <xdr:rowOff>0</xdr:rowOff>
    </xdr:from>
    <xdr:ext cx="7620" cy="7620"/>
    <xdr:pic>
      <xdr:nvPicPr>
        <xdr:cNvPr id="58" name="Picture 57" descr="Attachments">
          <a:extLst>
            <a:ext uri="{FF2B5EF4-FFF2-40B4-BE49-F238E27FC236}">
              <a16:creationId xmlns:a16="http://schemas.microsoft.com/office/drawing/2014/main" id="{39DFEBB8-01B8-464C-972F-92EF14A97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98310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97</xdr:row>
      <xdr:rowOff>0</xdr:rowOff>
    </xdr:from>
    <xdr:ext cx="7620" cy="7620"/>
    <xdr:pic>
      <xdr:nvPicPr>
        <xdr:cNvPr id="59" name="Picture 58" descr="Attachments">
          <a:extLst>
            <a:ext uri="{FF2B5EF4-FFF2-40B4-BE49-F238E27FC236}">
              <a16:creationId xmlns:a16="http://schemas.microsoft.com/office/drawing/2014/main" id="{46BE2FCD-BD6D-4791-8396-984260FA1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200152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98</xdr:row>
      <xdr:rowOff>0</xdr:rowOff>
    </xdr:from>
    <xdr:ext cx="7620" cy="7620"/>
    <xdr:pic>
      <xdr:nvPicPr>
        <xdr:cNvPr id="60" name="Picture 59" descr="Attachments">
          <a:extLst>
            <a:ext uri="{FF2B5EF4-FFF2-40B4-BE49-F238E27FC236}">
              <a16:creationId xmlns:a16="http://schemas.microsoft.com/office/drawing/2014/main" id="{B88A5912-4367-4928-9A03-731570216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201993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99</xdr:row>
      <xdr:rowOff>0</xdr:rowOff>
    </xdr:from>
    <xdr:ext cx="7620" cy="7620"/>
    <xdr:pic>
      <xdr:nvPicPr>
        <xdr:cNvPr id="61" name="Picture 60" descr="Attachments">
          <a:extLst>
            <a:ext uri="{FF2B5EF4-FFF2-40B4-BE49-F238E27FC236}">
              <a16:creationId xmlns:a16="http://schemas.microsoft.com/office/drawing/2014/main" id="{62F8CC6A-92FB-4854-8DB7-D95A4677A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20383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16</xdr:row>
      <xdr:rowOff>0</xdr:rowOff>
    </xdr:from>
    <xdr:ext cx="7620" cy="7620"/>
    <xdr:pic>
      <xdr:nvPicPr>
        <xdr:cNvPr id="62" name="Picture 61" descr="Attachments">
          <a:extLst>
            <a:ext uri="{FF2B5EF4-FFF2-40B4-BE49-F238E27FC236}">
              <a16:creationId xmlns:a16="http://schemas.microsoft.com/office/drawing/2014/main" id="{849C4B82-8607-4991-8644-8019BE1F0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054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17</xdr:row>
      <xdr:rowOff>0</xdr:rowOff>
    </xdr:from>
    <xdr:ext cx="7620" cy="7620"/>
    <xdr:pic>
      <xdr:nvPicPr>
        <xdr:cNvPr id="63" name="Picture 62" descr="Attachments">
          <a:extLst>
            <a:ext uri="{FF2B5EF4-FFF2-40B4-BE49-F238E27FC236}">
              <a16:creationId xmlns:a16="http://schemas.microsoft.com/office/drawing/2014/main" id="{04B1CBFC-4435-44B3-8B50-5F7396D74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245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17</xdr:row>
      <xdr:rowOff>0</xdr:rowOff>
    </xdr:from>
    <xdr:ext cx="7620" cy="7620"/>
    <xdr:pic>
      <xdr:nvPicPr>
        <xdr:cNvPr id="64" name="Picture 63" descr="Attachments">
          <a:extLst>
            <a:ext uri="{FF2B5EF4-FFF2-40B4-BE49-F238E27FC236}">
              <a16:creationId xmlns:a16="http://schemas.microsoft.com/office/drawing/2014/main" id="{A7109E02-081B-400A-96A4-2E2C5F795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245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17</xdr:row>
      <xdr:rowOff>0</xdr:rowOff>
    </xdr:from>
    <xdr:ext cx="7620" cy="7620"/>
    <xdr:pic>
      <xdr:nvPicPr>
        <xdr:cNvPr id="65" name="Picture 64" descr="Attachments">
          <a:extLst>
            <a:ext uri="{FF2B5EF4-FFF2-40B4-BE49-F238E27FC236}">
              <a16:creationId xmlns:a16="http://schemas.microsoft.com/office/drawing/2014/main" id="{FE7802DB-80C9-4DB2-8EFA-6B8898462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245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18</xdr:row>
      <xdr:rowOff>0</xdr:rowOff>
    </xdr:from>
    <xdr:ext cx="7620" cy="7620"/>
    <xdr:pic>
      <xdr:nvPicPr>
        <xdr:cNvPr id="66" name="Picture 65" descr="Attachments">
          <a:extLst>
            <a:ext uri="{FF2B5EF4-FFF2-40B4-BE49-F238E27FC236}">
              <a16:creationId xmlns:a16="http://schemas.microsoft.com/office/drawing/2014/main" id="{2ACD9458-EA8D-45AE-89A2-60C933617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4292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19</xdr:row>
      <xdr:rowOff>0</xdr:rowOff>
    </xdr:from>
    <xdr:ext cx="7620" cy="7620"/>
    <xdr:pic>
      <xdr:nvPicPr>
        <xdr:cNvPr id="67" name="Picture 66" descr="Attachments">
          <a:extLst>
            <a:ext uri="{FF2B5EF4-FFF2-40B4-BE49-F238E27FC236}">
              <a16:creationId xmlns:a16="http://schemas.microsoft.com/office/drawing/2014/main" id="{BA6035A5-BD52-40B1-B3D3-7D81CD70B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613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20</xdr:row>
      <xdr:rowOff>0</xdr:rowOff>
    </xdr:from>
    <xdr:ext cx="7620" cy="7620"/>
    <xdr:pic>
      <xdr:nvPicPr>
        <xdr:cNvPr id="68" name="Picture 67" descr="Attachments">
          <a:extLst>
            <a:ext uri="{FF2B5EF4-FFF2-40B4-BE49-F238E27FC236}">
              <a16:creationId xmlns:a16="http://schemas.microsoft.com/office/drawing/2014/main" id="{BD9DCB5A-13BD-4751-A455-313DC865F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7975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73</xdr:row>
      <xdr:rowOff>0</xdr:rowOff>
    </xdr:from>
    <xdr:ext cx="7620" cy="7620"/>
    <xdr:pic>
      <xdr:nvPicPr>
        <xdr:cNvPr id="69" name="Picture 68" descr="Attachments">
          <a:extLst>
            <a:ext uri="{FF2B5EF4-FFF2-40B4-BE49-F238E27FC236}">
              <a16:creationId xmlns:a16="http://schemas.microsoft.com/office/drawing/2014/main" id="{48C9FA11-094D-4A7E-A30C-A0E8C9DD7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55829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74</xdr:row>
      <xdr:rowOff>0</xdr:rowOff>
    </xdr:from>
    <xdr:ext cx="7620" cy="7620"/>
    <xdr:pic>
      <xdr:nvPicPr>
        <xdr:cNvPr id="70" name="Picture 69" descr="Attachments">
          <a:extLst>
            <a:ext uri="{FF2B5EF4-FFF2-40B4-BE49-F238E27FC236}">
              <a16:creationId xmlns:a16="http://schemas.microsoft.com/office/drawing/2014/main" id="{056574DE-8B8B-42D1-9CCD-42EAB9F69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57670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75</xdr:row>
      <xdr:rowOff>0</xdr:rowOff>
    </xdr:from>
    <xdr:ext cx="7620" cy="7620"/>
    <xdr:pic>
      <xdr:nvPicPr>
        <xdr:cNvPr id="71" name="Picture 70" descr="Attachments">
          <a:extLst>
            <a:ext uri="{FF2B5EF4-FFF2-40B4-BE49-F238E27FC236}">
              <a16:creationId xmlns:a16="http://schemas.microsoft.com/office/drawing/2014/main" id="{8268B0FD-D4DE-4058-845E-54DEB562A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59575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96</xdr:row>
      <xdr:rowOff>0</xdr:rowOff>
    </xdr:from>
    <xdr:ext cx="7620" cy="7620"/>
    <xdr:pic>
      <xdr:nvPicPr>
        <xdr:cNvPr id="72" name="Picture 71" descr="Attachments">
          <a:extLst>
            <a:ext uri="{FF2B5EF4-FFF2-40B4-BE49-F238E27FC236}">
              <a16:creationId xmlns:a16="http://schemas.microsoft.com/office/drawing/2014/main" id="{6A5448E3-22BA-46EA-8AB3-A408D75CF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98310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97</xdr:row>
      <xdr:rowOff>0</xdr:rowOff>
    </xdr:from>
    <xdr:ext cx="7620" cy="7620"/>
    <xdr:pic>
      <xdr:nvPicPr>
        <xdr:cNvPr id="73" name="Picture 72" descr="Attachments">
          <a:extLst>
            <a:ext uri="{FF2B5EF4-FFF2-40B4-BE49-F238E27FC236}">
              <a16:creationId xmlns:a16="http://schemas.microsoft.com/office/drawing/2014/main" id="{5AE6458A-AD86-4118-A4C5-5EB26B9AA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200152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98</xdr:row>
      <xdr:rowOff>0</xdr:rowOff>
    </xdr:from>
    <xdr:ext cx="7620" cy="7620"/>
    <xdr:pic>
      <xdr:nvPicPr>
        <xdr:cNvPr id="74" name="Picture 73" descr="Attachments">
          <a:extLst>
            <a:ext uri="{FF2B5EF4-FFF2-40B4-BE49-F238E27FC236}">
              <a16:creationId xmlns:a16="http://schemas.microsoft.com/office/drawing/2014/main" id="{4E5DF8C1-1696-41F9-9808-22946E5F7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201993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99</xdr:row>
      <xdr:rowOff>0</xdr:rowOff>
    </xdr:from>
    <xdr:ext cx="7620" cy="7620"/>
    <xdr:pic>
      <xdr:nvPicPr>
        <xdr:cNvPr id="75" name="Picture 74" descr="Attachments">
          <a:extLst>
            <a:ext uri="{FF2B5EF4-FFF2-40B4-BE49-F238E27FC236}">
              <a16:creationId xmlns:a16="http://schemas.microsoft.com/office/drawing/2014/main" id="{59C1E00F-7F49-43D6-BB36-9C50C949F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20383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16</xdr:row>
      <xdr:rowOff>0</xdr:rowOff>
    </xdr:from>
    <xdr:ext cx="7620" cy="7620"/>
    <xdr:pic>
      <xdr:nvPicPr>
        <xdr:cNvPr id="76" name="Picture 75" descr="Attachments">
          <a:extLst>
            <a:ext uri="{FF2B5EF4-FFF2-40B4-BE49-F238E27FC236}">
              <a16:creationId xmlns:a16="http://schemas.microsoft.com/office/drawing/2014/main" id="{B204BBF4-6B44-46F1-8AF5-8E41B0F89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054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17</xdr:row>
      <xdr:rowOff>0</xdr:rowOff>
    </xdr:from>
    <xdr:ext cx="7620" cy="7620"/>
    <xdr:pic>
      <xdr:nvPicPr>
        <xdr:cNvPr id="77" name="Picture 76" descr="Attachments">
          <a:extLst>
            <a:ext uri="{FF2B5EF4-FFF2-40B4-BE49-F238E27FC236}">
              <a16:creationId xmlns:a16="http://schemas.microsoft.com/office/drawing/2014/main" id="{8F226130-0AF4-4D97-B39A-AE657E8E6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245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17</xdr:row>
      <xdr:rowOff>0</xdr:rowOff>
    </xdr:from>
    <xdr:ext cx="7620" cy="7620"/>
    <xdr:pic>
      <xdr:nvPicPr>
        <xdr:cNvPr id="78" name="Picture 77" descr="Attachments">
          <a:extLst>
            <a:ext uri="{FF2B5EF4-FFF2-40B4-BE49-F238E27FC236}">
              <a16:creationId xmlns:a16="http://schemas.microsoft.com/office/drawing/2014/main" id="{EB9144FC-544E-43F8-A5BC-0727D518E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245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17</xdr:row>
      <xdr:rowOff>0</xdr:rowOff>
    </xdr:from>
    <xdr:ext cx="7620" cy="7620"/>
    <xdr:pic>
      <xdr:nvPicPr>
        <xdr:cNvPr id="79" name="Picture 78" descr="Attachments">
          <a:extLst>
            <a:ext uri="{FF2B5EF4-FFF2-40B4-BE49-F238E27FC236}">
              <a16:creationId xmlns:a16="http://schemas.microsoft.com/office/drawing/2014/main" id="{260842AC-388E-4EA6-BCE7-A71B675EE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245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18</xdr:row>
      <xdr:rowOff>0</xdr:rowOff>
    </xdr:from>
    <xdr:ext cx="7620" cy="7620"/>
    <xdr:pic>
      <xdr:nvPicPr>
        <xdr:cNvPr id="80" name="Picture 79" descr="Attachments">
          <a:extLst>
            <a:ext uri="{FF2B5EF4-FFF2-40B4-BE49-F238E27FC236}">
              <a16:creationId xmlns:a16="http://schemas.microsoft.com/office/drawing/2014/main" id="{44E1595E-B26F-4CB9-AC00-1DFA01FF2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4292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19</xdr:row>
      <xdr:rowOff>0</xdr:rowOff>
    </xdr:from>
    <xdr:ext cx="7620" cy="7620"/>
    <xdr:pic>
      <xdr:nvPicPr>
        <xdr:cNvPr id="81" name="Picture 80" descr="Attachments">
          <a:extLst>
            <a:ext uri="{FF2B5EF4-FFF2-40B4-BE49-F238E27FC236}">
              <a16:creationId xmlns:a16="http://schemas.microsoft.com/office/drawing/2014/main" id="{56B44EB6-B6AF-459C-AB0E-50D53206A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613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20</xdr:row>
      <xdr:rowOff>0</xdr:rowOff>
    </xdr:from>
    <xdr:ext cx="7620" cy="7620"/>
    <xdr:pic>
      <xdr:nvPicPr>
        <xdr:cNvPr id="82" name="Picture 81" descr="Attachments">
          <a:extLst>
            <a:ext uri="{FF2B5EF4-FFF2-40B4-BE49-F238E27FC236}">
              <a16:creationId xmlns:a16="http://schemas.microsoft.com/office/drawing/2014/main" id="{1B40F81E-2F47-4ED5-8621-59954B1B4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7975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73</xdr:row>
      <xdr:rowOff>0</xdr:rowOff>
    </xdr:from>
    <xdr:ext cx="7620" cy="7620"/>
    <xdr:pic>
      <xdr:nvPicPr>
        <xdr:cNvPr id="83" name="Picture 82" descr="Attachments">
          <a:extLst>
            <a:ext uri="{FF2B5EF4-FFF2-40B4-BE49-F238E27FC236}">
              <a16:creationId xmlns:a16="http://schemas.microsoft.com/office/drawing/2014/main" id="{BFC27FEE-670E-4698-961A-A7B8855F0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55829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74</xdr:row>
      <xdr:rowOff>0</xdr:rowOff>
    </xdr:from>
    <xdr:ext cx="7620" cy="7620"/>
    <xdr:pic>
      <xdr:nvPicPr>
        <xdr:cNvPr id="84" name="Picture 83" descr="Attachments">
          <a:extLst>
            <a:ext uri="{FF2B5EF4-FFF2-40B4-BE49-F238E27FC236}">
              <a16:creationId xmlns:a16="http://schemas.microsoft.com/office/drawing/2014/main" id="{C4516951-76CC-4C4F-B3EE-EA2449A2B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57670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75</xdr:row>
      <xdr:rowOff>0</xdr:rowOff>
    </xdr:from>
    <xdr:ext cx="7620" cy="7620"/>
    <xdr:pic>
      <xdr:nvPicPr>
        <xdr:cNvPr id="85" name="Picture 84" descr="Attachments">
          <a:extLst>
            <a:ext uri="{FF2B5EF4-FFF2-40B4-BE49-F238E27FC236}">
              <a16:creationId xmlns:a16="http://schemas.microsoft.com/office/drawing/2014/main" id="{9F9EAC9D-8371-40B4-A187-BFA26C294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59575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96</xdr:row>
      <xdr:rowOff>0</xdr:rowOff>
    </xdr:from>
    <xdr:ext cx="7620" cy="7620"/>
    <xdr:pic>
      <xdr:nvPicPr>
        <xdr:cNvPr id="86" name="Picture 85" descr="Attachments">
          <a:extLst>
            <a:ext uri="{FF2B5EF4-FFF2-40B4-BE49-F238E27FC236}">
              <a16:creationId xmlns:a16="http://schemas.microsoft.com/office/drawing/2014/main" id="{A185FBB9-3334-40C6-8A16-5A9A0DDE1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98310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97</xdr:row>
      <xdr:rowOff>0</xdr:rowOff>
    </xdr:from>
    <xdr:ext cx="7620" cy="7620"/>
    <xdr:pic>
      <xdr:nvPicPr>
        <xdr:cNvPr id="87" name="Picture 86" descr="Attachments">
          <a:extLst>
            <a:ext uri="{FF2B5EF4-FFF2-40B4-BE49-F238E27FC236}">
              <a16:creationId xmlns:a16="http://schemas.microsoft.com/office/drawing/2014/main" id="{23C3693D-93A5-482B-86FB-11A9C0F20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200152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98</xdr:row>
      <xdr:rowOff>0</xdr:rowOff>
    </xdr:from>
    <xdr:ext cx="7620" cy="7620"/>
    <xdr:pic>
      <xdr:nvPicPr>
        <xdr:cNvPr id="88" name="Picture 87" descr="Attachments">
          <a:extLst>
            <a:ext uri="{FF2B5EF4-FFF2-40B4-BE49-F238E27FC236}">
              <a16:creationId xmlns:a16="http://schemas.microsoft.com/office/drawing/2014/main" id="{1334015B-153D-470C-BE92-6EEABB26D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201993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99</xdr:row>
      <xdr:rowOff>0</xdr:rowOff>
    </xdr:from>
    <xdr:ext cx="7620" cy="7620"/>
    <xdr:pic>
      <xdr:nvPicPr>
        <xdr:cNvPr id="89" name="Picture 88" descr="Attachments">
          <a:extLst>
            <a:ext uri="{FF2B5EF4-FFF2-40B4-BE49-F238E27FC236}">
              <a16:creationId xmlns:a16="http://schemas.microsoft.com/office/drawing/2014/main" id="{727E9B96-AD9A-4BA1-B04E-97393F6EB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20383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16</xdr:row>
      <xdr:rowOff>0</xdr:rowOff>
    </xdr:from>
    <xdr:ext cx="7620" cy="7620"/>
    <xdr:pic>
      <xdr:nvPicPr>
        <xdr:cNvPr id="90" name="Picture 89" descr="Attachments">
          <a:extLst>
            <a:ext uri="{FF2B5EF4-FFF2-40B4-BE49-F238E27FC236}">
              <a16:creationId xmlns:a16="http://schemas.microsoft.com/office/drawing/2014/main" id="{F786C4AB-D2CE-4B42-97EE-94742E647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054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17</xdr:row>
      <xdr:rowOff>0</xdr:rowOff>
    </xdr:from>
    <xdr:ext cx="7620" cy="7620"/>
    <xdr:pic>
      <xdr:nvPicPr>
        <xdr:cNvPr id="91" name="Picture 90" descr="Attachments">
          <a:extLst>
            <a:ext uri="{FF2B5EF4-FFF2-40B4-BE49-F238E27FC236}">
              <a16:creationId xmlns:a16="http://schemas.microsoft.com/office/drawing/2014/main" id="{9916049A-43E4-4424-8389-3D8975A7D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245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17</xdr:row>
      <xdr:rowOff>0</xdr:rowOff>
    </xdr:from>
    <xdr:ext cx="7620" cy="7620"/>
    <xdr:pic>
      <xdr:nvPicPr>
        <xdr:cNvPr id="92" name="Picture 91" descr="Attachments">
          <a:extLst>
            <a:ext uri="{FF2B5EF4-FFF2-40B4-BE49-F238E27FC236}">
              <a16:creationId xmlns:a16="http://schemas.microsoft.com/office/drawing/2014/main" id="{7F21C027-8B38-4FE7-A9AE-A238A01E8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245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17</xdr:row>
      <xdr:rowOff>0</xdr:rowOff>
    </xdr:from>
    <xdr:ext cx="7620" cy="7620"/>
    <xdr:pic>
      <xdr:nvPicPr>
        <xdr:cNvPr id="93" name="Picture 92" descr="Attachments">
          <a:extLst>
            <a:ext uri="{FF2B5EF4-FFF2-40B4-BE49-F238E27FC236}">
              <a16:creationId xmlns:a16="http://schemas.microsoft.com/office/drawing/2014/main" id="{68BC3049-4484-4903-8E46-5716EEC67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245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18</xdr:row>
      <xdr:rowOff>0</xdr:rowOff>
    </xdr:from>
    <xdr:ext cx="7620" cy="7620"/>
    <xdr:pic>
      <xdr:nvPicPr>
        <xdr:cNvPr id="94" name="Picture 93" descr="Attachments">
          <a:extLst>
            <a:ext uri="{FF2B5EF4-FFF2-40B4-BE49-F238E27FC236}">
              <a16:creationId xmlns:a16="http://schemas.microsoft.com/office/drawing/2014/main" id="{6D1C0678-182B-4826-A6D5-8ED73C42E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4292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19</xdr:row>
      <xdr:rowOff>0</xdr:rowOff>
    </xdr:from>
    <xdr:ext cx="7620" cy="7620"/>
    <xdr:pic>
      <xdr:nvPicPr>
        <xdr:cNvPr id="95" name="Picture 94" descr="Attachments">
          <a:extLst>
            <a:ext uri="{FF2B5EF4-FFF2-40B4-BE49-F238E27FC236}">
              <a16:creationId xmlns:a16="http://schemas.microsoft.com/office/drawing/2014/main" id="{CC27F9F5-8868-43FC-A9C8-1192C9B41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613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20</xdr:row>
      <xdr:rowOff>0</xdr:rowOff>
    </xdr:from>
    <xdr:ext cx="7620" cy="7620"/>
    <xdr:pic>
      <xdr:nvPicPr>
        <xdr:cNvPr id="96" name="Picture 95" descr="Attachments">
          <a:extLst>
            <a:ext uri="{FF2B5EF4-FFF2-40B4-BE49-F238E27FC236}">
              <a16:creationId xmlns:a16="http://schemas.microsoft.com/office/drawing/2014/main" id="{F4794F79-18F5-424C-8672-A308B32F6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7975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0</xdr:rowOff>
    </xdr:from>
    <xdr:ext cx="7620" cy="7620"/>
    <xdr:pic>
      <xdr:nvPicPr>
        <xdr:cNvPr id="97" name="Picture 96" descr="Attachments">
          <a:extLst>
            <a:ext uri="{FF2B5EF4-FFF2-40B4-BE49-F238E27FC236}">
              <a16:creationId xmlns:a16="http://schemas.microsoft.com/office/drawing/2014/main" id="{822F6831-C40A-4A14-84CA-627DADD72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45021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</xdr:row>
      <xdr:rowOff>0</xdr:rowOff>
    </xdr:from>
    <xdr:ext cx="7620" cy="7620"/>
    <xdr:pic>
      <xdr:nvPicPr>
        <xdr:cNvPr id="98" name="Picture 97" descr="Attachments">
          <a:extLst>
            <a:ext uri="{FF2B5EF4-FFF2-40B4-BE49-F238E27FC236}">
              <a16:creationId xmlns:a16="http://schemas.microsoft.com/office/drawing/2014/main" id="{73BABE34-7F82-443A-81FD-455BB8F22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46863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15</xdr:row>
      <xdr:rowOff>0</xdr:rowOff>
    </xdr:from>
    <xdr:ext cx="7620" cy="7620"/>
    <xdr:pic>
      <xdr:nvPicPr>
        <xdr:cNvPr id="99" name="Picture 98" descr="Attachments">
          <a:extLst>
            <a:ext uri="{FF2B5EF4-FFF2-40B4-BE49-F238E27FC236}">
              <a16:creationId xmlns:a16="http://schemas.microsoft.com/office/drawing/2014/main" id="{7EF20E6E-1FDF-4939-B11D-AA3A9711B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48704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0</xdr:rowOff>
    </xdr:from>
    <xdr:ext cx="7620" cy="7620"/>
    <xdr:pic>
      <xdr:nvPicPr>
        <xdr:cNvPr id="100" name="Picture 99" descr="Attachments">
          <a:extLst>
            <a:ext uri="{FF2B5EF4-FFF2-40B4-BE49-F238E27FC236}">
              <a16:creationId xmlns:a16="http://schemas.microsoft.com/office/drawing/2014/main" id="{B4F1214F-A485-4F5A-9424-FD2F0F5B9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45021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</xdr:row>
      <xdr:rowOff>0</xdr:rowOff>
    </xdr:from>
    <xdr:ext cx="7620" cy="7620"/>
    <xdr:pic>
      <xdr:nvPicPr>
        <xdr:cNvPr id="101" name="Picture 100" descr="Attachments">
          <a:extLst>
            <a:ext uri="{FF2B5EF4-FFF2-40B4-BE49-F238E27FC236}">
              <a16:creationId xmlns:a16="http://schemas.microsoft.com/office/drawing/2014/main" id="{008A7CE9-DFD9-4386-87A5-6DCBC5A3E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46863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15</xdr:row>
      <xdr:rowOff>0</xdr:rowOff>
    </xdr:from>
    <xdr:ext cx="7620" cy="7620"/>
    <xdr:pic>
      <xdr:nvPicPr>
        <xdr:cNvPr id="102" name="Picture 101" descr="Attachments">
          <a:extLst>
            <a:ext uri="{FF2B5EF4-FFF2-40B4-BE49-F238E27FC236}">
              <a16:creationId xmlns:a16="http://schemas.microsoft.com/office/drawing/2014/main" id="{8656A5BF-7CCB-4A8E-B4B2-61E18ED05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48704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50</xdr:row>
      <xdr:rowOff>0</xdr:rowOff>
    </xdr:from>
    <xdr:ext cx="7620" cy="7620"/>
    <xdr:pic>
      <xdr:nvPicPr>
        <xdr:cNvPr id="103" name="Picture 102" descr="Attachments">
          <a:extLst>
            <a:ext uri="{FF2B5EF4-FFF2-40B4-BE49-F238E27FC236}">
              <a16:creationId xmlns:a16="http://schemas.microsoft.com/office/drawing/2014/main" id="{08EFD6CE-834F-41BA-9395-288BDEB35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1341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76</xdr:row>
      <xdr:rowOff>0</xdr:rowOff>
    </xdr:from>
    <xdr:ext cx="7620" cy="7620"/>
    <xdr:pic>
      <xdr:nvPicPr>
        <xdr:cNvPr id="104" name="Picture 103" descr="Attachments">
          <a:extLst>
            <a:ext uri="{FF2B5EF4-FFF2-40B4-BE49-F238E27FC236}">
              <a16:creationId xmlns:a16="http://schemas.microsoft.com/office/drawing/2014/main" id="{554E44FE-C310-4538-96E9-9DE60FEFC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61417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41</xdr:row>
      <xdr:rowOff>0</xdr:rowOff>
    </xdr:from>
    <xdr:ext cx="7620" cy="7620"/>
    <xdr:pic>
      <xdr:nvPicPr>
        <xdr:cNvPr id="105" name="Picture 104" descr="Attachments">
          <a:extLst>
            <a:ext uri="{FF2B5EF4-FFF2-40B4-BE49-F238E27FC236}">
              <a16:creationId xmlns:a16="http://schemas.microsoft.com/office/drawing/2014/main" id="{C0D719C7-296D-4016-A5CC-55021E61E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9677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35</xdr:row>
      <xdr:rowOff>0</xdr:rowOff>
    </xdr:from>
    <xdr:ext cx="7620" cy="7620"/>
    <xdr:pic>
      <xdr:nvPicPr>
        <xdr:cNvPr id="106" name="Picture 105" descr="Attachments">
          <a:extLst>
            <a:ext uri="{FF2B5EF4-FFF2-40B4-BE49-F238E27FC236}">
              <a16:creationId xmlns:a16="http://schemas.microsoft.com/office/drawing/2014/main" id="{6B162795-24C5-45F4-8760-BBCAD3A40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8572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37</xdr:row>
      <xdr:rowOff>0</xdr:rowOff>
    </xdr:from>
    <xdr:ext cx="7620" cy="7620"/>
    <xdr:pic>
      <xdr:nvPicPr>
        <xdr:cNvPr id="107" name="Picture 106" descr="Attachments">
          <a:extLst>
            <a:ext uri="{FF2B5EF4-FFF2-40B4-BE49-F238E27FC236}">
              <a16:creationId xmlns:a16="http://schemas.microsoft.com/office/drawing/2014/main" id="{7720983A-A275-4E8D-AB48-66B07738B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89408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34</xdr:row>
      <xdr:rowOff>0</xdr:rowOff>
    </xdr:from>
    <xdr:ext cx="7620" cy="7620"/>
    <xdr:pic>
      <xdr:nvPicPr>
        <xdr:cNvPr id="108" name="Picture 107" descr="Attachments">
          <a:extLst>
            <a:ext uri="{FF2B5EF4-FFF2-40B4-BE49-F238E27FC236}">
              <a16:creationId xmlns:a16="http://schemas.microsoft.com/office/drawing/2014/main" id="{C8427B0A-53FA-45EC-AED3-DA4AEF69F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8382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</xdr:row>
      <xdr:rowOff>0</xdr:rowOff>
    </xdr:from>
    <xdr:ext cx="7620" cy="7620"/>
    <xdr:pic>
      <xdr:nvPicPr>
        <xdr:cNvPr id="109" name="Picture 108" descr="Attachments">
          <a:extLst>
            <a:ext uri="{FF2B5EF4-FFF2-40B4-BE49-F238E27FC236}">
              <a16:creationId xmlns:a16="http://schemas.microsoft.com/office/drawing/2014/main" id="{68F31428-C9F9-4B91-9CDB-CA3B9F074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30289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28</xdr:row>
      <xdr:rowOff>0</xdr:rowOff>
    </xdr:from>
    <xdr:ext cx="7620" cy="7620"/>
    <xdr:pic>
      <xdr:nvPicPr>
        <xdr:cNvPr id="110" name="Picture 109" descr="Attachments">
          <a:extLst>
            <a:ext uri="{FF2B5EF4-FFF2-40B4-BE49-F238E27FC236}">
              <a16:creationId xmlns:a16="http://schemas.microsoft.com/office/drawing/2014/main" id="{D94EA0CB-6241-462B-ACA3-FD168D250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7277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28</xdr:row>
      <xdr:rowOff>0</xdr:rowOff>
    </xdr:from>
    <xdr:ext cx="7620" cy="7620"/>
    <xdr:pic>
      <xdr:nvPicPr>
        <xdr:cNvPr id="111" name="Picture 110" descr="Attachments">
          <a:extLst>
            <a:ext uri="{FF2B5EF4-FFF2-40B4-BE49-F238E27FC236}">
              <a16:creationId xmlns:a16="http://schemas.microsoft.com/office/drawing/2014/main" id="{5006DA11-801E-4656-86B5-B8E442CC1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7277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28</xdr:row>
      <xdr:rowOff>0</xdr:rowOff>
    </xdr:from>
    <xdr:ext cx="7620" cy="7620"/>
    <xdr:pic>
      <xdr:nvPicPr>
        <xdr:cNvPr id="112" name="Picture 111" descr="Attachments">
          <a:extLst>
            <a:ext uri="{FF2B5EF4-FFF2-40B4-BE49-F238E27FC236}">
              <a16:creationId xmlns:a16="http://schemas.microsoft.com/office/drawing/2014/main" id="{A34842F7-D5D8-4DC3-AB99-708DB038C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7277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28</xdr:row>
      <xdr:rowOff>0</xdr:rowOff>
    </xdr:from>
    <xdr:ext cx="7620" cy="7620"/>
    <xdr:pic>
      <xdr:nvPicPr>
        <xdr:cNvPr id="113" name="Picture 112" descr="Attachments">
          <a:extLst>
            <a:ext uri="{FF2B5EF4-FFF2-40B4-BE49-F238E27FC236}">
              <a16:creationId xmlns:a16="http://schemas.microsoft.com/office/drawing/2014/main" id="{73C2185C-3CA4-497A-8A12-B5B80C2C4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7277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32</xdr:row>
      <xdr:rowOff>0</xdr:rowOff>
    </xdr:from>
    <xdr:ext cx="7620" cy="7620"/>
    <xdr:pic>
      <xdr:nvPicPr>
        <xdr:cNvPr id="114" name="Picture 113" descr="Attachments">
          <a:extLst>
            <a:ext uri="{FF2B5EF4-FFF2-40B4-BE49-F238E27FC236}">
              <a16:creationId xmlns:a16="http://schemas.microsoft.com/office/drawing/2014/main" id="{F7C08E60-A474-456F-8DC5-E9C61A183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80137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30</xdr:row>
      <xdr:rowOff>0</xdr:rowOff>
    </xdr:from>
    <xdr:ext cx="7620" cy="7620"/>
    <xdr:pic>
      <xdr:nvPicPr>
        <xdr:cNvPr id="115" name="Picture 114" descr="Attachments">
          <a:extLst>
            <a:ext uri="{FF2B5EF4-FFF2-40B4-BE49-F238E27FC236}">
              <a16:creationId xmlns:a16="http://schemas.microsoft.com/office/drawing/2014/main" id="{BC2FA9BF-4346-4034-ADF6-DCF20A26D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7645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0</xdr:rowOff>
    </xdr:from>
    <xdr:ext cx="7620" cy="7620"/>
    <xdr:pic>
      <xdr:nvPicPr>
        <xdr:cNvPr id="116" name="Picture 115" descr="Attachments">
          <a:extLst>
            <a:ext uri="{FF2B5EF4-FFF2-40B4-BE49-F238E27FC236}">
              <a16:creationId xmlns:a16="http://schemas.microsoft.com/office/drawing/2014/main" id="{CE066503-3333-40CD-AF93-F47366FB6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79895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47</xdr:row>
      <xdr:rowOff>0</xdr:rowOff>
    </xdr:from>
    <xdr:ext cx="7620" cy="7620"/>
    <xdr:pic>
      <xdr:nvPicPr>
        <xdr:cNvPr id="117" name="Picture 116" descr="Attachments">
          <a:extLst>
            <a:ext uri="{FF2B5EF4-FFF2-40B4-BE49-F238E27FC236}">
              <a16:creationId xmlns:a16="http://schemas.microsoft.com/office/drawing/2014/main" id="{817D3A0F-D124-4528-9842-C394AC3CA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07823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20</xdr:row>
      <xdr:rowOff>0</xdr:rowOff>
    </xdr:from>
    <xdr:ext cx="7620" cy="7620"/>
    <xdr:pic>
      <xdr:nvPicPr>
        <xdr:cNvPr id="118" name="Picture 117" descr="Attachments">
          <a:extLst>
            <a:ext uri="{FF2B5EF4-FFF2-40B4-BE49-F238E27FC236}">
              <a16:creationId xmlns:a16="http://schemas.microsoft.com/office/drawing/2014/main" id="{A4E53CB5-0763-4D8D-95A4-1FA2957A8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7975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50</xdr:row>
      <xdr:rowOff>0</xdr:rowOff>
    </xdr:from>
    <xdr:ext cx="7620" cy="7620"/>
    <xdr:pic>
      <xdr:nvPicPr>
        <xdr:cNvPr id="119" name="Picture 118" descr="Attachments">
          <a:extLst>
            <a:ext uri="{FF2B5EF4-FFF2-40B4-BE49-F238E27FC236}">
              <a16:creationId xmlns:a16="http://schemas.microsoft.com/office/drawing/2014/main" id="{F09A65A1-0304-4424-8E34-2E4215B9D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1341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54</xdr:row>
      <xdr:rowOff>0</xdr:rowOff>
    </xdr:from>
    <xdr:ext cx="7620" cy="7620"/>
    <xdr:pic>
      <xdr:nvPicPr>
        <xdr:cNvPr id="120" name="Picture 119" descr="Attachments">
          <a:extLst>
            <a:ext uri="{FF2B5EF4-FFF2-40B4-BE49-F238E27FC236}">
              <a16:creationId xmlns:a16="http://schemas.microsoft.com/office/drawing/2014/main" id="{59E54A65-5B58-4779-9B14-7AC091B99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20777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75</xdr:row>
      <xdr:rowOff>0</xdr:rowOff>
    </xdr:from>
    <xdr:ext cx="7620" cy="7620"/>
    <xdr:pic>
      <xdr:nvPicPr>
        <xdr:cNvPr id="121" name="Picture 120" descr="Attachments">
          <a:extLst>
            <a:ext uri="{FF2B5EF4-FFF2-40B4-BE49-F238E27FC236}">
              <a16:creationId xmlns:a16="http://schemas.microsoft.com/office/drawing/2014/main" id="{62BFA1DC-29CC-4D1C-B449-2D9892C6D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59575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68</xdr:row>
      <xdr:rowOff>0</xdr:rowOff>
    </xdr:from>
    <xdr:ext cx="7620" cy="7620"/>
    <xdr:pic>
      <xdr:nvPicPr>
        <xdr:cNvPr id="122" name="Picture 121" descr="Attachments">
          <a:extLst>
            <a:ext uri="{FF2B5EF4-FFF2-40B4-BE49-F238E27FC236}">
              <a16:creationId xmlns:a16="http://schemas.microsoft.com/office/drawing/2014/main" id="{8677F5AB-331C-44C2-B94E-2139405C2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46621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28</xdr:row>
      <xdr:rowOff>0</xdr:rowOff>
    </xdr:from>
    <xdr:ext cx="7620" cy="7620"/>
    <xdr:pic>
      <xdr:nvPicPr>
        <xdr:cNvPr id="123" name="Picture 122" descr="Attachments">
          <a:extLst>
            <a:ext uri="{FF2B5EF4-FFF2-40B4-BE49-F238E27FC236}">
              <a16:creationId xmlns:a16="http://schemas.microsoft.com/office/drawing/2014/main" id="{751BBB1F-A7AC-4B12-A8B0-63A835C2A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7277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32</xdr:row>
      <xdr:rowOff>0</xdr:rowOff>
    </xdr:from>
    <xdr:ext cx="7620" cy="7620"/>
    <xdr:pic>
      <xdr:nvPicPr>
        <xdr:cNvPr id="124" name="Picture 123" descr="Attachments">
          <a:extLst>
            <a:ext uri="{FF2B5EF4-FFF2-40B4-BE49-F238E27FC236}">
              <a16:creationId xmlns:a16="http://schemas.microsoft.com/office/drawing/2014/main" id="{B9E04DCC-93DF-432B-A1CE-5E2145EC4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80137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30</xdr:row>
      <xdr:rowOff>0</xdr:rowOff>
    </xdr:from>
    <xdr:ext cx="7620" cy="7620"/>
    <xdr:pic>
      <xdr:nvPicPr>
        <xdr:cNvPr id="125" name="Picture 124" descr="Attachments">
          <a:extLst>
            <a:ext uri="{FF2B5EF4-FFF2-40B4-BE49-F238E27FC236}">
              <a16:creationId xmlns:a16="http://schemas.microsoft.com/office/drawing/2014/main" id="{869A9CAB-4E95-477A-8B00-2681549C4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7645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7620" cy="7620"/>
    <xdr:pic>
      <xdr:nvPicPr>
        <xdr:cNvPr id="126" name="Picture 125" descr="Attachments">
          <a:extLst>
            <a:ext uri="{FF2B5EF4-FFF2-40B4-BE49-F238E27FC236}">
              <a16:creationId xmlns:a16="http://schemas.microsoft.com/office/drawing/2014/main" id="{CE7D04B3-E40C-482E-8A12-1818CA008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74612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41</xdr:row>
      <xdr:rowOff>0</xdr:rowOff>
    </xdr:from>
    <xdr:ext cx="7620" cy="7620"/>
    <xdr:pic>
      <xdr:nvPicPr>
        <xdr:cNvPr id="127" name="Picture 126" descr="Attachments">
          <a:extLst>
            <a:ext uri="{FF2B5EF4-FFF2-40B4-BE49-F238E27FC236}">
              <a16:creationId xmlns:a16="http://schemas.microsoft.com/office/drawing/2014/main" id="{711362B9-2BC4-4E7D-AC07-BC5E31633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9677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34</xdr:row>
      <xdr:rowOff>0</xdr:rowOff>
    </xdr:from>
    <xdr:ext cx="7620" cy="7620"/>
    <xdr:pic>
      <xdr:nvPicPr>
        <xdr:cNvPr id="128" name="Picture 127" descr="Attachments">
          <a:extLst>
            <a:ext uri="{FF2B5EF4-FFF2-40B4-BE49-F238E27FC236}">
              <a16:creationId xmlns:a16="http://schemas.microsoft.com/office/drawing/2014/main" id="{033E09FC-687E-4A6C-B04E-35163E9FA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8382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</xdr:row>
      <xdr:rowOff>0</xdr:rowOff>
    </xdr:from>
    <xdr:ext cx="7620" cy="7620"/>
    <xdr:pic>
      <xdr:nvPicPr>
        <xdr:cNvPr id="129" name="Picture 128" descr="Attachments">
          <a:extLst>
            <a:ext uri="{FF2B5EF4-FFF2-40B4-BE49-F238E27FC236}">
              <a16:creationId xmlns:a16="http://schemas.microsoft.com/office/drawing/2014/main" id="{DA957F3D-3296-46CD-85D9-E20CE5DED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3581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</xdr:row>
      <xdr:rowOff>0</xdr:rowOff>
    </xdr:from>
    <xdr:ext cx="7620" cy="7620"/>
    <xdr:pic>
      <xdr:nvPicPr>
        <xdr:cNvPr id="130" name="Picture 129" descr="Attachments">
          <a:extLst>
            <a:ext uri="{FF2B5EF4-FFF2-40B4-BE49-F238E27FC236}">
              <a16:creationId xmlns:a16="http://schemas.microsoft.com/office/drawing/2014/main" id="{BFA47AA2-2134-4320-A28F-E95A6012D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30289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</xdr:row>
      <xdr:rowOff>0</xdr:rowOff>
    </xdr:from>
    <xdr:ext cx="7620" cy="7620"/>
    <xdr:pic>
      <xdr:nvPicPr>
        <xdr:cNvPr id="131" name="Picture 130" descr="Attachments">
          <a:extLst>
            <a:ext uri="{FF2B5EF4-FFF2-40B4-BE49-F238E27FC236}">
              <a16:creationId xmlns:a16="http://schemas.microsoft.com/office/drawing/2014/main" id="{4A2C8CB7-5B01-4F66-9586-A48558EDC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3213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</xdr:row>
      <xdr:rowOff>0</xdr:rowOff>
    </xdr:from>
    <xdr:ext cx="7620" cy="7620"/>
    <xdr:pic>
      <xdr:nvPicPr>
        <xdr:cNvPr id="132" name="Picture 131" descr="Attachments">
          <a:extLst>
            <a:ext uri="{FF2B5EF4-FFF2-40B4-BE49-F238E27FC236}">
              <a16:creationId xmlns:a16="http://schemas.microsoft.com/office/drawing/2014/main" id="{6A0BD79C-E910-4C75-A374-64E180804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33972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75</xdr:row>
      <xdr:rowOff>0</xdr:rowOff>
    </xdr:from>
    <xdr:ext cx="7620" cy="7620"/>
    <xdr:pic>
      <xdr:nvPicPr>
        <xdr:cNvPr id="133" name="Picture 132" descr="Attachments">
          <a:extLst>
            <a:ext uri="{FF2B5EF4-FFF2-40B4-BE49-F238E27FC236}">
              <a16:creationId xmlns:a16="http://schemas.microsoft.com/office/drawing/2014/main" id="{DB43626F-3737-4756-B5C7-8D7C287DB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59575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35</xdr:row>
      <xdr:rowOff>0</xdr:rowOff>
    </xdr:from>
    <xdr:ext cx="7620" cy="7620"/>
    <xdr:pic>
      <xdr:nvPicPr>
        <xdr:cNvPr id="134" name="Picture 133" descr="Attachments">
          <a:extLst>
            <a:ext uri="{FF2B5EF4-FFF2-40B4-BE49-F238E27FC236}">
              <a16:creationId xmlns:a16="http://schemas.microsoft.com/office/drawing/2014/main" id="{B6F5EBD3-8283-4FA3-9EED-2CE841C21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8572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58</xdr:row>
      <xdr:rowOff>0</xdr:rowOff>
    </xdr:from>
    <xdr:ext cx="7620" cy="7620"/>
    <xdr:pic>
      <xdr:nvPicPr>
        <xdr:cNvPr id="135" name="Picture 134" descr="Attachments">
          <a:extLst>
            <a:ext uri="{FF2B5EF4-FFF2-40B4-BE49-F238E27FC236}">
              <a16:creationId xmlns:a16="http://schemas.microsoft.com/office/drawing/2014/main" id="{A80BA685-DE2C-479C-B7AA-76AC25EB2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28143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88</xdr:row>
      <xdr:rowOff>0</xdr:rowOff>
    </xdr:from>
    <xdr:ext cx="7620" cy="7620"/>
    <xdr:pic>
      <xdr:nvPicPr>
        <xdr:cNvPr id="136" name="Picture 135" descr="Attachments">
          <a:extLst>
            <a:ext uri="{FF2B5EF4-FFF2-40B4-BE49-F238E27FC236}">
              <a16:creationId xmlns:a16="http://schemas.microsoft.com/office/drawing/2014/main" id="{BAE4224B-1ACF-495D-ACA5-D5D66A496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83578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89</xdr:row>
      <xdr:rowOff>0</xdr:rowOff>
    </xdr:from>
    <xdr:ext cx="7620" cy="7620"/>
    <xdr:pic>
      <xdr:nvPicPr>
        <xdr:cNvPr id="137" name="Picture 136" descr="Attachments">
          <a:extLst>
            <a:ext uri="{FF2B5EF4-FFF2-40B4-BE49-F238E27FC236}">
              <a16:creationId xmlns:a16="http://schemas.microsoft.com/office/drawing/2014/main" id="{888468E4-0A9B-48A0-B8D2-59511C86D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8542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96</xdr:row>
      <xdr:rowOff>0</xdr:rowOff>
    </xdr:from>
    <xdr:ext cx="7620" cy="7620"/>
    <xdr:pic>
      <xdr:nvPicPr>
        <xdr:cNvPr id="138" name="Picture 137" descr="Attachments">
          <a:extLst>
            <a:ext uri="{FF2B5EF4-FFF2-40B4-BE49-F238E27FC236}">
              <a16:creationId xmlns:a16="http://schemas.microsoft.com/office/drawing/2014/main" id="{D3D2AF20-F04A-4FD3-8486-710E99049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98310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82</xdr:row>
      <xdr:rowOff>0</xdr:rowOff>
    </xdr:from>
    <xdr:ext cx="7620" cy="7620"/>
    <xdr:pic>
      <xdr:nvPicPr>
        <xdr:cNvPr id="139" name="Picture 138" descr="Attachments">
          <a:extLst>
            <a:ext uri="{FF2B5EF4-FFF2-40B4-BE49-F238E27FC236}">
              <a16:creationId xmlns:a16="http://schemas.microsoft.com/office/drawing/2014/main" id="{E761004A-ADB7-4A79-B411-670D223E7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7246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72</xdr:row>
      <xdr:rowOff>0</xdr:rowOff>
    </xdr:from>
    <xdr:ext cx="7620" cy="7620"/>
    <xdr:pic>
      <xdr:nvPicPr>
        <xdr:cNvPr id="140" name="Picture 139" descr="Attachments">
          <a:extLst>
            <a:ext uri="{FF2B5EF4-FFF2-40B4-BE49-F238E27FC236}">
              <a16:creationId xmlns:a16="http://schemas.microsoft.com/office/drawing/2014/main" id="{FA92ADDF-66E7-48CA-83C8-2B28F7AC4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53987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36</xdr:row>
      <xdr:rowOff>0</xdr:rowOff>
    </xdr:from>
    <xdr:ext cx="7620" cy="7620"/>
    <xdr:pic>
      <xdr:nvPicPr>
        <xdr:cNvPr id="141" name="Picture 140" descr="Attachments">
          <a:extLst>
            <a:ext uri="{FF2B5EF4-FFF2-40B4-BE49-F238E27FC236}">
              <a16:creationId xmlns:a16="http://schemas.microsoft.com/office/drawing/2014/main" id="{07E7AB0C-CC74-4840-BDDD-0A37AB0DF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87566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56</xdr:row>
      <xdr:rowOff>0</xdr:rowOff>
    </xdr:from>
    <xdr:ext cx="7620" cy="7620"/>
    <xdr:pic>
      <xdr:nvPicPr>
        <xdr:cNvPr id="142" name="Picture 141" descr="Attachments">
          <a:extLst>
            <a:ext uri="{FF2B5EF4-FFF2-40B4-BE49-F238E27FC236}">
              <a16:creationId xmlns:a16="http://schemas.microsoft.com/office/drawing/2014/main" id="{2E13C676-0B67-4401-8586-AA87684AF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2446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22</xdr:row>
      <xdr:rowOff>0</xdr:rowOff>
    </xdr:from>
    <xdr:ext cx="7620" cy="7620"/>
    <xdr:pic>
      <xdr:nvPicPr>
        <xdr:cNvPr id="143" name="Picture 142" descr="Attachments">
          <a:extLst>
            <a:ext uri="{FF2B5EF4-FFF2-40B4-BE49-F238E27FC236}">
              <a16:creationId xmlns:a16="http://schemas.microsoft.com/office/drawing/2014/main" id="{4B8D9B6D-29D6-4910-95F9-650FD17D2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61658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47</xdr:row>
      <xdr:rowOff>0</xdr:rowOff>
    </xdr:from>
    <xdr:ext cx="7620" cy="7620"/>
    <xdr:pic>
      <xdr:nvPicPr>
        <xdr:cNvPr id="144" name="Picture 143" descr="Attachments">
          <a:extLst>
            <a:ext uri="{FF2B5EF4-FFF2-40B4-BE49-F238E27FC236}">
              <a16:creationId xmlns:a16="http://schemas.microsoft.com/office/drawing/2014/main" id="{D8A12F46-A882-4250-97A8-FF746E961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07823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7620" cy="7620"/>
    <xdr:pic>
      <xdr:nvPicPr>
        <xdr:cNvPr id="145" name="Picture 144" descr="Attachments">
          <a:extLst>
            <a:ext uri="{FF2B5EF4-FFF2-40B4-BE49-F238E27FC236}">
              <a16:creationId xmlns:a16="http://schemas.microsoft.com/office/drawing/2014/main" id="{3D66E4BD-6F88-41B9-B2A5-A924A1254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74612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26</xdr:row>
      <xdr:rowOff>0</xdr:rowOff>
    </xdr:from>
    <xdr:ext cx="7620" cy="7620"/>
    <xdr:pic>
      <xdr:nvPicPr>
        <xdr:cNvPr id="146" name="Picture 145" descr="Attachments">
          <a:extLst>
            <a:ext uri="{FF2B5EF4-FFF2-40B4-BE49-F238E27FC236}">
              <a16:creationId xmlns:a16="http://schemas.microsoft.com/office/drawing/2014/main" id="{E01C5188-0F33-4E2B-8A45-EC95F59B7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69024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59</xdr:row>
      <xdr:rowOff>0</xdr:rowOff>
    </xdr:from>
    <xdr:ext cx="7620" cy="7620"/>
    <xdr:pic>
      <xdr:nvPicPr>
        <xdr:cNvPr id="147" name="Picture 146" descr="Attachments">
          <a:extLst>
            <a:ext uri="{FF2B5EF4-FFF2-40B4-BE49-F238E27FC236}">
              <a16:creationId xmlns:a16="http://schemas.microsoft.com/office/drawing/2014/main" id="{E9788C01-4537-4475-9BD2-1B239B99D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29984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</xdr:row>
      <xdr:rowOff>0</xdr:rowOff>
    </xdr:from>
    <xdr:ext cx="7620" cy="7620"/>
    <xdr:pic>
      <xdr:nvPicPr>
        <xdr:cNvPr id="148" name="Picture 147" descr="Attachments">
          <a:extLst>
            <a:ext uri="{FF2B5EF4-FFF2-40B4-BE49-F238E27FC236}">
              <a16:creationId xmlns:a16="http://schemas.microsoft.com/office/drawing/2014/main" id="{2C171C45-D9A5-46CF-9B6F-CD818D131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4318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</xdr:row>
      <xdr:rowOff>0</xdr:rowOff>
    </xdr:from>
    <xdr:ext cx="7620" cy="7620"/>
    <xdr:pic>
      <xdr:nvPicPr>
        <xdr:cNvPr id="149" name="Picture 148" descr="Attachments">
          <a:extLst>
            <a:ext uri="{FF2B5EF4-FFF2-40B4-BE49-F238E27FC236}">
              <a16:creationId xmlns:a16="http://schemas.microsoft.com/office/drawing/2014/main" id="{1CBC6112-85E0-4E1A-B7F4-FF0D8CD78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39497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</xdr:row>
      <xdr:rowOff>0</xdr:rowOff>
    </xdr:from>
    <xdr:ext cx="7620" cy="7620"/>
    <xdr:pic>
      <xdr:nvPicPr>
        <xdr:cNvPr id="150" name="Picture 149" descr="Attachments">
          <a:extLst>
            <a:ext uri="{FF2B5EF4-FFF2-40B4-BE49-F238E27FC236}">
              <a16:creationId xmlns:a16="http://schemas.microsoft.com/office/drawing/2014/main" id="{D9D53F7C-73BA-4BDD-A43E-FFDF99102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46863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</xdr:row>
      <xdr:rowOff>0</xdr:rowOff>
    </xdr:from>
    <xdr:ext cx="7620" cy="7620"/>
    <xdr:pic>
      <xdr:nvPicPr>
        <xdr:cNvPr id="151" name="Picture 150" descr="Attachments">
          <a:extLst>
            <a:ext uri="{FF2B5EF4-FFF2-40B4-BE49-F238E27FC236}">
              <a16:creationId xmlns:a16="http://schemas.microsoft.com/office/drawing/2014/main" id="{14B3EA15-1E56-4D0B-9618-A5445D310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37655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79</xdr:row>
      <xdr:rowOff>0</xdr:rowOff>
    </xdr:from>
    <xdr:ext cx="7620" cy="7620"/>
    <xdr:pic>
      <xdr:nvPicPr>
        <xdr:cNvPr id="152" name="Picture 151" descr="Attachments">
          <a:extLst>
            <a:ext uri="{FF2B5EF4-FFF2-40B4-BE49-F238E27FC236}">
              <a16:creationId xmlns:a16="http://schemas.microsoft.com/office/drawing/2014/main" id="{385E93D9-2700-4B42-B4F5-5FA380EAE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66941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103</xdr:row>
      <xdr:rowOff>0</xdr:rowOff>
    </xdr:from>
    <xdr:ext cx="7620" cy="7620"/>
    <xdr:pic>
      <xdr:nvPicPr>
        <xdr:cNvPr id="153" name="Picture 152" descr="Attachments">
          <a:extLst>
            <a:ext uri="{FF2B5EF4-FFF2-40B4-BE49-F238E27FC236}">
              <a16:creationId xmlns:a16="http://schemas.microsoft.com/office/drawing/2014/main" id="{12B0D1D2-CDE4-47D1-9D01-6CE7CE38F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211264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</xdr:row>
      <xdr:rowOff>0</xdr:rowOff>
    </xdr:from>
    <xdr:ext cx="7620" cy="7620"/>
    <xdr:pic>
      <xdr:nvPicPr>
        <xdr:cNvPr id="154" name="Picture 153" descr="Attachments">
          <a:extLst>
            <a:ext uri="{FF2B5EF4-FFF2-40B4-BE49-F238E27FC236}">
              <a16:creationId xmlns:a16="http://schemas.microsoft.com/office/drawing/2014/main" id="{D2D5E9D4-3929-486D-97AB-2F802C1E4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30289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</xdr:row>
      <xdr:rowOff>0</xdr:rowOff>
    </xdr:from>
    <xdr:ext cx="7620" cy="7620"/>
    <xdr:pic>
      <xdr:nvPicPr>
        <xdr:cNvPr id="155" name="Picture 154" descr="Attachments">
          <a:extLst>
            <a:ext uri="{FF2B5EF4-FFF2-40B4-BE49-F238E27FC236}">
              <a16:creationId xmlns:a16="http://schemas.microsoft.com/office/drawing/2014/main" id="{1B67E981-B1B0-4249-9909-52F1FD594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30289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</xdr:row>
      <xdr:rowOff>0</xdr:rowOff>
    </xdr:from>
    <xdr:ext cx="7620" cy="7620"/>
    <xdr:pic>
      <xdr:nvPicPr>
        <xdr:cNvPr id="156" name="Picture 155" descr="Attachments">
          <a:extLst>
            <a:ext uri="{FF2B5EF4-FFF2-40B4-BE49-F238E27FC236}">
              <a16:creationId xmlns:a16="http://schemas.microsoft.com/office/drawing/2014/main" id="{0980A543-1F8D-466A-B78D-C4008803F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30289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</xdr:row>
      <xdr:rowOff>0</xdr:rowOff>
    </xdr:from>
    <xdr:ext cx="7620" cy="7620"/>
    <xdr:pic>
      <xdr:nvPicPr>
        <xdr:cNvPr id="157" name="Picture 156" descr="Attachments">
          <a:extLst>
            <a:ext uri="{FF2B5EF4-FFF2-40B4-BE49-F238E27FC236}">
              <a16:creationId xmlns:a16="http://schemas.microsoft.com/office/drawing/2014/main" id="{7001CA5B-0909-4B49-B8AD-1B51081DF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3581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</xdr:row>
      <xdr:rowOff>0</xdr:rowOff>
    </xdr:from>
    <xdr:ext cx="7620" cy="7620"/>
    <xdr:pic>
      <xdr:nvPicPr>
        <xdr:cNvPr id="158" name="Picture 157" descr="Attachments">
          <a:extLst>
            <a:ext uri="{FF2B5EF4-FFF2-40B4-BE49-F238E27FC236}">
              <a16:creationId xmlns:a16="http://schemas.microsoft.com/office/drawing/2014/main" id="{4C9FE852-F986-41EF-A5C8-0526A8095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30289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74</xdr:row>
      <xdr:rowOff>0</xdr:rowOff>
    </xdr:from>
    <xdr:ext cx="7620" cy="7620"/>
    <xdr:pic>
      <xdr:nvPicPr>
        <xdr:cNvPr id="159" name="Picture 158" descr="Attachments">
          <a:extLst>
            <a:ext uri="{FF2B5EF4-FFF2-40B4-BE49-F238E27FC236}">
              <a16:creationId xmlns:a16="http://schemas.microsoft.com/office/drawing/2014/main" id="{AAEBE060-F416-42C7-85E1-79FD4FF3B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57670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23</xdr:row>
      <xdr:rowOff>0</xdr:rowOff>
    </xdr:from>
    <xdr:ext cx="7620" cy="7620"/>
    <xdr:pic>
      <xdr:nvPicPr>
        <xdr:cNvPr id="160" name="Picture 159" descr="Attachments">
          <a:extLst>
            <a:ext uri="{FF2B5EF4-FFF2-40B4-BE49-F238E27FC236}">
              <a16:creationId xmlns:a16="http://schemas.microsoft.com/office/drawing/2014/main" id="{52DF86EC-4F5B-4087-A289-83B3C5213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6350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96</xdr:row>
      <xdr:rowOff>0</xdr:rowOff>
    </xdr:from>
    <xdr:ext cx="7620" cy="7620"/>
    <xdr:pic>
      <xdr:nvPicPr>
        <xdr:cNvPr id="161" name="Picture 160" descr="Attachments">
          <a:extLst>
            <a:ext uri="{FF2B5EF4-FFF2-40B4-BE49-F238E27FC236}">
              <a16:creationId xmlns:a16="http://schemas.microsoft.com/office/drawing/2014/main" id="{00C23E96-57C4-4499-A9E6-0424BC043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98310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26</xdr:row>
      <xdr:rowOff>0</xdr:rowOff>
    </xdr:from>
    <xdr:ext cx="7620" cy="7620"/>
    <xdr:pic>
      <xdr:nvPicPr>
        <xdr:cNvPr id="162" name="Picture 161" descr="Attachments">
          <a:extLst>
            <a:ext uri="{FF2B5EF4-FFF2-40B4-BE49-F238E27FC236}">
              <a16:creationId xmlns:a16="http://schemas.microsoft.com/office/drawing/2014/main" id="{E8C30354-7E7F-4180-9996-7C07DDF28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69024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50</xdr:row>
      <xdr:rowOff>0</xdr:rowOff>
    </xdr:from>
    <xdr:ext cx="7620" cy="7620"/>
    <xdr:pic>
      <xdr:nvPicPr>
        <xdr:cNvPr id="163" name="Picture 162" descr="Attachments">
          <a:extLst>
            <a:ext uri="{FF2B5EF4-FFF2-40B4-BE49-F238E27FC236}">
              <a16:creationId xmlns:a16="http://schemas.microsoft.com/office/drawing/2014/main" id="{06683A55-CD6E-4B76-94D2-482A0EF89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1341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70</xdr:row>
      <xdr:rowOff>0</xdr:rowOff>
    </xdr:from>
    <xdr:ext cx="7620" cy="7620"/>
    <xdr:pic>
      <xdr:nvPicPr>
        <xdr:cNvPr id="164" name="Picture 163" descr="Attachments">
          <a:extLst>
            <a:ext uri="{FF2B5EF4-FFF2-40B4-BE49-F238E27FC236}">
              <a16:creationId xmlns:a16="http://schemas.microsoft.com/office/drawing/2014/main" id="{F341FF3D-F1D5-4AAE-B40A-26037F178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50304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62</xdr:row>
      <xdr:rowOff>0</xdr:rowOff>
    </xdr:from>
    <xdr:ext cx="7620" cy="7620"/>
    <xdr:pic>
      <xdr:nvPicPr>
        <xdr:cNvPr id="165" name="Picture 164" descr="Attachments">
          <a:extLst>
            <a:ext uri="{FF2B5EF4-FFF2-40B4-BE49-F238E27FC236}">
              <a16:creationId xmlns:a16="http://schemas.microsoft.com/office/drawing/2014/main" id="{45AA8762-0260-4060-91D9-B4412535D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35572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</xdr:row>
      <xdr:rowOff>0</xdr:rowOff>
    </xdr:from>
    <xdr:ext cx="7620" cy="7620"/>
    <xdr:pic>
      <xdr:nvPicPr>
        <xdr:cNvPr id="166" name="Picture 165" descr="Attachments">
          <a:extLst>
            <a:ext uri="{FF2B5EF4-FFF2-40B4-BE49-F238E27FC236}">
              <a16:creationId xmlns:a16="http://schemas.microsoft.com/office/drawing/2014/main" id="{34016BFE-1A8C-487D-9A7B-F0980FF88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30289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</xdr:row>
      <xdr:rowOff>0</xdr:rowOff>
    </xdr:from>
    <xdr:ext cx="7620" cy="7620"/>
    <xdr:pic>
      <xdr:nvPicPr>
        <xdr:cNvPr id="167" name="Picture 166" descr="Attachments">
          <a:extLst>
            <a:ext uri="{FF2B5EF4-FFF2-40B4-BE49-F238E27FC236}">
              <a16:creationId xmlns:a16="http://schemas.microsoft.com/office/drawing/2014/main" id="{F977B34A-EE02-41D4-87B8-7CCAF49E1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3581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</xdr:row>
      <xdr:rowOff>0</xdr:rowOff>
    </xdr:from>
    <xdr:ext cx="7620" cy="7620"/>
    <xdr:pic>
      <xdr:nvPicPr>
        <xdr:cNvPr id="168" name="Picture 167" descr="Attachments">
          <a:extLst>
            <a:ext uri="{FF2B5EF4-FFF2-40B4-BE49-F238E27FC236}">
              <a16:creationId xmlns:a16="http://schemas.microsoft.com/office/drawing/2014/main" id="{A3FBAFEE-0CB3-4809-BDEC-5ECF3485F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30289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</xdr:row>
      <xdr:rowOff>0</xdr:rowOff>
    </xdr:from>
    <xdr:ext cx="7620" cy="7620"/>
    <xdr:pic>
      <xdr:nvPicPr>
        <xdr:cNvPr id="169" name="Picture 168" descr="Attachments">
          <a:extLst>
            <a:ext uri="{FF2B5EF4-FFF2-40B4-BE49-F238E27FC236}">
              <a16:creationId xmlns:a16="http://schemas.microsoft.com/office/drawing/2014/main" id="{BA52D37F-187E-4821-AE95-1B32365A8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3213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</xdr:row>
      <xdr:rowOff>0</xdr:rowOff>
    </xdr:from>
    <xdr:ext cx="7620" cy="7620"/>
    <xdr:pic>
      <xdr:nvPicPr>
        <xdr:cNvPr id="170" name="Picture 169" descr="Attachments">
          <a:extLst>
            <a:ext uri="{FF2B5EF4-FFF2-40B4-BE49-F238E27FC236}">
              <a16:creationId xmlns:a16="http://schemas.microsoft.com/office/drawing/2014/main" id="{19EA4650-9E80-48F5-BCE9-E0BDC56FB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4318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</xdr:row>
      <xdr:rowOff>0</xdr:rowOff>
    </xdr:from>
    <xdr:ext cx="7620" cy="7620"/>
    <xdr:pic>
      <xdr:nvPicPr>
        <xdr:cNvPr id="171" name="Picture 170" descr="Attachments">
          <a:extLst>
            <a:ext uri="{FF2B5EF4-FFF2-40B4-BE49-F238E27FC236}">
              <a16:creationId xmlns:a16="http://schemas.microsoft.com/office/drawing/2014/main" id="{80D457AA-78EC-4440-8FD4-1B77CCBBC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37655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83</xdr:row>
      <xdr:rowOff>0</xdr:rowOff>
    </xdr:from>
    <xdr:ext cx="7620" cy="7620"/>
    <xdr:pic>
      <xdr:nvPicPr>
        <xdr:cNvPr id="172" name="Picture 171" descr="Attachments">
          <a:extLst>
            <a:ext uri="{FF2B5EF4-FFF2-40B4-BE49-F238E27FC236}">
              <a16:creationId xmlns:a16="http://schemas.microsoft.com/office/drawing/2014/main" id="{4B7A6C01-33F1-416E-9292-998179F34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74307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80</xdr:row>
      <xdr:rowOff>0</xdr:rowOff>
    </xdr:from>
    <xdr:ext cx="7620" cy="7620"/>
    <xdr:pic>
      <xdr:nvPicPr>
        <xdr:cNvPr id="173" name="Picture 172" descr="Attachments">
          <a:extLst>
            <a:ext uri="{FF2B5EF4-FFF2-40B4-BE49-F238E27FC236}">
              <a16:creationId xmlns:a16="http://schemas.microsoft.com/office/drawing/2014/main" id="{C2FA4DCD-09D1-4E29-A324-24EBE2E89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68783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81</xdr:row>
      <xdr:rowOff>0</xdr:rowOff>
    </xdr:from>
    <xdr:ext cx="7620" cy="7620"/>
    <xdr:pic>
      <xdr:nvPicPr>
        <xdr:cNvPr id="174" name="Picture 173" descr="Attachments">
          <a:extLst>
            <a:ext uri="{FF2B5EF4-FFF2-40B4-BE49-F238E27FC236}">
              <a16:creationId xmlns:a16="http://schemas.microsoft.com/office/drawing/2014/main" id="{98AFD089-2EF5-440E-B4A4-AF9F46325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70624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82</xdr:row>
      <xdr:rowOff>0</xdr:rowOff>
    </xdr:from>
    <xdr:ext cx="7620" cy="7620"/>
    <xdr:pic>
      <xdr:nvPicPr>
        <xdr:cNvPr id="175" name="Picture 174" descr="Attachments">
          <a:extLst>
            <a:ext uri="{FF2B5EF4-FFF2-40B4-BE49-F238E27FC236}">
              <a16:creationId xmlns:a16="http://schemas.microsoft.com/office/drawing/2014/main" id="{DE08EA7C-5AF9-4A6C-BD99-82A3B901C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7246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85</xdr:row>
      <xdr:rowOff>0</xdr:rowOff>
    </xdr:from>
    <xdr:ext cx="7620" cy="7620"/>
    <xdr:pic>
      <xdr:nvPicPr>
        <xdr:cNvPr id="176" name="Picture 175" descr="Attachments">
          <a:extLst>
            <a:ext uri="{FF2B5EF4-FFF2-40B4-BE49-F238E27FC236}">
              <a16:creationId xmlns:a16="http://schemas.microsoft.com/office/drawing/2014/main" id="{12D51370-DCC7-4902-BBC4-281DA68C3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77990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0</xdr:rowOff>
    </xdr:from>
    <xdr:ext cx="7620" cy="7620"/>
    <xdr:pic>
      <xdr:nvPicPr>
        <xdr:cNvPr id="177" name="Picture 176" descr="Attachments">
          <a:extLst>
            <a:ext uri="{FF2B5EF4-FFF2-40B4-BE49-F238E27FC236}">
              <a16:creationId xmlns:a16="http://schemas.microsoft.com/office/drawing/2014/main" id="{3458C192-1EE0-4ED5-9382-3734ACCB0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79895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111</xdr:row>
      <xdr:rowOff>0</xdr:rowOff>
    </xdr:from>
    <xdr:ext cx="7620" cy="7620"/>
    <xdr:pic>
      <xdr:nvPicPr>
        <xdr:cNvPr id="178" name="Picture 177" descr="Attachments">
          <a:extLst>
            <a:ext uri="{FF2B5EF4-FFF2-40B4-BE49-F238E27FC236}">
              <a16:creationId xmlns:a16="http://schemas.microsoft.com/office/drawing/2014/main" id="{EF6EE197-722F-4ADC-8180-353FDBDF2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225996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112</xdr:row>
      <xdr:rowOff>0</xdr:rowOff>
    </xdr:from>
    <xdr:ext cx="7620" cy="7620"/>
    <xdr:pic>
      <xdr:nvPicPr>
        <xdr:cNvPr id="179" name="Picture 178" descr="Attachments">
          <a:extLst>
            <a:ext uri="{FF2B5EF4-FFF2-40B4-BE49-F238E27FC236}">
              <a16:creationId xmlns:a16="http://schemas.microsoft.com/office/drawing/2014/main" id="{1BDACFAE-A708-42DC-9E19-090A4826F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227838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113</xdr:row>
      <xdr:rowOff>0</xdr:rowOff>
    </xdr:from>
    <xdr:ext cx="7620" cy="7620"/>
    <xdr:pic>
      <xdr:nvPicPr>
        <xdr:cNvPr id="180" name="Picture 179" descr="Attachments">
          <a:extLst>
            <a:ext uri="{FF2B5EF4-FFF2-40B4-BE49-F238E27FC236}">
              <a16:creationId xmlns:a16="http://schemas.microsoft.com/office/drawing/2014/main" id="{20475CC0-26D9-4E58-9445-A2F790337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229679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114</xdr:row>
      <xdr:rowOff>0</xdr:rowOff>
    </xdr:from>
    <xdr:ext cx="7620" cy="7620"/>
    <xdr:pic>
      <xdr:nvPicPr>
        <xdr:cNvPr id="181" name="Picture 180" descr="Attachments">
          <a:extLst>
            <a:ext uri="{FF2B5EF4-FFF2-40B4-BE49-F238E27FC236}">
              <a16:creationId xmlns:a16="http://schemas.microsoft.com/office/drawing/2014/main" id="{F85D5B81-2DD5-47E3-96F8-77CCAEF9F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23152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7620" cy="7620"/>
    <xdr:pic>
      <xdr:nvPicPr>
        <xdr:cNvPr id="182" name="Picture 181" descr="Attachments">
          <a:extLst>
            <a:ext uri="{FF2B5EF4-FFF2-40B4-BE49-F238E27FC236}">
              <a16:creationId xmlns:a16="http://schemas.microsoft.com/office/drawing/2014/main" id="{3DD1F041-2049-433B-972F-E0A070102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214947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45</xdr:row>
      <xdr:rowOff>0</xdr:rowOff>
    </xdr:from>
    <xdr:ext cx="0" cy="7620"/>
    <xdr:pic>
      <xdr:nvPicPr>
        <xdr:cNvPr id="183" name="Picture 182" descr="Attachments">
          <a:extLst>
            <a:ext uri="{FF2B5EF4-FFF2-40B4-BE49-F238E27FC236}">
              <a16:creationId xmlns:a16="http://schemas.microsoft.com/office/drawing/2014/main" id="{8F1D1513-E390-4F52-A5DD-89707212C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10414000"/>
          <a:ext cx="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100</xdr:row>
      <xdr:rowOff>0</xdr:rowOff>
    </xdr:from>
    <xdr:ext cx="7620" cy="7620"/>
    <xdr:pic>
      <xdr:nvPicPr>
        <xdr:cNvPr id="184" name="Picture 183" descr="Attachments">
          <a:extLst>
            <a:ext uri="{FF2B5EF4-FFF2-40B4-BE49-F238E27FC236}">
              <a16:creationId xmlns:a16="http://schemas.microsoft.com/office/drawing/2014/main" id="{D32B9928-AD78-42D5-85AF-1F2685DAD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205676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7620" cy="7620"/>
    <xdr:pic>
      <xdr:nvPicPr>
        <xdr:cNvPr id="185" name="Picture 184" descr="Attachments">
          <a:extLst>
            <a:ext uri="{FF2B5EF4-FFF2-40B4-BE49-F238E27FC236}">
              <a16:creationId xmlns:a16="http://schemas.microsoft.com/office/drawing/2014/main" id="{5589586D-6FC5-455A-A234-0FECAE511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115252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</xdr:row>
      <xdr:rowOff>0</xdr:rowOff>
    </xdr:from>
    <xdr:ext cx="7620" cy="7620"/>
    <xdr:pic>
      <xdr:nvPicPr>
        <xdr:cNvPr id="186" name="Picture 185" descr="Attachments">
          <a:extLst>
            <a:ext uri="{FF2B5EF4-FFF2-40B4-BE49-F238E27FC236}">
              <a16:creationId xmlns:a16="http://schemas.microsoft.com/office/drawing/2014/main" id="{6710018D-94FA-4822-BC18-D92B29902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39497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111</xdr:row>
      <xdr:rowOff>0</xdr:rowOff>
    </xdr:from>
    <xdr:ext cx="7620" cy="7620"/>
    <xdr:pic>
      <xdr:nvPicPr>
        <xdr:cNvPr id="187" name="Picture 186" descr="Attachments">
          <a:extLst>
            <a:ext uri="{FF2B5EF4-FFF2-40B4-BE49-F238E27FC236}">
              <a16:creationId xmlns:a16="http://schemas.microsoft.com/office/drawing/2014/main" id="{2EE07354-B46D-45C9-8ADC-E420DBA66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225996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52</xdr:row>
      <xdr:rowOff>0</xdr:rowOff>
    </xdr:from>
    <xdr:ext cx="7620" cy="7620"/>
    <xdr:pic>
      <xdr:nvPicPr>
        <xdr:cNvPr id="188" name="Picture 187" descr="Attachments">
          <a:extLst>
            <a:ext uri="{FF2B5EF4-FFF2-40B4-BE49-F238E27FC236}">
              <a16:creationId xmlns:a16="http://schemas.microsoft.com/office/drawing/2014/main" id="{964DAD59-31B2-4A47-8060-1C2A10B14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11709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70</xdr:row>
      <xdr:rowOff>0</xdr:rowOff>
    </xdr:from>
    <xdr:ext cx="7620" cy="7620"/>
    <xdr:pic>
      <xdr:nvPicPr>
        <xdr:cNvPr id="189" name="Picture 188" descr="Attachments">
          <a:extLst>
            <a:ext uri="{FF2B5EF4-FFF2-40B4-BE49-F238E27FC236}">
              <a16:creationId xmlns:a16="http://schemas.microsoft.com/office/drawing/2014/main" id="{4329B8A1-1D93-41F5-8511-2A71471FD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150304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111</xdr:row>
      <xdr:rowOff>0</xdr:rowOff>
    </xdr:from>
    <xdr:ext cx="7620" cy="7620"/>
    <xdr:pic>
      <xdr:nvPicPr>
        <xdr:cNvPr id="190" name="Picture 189" descr="Attachments">
          <a:extLst>
            <a:ext uri="{FF2B5EF4-FFF2-40B4-BE49-F238E27FC236}">
              <a16:creationId xmlns:a16="http://schemas.microsoft.com/office/drawing/2014/main" id="{9FE51742-7B49-4F4F-BAB1-254E99FE1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225996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47</xdr:row>
      <xdr:rowOff>0</xdr:rowOff>
    </xdr:from>
    <xdr:ext cx="0" cy="7620"/>
    <xdr:pic>
      <xdr:nvPicPr>
        <xdr:cNvPr id="191" name="Picture 190" descr="Attachments">
          <a:extLst>
            <a:ext uri="{FF2B5EF4-FFF2-40B4-BE49-F238E27FC236}">
              <a16:creationId xmlns:a16="http://schemas.microsoft.com/office/drawing/2014/main" id="{32B18ECE-F23A-4A57-9935-7C8E41ACA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54450" y="10782300"/>
          <a:ext cx="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78</xdr:row>
      <xdr:rowOff>0</xdr:rowOff>
    </xdr:from>
    <xdr:ext cx="7620" cy="7620"/>
    <xdr:pic>
      <xdr:nvPicPr>
        <xdr:cNvPr id="192" name="Picture 191" descr="Attachments">
          <a:extLst>
            <a:ext uri="{FF2B5EF4-FFF2-40B4-BE49-F238E27FC236}">
              <a16:creationId xmlns:a16="http://schemas.microsoft.com/office/drawing/2014/main" id="{68DF9978-A3EC-4F21-8A1B-BBBF34592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16510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21</xdr:row>
      <xdr:rowOff>0</xdr:rowOff>
    </xdr:from>
    <xdr:ext cx="7620" cy="7620"/>
    <xdr:pic>
      <xdr:nvPicPr>
        <xdr:cNvPr id="193" name="Picture 192" descr="Attachments">
          <a:extLst>
            <a:ext uri="{FF2B5EF4-FFF2-40B4-BE49-F238E27FC236}">
              <a16:creationId xmlns:a16="http://schemas.microsoft.com/office/drawing/2014/main" id="{B2D0AC36-819F-4332-B879-6521013BD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59817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</xdr:row>
      <xdr:rowOff>0</xdr:rowOff>
    </xdr:from>
    <xdr:ext cx="7620" cy="7620"/>
    <xdr:pic>
      <xdr:nvPicPr>
        <xdr:cNvPr id="194" name="Picture 193" descr="Attachments">
          <a:extLst>
            <a:ext uri="{FF2B5EF4-FFF2-40B4-BE49-F238E27FC236}">
              <a16:creationId xmlns:a16="http://schemas.microsoft.com/office/drawing/2014/main" id="{7463C285-BC67-4A75-A040-E126A8FA6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41338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</xdr:row>
      <xdr:rowOff>0</xdr:rowOff>
    </xdr:from>
    <xdr:ext cx="7620" cy="7620"/>
    <xdr:pic>
      <xdr:nvPicPr>
        <xdr:cNvPr id="195" name="Picture 194" descr="Attachments">
          <a:extLst>
            <a:ext uri="{FF2B5EF4-FFF2-40B4-BE49-F238E27FC236}">
              <a16:creationId xmlns:a16="http://schemas.microsoft.com/office/drawing/2014/main" id="{697A9832-5F89-4491-B0B1-379667E16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4318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22</xdr:row>
      <xdr:rowOff>0</xdr:rowOff>
    </xdr:from>
    <xdr:ext cx="7620" cy="7620"/>
    <xdr:pic>
      <xdr:nvPicPr>
        <xdr:cNvPr id="196" name="Picture 195" descr="Attachments">
          <a:extLst>
            <a:ext uri="{FF2B5EF4-FFF2-40B4-BE49-F238E27FC236}">
              <a16:creationId xmlns:a16="http://schemas.microsoft.com/office/drawing/2014/main" id="{E376AEBC-3623-43CC-8462-B7FB304DA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61658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13</xdr:row>
      <xdr:rowOff>0</xdr:rowOff>
    </xdr:from>
    <xdr:ext cx="7620" cy="7620"/>
    <xdr:pic>
      <xdr:nvPicPr>
        <xdr:cNvPr id="197" name="Picture 196" descr="Attachments">
          <a:extLst>
            <a:ext uri="{FF2B5EF4-FFF2-40B4-BE49-F238E27FC236}">
              <a16:creationId xmlns:a16="http://schemas.microsoft.com/office/drawing/2014/main" id="{0CB32E7C-B8F8-4621-AE99-4652733BB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45021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110</xdr:row>
      <xdr:rowOff>0</xdr:rowOff>
    </xdr:from>
    <xdr:ext cx="7620" cy="7620"/>
    <xdr:pic>
      <xdr:nvPicPr>
        <xdr:cNvPr id="198" name="Picture 197" descr="Attachments">
          <a:extLst>
            <a:ext uri="{FF2B5EF4-FFF2-40B4-BE49-F238E27FC236}">
              <a16:creationId xmlns:a16="http://schemas.microsoft.com/office/drawing/2014/main" id="{5E746B78-E74E-45DF-A3F6-B65E27E87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22415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48</xdr:row>
      <xdr:rowOff>0</xdr:rowOff>
    </xdr:from>
    <xdr:ext cx="0" cy="7620"/>
    <xdr:pic>
      <xdr:nvPicPr>
        <xdr:cNvPr id="199" name="Picture 198" descr="Attachments">
          <a:extLst>
            <a:ext uri="{FF2B5EF4-FFF2-40B4-BE49-F238E27FC236}">
              <a16:creationId xmlns:a16="http://schemas.microsoft.com/office/drawing/2014/main" id="{14A87CE2-939F-4A83-8C3B-32CA74020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18200" y="10966450"/>
          <a:ext cx="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7620" cy="7620"/>
    <xdr:pic>
      <xdr:nvPicPr>
        <xdr:cNvPr id="200" name="Picture 199" descr="Attachments">
          <a:extLst>
            <a:ext uri="{FF2B5EF4-FFF2-40B4-BE49-F238E27FC236}">
              <a16:creationId xmlns:a16="http://schemas.microsoft.com/office/drawing/2014/main" id="{80BE1B71-608B-4C49-A1DE-AB276EF69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16510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0</xdr:rowOff>
    </xdr:from>
    <xdr:ext cx="7620" cy="7620"/>
    <xdr:pic>
      <xdr:nvPicPr>
        <xdr:cNvPr id="201" name="Picture 200" descr="Attachments">
          <a:extLst>
            <a:ext uri="{FF2B5EF4-FFF2-40B4-BE49-F238E27FC236}">
              <a16:creationId xmlns:a16="http://schemas.microsoft.com/office/drawing/2014/main" id="{95E812FE-2A07-457B-8D8F-C6F821186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59817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</xdr:row>
      <xdr:rowOff>0</xdr:rowOff>
    </xdr:from>
    <xdr:ext cx="7620" cy="7620"/>
    <xdr:pic>
      <xdr:nvPicPr>
        <xdr:cNvPr id="202" name="Picture 201" descr="Attachments">
          <a:extLst>
            <a:ext uri="{FF2B5EF4-FFF2-40B4-BE49-F238E27FC236}">
              <a16:creationId xmlns:a16="http://schemas.microsoft.com/office/drawing/2014/main" id="{7BDFE468-EB6C-405E-ABDD-34F10CF19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41338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</xdr:row>
      <xdr:rowOff>0</xdr:rowOff>
    </xdr:from>
    <xdr:ext cx="7620" cy="7620"/>
    <xdr:pic>
      <xdr:nvPicPr>
        <xdr:cNvPr id="203" name="Picture 202" descr="Attachments">
          <a:extLst>
            <a:ext uri="{FF2B5EF4-FFF2-40B4-BE49-F238E27FC236}">
              <a16:creationId xmlns:a16="http://schemas.microsoft.com/office/drawing/2014/main" id="{FF321488-80B8-4B4F-9244-C36488C87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4318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22</xdr:row>
      <xdr:rowOff>0</xdr:rowOff>
    </xdr:from>
    <xdr:ext cx="7620" cy="7620"/>
    <xdr:pic>
      <xdr:nvPicPr>
        <xdr:cNvPr id="204" name="Picture 203" descr="Attachments">
          <a:extLst>
            <a:ext uri="{FF2B5EF4-FFF2-40B4-BE49-F238E27FC236}">
              <a16:creationId xmlns:a16="http://schemas.microsoft.com/office/drawing/2014/main" id="{EAAC785D-E3F3-463E-960D-520EDF3EE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61658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13</xdr:row>
      <xdr:rowOff>0</xdr:rowOff>
    </xdr:from>
    <xdr:ext cx="7620" cy="7620"/>
    <xdr:pic>
      <xdr:nvPicPr>
        <xdr:cNvPr id="205" name="Picture 204" descr="Attachments">
          <a:extLst>
            <a:ext uri="{FF2B5EF4-FFF2-40B4-BE49-F238E27FC236}">
              <a16:creationId xmlns:a16="http://schemas.microsoft.com/office/drawing/2014/main" id="{BCF8C560-05ED-4E34-AFFB-5D411368D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45021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17</xdr:row>
      <xdr:rowOff>0</xdr:rowOff>
    </xdr:from>
    <xdr:ext cx="7620" cy="7620"/>
    <xdr:pic>
      <xdr:nvPicPr>
        <xdr:cNvPr id="206" name="Picture 205" descr="Attachments">
          <a:extLst>
            <a:ext uri="{FF2B5EF4-FFF2-40B4-BE49-F238E27FC236}">
              <a16:creationId xmlns:a16="http://schemas.microsoft.com/office/drawing/2014/main" id="{AF691E9E-2AE2-4CCB-B8C6-9FAA17D51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245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18</xdr:row>
      <xdr:rowOff>0</xdr:rowOff>
    </xdr:from>
    <xdr:ext cx="7620" cy="7620"/>
    <xdr:pic>
      <xdr:nvPicPr>
        <xdr:cNvPr id="207" name="Picture 206" descr="Attachments">
          <a:extLst>
            <a:ext uri="{FF2B5EF4-FFF2-40B4-BE49-F238E27FC236}">
              <a16:creationId xmlns:a16="http://schemas.microsoft.com/office/drawing/2014/main" id="{43ABC089-3682-4556-98E3-524222681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4292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19</xdr:row>
      <xdr:rowOff>0</xdr:rowOff>
    </xdr:from>
    <xdr:ext cx="7620" cy="7620"/>
    <xdr:pic>
      <xdr:nvPicPr>
        <xdr:cNvPr id="208" name="Picture 207" descr="Attachments">
          <a:extLst>
            <a:ext uri="{FF2B5EF4-FFF2-40B4-BE49-F238E27FC236}">
              <a16:creationId xmlns:a16="http://schemas.microsoft.com/office/drawing/2014/main" id="{3DC98F42-517B-4BBD-9D7C-E5F99A9EF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613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20</xdr:row>
      <xdr:rowOff>0</xdr:rowOff>
    </xdr:from>
    <xdr:ext cx="7620" cy="7620"/>
    <xdr:pic>
      <xdr:nvPicPr>
        <xdr:cNvPr id="209" name="Picture 208" descr="Attachments">
          <a:extLst>
            <a:ext uri="{FF2B5EF4-FFF2-40B4-BE49-F238E27FC236}">
              <a16:creationId xmlns:a16="http://schemas.microsoft.com/office/drawing/2014/main" id="{78E629B5-F0DB-40E0-B19D-C09E7ED1B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7975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0</xdr:rowOff>
    </xdr:from>
    <xdr:ext cx="7620" cy="7620"/>
    <xdr:pic>
      <xdr:nvPicPr>
        <xdr:cNvPr id="210" name="Picture 209" descr="Attachments">
          <a:extLst>
            <a:ext uri="{FF2B5EF4-FFF2-40B4-BE49-F238E27FC236}">
              <a16:creationId xmlns:a16="http://schemas.microsoft.com/office/drawing/2014/main" id="{88661649-42A7-4EBB-810A-1EE3A8491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9817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22</xdr:row>
      <xdr:rowOff>0</xdr:rowOff>
    </xdr:from>
    <xdr:ext cx="7620" cy="7620"/>
    <xdr:pic>
      <xdr:nvPicPr>
        <xdr:cNvPr id="211" name="Picture 210" descr="Attachments">
          <a:extLst>
            <a:ext uri="{FF2B5EF4-FFF2-40B4-BE49-F238E27FC236}">
              <a16:creationId xmlns:a16="http://schemas.microsoft.com/office/drawing/2014/main" id="{08638E3D-C7F0-41FE-A1EE-E4FDC0FA4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61658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23</xdr:row>
      <xdr:rowOff>0</xdr:rowOff>
    </xdr:from>
    <xdr:ext cx="7620" cy="7620"/>
    <xdr:pic>
      <xdr:nvPicPr>
        <xdr:cNvPr id="212" name="Picture 211" descr="Attachments">
          <a:extLst>
            <a:ext uri="{FF2B5EF4-FFF2-40B4-BE49-F238E27FC236}">
              <a16:creationId xmlns:a16="http://schemas.microsoft.com/office/drawing/2014/main" id="{BC6C5BB9-D28C-48FF-A7F7-1BA6E59A4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6350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121</xdr:row>
      <xdr:rowOff>0</xdr:rowOff>
    </xdr:from>
    <xdr:ext cx="7620" cy="7620"/>
    <xdr:pic>
      <xdr:nvPicPr>
        <xdr:cNvPr id="213" name="Picture 212" descr="Attachments">
          <a:extLst>
            <a:ext uri="{FF2B5EF4-FFF2-40B4-BE49-F238E27FC236}">
              <a16:creationId xmlns:a16="http://schemas.microsoft.com/office/drawing/2014/main" id="{FE1FE811-5A31-4FB4-A59D-398E283BA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244411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17</xdr:row>
      <xdr:rowOff>0</xdr:rowOff>
    </xdr:from>
    <xdr:ext cx="7620" cy="7620"/>
    <xdr:pic>
      <xdr:nvPicPr>
        <xdr:cNvPr id="214" name="Picture 213" descr="Attachments">
          <a:extLst>
            <a:ext uri="{FF2B5EF4-FFF2-40B4-BE49-F238E27FC236}">
              <a16:creationId xmlns:a16="http://schemas.microsoft.com/office/drawing/2014/main" id="{6273DA94-79D7-4116-96D4-DA0D79E4E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5245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17</xdr:row>
      <xdr:rowOff>0</xdr:rowOff>
    </xdr:from>
    <xdr:ext cx="7620" cy="7620"/>
    <xdr:pic>
      <xdr:nvPicPr>
        <xdr:cNvPr id="215" name="Picture 214" descr="Attachments">
          <a:extLst>
            <a:ext uri="{FF2B5EF4-FFF2-40B4-BE49-F238E27FC236}">
              <a16:creationId xmlns:a16="http://schemas.microsoft.com/office/drawing/2014/main" id="{D6A3DDB4-9138-4646-8970-0D689A15E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5245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17</xdr:row>
      <xdr:rowOff>0</xdr:rowOff>
    </xdr:from>
    <xdr:ext cx="7620" cy="7620"/>
    <xdr:pic>
      <xdr:nvPicPr>
        <xdr:cNvPr id="216" name="Picture 215" descr="Attachments">
          <a:extLst>
            <a:ext uri="{FF2B5EF4-FFF2-40B4-BE49-F238E27FC236}">
              <a16:creationId xmlns:a16="http://schemas.microsoft.com/office/drawing/2014/main" id="{1A571A97-3EF6-4E26-BFA3-5C5083AE8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5245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18</xdr:row>
      <xdr:rowOff>0</xdr:rowOff>
    </xdr:from>
    <xdr:ext cx="7620" cy="7620"/>
    <xdr:pic>
      <xdr:nvPicPr>
        <xdr:cNvPr id="217" name="Picture 216" descr="Attachments">
          <a:extLst>
            <a:ext uri="{FF2B5EF4-FFF2-40B4-BE49-F238E27FC236}">
              <a16:creationId xmlns:a16="http://schemas.microsoft.com/office/drawing/2014/main" id="{5C2E9859-AB4F-48D1-93E5-8EF3B45BE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54292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19</xdr:row>
      <xdr:rowOff>0</xdr:rowOff>
    </xdr:from>
    <xdr:ext cx="7620" cy="7620"/>
    <xdr:pic>
      <xdr:nvPicPr>
        <xdr:cNvPr id="218" name="Picture 217" descr="Attachments">
          <a:extLst>
            <a:ext uri="{FF2B5EF4-FFF2-40B4-BE49-F238E27FC236}">
              <a16:creationId xmlns:a16="http://schemas.microsoft.com/office/drawing/2014/main" id="{DEA3D9BD-475E-45F7-8879-882CB46D5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5613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121</xdr:row>
      <xdr:rowOff>0</xdr:rowOff>
    </xdr:from>
    <xdr:ext cx="7620" cy="7620"/>
    <xdr:pic>
      <xdr:nvPicPr>
        <xdr:cNvPr id="219" name="Picture 218" descr="Attachments">
          <a:extLst>
            <a:ext uri="{FF2B5EF4-FFF2-40B4-BE49-F238E27FC236}">
              <a16:creationId xmlns:a16="http://schemas.microsoft.com/office/drawing/2014/main" id="{D0AE621D-9191-447A-BECF-DA61C80F5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244411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17</xdr:row>
      <xdr:rowOff>0</xdr:rowOff>
    </xdr:from>
    <xdr:ext cx="7620" cy="7620"/>
    <xdr:pic>
      <xdr:nvPicPr>
        <xdr:cNvPr id="220" name="Picture 219" descr="Attachments">
          <a:extLst>
            <a:ext uri="{FF2B5EF4-FFF2-40B4-BE49-F238E27FC236}">
              <a16:creationId xmlns:a16="http://schemas.microsoft.com/office/drawing/2014/main" id="{D907019A-C2F5-4341-9B11-27CB3CFD4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5245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17</xdr:row>
      <xdr:rowOff>0</xdr:rowOff>
    </xdr:from>
    <xdr:ext cx="7620" cy="7620"/>
    <xdr:pic>
      <xdr:nvPicPr>
        <xdr:cNvPr id="221" name="Picture 220" descr="Attachments">
          <a:extLst>
            <a:ext uri="{FF2B5EF4-FFF2-40B4-BE49-F238E27FC236}">
              <a16:creationId xmlns:a16="http://schemas.microsoft.com/office/drawing/2014/main" id="{62274C07-B0A3-4D64-96BD-A9F1D567F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5245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17</xdr:row>
      <xdr:rowOff>0</xdr:rowOff>
    </xdr:from>
    <xdr:ext cx="7620" cy="7620"/>
    <xdr:pic>
      <xdr:nvPicPr>
        <xdr:cNvPr id="222" name="Picture 221" descr="Attachments">
          <a:extLst>
            <a:ext uri="{FF2B5EF4-FFF2-40B4-BE49-F238E27FC236}">
              <a16:creationId xmlns:a16="http://schemas.microsoft.com/office/drawing/2014/main" id="{98FAFB7E-B2BD-4B93-8BCC-CBBE8F185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5245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18</xdr:row>
      <xdr:rowOff>0</xdr:rowOff>
    </xdr:from>
    <xdr:ext cx="7620" cy="7620"/>
    <xdr:pic>
      <xdr:nvPicPr>
        <xdr:cNvPr id="223" name="Picture 222" descr="Attachments">
          <a:extLst>
            <a:ext uri="{FF2B5EF4-FFF2-40B4-BE49-F238E27FC236}">
              <a16:creationId xmlns:a16="http://schemas.microsoft.com/office/drawing/2014/main" id="{9064062D-5D9C-4347-A144-D9395A4FE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54292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19</xdr:row>
      <xdr:rowOff>0</xdr:rowOff>
    </xdr:from>
    <xdr:ext cx="7620" cy="7620"/>
    <xdr:pic>
      <xdr:nvPicPr>
        <xdr:cNvPr id="224" name="Picture 223" descr="Attachments">
          <a:extLst>
            <a:ext uri="{FF2B5EF4-FFF2-40B4-BE49-F238E27FC236}">
              <a16:creationId xmlns:a16="http://schemas.microsoft.com/office/drawing/2014/main" id="{CD806E00-D807-4044-BE4D-FE3257985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5613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121</xdr:row>
      <xdr:rowOff>0</xdr:rowOff>
    </xdr:from>
    <xdr:ext cx="7620" cy="7620"/>
    <xdr:pic>
      <xdr:nvPicPr>
        <xdr:cNvPr id="225" name="Picture 224" descr="Attachments">
          <a:extLst>
            <a:ext uri="{FF2B5EF4-FFF2-40B4-BE49-F238E27FC236}">
              <a16:creationId xmlns:a16="http://schemas.microsoft.com/office/drawing/2014/main" id="{A05DADD4-137E-48CD-80B5-764788F3F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244411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</xdr:row>
      <xdr:rowOff>0</xdr:rowOff>
    </xdr:from>
    <xdr:ext cx="7620" cy="7620"/>
    <xdr:pic>
      <xdr:nvPicPr>
        <xdr:cNvPr id="226" name="Picture 225" descr="Attachments">
          <a:extLst>
            <a:ext uri="{FF2B5EF4-FFF2-40B4-BE49-F238E27FC236}">
              <a16:creationId xmlns:a16="http://schemas.microsoft.com/office/drawing/2014/main" id="{FB1F8ECA-F523-4650-9E5D-A6BFF90E5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5245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</xdr:row>
      <xdr:rowOff>0</xdr:rowOff>
    </xdr:from>
    <xdr:ext cx="7620" cy="7620"/>
    <xdr:pic>
      <xdr:nvPicPr>
        <xdr:cNvPr id="227" name="Picture 226" descr="Attachments">
          <a:extLst>
            <a:ext uri="{FF2B5EF4-FFF2-40B4-BE49-F238E27FC236}">
              <a16:creationId xmlns:a16="http://schemas.microsoft.com/office/drawing/2014/main" id="{9677B229-4A1B-4D9F-AA07-5C9565BFA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5245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</xdr:row>
      <xdr:rowOff>0</xdr:rowOff>
    </xdr:from>
    <xdr:ext cx="7620" cy="7620"/>
    <xdr:pic>
      <xdr:nvPicPr>
        <xdr:cNvPr id="228" name="Picture 227" descr="Attachments">
          <a:extLst>
            <a:ext uri="{FF2B5EF4-FFF2-40B4-BE49-F238E27FC236}">
              <a16:creationId xmlns:a16="http://schemas.microsoft.com/office/drawing/2014/main" id="{90618B94-218D-489D-807D-0166384C0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5245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18</xdr:row>
      <xdr:rowOff>0</xdr:rowOff>
    </xdr:from>
    <xdr:ext cx="7620" cy="7620"/>
    <xdr:pic>
      <xdr:nvPicPr>
        <xdr:cNvPr id="229" name="Picture 228" descr="Attachments">
          <a:extLst>
            <a:ext uri="{FF2B5EF4-FFF2-40B4-BE49-F238E27FC236}">
              <a16:creationId xmlns:a16="http://schemas.microsoft.com/office/drawing/2014/main" id="{2FABF14F-8D8B-4661-876D-72A41DCFB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54292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19</xdr:row>
      <xdr:rowOff>0</xdr:rowOff>
    </xdr:from>
    <xdr:ext cx="7620" cy="7620"/>
    <xdr:pic>
      <xdr:nvPicPr>
        <xdr:cNvPr id="230" name="Picture 229" descr="Attachments">
          <a:extLst>
            <a:ext uri="{FF2B5EF4-FFF2-40B4-BE49-F238E27FC236}">
              <a16:creationId xmlns:a16="http://schemas.microsoft.com/office/drawing/2014/main" id="{E353CC39-96D6-4DBC-8A34-C48612BE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5613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85</xdr:row>
      <xdr:rowOff>0</xdr:rowOff>
    </xdr:from>
    <xdr:ext cx="7620" cy="7620"/>
    <xdr:pic>
      <xdr:nvPicPr>
        <xdr:cNvPr id="231" name="Picture 230" descr="Attachments">
          <a:extLst>
            <a:ext uri="{FF2B5EF4-FFF2-40B4-BE49-F238E27FC236}">
              <a16:creationId xmlns:a16="http://schemas.microsoft.com/office/drawing/2014/main" id="{C2DE27AD-3A85-4253-AAC4-179100898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177990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86</xdr:row>
      <xdr:rowOff>0</xdr:rowOff>
    </xdr:from>
    <xdr:ext cx="7620" cy="7620"/>
    <xdr:pic>
      <xdr:nvPicPr>
        <xdr:cNvPr id="232" name="Picture 231" descr="Attachments">
          <a:extLst>
            <a:ext uri="{FF2B5EF4-FFF2-40B4-BE49-F238E27FC236}">
              <a16:creationId xmlns:a16="http://schemas.microsoft.com/office/drawing/2014/main" id="{44054E81-D6EB-44DA-B70D-42988E762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179895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7620" cy="7620"/>
    <xdr:pic>
      <xdr:nvPicPr>
        <xdr:cNvPr id="233" name="Picture 232" descr="Attachments">
          <a:extLst>
            <a:ext uri="{FF2B5EF4-FFF2-40B4-BE49-F238E27FC236}">
              <a16:creationId xmlns:a16="http://schemas.microsoft.com/office/drawing/2014/main" id="{0124BEB9-7AF7-4923-BBDD-B7F9E1266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181737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111</xdr:row>
      <xdr:rowOff>0</xdr:rowOff>
    </xdr:from>
    <xdr:ext cx="7620" cy="7620"/>
    <xdr:pic>
      <xdr:nvPicPr>
        <xdr:cNvPr id="234" name="Picture 233" descr="Attachments">
          <a:extLst>
            <a:ext uri="{FF2B5EF4-FFF2-40B4-BE49-F238E27FC236}">
              <a16:creationId xmlns:a16="http://schemas.microsoft.com/office/drawing/2014/main" id="{21B83571-5848-45CD-91EF-B82080D23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225996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112</xdr:row>
      <xdr:rowOff>0</xdr:rowOff>
    </xdr:from>
    <xdr:ext cx="7620" cy="7620"/>
    <xdr:pic>
      <xdr:nvPicPr>
        <xdr:cNvPr id="235" name="Picture 234" descr="Attachments">
          <a:extLst>
            <a:ext uri="{FF2B5EF4-FFF2-40B4-BE49-F238E27FC236}">
              <a16:creationId xmlns:a16="http://schemas.microsoft.com/office/drawing/2014/main" id="{2485A7E8-33D8-47E4-B536-97BBF87D2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227838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113</xdr:row>
      <xdr:rowOff>0</xdr:rowOff>
    </xdr:from>
    <xdr:ext cx="7620" cy="7620"/>
    <xdr:pic>
      <xdr:nvPicPr>
        <xdr:cNvPr id="236" name="Picture 235" descr="Attachments">
          <a:extLst>
            <a:ext uri="{FF2B5EF4-FFF2-40B4-BE49-F238E27FC236}">
              <a16:creationId xmlns:a16="http://schemas.microsoft.com/office/drawing/2014/main" id="{511A063B-FC62-41F6-AC29-5703AA8B2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229679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114</xdr:row>
      <xdr:rowOff>0</xdr:rowOff>
    </xdr:from>
    <xdr:ext cx="7620" cy="7620"/>
    <xdr:pic>
      <xdr:nvPicPr>
        <xdr:cNvPr id="237" name="Picture 236" descr="Attachments">
          <a:extLst>
            <a:ext uri="{FF2B5EF4-FFF2-40B4-BE49-F238E27FC236}">
              <a16:creationId xmlns:a16="http://schemas.microsoft.com/office/drawing/2014/main" id="{E3012832-B57D-46BD-8E58-FC7C013CD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23152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17</xdr:row>
      <xdr:rowOff>0</xdr:rowOff>
    </xdr:from>
    <xdr:ext cx="7620" cy="7620"/>
    <xdr:pic>
      <xdr:nvPicPr>
        <xdr:cNvPr id="238" name="Picture 237" descr="Attachments">
          <a:extLst>
            <a:ext uri="{FF2B5EF4-FFF2-40B4-BE49-F238E27FC236}">
              <a16:creationId xmlns:a16="http://schemas.microsoft.com/office/drawing/2014/main" id="{9ECFD8C6-5CAD-4470-8C90-659A9297C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5245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18</xdr:row>
      <xdr:rowOff>0</xdr:rowOff>
    </xdr:from>
    <xdr:ext cx="7620" cy="7620"/>
    <xdr:pic>
      <xdr:nvPicPr>
        <xdr:cNvPr id="239" name="Picture 238" descr="Attachments">
          <a:extLst>
            <a:ext uri="{FF2B5EF4-FFF2-40B4-BE49-F238E27FC236}">
              <a16:creationId xmlns:a16="http://schemas.microsoft.com/office/drawing/2014/main" id="{97FEF6E6-5D48-4473-81E3-AA3950B26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54292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19</xdr:row>
      <xdr:rowOff>0</xdr:rowOff>
    </xdr:from>
    <xdr:ext cx="7620" cy="7620"/>
    <xdr:pic>
      <xdr:nvPicPr>
        <xdr:cNvPr id="240" name="Picture 239" descr="Attachments">
          <a:extLst>
            <a:ext uri="{FF2B5EF4-FFF2-40B4-BE49-F238E27FC236}">
              <a16:creationId xmlns:a16="http://schemas.microsoft.com/office/drawing/2014/main" id="{BC689713-AD49-4148-A807-61B86C7B8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5613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20</xdr:row>
      <xdr:rowOff>0</xdr:rowOff>
    </xdr:from>
    <xdr:ext cx="7620" cy="7620"/>
    <xdr:pic>
      <xdr:nvPicPr>
        <xdr:cNvPr id="241" name="Picture 240" descr="Attachments">
          <a:extLst>
            <a:ext uri="{FF2B5EF4-FFF2-40B4-BE49-F238E27FC236}">
              <a16:creationId xmlns:a16="http://schemas.microsoft.com/office/drawing/2014/main" id="{B0D9A9AA-AA08-4802-AC37-FDA619020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57975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21</xdr:row>
      <xdr:rowOff>0</xdr:rowOff>
    </xdr:from>
    <xdr:ext cx="7620" cy="7620"/>
    <xdr:pic>
      <xdr:nvPicPr>
        <xdr:cNvPr id="242" name="Picture 241" descr="Attachments">
          <a:extLst>
            <a:ext uri="{FF2B5EF4-FFF2-40B4-BE49-F238E27FC236}">
              <a16:creationId xmlns:a16="http://schemas.microsoft.com/office/drawing/2014/main" id="{CB847610-86CB-4721-A573-700EB34F0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59817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22</xdr:row>
      <xdr:rowOff>0</xdr:rowOff>
    </xdr:from>
    <xdr:ext cx="7620" cy="7620"/>
    <xdr:pic>
      <xdr:nvPicPr>
        <xdr:cNvPr id="243" name="Picture 242" descr="Attachments">
          <a:extLst>
            <a:ext uri="{FF2B5EF4-FFF2-40B4-BE49-F238E27FC236}">
              <a16:creationId xmlns:a16="http://schemas.microsoft.com/office/drawing/2014/main" id="{4653ADB2-636D-4BA2-833E-99FF63156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61658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7620" cy="7620"/>
    <xdr:pic>
      <xdr:nvPicPr>
        <xdr:cNvPr id="244" name="Picture 243" descr="Attachments">
          <a:extLst>
            <a:ext uri="{FF2B5EF4-FFF2-40B4-BE49-F238E27FC236}">
              <a16:creationId xmlns:a16="http://schemas.microsoft.com/office/drawing/2014/main" id="{609F84DA-03DD-4579-9F6A-402CE191A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6350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85</xdr:row>
      <xdr:rowOff>0</xdr:rowOff>
    </xdr:from>
    <xdr:ext cx="7620" cy="7620"/>
    <xdr:pic>
      <xdr:nvPicPr>
        <xdr:cNvPr id="245" name="Picture 244" descr="Attachments">
          <a:extLst>
            <a:ext uri="{FF2B5EF4-FFF2-40B4-BE49-F238E27FC236}">
              <a16:creationId xmlns:a16="http://schemas.microsoft.com/office/drawing/2014/main" id="{BE0CB6E1-2157-438E-B343-4A6D579AB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177990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86</xdr:row>
      <xdr:rowOff>0</xdr:rowOff>
    </xdr:from>
    <xdr:ext cx="7620" cy="7620"/>
    <xdr:pic>
      <xdr:nvPicPr>
        <xdr:cNvPr id="246" name="Picture 245" descr="Attachments">
          <a:extLst>
            <a:ext uri="{FF2B5EF4-FFF2-40B4-BE49-F238E27FC236}">
              <a16:creationId xmlns:a16="http://schemas.microsoft.com/office/drawing/2014/main" id="{A0DC4CB3-23DB-40B3-98D7-BF696823A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179895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7620" cy="7620"/>
    <xdr:pic>
      <xdr:nvPicPr>
        <xdr:cNvPr id="247" name="Picture 246" descr="Attachments">
          <a:extLst>
            <a:ext uri="{FF2B5EF4-FFF2-40B4-BE49-F238E27FC236}">
              <a16:creationId xmlns:a16="http://schemas.microsoft.com/office/drawing/2014/main" id="{96907109-CB61-4492-9CE8-4A2320869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181737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111</xdr:row>
      <xdr:rowOff>0</xdr:rowOff>
    </xdr:from>
    <xdr:ext cx="7620" cy="7620"/>
    <xdr:pic>
      <xdr:nvPicPr>
        <xdr:cNvPr id="248" name="Picture 247" descr="Attachments">
          <a:extLst>
            <a:ext uri="{FF2B5EF4-FFF2-40B4-BE49-F238E27FC236}">
              <a16:creationId xmlns:a16="http://schemas.microsoft.com/office/drawing/2014/main" id="{CAE4C8A2-14F9-445D-8049-5251C9424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225996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112</xdr:row>
      <xdr:rowOff>0</xdr:rowOff>
    </xdr:from>
    <xdr:ext cx="7620" cy="7620"/>
    <xdr:pic>
      <xdr:nvPicPr>
        <xdr:cNvPr id="249" name="Picture 248" descr="Attachments">
          <a:extLst>
            <a:ext uri="{FF2B5EF4-FFF2-40B4-BE49-F238E27FC236}">
              <a16:creationId xmlns:a16="http://schemas.microsoft.com/office/drawing/2014/main" id="{4D1D2AEE-0932-4ED3-AF36-963EF0178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227838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113</xdr:row>
      <xdr:rowOff>0</xdr:rowOff>
    </xdr:from>
    <xdr:ext cx="7620" cy="7620"/>
    <xdr:pic>
      <xdr:nvPicPr>
        <xdr:cNvPr id="250" name="Picture 249" descr="Attachments">
          <a:extLst>
            <a:ext uri="{FF2B5EF4-FFF2-40B4-BE49-F238E27FC236}">
              <a16:creationId xmlns:a16="http://schemas.microsoft.com/office/drawing/2014/main" id="{E3BBAB7D-03E3-4E81-9B7D-FA64FC5BC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229679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114</xdr:row>
      <xdr:rowOff>0</xdr:rowOff>
    </xdr:from>
    <xdr:ext cx="7620" cy="7620"/>
    <xdr:pic>
      <xdr:nvPicPr>
        <xdr:cNvPr id="251" name="Picture 250" descr="Attachments">
          <a:extLst>
            <a:ext uri="{FF2B5EF4-FFF2-40B4-BE49-F238E27FC236}">
              <a16:creationId xmlns:a16="http://schemas.microsoft.com/office/drawing/2014/main" id="{B4192E86-31AD-4A61-88E3-A8616F999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23152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17</xdr:row>
      <xdr:rowOff>0</xdr:rowOff>
    </xdr:from>
    <xdr:ext cx="7620" cy="7620"/>
    <xdr:pic>
      <xdr:nvPicPr>
        <xdr:cNvPr id="252" name="Picture 251" descr="Attachments">
          <a:extLst>
            <a:ext uri="{FF2B5EF4-FFF2-40B4-BE49-F238E27FC236}">
              <a16:creationId xmlns:a16="http://schemas.microsoft.com/office/drawing/2014/main" id="{33DA30BF-8570-40CD-98CE-B921032CA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5245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18</xdr:row>
      <xdr:rowOff>0</xdr:rowOff>
    </xdr:from>
    <xdr:ext cx="7620" cy="7620"/>
    <xdr:pic>
      <xdr:nvPicPr>
        <xdr:cNvPr id="253" name="Picture 252" descr="Attachments">
          <a:extLst>
            <a:ext uri="{FF2B5EF4-FFF2-40B4-BE49-F238E27FC236}">
              <a16:creationId xmlns:a16="http://schemas.microsoft.com/office/drawing/2014/main" id="{3ED02B28-4C06-4367-B3C7-563A258C3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54292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19</xdr:row>
      <xdr:rowOff>0</xdr:rowOff>
    </xdr:from>
    <xdr:ext cx="7620" cy="7620"/>
    <xdr:pic>
      <xdr:nvPicPr>
        <xdr:cNvPr id="254" name="Picture 253" descr="Attachments">
          <a:extLst>
            <a:ext uri="{FF2B5EF4-FFF2-40B4-BE49-F238E27FC236}">
              <a16:creationId xmlns:a16="http://schemas.microsoft.com/office/drawing/2014/main" id="{1B278A1A-C109-4154-88C2-ABBEDE744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5613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20</xdr:row>
      <xdr:rowOff>0</xdr:rowOff>
    </xdr:from>
    <xdr:ext cx="7620" cy="7620"/>
    <xdr:pic>
      <xdr:nvPicPr>
        <xdr:cNvPr id="255" name="Picture 254" descr="Attachments">
          <a:extLst>
            <a:ext uri="{FF2B5EF4-FFF2-40B4-BE49-F238E27FC236}">
              <a16:creationId xmlns:a16="http://schemas.microsoft.com/office/drawing/2014/main" id="{53CC590E-DE66-4FD5-8A47-B895D50A8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57975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21</xdr:row>
      <xdr:rowOff>0</xdr:rowOff>
    </xdr:from>
    <xdr:ext cx="7620" cy="7620"/>
    <xdr:pic>
      <xdr:nvPicPr>
        <xdr:cNvPr id="256" name="Picture 255" descr="Attachments">
          <a:extLst>
            <a:ext uri="{FF2B5EF4-FFF2-40B4-BE49-F238E27FC236}">
              <a16:creationId xmlns:a16="http://schemas.microsoft.com/office/drawing/2014/main" id="{5EF46079-8895-45E0-94E7-1EC948504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59817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22</xdr:row>
      <xdr:rowOff>0</xdr:rowOff>
    </xdr:from>
    <xdr:ext cx="7620" cy="7620"/>
    <xdr:pic>
      <xdr:nvPicPr>
        <xdr:cNvPr id="257" name="Picture 256" descr="Attachments">
          <a:extLst>
            <a:ext uri="{FF2B5EF4-FFF2-40B4-BE49-F238E27FC236}">
              <a16:creationId xmlns:a16="http://schemas.microsoft.com/office/drawing/2014/main" id="{B5FEF116-EB12-408F-A5C4-FCF1DA540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61658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7620" cy="7620"/>
    <xdr:pic>
      <xdr:nvPicPr>
        <xdr:cNvPr id="258" name="Picture 257" descr="Attachments">
          <a:extLst>
            <a:ext uri="{FF2B5EF4-FFF2-40B4-BE49-F238E27FC236}">
              <a16:creationId xmlns:a16="http://schemas.microsoft.com/office/drawing/2014/main" id="{1E518242-A86B-47CA-9035-C479B9B20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6350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84</xdr:row>
      <xdr:rowOff>0</xdr:rowOff>
    </xdr:from>
    <xdr:ext cx="7620" cy="7620"/>
    <xdr:pic>
      <xdr:nvPicPr>
        <xdr:cNvPr id="259" name="Picture 258" descr="Attachments">
          <a:extLst>
            <a:ext uri="{FF2B5EF4-FFF2-40B4-BE49-F238E27FC236}">
              <a16:creationId xmlns:a16="http://schemas.microsoft.com/office/drawing/2014/main" id="{31808FE6-21B4-4BBE-8133-1C3EBFD0D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176149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85</xdr:row>
      <xdr:rowOff>0</xdr:rowOff>
    </xdr:from>
    <xdr:ext cx="7620" cy="7620"/>
    <xdr:pic>
      <xdr:nvPicPr>
        <xdr:cNvPr id="260" name="Picture 259" descr="Attachments">
          <a:extLst>
            <a:ext uri="{FF2B5EF4-FFF2-40B4-BE49-F238E27FC236}">
              <a16:creationId xmlns:a16="http://schemas.microsoft.com/office/drawing/2014/main" id="{08F61FAB-BB86-4AD2-9006-93837B9D5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177990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7620" cy="7620"/>
    <xdr:pic>
      <xdr:nvPicPr>
        <xdr:cNvPr id="261" name="Picture 260" descr="Attachments">
          <a:extLst>
            <a:ext uri="{FF2B5EF4-FFF2-40B4-BE49-F238E27FC236}">
              <a16:creationId xmlns:a16="http://schemas.microsoft.com/office/drawing/2014/main" id="{1E5C29DC-EBE4-49D6-98DA-7CFA68179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179895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110</xdr:row>
      <xdr:rowOff>0</xdr:rowOff>
    </xdr:from>
    <xdr:ext cx="7620" cy="7620"/>
    <xdr:pic>
      <xdr:nvPicPr>
        <xdr:cNvPr id="262" name="Picture 261" descr="Attachments">
          <a:extLst>
            <a:ext uri="{FF2B5EF4-FFF2-40B4-BE49-F238E27FC236}">
              <a16:creationId xmlns:a16="http://schemas.microsoft.com/office/drawing/2014/main" id="{BC320FF1-8A0B-441C-B0C8-B68B45F87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22415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112</xdr:row>
      <xdr:rowOff>0</xdr:rowOff>
    </xdr:from>
    <xdr:ext cx="7620" cy="7620"/>
    <xdr:pic>
      <xdr:nvPicPr>
        <xdr:cNvPr id="263" name="Picture 262" descr="Attachments">
          <a:extLst>
            <a:ext uri="{FF2B5EF4-FFF2-40B4-BE49-F238E27FC236}">
              <a16:creationId xmlns:a16="http://schemas.microsoft.com/office/drawing/2014/main" id="{CF19A368-2F99-4DCD-8482-81F190739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227838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113</xdr:row>
      <xdr:rowOff>0</xdr:rowOff>
    </xdr:from>
    <xdr:ext cx="7620" cy="7620"/>
    <xdr:pic>
      <xdr:nvPicPr>
        <xdr:cNvPr id="264" name="Picture 263" descr="Attachments">
          <a:extLst>
            <a:ext uri="{FF2B5EF4-FFF2-40B4-BE49-F238E27FC236}">
              <a16:creationId xmlns:a16="http://schemas.microsoft.com/office/drawing/2014/main" id="{84A4990D-BCD4-42C7-AB16-ACD222261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229679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114</xdr:row>
      <xdr:rowOff>0</xdr:rowOff>
    </xdr:from>
    <xdr:ext cx="7620" cy="7620"/>
    <xdr:pic>
      <xdr:nvPicPr>
        <xdr:cNvPr id="265" name="Picture 264" descr="Attachments">
          <a:extLst>
            <a:ext uri="{FF2B5EF4-FFF2-40B4-BE49-F238E27FC236}">
              <a16:creationId xmlns:a16="http://schemas.microsoft.com/office/drawing/2014/main" id="{5A6E57CF-3F6C-450B-98D5-2949501B9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23152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</xdr:row>
      <xdr:rowOff>0</xdr:rowOff>
    </xdr:from>
    <xdr:ext cx="7620" cy="7620"/>
    <xdr:pic>
      <xdr:nvPicPr>
        <xdr:cNvPr id="266" name="Picture 265" descr="Attachments">
          <a:extLst>
            <a:ext uri="{FF2B5EF4-FFF2-40B4-BE49-F238E27FC236}">
              <a16:creationId xmlns:a16="http://schemas.microsoft.com/office/drawing/2014/main" id="{B5765395-5B95-47CC-A100-2D15AFF9C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5245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18</xdr:row>
      <xdr:rowOff>0</xdr:rowOff>
    </xdr:from>
    <xdr:ext cx="7620" cy="7620"/>
    <xdr:pic>
      <xdr:nvPicPr>
        <xdr:cNvPr id="267" name="Picture 266" descr="Attachments">
          <a:extLst>
            <a:ext uri="{FF2B5EF4-FFF2-40B4-BE49-F238E27FC236}">
              <a16:creationId xmlns:a16="http://schemas.microsoft.com/office/drawing/2014/main" id="{2032A72E-2CD0-4F1A-B25B-C1D5E5648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54292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19</xdr:row>
      <xdr:rowOff>0</xdr:rowOff>
    </xdr:from>
    <xdr:ext cx="7620" cy="7620"/>
    <xdr:pic>
      <xdr:nvPicPr>
        <xdr:cNvPr id="268" name="Picture 267" descr="Attachments">
          <a:extLst>
            <a:ext uri="{FF2B5EF4-FFF2-40B4-BE49-F238E27FC236}">
              <a16:creationId xmlns:a16="http://schemas.microsoft.com/office/drawing/2014/main" id="{9F8FF32E-4360-456E-8490-EDAD11428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5613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20</xdr:row>
      <xdr:rowOff>0</xdr:rowOff>
    </xdr:from>
    <xdr:ext cx="7620" cy="7620"/>
    <xdr:pic>
      <xdr:nvPicPr>
        <xdr:cNvPr id="269" name="Picture 268" descr="Attachments">
          <a:extLst>
            <a:ext uri="{FF2B5EF4-FFF2-40B4-BE49-F238E27FC236}">
              <a16:creationId xmlns:a16="http://schemas.microsoft.com/office/drawing/2014/main" id="{66FE123D-278F-480A-993A-17E9A7641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57975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0</xdr:rowOff>
    </xdr:from>
    <xdr:ext cx="7620" cy="7620"/>
    <xdr:pic>
      <xdr:nvPicPr>
        <xdr:cNvPr id="270" name="Picture 269" descr="Attachments">
          <a:extLst>
            <a:ext uri="{FF2B5EF4-FFF2-40B4-BE49-F238E27FC236}">
              <a16:creationId xmlns:a16="http://schemas.microsoft.com/office/drawing/2014/main" id="{388DA14F-8E00-472F-BC51-017CF3E13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59817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22</xdr:row>
      <xdr:rowOff>0</xdr:rowOff>
    </xdr:from>
    <xdr:ext cx="7620" cy="7620"/>
    <xdr:pic>
      <xdr:nvPicPr>
        <xdr:cNvPr id="271" name="Picture 270" descr="Attachments">
          <a:extLst>
            <a:ext uri="{FF2B5EF4-FFF2-40B4-BE49-F238E27FC236}">
              <a16:creationId xmlns:a16="http://schemas.microsoft.com/office/drawing/2014/main" id="{4E3499A8-D356-48AF-8AD4-0874349FA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61658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23</xdr:row>
      <xdr:rowOff>0</xdr:rowOff>
    </xdr:from>
    <xdr:ext cx="7620" cy="7620"/>
    <xdr:pic>
      <xdr:nvPicPr>
        <xdr:cNvPr id="272" name="Picture 271" descr="Attachments">
          <a:extLst>
            <a:ext uri="{FF2B5EF4-FFF2-40B4-BE49-F238E27FC236}">
              <a16:creationId xmlns:a16="http://schemas.microsoft.com/office/drawing/2014/main" id="{E1E1BB0C-D510-4A0E-9E3D-23480139C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6350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14</xdr:row>
      <xdr:rowOff>0</xdr:rowOff>
    </xdr:from>
    <xdr:ext cx="7620" cy="7620"/>
    <xdr:pic>
      <xdr:nvPicPr>
        <xdr:cNvPr id="273" name="Picture 272" descr="Attachments">
          <a:extLst>
            <a:ext uri="{FF2B5EF4-FFF2-40B4-BE49-F238E27FC236}">
              <a16:creationId xmlns:a16="http://schemas.microsoft.com/office/drawing/2014/main" id="{7B223102-1061-44F4-A504-FFAE44405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46863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15</xdr:row>
      <xdr:rowOff>0</xdr:rowOff>
    </xdr:from>
    <xdr:ext cx="7620" cy="7620"/>
    <xdr:pic>
      <xdr:nvPicPr>
        <xdr:cNvPr id="274" name="Picture 273" descr="Attachments">
          <a:extLst>
            <a:ext uri="{FF2B5EF4-FFF2-40B4-BE49-F238E27FC236}">
              <a16:creationId xmlns:a16="http://schemas.microsoft.com/office/drawing/2014/main" id="{A76AFC24-B8A2-4C4D-B3EB-722D36318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48704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</xdr:row>
      <xdr:rowOff>0</xdr:rowOff>
    </xdr:from>
    <xdr:ext cx="7620" cy="7620"/>
    <xdr:pic>
      <xdr:nvPicPr>
        <xdr:cNvPr id="275" name="Picture 274" descr="Attachments">
          <a:extLst>
            <a:ext uri="{FF2B5EF4-FFF2-40B4-BE49-F238E27FC236}">
              <a16:creationId xmlns:a16="http://schemas.microsoft.com/office/drawing/2014/main" id="{B0E6690F-4D29-49F9-A9B4-A6D99B3C7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5054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14</xdr:row>
      <xdr:rowOff>0</xdr:rowOff>
    </xdr:from>
    <xdr:ext cx="7620" cy="7620"/>
    <xdr:pic>
      <xdr:nvPicPr>
        <xdr:cNvPr id="276" name="Picture 275" descr="Attachments">
          <a:extLst>
            <a:ext uri="{FF2B5EF4-FFF2-40B4-BE49-F238E27FC236}">
              <a16:creationId xmlns:a16="http://schemas.microsoft.com/office/drawing/2014/main" id="{9C76C6CC-8511-4307-BEF7-8D9C62142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46863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15</xdr:row>
      <xdr:rowOff>0</xdr:rowOff>
    </xdr:from>
    <xdr:ext cx="7620" cy="7620"/>
    <xdr:pic>
      <xdr:nvPicPr>
        <xdr:cNvPr id="277" name="Picture 276" descr="Attachments">
          <a:extLst>
            <a:ext uri="{FF2B5EF4-FFF2-40B4-BE49-F238E27FC236}">
              <a16:creationId xmlns:a16="http://schemas.microsoft.com/office/drawing/2014/main" id="{A9C92A62-33C3-4DAA-AF2D-CC5E004CD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48704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16</xdr:row>
      <xdr:rowOff>0</xdr:rowOff>
    </xdr:from>
    <xdr:ext cx="7620" cy="7620"/>
    <xdr:pic>
      <xdr:nvPicPr>
        <xdr:cNvPr id="278" name="Picture 277" descr="Attachments">
          <a:extLst>
            <a:ext uri="{FF2B5EF4-FFF2-40B4-BE49-F238E27FC236}">
              <a16:creationId xmlns:a16="http://schemas.microsoft.com/office/drawing/2014/main" id="{959BF64A-E45A-4D59-8A2D-07D724C03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5054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58</xdr:row>
      <xdr:rowOff>0</xdr:rowOff>
    </xdr:from>
    <xdr:ext cx="7620" cy="7620"/>
    <xdr:pic>
      <xdr:nvPicPr>
        <xdr:cNvPr id="279" name="Picture 278" descr="Attachments">
          <a:extLst>
            <a:ext uri="{FF2B5EF4-FFF2-40B4-BE49-F238E27FC236}">
              <a16:creationId xmlns:a16="http://schemas.microsoft.com/office/drawing/2014/main" id="{5CEE0F0A-3163-4875-9AC0-D710FC0D2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128143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83</xdr:row>
      <xdr:rowOff>0</xdr:rowOff>
    </xdr:from>
    <xdr:ext cx="0" cy="7620"/>
    <xdr:pic>
      <xdr:nvPicPr>
        <xdr:cNvPr id="280" name="Picture 279" descr="Attachments">
          <a:extLst>
            <a:ext uri="{FF2B5EF4-FFF2-40B4-BE49-F238E27FC236}">
              <a16:creationId xmlns:a16="http://schemas.microsoft.com/office/drawing/2014/main" id="{9173C0C8-7D4D-4821-9E24-F42FD3443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54450" y="17430750"/>
          <a:ext cx="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90</xdr:row>
      <xdr:rowOff>0</xdr:rowOff>
    </xdr:from>
    <xdr:ext cx="7620" cy="7620"/>
    <xdr:pic>
      <xdr:nvPicPr>
        <xdr:cNvPr id="281" name="Picture 280" descr="Attachments">
          <a:extLst>
            <a:ext uri="{FF2B5EF4-FFF2-40B4-BE49-F238E27FC236}">
              <a16:creationId xmlns:a16="http://schemas.microsoft.com/office/drawing/2014/main" id="{71F62BE3-F57A-4C51-B085-CD023ED20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187261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47</xdr:row>
      <xdr:rowOff>0</xdr:rowOff>
    </xdr:from>
    <xdr:ext cx="7620" cy="7620"/>
    <xdr:pic>
      <xdr:nvPicPr>
        <xdr:cNvPr id="282" name="Picture 281" descr="Attachments">
          <a:extLst>
            <a:ext uri="{FF2B5EF4-FFF2-40B4-BE49-F238E27FC236}">
              <a16:creationId xmlns:a16="http://schemas.microsoft.com/office/drawing/2014/main" id="{642458D7-E749-4FB7-BC2B-30F57DE9F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107823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40</xdr:row>
      <xdr:rowOff>0</xdr:rowOff>
    </xdr:from>
    <xdr:ext cx="7620" cy="7620"/>
    <xdr:pic>
      <xdr:nvPicPr>
        <xdr:cNvPr id="283" name="Picture 282" descr="Attachments">
          <a:extLst>
            <a:ext uri="{FF2B5EF4-FFF2-40B4-BE49-F238E27FC236}">
              <a16:creationId xmlns:a16="http://schemas.microsoft.com/office/drawing/2014/main" id="{D5419C9A-16B3-47D1-A219-B5102200F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94932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43</xdr:row>
      <xdr:rowOff>0</xdr:rowOff>
    </xdr:from>
    <xdr:ext cx="7620" cy="7620"/>
    <xdr:pic>
      <xdr:nvPicPr>
        <xdr:cNvPr id="284" name="Picture 283" descr="Attachments">
          <a:extLst>
            <a:ext uri="{FF2B5EF4-FFF2-40B4-BE49-F238E27FC236}">
              <a16:creationId xmlns:a16="http://schemas.microsoft.com/office/drawing/2014/main" id="{F1DC34B4-DEE5-47F5-BAD8-005A2D56B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100457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38</xdr:row>
      <xdr:rowOff>0</xdr:rowOff>
    </xdr:from>
    <xdr:ext cx="7620" cy="7620"/>
    <xdr:pic>
      <xdr:nvPicPr>
        <xdr:cNvPr id="285" name="Picture 284" descr="Attachments">
          <a:extLst>
            <a:ext uri="{FF2B5EF4-FFF2-40B4-BE49-F238E27FC236}">
              <a16:creationId xmlns:a16="http://schemas.microsoft.com/office/drawing/2014/main" id="{EEE5442D-97F0-43ED-85A7-1779D1EA6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91249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</xdr:row>
      <xdr:rowOff>0</xdr:rowOff>
    </xdr:from>
    <xdr:ext cx="7620" cy="7620"/>
    <xdr:pic>
      <xdr:nvPicPr>
        <xdr:cNvPr id="286" name="Picture 285" descr="Attachments">
          <a:extLst>
            <a:ext uri="{FF2B5EF4-FFF2-40B4-BE49-F238E27FC236}">
              <a16:creationId xmlns:a16="http://schemas.microsoft.com/office/drawing/2014/main" id="{03BB69ED-B0FE-4AD8-926A-22912AC6D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30289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32</xdr:row>
      <xdr:rowOff>0</xdr:rowOff>
    </xdr:from>
    <xdr:ext cx="7620" cy="7620"/>
    <xdr:pic>
      <xdr:nvPicPr>
        <xdr:cNvPr id="287" name="Picture 286" descr="Attachments">
          <a:extLst>
            <a:ext uri="{FF2B5EF4-FFF2-40B4-BE49-F238E27FC236}">
              <a16:creationId xmlns:a16="http://schemas.microsoft.com/office/drawing/2014/main" id="{83778A7D-4743-4CA8-BAA5-07F3F3DD0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80137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84</xdr:row>
      <xdr:rowOff>0</xdr:rowOff>
    </xdr:from>
    <xdr:ext cx="7620" cy="7620"/>
    <xdr:pic>
      <xdr:nvPicPr>
        <xdr:cNvPr id="288" name="Picture 287" descr="Attachments">
          <a:extLst>
            <a:ext uri="{FF2B5EF4-FFF2-40B4-BE49-F238E27FC236}">
              <a16:creationId xmlns:a16="http://schemas.microsoft.com/office/drawing/2014/main" id="{046CF8AD-ACE8-4D3E-81B8-ACA1FB756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176149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84</xdr:row>
      <xdr:rowOff>0</xdr:rowOff>
    </xdr:from>
    <xdr:ext cx="7620" cy="7620"/>
    <xdr:pic>
      <xdr:nvPicPr>
        <xdr:cNvPr id="289" name="Picture 288" descr="Attachments">
          <a:extLst>
            <a:ext uri="{FF2B5EF4-FFF2-40B4-BE49-F238E27FC236}">
              <a16:creationId xmlns:a16="http://schemas.microsoft.com/office/drawing/2014/main" id="{57D82CBB-E9BE-4F21-8FCB-CD3CC782B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176149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84</xdr:row>
      <xdr:rowOff>0</xdr:rowOff>
    </xdr:from>
    <xdr:ext cx="7620" cy="7620"/>
    <xdr:pic>
      <xdr:nvPicPr>
        <xdr:cNvPr id="290" name="Picture 289" descr="Attachments">
          <a:extLst>
            <a:ext uri="{FF2B5EF4-FFF2-40B4-BE49-F238E27FC236}">
              <a16:creationId xmlns:a16="http://schemas.microsoft.com/office/drawing/2014/main" id="{661D7875-10FE-45F9-9929-460B5236E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176149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36</xdr:row>
      <xdr:rowOff>0</xdr:rowOff>
    </xdr:from>
    <xdr:ext cx="7620" cy="7620"/>
    <xdr:pic>
      <xdr:nvPicPr>
        <xdr:cNvPr id="291" name="Picture 290" descr="Attachments">
          <a:extLst>
            <a:ext uri="{FF2B5EF4-FFF2-40B4-BE49-F238E27FC236}">
              <a16:creationId xmlns:a16="http://schemas.microsoft.com/office/drawing/2014/main" id="{D1294D70-77D4-4B0C-B182-291C62F27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87566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34</xdr:row>
      <xdr:rowOff>0</xdr:rowOff>
    </xdr:from>
    <xdr:ext cx="7620" cy="7620"/>
    <xdr:pic>
      <xdr:nvPicPr>
        <xdr:cNvPr id="292" name="Picture 291" descr="Attachments">
          <a:extLst>
            <a:ext uri="{FF2B5EF4-FFF2-40B4-BE49-F238E27FC236}">
              <a16:creationId xmlns:a16="http://schemas.microsoft.com/office/drawing/2014/main" id="{0E14164C-77C8-42B2-A969-C8BD54B54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8382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7620" cy="7620"/>
    <xdr:pic>
      <xdr:nvPicPr>
        <xdr:cNvPr id="293" name="Picture 292" descr="Attachments">
          <a:extLst>
            <a:ext uri="{FF2B5EF4-FFF2-40B4-BE49-F238E27FC236}">
              <a16:creationId xmlns:a16="http://schemas.microsoft.com/office/drawing/2014/main" id="{D77BF3C1-07AB-469C-AF5E-952DC76FD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209423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54</xdr:row>
      <xdr:rowOff>0</xdr:rowOff>
    </xdr:from>
    <xdr:ext cx="7620" cy="7620"/>
    <xdr:pic>
      <xdr:nvPicPr>
        <xdr:cNvPr id="294" name="Picture 293" descr="Attachments">
          <a:extLst>
            <a:ext uri="{FF2B5EF4-FFF2-40B4-BE49-F238E27FC236}">
              <a16:creationId xmlns:a16="http://schemas.microsoft.com/office/drawing/2014/main" id="{146A3700-EE5C-48CD-93D9-28DC8E624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120777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7620" cy="7620"/>
    <xdr:pic>
      <xdr:nvPicPr>
        <xdr:cNvPr id="295" name="Picture 294" descr="Attachments">
          <a:extLst>
            <a:ext uri="{FF2B5EF4-FFF2-40B4-BE49-F238E27FC236}">
              <a16:creationId xmlns:a16="http://schemas.microsoft.com/office/drawing/2014/main" id="{369A70AA-958F-44D5-A27D-FC5A1A7E3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6350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58</xdr:row>
      <xdr:rowOff>0</xdr:rowOff>
    </xdr:from>
    <xdr:ext cx="7620" cy="7620"/>
    <xdr:pic>
      <xdr:nvPicPr>
        <xdr:cNvPr id="296" name="Picture 295" descr="Attachments">
          <a:extLst>
            <a:ext uri="{FF2B5EF4-FFF2-40B4-BE49-F238E27FC236}">
              <a16:creationId xmlns:a16="http://schemas.microsoft.com/office/drawing/2014/main" id="{EB99E0EC-5538-4C45-8269-E8AAAA3EE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128143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63</xdr:row>
      <xdr:rowOff>0</xdr:rowOff>
    </xdr:from>
    <xdr:ext cx="7620" cy="7620"/>
    <xdr:pic>
      <xdr:nvPicPr>
        <xdr:cNvPr id="297" name="Picture 296" descr="Attachments">
          <a:extLst>
            <a:ext uri="{FF2B5EF4-FFF2-40B4-BE49-F238E27FC236}">
              <a16:creationId xmlns:a16="http://schemas.microsoft.com/office/drawing/2014/main" id="{9DA736A8-A0F8-4094-B831-D6C4A61DB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13741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7620" cy="7620"/>
    <xdr:pic>
      <xdr:nvPicPr>
        <xdr:cNvPr id="298" name="Picture 297" descr="Attachments">
          <a:extLst>
            <a:ext uri="{FF2B5EF4-FFF2-40B4-BE49-F238E27FC236}">
              <a16:creationId xmlns:a16="http://schemas.microsoft.com/office/drawing/2014/main" id="{BD8AC610-9522-4CFE-921E-D5FE01811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181737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79</xdr:row>
      <xdr:rowOff>0</xdr:rowOff>
    </xdr:from>
    <xdr:ext cx="7620" cy="7620"/>
    <xdr:pic>
      <xdr:nvPicPr>
        <xdr:cNvPr id="299" name="Picture 298" descr="Attachments">
          <a:extLst>
            <a:ext uri="{FF2B5EF4-FFF2-40B4-BE49-F238E27FC236}">
              <a16:creationId xmlns:a16="http://schemas.microsoft.com/office/drawing/2014/main" id="{76F93BBD-664A-40A3-8857-8349FB532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166941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84</xdr:row>
      <xdr:rowOff>0</xdr:rowOff>
    </xdr:from>
    <xdr:ext cx="7620" cy="7620"/>
    <xdr:pic>
      <xdr:nvPicPr>
        <xdr:cNvPr id="300" name="Picture 299" descr="Attachments">
          <a:extLst>
            <a:ext uri="{FF2B5EF4-FFF2-40B4-BE49-F238E27FC236}">
              <a16:creationId xmlns:a16="http://schemas.microsoft.com/office/drawing/2014/main" id="{EFACB203-1718-4668-8091-713A2198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176149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36</xdr:row>
      <xdr:rowOff>0</xdr:rowOff>
    </xdr:from>
    <xdr:ext cx="7620" cy="7620"/>
    <xdr:pic>
      <xdr:nvPicPr>
        <xdr:cNvPr id="301" name="Picture 300" descr="Attachments">
          <a:extLst>
            <a:ext uri="{FF2B5EF4-FFF2-40B4-BE49-F238E27FC236}">
              <a16:creationId xmlns:a16="http://schemas.microsoft.com/office/drawing/2014/main" id="{FFEDB2C3-C73A-4BBD-BDDC-EED9A7E88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87566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34</xdr:row>
      <xdr:rowOff>0</xdr:rowOff>
    </xdr:from>
    <xdr:ext cx="7620" cy="7620"/>
    <xdr:pic>
      <xdr:nvPicPr>
        <xdr:cNvPr id="302" name="Picture 301" descr="Attachments">
          <a:extLst>
            <a:ext uri="{FF2B5EF4-FFF2-40B4-BE49-F238E27FC236}">
              <a16:creationId xmlns:a16="http://schemas.microsoft.com/office/drawing/2014/main" id="{10EADC5D-700E-4D44-8C4A-F2F351BE4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8382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7620" cy="7620"/>
    <xdr:pic>
      <xdr:nvPicPr>
        <xdr:cNvPr id="303" name="Picture 302" descr="Attachments">
          <a:extLst>
            <a:ext uri="{FF2B5EF4-FFF2-40B4-BE49-F238E27FC236}">
              <a16:creationId xmlns:a16="http://schemas.microsoft.com/office/drawing/2014/main" id="{74909F89-24B6-42DF-854B-8F03FE08E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81978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47</xdr:row>
      <xdr:rowOff>0</xdr:rowOff>
    </xdr:from>
    <xdr:ext cx="7620" cy="7620"/>
    <xdr:pic>
      <xdr:nvPicPr>
        <xdr:cNvPr id="304" name="Picture 303" descr="Attachments">
          <a:extLst>
            <a:ext uri="{FF2B5EF4-FFF2-40B4-BE49-F238E27FC236}">
              <a16:creationId xmlns:a16="http://schemas.microsoft.com/office/drawing/2014/main" id="{B745E3DA-CEAC-4AFF-A57B-18B94FFD5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107823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38</xdr:row>
      <xdr:rowOff>0</xdr:rowOff>
    </xdr:from>
    <xdr:ext cx="7620" cy="7620"/>
    <xdr:pic>
      <xdr:nvPicPr>
        <xdr:cNvPr id="305" name="Picture 304" descr="Attachments">
          <a:extLst>
            <a:ext uri="{FF2B5EF4-FFF2-40B4-BE49-F238E27FC236}">
              <a16:creationId xmlns:a16="http://schemas.microsoft.com/office/drawing/2014/main" id="{E483A37D-72A0-49D1-85FC-BBAD65C7E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91249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</xdr:row>
      <xdr:rowOff>0</xdr:rowOff>
    </xdr:from>
    <xdr:ext cx="7620" cy="7620"/>
    <xdr:pic>
      <xdr:nvPicPr>
        <xdr:cNvPr id="306" name="Picture 305" descr="Attachments">
          <a:extLst>
            <a:ext uri="{FF2B5EF4-FFF2-40B4-BE49-F238E27FC236}">
              <a16:creationId xmlns:a16="http://schemas.microsoft.com/office/drawing/2014/main" id="{673D318A-8E0D-4CB3-99DF-7D173762E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37655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</xdr:row>
      <xdr:rowOff>0</xdr:rowOff>
    </xdr:from>
    <xdr:ext cx="7620" cy="7620"/>
    <xdr:pic>
      <xdr:nvPicPr>
        <xdr:cNvPr id="307" name="Picture 306" descr="Attachments">
          <a:extLst>
            <a:ext uri="{FF2B5EF4-FFF2-40B4-BE49-F238E27FC236}">
              <a16:creationId xmlns:a16="http://schemas.microsoft.com/office/drawing/2014/main" id="{18C7915B-3D7C-4C5D-9353-0C7CD70F1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3213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</xdr:row>
      <xdr:rowOff>0</xdr:rowOff>
    </xdr:from>
    <xdr:ext cx="7620" cy="7620"/>
    <xdr:pic>
      <xdr:nvPicPr>
        <xdr:cNvPr id="308" name="Picture 307" descr="Attachments">
          <a:extLst>
            <a:ext uri="{FF2B5EF4-FFF2-40B4-BE49-F238E27FC236}">
              <a16:creationId xmlns:a16="http://schemas.microsoft.com/office/drawing/2014/main" id="{B5F2E9F9-F853-4F94-AB57-079F5F32C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33972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</xdr:row>
      <xdr:rowOff>0</xdr:rowOff>
    </xdr:from>
    <xdr:ext cx="7620" cy="7620"/>
    <xdr:pic>
      <xdr:nvPicPr>
        <xdr:cNvPr id="309" name="Picture 308" descr="Attachments">
          <a:extLst>
            <a:ext uri="{FF2B5EF4-FFF2-40B4-BE49-F238E27FC236}">
              <a16:creationId xmlns:a16="http://schemas.microsoft.com/office/drawing/2014/main" id="{896E07BF-905C-4217-87F0-B66F739C5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35814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0</xdr:rowOff>
    </xdr:from>
    <xdr:ext cx="7620" cy="7620"/>
    <xdr:pic>
      <xdr:nvPicPr>
        <xdr:cNvPr id="310" name="Picture 309" descr="Attachments">
          <a:extLst>
            <a:ext uri="{FF2B5EF4-FFF2-40B4-BE49-F238E27FC236}">
              <a16:creationId xmlns:a16="http://schemas.microsoft.com/office/drawing/2014/main" id="{F9FAA2C5-BBCC-4812-B1D2-FB61F1FF0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79895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40</xdr:row>
      <xdr:rowOff>0</xdr:rowOff>
    </xdr:from>
    <xdr:ext cx="7620" cy="7620"/>
    <xdr:pic>
      <xdr:nvPicPr>
        <xdr:cNvPr id="311" name="Picture 310" descr="Attachments">
          <a:extLst>
            <a:ext uri="{FF2B5EF4-FFF2-40B4-BE49-F238E27FC236}">
              <a16:creationId xmlns:a16="http://schemas.microsoft.com/office/drawing/2014/main" id="{90FA6A14-D5EC-497E-BC06-9EDACEF0B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94932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67</xdr:row>
      <xdr:rowOff>0</xdr:rowOff>
    </xdr:from>
    <xdr:ext cx="7620" cy="7620"/>
    <xdr:pic>
      <xdr:nvPicPr>
        <xdr:cNvPr id="312" name="Picture 311" descr="Attachments">
          <a:extLst>
            <a:ext uri="{FF2B5EF4-FFF2-40B4-BE49-F238E27FC236}">
              <a16:creationId xmlns:a16="http://schemas.microsoft.com/office/drawing/2014/main" id="{90D6E0B7-3FAC-4448-9053-A591C6BD3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4478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103</xdr:row>
      <xdr:rowOff>0</xdr:rowOff>
    </xdr:from>
    <xdr:ext cx="7620" cy="7620"/>
    <xdr:pic>
      <xdr:nvPicPr>
        <xdr:cNvPr id="313" name="Picture 312" descr="Attachments">
          <a:extLst>
            <a:ext uri="{FF2B5EF4-FFF2-40B4-BE49-F238E27FC236}">
              <a16:creationId xmlns:a16="http://schemas.microsoft.com/office/drawing/2014/main" id="{BECC3056-DD6C-457D-81F2-DFB77D446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211264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104</xdr:row>
      <xdr:rowOff>0</xdr:rowOff>
    </xdr:from>
    <xdr:ext cx="7620" cy="7620"/>
    <xdr:pic>
      <xdr:nvPicPr>
        <xdr:cNvPr id="314" name="Picture 313" descr="Attachments">
          <a:extLst>
            <a:ext uri="{FF2B5EF4-FFF2-40B4-BE49-F238E27FC236}">
              <a16:creationId xmlns:a16="http://schemas.microsoft.com/office/drawing/2014/main" id="{17C1EE1E-5D8B-4844-94FF-3E4AFD8F3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21310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111</xdr:row>
      <xdr:rowOff>0</xdr:rowOff>
    </xdr:from>
    <xdr:ext cx="7620" cy="7620"/>
    <xdr:pic>
      <xdr:nvPicPr>
        <xdr:cNvPr id="315" name="Picture 314" descr="Attachments">
          <a:extLst>
            <a:ext uri="{FF2B5EF4-FFF2-40B4-BE49-F238E27FC236}">
              <a16:creationId xmlns:a16="http://schemas.microsoft.com/office/drawing/2014/main" id="{5768A102-31F6-47A2-99CF-2D01428AA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225996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95</xdr:row>
      <xdr:rowOff>0</xdr:rowOff>
    </xdr:from>
    <xdr:ext cx="7620" cy="7620"/>
    <xdr:pic>
      <xdr:nvPicPr>
        <xdr:cNvPr id="316" name="Picture 315" descr="Attachments">
          <a:extLst>
            <a:ext uri="{FF2B5EF4-FFF2-40B4-BE49-F238E27FC236}">
              <a16:creationId xmlns:a16="http://schemas.microsoft.com/office/drawing/2014/main" id="{4955E75F-8BDF-4FDA-BFA0-9AE43FC21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96469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83</xdr:row>
      <xdr:rowOff>0</xdr:rowOff>
    </xdr:from>
    <xdr:ext cx="7620" cy="7620"/>
    <xdr:pic>
      <xdr:nvPicPr>
        <xdr:cNvPr id="317" name="Picture 316" descr="Attachments">
          <a:extLst>
            <a:ext uri="{FF2B5EF4-FFF2-40B4-BE49-F238E27FC236}">
              <a16:creationId xmlns:a16="http://schemas.microsoft.com/office/drawing/2014/main" id="{576FD0B1-C0D6-44FE-A263-DBC9D9F1E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74307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43</xdr:row>
      <xdr:rowOff>0</xdr:rowOff>
    </xdr:from>
    <xdr:ext cx="7620" cy="7620"/>
    <xdr:pic>
      <xdr:nvPicPr>
        <xdr:cNvPr id="318" name="Picture 317" descr="Attachments">
          <a:extLst>
            <a:ext uri="{FF2B5EF4-FFF2-40B4-BE49-F238E27FC236}">
              <a16:creationId xmlns:a16="http://schemas.microsoft.com/office/drawing/2014/main" id="{C17B4E35-6239-4B17-9D2B-4A8C6E8AA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00457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65</xdr:row>
      <xdr:rowOff>0</xdr:rowOff>
    </xdr:from>
    <xdr:ext cx="7620" cy="7620"/>
    <xdr:pic>
      <xdr:nvPicPr>
        <xdr:cNvPr id="319" name="Picture 318" descr="Attachments">
          <a:extLst>
            <a:ext uri="{FF2B5EF4-FFF2-40B4-BE49-F238E27FC236}">
              <a16:creationId xmlns:a16="http://schemas.microsoft.com/office/drawing/2014/main" id="{0615E21D-4795-4E9B-8C60-5942D843E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41097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25</xdr:row>
      <xdr:rowOff>0</xdr:rowOff>
    </xdr:from>
    <xdr:ext cx="7620" cy="7620"/>
    <xdr:pic>
      <xdr:nvPicPr>
        <xdr:cNvPr id="320" name="Picture 319" descr="Attachments">
          <a:extLst>
            <a:ext uri="{FF2B5EF4-FFF2-40B4-BE49-F238E27FC236}">
              <a16:creationId xmlns:a16="http://schemas.microsoft.com/office/drawing/2014/main" id="{5209FCE8-DF7A-4E14-9702-830B27240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67183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54</xdr:row>
      <xdr:rowOff>0</xdr:rowOff>
    </xdr:from>
    <xdr:ext cx="7620" cy="7620"/>
    <xdr:pic>
      <xdr:nvPicPr>
        <xdr:cNvPr id="321" name="Picture 320" descr="Attachments">
          <a:extLst>
            <a:ext uri="{FF2B5EF4-FFF2-40B4-BE49-F238E27FC236}">
              <a16:creationId xmlns:a16="http://schemas.microsoft.com/office/drawing/2014/main" id="{C7704DE3-90E1-40FE-9280-F8BD970D0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120777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34</xdr:row>
      <xdr:rowOff>0</xdr:rowOff>
    </xdr:from>
    <xdr:ext cx="7620" cy="7620"/>
    <xdr:pic>
      <xdr:nvPicPr>
        <xdr:cNvPr id="322" name="Picture 321" descr="Attachments">
          <a:extLst>
            <a:ext uri="{FF2B5EF4-FFF2-40B4-BE49-F238E27FC236}">
              <a16:creationId xmlns:a16="http://schemas.microsoft.com/office/drawing/2014/main" id="{B99F3A21-649B-4420-B25C-71806D249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8382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7620" cy="7620"/>
    <xdr:pic>
      <xdr:nvPicPr>
        <xdr:cNvPr id="323" name="Picture 322" descr="Attachments">
          <a:extLst>
            <a:ext uri="{FF2B5EF4-FFF2-40B4-BE49-F238E27FC236}">
              <a16:creationId xmlns:a16="http://schemas.microsoft.com/office/drawing/2014/main" id="{E1FF5E16-535E-434B-B257-F2A88895C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74612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61</xdr:row>
      <xdr:rowOff>0</xdr:rowOff>
    </xdr:from>
    <xdr:ext cx="0" cy="7620"/>
    <xdr:pic>
      <xdr:nvPicPr>
        <xdr:cNvPr id="324" name="Picture 323" descr="Attachments">
          <a:extLst>
            <a:ext uri="{FF2B5EF4-FFF2-40B4-BE49-F238E27FC236}">
              <a16:creationId xmlns:a16="http://schemas.microsoft.com/office/drawing/2014/main" id="{6AFCF004-E085-4291-93A6-086BC61EE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18200" y="13366750"/>
          <a:ext cx="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68</xdr:row>
      <xdr:rowOff>0</xdr:rowOff>
    </xdr:from>
    <xdr:ext cx="7620" cy="7620"/>
    <xdr:pic>
      <xdr:nvPicPr>
        <xdr:cNvPr id="325" name="Picture 324" descr="Attachments">
          <a:extLst>
            <a:ext uri="{FF2B5EF4-FFF2-40B4-BE49-F238E27FC236}">
              <a16:creationId xmlns:a16="http://schemas.microsoft.com/office/drawing/2014/main" id="{D96C68E2-E8B5-4C16-9D8B-616C3D704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146621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13</xdr:row>
      <xdr:rowOff>0</xdr:rowOff>
    </xdr:from>
    <xdr:ext cx="7620" cy="7620"/>
    <xdr:pic>
      <xdr:nvPicPr>
        <xdr:cNvPr id="326" name="Picture 325" descr="Attachments">
          <a:extLst>
            <a:ext uri="{FF2B5EF4-FFF2-40B4-BE49-F238E27FC236}">
              <a16:creationId xmlns:a16="http://schemas.microsoft.com/office/drawing/2014/main" id="{5FF611C1-2CCE-41BF-9328-BE557271C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45021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</xdr:row>
      <xdr:rowOff>0</xdr:rowOff>
    </xdr:from>
    <xdr:ext cx="7620" cy="7620"/>
    <xdr:pic>
      <xdr:nvPicPr>
        <xdr:cNvPr id="327" name="Picture 326" descr="Attachments">
          <a:extLst>
            <a:ext uri="{FF2B5EF4-FFF2-40B4-BE49-F238E27FC236}">
              <a16:creationId xmlns:a16="http://schemas.microsoft.com/office/drawing/2014/main" id="{F474A53E-4E56-4794-9EAE-166EF2608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41338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15</xdr:row>
      <xdr:rowOff>0</xdr:rowOff>
    </xdr:from>
    <xdr:ext cx="7620" cy="7620"/>
    <xdr:pic>
      <xdr:nvPicPr>
        <xdr:cNvPr id="328" name="Picture 327" descr="Attachments">
          <a:extLst>
            <a:ext uri="{FF2B5EF4-FFF2-40B4-BE49-F238E27FC236}">
              <a16:creationId xmlns:a16="http://schemas.microsoft.com/office/drawing/2014/main" id="{84268711-0FC9-42F2-A715-BB1780068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48704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</xdr:row>
      <xdr:rowOff>0</xdr:rowOff>
    </xdr:from>
    <xdr:ext cx="7620" cy="7620"/>
    <xdr:pic>
      <xdr:nvPicPr>
        <xdr:cNvPr id="329" name="Picture 328" descr="Attachments">
          <a:extLst>
            <a:ext uri="{FF2B5EF4-FFF2-40B4-BE49-F238E27FC236}">
              <a16:creationId xmlns:a16="http://schemas.microsoft.com/office/drawing/2014/main" id="{169D0EBD-672D-4EF8-9B05-2C16BCC53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39497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92</xdr:row>
      <xdr:rowOff>0</xdr:rowOff>
    </xdr:from>
    <xdr:ext cx="7620" cy="7620"/>
    <xdr:pic>
      <xdr:nvPicPr>
        <xdr:cNvPr id="330" name="Picture 329" descr="Attachments">
          <a:extLst>
            <a:ext uri="{FF2B5EF4-FFF2-40B4-BE49-F238E27FC236}">
              <a16:creationId xmlns:a16="http://schemas.microsoft.com/office/drawing/2014/main" id="{6B52C1D0-566E-431C-8BE7-5E52F4F43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190944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120</xdr:row>
      <xdr:rowOff>0</xdr:rowOff>
    </xdr:from>
    <xdr:ext cx="7620" cy="7620"/>
    <xdr:pic>
      <xdr:nvPicPr>
        <xdr:cNvPr id="331" name="Picture 330" descr="Attachments">
          <a:extLst>
            <a:ext uri="{FF2B5EF4-FFF2-40B4-BE49-F238E27FC236}">
              <a16:creationId xmlns:a16="http://schemas.microsoft.com/office/drawing/2014/main" id="{0553FCF3-59A9-4790-9385-3364DE9A2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242570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</xdr:row>
      <xdr:rowOff>0</xdr:rowOff>
    </xdr:from>
    <xdr:ext cx="7620" cy="7620"/>
    <xdr:pic>
      <xdr:nvPicPr>
        <xdr:cNvPr id="332" name="Picture 331" descr="Attachments">
          <a:extLst>
            <a:ext uri="{FF2B5EF4-FFF2-40B4-BE49-F238E27FC236}">
              <a16:creationId xmlns:a16="http://schemas.microsoft.com/office/drawing/2014/main" id="{83040698-422B-4C65-ACD2-EDC0B0A06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30289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</xdr:row>
      <xdr:rowOff>0</xdr:rowOff>
    </xdr:from>
    <xdr:ext cx="7620" cy="7620"/>
    <xdr:pic>
      <xdr:nvPicPr>
        <xdr:cNvPr id="333" name="Picture 332" descr="Attachments">
          <a:extLst>
            <a:ext uri="{FF2B5EF4-FFF2-40B4-BE49-F238E27FC236}">
              <a16:creationId xmlns:a16="http://schemas.microsoft.com/office/drawing/2014/main" id="{BB54E694-3808-4D6B-9F33-CBD859BAC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30289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</xdr:row>
      <xdr:rowOff>0</xdr:rowOff>
    </xdr:from>
    <xdr:ext cx="7620" cy="7620"/>
    <xdr:pic>
      <xdr:nvPicPr>
        <xdr:cNvPr id="334" name="Picture 333" descr="Attachments">
          <a:extLst>
            <a:ext uri="{FF2B5EF4-FFF2-40B4-BE49-F238E27FC236}">
              <a16:creationId xmlns:a16="http://schemas.microsoft.com/office/drawing/2014/main" id="{A3597B2F-CA4C-4988-A77E-7E6DF3696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30289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9</xdr:row>
      <xdr:rowOff>0</xdr:rowOff>
    </xdr:from>
    <xdr:ext cx="7620" cy="7620"/>
    <xdr:pic>
      <xdr:nvPicPr>
        <xdr:cNvPr id="335" name="Picture 334" descr="Attachments">
          <a:extLst>
            <a:ext uri="{FF2B5EF4-FFF2-40B4-BE49-F238E27FC236}">
              <a16:creationId xmlns:a16="http://schemas.microsoft.com/office/drawing/2014/main" id="{9F5A4507-2FC1-4FA2-8B17-F183F1F26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37655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</xdr:row>
      <xdr:rowOff>0</xdr:rowOff>
    </xdr:from>
    <xdr:ext cx="7620" cy="7620"/>
    <xdr:pic>
      <xdr:nvPicPr>
        <xdr:cNvPr id="336" name="Picture 335" descr="Attachments">
          <a:extLst>
            <a:ext uri="{FF2B5EF4-FFF2-40B4-BE49-F238E27FC236}">
              <a16:creationId xmlns:a16="http://schemas.microsoft.com/office/drawing/2014/main" id="{ABCEF4B2-249F-447E-885A-8BFFBE913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3213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85</xdr:row>
      <xdr:rowOff>0</xdr:rowOff>
    </xdr:from>
    <xdr:ext cx="7620" cy="7620"/>
    <xdr:pic>
      <xdr:nvPicPr>
        <xdr:cNvPr id="337" name="Picture 336" descr="Attachments">
          <a:extLst>
            <a:ext uri="{FF2B5EF4-FFF2-40B4-BE49-F238E27FC236}">
              <a16:creationId xmlns:a16="http://schemas.microsoft.com/office/drawing/2014/main" id="{DDDC6B9C-33B6-43D9-9AB6-52CA3A9E6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177990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26</xdr:row>
      <xdr:rowOff>0</xdr:rowOff>
    </xdr:from>
    <xdr:ext cx="7620" cy="7620"/>
    <xdr:pic>
      <xdr:nvPicPr>
        <xdr:cNvPr id="338" name="Picture 337" descr="Attachments">
          <a:extLst>
            <a:ext uri="{FF2B5EF4-FFF2-40B4-BE49-F238E27FC236}">
              <a16:creationId xmlns:a16="http://schemas.microsoft.com/office/drawing/2014/main" id="{05D2E0B6-6AAC-4EF4-B80B-3BB427D37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69024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110</xdr:row>
      <xdr:rowOff>0</xdr:rowOff>
    </xdr:from>
    <xdr:ext cx="7620" cy="7620"/>
    <xdr:pic>
      <xdr:nvPicPr>
        <xdr:cNvPr id="339" name="Picture 338" descr="Attachments">
          <a:extLst>
            <a:ext uri="{FF2B5EF4-FFF2-40B4-BE49-F238E27FC236}">
              <a16:creationId xmlns:a16="http://schemas.microsoft.com/office/drawing/2014/main" id="{9C5B636C-32F9-483A-90F3-0200CDD77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224155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7620" cy="7620"/>
    <xdr:pic>
      <xdr:nvPicPr>
        <xdr:cNvPr id="340" name="Picture 339" descr="Attachments">
          <a:extLst>
            <a:ext uri="{FF2B5EF4-FFF2-40B4-BE49-F238E27FC236}">
              <a16:creationId xmlns:a16="http://schemas.microsoft.com/office/drawing/2014/main" id="{60F14867-0BA2-461D-8367-EAF7FA514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74612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57</xdr:row>
      <xdr:rowOff>0</xdr:rowOff>
    </xdr:from>
    <xdr:ext cx="7620" cy="7620"/>
    <xdr:pic>
      <xdr:nvPicPr>
        <xdr:cNvPr id="341" name="Picture 340" descr="Attachments">
          <a:extLst>
            <a:ext uri="{FF2B5EF4-FFF2-40B4-BE49-F238E27FC236}">
              <a16:creationId xmlns:a16="http://schemas.microsoft.com/office/drawing/2014/main" id="{4D6C131D-E731-4AEF-B0FD-39D424175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126301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81</xdr:row>
      <xdr:rowOff>0</xdr:rowOff>
    </xdr:from>
    <xdr:ext cx="7620" cy="7620"/>
    <xdr:pic>
      <xdr:nvPicPr>
        <xdr:cNvPr id="342" name="Picture 341" descr="Attachments">
          <a:extLst>
            <a:ext uri="{FF2B5EF4-FFF2-40B4-BE49-F238E27FC236}">
              <a16:creationId xmlns:a16="http://schemas.microsoft.com/office/drawing/2014/main" id="{38E317D9-FD57-48F3-A251-BF57660DE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170624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72</xdr:row>
      <xdr:rowOff>0</xdr:rowOff>
    </xdr:from>
    <xdr:ext cx="7620" cy="7620"/>
    <xdr:pic>
      <xdr:nvPicPr>
        <xdr:cNvPr id="343" name="Picture 342" descr="Attachments">
          <a:extLst>
            <a:ext uri="{FF2B5EF4-FFF2-40B4-BE49-F238E27FC236}">
              <a16:creationId xmlns:a16="http://schemas.microsoft.com/office/drawing/2014/main" id="{3D81668E-C6D5-4505-AAC0-B535C42F3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153987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</xdr:row>
      <xdr:rowOff>0</xdr:rowOff>
    </xdr:from>
    <xdr:ext cx="7620" cy="7620"/>
    <xdr:pic>
      <xdr:nvPicPr>
        <xdr:cNvPr id="344" name="Picture 343" descr="Attachments">
          <a:extLst>
            <a:ext uri="{FF2B5EF4-FFF2-40B4-BE49-F238E27FC236}">
              <a16:creationId xmlns:a16="http://schemas.microsoft.com/office/drawing/2014/main" id="{DDD53CEA-862F-44C4-BFFB-034C911A9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30289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9</xdr:row>
      <xdr:rowOff>0</xdr:rowOff>
    </xdr:from>
    <xdr:ext cx="7620" cy="7620"/>
    <xdr:pic>
      <xdr:nvPicPr>
        <xdr:cNvPr id="345" name="Picture 344" descr="Attachments">
          <a:extLst>
            <a:ext uri="{FF2B5EF4-FFF2-40B4-BE49-F238E27FC236}">
              <a16:creationId xmlns:a16="http://schemas.microsoft.com/office/drawing/2014/main" id="{7B147A57-DD13-4729-B4B9-F68901BEE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37655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</xdr:row>
      <xdr:rowOff>0</xdr:rowOff>
    </xdr:from>
    <xdr:ext cx="7620" cy="7620"/>
    <xdr:pic>
      <xdr:nvPicPr>
        <xdr:cNvPr id="346" name="Picture 345" descr="Attachments">
          <a:extLst>
            <a:ext uri="{FF2B5EF4-FFF2-40B4-BE49-F238E27FC236}">
              <a16:creationId xmlns:a16="http://schemas.microsoft.com/office/drawing/2014/main" id="{3EF997A8-D102-4EA3-B4DB-34271940D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32131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</xdr:row>
      <xdr:rowOff>0</xdr:rowOff>
    </xdr:from>
    <xdr:ext cx="7620" cy="7620"/>
    <xdr:pic>
      <xdr:nvPicPr>
        <xdr:cNvPr id="347" name="Picture 346" descr="Attachments">
          <a:extLst>
            <a:ext uri="{FF2B5EF4-FFF2-40B4-BE49-F238E27FC236}">
              <a16:creationId xmlns:a16="http://schemas.microsoft.com/office/drawing/2014/main" id="{E4A10F09-9F59-4F9F-AB35-751D6D4AE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33972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13</xdr:row>
      <xdr:rowOff>0</xdr:rowOff>
    </xdr:from>
    <xdr:ext cx="7620" cy="7620"/>
    <xdr:pic>
      <xdr:nvPicPr>
        <xdr:cNvPr id="348" name="Picture 347" descr="Attachments">
          <a:extLst>
            <a:ext uri="{FF2B5EF4-FFF2-40B4-BE49-F238E27FC236}">
              <a16:creationId xmlns:a16="http://schemas.microsoft.com/office/drawing/2014/main" id="{A44E828A-0817-4A83-9F09-70E16514E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45021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</xdr:row>
      <xdr:rowOff>0</xdr:rowOff>
    </xdr:from>
    <xdr:ext cx="7620" cy="7620"/>
    <xdr:pic>
      <xdr:nvPicPr>
        <xdr:cNvPr id="349" name="Picture 348" descr="Attachments">
          <a:extLst>
            <a:ext uri="{FF2B5EF4-FFF2-40B4-BE49-F238E27FC236}">
              <a16:creationId xmlns:a16="http://schemas.microsoft.com/office/drawing/2014/main" id="{F2E6B0CF-97EB-4D6B-9493-B72AAC086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39497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96</xdr:row>
      <xdr:rowOff>0</xdr:rowOff>
    </xdr:from>
    <xdr:ext cx="7620" cy="7620"/>
    <xdr:pic>
      <xdr:nvPicPr>
        <xdr:cNvPr id="350" name="Picture 349" descr="Attachments">
          <a:extLst>
            <a:ext uri="{FF2B5EF4-FFF2-40B4-BE49-F238E27FC236}">
              <a16:creationId xmlns:a16="http://schemas.microsoft.com/office/drawing/2014/main" id="{8A0EFC7D-42ED-47E5-81C8-902D9890C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198310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93</xdr:row>
      <xdr:rowOff>0</xdr:rowOff>
    </xdr:from>
    <xdr:ext cx="7620" cy="7620"/>
    <xdr:pic>
      <xdr:nvPicPr>
        <xdr:cNvPr id="351" name="Picture 350" descr="Attachments">
          <a:extLst>
            <a:ext uri="{FF2B5EF4-FFF2-40B4-BE49-F238E27FC236}">
              <a16:creationId xmlns:a16="http://schemas.microsoft.com/office/drawing/2014/main" id="{2AFDDD06-2EC0-477E-B893-F8E8DB0C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19278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94</xdr:row>
      <xdr:rowOff>0</xdr:rowOff>
    </xdr:from>
    <xdr:ext cx="7620" cy="7620"/>
    <xdr:pic>
      <xdr:nvPicPr>
        <xdr:cNvPr id="352" name="Picture 351" descr="Attachments">
          <a:extLst>
            <a:ext uri="{FF2B5EF4-FFF2-40B4-BE49-F238E27FC236}">
              <a16:creationId xmlns:a16="http://schemas.microsoft.com/office/drawing/2014/main" id="{999ACA17-D01A-41B2-8631-A7EAD37C1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1946275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95</xdr:row>
      <xdr:rowOff>0</xdr:rowOff>
    </xdr:from>
    <xdr:ext cx="7620" cy="7620"/>
    <xdr:pic>
      <xdr:nvPicPr>
        <xdr:cNvPr id="353" name="Picture 352" descr="Attachments">
          <a:extLst>
            <a:ext uri="{FF2B5EF4-FFF2-40B4-BE49-F238E27FC236}">
              <a16:creationId xmlns:a16="http://schemas.microsoft.com/office/drawing/2014/main" id="{0E77A618-B3C8-4D7F-9ACE-44931CE5B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196469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16</xdr:row>
      <xdr:rowOff>0</xdr:rowOff>
    </xdr:from>
    <xdr:ext cx="7620" cy="7620"/>
    <xdr:pic>
      <xdr:nvPicPr>
        <xdr:cNvPr id="354" name="Picture 353" descr="Attachments">
          <a:extLst>
            <a:ext uri="{FF2B5EF4-FFF2-40B4-BE49-F238E27FC236}">
              <a16:creationId xmlns:a16="http://schemas.microsoft.com/office/drawing/2014/main" id="{E12B7A1A-3FBA-4BDF-B005-DCEE14529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054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16</xdr:row>
      <xdr:rowOff>0</xdr:rowOff>
    </xdr:from>
    <xdr:ext cx="7620" cy="7620"/>
    <xdr:pic>
      <xdr:nvPicPr>
        <xdr:cNvPr id="355" name="Picture 354" descr="Attachments">
          <a:extLst>
            <a:ext uri="{FF2B5EF4-FFF2-40B4-BE49-F238E27FC236}">
              <a16:creationId xmlns:a16="http://schemas.microsoft.com/office/drawing/2014/main" id="{6111E187-8D4E-42A5-8B38-433AF90E9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81100" y="5054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</xdr:row>
      <xdr:rowOff>0</xdr:rowOff>
    </xdr:from>
    <xdr:ext cx="7620" cy="7620"/>
    <xdr:pic>
      <xdr:nvPicPr>
        <xdr:cNvPr id="356" name="Picture 355" descr="Attachments">
          <a:extLst>
            <a:ext uri="{FF2B5EF4-FFF2-40B4-BE49-F238E27FC236}">
              <a16:creationId xmlns:a16="http://schemas.microsoft.com/office/drawing/2014/main" id="{1F2E2206-D8FA-4A0F-A175-E3A26CCAF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5054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</xdr:row>
      <xdr:rowOff>0</xdr:rowOff>
    </xdr:from>
    <xdr:ext cx="7620" cy="7620"/>
    <xdr:pic>
      <xdr:nvPicPr>
        <xdr:cNvPr id="357" name="Picture 356" descr="Attachments">
          <a:extLst>
            <a:ext uri="{FF2B5EF4-FFF2-40B4-BE49-F238E27FC236}">
              <a16:creationId xmlns:a16="http://schemas.microsoft.com/office/drawing/2014/main" id="{14B920F6-96ED-49BB-8022-914FACF7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5054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</xdr:row>
      <xdr:rowOff>0</xdr:rowOff>
    </xdr:from>
    <xdr:ext cx="7620" cy="7620"/>
    <xdr:pic>
      <xdr:nvPicPr>
        <xdr:cNvPr id="358" name="Picture 357" descr="Attachments">
          <a:extLst>
            <a:ext uri="{FF2B5EF4-FFF2-40B4-BE49-F238E27FC236}">
              <a16:creationId xmlns:a16="http://schemas.microsoft.com/office/drawing/2014/main" id="{FDD77D16-D74B-45E9-B46F-F9A4FFEB6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5054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</xdr:row>
      <xdr:rowOff>0</xdr:rowOff>
    </xdr:from>
    <xdr:ext cx="7620" cy="7620"/>
    <xdr:pic>
      <xdr:nvPicPr>
        <xdr:cNvPr id="359" name="Picture 358" descr="Attachments">
          <a:extLst>
            <a:ext uri="{FF2B5EF4-FFF2-40B4-BE49-F238E27FC236}">
              <a16:creationId xmlns:a16="http://schemas.microsoft.com/office/drawing/2014/main" id="{15BF85FA-DC08-4AB6-8931-92D6BBA0C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5054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</xdr:row>
      <xdr:rowOff>0</xdr:rowOff>
    </xdr:from>
    <xdr:ext cx="7620" cy="7620"/>
    <xdr:pic>
      <xdr:nvPicPr>
        <xdr:cNvPr id="360" name="Picture 359" descr="Attachments">
          <a:extLst>
            <a:ext uri="{FF2B5EF4-FFF2-40B4-BE49-F238E27FC236}">
              <a16:creationId xmlns:a16="http://schemas.microsoft.com/office/drawing/2014/main" id="{95E00F67-FD7C-4699-B11C-B4890755D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5054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</xdr:row>
      <xdr:rowOff>0</xdr:rowOff>
    </xdr:from>
    <xdr:ext cx="7620" cy="7620"/>
    <xdr:pic>
      <xdr:nvPicPr>
        <xdr:cNvPr id="361" name="Picture 360" descr="Attachments">
          <a:extLst>
            <a:ext uri="{FF2B5EF4-FFF2-40B4-BE49-F238E27FC236}">
              <a16:creationId xmlns:a16="http://schemas.microsoft.com/office/drawing/2014/main" id="{F0E79AC9-F050-42C1-9379-52DE7E94D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5054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</xdr:row>
      <xdr:rowOff>0</xdr:rowOff>
    </xdr:from>
    <xdr:ext cx="7620" cy="7620"/>
    <xdr:pic>
      <xdr:nvPicPr>
        <xdr:cNvPr id="362" name="Picture 361" descr="Attachments">
          <a:extLst>
            <a:ext uri="{FF2B5EF4-FFF2-40B4-BE49-F238E27FC236}">
              <a16:creationId xmlns:a16="http://schemas.microsoft.com/office/drawing/2014/main" id="{18E63A40-6D78-41B1-975A-4CA299BAF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5054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</xdr:row>
      <xdr:rowOff>0</xdr:rowOff>
    </xdr:from>
    <xdr:ext cx="7620" cy="7620"/>
    <xdr:pic>
      <xdr:nvPicPr>
        <xdr:cNvPr id="363" name="Picture 362" descr="Attachments">
          <a:extLst>
            <a:ext uri="{FF2B5EF4-FFF2-40B4-BE49-F238E27FC236}">
              <a16:creationId xmlns:a16="http://schemas.microsoft.com/office/drawing/2014/main" id="{CEDB072C-B841-4153-873A-BA4DA0A9B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44850" y="5054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16</xdr:row>
      <xdr:rowOff>0</xdr:rowOff>
    </xdr:from>
    <xdr:ext cx="7620" cy="7620"/>
    <xdr:pic>
      <xdr:nvPicPr>
        <xdr:cNvPr id="364" name="Picture 363" descr="Attachments">
          <a:extLst>
            <a:ext uri="{FF2B5EF4-FFF2-40B4-BE49-F238E27FC236}">
              <a16:creationId xmlns:a16="http://schemas.microsoft.com/office/drawing/2014/main" id="{7197AC09-7011-4A05-BF9B-60301CB90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5054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16</xdr:row>
      <xdr:rowOff>0</xdr:rowOff>
    </xdr:from>
    <xdr:ext cx="7620" cy="7620"/>
    <xdr:pic>
      <xdr:nvPicPr>
        <xdr:cNvPr id="365" name="Picture 364" descr="Attachments">
          <a:extLst>
            <a:ext uri="{FF2B5EF4-FFF2-40B4-BE49-F238E27FC236}">
              <a16:creationId xmlns:a16="http://schemas.microsoft.com/office/drawing/2014/main" id="{DE2C4FCD-706D-41A5-8344-6FBF670F9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5054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16</xdr:row>
      <xdr:rowOff>0</xdr:rowOff>
    </xdr:from>
    <xdr:ext cx="7620" cy="7620"/>
    <xdr:pic>
      <xdr:nvPicPr>
        <xdr:cNvPr id="366" name="Picture 365" descr="Attachments">
          <a:extLst>
            <a:ext uri="{FF2B5EF4-FFF2-40B4-BE49-F238E27FC236}">
              <a16:creationId xmlns:a16="http://schemas.microsoft.com/office/drawing/2014/main" id="{A0053F92-8A4D-4601-B2B0-F20B2DAD0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5054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16</xdr:row>
      <xdr:rowOff>0</xdr:rowOff>
    </xdr:from>
    <xdr:ext cx="7620" cy="7620"/>
    <xdr:pic>
      <xdr:nvPicPr>
        <xdr:cNvPr id="367" name="Picture 366" descr="Attachments">
          <a:extLst>
            <a:ext uri="{FF2B5EF4-FFF2-40B4-BE49-F238E27FC236}">
              <a16:creationId xmlns:a16="http://schemas.microsoft.com/office/drawing/2014/main" id="{B2B769E0-72F8-45AE-8B2F-F899720DE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5054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16</xdr:row>
      <xdr:rowOff>0</xdr:rowOff>
    </xdr:from>
    <xdr:ext cx="7620" cy="7620"/>
    <xdr:pic>
      <xdr:nvPicPr>
        <xdr:cNvPr id="368" name="Picture 367" descr="Attachments">
          <a:extLst>
            <a:ext uri="{FF2B5EF4-FFF2-40B4-BE49-F238E27FC236}">
              <a16:creationId xmlns:a16="http://schemas.microsoft.com/office/drawing/2014/main" id="{CC07DC1B-0458-49C6-9675-B642A8AB7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5054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16</xdr:row>
      <xdr:rowOff>0</xdr:rowOff>
    </xdr:from>
    <xdr:ext cx="7620" cy="7620"/>
    <xdr:pic>
      <xdr:nvPicPr>
        <xdr:cNvPr id="369" name="Picture 368" descr="Attachments">
          <a:extLst>
            <a:ext uri="{FF2B5EF4-FFF2-40B4-BE49-F238E27FC236}">
              <a16:creationId xmlns:a16="http://schemas.microsoft.com/office/drawing/2014/main" id="{9E35155A-4F17-47CE-AEA6-4FC356C14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5054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16</xdr:row>
      <xdr:rowOff>0</xdr:rowOff>
    </xdr:from>
    <xdr:ext cx="7620" cy="7620"/>
    <xdr:pic>
      <xdr:nvPicPr>
        <xdr:cNvPr id="370" name="Picture 369" descr="Attachments">
          <a:extLst>
            <a:ext uri="{FF2B5EF4-FFF2-40B4-BE49-F238E27FC236}">
              <a16:creationId xmlns:a16="http://schemas.microsoft.com/office/drawing/2014/main" id="{343450A7-3712-4977-B87B-E88268ACC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5054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16</xdr:row>
      <xdr:rowOff>0</xdr:rowOff>
    </xdr:from>
    <xdr:ext cx="7620" cy="7620"/>
    <xdr:pic>
      <xdr:nvPicPr>
        <xdr:cNvPr id="371" name="Picture 370" descr="Attachments">
          <a:extLst>
            <a:ext uri="{FF2B5EF4-FFF2-40B4-BE49-F238E27FC236}">
              <a16:creationId xmlns:a16="http://schemas.microsoft.com/office/drawing/2014/main" id="{C3674F8A-43E2-4CDF-8AA9-4C32B5C84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8600" y="50546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6106</xdr:rowOff>
    </xdr:from>
    <xdr:to>
      <xdr:col>0</xdr:col>
      <xdr:colOff>1243725</xdr:colOff>
      <xdr:row>0</xdr:row>
      <xdr:rowOff>1025769</xdr:rowOff>
    </xdr:to>
    <xdr:pic>
      <xdr:nvPicPr>
        <xdr:cNvPr id="3" name="Graphic 2" descr="Back">
          <a:hlinkClick xmlns:r="http://schemas.openxmlformats.org/officeDocument/2006/relationships" r:id="rId1" tooltip="Go back to the Gantt Chart preparation page"/>
          <a:extLst>
            <a:ext uri="{FF2B5EF4-FFF2-40B4-BE49-F238E27FC236}">
              <a16:creationId xmlns:a16="http://schemas.microsoft.com/office/drawing/2014/main" id="{F91C105D-CA0E-4645-8CB5-B28791A4B0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 t="14091" b="1"/>
        <a:stretch/>
      </xdr:blipFill>
      <xdr:spPr>
        <a:xfrm>
          <a:off x="0" y="6106"/>
          <a:ext cx="1238027" cy="1019663"/>
        </a:xfrm>
        <a:prstGeom prst="rect">
          <a:avLst/>
        </a:prstGeom>
      </xdr:spPr>
    </xdr:pic>
    <xdr:clientData/>
  </xdr:twoCellAnchor>
  <xdr:twoCellAnchor>
    <xdr:from>
      <xdr:col>0</xdr:col>
      <xdr:colOff>1377042</xdr:colOff>
      <xdr:row>0</xdr:row>
      <xdr:rowOff>937645</xdr:rowOff>
    </xdr:from>
    <xdr:to>
      <xdr:col>13</xdr:col>
      <xdr:colOff>408213</xdr:colOff>
      <xdr:row>3</xdr:row>
      <xdr:rowOff>3873502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4928BE-51A1-4521-8DA0-C54F188B34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11</xdr:col>
      <xdr:colOff>689428</xdr:colOff>
      <xdr:row>3</xdr:row>
      <xdr:rowOff>3574142</xdr:rowOff>
    </xdr:from>
    <xdr:ext cx="2458357" cy="264560"/>
    <xdr:sp macro="" textlink="Transpose!A5">
      <xdr:nvSpPr>
        <xdr:cNvPr id="2" name="TextBox 1">
          <a:extLst>
            <a:ext uri="{FF2B5EF4-FFF2-40B4-BE49-F238E27FC236}">
              <a16:creationId xmlns:a16="http://schemas.microsoft.com/office/drawing/2014/main" id="{771BC865-E91C-4623-8889-8C335C030AA7}"/>
            </a:ext>
          </a:extLst>
        </xdr:cNvPr>
        <xdr:cNvSpPr txBox="1"/>
      </xdr:nvSpPr>
      <xdr:spPr>
        <a:xfrm>
          <a:off x="19948071" y="8989785"/>
          <a:ext cx="245835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ED66A102-DAD1-4F8F-B205-AFCF0EA362F6}" type="TxLink">
            <a:rPr lang="en-US" sz="1100" b="0" i="0" u="none" strike="noStrike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/>
            <a:t> </a:t>
          </a:fld>
          <a:endParaRPr lang="pt-PT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15</xdr:col>
      <xdr:colOff>131536</xdr:colOff>
      <xdr:row>0</xdr:row>
      <xdr:rowOff>928007</xdr:rowOff>
    </xdr:from>
    <xdr:to>
      <xdr:col>29</xdr:col>
      <xdr:colOff>945536</xdr:colOff>
      <xdr:row>3</xdr:row>
      <xdr:rowOff>3882571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668E54-E3F4-4639-B665-655E6DC2C1FE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0.9124</cdr:x>
      <cdr:y>0.0171</cdr:y>
    </cdr:from>
    <cdr:to>
      <cdr:x>0.93247</cdr:x>
      <cdr:y>0.16797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2CC506A-C04B-4DFF-8800-1FA15BFD17FA}"/>
            </a:ext>
          </a:extLst>
        </cdr:cNvPr>
        <cdr:cNvSpPr txBox="1"/>
      </cdr:nvSpPr>
      <cdr:spPr>
        <a:xfrm xmlns:a="http://schemas.openxmlformats.org/drawingml/2006/main" rot="16200000">
          <a:off x="18977450" y="559492"/>
          <a:ext cx="1259972" cy="4266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PT" sz="2000">
              <a:solidFill>
                <a:srgbClr val="595959"/>
              </a:solidFill>
              <a:latin typeface="Arial" panose="020B0604020202020204" pitchFamily="34" charset="0"/>
              <a:cs typeface="Arial" panose="020B0604020202020204" pitchFamily="34" charset="0"/>
            </a:rPr>
            <a:t>GtCO2e</a:t>
          </a:r>
        </a:p>
      </cdr:txBody>
    </cdr:sp>
  </cdr:relSizeAnchor>
  <cdr:relSizeAnchor xmlns:cdr="http://schemas.openxmlformats.org/drawingml/2006/chartDrawing">
    <cdr:from>
      <cdr:x>0.91393</cdr:x>
      <cdr:y>0.1997</cdr:y>
    </cdr:from>
    <cdr:to>
      <cdr:x>0.99947</cdr:x>
      <cdr:y>0.30918</cdr:y>
    </cdr:to>
    <cdr:grpSp>
      <cdr:nvGrpSpPr>
        <cdr:cNvPr id="5" name="Group 4">
          <a:extLst xmlns:a="http://schemas.openxmlformats.org/drawingml/2006/main">
            <a:ext uri="{FF2B5EF4-FFF2-40B4-BE49-F238E27FC236}">
              <a16:creationId xmlns:a16="http://schemas.microsoft.com/office/drawing/2014/main" id="{672C83AE-75AF-4F07-BB8E-9D00AFA1B10E}"/>
            </a:ext>
          </a:extLst>
        </cdr:cNvPr>
        <cdr:cNvGrpSpPr/>
      </cdr:nvGrpSpPr>
      <cdr:grpSpPr>
        <a:xfrm xmlns:a="http://schemas.openxmlformats.org/drawingml/2006/main">
          <a:off x="19335455" y="1667795"/>
          <a:ext cx="1809717" cy="914322"/>
          <a:chOff x="19140157" y="2518099"/>
          <a:chExt cx="1817280" cy="913109"/>
        </a:xfrm>
      </cdr:grpSpPr>
      <cdr:sp macro="" textlink="">
        <cdr:nvSpPr>
          <cdr:cNvPr id="3" name="TextBox 2">
            <a:extLst xmlns:a="http://schemas.openxmlformats.org/drawingml/2006/main">
              <a:ext uri="{FF2B5EF4-FFF2-40B4-BE49-F238E27FC236}">
                <a16:creationId xmlns:a16="http://schemas.microsoft.com/office/drawing/2014/main" id="{F00AC5D5-B4C7-4A02-83A9-4483D4C0249B}"/>
              </a:ext>
            </a:extLst>
          </cdr:cNvPr>
          <cdr:cNvSpPr txBox="1"/>
        </cdr:nvSpPr>
        <cdr:spPr>
          <a:xfrm xmlns:a="http://schemas.openxmlformats.org/drawingml/2006/main">
            <a:off x="19635612" y="2518099"/>
            <a:ext cx="1321825" cy="913109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none" lIns="0" tIns="0" rIns="0" bIns="0" rtlCol="0"/>
          <a:lstStyle xmlns:a="http://schemas.openxmlformats.org/drawingml/2006/main"/>
          <a:p xmlns:a="http://schemas.openxmlformats.org/drawingml/2006/main">
            <a:pPr algn="l"/>
            <a:r>
              <a:rPr lang="pt-PT" sz="2000">
                <a:solidFill>
                  <a:srgbClr val="595959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Cumulative</a:t>
            </a:r>
          </a:p>
          <a:p xmlns:a="http://schemas.openxmlformats.org/drawingml/2006/main">
            <a:pPr lvl="0" algn="l"/>
            <a:r>
              <a:rPr lang="pt-PT" sz="2000">
                <a:solidFill>
                  <a:srgbClr val="595959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benefit</a:t>
            </a:r>
          </a:p>
        </cdr:txBody>
      </cdr:sp>
      <cdr:sp macro="" textlink="">
        <cdr:nvSpPr>
          <cdr:cNvPr id="4" name="Rectangle 3">
            <a:extLst xmlns:a="http://schemas.openxmlformats.org/drawingml/2006/main">
              <a:ext uri="{FF2B5EF4-FFF2-40B4-BE49-F238E27FC236}">
                <a16:creationId xmlns:a16="http://schemas.microsoft.com/office/drawing/2014/main" id="{7D3AA762-D254-4E48-BA4B-F8F0AE3557ED}"/>
              </a:ext>
            </a:extLst>
          </cdr:cNvPr>
          <cdr:cNvSpPr/>
        </cdr:nvSpPr>
        <cdr:spPr>
          <a:xfrm xmlns:a="http://schemas.openxmlformats.org/drawingml/2006/main">
            <a:off x="19140157" y="2567102"/>
            <a:ext cx="398905" cy="210612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1">
              <a:lumMod val="40000"/>
              <a:lumOff val="60000"/>
              <a:alpha val="50000"/>
            </a:schemeClr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vertOverflow="clip"/>
          <a:lstStyle xmlns:a="http://schemas.openxmlformats.org/drawingml/2006/main"/>
          <a:p xmlns:a="http://schemas.openxmlformats.org/drawingml/2006/main">
            <a:endParaRPr lang="pt-PT"/>
          </a:p>
        </cdr:txBody>
      </cdr:sp>
    </cdr:grp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12348</xdr:colOff>
      <xdr:row>0</xdr:row>
      <xdr:rowOff>7050</xdr:rowOff>
    </xdr:from>
    <xdr:to>
      <xdr:col>3</xdr:col>
      <xdr:colOff>20338</xdr:colOff>
      <xdr:row>1</xdr:row>
      <xdr:rowOff>1366</xdr:rowOff>
    </xdr:to>
    <xdr:pic>
      <xdr:nvPicPr>
        <xdr:cNvPr id="10" name="Graphic 9" descr="Back">
          <a:hlinkClick xmlns:r="http://schemas.openxmlformats.org/officeDocument/2006/relationships" r:id="rId1" tooltip="Go back to the Gantt Chart preparation page"/>
          <a:extLst>
            <a:ext uri="{FF2B5EF4-FFF2-40B4-BE49-F238E27FC236}">
              <a16:creationId xmlns:a16="http://schemas.microsoft.com/office/drawing/2014/main" id="{B889A0B2-655D-4593-A031-861339A980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 t="13411" b="-1"/>
        <a:stretch/>
      </xdr:blipFill>
      <xdr:spPr>
        <a:xfrm>
          <a:off x="12348" y="7050"/>
          <a:ext cx="684000" cy="5922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0</xdr:col>
      <xdr:colOff>660152</xdr:colOff>
      <xdr:row>3</xdr:row>
      <xdr:rowOff>61592</xdr:rowOff>
    </xdr:to>
    <xdr:pic>
      <xdr:nvPicPr>
        <xdr:cNvPr id="2" name="Graphic 1" descr="Back">
          <a:hlinkClick xmlns:r="http://schemas.openxmlformats.org/officeDocument/2006/relationships" r:id="rId1" tooltip="Go back to the Gantt Chart preparation page"/>
          <a:extLst>
            <a:ext uri="{FF2B5EF4-FFF2-40B4-BE49-F238E27FC236}">
              <a16:creationId xmlns:a16="http://schemas.microsoft.com/office/drawing/2014/main" id="{EF82C402-63AE-42B3-A05D-084D011F1E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 t="13411" b="-1"/>
        <a:stretch/>
      </xdr:blipFill>
      <xdr:spPr>
        <a:xfrm>
          <a:off x="0" y="19050"/>
          <a:ext cx="660152" cy="5949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D0903-7B1C-4066-926D-065C3D7DB186}">
  <dimension ref="B1:BU123"/>
  <sheetViews>
    <sheetView showGridLines="0" tabSelected="1" zoomScale="80" zoomScaleNormal="80" workbookViewId="0">
      <pane ySplit="4" topLeftCell="A114" activePane="bottomLeft" state="frozen"/>
      <selection pane="bottomLeft" activeCell="G5" sqref="G5"/>
    </sheetView>
  </sheetViews>
  <sheetFormatPr baseColWidth="10" defaultColWidth="8.6640625" defaultRowHeight="14" x14ac:dyDescent="0.15"/>
  <cols>
    <col min="1" max="1" width="1.33203125" style="13" customWidth="1"/>
    <col min="2" max="2" width="5.5" style="9" customWidth="1"/>
    <col min="3" max="3" width="8.5" style="11" hidden="1" customWidth="1"/>
    <col min="4" max="4" width="12.5" style="11" customWidth="1"/>
    <col min="5" max="5" width="12.5" style="14" customWidth="1"/>
    <col min="6" max="6" width="73" style="13" customWidth="1"/>
    <col min="7" max="7" width="24.5" style="9" customWidth="1"/>
    <col min="8" max="8" width="17.33203125" style="12" customWidth="1"/>
    <col min="9" max="9" width="18.5" style="12" customWidth="1"/>
    <col min="10" max="10" width="17" style="12" customWidth="1"/>
    <col min="11" max="11" width="1.5" style="13" customWidth="1"/>
    <col min="12" max="12" width="8.5" style="13" customWidth="1"/>
    <col min="13" max="14" width="15.5" style="9" hidden="1" customWidth="1"/>
    <col min="15" max="15" width="17.83203125" style="12" hidden="1" customWidth="1"/>
    <col min="16" max="40" width="3.5" style="12" hidden="1" customWidth="1"/>
    <col min="41" max="41" width="3.5" style="13" hidden="1" customWidth="1"/>
    <col min="42" max="42" width="2.5" style="13" hidden="1" customWidth="1"/>
    <col min="43" max="43" width="1.5" style="13" customWidth="1"/>
    <col min="44" max="44" width="12.5" style="12" customWidth="1"/>
    <col min="45" max="45" width="1.5" style="13" customWidth="1"/>
    <col min="46" max="71" width="2.83203125" style="13" customWidth="1"/>
    <col min="72" max="72" width="1.33203125" style="13" customWidth="1"/>
    <col min="73" max="73" width="72.5" style="13" hidden="1" customWidth="1"/>
    <col min="74" max="74" width="2.5" style="13" customWidth="1"/>
    <col min="75" max="16384" width="8.6640625" style="13"/>
  </cols>
  <sheetData>
    <row r="1" spans="2:73" ht="6" customHeight="1" x14ac:dyDescent="0.15">
      <c r="B1" s="428"/>
      <c r="C1" s="428"/>
      <c r="D1" s="428"/>
      <c r="E1" s="428"/>
      <c r="F1" s="428"/>
      <c r="G1" s="428"/>
      <c r="H1" s="428"/>
      <c r="I1" s="428"/>
      <c r="J1" s="428"/>
    </row>
    <row r="2" spans="2:73" s="44" customFormat="1" ht="33" customHeight="1" x14ac:dyDescent="0.2">
      <c r="B2" s="441" t="s">
        <v>914</v>
      </c>
      <c r="C2" s="441"/>
      <c r="D2" s="441"/>
      <c r="E2" s="441"/>
      <c r="F2" s="441"/>
      <c r="G2" s="441"/>
      <c r="H2" s="441"/>
      <c r="I2" s="441"/>
      <c r="J2" s="441"/>
      <c r="L2" s="444" t="s">
        <v>924</v>
      </c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444"/>
      <c r="AA2" s="444"/>
      <c r="AB2" s="444"/>
      <c r="AC2" s="444"/>
      <c r="AD2" s="444"/>
      <c r="AE2" s="444"/>
      <c r="AF2" s="444"/>
      <c r="AG2" s="444"/>
      <c r="AH2" s="444"/>
      <c r="AI2" s="444"/>
      <c r="AJ2" s="444"/>
      <c r="AK2" s="444"/>
      <c r="AL2" s="444"/>
      <c r="AM2" s="444"/>
      <c r="AN2" s="444"/>
      <c r="AO2" s="444"/>
      <c r="AP2" s="444"/>
      <c r="AQ2" s="444"/>
      <c r="AR2" s="444"/>
      <c r="AS2" s="444"/>
      <c r="AT2" s="444"/>
      <c r="AU2" s="442">
        <f>'Cost graph'!C1</f>
        <v>0</v>
      </c>
      <c r="AV2" s="442"/>
      <c r="AW2" s="442"/>
      <c r="AX2" s="442"/>
      <c r="AY2" s="442"/>
      <c r="AZ2" s="438" t="s">
        <v>916</v>
      </c>
      <c r="BA2" s="439"/>
      <c r="BB2" s="439"/>
      <c r="BC2" s="439"/>
      <c r="BD2" s="439"/>
      <c r="BE2" s="443">
        <f>'Cost graph'!G1</f>
        <v>0</v>
      </c>
      <c r="BF2" s="443"/>
      <c r="BG2" s="443"/>
      <c r="BH2" s="443"/>
      <c r="BI2" s="443"/>
      <c r="BJ2" s="438" t="s">
        <v>917</v>
      </c>
      <c r="BK2" s="439"/>
      <c r="BL2" s="439"/>
      <c r="BM2" s="439"/>
      <c r="BN2" s="439"/>
      <c r="BO2" s="437">
        <f>'Cost graph'!L1</f>
        <v>0</v>
      </c>
      <c r="BP2" s="437"/>
      <c r="BQ2" s="437"/>
      <c r="BR2" s="437"/>
      <c r="BS2" s="437"/>
    </row>
    <row r="3" spans="2:73" s="80" customFormat="1" ht="18" customHeight="1" x14ac:dyDescent="0.2">
      <c r="B3" s="138" t="s">
        <v>2</v>
      </c>
      <c r="E3" s="139"/>
      <c r="F3" s="81" t="s">
        <v>642</v>
      </c>
      <c r="G3" s="81" t="s">
        <v>644</v>
      </c>
      <c r="H3" s="81" t="s">
        <v>646</v>
      </c>
      <c r="I3" s="440" t="s">
        <v>647</v>
      </c>
      <c r="J3" s="440"/>
      <c r="AR3" s="114" t="s">
        <v>648</v>
      </c>
      <c r="AT3" s="81" t="s">
        <v>649</v>
      </c>
    </row>
    <row r="4" spans="2:73" s="10" customFormat="1" ht="64" customHeight="1" thickBot="1" x14ac:dyDescent="0.25">
      <c r="B4" s="140" t="s">
        <v>2</v>
      </c>
      <c r="C4" s="141" t="s">
        <v>424</v>
      </c>
      <c r="D4" s="142" t="s">
        <v>0</v>
      </c>
      <c r="E4" s="143" t="s">
        <v>645</v>
      </c>
      <c r="F4" s="144" t="s">
        <v>643</v>
      </c>
      <c r="G4" s="424" t="s">
        <v>653</v>
      </c>
      <c r="H4" s="424" t="s">
        <v>651</v>
      </c>
      <c r="I4" s="424" t="s">
        <v>913</v>
      </c>
      <c r="J4" s="425" t="s">
        <v>650</v>
      </c>
      <c r="K4" s="102"/>
      <c r="L4" s="103" t="s">
        <v>4</v>
      </c>
      <c r="M4" s="104" t="s">
        <v>422</v>
      </c>
      <c r="N4" s="104" t="s">
        <v>423</v>
      </c>
      <c r="O4" s="104" t="s">
        <v>468</v>
      </c>
      <c r="P4" s="105">
        <v>2025</v>
      </c>
      <c r="Q4" s="105">
        <v>2026</v>
      </c>
      <c r="R4" s="105">
        <v>2027</v>
      </c>
      <c r="S4" s="105">
        <v>2028</v>
      </c>
      <c r="T4" s="105">
        <v>2029</v>
      </c>
      <c r="U4" s="105">
        <v>2030</v>
      </c>
      <c r="V4" s="105">
        <v>2031</v>
      </c>
      <c r="W4" s="105">
        <v>2032</v>
      </c>
      <c r="X4" s="105">
        <v>2033</v>
      </c>
      <c r="Y4" s="105">
        <v>2034</v>
      </c>
      <c r="Z4" s="105">
        <v>2035</v>
      </c>
      <c r="AA4" s="105">
        <v>2036</v>
      </c>
      <c r="AB4" s="105">
        <v>2037</v>
      </c>
      <c r="AC4" s="105">
        <v>2038</v>
      </c>
      <c r="AD4" s="105">
        <v>2039</v>
      </c>
      <c r="AE4" s="105">
        <v>2040</v>
      </c>
      <c r="AF4" s="105">
        <v>2041</v>
      </c>
      <c r="AG4" s="105">
        <v>2042</v>
      </c>
      <c r="AH4" s="105">
        <v>2043</v>
      </c>
      <c r="AI4" s="105">
        <v>2044</v>
      </c>
      <c r="AJ4" s="105">
        <v>2045</v>
      </c>
      <c r="AK4" s="105">
        <v>2046</v>
      </c>
      <c r="AL4" s="105">
        <v>2047</v>
      </c>
      <c r="AM4" s="105">
        <v>2048</v>
      </c>
      <c r="AN4" s="105">
        <v>2049</v>
      </c>
      <c r="AO4" s="105">
        <v>2050</v>
      </c>
      <c r="AR4" s="115" t="s">
        <v>652</v>
      </c>
      <c r="AS4" s="116"/>
      <c r="AT4" s="117">
        <v>2025</v>
      </c>
      <c r="AU4" s="118">
        <v>2026</v>
      </c>
      <c r="AV4" s="118">
        <v>2027</v>
      </c>
      <c r="AW4" s="118">
        <v>2028</v>
      </c>
      <c r="AX4" s="118">
        <v>2029</v>
      </c>
      <c r="AY4" s="119">
        <v>2030</v>
      </c>
      <c r="AZ4" s="118">
        <v>2031</v>
      </c>
      <c r="BA4" s="118">
        <v>2032</v>
      </c>
      <c r="BB4" s="118">
        <v>2033</v>
      </c>
      <c r="BC4" s="118">
        <v>2034</v>
      </c>
      <c r="BD4" s="119">
        <v>2035</v>
      </c>
      <c r="BE4" s="118">
        <v>2036</v>
      </c>
      <c r="BF4" s="118">
        <v>2037</v>
      </c>
      <c r="BG4" s="118">
        <v>2038</v>
      </c>
      <c r="BH4" s="118">
        <v>2039</v>
      </c>
      <c r="BI4" s="119">
        <v>2040</v>
      </c>
      <c r="BJ4" s="118">
        <v>2041</v>
      </c>
      <c r="BK4" s="118">
        <v>2042</v>
      </c>
      <c r="BL4" s="118">
        <v>2043</v>
      </c>
      <c r="BM4" s="118">
        <v>2044</v>
      </c>
      <c r="BN4" s="119">
        <v>2045</v>
      </c>
      <c r="BO4" s="118">
        <v>2046</v>
      </c>
      <c r="BP4" s="118">
        <v>2047</v>
      </c>
      <c r="BQ4" s="118">
        <v>2048</v>
      </c>
      <c r="BR4" s="118">
        <v>2049</v>
      </c>
      <c r="BS4" s="119">
        <v>2050</v>
      </c>
      <c r="BT4" s="120"/>
      <c r="BU4" s="15" t="s">
        <v>3</v>
      </c>
    </row>
    <row r="5" spans="2:73" s="10" customFormat="1" ht="18" customHeight="1" x14ac:dyDescent="0.2">
      <c r="B5" s="145">
        <v>1</v>
      </c>
      <c r="C5" s="145">
        <v>1</v>
      </c>
      <c r="D5" s="146" t="s">
        <v>450</v>
      </c>
      <c r="E5" s="147" t="s">
        <v>5</v>
      </c>
      <c r="F5" s="148" t="s">
        <v>384</v>
      </c>
      <c r="G5" s="216"/>
      <c r="H5" s="217" t="s">
        <v>912</v>
      </c>
      <c r="I5" s="218">
        <v>1</v>
      </c>
      <c r="J5" s="219">
        <v>1</v>
      </c>
      <c r="L5" s="106"/>
      <c r="M5" s="107" t="str">
        <f t="shared" ref="M5:M36" si="0">H5</f>
        <v>_</v>
      </c>
      <c r="N5" s="107">
        <f>'Project types'!$W$6</f>
        <v>2050</v>
      </c>
      <c r="O5" s="108">
        <f>IF(G5=1,(H5-1)+'Project types'!N6,IF(G5=2,H5-1,9999))</f>
        <v>9999</v>
      </c>
      <c r="P5" s="9">
        <f>_xlfn.IFS(AND(AND($P$4&gt;=$H5,$P$4&lt;=$O5)),2,AND(AND($P$4&gt;=$M5,$P$4&lt;=$N5)),1,AND(OR($P$4&lt;$M5,$P$4&gt;$N5)),0)</f>
        <v>0</v>
      </c>
      <c r="Q5" s="9">
        <f t="shared" ref="Q5:Q16" si="1">_xlfn.IFS(AND(AND($Q$4&gt;=$H5,$Q$4&lt;=$O5)),2,AND(AND($Q$4&gt;=$M5,$Q$4&lt;=$N5)),1,AND(OR($Q$4&lt;$M5,$Q$4&gt;$N5)),0)</f>
        <v>0</v>
      </c>
      <c r="R5" s="9">
        <f t="shared" ref="R5:R16" si="2">_xlfn.IFS(AND(AND($R$4&gt;=$H5,$R$4&lt;=$O5)),2,AND(AND($R$4&gt;=$M5,$R$4&lt;=$N5)),1,AND(OR($R$4&lt;$M5,$R$4&gt;$N5)),0)</f>
        <v>0</v>
      </c>
      <c r="S5" s="9">
        <f t="shared" ref="S5:S16" si="3">_xlfn.IFS(AND(AND($S$4&gt;=$H5,$S$4&lt;=$O5)),2,AND(AND($S$4&gt;=$M5,$S$4&lt;=$N5)),1,AND(OR($S$4&lt;$M5,$S$4&gt;$N5)),0)</f>
        <v>0</v>
      </c>
      <c r="T5" s="9">
        <f t="shared" ref="T5:T16" si="4">_xlfn.IFS(AND(AND($T$4&gt;=$H5,$T$4&lt;=$O5)),2,AND(AND($T$4&gt;=$M5,$T$4&lt;=$N5)),1,AND(OR($T$4&lt;$M5,$T$4&gt;$N5)),0)</f>
        <v>0</v>
      </c>
      <c r="U5" s="9">
        <f t="shared" ref="U5:U16" si="5">_xlfn.IFS(AND(AND($U$4&gt;=$H5,$U$4&lt;=$O5)),2,AND(AND($U$4&gt;=$M5,$U$4&lt;=$N5)),1,AND(OR($U$4&lt;$M5,$U$4&gt;$N5)),0)</f>
        <v>0</v>
      </c>
      <c r="V5" s="9">
        <f t="shared" ref="V5:V16" si="6">_xlfn.IFS(AND(AND($V$4&gt;=$H5,$V$4&lt;=$O5)),2,AND(AND($V$4&gt;=$M5,$V$4&lt;=$N5)),1,AND(OR($V$4&lt;$M5,$V$4&gt;$N5)),0)</f>
        <v>0</v>
      </c>
      <c r="W5" s="9">
        <f t="shared" ref="W5:W16" si="7">_xlfn.IFS(AND(AND($W$4&gt;=$H5,$W$4&lt;=$O5)),2,AND(AND($W$4&gt;=$M5,$W$4&lt;=$N5)),1,AND(OR($W$4&lt;$M5,$W$4&gt;$N5)),0)</f>
        <v>0</v>
      </c>
      <c r="X5" s="9">
        <f t="shared" ref="X5:X16" si="8">_xlfn.IFS(AND(AND($X$4&gt;=$H5,$X$4&lt;=$O5)),2,AND(AND($X$4&gt;=$M5,$X$4&lt;=$N5)),1,AND(OR($X$4&lt;$M5,$X$4&gt;$N5)),0)</f>
        <v>0</v>
      </c>
      <c r="Y5" s="9">
        <f t="shared" ref="Y5:Y16" si="9">_xlfn.IFS(AND(AND($Y$4&gt;=$H5,$Y$4&lt;=$O5)),2,AND(AND($Y$4&gt;=$M5,$Y$4&lt;=$N5)),1,AND(OR($Y$4&lt;$M5,$Y$4&gt;$N5)),0)</f>
        <v>0</v>
      </c>
      <c r="Z5" s="9">
        <f t="shared" ref="Z5:Z16" si="10">_xlfn.IFS(AND(AND($Z$4&gt;=$H5,$Z$4&lt;=$O5)),2,AND(AND($Z$4&gt;=$M5,$Z$4&lt;=$N5)),1,AND(OR($Z$4&lt;$M5,$Z$4&gt;$N5)),0)</f>
        <v>0</v>
      </c>
      <c r="AA5" s="9">
        <f t="shared" ref="AA5:AA16" si="11">_xlfn.IFS(AND(AND($AA$4&gt;=$H5,$AA$4&lt;=$O5)),2,AND(AND($AA$4&gt;=$M5,$AA$4&lt;=$N5)),1,AND(OR($AA$4&lt;$M5,$AA$4&gt;$N5)),0)</f>
        <v>0</v>
      </c>
      <c r="AB5" s="9">
        <f t="shared" ref="AB5:AB16" si="12">_xlfn.IFS(AND(AND($AB$4&gt;=$H5,$AB$4&lt;=$O5)),2,AND(AND($AB$4&gt;=$M5,$AB$4&lt;=$N5)),1,AND(OR($AB$4&lt;$M5,$AB$4&gt;$N5)),0)</f>
        <v>0</v>
      </c>
      <c r="AC5" s="9">
        <f t="shared" ref="AC5:AC16" si="13">_xlfn.IFS(AND(AND($AC$4&gt;=$H5,$AC$4&lt;=$O5)),2,AND(AND($AC$4&gt;=$M5,$AC$4&lt;=$N5)),1,AND(OR($AC$4&lt;$M5,$AC$4&gt;$N5)),0)</f>
        <v>0</v>
      </c>
      <c r="AD5" s="9">
        <f t="shared" ref="AD5:AD16" si="14">_xlfn.IFS(AND(AND($AD$4&gt;=$H5,$AD$4&lt;=$O5)),2,AND(AND($AD$4&gt;=$M5,$AD$4&lt;=$N5)),1,AND(OR($AD$4&lt;$M5,$AD$4&gt;$N5)),0)</f>
        <v>0</v>
      </c>
      <c r="AE5" s="9">
        <f t="shared" ref="AE5:AE16" si="15">_xlfn.IFS(AND(AND($AE$4&gt;=$H5,$AE$4&lt;=$O5)),2,AND(AND($AE$4&gt;=$M5,$AE$4&lt;=$N5)),1,AND(OR($AE$4&lt;$M5,$AE$4&gt;$N5)),0)</f>
        <v>0</v>
      </c>
      <c r="AF5" s="9">
        <f t="shared" ref="AF5:AF16" si="16">_xlfn.IFS(AND(AND($AF$4&gt;=$H5,$AF$4&lt;=$O5)),2,AND(AND($AF$4&gt;=$M5,$AF$4&lt;=$N5)),1,AND(OR($AF$4&lt;$M5,$AF$4&gt;$N5)),0)</f>
        <v>0</v>
      </c>
      <c r="AG5" s="9">
        <f t="shared" ref="AG5:AG16" si="17">_xlfn.IFS(AND(AND($AG$4&gt;=$H5,$AG$4&lt;=$O5)),2,AND(AND($AG$4&gt;=$M5,$AG$4&lt;=$N5)),1,AND(OR($AG$4&lt;$M5,$AG$4&gt;$N5)),0)</f>
        <v>0</v>
      </c>
      <c r="AH5" s="9">
        <f t="shared" ref="AH5:AH16" si="18">_xlfn.IFS(AND(AND($AH$4&gt;=$H5,$AH$4&lt;=$O5)),2,AND(AND($AH$4&gt;=$M5,$AH$4&lt;=$N5)),1,AND(OR($AH$4&lt;$M5,$AH$4&gt;$N5)),0)</f>
        <v>0</v>
      </c>
      <c r="AI5" s="9">
        <f t="shared" ref="AI5:AI16" si="19">_xlfn.IFS(AND(AND($AI$4&gt;=$H5,$AI$4&lt;=$O5)),2,AND(AND($AI$4&gt;=$M5,$AI$4&lt;=$N5)),1,AND(OR($AI$4&lt;$M5,$AI$4&gt;$N5)),0)</f>
        <v>0</v>
      </c>
      <c r="AJ5" s="9">
        <f t="shared" ref="AJ5:AJ16" si="20">_xlfn.IFS(AND(AND($AJ$4&gt;=$H5,$AJ$4&lt;=$O5)),2,AND(AND($AJ$4&gt;=$M5,$AJ$4&lt;=$N5)),1,AND(OR($AJ$4&lt;$M5,$AJ$4&gt;$N5)),0)</f>
        <v>0</v>
      </c>
      <c r="AK5" s="9">
        <f t="shared" ref="AK5:AK16" si="21">_xlfn.IFS(AND(AND($AK$4&gt;=$H5,$AK$4&lt;=$O5)),2,AND(AND($AK$4&gt;=$M5,$AK$4&lt;=$N5)),1,AND(OR($AK$4&lt;$M5,$AK$4&gt;$N5)),0)</f>
        <v>0</v>
      </c>
      <c r="AL5" s="9">
        <f t="shared" ref="AL5:AL16" si="22">_xlfn.IFS(AND(AND($AL$4&gt;=$H5,$AL$4&lt;=$O5)),2,AND(AND($AL$4&gt;=$M5,$AL$4&lt;=$N5)),1,AND(OR($AL$4&lt;$M5,$AL$4&gt;$N5)),0)</f>
        <v>0</v>
      </c>
      <c r="AM5" s="9">
        <f t="shared" ref="AM5:AM16" si="23">_xlfn.IFS(AND(AND($AM$4&gt;=$H5,$AM$4&lt;=$O5)),2,AND(AND($AM$4&gt;=$M5,$AM$4&lt;=$N5)),1,AND(OR($AM$4&lt;$M5,$AM$4&gt;$N5)),0)</f>
        <v>0</v>
      </c>
      <c r="AN5" s="9">
        <f t="shared" ref="AN5:AN16" si="24">_xlfn.IFS(AND(AND($AN$4&gt;=$H5,$AN$4&lt;=$O5)),2,AND(AND($AN$4&gt;=$M5,$AN$4&lt;=$N5)),1,AND(OR($AN$4&lt;$M5,$AN$4&gt;$N5)),0)</f>
        <v>0</v>
      </c>
      <c r="AO5" s="10">
        <f t="shared" ref="AO5:AO16" si="25">_xlfn.IFS(AND(AND($AO$4&gt;=$H5,$AO$4&lt;=$O5)),2,AND(AND($AO$4&gt;=$M5,$AO$4&lt;=$N5)),1,AND(OR($AO$4&lt;$M5,$AO$4&gt;$N5)),0)</f>
        <v>0</v>
      </c>
      <c r="AQ5" s="109">
        <v>1</v>
      </c>
      <c r="AR5" s="9" t="s">
        <v>5</v>
      </c>
      <c r="AT5" s="121"/>
      <c r="AU5" s="122"/>
      <c r="AV5" s="123"/>
      <c r="AW5" s="123"/>
      <c r="AX5" s="123"/>
      <c r="AY5" s="121"/>
      <c r="AZ5" s="122"/>
      <c r="BA5" s="123"/>
      <c r="BB5" s="123"/>
      <c r="BC5" s="123"/>
      <c r="BD5" s="121"/>
      <c r="BE5" s="122"/>
      <c r="BF5" s="123"/>
      <c r="BG5" s="123"/>
      <c r="BH5" s="123"/>
      <c r="BI5" s="121"/>
      <c r="BJ5" s="124"/>
      <c r="BK5" s="123"/>
      <c r="BL5" s="123"/>
      <c r="BM5" s="123"/>
      <c r="BN5" s="121"/>
      <c r="BO5" s="124"/>
      <c r="BP5" s="123"/>
      <c r="BQ5" s="123"/>
      <c r="BR5" s="123"/>
      <c r="BS5" s="121"/>
      <c r="BU5" s="10" t="e">
        <f>#REF!</f>
        <v>#REF!</v>
      </c>
    </row>
    <row r="6" spans="2:73" s="10" customFormat="1" ht="18" customHeight="1" x14ac:dyDescent="0.2">
      <c r="B6" s="149">
        <v>2</v>
      </c>
      <c r="C6" s="149">
        <v>1</v>
      </c>
      <c r="D6" s="150" t="s">
        <v>450</v>
      </c>
      <c r="E6" s="151" t="s">
        <v>6</v>
      </c>
      <c r="F6" s="152" t="s">
        <v>385</v>
      </c>
      <c r="G6" s="216"/>
      <c r="H6" s="217" t="s">
        <v>912</v>
      </c>
      <c r="I6" s="218">
        <v>1</v>
      </c>
      <c r="J6" s="219">
        <v>1</v>
      </c>
      <c r="L6" s="110"/>
      <c r="M6" s="107" t="str">
        <f t="shared" si="0"/>
        <v>_</v>
      </c>
      <c r="N6" s="107">
        <f>'Project types'!$W$6</f>
        <v>2050</v>
      </c>
      <c r="O6" s="108">
        <f>IF(G6=1,(H6-1)+'Project types'!N7,IF(G6=2,H6-1,9999))</f>
        <v>9999</v>
      </c>
      <c r="P6" s="9">
        <f t="shared" ref="P6:P16" si="26">_xlfn.IFS(AND(AND($P$4&gt;=$H6,$P$4&lt;=$O6)),2,AND(AND($P$4&gt;=$M6,$P$4&lt;=$N6)),1,AND(OR($P$4&lt;$M6,$P$4&gt;$N6)),0)</f>
        <v>0</v>
      </c>
      <c r="Q6" s="9">
        <f t="shared" si="1"/>
        <v>0</v>
      </c>
      <c r="R6" s="9">
        <f t="shared" si="2"/>
        <v>0</v>
      </c>
      <c r="S6" s="9">
        <f t="shared" si="3"/>
        <v>0</v>
      </c>
      <c r="T6" s="9">
        <f t="shared" si="4"/>
        <v>0</v>
      </c>
      <c r="U6" s="9">
        <f t="shared" si="5"/>
        <v>0</v>
      </c>
      <c r="V6" s="9">
        <f t="shared" si="6"/>
        <v>0</v>
      </c>
      <c r="W6" s="9">
        <f t="shared" si="7"/>
        <v>0</v>
      </c>
      <c r="X6" s="9">
        <f t="shared" si="8"/>
        <v>0</v>
      </c>
      <c r="Y6" s="9">
        <f t="shared" si="9"/>
        <v>0</v>
      </c>
      <c r="Z6" s="9">
        <f t="shared" si="10"/>
        <v>0</v>
      </c>
      <c r="AA6" s="9">
        <f t="shared" si="11"/>
        <v>0</v>
      </c>
      <c r="AB6" s="9">
        <f t="shared" si="12"/>
        <v>0</v>
      </c>
      <c r="AC6" s="9">
        <f t="shared" si="13"/>
        <v>0</v>
      </c>
      <c r="AD6" s="9">
        <f t="shared" si="14"/>
        <v>0</v>
      </c>
      <c r="AE6" s="9">
        <f t="shared" si="15"/>
        <v>0</v>
      </c>
      <c r="AF6" s="9">
        <f t="shared" si="16"/>
        <v>0</v>
      </c>
      <c r="AG6" s="9">
        <f t="shared" si="17"/>
        <v>0</v>
      </c>
      <c r="AH6" s="9">
        <f t="shared" si="18"/>
        <v>0</v>
      </c>
      <c r="AI6" s="9">
        <f t="shared" si="19"/>
        <v>0</v>
      </c>
      <c r="AJ6" s="9">
        <f t="shared" si="20"/>
        <v>0</v>
      </c>
      <c r="AK6" s="9">
        <f t="shared" si="21"/>
        <v>0</v>
      </c>
      <c r="AL6" s="9">
        <f t="shared" si="22"/>
        <v>0</v>
      </c>
      <c r="AM6" s="9">
        <f t="shared" si="23"/>
        <v>0</v>
      </c>
      <c r="AN6" s="9">
        <f t="shared" si="24"/>
        <v>0</v>
      </c>
      <c r="AO6" s="10">
        <f t="shared" si="25"/>
        <v>0</v>
      </c>
      <c r="AQ6" s="109">
        <v>1</v>
      </c>
      <c r="AR6" s="9" t="s">
        <v>6</v>
      </c>
      <c r="AT6" s="125"/>
      <c r="AU6" s="126"/>
      <c r="AV6" s="127"/>
      <c r="AW6" s="127"/>
      <c r="AX6" s="127"/>
      <c r="AY6" s="125"/>
      <c r="AZ6" s="126"/>
      <c r="BA6" s="127"/>
      <c r="BB6" s="127"/>
      <c r="BC6" s="127"/>
      <c r="BD6" s="125"/>
      <c r="BE6" s="126"/>
      <c r="BF6" s="127"/>
      <c r="BG6" s="127"/>
      <c r="BH6" s="127"/>
      <c r="BI6" s="125"/>
      <c r="BJ6" s="128"/>
      <c r="BK6" s="127"/>
      <c r="BL6" s="127"/>
      <c r="BM6" s="127"/>
      <c r="BN6" s="125"/>
      <c r="BO6" s="128"/>
      <c r="BP6" s="127"/>
      <c r="BQ6" s="127"/>
      <c r="BR6" s="127"/>
      <c r="BS6" s="125"/>
      <c r="BU6" s="10" t="e">
        <f>#REF!</f>
        <v>#REF!</v>
      </c>
    </row>
    <row r="7" spans="2:73" s="10" customFormat="1" ht="18" customHeight="1" x14ac:dyDescent="0.2">
      <c r="B7" s="149">
        <v>3</v>
      </c>
      <c r="C7" s="149">
        <v>1</v>
      </c>
      <c r="D7" s="150" t="s">
        <v>450</v>
      </c>
      <c r="E7" s="151" t="s">
        <v>7</v>
      </c>
      <c r="F7" s="152" t="s">
        <v>386</v>
      </c>
      <c r="G7" s="216"/>
      <c r="H7" s="217" t="s">
        <v>912</v>
      </c>
      <c r="I7" s="218">
        <v>1</v>
      </c>
      <c r="J7" s="219">
        <v>1</v>
      </c>
      <c r="L7" s="110"/>
      <c r="M7" s="107" t="str">
        <f t="shared" si="0"/>
        <v>_</v>
      </c>
      <c r="N7" s="107">
        <f>'Project types'!$W$6</f>
        <v>2050</v>
      </c>
      <c r="O7" s="108">
        <f>IF(G7=1,(H7-1)+'Project types'!N8,IF(G7=2,H7-1,9999))</f>
        <v>9999</v>
      </c>
      <c r="P7" s="9">
        <f t="shared" si="26"/>
        <v>0</v>
      </c>
      <c r="Q7" s="9">
        <f t="shared" si="1"/>
        <v>0</v>
      </c>
      <c r="R7" s="9">
        <f t="shared" si="2"/>
        <v>0</v>
      </c>
      <c r="S7" s="9">
        <f t="shared" si="3"/>
        <v>0</v>
      </c>
      <c r="T7" s="9">
        <f t="shared" si="4"/>
        <v>0</v>
      </c>
      <c r="U7" s="9">
        <f t="shared" si="5"/>
        <v>0</v>
      </c>
      <c r="V7" s="9">
        <f t="shared" si="6"/>
        <v>0</v>
      </c>
      <c r="W7" s="9">
        <f t="shared" si="7"/>
        <v>0</v>
      </c>
      <c r="X7" s="9">
        <f t="shared" si="8"/>
        <v>0</v>
      </c>
      <c r="Y7" s="9">
        <f t="shared" si="9"/>
        <v>0</v>
      </c>
      <c r="Z7" s="9">
        <f t="shared" si="10"/>
        <v>0</v>
      </c>
      <c r="AA7" s="9">
        <f t="shared" si="11"/>
        <v>0</v>
      </c>
      <c r="AB7" s="9">
        <f t="shared" si="12"/>
        <v>0</v>
      </c>
      <c r="AC7" s="9">
        <f t="shared" si="13"/>
        <v>0</v>
      </c>
      <c r="AD7" s="9">
        <f t="shared" si="14"/>
        <v>0</v>
      </c>
      <c r="AE7" s="9">
        <f t="shared" si="15"/>
        <v>0</v>
      </c>
      <c r="AF7" s="9">
        <f t="shared" si="16"/>
        <v>0</v>
      </c>
      <c r="AG7" s="9">
        <f t="shared" si="17"/>
        <v>0</v>
      </c>
      <c r="AH7" s="9">
        <f t="shared" si="18"/>
        <v>0</v>
      </c>
      <c r="AI7" s="9">
        <f t="shared" si="19"/>
        <v>0</v>
      </c>
      <c r="AJ7" s="9">
        <f t="shared" si="20"/>
        <v>0</v>
      </c>
      <c r="AK7" s="9">
        <f t="shared" si="21"/>
        <v>0</v>
      </c>
      <c r="AL7" s="9">
        <f t="shared" si="22"/>
        <v>0</v>
      </c>
      <c r="AM7" s="9">
        <f t="shared" si="23"/>
        <v>0</v>
      </c>
      <c r="AN7" s="9">
        <f t="shared" si="24"/>
        <v>0</v>
      </c>
      <c r="AO7" s="10">
        <f t="shared" si="25"/>
        <v>0</v>
      </c>
      <c r="AQ7" s="109">
        <v>1</v>
      </c>
      <c r="AR7" s="9" t="s">
        <v>7</v>
      </c>
      <c r="AT7" s="125"/>
      <c r="AU7" s="126"/>
      <c r="AV7" s="127"/>
      <c r="AW7" s="127"/>
      <c r="AX7" s="127"/>
      <c r="AY7" s="125"/>
      <c r="AZ7" s="126"/>
      <c r="BA7" s="127"/>
      <c r="BB7" s="127"/>
      <c r="BC7" s="127"/>
      <c r="BD7" s="125"/>
      <c r="BE7" s="126"/>
      <c r="BF7" s="127"/>
      <c r="BG7" s="127"/>
      <c r="BH7" s="127"/>
      <c r="BI7" s="125"/>
      <c r="BJ7" s="128"/>
      <c r="BK7" s="127"/>
      <c r="BL7" s="127"/>
      <c r="BM7" s="127"/>
      <c r="BN7" s="125"/>
      <c r="BO7" s="128"/>
      <c r="BP7" s="127"/>
      <c r="BQ7" s="127"/>
      <c r="BR7" s="127"/>
      <c r="BS7" s="125"/>
      <c r="BU7" s="10" t="e">
        <f>#REF!</f>
        <v>#REF!</v>
      </c>
    </row>
    <row r="8" spans="2:73" s="10" customFormat="1" ht="18" customHeight="1" x14ac:dyDescent="0.2">
      <c r="B8" s="149">
        <v>4</v>
      </c>
      <c r="C8" s="149">
        <v>1</v>
      </c>
      <c r="D8" s="150" t="s">
        <v>450</v>
      </c>
      <c r="E8" s="151" t="s">
        <v>8</v>
      </c>
      <c r="F8" s="152" t="s">
        <v>110</v>
      </c>
      <c r="G8" s="216"/>
      <c r="H8" s="217" t="s">
        <v>912</v>
      </c>
      <c r="I8" s="218">
        <v>1</v>
      </c>
      <c r="J8" s="219">
        <v>1</v>
      </c>
      <c r="L8" s="111"/>
      <c r="M8" s="107" t="str">
        <f t="shared" si="0"/>
        <v>_</v>
      </c>
      <c r="N8" s="107">
        <f>'Project types'!$W$6</f>
        <v>2050</v>
      </c>
      <c r="O8" s="108">
        <f>IF(G8=1,(H8-1)+'Project types'!N9,IF(G8=2,H8-1,9999))</f>
        <v>9999</v>
      </c>
      <c r="P8" s="9">
        <f t="shared" si="26"/>
        <v>0</v>
      </c>
      <c r="Q8" s="9">
        <f t="shared" si="1"/>
        <v>0</v>
      </c>
      <c r="R8" s="9">
        <f t="shared" si="2"/>
        <v>0</v>
      </c>
      <c r="S8" s="9">
        <f t="shared" si="3"/>
        <v>0</v>
      </c>
      <c r="T8" s="9">
        <f t="shared" si="4"/>
        <v>0</v>
      </c>
      <c r="U8" s="9">
        <f t="shared" si="5"/>
        <v>0</v>
      </c>
      <c r="V8" s="9">
        <f t="shared" si="6"/>
        <v>0</v>
      </c>
      <c r="W8" s="9">
        <f t="shared" si="7"/>
        <v>0</v>
      </c>
      <c r="X8" s="9">
        <f t="shared" si="8"/>
        <v>0</v>
      </c>
      <c r="Y8" s="9">
        <f t="shared" si="9"/>
        <v>0</v>
      </c>
      <c r="Z8" s="9">
        <f t="shared" si="10"/>
        <v>0</v>
      </c>
      <c r="AA8" s="9">
        <f t="shared" si="11"/>
        <v>0</v>
      </c>
      <c r="AB8" s="9">
        <f t="shared" si="12"/>
        <v>0</v>
      </c>
      <c r="AC8" s="9">
        <f t="shared" si="13"/>
        <v>0</v>
      </c>
      <c r="AD8" s="9">
        <f t="shared" si="14"/>
        <v>0</v>
      </c>
      <c r="AE8" s="9">
        <f t="shared" si="15"/>
        <v>0</v>
      </c>
      <c r="AF8" s="9">
        <f t="shared" si="16"/>
        <v>0</v>
      </c>
      <c r="AG8" s="9">
        <f t="shared" si="17"/>
        <v>0</v>
      </c>
      <c r="AH8" s="9">
        <f t="shared" si="18"/>
        <v>0</v>
      </c>
      <c r="AI8" s="9">
        <f t="shared" si="19"/>
        <v>0</v>
      </c>
      <c r="AJ8" s="9">
        <f t="shared" si="20"/>
        <v>0</v>
      </c>
      <c r="AK8" s="9">
        <f t="shared" si="21"/>
        <v>0</v>
      </c>
      <c r="AL8" s="9">
        <f t="shared" si="22"/>
        <v>0</v>
      </c>
      <c r="AM8" s="9">
        <f t="shared" si="23"/>
        <v>0</v>
      </c>
      <c r="AN8" s="9">
        <f t="shared" si="24"/>
        <v>0</v>
      </c>
      <c r="AO8" s="10">
        <f t="shared" si="25"/>
        <v>0</v>
      </c>
      <c r="AQ8" s="109">
        <v>1</v>
      </c>
      <c r="AR8" s="9" t="s">
        <v>8</v>
      </c>
      <c r="AT8" s="125"/>
      <c r="AU8" s="126"/>
      <c r="AV8" s="127"/>
      <c r="AW8" s="127"/>
      <c r="AX8" s="127"/>
      <c r="AY8" s="125"/>
      <c r="AZ8" s="126"/>
      <c r="BA8" s="127"/>
      <c r="BB8" s="127"/>
      <c r="BC8" s="127"/>
      <c r="BD8" s="125"/>
      <c r="BE8" s="126"/>
      <c r="BF8" s="127"/>
      <c r="BG8" s="127"/>
      <c r="BH8" s="127"/>
      <c r="BI8" s="125"/>
      <c r="BJ8" s="128"/>
      <c r="BK8" s="127"/>
      <c r="BL8" s="127"/>
      <c r="BM8" s="127"/>
      <c r="BN8" s="125"/>
      <c r="BO8" s="128"/>
      <c r="BP8" s="127"/>
      <c r="BQ8" s="127"/>
      <c r="BR8" s="127"/>
      <c r="BS8" s="125"/>
      <c r="BU8" s="10" t="e">
        <f>#REF!</f>
        <v>#REF!</v>
      </c>
    </row>
    <row r="9" spans="2:73" s="10" customFormat="1" ht="18" customHeight="1" x14ac:dyDescent="0.2">
      <c r="B9" s="149">
        <v>5</v>
      </c>
      <c r="C9" s="149">
        <v>1</v>
      </c>
      <c r="D9" s="150" t="s">
        <v>450</v>
      </c>
      <c r="E9" s="151" t="s">
        <v>9</v>
      </c>
      <c r="F9" s="152" t="s">
        <v>111</v>
      </c>
      <c r="G9" s="216"/>
      <c r="H9" s="217" t="s">
        <v>912</v>
      </c>
      <c r="I9" s="218">
        <v>1</v>
      </c>
      <c r="J9" s="219">
        <v>1</v>
      </c>
      <c r="L9" s="111"/>
      <c r="M9" s="107" t="str">
        <f t="shared" si="0"/>
        <v>_</v>
      </c>
      <c r="N9" s="107">
        <f>'Project types'!$W$6</f>
        <v>2050</v>
      </c>
      <c r="O9" s="108">
        <f>IF(G9=1,(H9-1)+'Project types'!N10,IF(G9=2,H9-1,9999))</f>
        <v>9999</v>
      </c>
      <c r="P9" s="9">
        <f t="shared" si="26"/>
        <v>0</v>
      </c>
      <c r="Q9" s="9">
        <f t="shared" si="1"/>
        <v>0</v>
      </c>
      <c r="R9" s="9">
        <f t="shared" si="2"/>
        <v>0</v>
      </c>
      <c r="S9" s="9">
        <f t="shared" si="3"/>
        <v>0</v>
      </c>
      <c r="T9" s="9">
        <f t="shared" si="4"/>
        <v>0</v>
      </c>
      <c r="U9" s="9">
        <f t="shared" si="5"/>
        <v>0</v>
      </c>
      <c r="V9" s="9">
        <f t="shared" si="6"/>
        <v>0</v>
      </c>
      <c r="W9" s="9">
        <f t="shared" si="7"/>
        <v>0</v>
      </c>
      <c r="X9" s="9">
        <f t="shared" si="8"/>
        <v>0</v>
      </c>
      <c r="Y9" s="9">
        <f t="shared" si="9"/>
        <v>0</v>
      </c>
      <c r="Z9" s="9">
        <f t="shared" si="10"/>
        <v>0</v>
      </c>
      <c r="AA9" s="9">
        <f t="shared" si="11"/>
        <v>0</v>
      </c>
      <c r="AB9" s="9">
        <f t="shared" si="12"/>
        <v>0</v>
      </c>
      <c r="AC9" s="9">
        <f t="shared" si="13"/>
        <v>0</v>
      </c>
      <c r="AD9" s="9">
        <f t="shared" si="14"/>
        <v>0</v>
      </c>
      <c r="AE9" s="9">
        <f t="shared" si="15"/>
        <v>0</v>
      </c>
      <c r="AF9" s="9">
        <f t="shared" si="16"/>
        <v>0</v>
      </c>
      <c r="AG9" s="9">
        <f t="shared" si="17"/>
        <v>0</v>
      </c>
      <c r="AH9" s="9">
        <f t="shared" si="18"/>
        <v>0</v>
      </c>
      <c r="AI9" s="9">
        <f t="shared" si="19"/>
        <v>0</v>
      </c>
      <c r="AJ9" s="9">
        <f t="shared" si="20"/>
        <v>0</v>
      </c>
      <c r="AK9" s="9">
        <f t="shared" si="21"/>
        <v>0</v>
      </c>
      <c r="AL9" s="9">
        <f t="shared" si="22"/>
        <v>0</v>
      </c>
      <c r="AM9" s="9">
        <f t="shared" si="23"/>
        <v>0</v>
      </c>
      <c r="AN9" s="9">
        <f t="shared" si="24"/>
        <v>0</v>
      </c>
      <c r="AO9" s="10">
        <f t="shared" si="25"/>
        <v>0</v>
      </c>
      <c r="AQ9" s="109">
        <v>1</v>
      </c>
      <c r="AR9" s="9" t="s">
        <v>9</v>
      </c>
      <c r="AT9" s="125"/>
      <c r="AU9" s="126"/>
      <c r="AV9" s="127"/>
      <c r="AW9" s="127"/>
      <c r="AX9" s="127"/>
      <c r="AY9" s="125"/>
      <c r="AZ9" s="126"/>
      <c r="BA9" s="127"/>
      <c r="BB9" s="127"/>
      <c r="BC9" s="127"/>
      <c r="BD9" s="125"/>
      <c r="BE9" s="126"/>
      <c r="BF9" s="127"/>
      <c r="BG9" s="127"/>
      <c r="BH9" s="127"/>
      <c r="BI9" s="125"/>
      <c r="BJ9" s="128"/>
      <c r="BK9" s="127"/>
      <c r="BL9" s="127"/>
      <c r="BM9" s="127"/>
      <c r="BN9" s="125"/>
      <c r="BO9" s="128"/>
      <c r="BP9" s="127"/>
      <c r="BQ9" s="127"/>
      <c r="BR9" s="127"/>
      <c r="BS9" s="125"/>
      <c r="BU9" s="10" t="e">
        <f>#REF!</f>
        <v>#REF!</v>
      </c>
    </row>
    <row r="10" spans="2:73" s="10" customFormat="1" ht="18" customHeight="1" x14ac:dyDescent="0.2">
      <c r="B10" s="149">
        <v>6</v>
      </c>
      <c r="C10" s="149">
        <v>1</v>
      </c>
      <c r="D10" s="150" t="s">
        <v>450</v>
      </c>
      <c r="E10" s="151" t="s">
        <v>10</v>
      </c>
      <c r="F10" s="153" t="s">
        <v>112</v>
      </c>
      <c r="G10" s="216"/>
      <c r="H10" s="217" t="s">
        <v>912</v>
      </c>
      <c r="I10" s="218">
        <v>0.01</v>
      </c>
      <c r="J10" s="219">
        <v>1</v>
      </c>
      <c r="L10" s="111"/>
      <c r="M10" s="107" t="str">
        <f t="shared" si="0"/>
        <v>_</v>
      </c>
      <c r="N10" s="107">
        <f>'Project types'!$W$6</f>
        <v>2050</v>
      </c>
      <c r="O10" s="108">
        <f>IF(G10=1,(H10-1)+'Project types'!N11,IF(G10=2,H10-1,9999))</f>
        <v>9999</v>
      </c>
      <c r="P10" s="9">
        <f t="shared" si="26"/>
        <v>0</v>
      </c>
      <c r="Q10" s="9">
        <f t="shared" si="1"/>
        <v>0</v>
      </c>
      <c r="R10" s="9">
        <f t="shared" si="2"/>
        <v>0</v>
      </c>
      <c r="S10" s="9">
        <f t="shared" si="3"/>
        <v>0</v>
      </c>
      <c r="T10" s="9">
        <f t="shared" si="4"/>
        <v>0</v>
      </c>
      <c r="U10" s="9">
        <f t="shared" si="5"/>
        <v>0</v>
      </c>
      <c r="V10" s="9">
        <f t="shared" si="6"/>
        <v>0</v>
      </c>
      <c r="W10" s="9">
        <f t="shared" si="7"/>
        <v>0</v>
      </c>
      <c r="X10" s="9">
        <f t="shared" si="8"/>
        <v>0</v>
      </c>
      <c r="Y10" s="9">
        <f t="shared" si="9"/>
        <v>0</v>
      </c>
      <c r="Z10" s="9">
        <f t="shared" si="10"/>
        <v>0</v>
      </c>
      <c r="AA10" s="9">
        <f t="shared" si="11"/>
        <v>0</v>
      </c>
      <c r="AB10" s="9">
        <f t="shared" si="12"/>
        <v>0</v>
      </c>
      <c r="AC10" s="9">
        <f t="shared" si="13"/>
        <v>0</v>
      </c>
      <c r="AD10" s="9">
        <f t="shared" si="14"/>
        <v>0</v>
      </c>
      <c r="AE10" s="9">
        <f t="shared" si="15"/>
        <v>0</v>
      </c>
      <c r="AF10" s="9">
        <f t="shared" si="16"/>
        <v>0</v>
      </c>
      <c r="AG10" s="9">
        <f t="shared" si="17"/>
        <v>0</v>
      </c>
      <c r="AH10" s="9">
        <f t="shared" si="18"/>
        <v>0</v>
      </c>
      <c r="AI10" s="9">
        <f t="shared" si="19"/>
        <v>0</v>
      </c>
      <c r="AJ10" s="9">
        <f t="shared" si="20"/>
        <v>0</v>
      </c>
      <c r="AK10" s="9">
        <f t="shared" si="21"/>
        <v>0</v>
      </c>
      <c r="AL10" s="9">
        <f t="shared" si="22"/>
        <v>0</v>
      </c>
      <c r="AM10" s="9">
        <f t="shared" si="23"/>
        <v>0</v>
      </c>
      <c r="AN10" s="9">
        <f t="shared" si="24"/>
        <v>0</v>
      </c>
      <c r="AO10" s="10">
        <f t="shared" si="25"/>
        <v>0</v>
      </c>
      <c r="AQ10" s="109">
        <v>1</v>
      </c>
      <c r="AR10" s="9" t="s">
        <v>10</v>
      </c>
      <c r="AT10" s="125"/>
      <c r="AU10" s="126"/>
      <c r="AV10" s="127"/>
      <c r="AW10" s="127"/>
      <c r="AX10" s="127"/>
      <c r="AY10" s="125"/>
      <c r="AZ10" s="126"/>
      <c r="BA10" s="127"/>
      <c r="BB10" s="127"/>
      <c r="BC10" s="127"/>
      <c r="BD10" s="125"/>
      <c r="BE10" s="126"/>
      <c r="BF10" s="127"/>
      <c r="BG10" s="127"/>
      <c r="BH10" s="127"/>
      <c r="BI10" s="125"/>
      <c r="BJ10" s="128"/>
      <c r="BK10" s="127"/>
      <c r="BL10" s="127"/>
      <c r="BM10" s="127"/>
      <c r="BN10" s="125"/>
      <c r="BO10" s="128"/>
      <c r="BP10" s="127"/>
      <c r="BQ10" s="127"/>
      <c r="BR10" s="127"/>
      <c r="BS10" s="125"/>
      <c r="BU10" s="10" t="e">
        <f>#REF!</f>
        <v>#REF!</v>
      </c>
    </row>
    <row r="11" spans="2:73" s="10" customFormat="1" ht="18" customHeight="1" x14ac:dyDescent="0.2">
      <c r="B11" s="149">
        <v>7</v>
      </c>
      <c r="C11" s="149">
        <v>1</v>
      </c>
      <c r="D11" s="150" t="s">
        <v>450</v>
      </c>
      <c r="E11" s="151" t="s">
        <v>11</v>
      </c>
      <c r="F11" s="153" t="s">
        <v>113</v>
      </c>
      <c r="G11" s="216"/>
      <c r="H11" s="217" t="s">
        <v>912</v>
      </c>
      <c r="I11" s="218">
        <v>0.01</v>
      </c>
      <c r="J11" s="219">
        <v>1</v>
      </c>
      <c r="L11" s="111"/>
      <c r="M11" s="107" t="str">
        <f t="shared" si="0"/>
        <v>_</v>
      </c>
      <c r="N11" s="107">
        <f>'Project types'!$W$6</f>
        <v>2050</v>
      </c>
      <c r="O11" s="108">
        <f>IF(G11=1,(H11-1)+'Project types'!N12,IF(G11=2,H11-1,9999))</f>
        <v>9999</v>
      </c>
      <c r="P11" s="9">
        <f t="shared" si="26"/>
        <v>0</v>
      </c>
      <c r="Q11" s="9">
        <f t="shared" si="1"/>
        <v>0</v>
      </c>
      <c r="R11" s="9">
        <f t="shared" si="2"/>
        <v>0</v>
      </c>
      <c r="S11" s="9">
        <f t="shared" si="3"/>
        <v>0</v>
      </c>
      <c r="T11" s="9">
        <f t="shared" si="4"/>
        <v>0</v>
      </c>
      <c r="U11" s="9">
        <f t="shared" si="5"/>
        <v>0</v>
      </c>
      <c r="V11" s="9">
        <f t="shared" si="6"/>
        <v>0</v>
      </c>
      <c r="W11" s="9">
        <f t="shared" si="7"/>
        <v>0</v>
      </c>
      <c r="X11" s="9">
        <f t="shared" si="8"/>
        <v>0</v>
      </c>
      <c r="Y11" s="9">
        <f t="shared" si="9"/>
        <v>0</v>
      </c>
      <c r="Z11" s="9">
        <f t="shared" si="10"/>
        <v>0</v>
      </c>
      <c r="AA11" s="9">
        <f t="shared" si="11"/>
        <v>0</v>
      </c>
      <c r="AB11" s="9">
        <f t="shared" si="12"/>
        <v>0</v>
      </c>
      <c r="AC11" s="9">
        <f t="shared" si="13"/>
        <v>0</v>
      </c>
      <c r="AD11" s="9">
        <f t="shared" si="14"/>
        <v>0</v>
      </c>
      <c r="AE11" s="9">
        <f t="shared" si="15"/>
        <v>0</v>
      </c>
      <c r="AF11" s="9">
        <f t="shared" si="16"/>
        <v>0</v>
      </c>
      <c r="AG11" s="9">
        <f t="shared" si="17"/>
        <v>0</v>
      </c>
      <c r="AH11" s="9">
        <f t="shared" si="18"/>
        <v>0</v>
      </c>
      <c r="AI11" s="9">
        <f t="shared" si="19"/>
        <v>0</v>
      </c>
      <c r="AJ11" s="9">
        <f t="shared" si="20"/>
        <v>0</v>
      </c>
      <c r="AK11" s="9">
        <f t="shared" si="21"/>
        <v>0</v>
      </c>
      <c r="AL11" s="9">
        <f t="shared" si="22"/>
        <v>0</v>
      </c>
      <c r="AM11" s="9">
        <f t="shared" si="23"/>
        <v>0</v>
      </c>
      <c r="AN11" s="9">
        <f t="shared" si="24"/>
        <v>0</v>
      </c>
      <c r="AO11" s="10">
        <f t="shared" si="25"/>
        <v>0</v>
      </c>
      <c r="AQ11" s="109">
        <v>1</v>
      </c>
      <c r="AR11" s="9" t="s">
        <v>11</v>
      </c>
      <c r="AT11" s="125"/>
      <c r="AU11" s="126"/>
      <c r="AV11" s="127"/>
      <c r="AW11" s="127"/>
      <c r="AX11" s="127"/>
      <c r="AY11" s="125"/>
      <c r="AZ11" s="126"/>
      <c r="BA11" s="127"/>
      <c r="BB11" s="127"/>
      <c r="BC11" s="127"/>
      <c r="BD11" s="125"/>
      <c r="BE11" s="126"/>
      <c r="BF11" s="127"/>
      <c r="BG11" s="127"/>
      <c r="BH11" s="127"/>
      <c r="BI11" s="125"/>
      <c r="BJ11" s="128"/>
      <c r="BK11" s="127"/>
      <c r="BL11" s="127"/>
      <c r="BM11" s="127"/>
      <c r="BN11" s="125"/>
      <c r="BO11" s="128"/>
      <c r="BP11" s="127"/>
      <c r="BQ11" s="127"/>
      <c r="BR11" s="127"/>
      <c r="BS11" s="125"/>
      <c r="BU11" s="10" t="e">
        <f>#REF!</f>
        <v>#REF!</v>
      </c>
    </row>
    <row r="12" spans="2:73" s="10" customFormat="1" ht="18" customHeight="1" x14ac:dyDescent="0.2">
      <c r="B12" s="149">
        <v>8</v>
      </c>
      <c r="C12" s="149">
        <v>1</v>
      </c>
      <c r="D12" s="150" t="s">
        <v>450</v>
      </c>
      <c r="E12" s="151" t="s">
        <v>12</v>
      </c>
      <c r="F12" s="153" t="s">
        <v>114</v>
      </c>
      <c r="G12" s="216"/>
      <c r="H12" s="217" t="s">
        <v>912</v>
      </c>
      <c r="I12" s="218">
        <v>0.01</v>
      </c>
      <c r="J12" s="219">
        <v>1</v>
      </c>
      <c r="L12" s="111"/>
      <c r="M12" s="107" t="str">
        <f t="shared" si="0"/>
        <v>_</v>
      </c>
      <c r="N12" s="107">
        <f>'Project types'!$W$6</f>
        <v>2050</v>
      </c>
      <c r="O12" s="108">
        <f>IF(G12=1,(H12-1)+'Project types'!N13,IF(G12=2,H12-1,9999))</f>
        <v>9999</v>
      </c>
      <c r="P12" s="9">
        <f t="shared" si="26"/>
        <v>0</v>
      </c>
      <c r="Q12" s="9">
        <f t="shared" si="1"/>
        <v>0</v>
      </c>
      <c r="R12" s="9">
        <f t="shared" si="2"/>
        <v>0</v>
      </c>
      <c r="S12" s="9">
        <f t="shared" si="3"/>
        <v>0</v>
      </c>
      <c r="T12" s="9">
        <f t="shared" si="4"/>
        <v>0</v>
      </c>
      <c r="U12" s="9">
        <f t="shared" si="5"/>
        <v>0</v>
      </c>
      <c r="V12" s="9">
        <f t="shared" si="6"/>
        <v>0</v>
      </c>
      <c r="W12" s="9">
        <f t="shared" si="7"/>
        <v>0</v>
      </c>
      <c r="X12" s="9">
        <f t="shared" si="8"/>
        <v>0</v>
      </c>
      <c r="Y12" s="9">
        <f t="shared" si="9"/>
        <v>0</v>
      </c>
      <c r="Z12" s="9">
        <f t="shared" si="10"/>
        <v>0</v>
      </c>
      <c r="AA12" s="9">
        <f t="shared" si="11"/>
        <v>0</v>
      </c>
      <c r="AB12" s="9">
        <f t="shared" si="12"/>
        <v>0</v>
      </c>
      <c r="AC12" s="9">
        <f t="shared" si="13"/>
        <v>0</v>
      </c>
      <c r="AD12" s="9">
        <f t="shared" si="14"/>
        <v>0</v>
      </c>
      <c r="AE12" s="9">
        <f t="shared" si="15"/>
        <v>0</v>
      </c>
      <c r="AF12" s="9">
        <f t="shared" si="16"/>
        <v>0</v>
      </c>
      <c r="AG12" s="9">
        <f t="shared" si="17"/>
        <v>0</v>
      </c>
      <c r="AH12" s="9">
        <f t="shared" si="18"/>
        <v>0</v>
      </c>
      <c r="AI12" s="9">
        <f t="shared" si="19"/>
        <v>0</v>
      </c>
      <c r="AJ12" s="9">
        <f t="shared" si="20"/>
        <v>0</v>
      </c>
      <c r="AK12" s="9">
        <f t="shared" si="21"/>
        <v>0</v>
      </c>
      <c r="AL12" s="9">
        <f t="shared" si="22"/>
        <v>0</v>
      </c>
      <c r="AM12" s="9">
        <f t="shared" si="23"/>
        <v>0</v>
      </c>
      <c r="AN12" s="9">
        <f t="shared" si="24"/>
        <v>0</v>
      </c>
      <c r="AO12" s="10">
        <f t="shared" si="25"/>
        <v>0</v>
      </c>
      <c r="AQ12" s="109">
        <v>1</v>
      </c>
      <c r="AR12" s="9" t="s">
        <v>12</v>
      </c>
      <c r="AT12" s="125"/>
      <c r="AU12" s="126"/>
      <c r="AV12" s="127"/>
      <c r="AW12" s="127"/>
      <c r="AX12" s="127"/>
      <c r="AY12" s="125"/>
      <c r="AZ12" s="126"/>
      <c r="BA12" s="127"/>
      <c r="BB12" s="127"/>
      <c r="BC12" s="127"/>
      <c r="BD12" s="125"/>
      <c r="BE12" s="126"/>
      <c r="BF12" s="127"/>
      <c r="BG12" s="127"/>
      <c r="BH12" s="127"/>
      <c r="BI12" s="125"/>
      <c r="BJ12" s="128"/>
      <c r="BK12" s="127"/>
      <c r="BL12" s="127"/>
      <c r="BM12" s="127"/>
      <c r="BN12" s="125"/>
      <c r="BO12" s="128"/>
      <c r="BP12" s="127"/>
      <c r="BQ12" s="127"/>
      <c r="BR12" s="127"/>
      <c r="BS12" s="125"/>
      <c r="BU12" s="10" t="e">
        <f>#REF!</f>
        <v>#REF!</v>
      </c>
    </row>
    <row r="13" spans="2:73" s="10" customFormat="1" ht="18" customHeight="1" x14ac:dyDescent="0.2">
      <c r="B13" s="149">
        <v>9</v>
      </c>
      <c r="C13" s="149">
        <v>1</v>
      </c>
      <c r="D13" s="150" t="s">
        <v>450</v>
      </c>
      <c r="E13" s="151" t="s">
        <v>13</v>
      </c>
      <c r="F13" s="153" t="s">
        <v>116</v>
      </c>
      <c r="G13" s="216"/>
      <c r="H13" s="217" t="s">
        <v>912</v>
      </c>
      <c r="I13" s="218">
        <v>0.01</v>
      </c>
      <c r="J13" s="219">
        <v>1</v>
      </c>
      <c r="L13" s="111"/>
      <c r="M13" s="107" t="str">
        <f t="shared" si="0"/>
        <v>_</v>
      </c>
      <c r="N13" s="107">
        <f>'Project types'!$W$6</f>
        <v>2050</v>
      </c>
      <c r="O13" s="108">
        <f>IF(G13=1,(H13-1)+'Project types'!N14,IF(G13=2,H13-1,9999))</f>
        <v>9999</v>
      </c>
      <c r="P13" s="9">
        <f t="shared" si="26"/>
        <v>0</v>
      </c>
      <c r="Q13" s="9">
        <f t="shared" si="1"/>
        <v>0</v>
      </c>
      <c r="R13" s="9">
        <f t="shared" si="2"/>
        <v>0</v>
      </c>
      <c r="S13" s="9">
        <f t="shared" si="3"/>
        <v>0</v>
      </c>
      <c r="T13" s="9">
        <f t="shared" si="4"/>
        <v>0</v>
      </c>
      <c r="U13" s="9">
        <f t="shared" si="5"/>
        <v>0</v>
      </c>
      <c r="V13" s="9">
        <f t="shared" si="6"/>
        <v>0</v>
      </c>
      <c r="W13" s="9">
        <f t="shared" si="7"/>
        <v>0</v>
      </c>
      <c r="X13" s="9">
        <f t="shared" si="8"/>
        <v>0</v>
      </c>
      <c r="Y13" s="9">
        <f t="shared" si="9"/>
        <v>0</v>
      </c>
      <c r="Z13" s="9">
        <f t="shared" si="10"/>
        <v>0</v>
      </c>
      <c r="AA13" s="9">
        <f t="shared" si="11"/>
        <v>0</v>
      </c>
      <c r="AB13" s="9">
        <f t="shared" si="12"/>
        <v>0</v>
      </c>
      <c r="AC13" s="9">
        <f t="shared" si="13"/>
        <v>0</v>
      </c>
      <c r="AD13" s="9">
        <f t="shared" si="14"/>
        <v>0</v>
      </c>
      <c r="AE13" s="9">
        <f t="shared" si="15"/>
        <v>0</v>
      </c>
      <c r="AF13" s="9">
        <f t="shared" si="16"/>
        <v>0</v>
      </c>
      <c r="AG13" s="9">
        <f t="shared" si="17"/>
        <v>0</v>
      </c>
      <c r="AH13" s="9">
        <f t="shared" si="18"/>
        <v>0</v>
      </c>
      <c r="AI13" s="9">
        <f t="shared" si="19"/>
        <v>0</v>
      </c>
      <c r="AJ13" s="9">
        <f t="shared" si="20"/>
        <v>0</v>
      </c>
      <c r="AK13" s="9">
        <f t="shared" si="21"/>
        <v>0</v>
      </c>
      <c r="AL13" s="9">
        <f t="shared" si="22"/>
        <v>0</v>
      </c>
      <c r="AM13" s="9">
        <f t="shared" si="23"/>
        <v>0</v>
      </c>
      <c r="AN13" s="9">
        <f t="shared" si="24"/>
        <v>0</v>
      </c>
      <c r="AO13" s="10">
        <f t="shared" si="25"/>
        <v>0</v>
      </c>
      <c r="AQ13" s="109">
        <v>1</v>
      </c>
      <c r="AR13" s="9" t="s">
        <v>13</v>
      </c>
      <c r="AT13" s="125"/>
      <c r="AU13" s="126"/>
      <c r="AV13" s="127"/>
      <c r="AW13" s="127"/>
      <c r="AX13" s="127"/>
      <c r="AY13" s="125"/>
      <c r="AZ13" s="126"/>
      <c r="BA13" s="127"/>
      <c r="BB13" s="127"/>
      <c r="BC13" s="127"/>
      <c r="BD13" s="125"/>
      <c r="BE13" s="126"/>
      <c r="BF13" s="127"/>
      <c r="BG13" s="127"/>
      <c r="BH13" s="127"/>
      <c r="BI13" s="125"/>
      <c r="BJ13" s="128"/>
      <c r="BK13" s="127"/>
      <c r="BL13" s="127"/>
      <c r="BM13" s="127"/>
      <c r="BN13" s="125"/>
      <c r="BO13" s="128"/>
      <c r="BP13" s="127"/>
      <c r="BQ13" s="127"/>
      <c r="BR13" s="127"/>
      <c r="BS13" s="125"/>
      <c r="BU13" s="16" t="e">
        <f>#REF!</f>
        <v>#REF!</v>
      </c>
    </row>
    <row r="14" spans="2:73" s="10" customFormat="1" ht="18" customHeight="1" x14ac:dyDescent="0.2">
      <c r="B14" s="149">
        <v>10</v>
      </c>
      <c r="C14" s="149">
        <v>1</v>
      </c>
      <c r="D14" s="150" t="s">
        <v>450</v>
      </c>
      <c r="E14" s="151" t="s">
        <v>14</v>
      </c>
      <c r="F14" s="153" t="s">
        <v>117</v>
      </c>
      <c r="G14" s="216"/>
      <c r="H14" s="217" t="s">
        <v>912</v>
      </c>
      <c r="I14" s="218">
        <v>1</v>
      </c>
      <c r="J14" s="219">
        <v>1</v>
      </c>
      <c r="L14" s="111"/>
      <c r="M14" s="107" t="str">
        <f t="shared" si="0"/>
        <v>_</v>
      </c>
      <c r="N14" s="107">
        <f>'Project types'!$W$6</f>
        <v>2050</v>
      </c>
      <c r="O14" s="108">
        <f>IF(G14=1,(H14-1)+'Project types'!N15,IF(G14=2,H14-1,9999))</f>
        <v>9999</v>
      </c>
      <c r="P14" s="9">
        <f t="shared" si="26"/>
        <v>0</v>
      </c>
      <c r="Q14" s="9">
        <f t="shared" si="1"/>
        <v>0</v>
      </c>
      <c r="R14" s="9">
        <f t="shared" si="2"/>
        <v>0</v>
      </c>
      <c r="S14" s="9">
        <f t="shared" si="3"/>
        <v>0</v>
      </c>
      <c r="T14" s="9">
        <f t="shared" si="4"/>
        <v>0</v>
      </c>
      <c r="U14" s="9">
        <f t="shared" si="5"/>
        <v>0</v>
      </c>
      <c r="V14" s="9">
        <f t="shared" si="6"/>
        <v>0</v>
      </c>
      <c r="W14" s="9">
        <f t="shared" si="7"/>
        <v>0</v>
      </c>
      <c r="X14" s="9">
        <f t="shared" si="8"/>
        <v>0</v>
      </c>
      <c r="Y14" s="9">
        <f t="shared" si="9"/>
        <v>0</v>
      </c>
      <c r="Z14" s="9">
        <f t="shared" si="10"/>
        <v>0</v>
      </c>
      <c r="AA14" s="9">
        <f t="shared" si="11"/>
        <v>0</v>
      </c>
      <c r="AB14" s="9">
        <f t="shared" si="12"/>
        <v>0</v>
      </c>
      <c r="AC14" s="9">
        <f t="shared" si="13"/>
        <v>0</v>
      </c>
      <c r="AD14" s="9">
        <f t="shared" si="14"/>
        <v>0</v>
      </c>
      <c r="AE14" s="9">
        <f t="shared" si="15"/>
        <v>0</v>
      </c>
      <c r="AF14" s="9">
        <f t="shared" si="16"/>
        <v>0</v>
      </c>
      <c r="AG14" s="9">
        <f t="shared" si="17"/>
        <v>0</v>
      </c>
      <c r="AH14" s="9">
        <f t="shared" si="18"/>
        <v>0</v>
      </c>
      <c r="AI14" s="9">
        <f t="shared" si="19"/>
        <v>0</v>
      </c>
      <c r="AJ14" s="9">
        <f t="shared" si="20"/>
        <v>0</v>
      </c>
      <c r="AK14" s="9">
        <f t="shared" si="21"/>
        <v>0</v>
      </c>
      <c r="AL14" s="9">
        <f t="shared" si="22"/>
        <v>0</v>
      </c>
      <c r="AM14" s="9">
        <f t="shared" si="23"/>
        <v>0</v>
      </c>
      <c r="AN14" s="9">
        <f t="shared" si="24"/>
        <v>0</v>
      </c>
      <c r="AO14" s="10">
        <f t="shared" si="25"/>
        <v>0</v>
      </c>
      <c r="AQ14" s="109">
        <v>1</v>
      </c>
      <c r="AR14" s="9" t="s">
        <v>14</v>
      </c>
      <c r="AT14" s="125"/>
      <c r="AU14" s="126"/>
      <c r="AV14" s="127"/>
      <c r="AW14" s="127"/>
      <c r="AX14" s="127"/>
      <c r="AY14" s="125"/>
      <c r="AZ14" s="126"/>
      <c r="BA14" s="127"/>
      <c r="BB14" s="127"/>
      <c r="BC14" s="127"/>
      <c r="BD14" s="125"/>
      <c r="BE14" s="126"/>
      <c r="BF14" s="127"/>
      <c r="BG14" s="127"/>
      <c r="BH14" s="127"/>
      <c r="BI14" s="125"/>
      <c r="BJ14" s="128"/>
      <c r="BK14" s="127"/>
      <c r="BL14" s="127"/>
      <c r="BM14" s="127"/>
      <c r="BN14" s="125"/>
      <c r="BO14" s="128"/>
      <c r="BP14" s="127"/>
      <c r="BQ14" s="127"/>
      <c r="BR14" s="127"/>
      <c r="BS14" s="125"/>
      <c r="BU14" s="10" t="e">
        <f>#REF!</f>
        <v>#REF!</v>
      </c>
    </row>
    <row r="15" spans="2:73" s="10" customFormat="1" ht="18" customHeight="1" x14ac:dyDescent="0.2">
      <c r="B15" s="149">
        <v>11</v>
      </c>
      <c r="C15" s="149">
        <v>1</v>
      </c>
      <c r="D15" s="150" t="s">
        <v>450</v>
      </c>
      <c r="E15" s="151" t="s">
        <v>15</v>
      </c>
      <c r="F15" s="153" t="s">
        <v>115</v>
      </c>
      <c r="G15" s="216"/>
      <c r="H15" s="217" t="s">
        <v>912</v>
      </c>
      <c r="I15" s="218">
        <v>1</v>
      </c>
      <c r="J15" s="219">
        <v>1</v>
      </c>
      <c r="L15" s="111"/>
      <c r="M15" s="107" t="str">
        <f t="shared" si="0"/>
        <v>_</v>
      </c>
      <c r="N15" s="107">
        <f>'Project types'!$W$6</f>
        <v>2050</v>
      </c>
      <c r="O15" s="108">
        <f>IF(G15=1,(H15-1)+'Project types'!N16,IF(G15=2,H15-1,9999))</f>
        <v>9999</v>
      </c>
      <c r="P15" s="9">
        <f t="shared" si="26"/>
        <v>0</v>
      </c>
      <c r="Q15" s="9">
        <f t="shared" si="1"/>
        <v>0</v>
      </c>
      <c r="R15" s="9">
        <f t="shared" si="2"/>
        <v>0</v>
      </c>
      <c r="S15" s="9">
        <f t="shared" si="3"/>
        <v>0</v>
      </c>
      <c r="T15" s="9">
        <f t="shared" si="4"/>
        <v>0</v>
      </c>
      <c r="U15" s="9">
        <f t="shared" si="5"/>
        <v>0</v>
      </c>
      <c r="V15" s="9">
        <f t="shared" si="6"/>
        <v>0</v>
      </c>
      <c r="W15" s="9">
        <f t="shared" si="7"/>
        <v>0</v>
      </c>
      <c r="X15" s="9">
        <f t="shared" si="8"/>
        <v>0</v>
      </c>
      <c r="Y15" s="9">
        <f t="shared" si="9"/>
        <v>0</v>
      </c>
      <c r="Z15" s="9">
        <f t="shared" si="10"/>
        <v>0</v>
      </c>
      <c r="AA15" s="9">
        <f t="shared" si="11"/>
        <v>0</v>
      </c>
      <c r="AB15" s="9">
        <f t="shared" si="12"/>
        <v>0</v>
      </c>
      <c r="AC15" s="9">
        <f t="shared" si="13"/>
        <v>0</v>
      </c>
      <c r="AD15" s="9">
        <f t="shared" si="14"/>
        <v>0</v>
      </c>
      <c r="AE15" s="9">
        <f t="shared" si="15"/>
        <v>0</v>
      </c>
      <c r="AF15" s="9">
        <f t="shared" si="16"/>
        <v>0</v>
      </c>
      <c r="AG15" s="9">
        <f t="shared" si="17"/>
        <v>0</v>
      </c>
      <c r="AH15" s="9">
        <f t="shared" si="18"/>
        <v>0</v>
      </c>
      <c r="AI15" s="9">
        <f t="shared" si="19"/>
        <v>0</v>
      </c>
      <c r="AJ15" s="9">
        <f t="shared" si="20"/>
        <v>0</v>
      </c>
      <c r="AK15" s="9">
        <f t="shared" si="21"/>
        <v>0</v>
      </c>
      <c r="AL15" s="9">
        <f t="shared" si="22"/>
        <v>0</v>
      </c>
      <c r="AM15" s="9">
        <f t="shared" si="23"/>
        <v>0</v>
      </c>
      <c r="AN15" s="9">
        <f t="shared" si="24"/>
        <v>0</v>
      </c>
      <c r="AO15" s="10">
        <f t="shared" si="25"/>
        <v>0</v>
      </c>
      <c r="AQ15" s="109">
        <v>1</v>
      </c>
      <c r="AR15" s="9" t="s">
        <v>15</v>
      </c>
      <c r="AT15" s="125"/>
      <c r="AU15" s="126"/>
      <c r="AV15" s="127"/>
      <c r="AW15" s="127"/>
      <c r="AX15" s="127"/>
      <c r="AY15" s="125"/>
      <c r="AZ15" s="126"/>
      <c r="BA15" s="127"/>
      <c r="BB15" s="127"/>
      <c r="BC15" s="127"/>
      <c r="BD15" s="125"/>
      <c r="BE15" s="126"/>
      <c r="BF15" s="127"/>
      <c r="BG15" s="127"/>
      <c r="BH15" s="127"/>
      <c r="BI15" s="125"/>
      <c r="BJ15" s="128"/>
      <c r="BK15" s="127"/>
      <c r="BL15" s="127"/>
      <c r="BM15" s="127"/>
      <c r="BN15" s="125"/>
      <c r="BO15" s="128"/>
      <c r="BP15" s="127"/>
      <c r="BQ15" s="127"/>
      <c r="BR15" s="127"/>
      <c r="BS15" s="125"/>
      <c r="BU15" s="10" t="e">
        <f>#REF!</f>
        <v>#REF!</v>
      </c>
    </row>
    <row r="16" spans="2:73" s="10" customFormat="1" ht="18" customHeight="1" thickBot="1" x14ac:dyDescent="0.25">
      <c r="B16" s="154">
        <v>12</v>
      </c>
      <c r="C16" s="154">
        <v>1</v>
      </c>
      <c r="D16" s="155" t="s">
        <v>450</v>
      </c>
      <c r="E16" s="156" t="s">
        <v>16</v>
      </c>
      <c r="F16" s="157" t="s">
        <v>118</v>
      </c>
      <c r="G16" s="220"/>
      <c r="H16" s="221" t="s">
        <v>912</v>
      </c>
      <c r="I16" s="222">
        <v>0.01</v>
      </c>
      <c r="J16" s="223">
        <v>1</v>
      </c>
      <c r="L16" s="111"/>
      <c r="M16" s="107" t="str">
        <f t="shared" si="0"/>
        <v>_</v>
      </c>
      <c r="N16" s="107">
        <f>'Project types'!$W$6</f>
        <v>2050</v>
      </c>
      <c r="O16" s="108">
        <f>IF(G16=1,(H16-1)+'Project types'!N17,IF(G16=2,H16-1,9999))</f>
        <v>9999</v>
      </c>
      <c r="P16" s="9">
        <f t="shared" si="26"/>
        <v>0</v>
      </c>
      <c r="Q16" s="9">
        <f t="shared" si="1"/>
        <v>0</v>
      </c>
      <c r="R16" s="9">
        <f t="shared" si="2"/>
        <v>0</v>
      </c>
      <c r="S16" s="9">
        <f t="shared" si="3"/>
        <v>0</v>
      </c>
      <c r="T16" s="9">
        <f t="shared" si="4"/>
        <v>0</v>
      </c>
      <c r="U16" s="9">
        <f t="shared" si="5"/>
        <v>0</v>
      </c>
      <c r="V16" s="9">
        <f t="shared" si="6"/>
        <v>0</v>
      </c>
      <c r="W16" s="9">
        <f t="shared" si="7"/>
        <v>0</v>
      </c>
      <c r="X16" s="9">
        <f t="shared" si="8"/>
        <v>0</v>
      </c>
      <c r="Y16" s="9">
        <f t="shared" si="9"/>
        <v>0</v>
      </c>
      <c r="Z16" s="9">
        <f t="shared" si="10"/>
        <v>0</v>
      </c>
      <c r="AA16" s="9">
        <f t="shared" si="11"/>
        <v>0</v>
      </c>
      <c r="AB16" s="9">
        <f t="shared" si="12"/>
        <v>0</v>
      </c>
      <c r="AC16" s="9">
        <f t="shared" si="13"/>
        <v>0</v>
      </c>
      <c r="AD16" s="9">
        <f t="shared" si="14"/>
        <v>0</v>
      </c>
      <c r="AE16" s="9">
        <f t="shared" si="15"/>
        <v>0</v>
      </c>
      <c r="AF16" s="9">
        <f t="shared" si="16"/>
        <v>0</v>
      </c>
      <c r="AG16" s="9">
        <f t="shared" si="17"/>
        <v>0</v>
      </c>
      <c r="AH16" s="9">
        <f t="shared" si="18"/>
        <v>0</v>
      </c>
      <c r="AI16" s="9">
        <f t="shared" si="19"/>
        <v>0</v>
      </c>
      <c r="AJ16" s="9">
        <f t="shared" si="20"/>
        <v>0</v>
      </c>
      <c r="AK16" s="9">
        <f t="shared" si="21"/>
        <v>0</v>
      </c>
      <c r="AL16" s="9">
        <f t="shared" si="22"/>
        <v>0</v>
      </c>
      <c r="AM16" s="9">
        <f t="shared" si="23"/>
        <v>0</v>
      </c>
      <c r="AN16" s="9">
        <f t="shared" si="24"/>
        <v>0</v>
      </c>
      <c r="AO16" s="10">
        <f t="shared" si="25"/>
        <v>0</v>
      </c>
      <c r="AQ16" s="109">
        <v>1</v>
      </c>
      <c r="AR16" s="9" t="s">
        <v>16</v>
      </c>
      <c r="AT16" s="129"/>
      <c r="AU16" s="130"/>
      <c r="AV16" s="131"/>
      <c r="AW16" s="131"/>
      <c r="AX16" s="131"/>
      <c r="AY16" s="129"/>
      <c r="AZ16" s="130"/>
      <c r="BA16" s="131"/>
      <c r="BB16" s="131"/>
      <c r="BC16" s="131"/>
      <c r="BD16" s="129"/>
      <c r="BE16" s="130"/>
      <c r="BF16" s="131"/>
      <c r="BG16" s="131"/>
      <c r="BH16" s="131"/>
      <c r="BI16" s="129"/>
      <c r="BJ16" s="132"/>
      <c r="BK16" s="131"/>
      <c r="BL16" s="131"/>
      <c r="BM16" s="131"/>
      <c r="BN16" s="129"/>
      <c r="BO16" s="132"/>
      <c r="BP16" s="131"/>
      <c r="BQ16" s="131"/>
      <c r="BR16" s="131"/>
      <c r="BS16" s="129"/>
      <c r="BU16" s="10" t="e">
        <f>#REF!</f>
        <v>#REF!</v>
      </c>
    </row>
    <row r="17" spans="2:73" s="10" customFormat="1" ht="18" customHeight="1" x14ac:dyDescent="0.2">
      <c r="B17" s="145">
        <v>13</v>
      </c>
      <c r="C17" s="145">
        <v>2</v>
      </c>
      <c r="D17" s="146" t="s">
        <v>451</v>
      </c>
      <c r="E17" s="158" t="s">
        <v>17</v>
      </c>
      <c r="F17" s="159" t="s">
        <v>387</v>
      </c>
      <c r="G17" s="216"/>
      <c r="H17" s="217" t="s">
        <v>912</v>
      </c>
      <c r="I17" s="218">
        <v>1</v>
      </c>
      <c r="J17" s="219">
        <v>1</v>
      </c>
      <c r="L17" s="111"/>
      <c r="M17" s="107" t="str">
        <f t="shared" si="0"/>
        <v>_</v>
      </c>
      <c r="N17" s="107">
        <f>'Project types'!$W$6</f>
        <v>2050</v>
      </c>
      <c r="O17" s="108">
        <f>IF(G17=1,(H17-1)+'Project types'!N18,IF(G17=2,H17-1,9999))</f>
        <v>9999</v>
      </c>
      <c r="P17" s="9">
        <f t="shared" ref="P17:P27" si="27">_xlfn.IFS(AND(AND($P$4&gt;=$H17,$P$4&lt;=$O17)),4,AND(AND($P$4&gt;=$M17,$P$4&lt;=$N17)),3,AND(OR($P$4&lt;$M17,$P$4&gt;$N17)),0)</f>
        <v>0</v>
      </c>
      <c r="Q17" s="9">
        <f t="shared" ref="Q17:Q27" si="28">_xlfn.IFS(AND(AND($Q$4&gt;=$H17,$Q$4&lt;=$O17)),4,AND(AND($Q$4&gt;=$M17,$Q$4&lt;=$N17)),3,AND(OR($Q$4&lt;$M17,$Q$4&gt;$N17)),0)</f>
        <v>0</v>
      </c>
      <c r="R17" s="9">
        <f t="shared" ref="R17:R27" si="29">_xlfn.IFS(AND(AND($R$4&gt;=$H17,$R$4&lt;=$O17)),4,AND(AND($R$4&gt;=$M17,$R$4&lt;=$N17)),3,AND(OR($R$4&lt;$M17,$R$4&gt;$N17)),0)</f>
        <v>0</v>
      </c>
      <c r="S17" s="9">
        <f t="shared" ref="S17:S27" si="30">_xlfn.IFS(AND(AND($S$4&gt;=$H17,$S$4&lt;=$O17)),4,AND(AND($S$4&gt;=$M17,$S$4&lt;=$N17)),3,AND(OR($S$4&lt;$M17,$S$4&gt;$N17)),0)</f>
        <v>0</v>
      </c>
      <c r="T17" s="9">
        <f t="shared" ref="T17:T27" si="31">_xlfn.IFS(AND(AND($T$4&gt;=$H17,$T$4&lt;=$O17)),4,AND(AND($T$4&gt;=$M17,$T$4&lt;=$N17)),3,AND(OR($T$4&lt;$M17,$T$4&gt;$N17)),0)</f>
        <v>0</v>
      </c>
      <c r="U17" s="9">
        <f t="shared" ref="U17:U27" si="32">_xlfn.IFS(AND(AND($U$4&gt;=$H17,$U$4&lt;=$O17)),4,AND(AND($U$4&gt;=$M17,$U$4&lt;=$N17)),3,AND(OR($U$4&lt;$M17,$U$4&gt;$N17)),0)</f>
        <v>0</v>
      </c>
      <c r="V17" s="9">
        <f t="shared" ref="V17:V27" si="33">_xlfn.IFS(AND(AND($V$4&gt;=$H17,$V$4&lt;=$O17)),4,AND(AND($V$4&gt;=$M17,$V$4&lt;=$N17)),3,AND(OR($V$4&lt;$M17,$V$4&gt;$N17)),0)</f>
        <v>0</v>
      </c>
      <c r="W17" s="9">
        <f t="shared" ref="W17:W27" si="34">_xlfn.IFS(AND(AND($W$4&gt;=$H17,$W$4&lt;=$O17)),4,AND(AND($W$4&gt;=$M17,$W$4&lt;=$N17)),3,AND(OR($W$4&lt;$M17,$W$4&gt;$N17)),0)</f>
        <v>0</v>
      </c>
      <c r="X17" s="9">
        <f t="shared" ref="X17:X27" si="35">_xlfn.IFS(AND(AND($X$4&gt;=$H17,$X$4&lt;=$O17)),4,AND(AND($X$4&gt;=$M17,$X$4&lt;=$N17)),3,AND(OR($X$4&lt;$M17,$X$4&gt;$N17)),0)</f>
        <v>0</v>
      </c>
      <c r="Y17" s="9">
        <f t="shared" ref="Y17:Y27" si="36">_xlfn.IFS(AND(AND($Y$4&gt;=$H17,$Y$4&lt;=$O17)),4,AND(AND($Y$4&gt;=$M17,$Y$4&lt;=$N17)),3,AND(OR($Y$4&lt;$M17,$Y$4&gt;$N17)),0)</f>
        <v>0</v>
      </c>
      <c r="Z17" s="9">
        <f t="shared" ref="Z17:Z27" si="37">_xlfn.IFS(AND(AND($Z$4&gt;=$H17,$Z$4&lt;=$O17)),4,AND(AND($Z$4&gt;=$M17,$Z$4&lt;=$N17)),3,AND(OR($Z$4&lt;$M17,$Z$4&gt;$N17)),0)</f>
        <v>0</v>
      </c>
      <c r="AA17" s="9">
        <f t="shared" ref="AA17:AA27" si="38">_xlfn.IFS(AND(AND($AA$4&gt;=$H17,$AA$4&lt;=$O17)),4,AND(AND($AA$4&gt;=$M17,$AA$4&lt;=$N17)),3,AND(OR($AA$4&lt;$M17,$AA$4&gt;$N17)),0)</f>
        <v>0</v>
      </c>
      <c r="AB17" s="9">
        <f t="shared" ref="AB17:AB27" si="39">_xlfn.IFS(AND(AND($AB$4&gt;=$H17,$AB$4&lt;=$O17)),4,AND(AND($AB$4&gt;=$M17,$AB$4&lt;=$N17)),3,AND(OR($AB$4&lt;$M17,$AB$4&gt;$N17)),0)</f>
        <v>0</v>
      </c>
      <c r="AC17" s="9">
        <f t="shared" ref="AC17:AC27" si="40">_xlfn.IFS(AND(AND($AC$4&gt;=$H17,$AC$4&lt;=$O17)),4,AND(AND($AC$4&gt;=$M17,$AC$4&lt;=$N17)),3,AND(OR($AC$4&lt;$M17,$AC$4&gt;$N17)),0)</f>
        <v>0</v>
      </c>
      <c r="AD17" s="9">
        <f t="shared" ref="AD17:AD27" si="41">_xlfn.IFS(AND(AND($AD$4&gt;=$H17,$AD$4&lt;=$O17)),4,AND(AND($AD$4&gt;=$M17,$AD$4&lt;=$N17)),3,AND(OR($AD$4&lt;$M17,$AD$4&gt;$N17)),0)</f>
        <v>0</v>
      </c>
      <c r="AE17" s="9">
        <f t="shared" ref="AE17:AE27" si="42">_xlfn.IFS(AND(AND($AE$4&gt;=$H17,$AE$4&lt;=$O17)),4,AND(AND($AE$4&gt;=$M17,$AE$4&lt;=$N17)),3,AND(OR($AE$4&lt;$M17,$AE$4&gt;$N17)),0)</f>
        <v>0</v>
      </c>
      <c r="AF17" s="9">
        <f t="shared" ref="AF17:AF27" si="43">_xlfn.IFS(AND(AND($AF$4&gt;=$H17,$AF$4&lt;=$O17)),4,AND(AND($AF$4&gt;=$M17,$AF$4&lt;=$N17)),3,AND(OR($AF$4&lt;$M17,$AF$4&gt;$N17)),0)</f>
        <v>0</v>
      </c>
      <c r="AG17" s="9">
        <f t="shared" ref="AG17:AG27" si="44">_xlfn.IFS(AND(AND($AG$4&gt;=$H17,$AG$4&lt;=$O17)),4,AND(AND($AG$4&gt;=$M17,$AG$4&lt;=$N17)),3,AND(OR($AG$4&lt;$M17,$AG$4&gt;$N17)),0)</f>
        <v>0</v>
      </c>
      <c r="AH17" s="9">
        <f t="shared" ref="AH17:AH27" si="45">_xlfn.IFS(AND(AND($AH$4&gt;=$H17,$AH$4&lt;=$O17)),4,AND(AND($AH$4&gt;=$M17,$AH$4&lt;=$N17)),3,AND(OR($AH$4&lt;$M17,$AH$4&gt;$N17)),0)</f>
        <v>0</v>
      </c>
      <c r="AI17" s="9">
        <f t="shared" ref="AI17:AI27" si="46">_xlfn.IFS(AND(AND($AI$4&gt;=$H17,$AI$4&lt;=$O17)),4,AND(AND($AI$4&gt;=$M17,$AI$4&lt;=$N17)),3,AND(OR($AI$4&lt;$M17,$AI$4&gt;$N17)),0)</f>
        <v>0</v>
      </c>
      <c r="AJ17" s="9">
        <f t="shared" ref="AJ17:AJ27" si="47">_xlfn.IFS(AND(AND($AJ$4&gt;=$H17,$AJ$4&lt;=$O17)),4,AND(AND($AJ$4&gt;=$M17,$AJ$4&lt;=$N17)),3,AND(OR($AJ$4&lt;$M17,$AJ$4&gt;$N17)),0)</f>
        <v>0</v>
      </c>
      <c r="AK17" s="9">
        <f t="shared" ref="AK17:AK27" si="48">_xlfn.IFS(AND(AND($AK$4&gt;=$H17,$AK$4&lt;=$O17)),4,AND(AND($AK$4&gt;=$M17,$AK$4&lt;=$N17)),3,AND(OR($AK$4&lt;$M17,$AK$4&gt;$N17)),0)</f>
        <v>0</v>
      </c>
      <c r="AL17" s="9">
        <f t="shared" ref="AL17:AL27" si="49">_xlfn.IFS(AND(AND($AL$4&gt;=$H17,$AL$4&lt;=$O17)),4,AND(AND($AL$4&gt;=$M17,$AL$4&lt;=$N17)),3,AND(OR($AL$4&lt;$M17,$AL$4&gt;$N17)),0)</f>
        <v>0</v>
      </c>
      <c r="AM17" s="9">
        <f t="shared" ref="AM17:AM27" si="50">_xlfn.IFS(AND(AND($AM$4&gt;=$H17,$AM$4&lt;=$O17)),4,AND(AND($AM$4&gt;=$M17,$AM$4&lt;=$N17)),3,AND(OR($AM$4&lt;$M17,$AM$4&gt;$N17)),0)</f>
        <v>0</v>
      </c>
      <c r="AN17" s="9">
        <f t="shared" ref="AN17:AN27" si="51">_xlfn.IFS(AND(AND($AN$4&gt;=$H17,$AN$4&lt;=$O17)),4,AND(AND($AN$4&gt;=$M17,$AN$4&lt;=$N17)),3,AND(OR($AN$4&lt;$M17,$AN$4&gt;$N17)),0)</f>
        <v>0</v>
      </c>
      <c r="AO17" s="10">
        <f t="shared" ref="AO17:AO27" si="52">_xlfn.IFS(AND(AND($AO$4&gt;=$H17,$AO$4&lt;=$O17)),4,AND(AND($AO$4&gt;=$M17,$AO$4&lt;=$N17)),3,AND(OR($AO$4&lt;$M17,$AO$4&gt;$N17)),0)</f>
        <v>0</v>
      </c>
      <c r="AQ17" s="109">
        <v>2</v>
      </c>
      <c r="AR17" s="9" t="s">
        <v>17</v>
      </c>
      <c r="AT17" s="133"/>
      <c r="AU17" s="134"/>
      <c r="AV17" s="135"/>
      <c r="AW17" s="135"/>
      <c r="AX17" s="135"/>
      <c r="AY17" s="133"/>
      <c r="AZ17" s="134"/>
      <c r="BA17" s="135"/>
      <c r="BB17" s="135"/>
      <c r="BC17" s="135"/>
      <c r="BD17" s="133"/>
      <c r="BE17" s="134"/>
      <c r="BF17" s="135"/>
      <c r="BG17" s="135"/>
      <c r="BH17" s="135"/>
      <c r="BI17" s="133"/>
      <c r="BJ17" s="136"/>
      <c r="BK17" s="135"/>
      <c r="BL17" s="135"/>
      <c r="BM17" s="135"/>
      <c r="BN17" s="133"/>
      <c r="BO17" s="136"/>
      <c r="BP17" s="135"/>
      <c r="BQ17" s="135"/>
      <c r="BR17" s="135"/>
      <c r="BS17" s="133"/>
      <c r="BU17" s="10" t="e">
        <f>#REF!</f>
        <v>#REF!</v>
      </c>
    </row>
    <row r="18" spans="2:73" s="10" customFormat="1" ht="18" customHeight="1" x14ac:dyDescent="0.2">
      <c r="B18" s="149">
        <v>14</v>
      </c>
      <c r="C18" s="149">
        <v>2</v>
      </c>
      <c r="D18" s="150" t="s">
        <v>451</v>
      </c>
      <c r="E18" s="160" t="s">
        <v>18</v>
      </c>
      <c r="F18" s="153" t="s">
        <v>388</v>
      </c>
      <c r="G18" s="216"/>
      <c r="H18" s="217" t="s">
        <v>912</v>
      </c>
      <c r="I18" s="218">
        <v>1</v>
      </c>
      <c r="J18" s="219">
        <v>1</v>
      </c>
      <c r="L18" s="111"/>
      <c r="M18" s="107" t="str">
        <f t="shared" si="0"/>
        <v>_</v>
      </c>
      <c r="N18" s="107">
        <f>'Project types'!$W$6</f>
        <v>2050</v>
      </c>
      <c r="O18" s="108">
        <f>IF(G18=1,(H18-1)+'Project types'!N19,IF(G18=2,H18-1,9999))</f>
        <v>9999</v>
      </c>
      <c r="P18" s="9">
        <f t="shared" si="27"/>
        <v>0</v>
      </c>
      <c r="Q18" s="9">
        <f t="shared" si="28"/>
        <v>0</v>
      </c>
      <c r="R18" s="9">
        <f t="shared" si="29"/>
        <v>0</v>
      </c>
      <c r="S18" s="9">
        <f t="shared" si="30"/>
        <v>0</v>
      </c>
      <c r="T18" s="9">
        <f t="shared" si="31"/>
        <v>0</v>
      </c>
      <c r="U18" s="9">
        <f t="shared" si="32"/>
        <v>0</v>
      </c>
      <c r="V18" s="9">
        <f t="shared" si="33"/>
        <v>0</v>
      </c>
      <c r="W18" s="9">
        <f t="shared" si="34"/>
        <v>0</v>
      </c>
      <c r="X18" s="9">
        <f t="shared" si="35"/>
        <v>0</v>
      </c>
      <c r="Y18" s="9">
        <f t="shared" si="36"/>
        <v>0</v>
      </c>
      <c r="Z18" s="9">
        <f t="shared" si="37"/>
        <v>0</v>
      </c>
      <c r="AA18" s="9">
        <f t="shared" si="38"/>
        <v>0</v>
      </c>
      <c r="AB18" s="9">
        <f t="shared" si="39"/>
        <v>0</v>
      </c>
      <c r="AC18" s="9">
        <f t="shared" si="40"/>
        <v>0</v>
      </c>
      <c r="AD18" s="9">
        <f t="shared" si="41"/>
        <v>0</v>
      </c>
      <c r="AE18" s="9">
        <f t="shared" si="42"/>
        <v>0</v>
      </c>
      <c r="AF18" s="9">
        <f t="shared" si="43"/>
        <v>0</v>
      </c>
      <c r="AG18" s="9">
        <f t="shared" si="44"/>
        <v>0</v>
      </c>
      <c r="AH18" s="9">
        <f t="shared" si="45"/>
        <v>0</v>
      </c>
      <c r="AI18" s="9">
        <f t="shared" si="46"/>
        <v>0</v>
      </c>
      <c r="AJ18" s="9">
        <f t="shared" si="47"/>
        <v>0</v>
      </c>
      <c r="AK18" s="9">
        <f t="shared" si="48"/>
        <v>0</v>
      </c>
      <c r="AL18" s="9">
        <f t="shared" si="49"/>
        <v>0</v>
      </c>
      <c r="AM18" s="9">
        <f t="shared" si="50"/>
        <v>0</v>
      </c>
      <c r="AN18" s="9">
        <f t="shared" si="51"/>
        <v>0</v>
      </c>
      <c r="AO18" s="10">
        <f t="shared" si="52"/>
        <v>0</v>
      </c>
      <c r="AQ18" s="109">
        <v>2</v>
      </c>
      <c r="AR18" s="9" t="s">
        <v>18</v>
      </c>
      <c r="AT18" s="125"/>
      <c r="AU18" s="126"/>
      <c r="AV18" s="127"/>
      <c r="AW18" s="127"/>
      <c r="AX18" s="127"/>
      <c r="AY18" s="125"/>
      <c r="AZ18" s="126"/>
      <c r="BA18" s="127"/>
      <c r="BB18" s="127"/>
      <c r="BC18" s="127"/>
      <c r="BD18" s="125"/>
      <c r="BE18" s="126"/>
      <c r="BF18" s="127"/>
      <c r="BG18" s="127"/>
      <c r="BH18" s="127"/>
      <c r="BI18" s="125"/>
      <c r="BJ18" s="128"/>
      <c r="BK18" s="127"/>
      <c r="BL18" s="127"/>
      <c r="BM18" s="127"/>
      <c r="BN18" s="125"/>
      <c r="BO18" s="128"/>
      <c r="BP18" s="127"/>
      <c r="BQ18" s="127"/>
      <c r="BR18" s="127"/>
      <c r="BS18" s="125"/>
      <c r="BU18" s="10" t="e">
        <f>#REF!</f>
        <v>#REF!</v>
      </c>
    </row>
    <row r="19" spans="2:73" s="10" customFormat="1" ht="18" customHeight="1" x14ac:dyDescent="0.2">
      <c r="B19" s="149">
        <v>15</v>
      </c>
      <c r="C19" s="149">
        <v>2</v>
      </c>
      <c r="D19" s="150" t="s">
        <v>451</v>
      </c>
      <c r="E19" s="160" t="s">
        <v>19</v>
      </c>
      <c r="F19" s="153" t="s">
        <v>389</v>
      </c>
      <c r="G19" s="216"/>
      <c r="H19" s="217" t="s">
        <v>912</v>
      </c>
      <c r="I19" s="218">
        <v>1</v>
      </c>
      <c r="J19" s="219">
        <v>1</v>
      </c>
      <c r="L19" s="111"/>
      <c r="M19" s="107" t="str">
        <f t="shared" si="0"/>
        <v>_</v>
      </c>
      <c r="N19" s="107">
        <f>'Project types'!$W$6</f>
        <v>2050</v>
      </c>
      <c r="O19" s="108">
        <f>IF(G19=1,(H19-1)+'Project types'!N20,IF(G19=2,H19-1,9999))</f>
        <v>9999</v>
      </c>
      <c r="P19" s="9">
        <f t="shared" si="27"/>
        <v>0</v>
      </c>
      <c r="Q19" s="9">
        <f t="shared" si="28"/>
        <v>0</v>
      </c>
      <c r="R19" s="9">
        <f t="shared" si="29"/>
        <v>0</v>
      </c>
      <c r="S19" s="9">
        <f t="shared" si="30"/>
        <v>0</v>
      </c>
      <c r="T19" s="9">
        <f t="shared" si="31"/>
        <v>0</v>
      </c>
      <c r="U19" s="9">
        <f t="shared" si="32"/>
        <v>0</v>
      </c>
      <c r="V19" s="9">
        <f t="shared" si="33"/>
        <v>0</v>
      </c>
      <c r="W19" s="9">
        <f t="shared" si="34"/>
        <v>0</v>
      </c>
      <c r="X19" s="9">
        <f t="shared" si="35"/>
        <v>0</v>
      </c>
      <c r="Y19" s="9">
        <f t="shared" si="36"/>
        <v>0</v>
      </c>
      <c r="Z19" s="9">
        <f t="shared" si="37"/>
        <v>0</v>
      </c>
      <c r="AA19" s="9">
        <f t="shared" si="38"/>
        <v>0</v>
      </c>
      <c r="AB19" s="9">
        <f t="shared" si="39"/>
        <v>0</v>
      </c>
      <c r="AC19" s="9">
        <f t="shared" si="40"/>
        <v>0</v>
      </c>
      <c r="AD19" s="9">
        <f t="shared" si="41"/>
        <v>0</v>
      </c>
      <c r="AE19" s="9">
        <f t="shared" si="42"/>
        <v>0</v>
      </c>
      <c r="AF19" s="9">
        <f t="shared" si="43"/>
        <v>0</v>
      </c>
      <c r="AG19" s="9">
        <f t="shared" si="44"/>
        <v>0</v>
      </c>
      <c r="AH19" s="9">
        <f t="shared" si="45"/>
        <v>0</v>
      </c>
      <c r="AI19" s="9">
        <f t="shared" si="46"/>
        <v>0</v>
      </c>
      <c r="AJ19" s="9">
        <f t="shared" si="47"/>
        <v>0</v>
      </c>
      <c r="AK19" s="9">
        <f t="shared" si="48"/>
        <v>0</v>
      </c>
      <c r="AL19" s="9">
        <f t="shared" si="49"/>
        <v>0</v>
      </c>
      <c r="AM19" s="9">
        <f t="shared" si="50"/>
        <v>0</v>
      </c>
      <c r="AN19" s="9">
        <f t="shared" si="51"/>
        <v>0</v>
      </c>
      <c r="AO19" s="10">
        <f t="shared" si="52"/>
        <v>0</v>
      </c>
      <c r="AQ19" s="109">
        <v>2</v>
      </c>
      <c r="AR19" s="9" t="s">
        <v>19</v>
      </c>
      <c r="AT19" s="125"/>
      <c r="AU19" s="126"/>
      <c r="AV19" s="127"/>
      <c r="AW19" s="127"/>
      <c r="AX19" s="127"/>
      <c r="AY19" s="125"/>
      <c r="AZ19" s="126"/>
      <c r="BA19" s="127"/>
      <c r="BB19" s="127"/>
      <c r="BC19" s="127"/>
      <c r="BD19" s="125"/>
      <c r="BE19" s="126"/>
      <c r="BF19" s="127"/>
      <c r="BG19" s="127"/>
      <c r="BH19" s="127"/>
      <c r="BI19" s="125"/>
      <c r="BJ19" s="128"/>
      <c r="BK19" s="127"/>
      <c r="BL19" s="127"/>
      <c r="BM19" s="127"/>
      <c r="BN19" s="125"/>
      <c r="BO19" s="128"/>
      <c r="BP19" s="127"/>
      <c r="BQ19" s="127"/>
      <c r="BR19" s="127"/>
      <c r="BS19" s="125"/>
      <c r="BU19" s="10" t="e">
        <f>#REF!</f>
        <v>#REF!</v>
      </c>
    </row>
    <row r="20" spans="2:73" s="10" customFormat="1" ht="18" customHeight="1" x14ac:dyDescent="0.2">
      <c r="B20" s="149">
        <v>16</v>
      </c>
      <c r="C20" s="149">
        <v>2</v>
      </c>
      <c r="D20" s="150" t="s">
        <v>451</v>
      </c>
      <c r="E20" s="160" t="s">
        <v>20</v>
      </c>
      <c r="F20" s="153" t="s">
        <v>469</v>
      </c>
      <c r="G20" s="216"/>
      <c r="H20" s="217" t="s">
        <v>912</v>
      </c>
      <c r="I20" s="218">
        <v>0.1</v>
      </c>
      <c r="J20" s="219">
        <v>1</v>
      </c>
      <c r="L20" s="111"/>
      <c r="M20" s="107" t="str">
        <f t="shared" si="0"/>
        <v>_</v>
      </c>
      <c r="N20" s="107">
        <f>'Project types'!$W$6</f>
        <v>2050</v>
      </c>
      <c r="O20" s="108">
        <f>IF(G20=1,(H20-1)+'Project types'!N21,IF(G20=2,H20-1,9999))</f>
        <v>9999</v>
      </c>
      <c r="P20" s="9">
        <f t="shared" si="27"/>
        <v>0</v>
      </c>
      <c r="Q20" s="9">
        <f t="shared" si="28"/>
        <v>0</v>
      </c>
      <c r="R20" s="9">
        <f t="shared" si="29"/>
        <v>0</v>
      </c>
      <c r="S20" s="9">
        <f t="shared" si="30"/>
        <v>0</v>
      </c>
      <c r="T20" s="9">
        <f t="shared" si="31"/>
        <v>0</v>
      </c>
      <c r="U20" s="9">
        <f t="shared" si="32"/>
        <v>0</v>
      </c>
      <c r="V20" s="9">
        <f t="shared" si="33"/>
        <v>0</v>
      </c>
      <c r="W20" s="9">
        <f t="shared" si="34"/>
        <v>0</v>
      </c>
      <c r="X20" s="9">
        <f t="shared" si="35"/>
        <v>0</v>
      </c>
      <c r="Y20" s="9">
        <f t="shared" si="36"/>
        <v>0</v>
      </c>
      <c r="Z20" s="9">
        <f t="shared" si="37"/>
        <v>0</v>
      </c>
      <c r="AA20" s="9">
        <f t="shared" si="38"/>
        <v>0</v>
      </c>
      <c r="AB20" s="9">
        <f t="shared" si="39"/>
        <v>0</v>
      </c>
      <c r="AC20" s="9">
        <f t="shared" si="40"/>
        <v>0</v>
      </c>
      <c r="AD20" s="9">
        <f t="shared" si="41"/>
        <v>0</v>
      </c>
      <c r="AE20" s="9">
        <f t="shared" si="42"/>
        <v>0</v>
      </c>
      <c r="AF20" s="9">
        <f t="shared" si="43"/>
        <v>0</v>
      </c>
      <c r="AG20" s="9">
        <f t="shared" si="44"/>
        <v>0</v>
      </c>
      <c r="AH20" s="9">
        <f t="shared" si="45"/>
        <v>0</v>
      </c>
      <c r="AI20" s="9">
        <f t="shared" si="46"/>
        <v>0</v>
      </c>
      <c r="AJ20" s="9">
        <f t="shared" si="47"/>
        <v>0</v>
      </c>
      <c r="AK20" s="9">
        <f t="shared" si="48"/>
        <v>0</v>
      </c>
      <c r="AL20" s="9">
        <f t="shared" si="49"/>
        <v>0</v>
      </c>
      <c r="AM20" s="9">
        <f t="shared" si="50"/>
        <v>0</v>
      </c>
      <c r="AN20" s="9">
        <f t="shared" si="51"/>
        <v>0</v>
      </c>
      <c r="AO20" s="10">
        <f t="shared" si="52"/>
        <v>0</v>
      </c>
      <c r="AQ20" s="109">
        <v>2</v>
      </c>
      <c r="AR20" s="9" t="s">
        <v>20</v>
      </c>
      <c r="AT20" s="125"/>
      <c r="AU20" s="126"/>
      <c r="AV20" s="127"/>
      <c r="AW20" s="127"/>
      <c r="AX20" s="127"/>
      <c r="AY20" s="125"/>
      <c r="AZ20" s="126"/>
      <c r="BA20" s="127"/>
      <c r="BB20" s="127"/>
      <c r="BC20" s="127"/>
      <c r="BD20" s="125"/>
      <c r="BE20" s="126"/>
      <c r="BF20" s="127"/>
      <c r="BG20" s="127"/>
      <c r="BH20" s="127"/>
      <c r="BI20" s="125"/>
      <c r="BJ20" s="128"/>
      <c r="BK20" s="127"/>
      <c r="BL20" s="127"/>
      <c r="BM20" s="127"/>
      <c r="BN20" s="125"/>
      <c r="BO20" s="128"/>
      <c r="BP20" s="127"/>
      <c r="BQ20" s="127"/>
      <c r="BR20" s="127"/>
      <c r="BS20" s="125"/>
      <c r="BU20" s="10" t="e">
        <f>#REF!</f>
        <v>#REF!</v>
      </c>
    </row>
    <row r="21" spans="2:73" s="10" customFormat="1" ht="18" customHeight="1" x14ac:dyDescent="0.2">
      <c r="B21" s="149">
        <v>17</v>
      </c>
      <c r="C21" s="149">
        <v>2</v>
      </c>
      <c r="D21" s="150" t="s">
        <v>451</v>
      </c>
      <c r="E21" s="160" t="s">
        <v>21</v>
      </c>
      <c r="F21" s="153" t="s">
        <v>119</v>
      </c>
      <c r="G21" s="216"/>
      <c r="H21" s="217" t="s">
        <v>912</v>
      </c>
      <c r="I21" s="218">
        <v>0.2</v>
      </c>
      <c r="J21" s="219">
        <v>1</v>
      </c>
      <c r="L21" s="111"/>
      <c r="M21" s="107" t="str">
        <f t="shared" si="0"/>
        <v>_</v>
      </c>
      <c r="N21" s="107">
        <f>'Project types'!$W$6</f>
        <v>2050</v>
      </c>
      <c r="O21" s="108">
        <f>IF(G21=1,(H21-1)+'Project types'!N22,IF(G21=2,H21-1,9999))</f>
        <v>9999</v>
      </c>
      <c r="P21" s="9">
        <f t="shared" si="27"/>
        <v>0</v>
      </c>
      <c r="Q21" s="9">
        <f t="shared" si="28"/>
        <v>0</v>
      </c>
      <c r="R21" s="9">
        <f t="shared" si="29"/>
        <v>0</v>
      </c>
      <c r="S21" s="9">
        <f t="shared" si="30"/>
        <v>0</v>
      </c>
      <c r="T21" s="9">
        <f t="shared" si="31"/>
        <v>0</v>
      </c>
      <c r="U21" s="9">
        <f t="shared" si="32"/>
        <v>0</v>
      </c>
      <c r="V21" s="9">
        <f t="shared" si="33"/>
        <v>0</v>
      </c>
      <c r="W21" s="9">
        <f t="shared" si="34"/>
        <v>0</v>
      </c>
      <c r="X21" s="9">
        <f t="shared" si="35"/>
        <v>0</v>
      </c>
      <c r="Y21" s="9">
        <f t="shared" si="36"/>
        <v>0</v>
      </c>
      <c r="Z21" s="9">
        <f t="shared" si="37"/>
        <v>0</v>
      </c>
      <c r="AA21" s="9">
        <f t="shared" si="38"/>
        <v>0</v>
      </c>
      <c r="AB21" s="9">
        <f t="shared" si="39"/>
        <v>0</v>
      </c>
      <c r="AC21" s="9">
        <f t="shared" si="40"/>
        <v>0</v>
      </c>
      <c r="AD21" s="9">
        <f t="shared" si="41"/>
        <v>0</v>
      </c>
      <c r="AE21" s="9">
        <f t="shared" si="42"/>
        <v>0</v>
      </c>
      <c r="AF21" s="9">
        <f t="shared" si="43"/>
        <v>0</v>
      </c>
      <c r="AG21" s="9">
        <f t="shared" si="44"/>
        <v>0</v>
      </c>
      <c r="AH21" s="9">
        <f t="shared" si="45"/>
        <v>0</v>
      </c>
      <c r="AI21" s="9">
        <f t="shared" si="46"/>
        <v>0</v>
      </c>
      <c r="AJ21" s="9">
        <f t="shared" si="47"/>
        <v>0</v>
      </c>
      <c r="AK21" s="9">
        <f t="shared" si="48"/>
        <v>0</v>
      </c>
      <c r="AL21" s="9">
        <f t="shared" si="49"/>
        <v>0</v>
      </c>
      <c r="AM21" s="9">
        <f t="shared" si="50"/>
        <v>0</v>
      </c>
      <c r="AN21" s="9">
        <f t="shared" si="51"/>
        <v>0</v>
      </c>
      <c r="AO21" s="10">
        <f t="shared" si="52"/>
        <v>0</v>
      </c>
      <c r="AQ21" s="109">
        <v>2</v>
      </c>
      <c r="AR21" s="9" t="s">
        <v>21</v>
      </c>
      <c r="AT21" s="125"/>
      <c r="AU21" s="126"/>
      <c r="AV21" s="127"/>
      <c r="AW21" s="127"/>
      <c r="AX21" s="127"/>
      <c r="AY21" s="125"/>
      <c r="AZ21" s="126"/>
      <c r="BA21" s="127"/>
      <c r="BB21" s="127"/>
      <c r="BC21" s="127"/>
      <c r="BD21" s="125"/>
      <c r="BE21" s="126"/>
      <c r="BF21" s="127"/>
      <c r="BG21" s="127"/>
      <c r="BH21" s="127"/>
      <c r="BI21" s="125"/>
      <c r="BJ21" s="128"/>
      <c r="BK21" s="127"/>
      <c r="BL21" s="127"/>
      <c r="BM21" s="127"/>
      <c r="BN21" s="125"/>
      <c r="BO21" s="128"/>
      <c r="BP21" s="127"/>
      <c r="BQ21" s="127"/>
      <c r="BR21" s="127"/>
      <c r="BS21" s="125"/>
      <c r="BU21" s="10" t="e">
        <f>#REF!</f>
        <v>#REF!</v>
      </c>
    </row>
    <row r="22" spans="2:73" s="10" customFormat="1" ht="18" customHeight="1" x14ac:dyDescent="0.2">
      <c r="B22" s="149">
        <v>18</v>
      </c>
      <c r="C22" s="149">
        <v>2</v>
      </c>
      <c r="D22" s="150" t="s">
        <v>451</v>
      </c>
      <c r="E22" s="160" t="s">
        <v>22</v>
      </c>
      <c r="F22" s="153" t="s">
        <v>120</v>
      </c>
      <c r="G22" s="216"/>
      <c r="H22" s="217" t="s">
        <v>912</v>
      </c>
      <c r="I22" s="218">
        <v>1</v>
      </c>
      <c r="J22" s="219">
        <v>1</v>
      </c>
      <c r="L22" s="111"/>
      <c r="M22" s="107" t="str">
        <f t="shared" si="0"/>
        <v>_</v>
      </c>
      <c r="N22" s="107">
        <f>'Project types'!$W$6</f>
        <v>2050</v>
      </c>
      <c r="O22" s="108">
        <f>IF(G22=1,(H22-1)+'Project types'!N23,IF(G22=2,H22-1,9999))</f>
        <v>9999</v>
      </c>
      <c r="P22" s="9">
        <f t="shared" si="27"/>
        <v>0</v>
      </c>
      <c r="Q22" s="9">
        <f t="shared" si="28"/>
        <v>0</v>
      </c>
      <c r="R22" s="9">
        <f t="shared" si="29"/>
        <v>0</v>
      </c>
      <c r="S22" s="9">
        <f t="shared" si="30"/>
        <v>0</v>
      </c>
      <c r="T22" s="9">
        <f t="shared" si="31"/>
        <v>0</v>
      </c>
      <c r="U22" s="9">
        <f t="shared" si="32"/>
        <v>0</v>
      </c>
      <c r="V22" s="9">
        <f t="shared" si="33"/>
        <v>0</v>
      </c>
      <c r="W22" s="9">
        <f t="shared" si="34"/>
        <v>0</v>
      </c>
      <c r="X22" s="9">
        <f t="shared" si="35"/>
        <v>0</v>
      </c>
      <c r="Y22" s="9">
        <f t="shared" si="36"/>
        <v>0</v>
      </c>
      <c r="Z22" s="9">
        <f t="shared" si="37"/>
        <v>0</v>
      </c>
      <c r="AA22" s="9">
        <f t="shared" si="38"/>
        <v>0</v>
      </c>
      <c r="AB22" s="9">
        <f t="shared" si="39"/>
        <v>0</v>
      </c>
      <c r="AC22" s="9">
        <f t="shared" si="40"/>
        <v>0</v>
      </c>
      <c r="AD22" s="9">
        <f t="shared" si="41"/>
        <v>0</v>
      </c>
      <c r="AE22" s="9">
        <f t="shared" si="42"/>
        <v>0</v>
      </c>
      <c r="AF22" s="9">
        <f t="shared" si="43"/>
        <v>0</v>
      </c>
      <c r="AG22" s="9">
        <f t="shared" si="44"/>
        <v>0</v>
      </c>
      <c r="AH22" s="9">
        <f t="shared" si="45"/>
        <v>0</v>
      </c>
      <c r="AI22" s="9">
        <f t="shared" si="46"/>
        <v>0</v>
      </c>
      <c r="AJ22" s="9">
        <f t="shared" si="47"/>
        <v>0</v>
      </c>
      <c r="AK22" s="9">
        <f t="shared" si="48"/>
        <v>0</v>
      </c>
      <c r="AL22" s="9">
        <f t="shared" si="49"/>
        <v>0</v>
      </c>
      <c r="AM22" s="9">
        <f t="shared" si="50"/>
        <v>0</v>
      </c>
      <c r="AN22" s="9">
        <f t="shared" si="51"/>
        <v>0</v>
      </c>
      <c r="AO22" s="10">
        <f t="shared" si="52"/>
        <v>0</v>
      </c>
      <c r="AQ22" s="109">
        <v>2</v>
      </c>
      <c r="AR22" s="9" t="s">
        <v>22</v>
      </c>
      <c r="AT22" s="125"/>
      <c r="AU22" s="126"/>
      <c r="AV22" s="127"/>
      <c r="AW22" s="127"/>
      <c r="AX22" s="127"/>
      <c r="AY22" s="125"/>
      <c r="AZ22" s="126"/>
      <c r="BA22" s="127"/>
      <c r="BB22" s="127"/>
      <c r="BC22" s="127"/>
      <c r="BD22" s="125"/>
      <c r="BE22" s="126"/>
      <c r="BF22" s="127"/>
      <c r="BG22" s="127"/>
      <c r="BH22" s="127"/>
      <c r="BI22" s="125"/>
      <c r="BJ22" s="128"/>
      <c r="BK22" s="127"/>
      <c r="BL22" s="127"/>
      <c r="BM22" s="127"/>
      <c r="BN22" s="125"/>
      <c r="BO22" s="128"/>
      <c r="BP22" s="127"/>
      <c r="BQ22" s="127"/>
      <c r="BR22" s="127"/>
      <c r="BS22" s="125"/>
      <c r="BU22" s="10" t="e">
        <f>#REF!</f>
        <v>#REF!</v>
      </c>
    </row>
    <row r="23" spans="2:73" s="10" customFormat="1" ht="18" customHeight="1" x14ac:dyDescent="0.2">
      <c r="B23" s="149">
        <v>19</v>
      </c>
      <c r="C23" s="149">
        <v>2</v>
      </c>
      <c r="D23" s="150" t="s">
        <v>451</v>
      </c>
      <c r="E23" s="160" t="s">
        <v>23</v>
      </c>
      <c r="F23" s="153" t="s">
        <v>121</v>
      </c>
      <c r="G23" s="216"/>
      <c r="H23" s="217" t="s">
        <v>912</v>
      </c>
      <c r="I23" s="218">
        <v>1</v>
      </c>
      <c r="J23" s="219">
        <v>1</v>
      </c>
      <c r="L23" s="111"/>
      <c r="M23" s="107" t="str">
        <f t="shared" si="0"/>
        <v>_</v>
      </c>
      <c r="N23" s="107">
        <f>'Project types'!$W$6</f>
        <v>2050</v>
      </c>
      <c r="O23" s="108">
        <f>IF(G23=1,(H23-1)+'Project types'!N24,IF(G23=2,H23-1,9999))</f>
        <v>9999</v>
      </c>
      <c r="P23" s="9">
        <f t="shared" si="27"/>
        <v>0</v>
      </c>
      <c r="Q23" s="9">
        <f t="shared" si="28"/>
        <v>0</v>
      </c>
      <c r="R23" s="9">
        <f t="shared" si="29"/>
        <v>0</v>
      </c>
      <c r="S23" s="9">
        <f t="shared" si="30"/>
        <v>0</v>
      </c>
      <c r="T23" s="9">
        <f t="shared" si="31"/>
        <v>0</v>
      </c>
      <c r="U23" s="9">
        <f t="shared" si="32"/>
        <v>0</v>
      </c>
      <c r="V23" s="9">
        <f t="shared" si="33"/>
        <v>0</v>
      </c>
      <c r="W23" s="9">
        <f t="shared" si="34"/>
        <v>0</v>
      </c>
      <c r="X23" s="9">
        <f t="shared" si="35"/>
        <v>0</v>
      </c>
      <c r="Y23" s="9">
        <f t="shared" si="36"/>
        <v>0</v>
      </c>
      <c r="Z23" s="9">
        <f t="shared" si="37"/>
        <v>0</v>
      </c>
      <c r="AA23" s="9">
        <f t="shared" si="38"/>
        <v>0</v>
      </c>
      <c r="AB23" s="9">
        <f t="shared" si="39"/>
        <v>0</v>
      </c>
      <c r="AC23" s="9">
        <f t="shared" si="40"/>
        <v>0</v>
      </c>
      <c r="AD23" s="9">
        <f t="shared" si="41"/>
        <v>0</v>
      </c>
      <c r="AE23" s="9">
        <f t="shared" si="42"/>
        <v>0</v>
      </c>
      <c r="AF23" s="9">
        <f t="shared" si="43"/>
        <v>0</v>
      </c>
      <c r="AG23" s="9">
        <f t="shared" si="44"/>
        <v>0</v>
      </c>
      <c r="AH23" s="9">
        <f t="shared" si="45"/>
        <v>0</v>
      </c>
      <c r="AI23" s="9">
        <f t="shared" si="46"/>
        <v>0</v>
      </c>
      <c r="AJ23" s="9">
        <f t="shared" si="47"/>
        <v>0</v>
      </c>
      <c r="AK23" s="9">
        <f t="shared" si="48"/>
        <v>0</v>
      </c>
      <c r="AL23" s="9">
        <f t="shared" si="49"/>
        <v>0</v>
      </c>
      <c r="AM23" s="9">
        <f t="shared" si="50"/>
        <v>0</v>
      </c>
      <c r="AN23" s="9">
        <f t="shared" si="51"/>
        <v>0</v>
      </c>
      <c r="AO23" s="10">
        <f t="shared" si="52"/>
        <v>0</v>
      </c>
      <c r="AQ23" s="109">
        <v>2</v>
      </c>
      <c r="AR23" s="9" t="s">
        <v>23</v>
      </c>
      <c r="AT23" s="125"/>
      <c r="AU23" s="126"/>
      <c r="AV23" s="127"/>
      <c r="AW23" s="127"/>
      <c r="AX23" s="127"/>
      <c r="AY23" s="125"/>
      <c r="AZ23" s="126"/>
      <c r="BA23" s="127"/>
      <c r="BB23" s="127"/>
      <c r="BC23" s="127"/>
      <c r="BD23" s="125"/>
      <c r="BE23" s="126"/>
      <c r="BF23" s="127"/>
      <c r="BG23" s="127"/>
      <c r="BH23" s="127"/>
      <c r="BI23" s="125"/>
      <c r="BJ23" s="128"/>
      <c r="BK23" s="127"/>
      <c r="BL23" s="127"/>
      <c r="BM23" s="127"/>
      <c r="BN23" s="125"/>
      <c r="BO23" s="128"/>
      <c r="BP23" s="127"/>
      <c r="BQ23" s="127"/>
      <c r="BR23" s="127"/>
      <c r="BS23" s="125"/>
      <c r="BU23" s="10" t="e">
        <f>#REF!</f>
        <v>#REF!</v>
      </c>
    </row>
    <row r="24" spans="2:73" s="10" customFormat="1" ht="18" customHeight="1" x14ac:dyDescent="0.2">
      <c r="B24" s="149">
        <v>20</v>
      </c>
      <c r="C24" s="149">
        <v>2</v>
      </c>
      <c r="D24" s="150" t="s">
        <v>451</v>
      </c>
      <c r="E24" s="160" t="s">
        <v>24</v>
      </c>
      <c r="F24" s="153" t="s">
        <v>390</v>
      </c>
      <c r="G24" s="216"/>
      <c r="H24" s="217" t="s">
        <v>912</v>
      </c>
      <c r="I24" s="218">
        <v>0.01</v>
      </c>
      <c r="J24" s="219">
        <v>1</v>
      </c>
      <c r="L24" s="111"/>
      <c r="M24" s="107" t="str">
        <f t="shared" si="0"/>
        <v>_</v>
      </c>
      <c r="N24" s="107">
        <f>'Project types'!$W$6</f>
        <v>2050</v>
      </c>
      <c r="O24" s="108">
        <f>IF(G24=1,(H24-1)+'Project types'!N25,IF(G24=2,H24-1,9999))</f>
        <v>9999</v>
      </c>
      <c r="P24" s="9">
        <f t="shared" si="27"/>
        <v>0</v>
      </c>
      <c r="Q24" s="9">
        <f t="shared" si="28"/>
        <v>0</v>
      </c>
      <c r="R24" s="9">
        <f t="shared" si="29"/>
        <v>0</v>
      </c>
      <c r="S24" s="9">
        <f t="shared" si="30"/>
        <v>0</v>
      </c>
      <c r="T24" s="9">
        <f t="shared" si="31"/>
        <v>0</v>
      </c>
      <c r="U24" s="9">
        <f t="shared" si="32"/>
        <v>0</v>
      </c>
      <c r="V24" s="9">
        <f t="shared" si="33"/>
        <v>0</v>
      </c>
      <c r="W24" s="9">
        <f t="shared" si="34"/>
        <v>0</v>
      </c>
      <c r="X24" s="9">
        <f t="shared" si="35"/>
        <v>0</v>
      </c>
      <c r="Y24" s="9">
        <f t="shared" si="36"/>
        <v>0</v>
      </c>
      <c r="Z24" s="9">
        <f t="shared" si="37"/>
        <v>0</v>
      </c>
      <c r="AA24" s="9">
        <f t="shared" si="38"/>
        <v>0</v>
      </c>
      <c r="AB24" s="9">
        <f t="shared" si="39"/>
        <v>0</v>
      </c>
      <c r="AC24" s="9">
        <f t="shared" si="40"/>
        <v>0</v>
      </c>
      <c r="AD24" s="9">
        <f t="shared" si="41"/>
        <v>0</v>
      </c>
      <c r="AE24" s="9">
        <f t="shared" si="42"/>
        <v>0</v>
      </c>
      <c r="AF24" s="9">
        <f t="shared" si="43"/>
        <v>0</v>
      </c>
      <c r="AG24" s="9">
        <f t="shared" si="44"/>
        <v>0</v>
      </c>
      <c r="AH24" s="9">
        <f t="shared" si="45"/>
        <v>0</v>
      </c>
      <c r="AI24" s="9">
        <f t="shared" si="46"/>
        <v>0</v>
      </c>
      <c r="AJ24" s="9">
        <f t="shared" si="47"/>
        <v>0</v>
      </c>
      <c r="AK24" s="9">
        <f t="shared" si="48"/>
        <v>0</v>
      </c>
      <c r="AL24" s="9">
        <f t="shared" si="49"/>
        <v>0</v>
      </c>
      <c r="AM24" s="9">
        <f t="shared" si="50"/>
        <v>0</v>
      </c>
      <c r="AN24" s="9">
        <f t="shared" si="51"/>
        <v>0</v>
      </c>
      <c r="AO24" s="10">
        <f t="shared" si="52"/>
        <v>0</v>
      </c>
      <c r="AQ24" s="109">
        <v>2</v>
      </c>
      <c r="AR24" s="9" t="s">
        <v>24</v>
      </c>
      <c r="AT24" s="125"/>
      <c r="AU24" s="126"/>
      <c r="AV24" s="127"/>
      <c r="AW24" s="127"/>
      <c r="AX24" s="127"/>
      <c r="AY24" s="125"/>
      <c r="AZ24" s="126"/>
      <c r="BA24" s="127"/>
      <c r="BB24" s="127"/>
      <c r="BC24" s="127"/>
      <c r="BD24" s="125"/>
      <c r="BE24" s="126"/>
      <c r="BF24" s="127"/>
      <c r="BG24" s="127"/>
      <c r="BH24" s="127"/>
      <c r="BI24" s="125"/>
      <c r="BJ24" s="128"/>
      <c r="BK24" s="127"/>
      <c r="BL24" s="127"/>
      <c r="BM24" s="127"/>
      <c r="BN24" s="125"/>
      <c r="BO24" s="128"/>
      <c r="BP24" s="127"/>
      <c r="BQ24" s="127"/>
      <c r="BR24" s="127"/>
      <c r="BS24" s="125"/>
      <c r="BU24" s="10" t="e">
        <f>#REF!</f>
        <v>#REF!</v>
      </c>
    </row>
    <row r="25" spans="2:73" s="10" customFormat="1" ht="18" customHeight="1" x14ac:dyDescent="0.2">
      <c r="B25" s="149">
        <v>21</v>
      </c>
      <c r="C25" s="149">
        <v>2</v>
      </c>
      <c r="D25" s="150" t="s">
        <v>451</v>
      </c>
      <c r="E25" s="160" t="s">
        <v>25</v>
      </c>
      <c r="F25" s="153" t="s">
        <v>123</v>
      </c>
      <c r="G25" s="216"/>
      <c r="H25" s="217" t="s">
        <v>912</v>
      </c>
      <c r="I25" s="218">
        <v>1</v>
      </c>
      <c r="J25" s="219">
        <v>1</v>
      </c>
      <c r="L25" s="111"/>
      <c r="M25" s="107" t="str">
        <f t="shared" si="0"/>
        <v>_</v>
      </c>
      <c r="N25" s="107">
        <f>'Project types'!$W$6</f>
        <v>2050</v>
      </c>
      <c r="O25" s="108">
        <f>IF(G25=1,(H25-1)+'Project types'!N26,IF(G25=2,H25-1,9999))</f>
        <v>9999</v>
      </c>
      <c r="P25" s="9">
        <f t="shared" si="27"/>
        <v>0</v>
      </c>
      <c r="Q25" s="9">
        <f t="shared" si="28"/>
        <v>0</v>
      </c>
      <c r="R25" s="9">
        <f t="shared" si="29"/>
        <v>0</v>
      </c>
      <c r="S25" s="9">
        <f t="shared" si="30"/>
        <v>0</v>
      </c>
      <c r="T25" s="9">
        <f t="shared" si="31"/>
        <v>0</v>
      </c>
      <c r="U25" s="9">
        <f t="shared" si="32"/>
        <v>0</v>
      </c>
      <c r="V25" s="9">
        <f t="shared" si="33"/>
        <v>0</v>
      </c>
      <c r="W25" s="9">
        <f t="shared" si="34"/>
        <v>0</v>
      </c>
      <c r="X25" s="9">
        <f t="shared" si="35"/>
        <v>0</v>
      </c>
      <c r="Y25" s="9">
        <f t="shared" si="36"/>
        <v>0</v>
      </c>
      <c r="Z25" s="9">
        <f t="shared" si="37"/>
        <v>0</v>
      </c>
      <c r="AA25" s="9">
        <f t="shared" si="38"/>
        <v>0</v>
      </c>
      <c r="AB25" s="9">
        <f t="shared" si="39"/>
        <v>0</v>
      </c>
      <c r="AC25" s="9">
        <f t="shared" si="40"/>
        <v>0</v>
      </c>
      <c r="AD25" s="9">
        <f t="shared" si="41"/>
        <v>0</v>
      </c>
      <c r="AE25" s="9">
        <f t="shared" si="42"/>
        <v>0</v>
      </c>
      <c r="AF25" s="9">
        <f t="shared" si="43"/>
        <v>0</v>
      </c>
      <c r="AG25" s="9">
        <f t="shared" si="44"/>
        <v>0</v>
      </c>
      <c r="AH25" s="9">
        <f t="shared" si="45"/>
        <v>0</v>
      </c>
      <c r="AI25" s="9">
        <f t="shared" si="46"/>
        <v>0</v>
      </c>
      <c r="AJ25" s="9">
        <f t="shared" si="47"/>
        <v>0</v>
      </c>
      <c r="AK25" s="9">
        <f t="shared" si="48"/>
        <v>0</v>
      </c>
      <c r="AL25" s="9">
        <f t="shared" si="49"/>
        <v>0</v>
      </c>
      <c r="AM25" s="9">
        <f t="shared" si="50"/>
        <v>0</v>
      </c>
      <c r="AN25" s="9">
        <f t="shared" si="51"/>
        <v>0</v>
      </c>
      <c r="AO25" s="10">
        <f t="shared" si="52"/>
        <v>0</v>
      </c>
      <c r="AQ25" s="109">
        <v>2</v>
      </c>
      <c r="AR25" s="9" t="s">
        <v>25</v>
      </c>
      <c r="AT25" s="125"/>
      <c r="AU25" s="126"/>
      <c r="AV25" s="127"/>
      <c r="AW25" s="127"/>
      <c r="AX25" s="127"/>
      <c r="AY25" s="125"/>
      <c r="AZ25" s="126"/>
      <c r="BA25" s="127"/>
      <c r="BB25" s="127"/>
      <c r="BC25" s="127"/>
      <c r="BD25" s="125"/>
      <c r="BE25" s="126"/>
      <c r="BF25" s="127"/>
      <c r="BG25" s="127"/>
      <c r="BH25" s="127"/>
      <c r="BI25" s="125"/>
      <c r="BJ25" s="128"/>
      <c r="BK25" s="127"/>
      <c r="BL25" s="127"/>
      <c r="BM25" s="127"/>
      <c r="BN25" s="125"/>
      <c r="BO25" s="128"/>
      <c r="BP25" s="127"/>
      <c r="BQ25" s="127"/>
      <c r="BR25" s="127"/>
      <c r="BS25" s="125"/>
      <c r="BU25" s="10" t="e">
        <f>#REF!</f>
        <v>#REF!</v>
      </c>
    </row>
    <row r="26" spans="2:73" s="10" customFormat="1" ht="18" customHeight="1" x14ac:dyDescent="0.2">
      <c r="B26" s="149">
        <v>22</v>
      </c>
      <c r="C26" s="149">
        <v>2</v>
      </c>
      <c r="D26" s="150" t="s">
        <v>451</v>
      </c>
      <c r="E26" s="160" t="s">
        <v>26</v>
      </c>
      <c r="F26" s="153" t="s">
        <v>122</v>
      </c>
      <c r="G26" s="216"/>
      <c r="H26" s="217" t="s">
        <v>912</v>
      </c>
      <c r="I26" s="218">
        <v>1</v>
      </c>
      <c r="J26" s="219">
        <v>1</v>
      </c>
      <c r="L26" s="111"/>
      <c r="M26" s="107" t="str">
        <f t="shared" si="0"/>
        <v>_</v>
      </c>
      <c r="N26" s="107">
        <f>'Project types'!$W$6</f>
        <v>2050</v>
      </c>
      <c r="O26" s="108">
        <f>IF(G26=1,(H26-1)+'Project types'!N27,IF(G26=2,H26-1,9999))</f>
        <v>9999</v>
      </c>
      <c r="P26" s="9">
        <f t="shared" si="27"/>
        <v>0</v>
      </c>
      <c r="Q26" s="9">
        <f t="shared" si="28"/>
        <v>0</v>
      </c>
      <c r="R26" s="9">
        <f t="shared" si="29"/>
        <v>0</v>
      </c>
      <c r="S26" s="9">
        <f t="shared" si="30"/>
        <v>0</v>
      </c>
      <c r="T26" s="9">
        <f t="shared" si="31"/>
        <v>0</v>
      </c>
      <c r="U26" s="9">
        <f t="shared" si="32"/>
        <v>0</v>
      </c>
      <c r="V26" s="9">
        <f t="shared" si="33"/>
        <v>0</v>
      </c>
      <c r="W26" s="9">
        <f t="shared" si="34"/>
        <v>0</v>
      </c>
      <c r="X26" s="9">
        <f t="shared" si="35"/>
        <v>0</v>
      </c>
      <c r="Y26" s="9">
        <f t="shared" si="36"/>
        <v>0</v>
      </c>
      <c r="Z26" s="9">
        <f t="shared" si="37"/>
        <v>0</v>
      </c>
      <c r="AA26" s="9">
        <f t="shared" si="38"/>
        <v>0</v>
      </c>
      <c r="AB26" s="9">
        <f t="shared" si="39"/>
        <v>0</v>
      </c>
      <c r="AC26" s="9">
        <f t="shared" si="40"/>
        <v>0</v>
      </c>
      <c r="AD26" s="9">
        <f t="shared" si="41"/>
        <v>0</v>
      </c>
      <c r="AE26" s="9">
        <f t="shared" si="42"/>
        <v>0</v>
      </c>
      <c r="AF26" s="9">
        <f t="shared" si="43"/>
        <v>0</v>
      </c>
      <c r="AG26" s="9">
        <f t="shared" si="44"/>
        <v>0</v>
      </c>
      <c r="AH26" s="9">
        <f t="shared" si="45"/>
        <v>0</v>
      </c>
      <c r="AI26" s="9">
        <f t="shared" si="46"/>
        <v>0</v>
      </c>
      <c r="AJ26" s="9">
        <f t="shared" si="47"/>
        <v>0</v>
      </c>
      <c r="AK26" s="9">
        <f t="shared" si="48"/>
        <v>0</v>
      </c>
      <c r="AL26" s="9">
        <f t="shared" si="49"/>
        <v>0</v>
      </c>
      <c r="AM26" s="9">
        <f t="shared" si="50"/>
        <v>0</v>
      </c>
      <c r="AN26" s="9">
        <f t="shared" si="51"/>
        <v>0</v>
      </c>
      <c r="AO26" s="10">
        <f t="shared" si="52"/>
        <v>0</v>
      </c>
      <c r="AQ26" s="109">
        <v>2</v>
      </c>
      <c r="AR26" s="9" t="s">
        <v>26</v>
      </c>
      <c r="AT26" s="125"/>
      <c r="AU26" s="126"/>
      <c r="AV26" s="127"/>
      <c r="AW26" s="127"/>
      <c r="AX26" s="127"/>
      <c r="AY26" s="125"/>
      <c r="AZ26" s="126"/>
      <c r="BA26" s="127"/>
      <c r="BB26" s="127"/>
      <c r="BC26" s="127"/>
      <c r="BD26" s="125"/>
      <c r="BE26" s="126"/>
      <c r="BF26" s="127"/>
      <c r="BG26" s="127"/>
      <c r="BH26" s="127"/>
      <c r="BI26" s="125"/>
      <c r="BJ26" s="128"/>
      <c r="BK26" s="127"/>
      <c r="BL26" s="127"/>
      <c r="BM26" s="127"/>
      <c r="BN26" s="125"/>
      <c r="BO26" s="128"/>
      <c r="BP26" s="127"/>
      <c r="BQ26" s="127"/>
      <c r="BR26" s="127"/>
      <c r="BS26" s="125"/>
      <c r="BU26" s="10" t="e">
        <f>#REF!</f>
        <v>#REF!</v>
      </c>
    </row>
    <row r="27" spans="2:73" s="10" customFormat="1" ht="18" customHeight="1" thickBot="1" x14ac:dyDescent="0.25">
      <c r="B27" s="154">
        <v>23</v>
      </c>
      <c r="C27" s="154">
        <v>2</v>
      </c>
      <c r="D27" s="155" t="s">
        <v>451</v>
      </c>
      <c r="E27" s="161" t="s">
        <v>27</v>
      </c>
      <c r="F27" s="157" t="s">
        <v>118</v>
      </c>
      <c r="G27" s="220"/>
      <c r="H27" s="224" t="s">
        <v>912</v>
      </c>
      <c r="I27" s="222">
        <v>1</v>
      </c>
      <c r="J27" s="223">
        <v>1</v>
      </c>
      <c r="L27" s="111"/>
      <c r="M27" s="107" t="str">
        <f t="shared" si="0"/>
        <v>_</v>
      </c>
      <c r="N27" s="107">
        <f>'Project types'!$W$6</f>
        <v>2050</v>
      </c>
      <c r="O27" s="108">
        <f>IF(G27=1,(H27-1)+'Project types'!N28,IF(G27=2,H27-1,9999))</f>
        <v>9999</v>
      </c>
      <c r="P27" s="9">
        <f t="shared" si="27"/>
        <v>0</v>
      </c>
      <c r="Q27" s="9">
        <f t="shared" si="28"/>
        <v>0</v>
      </c>
      <c r="R27" s="9">
        <f t="shared" si="29"/>
        <v>0</v>
      </c>
      <c r="S27" s="9">
        <f t="shared" si="30"/>
        <v>0</v>
      </c>
      <c r="T27" s="9">
        <f t="shared" si="31"/>
        <v>0</v>
      </c>
      <c r="U27" s="9">
        <f t="shared" si="32"/>
        <v>0</v>
      </c>
      <c r="V27" s="9">
        <f t="shared" si="33"/>
        <v>0</v>
      </c>
      <c r="W27" s="9">
        <f t="shared" si="34"/>
        <v>0</v>
      </c>
      <c r="X27" s="9">
        <f t="shared" si="35"/>
        <v>0</v>
      </c>
      <c r="Y27" s="9">
        <f t="shared" si="36"/>
        <v>0</v>
      </c>
      <c r="Z27" s="9">
        <f t="shared" si="37"/>
        <v>0</v>
      </c>
      <c r="AA27" s="9">
        <f t="shared" si="38"/>
        <v>0</v>
      </c>
      <c r="AB27" s="9">
        <f t="shared" si="39"/>
        <v>0</v>
      </c>
      <c r="AC27" s="9">
        <f t="shared" si="40"/>
        <v>0</v>
      </c>
      <c r="AD27" s="9">
        <f t="shared" si="41"/>
        <v>0</v>
      </c>
      <c r="AE27" s="9">
        <f t="shared" si="42"/>
        <v>0</v>
      </c>
      <c r="AF27" s="9">
        <f t="shared" si="43"/>
        <v>0</v>
      </c>
      <c r="AG27" s="9">
        <f t="shared" si="44"/>
        <v>0</v>
      </c>
      <c r="AH27" s="9">
        <f t="shared" si="45"/>
        <v>0</v>
      </c>
      <c r="AI27" s="9">
        <f t="shared" si="46"/>
        <v>0</v>
      </c>
      <c r="AJ27" s="9">
        <f t="shared" si="47"/>
        <v>0</v>
      </c>
      <c r="AK27" s="9">
        <f t="shared" si="48"/>
        <v>0</v>
      </c>
      <c r="AL27" s="9">
        <f t="shared" si="49"/>
        <v>0</v>
      </c>
      <c r="AM27" s="9">
        <f t="shared" si="50"/>
        <v>0</v>
      </c>
      <c r="AN27" s="9">
        <f t="shared" si="51"/>
        <v>0</v>
      </c>
      <c r="AO27" s="10">
        <f t="shared" si="52"/>
        <v>0</v>
      </c>
      <c r="AQ27" s="109">
        <v>2</v>
      </c>
      <c r="AR27" s="9" t="s">
        <v>27</v>
      </c>
      <c r="AT27" s="129"/>
      <c r="AU27" s="130"/>
      <c r="AV27" s="131"/>
      <c r="AW27" s="131"/>
      <c r="AX27" s="131"/>
      <c r="AY27" s="129"/>
      <c r="AZ27" s="130"/>
      <c r="BA27" s="131"/>
      <c r="BB27" s="131"/>
      <c r="BC27" s="131"/>
      <c r="BD27" s="129"/>
      <c r="BE27" s="130"/>
      <c r="BF27" s="131"/>
      <c r="BG27" s="131"/>
      <c r="BH27" s="131"/>
      <c r="BI27" s="129"/>
      <c r="BJ27" s="132"/>
      <c r="BK27" s="131"/>
      <c r="BL27" s="131"/>
      <c r="BM27" s="131"/>
      <c r="BN27" s="129"/>
      <c r="BO27" s="132"/>
      <c r="BP27" s="131"/>
      <c r="BQ27" s="131"/>
      <c r="BR27" s="131"/>
      <c r="BS27" s="129"/>
      <c r="BU27" s="10" t="e">
        <f>#REF!</f>
        <v>#REF!</v>
      </c>
    </row>
    <row r="28" spans="2:73" s="10" customFormat="1" ht="18" customHeight="1" x14ac:dyDescent="0.2">
      <c r="B28" s="145">
        <v>24</v>
      </c>
      <c r="C28" s="145">
        <v>3</v>
      </c>
      <c r="D28" s="146" t="s">
        <v>452</v>
      </c>
      <c r="E28" s="162" t="s">
        <v>28</v>
      </c>
      <c r="F28" s="159" t="s">
        <v>391</v>
      </c>
      <c r="G28" s="216"/>
      <c r="H28" s="217" t="s">
        <v>912</v>
      </c>
      <c r="I28" s="218">
        <v>0.01</v>
      </c>
      <c r="J28" s="219">
        <v>1</v>
      </c>
      <c r="L28" s="111"/>
      <c r="M28" s="107" t="str">
        <f t="shared" si="0"/>
        <v>_</v>
      </c>
      <c r="N28" s="107">
        <f>'Project types'!$W$6</f>
        <v>2050</v>
      </c>
      <c r="O28" s="108">
        <f>IF(G28=1,(H28-1)+'Project types'!N29,IF(G28=2,H28-1,9999))</f>
        <v>9999</v>
      </c>
      <c r="P28" s="9">
        <f t="shared" ref="P28:P34" si="53">_xlfn.IFS(AND(AND($P$4&gt;=$H28,$P$4&lt;=$O28)),6,AND(AND($P$4&gt;=$M28,$P$4&lt;=$N28)),5,AND(OR($P$4&lt;$M28,$P$4&gt;$N28)),0)</f>
        <v>0</v>
      </c>
      <c r="Q28" s="9">
        <f t="shared" ref="Q28:Q34" si="54">_xlfn.IFS(AND(AND($Q$4&gt;=$H28,$Q$4&lt;=$O28)),6,AND(AND($Q$4&gt;=$M28,$Q$4&lt;=$N28)),5,AND(OR($Q$4&lt;$M28,$Q$4&gt;$N28)),0)</f>
        <v>0</v>
      </c>
      <c r="R28" s="9">
        <f t="shared" ref="R28:R34" si="55">_xlfn.IFS(AND(AND($R$4&gt;=$H28,$R$4&lt;=$O28)),6,AND(AND($R$4&gt;=$M28,$R$4&lt;=$N28)),5,AND(OR($R$4&lt;$M28,$R$4&gt;$N28)),0)</f>
        <v>0</v>
      </c>
      <c r="S28" s="9">
        <f t="shared" ref="S28:S34" si="56">_xlfn.IFS(AND(AND($S$4&gt;=$H28,$S$4&lt;=$O28)),6,AND(AND($S$4&gt;=$M28,$S$4&lt;=$N28)),5,AND(OR($S$4&lt;$M28,$S$4&gt;$N28)),0)</f>
        <v>0</v>
      </c>
      <c r="T28" s="9">
        <f t="shared" ref="T28:T34" si="57">_xlfn.IFS(AND(AND($T$4&gt;=$H28,$T$4&lt;=$O28)),6,AND(AND($T$4&gt;=$M28,$T$4&lt;=$N28)),5,AND(OR($T$4&lt;$M28,$T$4&gt;$N28)),0)</f>
        <v>0</v>
      </c>
      <c r="U28" s="9">
        <f t="shared" ref="U28:U34" si="58">_xlfn.IFS(AND(AND($U$4&gt;=$H28,$U$4&lt;=$O28)),6,AND(AND($U$4&gt;=$M28,$U$4&lt;=$N28)),5,AND(OR($U$4&lt;$M28,$U$4&gt;$N28)),0)</f>
        <v>0</v>
      </c>
      <c r="V28" s="9">
        <f t="shared" ref="V28:V34" si="59">_xlfn.IFS(AND(AND($V$4&gt;=$H28,$V$4&lt;=$O28)),6,AND(AND($V$4&gt;=$M28,$V$4&lt;=$N28)),5,AND(OR($V$4&lt;$M28,$V$4&gt;$N28)),0)</f>
        <v>0</v>
      </c>
      <c r="W28" s="9">
        <f t="shared" ref="W28:W34" si="60">_xlfn.IFS(AND(AND($W$4&gt;=$H28,$W$4&lt;=$O28)),6,AND(AND($W$4&gt;=$M28,$W$4&lt;=$N28)),5,AND(OR($W$4&lt;$M28,$W$4&gt;$N28)),0)</f>
        <v>0</v>
      </c>
      <c r="X28" s="9">
        <f t="shared" ref="X28:X34" si="61">_xlfn.IFS(AND(AND($X$4&gt;=$H28,$X$4&lt;=$O28)),6,AND(AND($X$4&gt;=$M28,$X$4&lt;=$N28)),5,AND(OR($X$4&lt;$M28,$X$4&gt;$N28)),0)</f>
        <v>0</v>
      </c>
      <c r="Y28" s="9">
        <f t="shared" ref="Y28:Y34" si="62">_xlfn.IFS(AND(AND($Y$4&gt;=$H28,$Y$4&lt;=$O28)),6,AND(AND($Y$4&gt;=$M28,$Y$4&lt;=$N28)),5,AND(OR($Y$4&lt;$M28,$Y$4&gt;$N28)),0)</f>
        <v>0</v>
      </c>
      <c r="Z28" s="9">
        <f t="shared" ref="Z28:Z34" si="63">_xlfn.IFS(AND(AND($Z$4&gt;=$H28,$Z$4&lt;=$O28)),6,AND(AND($Z$4&gt;=$M28,$Z$4&lt;=$N28)),5,AND(OR($Z$4&lt;$M28,$Z$4&gt;$N28)),0)</f>
        <v>0</v>
      </c>
      <c r="AA28" s="9">
        <f t="shared" ref="AA28:AA34" si="64">_xlfn.IFS(AND(AND($AA$4&gt;=$H28,$AA$4&lt;=$O28)),6,AND(AND($AA$4&gt;=$M28,$AA$4&lt;=$N28)),5,AND(OR($AA$4&lt;$M28,$AA$4&gt;$N28)),0)</f>
        <v>0</v>
      </c>
      <c r="AB28" s="9">
        <f t="shared" ref="AB28:AB34" si="65">_xlfn.IFS(AND(AND($AB$4&gt;=$H28,$AB$4&lt;=$O28)),6,AND(AND($AB$4&gt;=$M28,$AB$4&lt;=$N28)),5,AND(OR($AB$4&lt;$M28,$AB$4&gt;$N28)),0)</f>
        <v>0</v>
      </c>
      <c r="AC28" s="9">
        <f t="shared" ref="AC28:AC34" si="66">_xlfn.IFS(AND(AND($AC$4&gt;=$H28,$AC$4&lt;=$O28)),6,AND(AND($AC$4&gt;=$M28,$AC$4&lt;=$N28)),5,AND(OR($AC$4&lt;$M28,$AC$4&gt;$N28)),0)</f>
        <v>0</v>
      </c>
      <c r="AD28" s="9">
        <f t="shared" ref="AD28:AD34" si="67">_xlfn.IFS(AND(AND($AD$4&gt;=$H28,$AD$4&lt;=$O28)),6,AND(AND($AD$4&gt;=$M28,$AD$4&lt;=$N28)),5,AND(OR($AD$4&lt;$M28,$AD$4&gt;$N28)),0)</f>
        <v>0</v>
      </c>
      <c r="AE28" s="9">
        <f t="shared" ref="AE28:AE34" si="68">_xlfn.IFS(AND(AND($AE$4&gt;=$H28,$AE$4&lt;=$O28)),6,AND(AND($AE$4&gt;=$M28,$AE$4&lt;=$N28)),5,AND(OR($AE$4&lt;$M28,$AE$4&gt;$N28)),0)</f>
        <v>0</v>
      </c>
      <c r="AF28" s="9">
        <f t="shared" ref="AF28:AF34" si="69">_xlfn.IFS(AND(AND($AF$4&gt;=$H28,$AF$4&lt;=$O28)),6,AND(AND($AF$4&gt;=$M28,$AF$4&lt;=$N28)),5,AND(OR($AF$4&lt;$M28,$AF$4&gt;$N28)),0)</f>
        <v>0</v>
      </c>
      <c r="AG28" s="9">
        <f t="shared" ref="AG28:AG34" si="70">_xlfn.IFS(AND(AND($AG$4&gt;=$H28,$AG$4&lt;=$O28)),6,AND(AND($AG$4&gt;=$M28,$AG$4&lt;=$N28)),5,AND(OR($AG$4&lt;$M28,$AG$4&gt;$N28)),0)</f>
        <v>0</v>
      </c>
      <c r="AH28" s="9">
        <f t="shared" ref="AH28:AH34" si="71">_xlfn.IFS(AND(AND($AH$4&gt;=$H28,$AH$4&lt;=$O28)),6,AND(AND($AH$4&gt;=$M28,$AH$4&lt;=$N28)),5,AND(OR($AH$4&lt;$M28,$AH$4&gt;$N28)),0)</f>
        <v>0</v>
      </c>
      <c r="AI28" s="9">
        <f t="shared" ref="AI28:AI34" si="72">_xlfn.IFS(AND(AND($AI$4&gt;=$H28,$AI$4&lt;=$O28)),6,AND(AND($AI$4&gt;=$M28,$AI$4&lt;=$N28)),5,AND(OR($AI$4&lt;$M28,$AI$4&gt;$N28)),0)</f>
        <v>0</v>
      </c>
      <c r="AJ28" s="9">
        <f t="shared" ref="AJ28:AJ34" si="73">_xlfn.IFS(AND(AND($AJ$4&gt;=$H28,$AJ$4&lt;=$O28)),6,AND(AND($AJ$4&gt;=$M28,$AJ$4&lt;=$N28)),5,AND(OR($AJ$4&lt;$M28,$AJ$4&gt;$N28)),0)</f>
        <v>0</v>
      </c>
      <c r="AK28" s="9">
        <f t="shared" ref="AK28:AK34" si="74">_xlfn.IFS(AND(AND($AK$4&gt;=$H28,$AK$4&lt;=$O28)),6,AND(AND($AK$4&gt;=$M28,$AK$4&lt;=$N28)),5,AND(OR($AK$4&lt;$M28,$AK$4&gt;$N28)),0)</f>
        <v>0</v>
      </c>
      <c r="AL28" s="9">
        <f t="shared" ref="AL28:AL34" si="75">_xlfn.IFS(AND(AND($AL$4&gt;=$H28,$AL$4&lt;=$O28)),6,AND(AND($AL$4&gt;=$M28,$AL$4&lt;=$N28)),5,AND(OR($AL$4&lt;$M28,$AL$4&gt;$N28)),0)</f>
        <v>0</v>
      </c>
      <c r="AM28" s="9">
        <f t="shared" ref="AM28:AM34" si="76">_xlfn.IFS(AND(AND($AM$4&gt;=$H28,$AM$4&lt;=$O28)),6,AND(AND($AM$4&gt;=$M28,$AM$4&lt;=$N28)),5,AND(OR($AM$4&lt;$M28,$AM$4&gt;$N28)),0)</f>
        <v>0</v>
      </c>
      <c r="AN28" s="9">
        <f t="shared" ref="AN28:AN34" si="77">_xlfn.IFS(AND(AND($AN$4&gt;=$H28,$AN$4&lt;=$O28)),6,AND(AND($AN$4&gt;=$M28,$AN$4&lt;=$N28)),5,AND(OR($AN$4&lt;$M28,$AN$4&gt;$N28)),0)</f>
        <v>0</v>
      </c>
      <c r="AO28" s="10">
        <f t="shared" ref="AO28:AO34" si="78">_xlfn.IFS(AND(AND($AO$4&gt;=$H28,$AO$4&lt;=$O28)),6,AND(AND($AO$4&gt;=$M28,$AO$4&lt;=$N28)),5,AND(OR($AO$4&lt;$M28,$AO$4&gt;$N28)),0)</f>
        <v>0</v>
      </c>
      <c r="AQ28" s="109">
        <v>3</v>
      </c>
      <c r="AR28" s="9" t="s">
        <v>28</v>
      </c>
      <c r="AT28" s="133"/>
      <c r="AU28" s="134"/>
      <c r="AV28" s="135"/>
      <c r="AW28" s="135"/>
      <c r="AX28" s="135"/>
      <c r="AY28" s="133"/>
      <c r="AZ28" s="134"/>
      <c r="BA28" s="135"/>
      <c r="BB28" s="135"/>
      <c r="BC28" s="135"/>
      <c r="BD28" s="133"/>
      <c r="BE28" s="134"/>
      <c r="BF28" s="135"/>
      <c r="BG28" s="135"/>
      <c r="BH28" s="135"/>
      <c r="BI28" s="133"/>
      <c r="BJ28" s="136"/>
      <c r="BK28" s="135"/>
      <c r="BL28" s="135"/>
      <c r="BM28" s="135"/>
      <c r="BN28" s="133"/>
      <c r="BO28" s="136"/>
      <c r="BP28" s="135"/>
      <c r="BQ28" s="135"/>
      <c r="BR28" s="135"/>
      <c r="BS28" s="133"/>
      <c r="BU28" s="10" t="e">
        <f>#REF!</f>
        <v>#REF!</v>
      </c>
    </row>
    <row r="29" spans="2:73" s="10" customFormat="1" ht="18" customHeight="1" x14ac:dyDescent="0.2">
      <c r="B29" s="149">
        <v>25</v>
      </c>
      <c r="C29" s="149">
        <v>3</v>
      </c>
      <c r="D29" s="150" t="s">
        <v>452</v>
      </c>
      <c r="E29" s="163" t="s">
        <v>29</v>
      </c>
      <c r="F29" s="153" t="s">
        <v>157</v>
      </c>
      <c r="G29" s="216"/>
      <c r="H29" s="217" t="s">
        <v>912</v>
      </c>
      <c r="I29" s="218">
        <v>0.01</v>
      </c>
      <c r="J29" s="219">
        <v>1</v>
      </c>
      <c r="L29" s="111"/>
      <c r="M29" s="107" t="str">
        <f t="shared" si="0"/>
        <v>_</v>
      </c>
      <c r="N29" s="107">
        <f>'Project types'!$W$6</f>
        <v>2050</v>
      </c>
      <c r="O29" s="108">
        <f>IF(G29=1,(H29-1)+'Project types'!N30,IF(G29=2,H29-1,9999))</f>
        <v>9999</v>
      </c>
      <c r="P29" s="9">
        <f t="shared" si="53"/>
        <v>0</v>
      </c>
      <c r="Q29" s="9">
        <f t="shared" si="54"/>
        <v>0</v>
      </c>
      <c r="R29" s="9">
        <f t="shared" si="55"/>
        <v>0</v>
      </c>
      <c r="S29" s="9">
        <f t="shared" si="56"/>
        <v>0</v>
      </c>
      <c r="T29" s="9">
        <f t="shared" si="57"/>
        <v>0</v>
      </c>
      <c r="U29" s="9">
        <f t="shared" si="58"/>
        <v>0</v>
      </c>
      <c r="V29" s="9">
        <f t="shared" si="59"/>
        <v>0</v>
      </c>
      <c r="W29" s="9">
        <f t="shared" si="60"/>
        <v>0</v>
      </c>
      <c r="X29" s="9">
        <f t="shared" si="61"/>
        <v>0</v>
      </c>
      <c r="Y29" s="9">
        <f t="shared" si="62"/>
        <v>0</v>
      </c>
      <c r="Z29" s="9">
        <f t="shared" si="63"/>
        <v>0</v>
      </c>
      <c r="AA29" s="9">
        <f t="shared" si="64"/>
        <v>0</v>
      </c>
      <c r="AB29" s="9">
        <f t="shared" si="65"/>
        <v>0</v>
      </c>
      <c r="AC29" s="9">
        <f t="shared" si="66"/>
        <v>0</v>
      </c>
      <c r="AD29" s="9">
        <f t="shared" si="67"/>
        <v>0</v>
      </c>
      <c r="AE29" s="9">
        <f t="shared" si="68"/>
        <v>0</v>
      </c>
      <c r="AF29" s="9">
        <f t="shared" si="69"/>
        <v>0</v>
      </c>
      <c r="AG29" s="9">
        <f t="shared" si="70"/>
        <v>0</v>
      </c>
      <c r="AH29" s="9">
        <f t="shared" si="71"/>
        <v>0</v>
      </c>
      <c r="AI29" s="9">
        <f t="shared" si="72"/>
        <v>0</v>
      </c>
      <c r="AJ29" s="9">
        <f t="shared" si="73"/>
        <v>0</v>
      </c>
      <c r="AK29" s="9">
        <f t="shared" si="74"/>
        <v>0</v>
      </c>
      <c r="AL29" s="9">
        <f t="shared" si="75"/>
        <v>0</v>
      </c>
      <c r="AM29" s="9">
        <f t="shared" si="76"/>
        <v>0</v>
      </c>
      <c r="AN29" s="9">
        <f t="shared" si="77"/>
        <v>0</v>
      </c>
      <c r="AO29" s="10">
        <f t="shared" si="78"/>
        <v>0</v>
      </c>
      <c r="AQ29" s="109">
        <v>3</v>
      </c>
      <c r="AR29" s="9" t="s">
        <v>29</v>
      </c>
      <c r="AT29" s="125"/>
      <c r="AU29" s="126"/>
      <c r="AV29" s="127"/>
      <c r="AW29" s="127"/>
      <c r="AX29" s="127"/>
      <c r="AY29" s="125"/>
      <c r="AZ29" s="126"/>
      <c r="BA29" s="127"/>
      <c r="BB29" s="127"/>
      <c r="BC29" s="127"/>
      <c r="BD29" s="125"/>
      <c r="BE29" s="126"/>
      <c r="BF29" s="127"/>
      <c r="BG29" s="127"/>
      <c r="BH29" s="127"/>
      <c r="BI29" s="125"/>
      <c r="BJ29" s="128"/>
      <c r="BK29" s="127"/>
      <c r="BL29" s="127"/>
      <c r="BM29" s="127"/>
      <c r="BN29" s="125"/>
      <c r="BO29" s="128"/>
      <c r="BP29" s="127"/>
      <c r="BQ29" s="127"/>
      <c r="BR29" s="127"/>
      <c r="BS29" s="125"/>
      <c r="BU29" s="10" t="e">
        <f>#REF!</f>
        <v>#REF!</v>
      </c>
    </row>
    <row r="30" spans="2:73" s="10" customFormat="1" ht="18" customHeight="1" x14ac:dyDescent="0.2">
      <c r="B30" s="149">
        <v>26</v>
      </c>
      <c r="C30" s="149">
        <v>3</v>
      </c>
      <c r="D30" s="150" t="s">
        <v>452</v>
      </c>
      <c r="E30" s="163" t="s">
        <v>30</v>
      </c>
      <c r="F30" s="153" t="s">
        <v>392</v>
      </c>
      <c r="G30" s="216"/>
      <c r="H30" s="217" t="s">
        <v>912</v>
      </c>
      <c r="I30" s="218">
        <v>0.01</v>
      </c>
      <c r="J30" s="219">
        <v>1</v>
      </c>
      <c r="L30" s="111"/>
      <c r="M30" s="107" t="str">
        <f t="shared" si="0"/>
        <v>_</v>
      </c>
      <c r="N30" s="107">
        <f>'Project types'!$W$6</f>
        <v>2050</v>
      </c>
      <c r="O30" s="108">
        <f>IF(G30=1,(H30-1)+'Project types'!N31,IF(G30=2,H30-1,9999))</f>
        <v>9999</v>
      </c>
      <c r="P30" s="9">
        <f t="shared" si="53"/>
        <v>0</v>
      </c>
      <c r="Q30" s="9">
        <f t="shared" si="54"/>
        <v>0</v>
      </c>
      <c r="R30" s="9">
        <f t="shared" si="55"/>
        <v>0</v>
      </c>
      <c r="S30" s="9">
        <f t="shared" si="56"/>
        <v>0</v>
      </c>
      <c r="T30" s="9">
        <f t="shared" si="57"/>
        <v>0</v>
      </c>
      <c r="U30" s="9">
        <f t="shared" si="58"/>
        <v>0</v>
      </c>
      <c r="V30" s="9">
        <f t="shared" si="59"/>
        <v>0</v>
      </c>
      <c r="W30" s="9">
        <f t="shared" si="60"/>
        <v>0</v>
      </c>
      <c r="X30" s="9">
        <f t="shared" si="61"/>
        <v>0</v>
      </c>
      <c r="Y30" s="9">
        <f t="shared" si="62"/>
        <v>0</v>
      </c>
      <c r="Z30" s="9">
        <f t="shared" si="63"/>
        <v>0</v>
      </c>
      <c r="AA30" s="9">
        <f t="shared" si="64"/>
        <v>0</v>
      </c>
      <c r="AB30" s="9">
        <f t="shared" si="65"/>
        <v>0</v>
      </c>
      <c r="AC30" s="9">
        <f t="shared" si="66"/>
        <v>0</v>
      </c>
      <c r="AD30" s="9">
        <f t="shared" si="67"/>
        <v>0</v>
      </c>
      <c r="AE30" s="9">
        <f t="shared" si="68"/>
        <v>0</v>
      </c>
      <c r="AF30" s="9">
        <f t="shared" si="69"/>
        <v>0</v>
      </c>
      <c r="AG30" s="9">
        <f t="shared" si="70"/>
        <v>0</v>
      </c>
      <c r="AH30" s="9">
        <f t="shared" si="71"/>
        <v>0</v>
      </c>
      <c r="AI30" s="9">
        <f t="shared" si="72"/>
        <v>0</v>
      </c>
      <c r="AJ30" s="9">
        <f t="shared" si="73"/>
        <v>0</v>
      </c>
      <c r="AK30" s="9">
        <f t="shared" si="74"/>
        <v>0</v>
      </c>
      <c r="AL30" s="9">
        <f t="shared" si="75"/>
        <v>0</v>
      </c>
      <c r="AM30" s="9">
        <f t="shared" si="76"/>
        <v>0</v>
      </c>
      <c r="AN30" s="9">
        <f t="shared" si="77"/>
        <v>0</v>
      </c>
      <c r="AO30" s="10">
        <f t="shared" si="78"/>
        <v>0</v>
      </c>
      <c r="AQ30" s="109">
        <v>3</v>
      </c>
      <c r="AR30" s="9" t="s">
        <v>30</v>
      </c>
      <c r="AT30" s="125"/>
      <c r="AU30" s="126"/>
      <c r="AV30" s="127"/>
      <c r="AW30" s="127"/>
      <c r="AX30" s="127"/>
      <c r="AY30" s="125"/>
      <c r="AZ30" s="126"/>
      <c r="BA30" s="127"/>
      <c r="BB30" s="127"/>
      <c r="BC30" s="127"/>
      <c r="BD30" s="125"/>
      <c r="BE30" s="126"/>
      <c r="BF30" s="127"/>
      <c r="BG30" s="127"/>
      <c r="BH30" s="127"/>
      <c r="BI30" s="125"/>
      <c r="BJ30" s="128"/>
      <c r="BK30" s="127"/>
      <c r="BL30" s="127"/>
      <c r="BM30" s="127"/>
      <c r="BN30" s="125"/>
      <c r="BO30" s="128"/>
      <c r="BP30" s="127"/>
      <c r="BQ30" s="127"/>
      <c r="BR30" s="127"/>
      <c r="BS30" s="125"/>
      <c r="BU30" s="10" t="e">
        <f>#REF!</f>
        <v>#REF!</v>
      </c>
    </row>
    <row r="31" spans="2:73" s="10" customFormat="1" ht="18" customHeight="1" x14ac:dyDescent="0.2">
      <c r="B31" s="149">
        <v>27</v>
      </c>
      <c r="C31" s="149">
        <v>3</v>
      </c>
      <c r="D31" s="150" t="s">
        <v>452</v>
      </c>
      <c r="E31" s="163" t="s">
        <v>31</v>
      </c>
      <c r="F31" s="153" t="s">
        <v>393</v>
      </c>
      <c r="G31" s="216"/>
      <c r="H31" s="217" t="s">
        <v>912</v>
      </c>
      <c r="I31" s="218">
        <v>0.01</v>
      </c>
      <c r="J31" s="219">
        <v>1</v>
      </c>
      <c r="L31" s="111"/>
      <c r="M31" s="107" t="str">
        <f t="shared" si="0"/>
        <v>_</v>
      </c>
      <c r="N31" s="107">
        <f>'Project types'!$W$6</f>
        <v>2050</v>
      </c>
      <c r="O31" s="108">
        <f>IF(G31=1,(H31-1)+'Project types'!N32,IF(G31=2,H31-1,9999))</f>
        <v>9999</v>
      </c>
      <c r="P31" s="9">
        <f t="shared" si="53"/>
        <v>0</v>
      </c>
      <c r="Q31" s="9">
        <f t="shared" si="54"/>
        <v>0</v>
      </c>
      <c r="R31" s="9">
        <f t="shared" si="55"/>
        <v>0</v>
      </c>
      <c r="S31" s="9">
        <f t="shared" si="56"/>
        <v>0</v>
      </c>
      <c r="T31" s="9">
        <f t="shared" si="57"/>
        <v>0</v>
      </c>
      <c r="U31" s="9">
        <f t="shared" si="58"/>
        <v>0</v>
      </c>
      <c r="V31" s="9">
        <f t="shared" si="59"/>
        <v>0</v>
      </c>
      <c r="W31" s="9">
        <f t="shared" si="60"/>
        <v>0</v>
      </c>
      <c r="X31" s="9">
        <f t="shared" si="61"/>
        <v>0</v>
      </c>
      <c r="Y31" s="9">
        <f t="shared" si="62"/>
        <v>0</v>
      </c>
      <c r="Z31" s="9">
        <f t="shared" si="63"/>
        <v>0</v>
      </c>
      <c r="AA31" s="9">
        <f t="shared" si="64"/>
        <v>0</v>
      </c>
      <c r="AB31" s="9">
        <f t="shared" si="65"/>
        <v>0</v>
      </c>
      <c r="AC31" s="9">
        <f t="shared" si="66"/>
        <v>0</v>
      </c>
      <c r="AD31" s="9">
        <f t="shared" si="67"/>
        <v>0</v>
      </c>
      <c r="AE31" s="9">
        <f t="shared" si="68"/>
        <v>0</v>
      </c>
      <c r="AF31" s="9">
        <f t="shared" si="69"/>
        <v>0</v>
      </c>
      <c r="AG31" s="9">
        <f t="shared" si="70"/>
        <v>0</v>
      </c>
      <c r="AH31" s="9">
        <f t="shared" si="71"/>
        <v>0</v>
      </c>
      <c r="AI31" s="9">
        <f t="shared" si="72"/>
        <v>0</v>
      </c>
      <c r="AJ31" s="9">
        <f t="shared" si="73"/>
        <v>0</v>
      </c>
      <c r="AK31" s="9">
        <f t="shared" si="74"/>
        <v>0</v>
      </c>
      <c r="AL31" s="9">
        <f t="shared" si="75"/>
        <v>0</v>
      </c>
      <c r="AM31" s="9">
        <f t="shared" si="76"/>
        <v>0</v>
      </c>
      <c r="AN31" s="9">
        <f t="shared" si="77"/>
        <v>0</v>
      </c>
      <c r="AO31" s="10">
        <f t="shared" si="78"/>
        <v>0</v>
      </c>
      <c r="AQ31" s="109">
        <v>3</v>
      </c>
      <c r="AR31" s="9" t="s">
        <v>31</v>
      </c>
      <c r="AT31" s="125"/>
      <c r="AU31" s="126"/>
      <c r="AV31" s="127"/>
      <c r="AW31" s="127"/>
      <c r="AX31" s="127"/>
      <c r="AY31" s="125"/>
      <c r="AZ31" s="126"/>
      <c r="BA31" s="127"/>
      <c r="BB31" s="127"/>
      <c r="BC31" s="127"/>
      <c r="BD31" s="125"/>
      <c r="BE31" s="126"/>
      <c r="BF31" s="127"/>
      <c r="BG31" s="127"/>
      <c r="BH31" s="127"/>
      <c r="BI31" s="125"/>
      <c r="BJ31" s="128"/>
      <c r="BK31" s="127"/>
      <c r="BL31" s="127"/>
      <c r="BM31" s="127"/>
      <c r="BN31" s="125"/>
      <c r="BO31" s="128"/>
      <c r="BP31" s="127"/>
      <c r="BQ31" s="127"/>
      <c r="BR31" s="127"/>
      <c r="BS31" s="125"/>
      <c r="BU31" s="10" t="e">
        <f>#REF!</f>
        <v>#REF!</v>
      </c>
    </row>
    <row r="32" spans="2:73" s="10" customFormat="1" ht="18" customHeight="1" x14ac:dyDescent="0.2">
      <c r="B32" s="149">
        <v>28</v>
      </c>
      <c r="C32" s="149">
        <v>3</v>
      </c>
      <c r="D32" s="150" t="s">
        <v>452</v>
      </c>
      <c r="E32" s="163" t="s">
        <v>32</v>
      </c>
      <c r="F32" s="153" t="s">
        <v>394</v>
      </c>
      <c r="G32" s="216"/>
      <c r="H32" s="217" t="s">
        <v>912</v>
      </c>
      <c r="I32" s="218">
        <v>0.01</v>
      </c>
      <c r="J32" s="219">
        <v>1</v>
      </c>
      <c r="L32" s="111"/>
      <c r="M32" s="107" t="str">
        <f t="shared" si="0"/>
        <v>_</v>
      </c>
      <c r="N32" s="107">
        <f>'Project types'!$W$6</f>
        <v>2050</v>
      </c>
      <c r="O32" s="108">
        <f>IF(G32=1,(H32-1)+'Project types'!N33,IF(G32=2,H32-1,9999))</f>
        <v>9999</v>
      </c>
      <c r="P32" s="9">
        <f t="shared" si="53"/>
        <v>0</v>
      </c>
      <c r="Q32" s="9">
        <f t="shared" si="54"/>
        <v>0</v>
      </c>
      <c r="R32" s="9">
        <f t="shared" si="55"/>
        <v>0</v>
      </c>
      <c r="S32" s="9">
        <f t="shared" si="56"/>
        <v>0</v>
      </c>
      <c r="T32" s="9">
        <f t="shared" si="57"/>
        <v>0</v>
      </c>
      <c r="U32" s="9">
        <f t="shared" si="58"/>
        <v>0</v>
      </c>
      <c r="V32" s="9">
        <f t="shared" si="59"/>
        <v>0</v>
      </c>
      <c r="W32" s="9">
        <f t="shared" si="60"/>
        <v>0</v>
      </c>
      <c r="X32" s="9">
        <f t="shared" si="61"/>
        <v>0</v>
      </c>
      <c r="Y32" s="9">
        <f t="shared" si="62"/>
        <v>0</v>
      </c>
      <c r="Z32" s="9">
        <f t="shared" si="63"/>
        <v>0</v>
      </c>
      <c r="AA32" s="9">
        <f t="shared" si="64"/>
        <v>0</v>
      </c>
      <c r="AB32" s="9">
        <f t="shared" si="65"/>
        <v>0</v>
      </c>
      <c r="AC32" s="9">
        <f t="shared" si="66"/>
        <v>0</v>
      </c>
      <c r="AD32" s="9">
        <f t="shared" si="67"/>
        <v>0</v>
      </c>
      <c r="AE32" s="9">
        <f t="shared" si="68"/>
        <v>0</v>
      </c>
      <c r="AF32" s="9">
        <f t="shared" si="69"/>
        <v>0</v>
      </c>
      <c r="AG32" s="9">
        <f t="shared" si="70"/>
        <v>0</v>
      </c>
      <c r="AH32" s="9">
        <f t="shared" si="71"/>
        <v>0</v>
      </c>
      <c r="AI32" s="9">
        <f t="shared" si="72"/>
        <v>0</v>
      </c>
      <c r="AJ32" s="9">
        <f t="shared" si="73"/>
        <v>0</v>
      </c>
      <c r="AK32" s="9">
        <f t="shared" si="74"/>
        <v>0</v>
      </c>
      <c r="AL32" s="9">
        <f t="shared" si="75"/>
        <v>0</v>
      </c>
      <c r="AM32" s="9">
        <f t="shared" si="76"/>
        <v>0</v>
      </c>
      <c r="AN32" s="9">
        <f t="shared" si="77"/>
        <v>0</v>
      </c>
      <c r="AO32" s="10">
        <f t="shared" si="78"/>
        <v>0</v>
      </c>
      <c r="AQ32" s="109">
        <v>3</v>
      </c>
      <c r="AR32" s="9" t="s">
        <v>32</v>
      </c>
      <c r="AT32" s="125"/>
      <c r="AU32" s="126"/>
      <c r="AV32" s="127"/>
      <c r="AW32" s="127"/>
      <c r="AX32" s="127"/>
      <c r="AY32" s="125"/>
      <c r="AZ32" s="126"/>
      <c r="BA32" s="127"/>
      <c r="BB32" s="127"/>
      <c r="BC32" s="127"/>
      <c r="BD32" s="125"/>
      <c r="BE32" s="126"/>
      <c r="BF32" s="127"/>
      <c r="BG32" s="127"/>
      <c r="BH32" s="127"/>
      <c r="BI32" s="125"/>
      <c r="BJ32" s="128"/>
      <c r="BK32" s="127"/>
      <c r="BL32" s="127"/>
      <c r="BM32" s="127"/>
      <c r="BN32" s="125"/>
      <c r="BO32" s="128"/>
      <c r="BP32" s="127"/>
      <c r="BQ32" s="127"/>
      <c r="BR32" s="127"/>
      <c r="BS32" s="125"/>
      <c r="BU32" s="10" t="e">
        <f>#REF!</f>
        <v>#REF!</v>
      </c>
    </row>
    <row r="33" spans="2:73" s="10" customFormat="1" ht="18" customHeight="1" x14ac:dyDescent="0.2">
      <c r="B33" s="149">
        <v>29</v>
      </c>
      <c r="C33" s="149">
        <v>3</v>
      </c>
      <c r="D33" s="150" t="s">
        <v>452</v>
      </c>
      <c r="E33" s="163" t="s">
        <v>33</v>
      </c>
      <c r="F33" s="153" t="s">
        <v>125</v>
      </c>
      <c r="G33" s="216"/>
      <c r="H33" s="217" t="s">
        <v>912</v>
      </c>
      <c r="I33" s="218">
        <v>0.01</v>
      </c>
      <c r="J33" s="219">
        <v>1</v>
      </c>
      <c r="L33" s="111"/>
      <c r="M33" s="107" t="str">
        <f t="shared" si="0"/>
        <v>_</v>
      </c>
      <c r="N33" s="107">
        <f>'Project types'!$W$6</f>
        <v>2050</v>
      </c>
      <c r="O33" s="108">
        <f>IF(G33=1,(H33-1)+'Project types'!N34,IF(G33=2,H33-1,9999))</f>
        <v>9999</v>
      </c>
      <c r="P33" s="9">
        <f t="shared" si="53"/>
        <v>0</v>
      </c>
      <c r="Q33" s="9">
        <f t="shared" si="54"/>
        <v>0</v>
      </c>
      <c r="R33" s="9">
        <f t="shared" si="55"/>
        <v>0</v>
      </c>
      <c r="S33" s="9">
        <f t="shared" si="56"/>
        <v>0</v>
      </c>
      <c r="T33" s="9">
        <f t="shared" si="57"/>
        <v>0</v>
      </c>
      <c r="U33" s="9">
        <f t="shared" si="58"/>
        <v>0</v>
      </c>
      <c r="V33" s="9">
        <f t="shared" si="59"/>
        <v>0</v>
      </c>
      <c r="W33" s="9">
        <f t="shared" si="60"/>
        <v>0</v>
      </c>
      <c r="X33" s="9">
        <f t="shared" si="61"/>
        <v>0</v>
      </c>
      <c r="Y33" s="9">
        <f t="shared" si="62"/>
        <v>0</v>
      </c>
      <c r="Z33" s="9">
        <f t="shared" si="63"/>
        <v>0</v>
      </c>
      <c r="AA33" s="9">
        <f t="shared" si="64"/>
        <v>0</v>
      </c>
      <c r="AB33" s="9">
        <f t="shared" si="65"/>
        <v>0</v>
      </c>
      <c r="AC33" s="9">
        <f t="shared" si="66"/>
        <v>0</v>
      </c>
      <c r="AD33" s="9">
        <f t="shared" si="67"/>
        <v>0</v>
      </c>
      <c r="AE33" s="9">
        <f t="shared" si="68"/>
        <v>0</v>
      </c>
      <c r="AF33" s="9">
        <f t="shared" si="69"/>
        <v>0</v>
      </c>
      <c r="AG33" s="9">
        <f t="shared" si="70"/>
        <v>0</v>
      </c>
      <c r="AH33" s="9">
        <f t="shared" si="71"/>
        <v>0</v>
      </c>
      <c r="AI33" s="9">
        <f t="shared" si="72"/>
        <v>0</v>
      </c>
      <c r="AJ33" s="9">
        <f t="shared" si="73"/>
        <v>0</v>
      </c>
      <c r="AK33" s="9">
        <f t="shared" si="74"/>
        <v>0</v>
      </c>
      <c r="AL33" s="9">
        <f t="shared" si="75"/>
        <v>0</v>
      </c>
      <c r="AM33" s="9">
        <f t="shared" si="76"/>
        <v>0</v>
      </c>
      <c r="AN33" s="9">
        <f t="shared" si="77"/>
        <v>0</v>
      </c>
      <c r="AO33" s="10">
        <f t="shared" si="78"/>
        <v>0</v>
      </c>
      <c r="AQ33" s="109">
        <v>3</v>
      </c>
      <c r="AR33" s="9" t="s">
        <v>33</v>
      </c>
      <c r="AT33" s="125"/>
      <c r="AU33" s="126"/>
      <c r="AV33" s="127"/>
      <c r="AW33" s="127"/>
      <c r="AX33" s="127"/>
      <c r="AY33" s="125"/>
      <c r="AZ33" s="126"/>
      <c r="BA33" s="127"/>
      <c r="BB33" s="127"/>
      <c r="BC33" s="127"/>
      <c r="BD33" s="125"/>
      <c r="BE33" s="126"/>
      <c r="BF33" s="127"/>
      <c r="BG33" s="127"/>
      <c r="BH33" s="127"/>
      <c r="BI33" s="125"/>
      <c r="BJ33" s="128"/>
      <c r="BK33" s="127"/>
      <c r="BL33" s="127"/>
      <c r="BM33" s="127"/>
      <c r="BN33" s="125"/>
      <c r="BO33" s="128"/>
      <c r="BP33" s="127"/>
      <c r="BQ33" s="127"/>
      <c r="BR33" s="127"/>
      <c r="BS33" s="125"/>
      <c r="BU33" s="10" t="e">
        <f>#REF!</f>
        <v>#REF!</v>
      </c>
    </row>
    <row r="34" spans="2:73" s="10" customFormat="1" ht="18" customHeight="1" thickBot="1" x14ac:dyDescent="0.25">
      <c r="B34" s="154">
        <v>30</v>
      </c>
      <c r="C34" s="154">
        <v>3</v>
      </c>
      <c r="D34" s="155" t="s">
        <v>452</v>
      </c>
      <c r="E34" s="164" t="s">
        <v>34</v>
      </c>
      <c r="F34" s="157" t="s">
        <v>118</v>
      </c>
      <c r="G34" s="220"/>
      <c r="H34" s="224" t="s">
        <v>912</v>
      </c>
      <c r="I34" s="222">
        <v>0.01</v>
      </c>
      <c r="J34" s="223">
        <v>1</v>
      </c>
      <c r="L34" s="111"/>
      <c r="M34" s="107" t="str">
        <f t="shared" si="0"/>
        <v>_</v>
      </c>
      <c r="N34" s="107">
        <f>'Project types'!$W$6</f>
        <v>2050</v>
      </c>
      <c r="O34" s="108">
        <f>IF(G34=1,(H34-1)+'Project types'!N35,IF(G34=2,H34-1,9999))</f>
        <v>9999</v>
      </c>
      <c r="P34" s="9">
        <f t="shared" si="53"/>
        <v>0</v>
      </c>
      <c r="Q34" s="9">
        <f t="shared" si="54"/>
        <v>0</v>
      </c>
      <c r="R34" s="9">
        <f t="shared" si="55"/>
        <v>0</v>
      </c>
      <c r="S34" s="9">
        <f t="shared" si="56"/>
        <v>0</v>
      </c>
      <c r="T34" s="9">
        <f t="shared" si="57"/>
        <v>0</v>
      </c>
      <c r="U34" s="9">
        <f t="shared" si="58"/>
        <v>0</v>
      </c>
      <c r="V34" s="9">
        <f t="shared" si="59"/>
        <v>0</v>
      </c>
      <c r="W34" s="9">
        <f t="shared" si="60"/>
        <v>0</v>
      </c>
      <c r="X34" s="9">
        <f t="shared" si="61"/>
        <v>0</v>
      </c>
      <c r="Y34" s="9">
        <f t="shared" si="62"/>
        <v>0</v>
      </c>
      <c r="Z34" s="9">
        <f t="shared" si="63"/>
        <v>0</v>
      </c>
      <c r="AA34" s="9">
        <f t="shared" si="64"/>
        <v>0</v>
      </c>
      <c r="AB34" s="9">
        <f t="shared" si="65"/>
        <v>0</v>
      </c>
      <c r="AC34" s="9">
        <f t="shared" si="66"/>
        <v>0</v>
      </c>
      <c r="AD34" s="9">
        <f t="shared" si="67"/>
        <v>0</v>
      </c>
      <c r="AE34" s="9">
        <f t="shared" si="68"/>
        <v>0</v>
      </c>
      <c r="AF34" s="9">
        <f t="shared" si="69"/>
        <v>0</v>
      </c>
      <c r="AG34" s="9">
        <f t="shared" si="70"/>
        <v>0</v>
      </c>
      <c r="AH34" s="9">
        <f t="shared" si="71"/>
        <v>0</v>
      </c>
      <c r="AI34" s="9">
        <f t="shared" si="72"/>
        <v>0</v>
      </c>
      <c r="AJ34" s="9">
        <f t="shared" si="73"/>
        <v>0</v>
      </c>
      <c r="AK34" s="9">
        <f t="shared" si="74"/>
        <v>0</v>
      </c>
      <c r="AL34" s="9">
        <f t="shared" si="75"/>
        <v>0</v>
      </c>
      <c r="AM34" s="9">
        <f t="shared" si="76"/>
        <v>0</v>
      </c>
      <c r="AN34" s="9">
        <f t="shared" si="77"/>
        <v>0</v>
      </c>
      <c r="AO34" s="10">
        <f t="shared" si="78"/>
        <v>0</v>
      </c>
      <c r="AQ34" s="109">
        <v>3</v>
      </c>
      <c r="AR34" s="9" t="s">
        <v>34</v>
      </c>
      <c r="AT34" s="129"/>
      <c r="AU34" s="130"/>
      <c r="AV34" s="131"/>
      <c r="AW34" s="131"/>
      <c r="AX34" s="131"/>
      <c r="AY34" s="129"/>
      <c r="AZ34" s="130"/>
      <c r="BA34" s="131"/>
      <c r="BB34" s="131"/>
      <c r="BC34" s="131"/>
      <c r="BD34" s="129"/>
      <c r="BE34" s="130"/>
      <c r="BF34" s="131"/>
      <c r="BG34" s="131"/>
      <c r="BH34" s="131"/>
      <c r="BI34" s="129"/>
      <c r="BJ34" s="132"/>
      <c r="BK34" s="131"/>
      <c r="BL34" s="131"/>
      <c r="BM34" s="131"/>
      <c r="BN34" s="129"/>
      <c r="BO34" s="132"/>
      <c r="BP34" s="131"/>
      <c r="BQ34" s="131"/>
      <c r="BR34" s="131"/>
      <c r="BS34" s="129"/>
      <c r="BU34" s="10" t="e">
        <f>#REF!</f>
        <v>#REF!</v>
      </c>
    </row>
    <row r="35" spans="2:73" s="10" customFormat="1" ht="18" customHeight="1" x14ac:dyDescent="0.2">
      <c r="B35" s="145">
        <v>31</v>
      </c>
      <c r="C35" s="145">
        <v>4</v>
      </c>
      <c r="D35" s="165" t="s">
        <v>453</v>
      </c>
      <c r="E35" s="166" t="s">
        <v>35</v>
      </c>
      <c r="F35" s="159" t="s">
        <v>395</v>
      </c>
      <c r="G35" s="216"/>
      <c r="H35" s="217" t="s">
        <v>912</v>
      </c>
      <c r="I35" s="218">
        <v>1</v>
      </c>
      <c r="J35" s="219">
        <v>1</v>
      </c>
      <c r="L35" s="111"/>
      <c r="M35" s="107" t="str">
        <f t="shared" si="0"/>
        <v>_</v>
      </c>
      <c r="N35" s="107">
        <f>'Project types'!$W$6</f>
        <v>2050</v>
      </c>
      <c r="O35" s="108">
        <f>IF(G35=1,(H35-1)+'Project types'!N36,IF(G35=2,H35-1,9999))</f>
        <v>9999</v>
      </c>
      <c r="P35" s="9">
        <f t="shared" ref="P35:P49" si="79">_xlfn.IFS(AND(AND($P$4&gt;=$H35,$P$4&lt;=$O35)),8,AND(AND($P$4&gt;=$M35,$P$4&lt;=$N35)),7,AND(OR($P$4&lt;$M35,$P$4&gt;$N35)),0)</f>
        <v>0</v>
      </c>
      <c r="Q35" s="9">
        <f t="shared" ref="Q35:Q49" si="80">_xlfn.IFS(AND(AND($Q$4&gt;=$H35,$Q$4&lt;=$O35)),8,AND(AND($Q$4&gt;=$M35,$Q$4&lt;=$N35)),7,AND(OR($Q$4&lt;$M35,$Q$4&gt;$N35)),0)</f>
        <v>0</v>
      </c>
      <c r="R35" s="9">
        <f t="shared" ref="R35:R49" si="81">_xlfn.IFS(AND(AND($R$4&gt;=$H35,$R$4&lt;=$O35)),8,AND(AND($R$4&gt;=$M35,$R$4&lt;=$N35)),7,AND(OR($R$4&lt;$M35,$R$4&gt;$N35)),0)</f>
        <v>0</v>
      </c>
      <c r="S35" s="9">
        <f t="shared" ref="S35:S49" si="82">_xlfn.IFS(AND(AND($S$4&gt;=$H35,$S$4&lt;=$O35)),8,AND(AND($S$4&gt;=$M35,$S$4&lt;=$N35)),7,AND(OR($S$4&lt;$M35,$S$4&gt;$N35)),0)</f>
        <v>0</v>
      </c>
      <c r="T35" s="9">
        <f t="shared" ref="T35:T49" si="83">_xlfn.IFS(AND(AND($T$4&gt;=$H35,$T$4&lt;=$O35)),8,AND(AND($T$4&gt;=$M35,$T$4&lt;=$N35)),7,AND(OR($T$4&lt;$M35,$T$4&gt;$N35)),0)</f>
        <v>0</v>
      </c>
      <c r="U35" s="9">
        <f t="shared" ref="U35:U49" si="84">_xlfn.IFS(AND(AND($U$4&gt;=$H35,$U$4&lt;=$O35)),8,AND(AND($U$4&gt;=$M35,$U$4&lt;=$N35)),7,AND(OR($U$4&lt;$M35,$U$4&gt;$N35)),0)</f>
        <v>0</v>
      </c>
      <c r="V35" s="9">
        <f t="shared" ref="V35:V49" si="85">_xlfn.IFS(AND(AND($V$4&gt;=$H35,$V$4&lt;=$O35)),8,AND(AND($V$4&gt;=$M35,$V$4&lt;=$N35)),7,AND(OR($V$4&lt;$M35,$V$4&gt;$N35)),0)</f>
        <v>0</v>
      </c>
      <c r="W35" s="9">
        <f t="shared" ref="W35:W49" si="86">_xlfn.IFS(AND(AND($W$4&gt;=$H35,$W$4&lt;=$O35)),8,AND(AND($W$4&gt;=$M35,$W$4&lt;=$N35)),7,AND(OR($W$4&lt;$M35,$W$4&gt;$N35)),0)</f>
        <v>0</v>
      </c>
      <c r="X35" s="9">
        <f t="shared" ref="X35:X49" si="87">_xlfn.IFS(AND(AND($X$4&gt;=$H35,$X$4&lt;=$O35)),8,AND(AND($X$4&gt;=$M35,$X$4&lt;=$N35)),7,AND(OR($X$4&lt;$M35,$X$4&gt;$N35)),0)</f>
        <v>0</v>
      </c>
      <c r="Y35" s="9">
        <f t="shared" ref="Y35:Y49" si="88">_xlfn.IFS(AND(AND($Y$4&gt;=$H35,$Y$4&lt;=$O35)),8,AND(AND($Y$4&gt;=$M35,$Y$4&lt;=$N35)),7,AND(OR($Y$4&lt;$M35,$Y$4&gt;$N35)),0)</f>
        <v>0</v>
      </c>
      <c r="Z35" s="9">
        <f t="shared" ref="Z35:Z49" si="89">_xlfn.IFS(AND(AND($Z$4&gt;=$H35,$Z$4&lt;=$O35)),8,AND(AND($Z$4&gt;=$M35,$Z$4&lt;=$N35)),7,AND(OR($Z$4&lt;$M35,$Z$4&gt;$N35)),0)</f>
        <v>0</v>
      </c>
      <c r="AA35" s="9">
        <f t="shared" ref="AA35:AA49" si="90">_xlfn.IFS(AND(AND($AA$4&gt;=$H35,$AA$4&lt;=$O35)),8,AND(AND($AA$4&gt;=$M35,$AA$4&lt;=$N35)),7,AND(OR($AA$4&lt;$M35,$AA$4&gt;$N35)),0)</f>
        <v>0</v>
      </c>
      <c r="AB35" s="9">
        <f t="shared" ref="AB35:AB49" si="91">_xlfn.IFS(AND(AND($AB$4&gt;=$H35,$AB$4&lt;=$O35)),8,AND(AND($AB$4&gt;=$M35,$AB$4&lt;=$N35)),7,AND(OR($AB$4&lt;$M35,$AB$4&gt;$N35)),0)</f>
        <v>0</v>
      </c>
      <c r="AC35" s="9">
        <f t="shared" ref="AC35:AC49" si="92">_xlfn.IFS(AND(AND($AC$4&gt;=$H35,$AC$4&lt;=$O35)),8,AND(AND($AC$4&gt;=$M35,$AC$4&lt;=$N35)),7,AND(OR($AC$4&lt;$M35,$AC$4&gt;$N35)),0)</f>
        <v>0</v>
      </c>
      <c r="AD35" s="9">
        <f t="shared" ref="AD35:AD49" si="93">_xlfn.IFS(AND(AND($AD$4&gt;=$H35,$AD$4&lt;=$O35)),8,AND(AND($AD$4&gt;=$M35,$AD$4&lt;=$N35)),7,AND(OR($AD$4&lt;$M35,$AD$4&gt;$N35)),0)</f>
        <v>0</v>
      </c>
      <c r="AE35" s="9">
        <f t="shared" ref="AE35:AE49" si="94">_xlfn.IFS(AND(AND($AE$4&gt;=$H35,$AE$4&lt;=$O35)),8,AND(AND($AE$4&gt;=$M35,$AE$4&lt;=$N35)),7,AND(OR($AE$4&lt;$M35,$AE$4&gt;$N35)),0)</f>
        <v>0</v>
      </c>
      <c r="AF35" s="9">
        <f t="shared" ref="AF35:AF49" si="95">_xlfn.IFS(AND(AND($AF$4&gt;=$H35,$AF$4&lt;=$O35)),8,AND(AND($AF$4&gt;=$M35,$AF$4&lt;=$N35)),7,AND(OR($AF$4&lt;$M35,$AF$4&gt;$N35)),0)</f>
        <v>0</v>
      </c>
      <c r="AG35" s="9">
        <f t="shared" ref="AG35:AG49" si="96">_xlfn.IFS(AND(AND($AG$4&gt;=$H35,$AG$4&lt;=$O35)),8,AND(AND($AG$4&gt;=$M35,$AG$4&lt;=$N35)),7,AND(OR($AG$4&lt;$M35,$AG$4&gt;$N35)),0)</f>
        <v>0</v>
      </c>
      <c r="AH35" s="9">
        <f t="shared" ref="AH35:AH49" si="97">_xlfn.IFS(AND(AND($AH$4&gt;=$H35,$AH$4&lt;=$O35)),8,AND(AND($AH$4&gt;=$M35,$AH$4&lt;=$N35)),7,AND(OR($AH$4&lt;$M35,$AH$4&gt;$N35)),0)</f>
        <v>0</v>
      </c>
      <c r="AI35" s="9">
        <f t="shared" ref="AI35:AI49" si="98">_xlfn.IFS(AND(AND($AI$4&gt;=$H35,$AI$4&lt;=$O35)),8,AND(AND($AI$4&gt;=$M35,$AI$4&lt;=$N35)),7,AND(OR($AI$4&lt;$M35,$AI$4&gt;$N35)),0)</f>
        <v>0</v>
      </c>
      <c r="AJ35" s="9">
        <f t="shared" ref="AJ35:AJ49" si="99">_xlfn.IFS(AND(AND($AJ$4&gt;=$H35,$AJ$4&lt;=$O35)),8,AND(AND($AJ$4&gt;=$M35,$AJ$4&lt;=$N35)),7,AND(OR($AJ$4&lt;$M35,$AJ$4&gt;$N35)),0)</f>
        <v>0</v>
      </c>
      <c r="AK35" s="9">
        <f t="shared" ref="AK35:AK49" si="100">_xlfn.IFS(AND(AND($AK$4&gt;=$H35,$AK$4&lt;=$O35)),8,AND(AND($AK$4&gt;=$M35,$AK$4&lt;=$N35)),7,AND(OR($AK$4&lt;$M35,$AK$4&gt;$N35)),0)</f>
        <v>0</v>
      </c>
      <c r="AL35" s="9">
        <f t="shared" ref="AL35:AL49" si="101">_xlfn.IFS(AND(AND($AL$4&gt;=$H35,$AL$4&lt;=$O35)),8,AND(AND($AL$4&gt;=$M35,$AL$4&lt;=$N35)),7,AND(OR($AL$4&lt;$M35,$AL$4&gt;$N35)),0)</f>
        <v>0</v>
      </c>
      <c r="AM35" s="9">
        <f t="shared" ref="AM35:AM49" si="102">_xlfn.IFS(AND(AND($AM$4&gt;=$H35,$AM$4&lt;=$O35)),8,AND(AND($AM$4&gt;=$M35,$AM$4&lt;=$N35)),7,AND(OR($AM$4&lt;$M35,$AM$4&gt;$N35)),0)</f>
        <v>0</v>
      </c>
      <c r="AN35" s="9">
        <f t="shared" ref="AN35:AN49" si="103">_xlfn.IFS(AND(AND($AN$4&gt;=$H35,$AN$4&lt;=$O35)),8,AND(AND($AN$4&gt;=$M35,$AN$4&lt;=$N35)),7,AND(OR($AN$4&lt;$M35,$AN$4&gt;$N35)),0)</f>
        <v>0</v>
      </c>
      <c r="AO35" s="10">
        <f t="shared" ref="AO35:AO49" si="104">_xlfn.IFS(AND(AND($AO$4&gt;=$H35,$AO$4&lt;=$O35)),8,AND(AND($AO$4&gt;=$M35,$AO$4&lt;=$N35)),7,AND(OR($AO$4&lt;$M35,$AO$4&gt;$N35)),0)</f>
        <v>0</v>
      </c>
      <c r="AQ35" s="109">
        <v>4</v>
      </c>
      <c r="AR35" s="9" t="s">
        <v>35</v>
      </c>
      <c r="AT35" s="133"/>
      <c r="AU35" s="134"/>
      <c r="AV35" s="135"/>
      <c r="AW35" s="135"/>
      <c r="AX35" s="135"/>
      <c r="AY35" s="133"/>
      <c r="AZ35" s="134"/>
      <c r="BA35" s="135"/>
      <c r="BB35" s="135"/>
      <c r="BC35" s="135"/>
      <c r="BD35" s="133"/>
      <c r="BE35" s="134"/>
      <c r="BF35" s="135"/>
      <c r="BG35" s="135"/>
      <c r="BH35" s="135"/>
      <c r="BI35" s="133"/>
      <c r="BJ35" s="136"/>
      <c r="BK35" s="135"/>
      <c r="BL35" s="135"/>
      <c r="BM35" s="135"/>
      <c r="BN35" s="133"/>
      <c r="BO35" s="136"/>
      <c r="BP35" s="135"/>
      <c r="BQ35" s="135"/>
      <c r="BR35" s="135"/>
      <c r="BS35" s="133"/>
      <c r="BU35" s="10" t="e">
        <f>#REF!</f>
        <v>#REF!</v>
      </c>
    </row>
    <row r="36" spans="2:73" s="10" customFormat="1" ht="18" customHeight="1" x14ac:dyDescent="0.2">
      <c r="B36" s="149">
        <v>32</v>
      </c>
      <c r="C36" s="149">
        <v>4</v>
      </c>
      <c r="D36" s="167" t="s">
        <v>453</v>
      </c>
      <c r="E36" s="168" t="s">
        <v>36</v>
      </c>
      <c r="F36" s="153" t="s">
        <v>396</v>
      </c>
      <c r="G36" s="216"/>
      <c r="H36" s="217" t="s">
        <v>912</v>
      </c>
      <c r="I36" s="218">
        <v>1</v>
      </c>
      <c r="J36" s="219">
        <v>1</v>
      </c>
      <c r="L36" s="111"/>
      <c r="M36" s="107" t="str">
        <f t="shared" si="0"/>
        <v>_</v>
      </c>
      <c r="N36" s="107">
        <f>'Project types'!$W$6</f>
        <v>2050</v>
      </c>
      <c r="O36" s="108">
        <f>IF(G36=1,(H36-1)+'Project types'!N37,IF(G36=2,H36-1,9999))</f>
        <v>9999</v>
      </c>
      <c r="P36" s="9">
        <f t="shared" si="79"/>
        <v>0</v>
      </c>
      <c r="Q36" s="9">
        <f t="shared" si="80"/>
        <v>0</v>
      </c>
      <c r="R36" s="9">
        <f t="shared" si="81"/>
        <v>0</v>
      </c>
      <c r="S36" s="9">
        <f t="shared" si="82"/>
        <v>0</v>
      </c>
      <c r="T36" s="9">
        <f t="shared" si="83"/>
        <v>0</v>
      </c>
      <c r="U36" s="9">
        <f t="shared" si="84"/>
        <v>0</v>
      </c>
      <c r="V36" s="9">
        <f t="shared" si="85"/>
        <v>0</v>
      </c>
      <c r="W36" s="9">
        <f t="shared" si="86"/>
        <v>0</v>
      </c>
      <c r="X36" s="9">
        <f t="shared" si="87"/>
        <v>0</v>
      </c>
      <c r="Y36" s="9">
        <f t="shared" si="88"/>
        <v>0</v>
      </c>
      <c r="Z36" s="9">
        <f t="shared" si="89"/>
        <v>0</v>
      </c>
      <c r="AA36" s="9">
        <f t="shared" si="90"/>
        <v>0</v>
      </c>
      <c r="AB36" s="9">
        <f t="shared" si="91"/>
        <v>0</v>
      </c>
      <c r="AC36" s="9">
        <f t="shared" si="92"/>
        <v>0</v>
      </c>
      <c r="AD36" s="9">
        <f t="shared" si="93"/>
        <v>0</v>
      </c>
      <c r="AE36" s="9">
        <f t="shared" si="94"/>
        <v>0</v>
      </c>
      <c r="AF36" s="9">
        <f t="shared" si="95"/>
        <v>0</v>
      </c>
      <c r="AG36" s="9">
        <f t="shared" si="96"/>
        <v>0</v>
      </c>
      <c r="AH36" s="9">
        <f t="shared" si="97"/>
        <v>0</v>
      </c>
      <c r="AI36" s="9">
        <f t="shared" si="98"/>
        <v>0</v>
      </c>
      <c r="AJ36" s="9">
        <f t="shared" si="99"/>
        <v>0</v>
      </c>
      <c r="AK36" s="9">
        <f t="shared" si="100"/>
        <v>0</v>
      </c>
      <c r="AL36" s="9">
        <f t="shared" si="101"/>
        <v>0</v>
      </c>
      <c r="AM36" s="9">
        <f t="shared" si="102"/>
        <v>0</v>
      </c>
      <c r="AN36" s="9">
        <f t="shared" si="103"/>
        <v>0</v>
      </c>
      <c r="AO36" s="10">
        <f t="shared" si="104"/>
        <v>0</v>
      </c>
      <c r="AQ36" s="109">
        <v>4</v>
      </c>
      <c r="AR36" s="9" t="s">
        <v>36</v>
      </c>
      <c r="AT36" s="125"/>
      <c r="AU36" s="126"/>
      <c r="AV36" s="127"/>
      <c r="AW36" s="127"/>
      <c r="AX36" s="127"/>
      <c r="AY36" s="125"/>
      <c r="AZ36" s="126"/>
      <c r="BA36" s="127"/>
      <c r="BB36" s="127"/>
      <c r="BC36" s="127"/>
      <c r="BD36" s="125"/>
      <c r="BE36" s="126"/>
      <c r="BF36" s="127"/>
      <c r="BG36" s="127"/>
      <c r="BH36" s="127"/>
      <c r="BI36" s="125"/>
      <c r="BJ36" s="128"/>
      <c r="BK36" s="127"/>
      <c r="BL36" s="127"/>
      <c r="BM36" s="127"/>
      <c r="BN36" s="125"/>
      <c r="BO36" s="128"/>
      <c r="BP36" s="127"/>
      <c r="BQ36" s="127"/>
      <c r="BR36" s="127"/>
      <c r="BS36" s="125"/>
      <c r="BU36" s="10" t="e">
        <f>#REF!</f>
        <v>#REF!</v>
      </c>
    </row>
    <row r="37" spans="2:73" s="10" customFormat="1" ht="18" customHeight="1" x14ac:dyDescent="0.2">
      <c r="B37" s="149">
        <v>33</v>
      </c>
      <c r="C37" s="149">
        <v>4</v>
      </c>
      <c r="D37" s="167" t="s">
        <v>453</v>
      </c>
      <c r="E37" s="168" t="s">
        <v>37</v>
      </c>
      <c r="F37" s="153" t="s">
        <v>397</v>
      </c>
      <c r="G37" s="216"/>
      <c r="H37" s="217" t="s">
        <v>912</v>
      </c>
      <c r="I37" s="218">
        <v>1</v>
      </c>
      <c r="J37" s="219">
        <v>1</v>
      </c>
      <c r="L37" s="111"/>
      <c r="M37" s="107" t="str">
        <f t="shared" ref="M37:M68" si="105">H37</f>
        <v>_</v>
      </c>
      <c r="N37" s="107">
        <f>'Project types'!$W$6</f>
        <v>2050</v>
      </c>
      <c r="O37" s="108">
        <f>IF(G37=1,(H37-1)+'Project types'!N38,IF(G37=2,H37-1,9999))</f>
        <v>9999</v>
      </c>
      <c r="P37" s="9">
        <f t="shared" si="79"/>
        <v>0</v>
      </c>
      <c r="Q37" s="9">
        <f t="shared" si="80"/>
        <v>0</v>
      </c>
      <c r="R37" s="9">
        <f t="shared" si="81"/>
        <v>0</v>
      </c>
      <c r="S37" s="9">
        <f t="shared" si="82"/>
        <v>0</v>
      </c>
      <c r="T37" s="9">
        <f t="shared" si="83"/>
        <v>0</v>
      </c>
      <c r="U37" s="9">
        <f t="shared" si="84"/>
        <v>0</v>
      </c>
      <c r="V37" s="9">
        <f t="shared" si="85"/>
        <v>0</v>
      </c>
      <c r="W37" s="9">
        <f t="shared" si="86"/>
        <v>0</v>
      </c>
      <c r="X37" s="9">
        <f t="shared" si="87"/>
        <v>0</v>
      </c>
      <c r="Y37" s="9">
        <f t="shared" si="88"/>
        <v>0</v>
      </c>
      <c r="Z37" s="9">
        <f t="shared" si="89"/>
        <v>0</v>
      </c>
      <c r="AA37" s="9">
        <f t="shared" si="90"/>
        <v>0</v>
      </c>
      <c r="AB37" s="9">
        <f t="shared" si="91"/>
        <v>0</v>
      </c>
      <c r="AC37" s="9">
        <f t="shared" si="92"/>
        <v>0</v>
      </c>
      <c r="AD37" s="9">
        <f t="shared" si="93"/>
        <v>0</v>
      </c>
      <c r="AE37" s="9">
        <f t="shared" si="94"/>
        <v>0</v>
      </c>
      <c r="AF37" s="9">
        <f t="shared" si="95"/>
        <v>0</v>
      </c>
      <c r="AG37" s="9">
        <f t="shared" si="96"/>
        <v>0</v>
      </c>
      <c r="AH37" s="9">
        <f t="shared" si="97"/>
        <v>0</v>
      </c>
      <c r="AI37" s="9">
        <f t="shared" si="98"/>
        <v>0</v>
      </c>
      <c r="AJ37" s="9">
        <f t="shared" si="99"/>
        <v>0</v>
      </c>
      <c r="AK37" s="9">
        <f t="shared" si="100"/>
        <v>0</v>
      </c>
      <c r="AL37" s="9">
        <f t="shared" si="101"/>
        <v>0</v>
      </c>
      <c r="AM37" s="9">
        <f t="shared" si="102"/>
        <v>0</v>
      </c>
      <c r="AN37" s="9">
        <f t="shared" si="103"/>
        <v>0</v>
      </c>
      <c r="AO37" s="10">
        <f t="shared" si="104"/>
        <v>0</v>
      </c>
      <c r="AQ37" s="109">
        <v>4</v>
      </c>
      <c r="AR37" s="9" t="s">
        <v>37</v>
      </c>
      <c r="AT37" s="125"/>
      <c r="AU37" s="126"/>
      <c r="AV37" s="127"/>
      <c r="AW37" s="127"/>
      <c r="AX37" s="127"/>
      <c r="AY37" s="125"/>
      <c r="AZ37" s="126"/>
      <c r="BA37" s="127"/>
      <c r="BB37" s="127"/>
      <c r="BC37" s="127"/>
      <c r="BD37" s="125"/>
      <c r="BE37" s="126"/>
      <c r="BF37" s="127"/>
      <c r="BG37" s="127"/>
      <c r="BH37" s="127"/>
      <c r="BI37" s="125"/>
      <c r="BJ37" s="128"/>
      <c r="BK37" s="127"/>
      <c r="BL37" s="127"/>
      <c r="BM37" s="127"/>
      <c r="BN37" s="125"/>
      <c r="BO37" s="128"/>
      <c r="BP37" s="127"/>
      <c r="BQ37" s="127"/>
      <c r="BR37" s="127"/>
      <c r="BS37" s="125"/>
      <c r="BU37" s="10" t="e">
        <f>#REF!</f>
        <v>#REF!</v>
      </c>
    </row>
    <row r="38" spans="2:73" s="10" customFormat="1" ht="18" customHeight="1" x14ac:dyDescent="0.2">
      <c r="B38" s="149">
        <v>34</v>
      </c>
      <c r="C38" s="149">
        <v>4</v>
      </c>
      <c r="D38" s="167" t="s">
        <v>453</v>
      </c>
      <c r="E38" s="168" t="s">
        <v>38</v>
      </c>
      <c r="F38" s="153" t="s">
        <v>459</v>
      </c>
      <c r="G38" s="216"/>
      <c r="H38" s="217" t="s">
        <v>912</v>
      </c>
      <c r="I38" s="218">
        <v>0.2</v>
      </c>
      <c r="J38" s="219">
        <v>1</v>
      </c>
      <c r="L38" s="111"/>
      <c r="M38" s="107" t="str">
        <f t="shared" si="105"/>
        <v>_</v>
      </c>
      <c r="N38" s="107">
        <f>'Project types'!$W$6</f>
        <v>2050</v>
      </c>
      <c r="O38" s="108">
        <f>IF(G38=1,(H38-1)+'Project types'!N39,IF(G38=2,H38-1,9999))</f>
        <v>9999</v>
      </c>
      <c r="P38" s="9">
        <f t="shared" si="79"/>
        <v>0</v>
      </c>
      <c r="Q38" s="9">
        <f t="shared" si="80"/>
        <v>0</v>
      </c>
      <c r="R38" s="9">
        <f t="shared" si="81"/>
        <v>0</v>
      </c>
      <c r="S38" s="9">
        <f t="shared" si="82"/>
        <v>0</v>
      </c>
      <c r="T38" s="9">
        <f t="shared" si="83"/>
        <v>0</v>
      </c>
      <c r="U38" s="9">
        <f t="shared" si="84"/>
        <v>0</v>
      </c>
      <c r="V38" s="9">
        <f t="shared" si="85"/>
        <v>0</v>
      </c>
      <c r="W38" s="9">
        <f t="shared" si="86"/>
        <v>0</v>
      </c>
      <c r="X38" s="9">
        <f t="shared" si="87"/>
        <v>0</v>
      </c>
      <c r="Y38" s="9">
        <f t="shared" si="88"/>
        <v>0</v>
      </c>
      <c r="Z38" s="9">
        <f t="shared" si="89"/>
        <v>0</v>
      </c>
      <c r="AA38" s="9">
        <f t="shared" si="90"/>
        <v>0</v>
      </c>
      <c r="AB38" s="9">
        <f t="shared" si="91"/>
        <v>0</v>
      </c>
      <c r="AC38" s="9">
        <f t="shared" si="92"/>
        <v>0</v>
      </c>
      <c r="AD38" s="9">
        <f t="shared" si="93"/>
        <v>0</v>
      </c>
      <c r="AE38" s="9">
        <f t="shared" si="94"/>
        <v>0</v>
      </c>
      <c r="AF38" s="9">
        <f t="shared" si="95"/>
        <v>0</v>
      </c>
      <c r="AG38" s="9">
        <f t="shared" si="96"/>
        <v>0</v>
      </c>
      <c r="AH38" s="9">
        <f t="shared" si="97"/>
        <v>0</v>
      </c>
      <c r="AI38" s="9">
        <f t="shared" si="98"/>
        <v>0</v>
      </c>
      <c r="AJ38" s="9">
        <f t="shared" si="99"/>
        <v>0</v>
      </c>
      <c r="AK38" s="9">
        <f t="shared" si="100"/>
        <v>0</v>
      </c>
      <c r="AL38" s="9">
        <f t="shared" si="101"/>
        <v>0</v>
      </c>
      <c r="AM38" s="9">
        <f t="shared" si="102"/>
        <v>0</v>
      </c>
      <c r="AN38" s="9">
        <f t="shared" si="103"/>
        <v>0</v>
      </c>
      <c r="AO38" s="10">
        <f t="shared" si="104"/>
        <v>0</v>
      </c>
      <c r="AQ38" s="109">
        <v>4</v>
      </c>
      <c r="AR38" s="9" t="s">
        <v>38</v>
      </c>
      <c r="AT38" s="125"/>
      <c r="AU38" s="126"/>
      <c r="AV38" s="127"/>
      <c r="AW38" s="127"/>
      <c r="AX38" s="127"/>
      <c r="AY38" s="125"/>
      <c r="AZ38" s="126"/>
      <c r="BA38" s="127"/>
      <c r="BB38" s="127"/>
      <c r="BC38" s="127"/>
      <c r="BD38" s="125"/>
      <c r="BE38" s="126"/>
      <c r="BF38" s="127"/>
      <c r="BG38" s="127"/>
      <c r="BH38" s="127"/>
      <c r="BI38" s="125"/>
      <c r="BJ38" s="128"/>
      <c r="BK38" s="127"/>
      <c r="BL38" s="127"/>
      <c r="BM38" s="127"/>
      <c r="BN38" s="125"/>
      <c r="BO38" s="128"/>
      <c r="BP38" s="127"/>
      <c r="BQ38" s="127"/>
      <c r="BR38" s="127"/>
      <c r="BS38" s="125"/>
      <c r="BU38" s="10" t="e">
        <f>#REF!</f>
        <v>#REF!</v>
      </c>
    </row>
    <row r="39" spans="2:73" s="10" customFormat="1" ht="18" customHeight="1" x14ac:dyDescent="0.2">
      <c r="B39" s="149">
        <v>35</v>
      </c>
      <c r="C39" s="149">
        <v>4</v>
      </c>
      <c r="D39" s="167" t="s">
        <v>453</v>
      </c>
      <c r="E39" s="168" t="s">
        <v>39</v>
      </c>
      <c r="F39" s="153" t="s">
        <v>126</v>
      </c>
      <c r="G39" s="216"/>
      <c r="H39" s="217" t="s">
        <v>912</v>
      </c>
      <c r="I39" s="218">
        <v>1</v>
      </c>
      <c r="J39" s="219">
        <v>1</v>
      </c>
      <c r="L39" s="111"/>
      <c r="M39" s="107" t="str">
        <f t="shared" si="105"/>
        <v>_</v>
      </c>
      <c r="N39" s="107">
        <f>'Project types'!$W$6</f>
        <v>2050</v>
      </c>
      <c r="O39" s="108">
        <f>IF(G39=1,(H39-1)+'Project types'!N40,IF(G39=2,H39-1,9999))</f>
        <v>9999</v>
      </c>
      <c r="P39" s="9">
        <f t="shared" si="79"/>
        <v>0</v>
      </c>
      <c r="Q39" s="9">
        <f t="shared" si="80"/>
        <v>0</v>
      </c>
      <c r="R39" s="9">
        <f t="shared" si="81"/>
        <v>0</v>
      </c>
      <c r="S39" s="9">
        <f t="shared" si="82"/>
        <v>0</v>
      </c>
      <c r="T39" s="9">
        <f t="shared" si="83"/>
        <v>0</v>
      </c>
      <c r="U39" s="9">
        <f t="shared" si="84"/>
        <v>0</v>
      </c>
      <c r="V39" s="9">
        <f t="shared" si="85"/>
        <v>0</v>
      </c>
      <c r="W39" s="9">
        <f t="shared" si="86"/>
        <v>0</v>
      </c>
      <c r="X39" s="9">
        <f t="shared" si="87"/>
        <v>0</v>
      </c>
      <c r="Y39" s="9">
        <f t="shared" si="88"/>
        <v>0</v>
      </c>
      <c r="Z39" s="9">
        <f t="shared" si="89"/>
        <v>0</v>
      </c>
      <c r="AA39" s="9">
        <f t="shared" si="90"/>
        <v>0</v>
      </c>
      <c r="AB39" s="9">
        <f t="shared" si="91"/>
        <v>0</v>
      </c>
      <c r="AC39" s="9">
        <f t="shared" si="92"/>
        <v>0</v>
      </c>
      <c r="AD39" s="9">
        <f t="shared" si="93"/>
        <v>0</v>
      </c>
      <c r="AE39" s="9">
        <f t="shared" si="94"/>
        <v>0</v>
      </c>
      <c r="AF39" s="9">
        <f t="shared" si="95"/>
        <v>0</v>
      </c>
      <c r="AG39" s="9">
        <f t="shared" si="96"/>
        <v>0</v>
      </c>
      <c r="AH39" s="9">
        <f t="shared" si="97"/>
        <v>0</v>
      </c>
      <c r="AI39" s="9">
        <f t="shared" si="98"/>
        <v>0</v>
      </c>
      <c r="AJ39" s="9">
        <f t="shared" si="99"/>
        <v>0</v>
      </c>
      <c r="AK39" s="9">
        <f t="shared" si="100"/>
        <v>0</v>
      </c>
      <c r="AL39" s="9">
        <f t="shared" si="101"/>
        <v>0</v>
      </c>
      <c r="AM39" s="9">
        <f t="shared" si="102"/>
        <v>0</v>
      </c>
      <c r="AN39" s="9">
        <f t="shared" si="103"/>
        <v>0</v>
      </c>
      <c r="AO39" s="10">
        <f t="shared" si="104"/>
        <v>0</v>
      </c>
      <c r="AQ39" s="109">
        <v>4</v>
      </c>
      <c r="AR39" s="9" t="s">
        <v>39</v>
      </c>
      <c r="AT39" s="125"/>
      <c r="AU39" s="126"/>
      <c r="AV39" s="127"/>
      <c r="AW39" s="127"/>
      <c r="AX39" s="127"/>
      <c r="AY39" s="125"/>
      <c r="AZ39" s="126"/>
      <c r="BA39" s="127"/>
      <c r="BB39" s="127"/>
      <c r="BC39" s="127"/>
      <c r="BD39" s="125"/>
      <c r="BE39" s="126"/>
      <c r="BF39" s="127"/>
      <c r="BG39" s="127"/>
      <c r="BH39" s="127"/>
      <c r="BI39" s="125"/>
      <c r="BJ39" s="128"/>
      <c r="BK39" s="127"/>
      <c r="BL39" s="127"/>
      <c r="BM39" s="127"/>
      <c r="BN39" s="125"/>
      <c r="BO39" s="128"/>
      <c r="BP39" s="127"/>
      <c r="BQ39" s="127"/>
      <c r="BR39" s="127"/>
      <c r="BS39" s="125"/>
      <c r="BU39" s="10" t="e">
        <f>#REF!</f>
        <v>#REF!</v>
      </c>
    </row>
    <row r="40" spans="2:73" s="10" customFormat="1" ht="18" customHeight="1" x14ac:dyDescent="0.2">
      <c r="B40" s="149">
        <v>36</v>
      </c>
      <c r="C40" s="149">
        <v>4</v>
      </c>
      <c r="D40" s="167" t="s">
        <v>453</v>
      </c>
      <c r="E40" s="168" t="s">
        <v>40</v>
      </c>
      <c r="F40" s="153" t="s">
        <v>127</v>
      </c>
      <c r="G40" s="216"/>
      <c r="H40" s="217" t="s">
        <v>912</v>
      </c>
      <c r="I40" s="218">
        <v>1</v>
      </c>
      <c r="J40" s="219">
        <v>1</v>
      </c>
      <c r="L40" s="111"/>
      <c r="M40" s="107" t="str">
        <f t="shared" si="105"/>
        <v>_</v>
      </c>
      <c r="N40" s="107">
        <f>'Project types'!$W$6</f>
        <v>2050</v>
      </c>
      <c r="O40" s="108">
        <f>IF(G40=1,(H40-1)+'Project types'!N41,IF(G40=2,H40-1,9999))</f>
        <v>9999</v>
      </c>
      <c r="P40" s="9">
        <f t="shared" si="79"/>
        <v>0</v>
      </c>
      <c r="Q40" s="9">
        <f t="shared" si="80"/>
        <v>0</v>
      </c>
      <c r="R40" s="9">
        <f t="shared" si="81"/>
        <v>0</v>
      </c>
      <c r="S40" s="9">
        <f t="shared" si="82"/>
        <v>0</v>
      </c>
      <c r="T40" s="9">
        <f t="shared" si="83"/>
        <v>0</v>
      </c>
      <c r="U40" s="9">
        <f t="shared" si="84"/>
        <v>0</v>
      </c>
      <c r="V40" s="9">
        <f t="shared" si="85"/>
        <v>0</v>
      </c>
      <c r="W40" s="9">
        <f t="shared" si="86"/>
        <v>0</v>
      </c>
      <c r="X40" s="9">
        <f t="shared" si="87"/>
        <v>0</v>
      </c>
      <c r="Y40" s="9">
        <f t="shared" si="88"/>
        <v>0</v>
      </c>
      <c r="Z40" s="9">
        <f t="shared" si="89"/>
        <v>0</v>
      </c>
      <c r="AA40" s="9">
        <f t="shared" si="90"/>
        <v>0</v>
      </c>
      <c r="AB40" s="9">
        <f t="shared" si="91"/>
        <v>0</v>
      </c>
      <c r="AC40" s="9">
        <f t="shared" si="92"/>
        <v>0</v>
      </c>
      <c r="AD40" s="9">
        <f t="shared" si="93"/>
        <v>0</v>
      </c>
      <c r="AE40" s="9">
        <f t="shared" si="94"/>
        <v>0</v>
      </c>
      <c r="AF40" s="9">
        <f t="shared" si="95"/>
        <v>0</v>
      </c>
      <c r="AG40" s="9">
        <f t="shared" si="96"/>
        <v>0</v>
      </c>
      <c r="AH40" s="9">
        <f t="shared" si="97"/>
        <v>0</v>
      </c>
      <c r="AI40" s="9">
        <f t="shared" si="98"/>
        <v>0</v>
      </c>
      <c r="AJ40" s="9">
        <f t="shared" si="99"/>
        <v>0</v>
      </c>
      <c r="AK40" s="9">
        <f t="shared" si="100"/>
        <v>0</v>
      </c>
      <c r="AL40" s="9">
        <f t="shared" si="101"/>
        <v>0</v>
      </c>
      <c r="AM40" s="9">
        <f t="shared" si="102"/>
        <v>0</v>
      </c>
      <c r="AN40" s="9">
        <f t="shared" si="103"/>
        <v>0</v>
      </c>
      <c r="AO40" s="10">
        <f t="shared" si="104"/>
        <v>0</v>
      </c>
      <c r="AQ40" s="109">
        <v>4</v>
      </c>
      <c r="AR40" s="9" t="s">
        <v>40</v>
      </c>
      <c r="AT40" s="125"/>
      <c r="AU40" s="126"/>
      <c r="AV40" s="127"/>
      <c r="AW40" s="127"/>
      <c r="AX40" s="127"/>
      <c r="AY40" s="125"/>
      <c r="AZ40" s="126"/>
      <c r="BA40" s="127"/>
      <c r="BB40" s="127"/>
      <c r="BC40" s="127"/>
      <c r="BD40" s="125"/>
      <c r="BE40" s="126"/>
      <c r="BF40" s="127"/>
      <c r="BG40" s="127"/>
      <c r="BH40" s="127"/>
      <c r="BI40" s="125"/>
      <c r="BJ40" s="128"/>
      <c r="BK40" s="127"/>
      <c r="BL40" s="127"/>
      <c r="BM40" s="127"/>
      <c r="BN40" s="125"/>
      <c r="BO40" s="128"/>
      <c r="BP40" s="127"/>
      <c r="BQ40" s="127"/>
      <c r="BR40" s="127"/>
      <c r="BS40" s="125"/>
      <c r="BU40" s="10" t="e">
        <f>#REF!</f>
        <v>#REF!</v>
      </c>
    </row>
    <row r="41" spans="2:73" s="10" customFormat="1" ht="18" customHeight="1" x14ac:dyDescent="0.2">
      <c r="B41" s="149">
        <v>37</v>
      </c>
      <c r="C41" s="149">
        <v>4</v>
      </c>
      <c r="D41" s="167" t="s">
        <v>453</v>
      </c>
      <c r="E41" s="168" t="s">
        <v>41</v>
      </c>
      <c r="F41" s="153" t="s">
        <v>129</v>
      </c>
      <c r="G41" s="216"/>
      <c r="H41" s="217" t="s">
        <v>912</v>
      </c>
      <c r="I41" s="218">
        <v>1</v>
      </c>
      <c r="J41" s="219">
        <v>1</v>
      </c>
      <c r="L41" s="111"/>
      <c r="M41" s="107" t="str">
        <f t="shared" si="105"/>
        <v>_</v>
      </c>
      <c r="N41" s="107">
        <f>'Project types'!$W$6</f>
        <v>2050</v>
      </c>
      <c r="O41" s="108">
        <f>IF(G41=1,(H41-1)+'Project types'!N42,IF(G41=2,H41-1,9999))</f>
        <v>9999</v>
      </c>
      <c r="P41" s="9">
        <f t="shared" si="79"/>
        <v>0</v>
      </c>
      <c r="Q41" s="9">
        <f t="shared" si="80"/>
        <v>0</v>
      </c>
      <c r="R41" s="9">
        <f t="shared" si="81"/>
        <v>0</v>
      </c>
      <c r="S41" s="9">
        <f t="shared" si="82"/>
        <v>0</v>
      </c>
      <c r="T41" s="9">
        <f t="shared" si="83"/>
        <v>0</v>
      </c>
      <c r="U41" s="9">
        <f t="shared" si="84"/>
        <v>0</v>
      </c>
      <c r="V41" s="9">
        <f t="shared" si="85"/>
        <v>0</v>
      </c>
      <c r="W41" s="9">
        <f t="shared" si="86"/>
        <v>0</v>
      </c>
      <c r="X41" s="9">
        <f t="shared" si="87"/>
        <v>0</v>
      </c>
      <c r="Y41" s="9">
        <f t="shared" si="88"/>
        <v>0</v>
      </c>
      <c r="Z41" s="9">
        <f t="shared" si="89"/>
        <v>0</v>
      </c>
      <c r="AA41" s="9">
        <f t="shared" si="90"/>
        <v>0</v>
      </c>
      <c r="AB41" s="9">
        <f t="shared" si="91"/>
        <v>0</v>
      </c>
      <c r="AC41" s="9">
        <f t="shared" si="92"/>
        <v>0</v>
      </c>
      <c r="AD41" s="9">
        <f t="shared" si="93"/>
        <v>0</v>
      </c>
      <c r="AE41" s="9">
        <f t="shared" si="94"/>
        <v>0</v>
      </c>
      <c r="AF41" s="9">
        <f t="shared" si="95"/>
        <v>0</v>
      </c>
      <c r="AG41" s="9">
        <f t="shared" si="96"/>
        <v>0</v>
      </c>
      <c r="AH41" s="9">
        <f t="shared" si="97"/>
        <v>0</v>
      </c>
      <c r="AI41" s="9">
        <f t="shared" si="98"/>
        <v>0</v>
      </c>
      <c r="AJ41" s="9">
        <f t="shared" si="99"/>
        <v>0</v>
      </c>
      <c r="AK41" s="9">
        <f t="shared" si="100"/>
        <v>0</v>
      </c>
      <c r="AL41" s="9">
        <f t="shared" si="101"/>
        <v>0</v>
      </c>
      <c r="AM41" s="9">
        <f t="shared" si="102"/>
        <v>0</v>
      </c>
      <c r="AN41" s="9">
        <f t="shared" si="103"/>
        <v>0</v>
      </c>
      <c r="AO41" s="10">
        <f t="shared" si="104"/>
        <v>0</v>
      </c>
      <c r="AQ41" s="109">
        <v>4</v>
      </c>
      <c r="AR41" s="9" t="s">
        <v>41</v>
      </c>
      <c r="AT41" s="125"/>
      <c r="AU41" s="126"/>
      <c r="AV41" s="127"/>
      <c r="AW41" s="127"/>
      <c r="AX41" s="127"/>
      <c r="AY41" s="125"/>
      <c r="AZ41" s="126"/>
      <c r="BA41" s="127"/>
      <c r="BB41" s="127"/>
      <c r="BC41" s="127"/>
      <c r="BD41" s="125"/>
      <c r="BE41" s="126"/>
      <c r="BF41" s="127"/>
      <c r="BG41" s="127"/>
      <c r="BH41" s="127"/>
      <c r="BI41" s="125"/>
      <c r="BJ41" s="128"/>
      <c r="BK41" s="127"/>
      <c r="BL41" s="127"/>
      <c r="BM41" s="127"/>
      <c r="BN41" s="125"/>
      <c r="BO41" s="128"/>
      <c r="BP41" s="127"/>
      <c r="BQ41" s="127"/>
      <c r="BR41" s="127"/>
      <c r="BS41" s="125"/>
      <c r="BU41" s="10" t="e">
        <f>#REF!</f>
        <v>#REF!</v>
      </c>
    </row>
    <row r="42" spans="2:73" s="10" customFormat="1" ht="18" customHeight="1" x14ac:dyDescent="0.2">
      <c r="B42" s="149">
        <v>38</v>
      </c>
      <c r="C42" s="149">
        <v>4</v>
      </c>
      <c r="D42" s="167" t="s">
        <v>453</v>
      </c>
      <c r="E42" s="168" t="s">
        <v>42</v>
      </c>
      <c r="F42" s="153" t="s">
        <v>130</v>
      </c>
      <c r="G42" s="216"/>
      <c r="H42" s="217" t="s">
        <v>912</v>
      </c>
      <c r="I42" s="218">
        <v>1</v>
      </c>
      <c r="J42" s="219">
        <v>1</v>
      </c>
      <c r="L42" s="111"/>
      <c r="M42" s="107" t="str">
        <f t="shared" si="105"/>
        <v>_</v>
      </c>
      <c r="N42" s="107">
        <f>'Project types'!$W$6</f>
        <v>2050</v>
      </c>
      <c r="O42" s="108">
        <f>IF(G42=1,(H42-1)+'Project types'!N43,IF(G42=2,H42-1,9999))</f>
        <v>9999</v>
      </c>
      <c r="P42" s="9">
        <f t="shared" si="79"/>
        <v>0</v>
      </c>
      <c r="Q42" s="9">
        <f t="shared" si="80"/>
        <v>0</v>
      </c>
      <c r="R42" s="9">
        <f t="shared" si="81"/>
        <v>0</v>
      </c>
      <c r="S42" s="9">
        <f t="shared" si="82"/>
        <v>0</v>
      </c>
      <c r="T42" s="9">
        <f t="shared" si="83"/>
        <v>0</v>
      </c>
      <c r="U42" s="9">
        <f t="shared" si="84"/>
        <v>0</v>
      </c>
      <c r="V42" s="9">
        <f t="shared" si="85"/>
        <v>0</v>
      </c>
      <c r="W42" s="9">
        <f t="shared" si="86"/>
        <v>0</v>
      </c>
      <c r="X42" s="9">
        <f t="shared" si="87"/>
        <v>0</v>
      </c>
      <c r="Y42" s="9">
        <f t="shared" si="88"/>
        <v>0</v>
      </c>
      <c r="Z42" s="9">
        <f t="shared" si="89"/>
        <v>0</v>
      </c>
      <c r="AA42" s="9">
        <f t="shared" si="90"/>
        <v>0</v>
      </c>
      <c r="AB42" s="9">
        <f t="shared" si="91"/>
        <v>0</v>
      </c>
      <c r="AC42" s="9">
        <f t="shared" si="92"/>
        <v>0</v>
      </c>
      <c r="AD42" s="9">
        <f t="shared" si="93"/>
        <v>0</v>
      </c>
      <c r="AE42" s="9">
        <f t="shared" si="94"/>
        <v>0</v>
      </c>
      <c r="AF42" s="9">
        <f t="shared" si="95"/>
        <v>0</v>
      </c>
      <c r="AG42" s="9">
        <f t="shared" si="96"/>
        <v>0</v>
      </c>
      <c r="AH42" s="9">
        <f t="shared" si="97"/>
        <v>0</v>
      </c>
      <c r="AI42" s="9">
        <f t="shared" si="98"/>
        <v>0</v>
      </c>
      <c r="AJ42" s="9">
        <f t="shared" si="99"/>
        <v>0</v>
      </c>
      <c r="AK42" s="9">
        <f t="shared" si="100"/>
        <v>0</v>
      </c>
      <c r="AL42" s="9">
        <f t="shared" si="101"/>
        <v>0</v>
      </c>
      <c r="AM42" s="9">
        <f t="shared" si="102"/>
        <v>0</v>
      </c>
      <c r="AN42" s="9">
        <f t="shared" si="103"/>
        <v>0</v>
      </c>
      <c r="AO42" s="10">
        <f t="shared" si="104"/>
        <v>0</v>
      </c>
      <c r="AQ42" s="109">
        <v>4</v>
      </c>
      <c r="AR42" s="9" t="s">
        <v>42</v>
      </c>
      <c r="AT42" s="125"/>
      <c r="AU42" s="126"/>
      <c r="AV42" s="127"/>
      <c r="AW42" s="127"/>
      <c r="AX42" s="127"/>
      <c r="AY42" s="125"/>
      <c r="AZ42" s="126"/>
      <c r="BA42" s="127"/>
      <c r="BB42" s="127"/>
      <c r="BC42" s="127"/>
      <c r="BD42" s="125"/>
      <c r="BE42" s="126"/>
      <c r="BF42" s="127"/>
      <c r="BG42" s="127"/>
      <c r="BH42" s="127"/>
      <c r="BI42" s="125"/>
      <c r="BJ42" s="128"/>
      <c r="BK42" s="127"/>
      <c r="BL42" s="127"/>
      <c r="BM42" s="127"/>
      <c r="BN42" s="125"/>
      <c r="BO42" s="128"/>
      <c r="BP42" s="127"/>
      <c r="BQ42" s="127"/>
      <c r="BR42" s="127"/>
      <c r="BS42" s="125"/>
      <c r="BU42" s="10" t="e">
        <f>#REF!</f>
        <v>#REF!</v>
      </c>
    </row>
    <row r="43" spans="2:73" s="10" customFormat="1" ht="18" customHeight="1" x14ac:dyDescent="0.2">
      <c r="B43" s="149">
        <v>39</v>
      </c>
      <c r="C43" s="149">
        <v>4</v>
      </c>
      <c r="D43" s="167" t="s">
        <v>453</v>
      </c>
      <c r="E43" s="168" t="s">
        <v>43</v>
      </c>
      <c r="F43" s="153" t="s">
        <v>131</v>
      </c>
      <c r="G43" s="216"/>
      <c r="H43" s="217" t="s">
        <v>912</v>
      </c>
      <c r="I43" s="218">
        <v>1</v>
      </c>
      <c r="J43" s="219">
        <v>1</v>
      </c>
      <c r="L43" s="111"/>
      <c r="M43" s="107" t="str">
        <f t="shared" si="105"/>
        <v>_</v>
      </c>
      <c r="N43" s="107">
        <f>'Project types'!$W$6</f>
        <v>2050</v>
      </c>
      <c r="O43" s="108">
        <f>IF(G43=1,(H43-1)+'Project types'!N44,IF(G43=2,H43-1,9999))</f>
        <v>9999</v>
      </c>
      <c r="P43" s="9">
        <f t="shared" si="79"/>
        <v>0</v>
      </c>
      <c r="Q43" s="9">
        <f t="shared" si="80"/>
        <v>0</v>
      </c>
      <c r="R43" s="9">
        <f t="shared" si="81"/>
        <v>0</v>
      </c>
      <c r="S43" s="9">
        <f t="shared" si="82"/>
        <v>0</v>
      </c>
      <c r="T43" s="9">
        <f t="shared" si="83"/>
        <v>0</v>
      </c>
      <c r="U43" s="9">
        <f t="shared" si="84"/>
        <v>0</v>
      </c>
      <c r="V43" s="9">
        <f t="shared" si="85"/>
        <v>0</v>
      </c>
      <c r="W43" s="9">
        <f t="shared" si="86"/>
        <v>0</v>
      </c>
      <c r="X43" s="9">
        <f t="shared" si="87"/>
        <v>0</v>
      </c>
      <c r="Y43" s="9">
        <f t="shared" si="88"/>
        <v>0</v>
      </c>
      <c r="Z43" s="9">
        <f t="shared" si="89"/>
        <v>0</v>
      </c>
      <c r="AA43" s="9">
        <f t="shared" si="90"/>
        <v>0</v>
      </c>
      <c r="AB43" s="9">
        <f t="shared" si="91"/>
        <v>0</v>
      </c>
      <c r="AC43" s="9">
        <f t="shared" si="92"/>
        <v>0</v>
      </c>
      <c r="AD43" s="9">
        <f t="shared" si="93"/>
        <v>0</v>
      </c>
      <c r="AE43" s="9">
        <f t="shared" si="94"/>
        <v>0</v>
      </c>
      <c r="AF43" s="9">
        <f t="shared" si="95"/>
        <v>0</v>
      </c>
      <c r="AG43" s="9">
        <f t="shared" si="96"/>
        <v>0</v>
      </c>
      <c r="AH43" s="9">
        <f t="shared" si="97"/>
        <v>0</v>
      </c>
      <c r="AI43" s="9">
        <f t="shared" si="98"/>
        <v>0</v>
      </c>
      <c r="AJ43" s="9">
        <f t="shared" si="99"/>
        <v>0</v>
      </c>
      <c r="AK43" s="9">
        <f t="shared" si="100"/>
        <v>0</v>
      </c>
      <c r="AL43" s="9">
        <f t="shared" si="101"/>
        <v>0</v>
      </c>
      <c r="AM43" s="9">
        <f t="shared" si="102"/>
        <v>0</v>
      </c>
      <c r="AN43" s="9">
        <f t="shared" si="103"/>
        <v>0</v>
      </c>
      <c r="AO43" s="10">
        <f t="shared" si="104"/>
        <v>0</v>
      </c>
      <c r="AQ43" s="109">
        <v>4</v>
      </c>
      <c r="AR43" s="9" t="s">
        <v>43</v>
      </c>
      <c r="AT43" s="125"/>
      <c r="AU43" s="126"/>
      <c r="AV43" s="127"/>
      <c r="AW43" s="127"/>
      <c r="AX43" s="127"/>
      <c r="AY43" s="125"/>
      <c r="AZ43" s="126"/>
      <c r="BA43" s="127"/>
      <c r="BB43" s="127"/>
      <c r="BC43" s="127"/>
      <c r="BD43" s="125"/>
      <c r="BE43" s="126"/>
      <c r="BF43" s="127"/>
      <c r="BG43" s="127"/>
      <c r="BH43" s="127"/>
      <c r="BI43" s="125"/>
      <c r="BJ43" s="128"/>
      <c r="BK43" s="127"/>
      <c r="BL43" s="127"/>
      <c r="BM43" s="127"/>
      <c r="BN43" s="125"/>
      <c r="BO43" s="128"/>
      <c r="BP43" s="127"/>
      <c r="BQ43" s="127"/>
      <c r="BR43" s="127"/>
      <c r="BS43" s="125"/>
      <c r="BU43" s="10" t="e">
        <f>#REF!</f>
        <v>#REF!</v>
      </c>
    </row>
    <row r="44" spans="2:73" s="10" customFormat="1" ht="18" customHeight="1" x14ac:dyDescent="0.2">
      <c r="B44" s="149">
        <v>40</v>
      </c>
      <c r="C44" s="149">
        <v>4</v>
      </c>
      <c r="D44" s="167" t="s">
        <v>453</v>
      </c>
      <c r="E44" s="168" t="s">
        <v>44</v>
      </c>
      <c r="F44" s="153" t="s">
        <v>132</v>
      </c>
      <c r="G44" s="216"/>
      <c r="H44" s="217" t="s">
        <v>912</v>
      </c>
      <c r="I44" s="218">
        <v>0.01</v>
      </c>
      <c r="J44" s="219">
        <v>1</v>
      </c>
      <c r="L44" s="111"/>
      <c r="M44" s="107" t="str">
        <f t="shared" si="105"/>
        <v>_</v>
      </c>
      <c r="N44" s="107">
        <f>'Project types'!$W$6</f>
        <v>2050</v>
      </c>
      <c r="O44" s="108">
        <f>IF(G44=1,(H44-1)+'Project types'!N45,IF(G44=2,H44-1,9999))</f>
        <v>9999</v>
      </c>
      <c r="P44" s="9">
        <f t="shared" si="79"/>
        <v>0</v>
      </c>
      <c r="Q44" s="9">
        <f t="shared" si="80"/>
        <v>0</v>
      </c>
      <c r="R44" s="9">
        <f t="shared" si="81"/>
        <v>0</v>
      </c>
      <c r="S44" s="9">
        <f t="shared" si="82"/>
        <v>0</v>
      </c>
      <c r="T44" s="9">
        <f t="shared" si="83"/>
        <v>0</v>
      </c>
      <c r="U44" s="9">
        <f t="shared" si="84"/>
        <v>0</v>
      </c>
      <c r="V44" s="9">
        <f t="shared" si="85"/>
        <v>0</v>
      </c>
      <c r="W44" s="9">
        <f t="shared" si="86"/>
        <v>0</v>
      </c>
      <c r="X44" s="9">
        <f t="shared" si="87"/>
        <v>0</v>
      </c>
      <c r="Y44" s="9">
        <f t="shared" si="88"/>
        <v>0</v>
      </c>
      <c r="Z44" s="9">
        <f t="shared" si="89"/>
        <v>0</v>
      </c>
      <c r="AA44" s="9">
        <f t="shared" si="90"/>
        <v>0</v>
      </c>
      <c r="AB44" s="9">
        <f t="shared" si="91"/>
        <v>0</v>
      </c>
      <c r="AC44" s="9">
        <f t="shared" si="92"/>
        <v>0</v>
      </c>
      <c r="AD44" s="9">
        <f t="shared" si="93"/>
        <v>0</v>
      </c>
      <c r="AE44" s="9">
        <f t="shared" si="94"/>
        <v>0</v>
      </c>
      <c r="AF44" s="9">
        <f t="shared" si="95"/>
        <v>0</v>
      </c>
      <c r="AG44" s="9">
        <f t="shared" si="96"/>
        <v>0</v>
      </c>
      <c r="AH44" s="9">
        <f t="shared" si="97"/>
        <v>0</v>
      </c>
      <c r="AI44" s="9">
        <f t="shared" si="98"/>
        <v>0</v>
      </c>
      <c r="AJ44" s="9">
        <f t="shared" si="99"/>
        <v>0</v>
      </c>
      <c r="AK44" s="9">
        <f t="shared" si="100"/>
        <v>0</v>
      </c>
      <c r="AL44" s="9">
        <f t="shared" si="101"/>
        <v>0</v>
      </c>
      <c r="AM44" s="9">
        <f t="shared" si="102"/>
        <v>0</v>
      </c>
      <c r="AN44" s="9">
        <f t="shared" si="103"/>
        <v>0</v>
      </c>
      <c r="AO44" s="10">
        <f t="shared" si="104"/>
        <v>0</v>
      </c>
      <c r="AQ44" s="109">
        <v>4</v>
      </c>
      <c r="AR44" s="9" t="s">
        <v>44</v>
      </c>
      <c r="AT44" s="125"/>
      <c r="AU44" s="126"/>
      <c r="AV44" s="127"/>
      <c r="AW44" s="127"/>
      <c r="AX44" s="127"/>
      <c r="AY44" s="125"/>
      <c r="AZ44" s="126"/>
      <c r="BA44" s="127"/>
      <c r="BB44" s="127"/>
      <c r="BC44" s="127"/>
      <c r="BD44" s="125"/>
      <c r="BE44" s="126"/>
      <c r="BF44" s="127"/>
      <c r="BG44" s="127"/>
      <c r="BH44" s="127"/>
      <c r="BI44" s="125"/>
      <c r="BJ44" s="128"/>
      <c r="BK44" s="127"/>
      <c r="BL44" s="127"/>
      <c r="BM44" s="127"/>
      <c r="BN44" s="125"/>
      <c r="BO44" s="128"/>
      <c r="BP44" s="127"/>
      <c r="BQ44" s="127"/>
      <c r="BR44" s="127"/>
      <c r="BS44" s="125"/>
      <c r="BU44" s="10" t="e">
        <f>#REF!</f>
        <v>#REF!</v>
      </c>
    </row>
    <row r="45" spans="2:73" s="10" customFormat="1" ht="18" customHeight="1" x14ac:dyDescent="0.2">
      <c r="B45" s="149">
        <v>41</v>
      </c>
      <c r="C45" s="149">
        <v>4</v>
      </c>
      <c r="D45" s="167" t="s">
        <v>453</v>
      </c>
      <c r="E45" s="168" t="s">
        <v>45</v>
      </c>
      <c r="F45" s="153" t="s">
        <v>133</v>
      </c>
      <c r="G45" s="216"/>
      <c r="H45" s="217" t="s">
        <v>912</v>
      </c>
      <c r="I45" s="218">
        <v>0.01</v>
      </c>
      <c r="J45" s="219">
        <v>1</v>
      </c>
      <c r="L45" s="111"/>
      <c r="M45" s="107" t="str">
        <f t="shared" si="105"/>
        <v>_</v>
      </c>
      <c r="N45" s="107">
        <f>'Project types'!$W$6</f>
        <v>2050</v>
      </c>
      <c r="O45" s="108">
        <f>IF(G45=1,(H45-1)+'Project types'!N46,IF(G45=2,H45-1,9999))</f>
        <v>9999</v>
      </c>
      <c r="P45" s="9">
        <f t="shared" si="79"/>
        <v>0</v>
      </c>
      <c r="Q45" s="9">
        <f t="shared" si="80"/>
        <v>0</v>
      </c>
      <c r="R45" s="9">
        <f t="shared" si="81"/>
        <v>0</v>
      </c>
      <c r="S45" s="9">
        <f t="shared" si="82"/>
        <v>0</v>
      </c>
      <c r="T45" s="9">
        <f t="shared" si="83"/>
        <v>0</v>
      </c>
      <c r="U45" s="9">
        <f t="shared" si="84"/>
        <v>0</v>
      </c>
      <c r="V45" s="9">
        <f t="shared" si="85"/>
        <v>0</v>
      </c>
      <c r="W45" s="9">
        <f t="shared" si="86"/>
        <v>0</v>
      </c>
      <c r="X45" s="9">
        <f t="shared" si="87"/>
        <v>0</v>
      </c>
      <c r="Y45" s="9">
        <f t="shared" si="88"/>
        <v>0</v>
      </c>
      <c r="Z45" s="9">
        <f t="shared" si="89"/>
        <v>0</v>
      </c>
      <c r="AA45" s="9">
        <f t="shared" si="90"/>
        <v>0</v>
      </c>
      <c r="AB45" s="9">
        <f t="shared" si="91"/>
        <v>0</v>
      </c>
      <c r="AC45" s="9">
        <f t="shared" si="92"/>
        <v>0</v>
      </c>
      <c r="AD45" s="9">
        <f t="shared" si="93"/>
        <v>0</v>
      </c>
      <c r="AE45" s="9">
        <f t="shared" si="94"/>
        <v>0</v>
      </c>
      <c r="AF45" s="9">
        <f t="shared" si="95"/>
        <v>0</v>
      </c>
      <c r="AG45" s="9">
        <f t="shared" si="96"/>
        <v>0</v>
      </c>
      <c r="AH45" s="9">
        <f t="shared" si="97"/>
        <v>0</v>
      </c>
      <c r="AI45" s="9">
        <f t="shared" si="98"/>
        <v>0</v>
      </c>
      <c r="AJ45" s="9">
        <f t="shared" si="99"/>
        <v>0</v>
      </c>
      <c r="AK45" s="9">
        <f t="shared" si="100"/>
        <v>0</v>
      </c>
      <c r="AL45" s="9">
        <f t="shared" si="101"/>
        <v>0</v>
      </c>
      <c r="AM45" s="9">
        <f t="shared" si="102"/>
        <v>0</v>
      </c>
      <c r="AN45" s="9">
        <f t="shared" si="103"/>
        <v>0</v>
      </c>
      <c r="AO45" s="10">
        <f t="shared" si="104"/>
        <v>0</v>
      </c>
      <c r="AQ45" s="109">
        <v>4</v>
      </c>
      <c r="AR45" s="9" t="s">
        <v>45</v>
      </c>
      <c r="AT45" s="125"/>
      <c r="AU45" s="126"/>
      <c r="AV45" s="127"/>
      <c r="AW45" s="127"/>
      <c r="AX45" s="127"/>
      <c r="AY45" s="125"/>
      <c r="AZ45" s="126"/>
      <c r="BA45" s="127"/>
      <c r="BB45" s="127"/>
      <c r="BC45" s="127"/>
      <c r="BD45" s="125"/>
      <c r="BE45" s="126"/>
      <c r="BF45" s="127"/>
      <c r="BG45" s="127"/>
      <c r="BH45" s="127"/>
      <c r="BI45" s="125"/>
      <c r="BJ45" s="128"/>
      <c r="BK45" s="127"/>
      <c r="BL45" s="127"/>
      <c r="BM45" s="127"/>
      <c r="BN45" s="125"/>
      <c r="BO45" s="128"/>
      <c r="BP45" s="127"/>
      <c r="BQ45" s="127"/>
      <c r="BR45" s="127"/>
      <c r="BS45" s="125"/>
      <c r="BU45" s="10" t="e">
        <f>#REF!</f>
        <v>#REF!</v>
      </c>
    </row>
    <row r="46" spans="2:73" s="10" customFormat="1" ht="18" customHeight="1" x14ac:dyDescent="0.2">
      <c r="B46" s="149">
        <v>42</v>
      </c>
      <c r="C46" s="149">
        <v>4</v>
      </c>
      <c r="D46" s="167" t="s">
        <v>453</v>
      </c>
      <c r="E46" s="168" t="s">
        <v>400</v>
      </c>
      <c r="F46" s="169" t="s">
        <v>398</v>
      </c>
      <c r="G46" s="216"/>
      <c r="H46" s="217" t="s">
        <v>912</v>
      </c>
      <c r="I46" s="218">
        <v>1</v>
      </c>
      <c r="J46" s="219">
        <v>1</v>
      </c>
      <c r="L46" s="111"/>
      <c r="M46" s="107" t="str">
        <f t="shared" si="105"/>
        <v>_</v>
      </c>
      <c r="N46" s="107">
        <f>'Project types'!$W$6</f>
        <v>2050</v>
      </c>
      <c r="O46" s="108">
        <f>IF(G46=1,(H46-1)+'Project types'!N47,IF(G46=2,H46-1,9999))</f>
        <v>9999</v>
      </c>
      <c r="P46" s="9">
        <f t="shared" si="79"/>
        <v>0</v>
      </c>
      <c r="Q46" s="9">
        <f t="shared" si="80"/>
        <v>0</v>
      </c>
      <c r="R46" s="9">
        <f t="shared" si="81"/>
        <v>0</v>
      </c>
      <c r="S46" s="9">
        <f t="shared" si="82"/>
        <v>0</v>
      </c>
      <c r="T46" s="9">
        <f t="shared" si="83"/>
        <v>0</v>
      </c>
      <c r="U46" s="9">
        <f t="shared" si="84"/>
        <v>0</v>
      </c>
      <c r="V46" s="9">
        <f t="shared" si="85"/>
        <v>0</v>
      </c>
      <c r="W46" s="9">
        <f t="shared" si="86"/>
        <v>0</v>
      </c>
      <c r="X46" s="9">
        <f t="shared" si="87"/>
        <v>0</v>
      </c>
      <c r="Y46" s="9">
        <f t="shared" si="88"/>
        <v>0</v>
      </c>
      <c r="Z46" s="9">
        <f t="shared" si="89"/>
        <v>0</v>
      </c>
      <c r="AA46" s="9">
        <f t="shared" si="90"/>
        <v>0</v>
      </c>
      <c r="AB46" s="9">
        <f t="shared" si="91"/>
        <v>0</v>
      </c>
      <c r="AC46" s="9">
        <f t="shared" si="92"/>
        <v>0</v>
      </c>
      <c r="AD46" s="9">
        <f t="shared" si="93"/>
        <v>0</v>
      </c>
      <c r="AE46" s="9">
        <f t="shared" si="94"/>
        <v>0</v>
      </c>
      <c r="AF46" s="9">
        <f t="shared" si="95"/>
        <v>0</v>
      </c>
      <c r="AG46" s="9">
        <f t="shared" si="96"/>
        <v>0</v>
      </c>
      <c r="AH46" s="9">
        <f t="shared" si="97"/>
        <v>0</v>
      </c>
      <c r="AI46" s="9">
        <f t="shared" si="98"/>
        <v>0</v>
      </c>
      <c r="AJ46" s="9">
        <f t="shared" si="99"/>
        <v>0</v>
      </c>
      <c r="AK46" s="9">
        <f t="shared" si="100"/>
        <v>0</v>
      </c>
      <c r="AL46" s="9">
        <f t="shared" si="101"/>
        <v>0</v>
      </c>
      <c r="AM46" s="9">
        <f t="shared" si="102"/>
        <v>0</v>
      </c>
      <c r="AN46" s="9">
        <f t="shared" si="103"/>
        <v>0</v>
      </c>
      <c r="AO46" s="10">
        <f t="shared" si="104"/>
        <v>0</v>
      </c>
      <c r="AQ46" s="109">
        <v>4</v>
      </c>
      <c r="AR46" s="9" t="s">
        <v>400</v>
      </c>
      <c r="AT46" s="125"/>
      <c r="AU46" s="126"/>
      <c r="AV46" s="127"/>
      <c r="AW46" s="127"/>
      <c r="AX46" s="127"/>
      <c r="AY46" s="125"/>
      <c r="AZ46" s="126"/>
      <c r="BA46" s="127"/>
      <c r="BB46" s="127"/>
      <c r="BC46" s="127"/>
      <c r="BD46" s="125"/>
      <c r="BE46" s="126"/>
      <c r="BF46" s="127"/>
      <c r="BG46" s="127"/>
      <c r="BH46" s="127"/>
      <c r="BI46" s="125"/>
      <c r="BJ46" s="128"/>
      <c r="BK46" s="127"/>
      <c r="BL46" s="127"/>
      <c r="BM46" s="127"/>
      <c r="BN46" s="125"/>
      <c r="BO46" s="128"/>
      <c r="BP46" s="127"/>
      <c r="BQ46" s="127"/>
      <c r="BR46" s="127"/>
      <c r="BS46" s="125"/>
      <c r="BU46" s="10" t="e">
        <f>#REF!</f>
        <v>#REF!</v>
      </c>
    </row>
    <row r="47" spans="2:73" s="10" customFormat="1" ht="18" customHeight="1" x14ac:dyDescent="0.2">
      <c r="B47" s="149">
        <v>43</v>
      </c>
      <c r="C47" s="149">
        <v>4</v>
      </c>
      <c r="D47" s="167" t="s">
        <v>453</v>
      </c>
      <c r="E47" s="168" t="s">
        <v>401</v>
      </c>
      <c r="F47" s="153" t="s">
        <v>128</v>
      </c>
      <c r="G47" s="216"/>
      <c r="H47" s="217" t="s">
        <v>912</v>
      </c>
      <c r="I47" s="218">
        <v>1</v>
      </c>
      <c r="J47" s="219">
        <v>1</v>
      </c>
      <c r="L47" s="111"/>
      <c r="M47" s="107" t="str">
        <f t="shared" si="105"/>
        <v>_</v>
      </c>
      <c r="N47" s="107">
        <f>'Project types'!$W$6</f>
        <v>2050</v>
      </c>
      <c r="O47" s="108">
        <f>IF(G47=1,(H47-1)+'Project types'!N48,IF(G47=2,H47-1,9999))</f>
        <v>9999</v>
      </c>
      <c r="P47" s="9">
        <f t="shared" si="79"/>
        <v>0</v>
      </c>
      <c r="Q47" s="9">
        <f t="shared" si="80"/>
        <v>0</v>
      </c>
      <c r="R47" s="9">
        <f t="shared" si="81"/>
        <v>0</v>
      </c>
      <c r="S47" s="9">
        <f t="shared" si="82"/>
        <v>0</v>
      </c>
      <c r="T47" s="9">
        <f t="shared" si="83"/>
        <v>0</v>
      </c>
      <c r="U47" s="9">
        <f t="shared" si="84"/>
        <v>0</v>
      </c>
      <c r="V47" s="9">
        <f t="shared" si="85"/>
        <v>0</v>
      </c>
      <c r="W47" s="9">
        <f t="shared" si="86"/>
        <v>0</v>
      </c>
      <c r="X47" s="9">
        <f t="shared" si="87"/>
        <v>0</v>
      </c>
      <c r="Y47" s="9">
        <f t="shared" si="88"/>
        <v>0</v>
      </c>
      <c r="Z47" s="9">
        <f t="shared" si="89"/>
        <v>0</v>
      </c>
      <c r="AA47" s="9">
        <f t="shared" si="90"/>
        <v>0</v>
      </c>
      <c r="AB47" s="9">
        <f t="shared" si="91"/>
        <v>0</v>
      </c>
      <c r="AC47" s="9">
        <f t="shared" si="92"/>
        <v>0</v>
      </c>
      <c r="AD47" s="9">
        <f t="shared" si="93"/>
        <v>0</v>
      </c>
      <c r="AE47" s="9">
        <f t="shared" si="94"/>
        <v>0</v>
      </c>
      <c r="AF47" s="9">
        <f t="shared" si="95"/>
        <v>0</v>
      </c>
      <c r="AG47" s="9">
        <f t="shared" si="96"/>
        <v>0</v>
      </c>
      <c r="AH47" s="9">
        <f t="shared" si="97"/>
        <v>0</v>
      </c>
      <c r="AI47" s="9">
        <f t="shared" si="98"/>
        <v>0</v>
      </c>
      <c r="AJ47" s="9">
        <f t="shared" si="99"/>
        <v>0</v>
      </c>
      <c r="AK47" s="9">
        <f t="shared" si="100"/>
        <v>0</v>
      </c>
      <c r="AL47" s="9">
        <f t="shared" si="101"/>
        <v>0</v>
      </c>
      <c r="AM47" s="9">
        <f t="shared" si="102"/>
        <v>0</v>
      </c>
      <c r="AN47" s="9">
        <f t="shared" si="103"/>
        <v>0</v>
      </c>
      <c r="AO47" s="10">
        <f t="shared" si="104"/>
        <v>0</v>
      </c>
      <c r="AQ47" s="109">
        <v>4</v>
      </c>
      <c r="AR47" s="9" t="s">
        <v>401</v>
      </c>
      <c r="AT47" s="125"/>
      <c r="AU47" s="126"/>
      <c r="AV47" s="127"/>
      <c r="AW47" s="127"/>
      <c r="AX47" s="127"/>
      <c r="AY47" s="125"/>
      <c r="AZ47" s="126"/>
      <c r="BA47" s="127"/>
      <c r="BB47" s="127"/>
      <c r="BC47" s="127"/>
      <c r="BD47" s="125"/>
      <c r="BE47" s="126"/>
      <c r="BF47" s="127"/>
      <c r="BG47" s="127"/>
      <c r="BH47" s="127"/>
      <c r="BI47" s="125"/>
      <c r="BJ47" s="128"/>
      <c r="BK47" s="127"/>
      <c r="BL47" s="127"/>
      <c r="BM47" s="127"/>
      <c r="BN47" s="125"/>
      <c r="BO47" s="128"/>
      <c r="BP47" s="127"/>
      <c r="BQ47" s="127"/>
      <c r="BR47" s="127"/>
      <c r="BS47" s="125"/>
      <c r="BU47" s="10" t="e">
        <f>#REF!</f>
        <v>#REF!</v>
      </c>
    </row>
    <row r="48" spans="2:73" s="10" customFormat="1" ht="18" customHeight="1" x14ac:dyDescent="0.2">
      <c r="B48" s="149">
        <v>44</v>
      </c>
      <c r="C48" s="149">
        <v>4</v>
      </c>
      <c r="D48" s="167" t="s">
        <v>453</v>
      </c>
      <c r="E48" s="168" t="s">
        <v>402</v>
      </c>
      <c r="F48" s="153" t="s">
        <v>118</v>
      </c>
      <c r="G48" s="216"/>
      <c r="H48" s="217" t="s">
        <v>912</v>
      </c>
      <c r="I48" s="218">
        <v>1</v>
      </c>
      <c r="J48" s="219">
        <v>1</v>
      </c>
      <c r="L48" s="111"/>
      <c r="M48" s="107" t="str">
        <f t="shared" si="105"/>
        <v>_</v>
      </c>
      <c r="N48" s="107">
        <f>'Project types'!$W$6</f>
        <v>2050</v>
      </c>
      <c r="O48" s="108">
        <f>IF(G48=1,(H48-1)+'Project types'!N49,IF(G48=2,H48-1,9999))</f>
        <v>9999</v>
      </c>
      <c r="P48" s="9">
        <f t="shared" si="79"/>
        <v>0</v>
      </c>
      <c r="Q48" s="9">
        <f t="shared" si="80"/>
        <v>0</v>
      </c>
      <c r="R48" s="9">
        <f t="shared" si="81"/>
        <v>0</v>
      </c>
      <c r="S48" s="9">
        <f t="shared" si="82"/>
        <v>0</v>
      </c>
      <c r="T48" s="9">
        <f t="shared" si="83"/>
        <v>0</v>
      </c>
      <c r="U48" s="9">
        <f t="shared" si="84"/>
        <v>0</v>
      </c>
      <c r="V48" s="9">
        <f t="shared" si="85"/>
        <v>0</v>
      </c>
      <c r="W48" s="9">
        <f t="shared" si="86"/>
        <v>0</v>
      </c>
      <c r="X48" s="9">
        <f t="shared" si="87"/>
        <v>0</v>
      </c>
      <c r="Y48" s="9">
        <f t="shared" si="88"/>
        <v>0</v>
      </c>
      <c r="Z48" s="9">
        <f t="shared" si="89"/>
        <v>0</v>
      </c>
      <c r="AA48" s="9">
        <f t="shared" si="90"/>
        <v>0</v>
      </c>
      <c r="AB48" s="9">
        <f t="shared" si="91"/>
        <v>0</v>
      </c>
      <c r="AC48" s="9">
        <f t="shared" si="92"/>
        <v>0</v>
      </c>
      <c r="AD48" s="9">
        <f t="shared" si="93"/>
        <v>0</v>
      </c>
      <c r="AE48" s="9">
        <f t="shared" si="94"/>
        <v>0</v>
      </c>
      <c r="AF48" s="9">
        <f t="shared" si="95"/>
        <v>0</v>
      </c>
      <c r="AG48" s="9">
        <f t="shared" si="96"/>
        <v>0</v>
      </c>
      <c r="AH48" s="9">
        <f t="shared" si="97"/>
        <v>0</v>
      </c>
      <c r="AI48" s="9">
        <f t="shared" si="98"/>
        <v>0</v>
      </c>
      <c r="AJ48" s="9">
        <f t="shared" si="99"/>
        <v>0</v>
      </c>
      <c r="AK48" s="9">
        <f t="shared" si="100"/>
        <v>0</v>
      </c>
      <c r="AL48" s="9">
        <f t="shared" si="101"/>
        <v>0</v>
      </c>
      <c r="AM48" s="9">
        <f t="shared" si="102"/>
        <v>0</v>
      </c>
      <c r="AN48" s="9">
        <f t="shared" si="103"/>
        <v>0</v>
      </c>
      <c r="AO48" s="10">
        <f t="shared" si="104"/>
        <v>0</v>
      </c>
      <c r="AQ48" s="109">
        <v>4</v>
      </c>
      <c r="AR48" s="9" t="s">
        <v>402</v>
      </c>
      <c r="AT48" s="125"/>
      <c r="AU48" s="126"/>
      <c r="AV48" s="127"/>
      <c r="AW48" s="127"/>
      <c r="AX48" s="127"/>
      <c r="AY48" s="125"/>
      <c r="AZ48" s="126"/>
      <c r="BA48" s="127"/>
      <c r="BB48" s="127"/>
      <c r="BC48" s="127"/>
      <c r="BD48" s="125"/>
      <c r="BE48" s="126"/>
      <c r="BF48" s="127"/>
      <c r="BG48" s="127"/>
      <c r="BH48" s="127"/>
      <c r="BI48" s="125"/>
      <c r="BJ48" s="128"/>
      <c r="BK48" s="127"/>
      <c r="BL48" s="127"/>
      <c r="BM48" s="127"/>
      <c r="BN48" s="125"/>
      <c r="BO48" s="128"/>
      <c r="BP48" s="127"/>
      <c r="BQ48" s="127"/>
      <c r="BR48" s="127"/>
      <c r="BS48" s="125"/>
      <c r="BU48" s="10" t="e">
        <f>#REF!</f>
        <v>#REF!</v>
      </c>
    </row>
    <row r="49" spans="2:73" s="10" customFormat="1" ht="18" customHeight="1" thickBot="1" x14ac:dyDescent="0.25">
      <c r="B49" s="154">
        <v>45</v>
      </c>
      <c r="C49" s="154">
        <v>4</v>
      </c>
      <c r="D49" s="170" t="s">
        <v>453</v>
      </c>
      <c r="E49" s="171" t="s">
        <v>403</v>
      </c>
      <c r="F49" s="172" t="s">
        <v>399</v>
      </c>
      <c r="G49" s="220"/>
      <c r="H49" s="224" t="s">
        <v>912</v>
      </c>
      <c r="I49" s="222">
        <v>1</v>
      </c>
      <c r="J49" s="223">
        <v>1</v>
      </c>
      <c r="L49" s="111"/>
      <c r="M49" s="107" t="str">
        <f t="shared" si="105"/>
        <v>_</v>
      </c>
      <c r="N49" s="107">
        <f>'Project types'!$W$6</f>
        <v>2050</v>
      </c>
      <c r="O49" s="108">
        <f>IF(G49=1,(H49-1)+'Project types'!N50,IF(G49=2,H49-1,9999))</f>
        <v>9999</v>
      </c>
      <c r="P49" s="9">
        <f t="shared" si="79"/>
        <v>0</v>
      </c>
      <c r="Q49" s="9">
        <f t="shared" si="80"/>
        <v>0</v>
      </c>
      <c r="R49" s="9">
        <f t="shared" si="81"/>
        <v>0</v>
      </c>
      <c r="S49" s="9">
        <f t="shared" si="82"/>
        <v>0</v>
      </c>
      <c r="T49" s="9">
        <f t="shared" si="83"/>
        <v>0</v>
      </c>
      <c r="U49" s="9">
        <f t="shared" si="84"/>
        <v>0</v>
      </c>
      <c r="V49" s="9">
        <f t="shared" si="85"/>
        <v>0</v>
      </c>
      <c r="W49" s="9">
        <f t="shared" si="86"/>
        <v>0</v>
      </c>
      <c r="X49" s="9">
        <f t="shared" si="87"/>
        <v>0</v>
      </c>
      <c r="Y49" s="9">
        <f t="shared" si="88"/>
        <v>0</v>
      </c>
      <c r="Z49" s="9">
        <f t="shared" si="89"/>
        <v>0</v>
      </c>
      <c r="AA49" s="9">
        <f t="shared" si="90"/>
        <v>0</v>
      </c>
      <c r="AB49" s="9">
        <f t="shared" si="91"/>
        <v>0</v>
      </c>
      <c r="AC49" s="9">
        <f t="shared" si="92"/>
        <v>0</v>
      </c>
      <c r="AD49" s="9">
        <f t="shared" si="93"/>
        <v>0</v>
      </c>
      <c r="AE49" s="9">
        <f t="shared" si="94"/>
        <v>0</v>
      </c>
      <c r="AF49" s="9">
        <f t="shared" si="95"/>
        <v>0</v>
      </c>
      <c r="AG49" s="9">
        <f t="shared" si="96"/>
        <v>0</v>
      </c>
      <c r="AH49" s="9">
        <f t="shared" si="97"/>
        <v>0</v>
      </c>
      <c r="AI49" s="9">
        <f t="shared" si="98"/>
        <v>0</v>
      </c>
      <c r="AJ49" s="9">
        <f t="shared" si="99"/>
        <v>0</v>
      </c>
      <c r="AK49" s="9">
        <f t="shared" si="100"/>
        <v>0</v>
      </c>
      <c r="AL49" s="9">
        <f t="shared" si="101"/>
        <v>0</v>
      </c>
      <c r="AM49" s="9">
        <f t="shared" si="102"/>
        <v>0</v>
      </c>
      <c r="AN49" s="9">
        <f t="shared" si="103"/>
        <v>0</v>
      </c>
      <c r="AO49" s="10">
        <f t="shared" si="104"/>
        <v>0</v>
      </c>
      <c r="AQ49" s="109">
        <v>4</v>
      </c>
      <c r="AR49" s="9" t="s">
        <v>403</v>
      </c>
      <c r="AT49" s="129"/>
      <c r="AU49" s="130"/>
      <c r="AV49" s="131"/>
      <c r="AW49" s="131"/>
      <c r="AX49" s="131"/>
      <c r="AY49" s="129"/>
      <c r="AZ49" s="130"/>
      <c r="BA49" s="131"/>
      <c r="BB49" s="131"/>
      <c r="BC49" s="131"/>
      <c r="BD49" s="129"/>
      <c r="BE49" s="130"/>
      <c r="BF49" s="131"/>
      <c r="BG49" s="131"/>
      <c r="BH49" s="131"/>
      <c r="BI49" s="129"/>
      <c r="BJ49" s="132"/>
      <c r="BK49" s="131"/>
      <c r="BL49" s="131"/>
      <c r="BM49" s="131"/>
      <c r="BN49" s="129"/>
      <c r="BO49" s="132"/>
      <c r="BP49" s="131"/>
      <c r="BQ49" s="131"/>
      <c r="BR49" s="131"/>
      <c r="BS49" s="129"/>
      <c r="BU49" s="10" t="e">
        <f>#REF!</f>
        <v>#REF!</v>
      </c>
    </row>
    <row r="50" spans="2:73" s="10" customFormat="1" ht="18" customHeight="1" x14ac:dyDescent="0.2">
      <c r="B50" s="145">
        <v>46</v>
      </c>
      <c r="C50" s="145">
        <v>5</v>
      </c>
      <c r="D50" s="146" t="s">
        <v>454</v>
      </c>
      <c r="E50" s="173" t="s">
        <v>46</v>
      </c>
      <c r="F50" s="159" t="s">
        <v>404</v>
      </c>
      <c r="G50" s="216"/>
      <c r="H50" s="217" t="s">
        <v>912</v>
      </c>
      <c r="I50" s="218">
        <v>1</v>
      </c>
      <c r="J50" s="219">
        <v>1</v>
      </c>
      <c r="L50" s="111"/>
      <c r="M50" s="107" t="str">
        <f t="shared" si="105"/>
        <v>_</v>
      </c>
      <c r="N50" s="107">
        <f>'Project types'!$W$6</f>
        <v>2050</v>
      </c>
      <c r="O50" s="108">
        <f>IF(G50=1,(H50-1)+'Project types'!N51,IF(G50=2,H50-1,9999))</f>
        <v>9999</v>
      </c>
      <c r="P50" s="9">
        <f t="shared" ref="P50:P61" si="106">_xlfn.IFS(AND(AND($P$4&gt;=$H50,$P$4&lt;=$O50)),10,AND(AND($P$4&gt;=$M50,$P$4&lt;=$N50)),9,AND(OR($P$4&lt;$M50,$P$4&gt;$N50)),0)</f>
        <v>0</v>
      </c>
      <c r="Q50" s="9">
        <f t="shared" ref="Q50:Q61" si="107">_xlfn.IFS(AND(AND($Q$4&gt;=$H50,$Q$4&lt;=$O50)),10,AND(AND($Q$4&gt;=$M50,$Q$4&lt;=$N50)),9,AND(OR($Q$4&lt;$M50,$Q$4&gt;$N50)),0)</f>
        <v>0</v>
      </c>
      <c r="R50" s="9">
        <f t="shared" ref="R50:R61" si="108">_xlfn.IFS(AND(AND($R$4&gt;=$H50,$R$4&lt;=$O50)),10,AND(AND($R$4&gt;=$M50,$R$4&lt;=$N50)),9,AND(OR($R$4&lt;$M50,$R$4&gt;$N50)),0)</f>
        <v>0</v>
      </c>
      <c r="S50" s="9">
        <f t="shared" ref="S50:S61" si="109">_xlfn.IFS(AND(AND($S$4&gt;=$H50,$S$4&lt;=$O50)),10,AND(AND($S$4&gt;=$M50,$S$4&lt;=$N50)),9,AND(OR($S$4&lt;$M50,$S$4&gt;$N50)),0)</f>
        <v>0</v>
      </c>
      <c r="T50" s="9">
        <f t="shared" ref="T50:T61" si="110">_xlfn.IFS(AND(AND($T$4&gt;=$H50,$T$4&lt;=$O50)),10,AND(AND($T$4&gt;=$M50,$T$4&lt;=$N50)),9,AND(OR($T$4&lt;$M50,$T$4&gt;$N50)),0)</f>
        <v>0</v>
      </c>
      <c r="U50" s="9">
        <f t="shared" ref="U50:U61" si="111">_xlfn.IFS(AND(AND($U$4&gt;=$H50,$U$4&lt;=$O50)),10,AND(AND($U$4&gt;=$M50,$U$4&lt;=$N50)),9,AND(OR($U$4&lt;$M50,$U$4&gt;$N50)),0)</f>
        <v>0</v>
      </c>
      <c r="V50" s="9">
        <f t="shared" ref="V50:V61" si="112">_xlfn.IFS(AND(AND($V$4&gt;=$H50,$V$4&lt;=$O50)),10,AND(AND($V$4&gt;=$M50,$V$4&lt;=$N50)),9,AND(OR($V$4&lt;$M50,$V$4&gt;$N50)),0)</f>
        <v>0</v>
      </c>
      <c r="W50" s="9">
        <f t="shared" ref="W50:W61" si="113">_xlfn.IFS(AND(AND($W$4&gt;=$H50,$W$4&lt;=$O50)),10,AND(AND($W$4&gt;=$M50,$W$4&lt;=$N50)),9,AND(OR($W$4&lt;$M50,$W$4&gt;$N50)),0)</f>
        <v>0</v>
      </c>
      <c r="X50" s="9">
        <f t="shared" ref="X50:X61" si="114">_xlfn.IFS(AND(AND($X$4&gt;=$H50,$X$4&lt;=$O50)),10,AND(AND($X$4&gt;=$M50,$X$4&lt;=$N50)),9,AND(OR($X$4&lt;$M50,$X$4&gt;$N50)),0)</f>
        <v>0</v>
      </c>
      <c r="Y50" s="9">
        <f t="shared" ref="Y50:Y61" si="115">_xlfn.IFS(AND(AND($Y$4&gt;=$H50,$Y$4&lt;=$O50)),10,AND(AND($Y$4&gt;=$M50,$Y$4&lt;=$N50)),9,AND(OR($Y$4&lt;$M50,$Y$4&gt;$N50)),0)</f>
        <v>0</v>
      </c>
      <c r="Z50" s="9">
        <f t="shared" ref="Z50:Z61" si="116">_xlfn.IFS(AND(AND($Z$4&gt;=$H50,$Z$4&lt;=$O50)),10,AND(AND($Z$4&gt;=$M50,$Z$4&lt;=$N50)),9,AND(OR($Z$4&lt;$M50,$Z$4&gt;$N50)),0)</f>
        <v>0</v>
      </c>
      <c r="AA50" s="9">
        <f t="shared" ref="AA50:AA61" si="117">_xlfn.IFS(AND(AND($AA$4&gt;=$H50,$AA$4&lt;=$O50)),10,AND(AND($AA$4&gt;=$M50,$AA$4&lt;=$N50)),9,AND(OR($AA$4&lt;$M50,$AA$4&gt;$N50)),0)</f>
        <v>0</v>
      </c>
      <c r="AB50" s="9">
        <f t="shared" ref="AB50:AB61" si="118">_xlfn.IFS(AND(AND($AB$4&gt;=$H50,$AB$4&lt;=$O50)),10,AND(AND($AB$4&gt;=$M50,$AB$4&lt;=$N50)),9,AND(OR($AB$4&lt;$M50,$AB$4&gt;$N50)),0)</f>
        <v>0</v>
      </c>
      <c r="AC50" s="9">
        <f t="shared" ref="AC50:AC61" si="119">_xlfn.IFS(AND(AND($AC$4&gt;=$H50,$AC$4&lt;=$O50)),10,AND(AND($AC$4&gt;=$M50,$AC$4&lt;=$N50)),9,AND(OR($AC$4&lt;$M50,$AC$4&gt;$N50)),0)</f>
        <v>0</v>
      </c>
      <c r="AD50" s="9">
        <f t="shared" ref="AD50:AD61" si="120">_xlfn.IFS(AND(AND($AD$4&gt;=$H50,$AD$4&lt;=$O50)),10,AND(AND($AD$4&gt;=$M50,$AD$4&lt;=$N50)),9,AND(OR($AD$4&lt;$M50,$AD$4&gt;$N50)),0)</f>
        <v>0</v>
      </c>
      <c r="AE50" s="9">
        <f t="shared" ref="AE50:AE61" si="121">_xlfn.IFS(AND(AND($AE$4&gt;=$H50,$AE$4&lt;=$O50)),10,AND(AND($AE$4&gt;=$M50,$AE$4&lt;=$N50)),9,AND(OR($AE$4&lt;$M50,$AE$4&gt;$N50)),0)</f>
        <v>0</v>
      </c>
      <c r="AF50" s="9">
        <f t="shared" ref="AF50:AF61" si="122">_xlfn.IFS(AND(AND($AF$4&gt;=$H50,$AF$4&lt;=$O50)),10,AND(AND($AF$4&gt;=$M50,$AF$4&lt;=$N50)),9,AND(OR($AF$4&lt;$M50,$AF$4&gt;$N50)),0)</f>
        <v>0</v>
      </c>
      <c r="AG50" s="9">
        <f t="shared" ref="AG50:AG61" si="123">_xlfn.IFS(AND(AND($AG$4&gt;=$H50,$AG$4&lt;=$O50)),10,AND(AND($AG$4&gt;=$M50,$AG$4&lt;=$N50)),9,AND(OR($AG$4&lt;$M50,$AG$4&gt;$N50)),0)</f>
        <v>0</v>
      </c>
      <c r="AH50" s="9">
        <f t="shared" ref="AH50:AH61" si="124">_xlfn.IFS(AND(AND($AH$4&gt;=$H50,$AH$4&lt;=$O50)),10,AND(AND($AH$4&gt;=$M50,$AH$4&lt;=$N50)),9,AND(OR($AH$4&lt;$M50,$AH$4&gt;$N50)),0)</f>
        <v>0</v>
      </c>
      <c r="AI50" s="9">
        <f t="shared" ref="AI50:AI61" si="125">_xlfn.IFS(AND(AND($AI$4&gt;=$H50,$AI$4&lt;=$O50)),10,AND(AND($AI$4&gt;=$M50,$AI$4&lt;=$N50)),9,AND(OR($AI$4&lt;$M50,$AI$4&gt;$N50)),0)</f>
        <v>0</v>
      </c>
      <c r="AJ50" s="9">
        <f t="shared" ref="AJ50:AJ61" si="126">_xlfn.IFS(AND(AND($AJ$4&gt;=$H50,$AJ$4&lt;=$O50)),10,AND(AND($AJ$4&gt;=$M50,$AJ$4&lt;=$N50)),9,AND(OR($AJ$4&lt;$M50,$AJ$4&gt;$N50)),0)</f>
        <v>0</v>
      </c>
      <c r="AK50" s="9">
        <f t="shared" ref="AK50:AK61" si="127">_xlfn.IFS(AND(AND($AK$4&gt;=$H50,$AK$4&lt;=$O50)),10,AND(AND($AK$4&gt;=$M50,$AK$4&lt;=$N50)),9,AND(OR($AK$4&lt;$M50,$AK$4&gt;$N50)),0)</f>
        <v>0</v>
      </c>
      <c r="AL50" s="9">
        <f t="shared" ref="AL50:AL61" si="128">_xlfn.IFS(AND(AND($AL$4&gt;=$H50,$AL$4&lt;=$O50)),10,AND(AND($AL$4&gt;=$M50,$AL$4&lt;=$N50)),9,AND(OR($AL$4&lt;$M50,$AL$4&gt;$N50)),0)</f>
        <v>0</v>
      </c>
      <c r="AM50" s="9">
        <f t="shared" ref="AM50:AM61" si="129">_xlfn.IFS(AND(AND($AM$4&gt;=$H50,$AM$4&lt;=$O50)),10,AND(AND($AM$4&gt;=$M50,$AM$4&lt;=$N50)),9,AND(OR($AM$4&lt;$M50,$AM$4&gt;$N50)),0)</f>
        <v>0</v>
      </c>
      <c r="AN50" s="9">
        <f t="shared" ref="AN50:AN61" si="130">_xlfn.IFS(AND(AND($AN$4&gt;=$H50,$AN$4&lt;=$O50)),10,AND(AND($AN$4&gt;=$M50,$AN$4&lt;=$N50)),9,AND(OR($AN$4&lt;$M50,$AN$4&gt;$N50)),0)</f>
        <v>0</v>
      </c>
      <c r="AO50" s="10">
        <f t="shared" ref="AO50:AO61" si="131">_xlfn.IFS(AND(AND($AO$4&gt;=$H50,$AO$4&lt;=$O50)),10,AND(AND($AO$4&gt;=$M50,$AO$4&lt;=$N50)),9,AND(OR($AO$4&lt;$M50,$AO$4&gt;$N50)),0)</f>
        <v>0</v>
      </c>
      <c r="AQ50" s="109">
        <v>5</v>
      </c>
      <c r="AR50" s="9" t="s">
        <v>46</v>
      </c>
      <c r="AT50" s="133"/>
      <c r="AU50" s="134"/>
      <c r="AV50" s="135"/>
      <c r="AW50" s="135"/>
      <c r="AX50" s="135"/>
      <c r="AY50" s="133"/>
      <c r="AZ50" s="134"/>
      <c r="BA50" s="135"/>
      <c r="BB50" s="135"/>
      <c r="BC50" s="135"/>
      <c r="BD50" s="133"/>
      <c r="BE50" s="134"/>
      <c r="BF50" s="135"/>
      <c r="BG50" s="135"/>
      <c r="BH50" s="135"/>
      <c r="BI50" s="133"/>
      <c r="BJ50" s="136"/>
      <c r="BK50" s="135"/>
      <c r="BL50" s="135"/>
      <c r="BM50" s="135"/>
      <c r="BN50" s="133"/>
      <c r="BO50" s="136"/>
      <c r="BP50" s="135"/>
      <c r="BQ50" s="135"/>
      <c r="BR50" s="135"/>
      <c r="BS50" s="133"/>
      <c r="BU50" s="10" t="e">
        <f>#REF!</f>
        <v>#REF!</v>
      </c>
    </row>
    <row r="51" spans="2:73" s="10" customFormat="1" ht="18" customHeight="1" x14ac:dyDescent="0.2">
      <c r="B51" s="149">
        <v>47</v>
      </c>
      <c r="C51" s="149">
        <v>5</v>
      </c>
      <c r="D51" s="150" t="s">
        <v>454</v>
      </c>
      <c r="E51" s="174" t="s">
        <v>47</v>
      </c>
      <c r="F51" s="153" t="s">
        <v>134</v>
      </c>
      <c r="G51" s="216"/>
      <c r="H51" s="217" t="s">
        <v>912</v>
      </c>
      <c r="I51" s="218">
        <v>0.01</v>
      </c>
      <c r="J51" s="219">
        <v>1</v>
      </c>
      <c r="L51" s="111"/>
      <c r="M51" s="107" t="str">
        <f t="shared" si="105"/>
        <v>_</v>
      </c>
      <c r="N51" s="107">
        <f>'Project types'!$W$6</f>
        <v>2050</v>
      </c>
      <c r="O51" s="108">
        <f>IF(G51=1,(H51-1)+'Project types'!N52,IF(G51=2,H51-1,9999))</f>
        <v>9999</v>
      </c>
      <c r="P51" s="9">
        <f t="shared" si="106"/>
        <v>0</v>
      </c>
      <c r="Q51" s="9">
        <f t="shared" si="107"/>
        <v>0</v>
      </c>
      <c r="R51" s="9">
        <f t="shared" si="108"/>
        <v>0</v>
      </c>
      <c r="S51" s="9">
        <f t="shared" si="109"/>
        <v>0</v>
      </c>
      <c r="T51" s="9">
        <f t="shared" si="110"/>
        <v>0</v>
      </c>
      <c r="U51" s="9">
        <f t="shared" si="111"/>
        <v>0</v>
      </c>
      <c r="V51" s="9">
        <f t="shared" si="112"/>
        <v>0</v>
      </c>
      <c r="W51" s="9">
        <f t="shared" si="113"/>
        <v>0</v>
      </c>
      <c r="X51" s="9">
        <f t="shared" si="114"/>
        <v>0</v>
      </c>
      <c r="Y51" s="9">
        <f t="shared" si="115"/>
        <v>0</v>
      </c>
      <c r="Z51" s="9">
        <f t="shared" si="116"/>
        <v>0</v>
      </c>
      <c r="AA51" s="9">
        <f t="shared" si="117"/>
        <v>0</v>
      </c>
      <c r="AB51" s="9">
        <f t="shared" si="118"/>
        <v>0</v>
      </c>
      <c r="AC51" s="9">
        <f t="shared" si="119"/>
        <v>0</v>
      </c>
      <c r="AD51" s="9">
        <f t="shared" si="120"/>
        <v>0</v>
      </c>
      <c r="AE51" s="9">
        <f t="shared" si="121"/>
        <v>0</v>
      </c>
      <c r="AF51" s="9">
        <f t="shared" si="122"/>
        <v>0</v>
      </c>
      <c r="AG51" s="9">
        <f t="shared" si="123"/>
        <v>0</v>
      </c>
      <c r="AH51" s="9">
        <f t="shared" si="124"/>
        <v>0</v>
      </c>
      <c r="AI51" s="9">
        <f t="shared" si="125"/>
        <v>0</v>
      </c>
      <c r="AJ51" s="9">
        <f t="shared" si="126"/>
        <v>0</v>
      </c>
      <c r="AK51" s="9">
        <f t="shared" si="127"/>
        <v>0</v>
      </c>
      <c r="AL51" s="9">
        <f t="shared" si="128"/>
        <v>0</v>
      </c>
      <c r="AM51" s="9">
        <f t="shared" si="129"/>
        <v>0</v>
      </c>
      <c r="AN51" s="9">
        <f t="shared" si="130"/>
        <v>0</v>
      </c>
      <c r="AO51" s="10">
        <f t="shared" si="131"/>
        <v>0</v>
      </c>
      <c r="AQ51" s="109">
        <v>5</v>
      </c>
      <c r="AR51" s="9" t="s">
        <v>47</v>
      </c>
      <c r="AT51" s="125"/>
      <c r="AU51" s="126"/>
      <c r="AV51" s="127"/>
      <c r="AW51" s="127"/>
      <c r="AX51" s="127"/>
      <c r="AY51" s="125"/>
      <c r="AZ51" s="126"/>
      <c r="BA51" s="127"/>
      <c r="BB51" s="127"/>
      <c r="BC51" s="127"/>
      <c r="BD51" s="125"/>
      <c r="BE51" s="126"/>
      <c r="BF51" s="127"/>
      <c r="BG51" s="127"/>
      <c r="BH51" s="127"/>
      <c r="BI51" s="125"/>
      <c r="BJ51" s="128"/>
      <c r="BK51" s="127"/>
      <c r="BL51" s="127"/>
      <c r="BM51" s="127"/>
      <c r="BN51" s="125"/>
      <c r="BO51" s="128"/>
      <c r="BP51" s="127"/>
      <c r="BQ51" s="127"/>
      <c r="BR51" s="127"/>
      <c r="BS51" s="125"/>
      <c r="BU51" s="10" t="e">
        <f>#REF!</f>
        <v>#REF!</v>
      </c>
    </row>
    <row r="52" spans="2:73" s="10" customFormat="1" ht="18" customHeight="1" x14ac:dyDescent="0.2">
      <c r="B52" s="149">
        <v>48</v>
      </c>
      <c r="C52" s="149">
        <v>5</v>
      </c>
      <c r="D52" s="150" t="s">
        <v>454</v>
      </c>
      <c r="E52" s="174" t="s">
        <v>48</v>
      </c>
      <c r="F52" s="153" t="s">
        <v>135</v>
      </c>
      <c r="G52" s="216"/>
      <c r="H52" s="217" t="s">
        <v>912</v>
      </c>
      <c r="I52" s="218">
        <v>1</v>
      </c>
      <c r="J52" s="219">
        <v>1</v>
      </c>
      <c r="L52" s="111"/>
      <c r="M52" s="107" t="str">
        <f t="shared" si="105"/>
        <v>_</v>
      </c>
      <c r="N52" s="107">
        <f>'Project types'!$W$6</f>
        <v>2050</v>
      </c>
      <c r="O52" s="108">
        <f>IF(G52=1,(H52-1)+'Project types'!N53,IF(G52=2,H52-1,9999))</f>
        <v>9999</v>
      </c>
      <c r="P52" s="9">
        <f t="shared" si="106"/>
        <v>0</v>
      </c>
      <c r="Q52" s="9">
        <f t="shared" si="107"/>
        <v>0</v>
      </c>
      <c r="R52" s="9">
        <f t="shared" si="108"/>
        <v>0</v>
      </c>
      <c r="S52" s="9">
        <f t="shared" si="109"/>
        <v>0</v>
      </c>
      <c r="T52" s="9">
        <f t="shared" si="110"/>
        <v>0</v>
      </c>
      <c r="U52" s="9">
        <f t="shared" si="111"/>
        <v>0</v>
      </c>
      <c r="V52" s="9">
        <f t="shared" si="112"/>
        <v>0</v>
      </c>
      <c r="W52" s="9">
        <f t="shared" si="113"/>
        <v>0</v>
      </c>
      <c r="X52" s="9">
        <f t="shared" si="114"/>
        <v>0</v>
      </c>
      <c r="Y52" s="9">
        <f t="shared" si="115"/>
        <v>0</v>
      </c>
      <c r="Z52" s="9">
        <f t="shared" si="116"/>
        <v>0</v>
      </c>
      <c r="AA52" s="9">
        <f t="shared" si="117"/>
        <v>0</v>
      </c>
      <c r="AB52" s="9">
        <f t="shared" si="118"/>
        <v>0</v>
      </c>
      <c r="AC52" s="9">
        <f t="shared" si="119"/>
        <v>0</v>
      </c>
      <c r="AD52" s="9">
        <f t="shared" si="120"/>
        <v>0</v>
      </c>
      <c r="AE52" s="9">
        <f t="shared" si="121"/>
        <v>0</v>
      </c>
      <c r="AF52" s="9">
        <f t="shared" si="122"/>
        <v>0</v>
      </c>
      <c r="AG52" s="9">
        <f t="shared" si="123"/>
        <v>0</v>
      </c>
      <c r="AH52" s="9">
        <f t="shared" si="124"/>
        <v>0</v>
      </c>
      <c r="AI52" s="9">
        <f t="shared" si="125"/>
        <v>0</v>
      </c>
      <c r="AJ52" s="9">
        <f t="shared" si="126"/>
        <v>0</v>
      </c>
      <c r="AK52" s="9">
        <f t="shared" si="127"/>
        <v>0</v>
      </c>
      <c r="AL52" s="9">
        <f t="shared" si="128"/>
        <v>0</v>
      </c>
      <c r="AM52" s="9">
        <f t="shared" si="129"/>
        <v>0</v>
      </c>
      <c r="AN52" s="9">
        <f t="shared" si="130"/>
        <v>0</v>
      </c>
      <c r="AO52" s="10">
        <f t="shared" si="131"/>
        <v>0</v>
      </c>
      <c r="AQ52" s="109">
        <v>5</v>
      </c>
      <c r="AR52" s="9" t="s">
        <v>48</v>
      </c>
      <c r="AT52" s="125"/>
      <c r="AU52" s="126"/>
      <c r="AV52" s="127"/>
      <c r="AW52" s="127"/>
      <c r="AX52" s="127"/>
      <c r="AY52" s="125"/>
      <c r="AZ52" s="126"/>
      <c r="BA52" s="127"/>
      <c r="BB52" s="127"/>
      <c r="BC52" s="127"/>
      <c r="BD52" s="125"/>
      <c r="BE52" s="126"/>
      <c r="BF52" s="127"/>
      <c r="BG52" s="127"/>
      <c r="BH52" s="127"/>
      <c r="BI52" s="125"/>
      <c r="BJ52" s="128"/>
      <c r="BK52" s="127"/>
      <c r="BL52" s="127"/>
      <c r="BM52" s="127"/>
      <c r="BN52" s="125"/>
      <c r="BO52" s="128"/>
      <c r="BP52" s="127"/>
      <c r="BQ52" s="127"/>
      <c r="BR52" s="127"/>
      <c r="BS52" s="125"/>
      <c r="BU52" s="10" t="e">
        <f>#REF!</f>
        <v>#REF!</v>
      </c>
    </row>
    <row r="53" spans="2:73" s="10" customFormat="1" ht="18" customHeight="1" x14ac:dyDescent="0.2">
      <c r="B53" s="149">
        <v>49</v>
      </c>
      <c r="C53" s="149">
        <v>5</v>
      </c>
      <c r="D53" s="150" t="s">
        <v>454</v>
      </c>
      <c r="E53" s="174" t="s">
        <v>49</v>
      </c>
      <c r="F53" s="153" t="s">
        <v>136</v>
      </c>
      <c r="G53" s="216"/>
      <c r="H53" s="217" t="s">
        <v>912</v>
      </c>
      <c r="I53" s="218">
        <v>1</v>
      </c>
      <c r="J53" s="219">
        <v>1</v>
      </c>
      <c r="L53" s="111"/>
      <c r="M53" s="107" t="str">
        <f t="shared" si="105"/>
        <v>_</v>
      </c>
      <c r="N53" s="107">
        <f>'Project types'!$W$6</f>
        <v>2050</v>
      </c>
      <c r="O53" s="108">
        <f>IF(G53=1,(H53-1)+'Project types'!N54,IF(G53=2,H53-1,9999))</f>
        <v>9999</v>
      </c>
      <c r="P53" s="9">
        <f t="shared" si="106"/>
        <v>0</v>
      </c>
      <c r="Q53" s="9">
        <f t="shared" si="107"/>
        <v>0</v>
      </c>
      <c r="R53" s="9">
        <f t="shared" si="108"/>
        <v>0</v>
      </c>
      <c r="S53" s="9">
        <f t="shared" si="109"/>
        <v>0</v>
      </c>
      <c r="T53" s="9">
        <f t="shared" si="110"/>
        <v>0</v>
      </c>
      <c r="U53" s="9">
        <f t="shared" si="111"/>
        <v>0</v>
      </c>
      <c r="V53" s="9">
        <f t="shared" si="112"/>
        <v>0</v>
      </c>
      <c r="W53" s="9">
        <f t="shared" si="113"/>
        <v>0</v>
      </c>
      <c r="X53" s="9">
        <f t="shared" si="114"/>
        <v>0</v>
      </c>
      <c r="Y53" s="9">
        <f t="shared" si="115"/>
        <v>0</v>
      </c>
      <c r="Z53" s="9">
        <f t="shared" si="116"/>
        <v>0</v>
      </c>
      <c r="AA53" s="9">
        <f t="shared" si="117"/>
        <v>0</v>
      </c>
      <c r="AB53" s="9">
        <f t="shared" si="118"/>
        <v>0</v>
      </c>
      <c r="AC53" s="9">
        <f t="shared" si="119"/>
        <v>0</v>
      </c>
      <c r="AD53" s="9">
        <f t="shared" si="120"/>
        <v>0</v>
      </c>
      <c r="AE53" s="9">
        <f t="shared" si="121"/>
        <v>0</v>
      </c>
      <c r="AF53" s="9">
        <f t="shared" si="122"/>
        <v>0</v>
      </c>
      <c r="AG53" s="9">
        <f t="shared" si="123"/>
        <v>0</v>
      </c>
      <c r="AH53" s="9">
        <f t="shared" si="124"/>
        <v>0</v>
      </c>
      <c r="AI53" s="9">
        <f t="shared" si="125"/>
        <v>0</v>
      </c>
      <c r="AJ53" s="9">
        <f t="shared" si="126"/>
        <v>0</v>
      </c>
      <c r="AK53" s="9">
        <f t="shared" si="127"/>
        <v>0</v>
      </c>
      <c r="AL53" s="9">
        <f t="shared" si="128"/>
        <v>0</v>
      </c>
      <c r="AM53" s="9">
        <f t="shared" si="129"/>
        <v>0</v>
      </c>
      <c r="AN53" s="9">
        <f t="shared" si="130"/>
        <v>0</v>
      </c>
      <c r="AO53" s="10">
        <f t="shared" si="131"/>
        <v>0</v>
      </c>
      <c r="AQ53" s="109">
        <v>5</v>
      </c>
      <c r="AR53" s="9" t="s">
        <v>49</v>
      </c>
      <c r="AT53" s="125"/>
      <c r="AU53" s="126"/>
      <c r="AV53" s="127"/>
      <c r="AW53" s="127"/>
      <c r="AX53" s="127"/>
      <c r="AY53" s="125"/>
      <c r="AZ53" s="126"/>
      <c r="BA53" s="127"/>
      <c r="BB53" s="127"/>
      <c r="BC53" s="127"/>
      <c r="BD53" s="125"/>
      <c r="BE53" s="126"/>
      <c r="BF53" s="127"/>
      <c r="BG53" s="127"/>
      <c r="BH53" s="127"/>
      <c r="BI53" s="125"/>
      <c r="BJ53" s="128"/>
      <c r="BK53" s="127"/>
      <c r="BL53" s="127"/>
      <c r="BM53" s="127"/>
      <c r="BN53" s="125"/>
      <c r="BO53" s="128"/>
      <c r="BP53" s="127"/>
      <c r="BQ53" s="127"/>
      <c r="BR53" s="127"/>
      <c r="BS53" s="125"/>
      <c r="BU53" s="10" t="e">
        <f>#REF!</f>
        <v>#REF!</v>
      </c>
    </row>
    <row r="54" spans="2:73" s="10" customFormat="1" ht="18" customHeight="1" x14ac:dyDescent="0.2">
      <c r="B54" s="149">
        <v>50</v>
      </c>
      <c r="C54" s="149">
        <v>5</v>
      </c>
      <c r="D54" s="150" t="s">
        <v>454</v>
      </c>
      <c r="E54" s="174" t="s">
        <v>50</v>
      </c>
      <c r="F54" s="153" t="s">
        <v>137</v>
      </c>
      <c r="G54" s="216"/>
      <c r="H54" s="217" t="s">
        <v>912</v>
      </c>
      <c r="I54" s="218">
        <v>1</v>
      </c>
      <c r="J54" s="219">
        <v>1</v>
      </c>
      <c r="L54" s="111"/>
      <c r="M54" s="107" t="str">
        <f t="shared" si="105"/>
        <v>_</v>
      </c>
      <c r="N54" s="107">
        <f>'Project types'!$W$6</f>
        <v>2050</v>
      </c>
      <c r="O54" s="108">
        <f>IF(G54=1,(H54-1)+'Project types'!N55,IF(G54=2,H54-1,9999))</f>
        <v>9999</v>
      </c>
      <c r="P54" s="9">
        <f t="shared" si="106"/>
        <v>0</v>
      </c>
      <c r="Q54" s="9">
        <f t="shared" si="107"/>
        <v>0</v>
      </c>
      <c r="R54" s="9">
        <f t="shared" si="108"/>
        <v>0</v>
      </c>
      <c r="S54" s="9">
        <f t="shared" si="109"/>
        <v>0</v>
      </c>
      <c r="T54" s="9">
        <f t="shared" si="110"/>
        <v>0</v>
      </c>
      <c r="U54" s="9">
        <f t="shared" si="111"/>
        <v>0</v>
      </c>
      <c r="V54" s="9">
        <f t="shared" si="112"/>
        <v>0</v>
      </c>
      <c r="W54" s="9">
        <f t="shared" si="113"/>
        <v>0</v>
      </c>
      <c r="X54" s="9">
        <f t="shared" si="114"/>
        <v>0</v>
      </c>
      <c r="Y54" s="9">
        <f t="shared" si="115"/>
        <v>0</v>
      </c>
      <c r="Z54" s="9">
        <f t="shared" si="116"/>
        <v>0</v>
      </c>
      <c r="AA54" s="9">
        <f t="shared" si="117"/>
        <v>0</v>
      </c>
      <c r="AB54" s="9">
        <f t="shared" si="118"/>
        <v>0</v>
      </c>
      <c r="AC54" s="9">
        <f t="shared" si="119"/>
        <v>0</v>
      </c>
      <c r="AD54" s="9">
        <f t="shared" si="120"/>
        <v>0</v>
      </c>
      <c r="AE54" s="9">
        <f t="shared" si="121"/>
        <v>0</v>
      </c>
      <c r="AF54" s="9">
        <f t="shared" si="122"/>
        <v>0</v>
      </c>
      <c r="AG54" s="9">
        <f t="shared" si="123"/>
        <v>0</v>
      </c>
      <c r="AH54" s="9">
        <f t="shared" si="124"/>
        <v>0</v>
      </c>
      <c r="AI54" s="9">
        <f t="shared" si="125"/>
        <v>0</v>
      </c>
      <c r="AJ54" s="9">
        <f t="shared" si="126"/>
        <v>0</v>
      </c>
      <c r="AK54" s="9">
        <f t="shared" si="127"/>
        <v>0</v>
      </c>
      <c r="AL54" s="9">
        <f t="shared" si="128"/>
        <v>0</v>
      </c>
      <c r="AM54" s="9">
        <f t="shared" si="129"/>
        <v>0</v>
      </c>
      <c r="AN54" s="9">
        <f t="shared" si="130"/>
        <v>0</v>
      </c>
      <c r="AO54" s="10">
        <f t="shared" si="131"/>
        <v>0</v>
      </c>
      <c r="AQ54" s="109">
        <v>5</v>
      </c>
      <c r="AR54" s="9" t="s">
        <v>50</v>
      </c>
      <c r="AT54" s="125"/>
      <c r="AU54" s="126"/>
      <c r="AV54" s="127"/>
      <c r="AW54" s="127"/>
      <c r="AX54" s="127"/>
      <c r="AY54" s="125"/>
      <c r="AZ54" s="126"/>
      <c r="BA54" s="127"/>
      <c r="BB54" s="127"/>
      <c r="BC54" s="127"/>
      <c r="BD54" s="125"/>
      <c r="BE54" s="126"/>
      <c r="BF54" s="127"/>
      <c r="BG54" s="127"/>
      <c r="BH54" s="127"/>
      <c r="BI54" s="125"/>
      <c r="BJ54" s="128"/>
      <c r="BK54" s="127"/>
      <c r="BL54" s="127"/>
      <c r="BM54" s="127"/>
      <c r="BN54" s="125"/>
      <c r="BO54" s="128"/>
      <c r="BP54" s="127"/>
      <c r="BQ54" s="127"/>
      <c r="BR54" s="127"/>
      <c r="BS54" s="125"/>
      <c r="BU54" s="10" t="e">
        <f>#REF!</f>
        <v>#REF!</v>
      </c>
    </row>
    <row r="55" spans="2:73" s="10" customFormat="1" ht="18" customHeight="1" x14ac:dyDescent="0.2">
      <c r="B55" s="149">
        <v>51</v>
      </c>
      <c r="C55" s="149">
        <v>5</v>
      </c>
      <c r="D55" s="150" t="s">
        <v>454</v>
      </c>
      <c r="E55" s="174" t="s">
        <v>51</v>
      </c>
      <c r="F55" s="153" t="s">
        <v>138</v>
      </c>
      <c r="G55" s="216"/>
      <c r="H55" s="217" t="s">
        <v>912</v>
      </c>
      <c r="I55" s="218">
        <v>1</v>
      </c>
      <c r="J55" s="219">
        <v>1</v>
      </c>
      <c r="L55" s="111"/>
      <c r="M55" s="107" t="str">
        <f t="shared" si="105"/>
        <v>_</v>
      </c>
      <c r="N55" s="107">
        <f>'Project types'!$W$6</f>
        <v>2050</v>
      </c>
      <c r="O55" s="108">
        <f>IF(G55=1,(H55-1)+'Project types'!N56,IF(G55=2,H55-1,9999))</f>
        <v>9999</v>
      </c>
      <c r="P55" s="9">
        <f t="shared" si="106"/>
        <v>0</v>
      </c>
      <c r="Q55" s="9">
        <f t="shared" si="107"/>
        <v>0</v>
      </c>
      <c r="R55" s="9">
        <f t="shared" si="108"/>
        <v>0</v>
      </c>
      <c r="S55" s="9">
        <f t="shared" si="109"/>
        <v>0</v>
      </c>
      <c r="T55" s="9">
        <f t="shared" si="110"/>
        <v>0</v>
      </c>
      <c r="U55" s="9">
        <f t="shared" si="111"/>
        <v>0</v>
      </c>
      <c r="V55" s="9">
        <f t="shared" si="112"/>
        <v>0</v>
      </c>
      <c r="W55" s="9">
        <f t="shared" si="113"/>
        <v>0</v>
      </c>
      <c r="X55" s="9">
        <f t="shared" si="114"/>
        <v>0</v>
      </c>
      <c r="Y55" s="9">
        <f t="shared" si="115"/>
        <v>0</v>
      </c>
      <c r="Z55" s="9">
        <f t="shared" si="116"/>
        <v>0</v>
      </c>
      <c r="AA55" s="9">
        <f t="shared" si="117"/>
        <v>0</v>
      </c>
      <c r="AB55" s="9">
        <f t="shared" si="118"/>
        <v>0</v>
      </c>
      <c r="AC55" s="9">
        <f t="shared" si="119"/>
        <v>0</v>
      </c>
      <c r="AD55" s="9">
        <f t="shared" si="120"/>
        <v>0</v>
      </c>
      <c r="AE55" s="9">
        <f t="shared" si="121"/>
        <v>0</v>
      </c>
      <c r="AF55" s="9">
        <f t="shared" si="122"/>
        <v>0</v>
      </c>
      <c r="AG55" s="9">
        <f t="shared" si="123"/>
        <v>0</v>
      </c>
      <c r="AH55" s="9">
        <f t="shared" si="124"/>
        <v>0</v>
      </c>
      <c r="AI55" s="9">
        <f t="shared" si="125"/>
        <v>0</v>
      </c>
      <c r="AJ55" s="9">
        <f t="shared" si="126"/>
        <v>0</v>
      </c>
      <c r="AK55" s="9">
        <f t="shared" si="127"/>
        <v>0</v>
      </c>
      <c r="AL55" s="9">
        <f t="shared" si="128"/>
        <v>0</v>
      </c>
      <c r="AM55" s="9">
        <f t="shared" si="129"/>
        <v>0</v>
      </c>
      <c r="AN55" s="9">
        <f t="shared" si="130"/>
        <v>0</v>
      </c>
      <c r="AO55" s="10">
        <f t="shared" si="131"/>
        <v>0</v>
      </c>
      <c r="AQ55" s="109">
        <v>5</v>
      </c>
      <c r="AR55" s="9" t="s">
        <v>51</v>
      </c>
      <c r="AT55" s="125"/>
      <c r="AU55" s="126"/>
      <c r="AV55" s="127"/>
      <c r="AW55" s="127"/>
      <c r="AX55" s="127"/>
      <c r="AY55" s="125"/>
      <c r="AZ55" s="126"/>
      <c r="BA55" s="127"/>
      <c r="BB55" s="127"/>
      <c r="BC55" s="127"/>
      <c r="BD55" s="125"/>
      <c r="BE55" s="126"/>
      <c r="BF55" s="127"/>
      <c r="BG55" s="127"/>
      <c r="BH55" s="127"/>
      <c r="BI55" s="125"/>
      <c r="BJ55" s="128"/>
      <c r="BK55" s="127"/>
      <c r="BL55" s="127"/>
      <c r="BM55" s="127"/>
      <c r="BN55" s="125"/>
      <c r="BO55" s="128"/>
      <c r="BP55" s="127"/>
      <c r="BQ55" s="127"/>
      <c r="BR55" s="127"/>
      <c r="BS55" s="125"/>
      <c r="BU55" s="10" t="e">
        <f>#REF!</f>
        <v>#REF!</v>
      </c>
    </row>
    <row r="56" spans="2:73" s="10" customFormat="1" ht="18" customHeight="1" x14ac:dyDescent="0.2">
      <c r="B56" s="149">
        <v>52</v>
      </c>
      <c r="C56" s="149">
        <v>5</v>
      </c>
      <c r="D56" s="150" t="s">
        <v>454</v>
      </c>
      <c r="E56" s="174" t="s">
        <v>52</v>
      </c>
      <c r="F56" s="153" t="s">
        <v>139</v>
      </c>
      <c r="G56" s="216"/>
      <c r="H56" s="217" t="s">
        <v>912</v>
      </c>
      <c r="I56" s="218">
        <v>1</v>
      </c>
      <c r="J56" s="219">
        <v>1</v>
      </c>
      <c r="L56" s="111"/>
      <c r="M56" s="107" t="str">
        <f t="shared" si="105"/>
        <v>_</v>
      </c>
      <c r="N56" s="107">
        <f>'Project types'!$W$6</f>
        <v>2050</v>
      </c>
      <c r="O56" s="108">
        <f>IF(G56=1,(H56-1)+'Project types'!N57,IF(G56=2,H56-1,9999))</f>
        <v>9999</v>
      </c>
      <c r="P56" s="9">
        <f t="shared" si="106"/>
        <v>0</v>
      </c>
      <c r="Q56" s="9">
        <f t="shared" si="107"/>
        <v>0</v>
      </c>
      <c r="R56" s="9">
        <f t="shared" si="108"/>
        <v>0</v>
      </c>
      <c r="S56" s="9">
        <f t="shared" si="109"/>
        <v>0</v>
      </c>
      <c r="T56" s="9">
        <f t="shared" si="110"/>
        <v>0</v>
      </c>
      <c r="U56" s="9">
        <f t="shared" si="111"/>
        <v>0</v>
      </c>
      <c r="V56" s="9">
        <f t="shared" si="112"/>
        <v>0</v>
      </c>
      <c r="W56" s="9">
        <f t="shared" si="113"/>
        <v>0</v>
      </c>
      <c r="X56" s="9">
        <f t="shared" si="114"/>
        <v>0</v>
      </c>
      <c r="Y56" s="9">
        <f t="shared" si="115"/>
        <v>0</v>
      </c>
      <c r="Z56" s="9">
        <f t="shared" si="116"/>
        <v>0</v>
      </c>
      <c r="AA56" s="9">
        <f t="shared" si="117"/>
        <v>0</v>
      </c>
      <c r="AB56" s="9">
        <f t="shared" si="118"/>
        <v>0</v>
      </c>
      <c r="AC56" s="9">
        <f t="shared" si="119"/>
        <v>0</v>
      </c>
      <c r="AD56" s="9">
        <f t="shared" si="120"/>
        <v>0</v>
      </c>
      <c r="AE56" s="9">
        <f t="shared" si="121"/>
        <v>0</v>
      </c>
      <c r="AF56" s="9">
        <f t="shared" si="122"/>
        <v>0</v>
      </c>
      <c r="AG56" s="9">
        <f t="shared" si="123"/>
        <v>0</v>
      </c>
      <c r="AH56" s="9">
        <f t="shared" si="124"/>
        <v>0</v>
      </c>
      <c r="AI56" s="9">
        <f t="shared" si="125"/>
        <v>0</v>
      </c>
      <c r="AJ56" s="9">
        <f t="shared" si="126"/>
        <v>0</v>
      </c>
      <c r="AK56" s="9">
        <f t="shared" si="127"/>
        <v>0</v>
      </c>
      <c r="AL56" s="9">
        <f t="shared" si="128"/>
        <v>0</v>
      </c>
      <c r="AM56" s="9">
        <f t="shared" si="129"/>
        <v>0</v>
      </c>
      <c r="AN56" s="9">
        <f t="shared" si="130"/>
        <v>0</v>
      </c>
      <c r="AO56" s="10">
        <f t="shared" si="131"/>
        <v>0</v>
      </c>
      <c r="AQ56" s="109">
        <v>5</v>
      </c>
      <c r="AR56" s="9" t="s">
        <v>52</v>
      </c>
      <c r="AT56" s="125"/>
      <c r="AU56" s="126"/>
      <c r="AV56" s="127"/>
      <c r="AW56" s="127"/>
      <c r="AX56" s="127"/>
      <c r="AY56" s="125"/>
      <c r="AZ56" s="126"/>
      <c r="BA56" s="127"/>
      <c r="BB56" s="127"/>
      <c r="BC56" s="127"/>
      <c r="BD56" s="125"/>
      <c r="BE56" s="126"/>
      <c r="BF56" s="127"/>
      <c r="BG56" s="127"/>
      <c r="BH56" s="127"/>
      <c r="BI56" s="125"/>
      <c r="BJ56" s="128"/>
      <c r="BK56" s="127"/>
      <c r="BL56" s="127"/>
      <c r="BM56" s="127"/>
      <c r="BN56" s="125"/>
      <c r="BO56" s="128"/>
      <c r="BP56" s="127"/>
      <c r="BQ56" s="127"/>
      <c r="BR56" s="127"/>
      <c r="BS56" s="125"/>
      <c r="BU56" s="10" t="e">
        <f>#REF!</f>
        <v>#REF!</v>
      </c>
    </row>
    <row r="57" spans="2:73" s="10" customFormat="1" ht="18" customHeight="1" x14ac:dyDescent="0.2">
      <c r="B57" s="149">
        <v>53</v>
      </c>
      <c r="C57" s="149">
        <v>5</v>
      </c>
      <c r="D57" s="150" t="s">
        <v>454</v>
      </c>
      <c r="E57" s="174" t="s">
        <v>53</v>
      </c>
      <c r="F57" s="153" t="s">
        <v>140</v>
      </c>
      <c r="G57" s="216"/>
      <c r="H57" s="217" t="s">
        <v>912</v>
      </c>
      <c r="I57" s="218">
        <v>1</v>
      </c>
      <c r="J57" s="219">
        <v>1</v>
      </c>
      <c r="L57" s="111"/>
      <c r="M57" s="107" t="str">
        <f t="shared" si="105"/>
        <v>_</v>
      </c>
      <c r="N57" s="107">
        <f>'Project types'!$W$6</f>
        <v>2050</v>
      </c>
      <c r="O57" s="108">
        <f>IF(G57=1,(H57-1)+'Project types'!N58,IF(G57=2,H57-1,9999))</f>
        <v>9999</v>
      </c>
      <c r="P57" s="9">
        <f t="shared" si="106"/>
        <v>0</v>
      </c>
      <c r="Q57" s="9">
        <f t="shared" si="107"/>
        <v>0</v>
      </c>
      <c r="R57" s="9">
        <f t="shared" si="108"/>
        <v>0</v>
      </c>
      <c r="S57" s="9">
        <f t="shared" si="109"/>
        <v>0</v>
      </c>
      <c r="T57" s="9">
        <f t="shared" si="110"/>
        <v>0</v>
      </c>
      <c r="U57" s="9">
        <f t="shared" si="111"/>
        <v>0</v>
      </c>
      <c r="V57" s="9">
        <f t="shared" si="112"/>
        <v>0</v>
      </c>
      <c r="W57" s="9">
        <f t="shared" si="113"/>
        <v>0</v>
      </c>
      <c r="X57" s="9">
        <f t="shared" si="114"/>
        <v>0</v>
      </c>
      <c r="Y57" s="9">
        <f t="shared" si="115"/>
        <v>0</v>
      </c>
      <c r="Z57" s="9">
        <f t="shared" si="116"/>
        <v>0</v>
      </c>
      <c r="AA57" s="9">
        <f t="shared" si="117"/>
        <v>0</v>
      </c>
      <c r="AB57" s="9">
        <f t="shared" si="118"/>
        <v>0</v>
      </c>
      <c r="AC57" s="9">
        <f t="shared" si="119"/>
        <v>0</v>
      </c>
      <c r="AD57" s="9">
        <f t="shared" si="120"/>
        <v>0</v>
      </c>
      <c r="AE57" s="9">
        <f t="shared" si="121"/>
        <v>0</v>
      </c>
      <c r="AF57" s="9">
        <f t="shared" si="122"/>
        <v>0</v>
      </c>
      <c r="AG57" s="9">
        <f t="shared" si="123"/>
        <v>0</v>
      </c>
      <c r="AH57" s="9">
        <f t="shared" si="124"/>
        <v>0</v>
      </c>
      <c r="AI57" s="9">
        <f t="shared" si="125"/>
        <v>0</v>
      </c>
      <c r="AJ57" s="9">
        <f t="shared" si="126"/>
        <v>0</v>
      </c>
      <c r="AK57" s="9">
        <f t="shared" si="127"/>
        <v>0</v>
      </c>
      <c r="AL57" s="9">
        <f t="shared" si="128"/>
        <v>0</v>
      </c>
      <c r="AM57" s="9">
        <f t="shared" si="129"/>
        <v>0</v>
      </c>
      <c r="AN57" s="9">
        <f t="shared" si="130"/>
        <v>0</v>
      </c>
      <c r="AO57" s="10">
        <f t="shared" si="131"/>
        <v>0</v>
      </c>
      <c r="AQ57" s="109">
        <v>5</v>
      </c>
      <c r="AR57" s="9" t="s">
        <v>53</v>
      </c>
      <c r="AT57" s="125"/>
      <c r="AU57" s="126"/>
      <c r="AV57" s="127"/>
      <c r="AW57" s="127"/>
      <c r="AX57" s="127"/>
      <c r="AY57" s="125"/>
      <c r="AZ57" s="126"/>
      <c r="BA57" s="127"/>
      <c r="BB57" s="127"/>
      <c r="BC57" s="127"/>
      <c r="BD57" s="125"/>
      <c r="BE57" s="126"/>
      <c r="BF57" s="127"/>
      <c r="BG57" s="127"/>
      <c r="BH57" s="127"/>
      <c r="BI57" s="125"/>
      <c r="BJ57" s="128"/>
      <c r="BK57" s="127"/>
      <c r="BL57" s="127"/>
      <c r="BM57" s="127"/>
      <c r="BN57" s="125"/>
      <c r="BO57" s="128"/>
      <c r="BP57" s="127"/>
      <c r="BQ57" s="127"/>
      <c r="BR57" s="127"/>
      <c r="BS57" s="125"/>
      <c r="BU57" s="10" t="e">
        <f>#REF!</f>
        <v>#REF!</v>
      </c>
    </row>
    <row r="58" spans="2:73" s="10" customFormat="1" ht="18" customHeight="1" x14ac:dyDescent="0.2">
      <c r="B58" s="149">
        <v>54</v>
      </c>
      <c r="C58" s="149">
        <v>5</v>
      </c>
      <c r="D58" s="150" t="s">
        <v>454</v>
      </c>
      <c r="E58" s="174" t="s">
        <v>54</v>
      </c>
      <c r="F58" s="169" t="s">
        <v>405</v>
      </c>
      <c r="G58" s="216"/>
      <c r="H58" s="217" t="s">
        <v>912</v>
      </c>
      <c r="I58" s="218">
        <v>0.1</v>
      </c>
      <c r="J58" s="219">
        <v>1</v>
      </c>
      <c r="L58" s="111"/>
      <c r="M58" s="107" t="str">
        <f t="shared" si="105"/>
        <v>_</v>
      </c>
      <c r="N58" s="107">
        <f>'Project types'!$W$6</f>
        <v>2050</v>
      </c>
      <c r="O58" s="108">
        <f>IF(G58=1,(H58-1)+'Project types'!N59,IF(G58=2,H58-1,9999))</f>
        <v>9999</v>
      </c>
      <c r="P58" s="9">
        <f t="shared" si="106"/>
        <v>0</v>
      </c>
      <c r="Q58" s="9">
        <f t="shared" si="107"/>
        <v>0</v>
      </c>
      <c r="R58" s="9">
        <f t="shared" si="108"/>
        <v>0</v>
      </c>
      <c r="S58" s="9">
        <f t="shared" si="109"/>
        <v>0</v>
      </c>
      <c r="T58" s="9">
        <f t="shared" si="110"/>
        <v>0</v>
      </c>
      <c r="U58" s="9">
        <f t="shared" si="111"/>
        <v>0</v>
      </c>
      <c r="V58" s="9">
        <f t="shared" si="112"/>
        <v>0</v>
      </c>
      <c r="W58" s="9">
        <f t="shared" si="113"/>
        <v>0</v>
      </c>
      <c r="X58" s="9">
        <f t="shared" si="114"/>
        <v>0</v>
      </c>
      <c r="Y58" s="9">
        <f t="shared" si="115"/>
        <v>0</v>
      </c>
      <c r="Z58" s="9">
        <f t="shared" si="116"/>
        <v>0</v>
      </c>
      <c r="AA58" s="9">
        <f t="shared" si="117"/>
        <v>0</v>
      </c>
      <c r="AB58" s="9">
        <f t="shared" si="118"/>
        <v>0</v>
      </c>
      <c r="AC58" s="9">
        <f t="shared" si="119"/>
        <v>0</v>
      </c>
      <c r="AD58" s="9">
        <f t="shared" si="120"/>
        <v>0</v>
      </c>
      <c r="AE58" s="9">
        <f t="shared" si="121"/>
        <v>0</v>
      </c>
      <c r="AF58" s="9">
        <f t="shared" si="122"/>
        <v>0</v>
      </c>
      <c r="AG58" s="9">
        <f t="shared" si="123"/>
        <v>0</v>
      </c>
      <c r="AH58" s="9">
        <f t="shared" si="124"/>
        <v>0</v>
      </c>
      <c r="AI58" s="9">
        <f t="shared" si="125"/>
        <v>0</v>
      </c>
      <c r="AJ58" s="9">
        <f t="shared" si="126"/>
        <v>0</v>
      </c>
      <c r="AK58" s="9">
        <f t="shared" si="127"/>
        <v>0</v>
      </c>
      <c r="AL58" s="9">
        <f t="shared" si="128"/>
        <v>0</v>
      </c>
      <c r="AM58" s="9">
        <f t="shared" si="129"/>
        <v>0</v>
      </c>
      <c r="AN58" s="9">
        <f t="shared" si="130"/>
        <v>0</v>
      </c>
      <c r="AO58" s="10">
        <f t="shared" si="131"/>
        <v>0</v>
      </c>
      <c r="AQ58" s="109">
        <v>5</v>
      </c>
      <c r="AR58" s="9" t="s">
        <v>54</v>
      </c>
      <c r="AT58" s="125"/>
      <c r="AU58" s="126"/>
      <c r="AV58" s="127"/>
      <c r="AW58" s="127"/>
      <c r="AX58" s="127"/>
      <c r="AY58" s="125"/>
      <c r="AZ58" s="126"/>
      <c r="BA58" s="127"/>
      <c r="BB58" s="127"/>
      <c r="BC58" s="127"/>
      <c r="BD58" s="125"/>
      <c r="BE58" s="126"/>
      <c r="BF58" s="127"/>
      <c r="BG58" s="127"/>
      <c r="BH58" s="127"/>
      <c r="BI58" s="125"/>
      <c r="BJ58" s="128"/>
      <c r="BK58" s="127"/>
      <c r="BL58" s="127"/>
      <c r="BM58" s="127"/>
      <c r="BN58" s="125"/>
      <c r="BO58" s="128"/>
      <c r="BP58" s="127"/>
      <c r="BQ58" s="127"/>
      <c r="BR58" s="127"/>
      <c r="BS58" s="125"/>
      <c r="BU58" s="10" t="e">
        <f>#REF!</f>
        <v>#REF!</v>
      </c>
    </row>
    <row r="59" spans="2:73" s="10" customFormat="1" ht="18" customHeight="1" x14ac:dyDescent="0.2">
      <c r="B59" s="149">
        <v>55</v>
      </c>
      <c r="C59" s="149">
        <v>5</v>
      </c>
      <c r="D59" s="150" t="s">
        <v>454</v>
      </c>
      <c r="E59" s="174" t="s">
        <v>408</v>
      </c>
      <c r="F59" s="169" t="s">
        <v>406</v>
      </c>
      <c r="G59" s="216"/>
      <c r="H59" s="217" t="s">
        <v>912</v>
      </c>
      <c r="I59" s="218">
        <v>1</v>
      </c>
      <c r="J59" s="219">
        <v>1</v>
      </c>
      <c r="L59" s="111"/>
      <c r="M59" s="107" t="str">
        <f t="shared" si="105"/>
        <v>_</v>
      </c>
      <c r="N59" s="107">
        <f>'Project types'!$W$6</f>
        <v>2050</v>
      </c>
      <c r="O59" s="108">
        <f>IF(G59=1,(H59-1)+'Project types'!N60,IF(G59=2,H59-1,9999))</f>
        <v>9999</v>
      </c>
      <c r="P59" s="9">
        <f t="shared" si="106"/>
        <v>0</v>
      </c>
      <c r="Q59" s="9">
        <f t="shared" si="107"/>
        <v>0</v>
      </c>
      <c r="R59" s="9">
        <f t="shared" si="108"/>
        <v>0</v>
      </c>
      <c r="S59" s="9">
        <f t="shared" si="109"/>
        <v>0</v>
      </c>
      <c r="T59" s="9">
        <f t="shared" si="110"/>
        <v>0</v>
      </c>
      <c r="U59" s="9">
        <f t="shared" si="111"/>
        <v>0</v>
      </c>
      <c r="V59" s="9">
        <f t="shared" si="112"/>
        <v>0</v>
      </c>
      <c r="W59" s="9">
        <f t="shared" si="113"/>
        <v>0</v>
      </c>
      <c r="X59" s="9">
        <f t="shared" si="114"/>
        <v>0</v>
      </c>
      <c r="Y59" s="9">
        <f t="shared" si="115"/>
        <v>0</v>
      </c>
      <c r="Z59" s="9">
        <f t="shared" si="116"/>
        <v>0</v>
      </c>
      <c r="AA59" s="9">
        <f t="shared" si="117"/>
        <v>0</v>
      </c>
      <c r="AB59" s="9">
        <f t="shared" si="118"/>
        <v>0</v>
      </c>
      <c r="AC59" s="9">
        <f t="shared" si="119"/>
        <v>0</v>
      </c>
      <c r="AD59" s="9">
        <f t="shared" si="120"/>
        <v>0</v>
      </c>
      <c r="AE59" s="9">
        <f t="shared" si="121"/>
        <v>0</v>
      </c>
      <c r="AF59" s="9">
        <f t="shared" si="122"/>
        <v>0</v>
      </c>
      <c r="AG59" s="9">
        <f t="shared" si="123"/>
        <v>0</v>
      </c>
      <c r="AH59" s="9">
        <f t="shared" si="124"/>
        <v>0</v>
      </c>
      <c r="AI59" s="9">
        <f t="shared" si="125"/>
        <v>0</v>
      </c>
      <c r="AJ59" s="9">
        <f t="shared" si="126"/>
        <v>0</v>
      </c>
      <c r="AK59" s="9">
        <f t="shared" si="127"/>
        <v>0</v>
      </c>
      <c r="AL59" s="9">
        <f t="shared" si="128"/>
        <v>0</v>
      </c>
      <c r="AM59" s="9">
        <f t="shared" si="129"/>
        <v>0</v>
      </c>
      <c r="AN59" s="9">
        <f t="shared" si="130"/>
        <v>0</v>
      </c>
      <c r="AO59" s="10">
        <f t="shared" si="131"/>
        <v>0</v>
      </c>
      <c r="AQ59" s="109">
        <v>5</v>
      </c>
      <c r="AR59" s="9" t="s">
        <v>408</v>
      </c>
      <c r="AT59" s="125"/>
      <c r="AU59" s="126"/>
      <c r="AV59" s="127"/>
      <c r="AW59" s="127"/>
      <c r="AX59" s="127"/>
      <c r="AY59" s="125"/>
      <c r="AZ59" s="126"/>
      <c r="BA59" s="127"/>
      <c r="BB59" s="127"/>
      <c r="BC59" s="127"/>
      <c r="BD59" s="125"/>
      <c r="BE59" s="126"/>
      <c r="BF59" s="127"/>
      <c r="BG59" s="127"/>
      <c r="BH59" s="127"/>
      <c r="BI59" s="125"/>
      <c r="BJ59" s="128"/>
      <c r="BK59" s="127"/>
      <c r="BL59" s="127"/>
      <c r="BM59" s="127"/>
      <c r="BN59" s="125"/>
      <c r="BO59" s="128"/>
      <c r="BP59" s="127"/>
      <c r="BQ59" s="127"/>
      <c r="BR59" s="127"/>
      <c r="BS59" s="125"/>
      <c r="BU59" s="10" t="e">
        <f>#REF!</f>
        <v>#REF!</v>
      </c>
    </row>
    <row r="60" spans="2:73" s="10" customFormat="1" ht="18" customHeight="1" x14ac:dyDescent="0.2">
      <c r="B60" s="149">
        <v>56</v>
      </c>
      <c r="C60" s="149">
        <v>5</v>
      </c>
      <c r="D60" s="150" t="s">
        <v>454</v>
      </c>
      <c r="E60" s="174" t="s">
        <v>409</v>
      </c>
      <c r="F60" s="169" t="s">
        <v>407</v>
      </c>
      <c r="G60" s="216"/>
      <c r="H60" s="217" t="s">
        <v>912</v>
      </c>
      <c r="I60" s="218">
        <v>1</v>
      </c>
      <c r="J60" s="219">
        <v>1</v>
      </c>
      <c r="L60" s="111"/>
      <c r="M60" s="107" t="str">
        <f t="shared" si="105"/>
        <v>_</v>
      </c>
      <c r="N60" s="107">
        <f>'Project types'!$W$6</f>
        <v>2050</v>
      </c>
      <c r="O60" s="108">
        <f>IF(G60=1,(H60-1)+'Project types'!N61,IF(G60=2,H60-1,9999))</f>
        <v>9999</v>
      </c>
      <c r="P60" s="9">
        <f t="shared" si="106"/>
        <v>0</v>
      </c>
      <c r="Q60" s="9">
        <f t="shared" si="107"/>
        <v>0</v>
      </c>
      <c r="R60" s="9">
        <f t="shared" si="108"/>
        <v>0</v>
      </c>
      <c r="S60" s="9">
        <f t="shared" si="109"/>
        <v>0</v>
      </c>
      <c r="T60" s="9">
        <f t="shared" si="110"/>
        <v>0</v>
      </c>
      <c r="U60" s="9">
        <f t="shared" si="111"/>
        <v>0</v>
      </c>
      <c r="V60" s="9">
        <f t="shared" si="112"/>
        <v>0</v>
      </c>
      <c r="W60" s="9">
        <f t="shared" si="113"/>
        <v>0</v>
      </c>
      <c r="X60" s="9">
        <f t="shared" si="114"/>
        <v>0</v>
      </c>
      <c r="Y60" s="9">
        <f t="shared" si="115"/>
        <v>0</v>
      </c>
      <c r="Z60" s="9">
        <f t="shared" si="116"/>
        <v>0</v>
      </c>
      <c r="AA60" s="9">
        <f t="shared" si="117"/>
        <v>0</v>
      </c>
      <c r="AB60" s="9">
        <f t="shared" si="118"/>
        <v>0</v>
      </c>
      <c r="AC60" s="9">
        <f t="shared" si="119"/>
        <v>0</v>
      </c>
      <c r="AD60" s="9">
        <f t="shared" si="120"/>
        <v>0</v>
      </c>
      <c r="AE60" s="9">
        <f t="shared" si="121"/>
        <v>0</v>
      </c>
      <c r="AF60" s="9">
        <f t="shared" si="122"/>
        <v>0</v>
      </c>
      <c r="AG60" s="9">
        <f t="shared" si="123"/>
        <v>0</v>
      </c>
      <c r="AH60" s="9">
        <f t="shared" si="124"/>
        <v>0</v>
      </c>
      <c r="AI60" s="9">
        <f t="shared" si="125"/>
        <v>0</v>
      </c>
      <c r="AJ60" s="9">
        <f t="shared" si="126"/>
        <v>0</v>
      </c>
      <c r="AK60" s="9">
        <f t="shared" si="127"/>
        <v>0</v>
      </c>
      <c r="AL60" s="9">
        <f t="shared" si="128"/>
        <v>0</v>
      </c>
      <c r="AM60" s="9">
        <f t="shared" si="129"/>
        <v>0</v>
      </c>
      <c r="AN60" s="9">
        <f t="shared" si="130"/>
        <v>0</v>
      </c>
      <c r="AO60" s="10">
        <f t="shared" si="131"/>
        <v>0</v>
      </c>
      <c r="AQ60" s="109">
        <v>5</v>
      </c>
      <c r="AR60" s="9" t="s">
        <v>409</v>
      </c>
      <c r="AT60" s="125"/>
      <c r="AU60" s="126"/>
      <c r="AV60" s="127"/>
      <c r="AW60" s="127"/>
      <c r="AX60" s="127"/>
      <c r="AY60" s="125"/>
      <c r="AZ60" s="126"/>
      <c r="BA60" s="127"/>
      <c r="BB60" s="127"/>
      <c r="BC60" s="127"/>
      <c r="BD60" s="125"/>
      <c r="BE60" s="126"/>
      <c r="BF60" s="127"/>
      <c r="BG60" s="127"/>
      <c r="BH60" s="127"/>
      <c r="BI60" s="125"/>
      <c r="BJ60" s="128"/>
      <c r="BK60" s="127"/>
      <c r="BL60" s="127"/>
      <c r="BM60" s="127"/>
      <c r="BN60" s="125"/>
      <c r="BO60" s="128"/>
      <c r="BP60" s="127"/>
      <c r="BQ60" s="127"/>
      <c r="BR60" s="127"/>
      <c r="BS60" s="125"/>
      <c r="BU60" s="10" t="e">
        <f>#REF!</f>
        <v>#REF!</v>
      </c>
    </row>
    <row r="61" spans="2:73" s="10" customFormat="1" ht="18" customHeight="1" thickBot="1" x14ac:dyDescent="0.25">
      <c r="B61" s="154">
        <v>57</v>
      </c>
      <c r="C61" s="154">
        <v>5</v>
      </c>
      <c r="D61" s="155" t="s">
        <v>454</v>
      </c>
      <c r="E61" s="175" t="s">
        <v>410</v>
      </c>
      <c r="F61" s="157" t="s">
        <v>118</v>
      </c>
      <c r="G61" s="220"/>
      <c r="H61" s="224" t="s">
        <v>912</v>
      </c>
      <c r="I61" s="222">
        <v>1</v>
      </c>
      <c r="J61" s="223">
        <v>1</v>
      </c>
      <c r="L61" s="111"/>
      <c r="M61" s="107" t="str">
        <f t="shared" si="105"/>
        <v>_</v>
      </c>
      <c r="N61" s="107">
        <f>'Project types'!$W$6</f>
        <v>2050</v>
      </c>
      <c r="O61" s="108">
        <f>IF(G61=1,(H61-1)+'Project types'!N62,IF(G61=2,H61-1,9999))</f>
        <v>9999</v>
      </c>
      <c r="P61" s="9">
        <f t="shared" si="106"/>
        <v>0</v>
      </c>
      <c r="Q61" s="9">
        <f t="shared" si="107"/>
        <v>0</v>
      </c>
      <c r="R61" s="9">
        <f t="shared" si="108"/>
        <v>0</v>
      </c>
      <c r="S61" s="9">
        <f t="shared" si="109"/>
        <v>0</v>
      </c>
      <c r="T61" s="9">
        <f t="shared" si="110"/>
        <v>0</v>
      </c>
      <c r="U61" s="9">
        <f t="shared" si="111"/>
        <v>0</v>
      </c>
      <c r="V61" s="9">
        <f t="shared" si="112"/>
        <v>0</v>
      </c>
      <c r="W61" s="9">
        <f t="shared" si="113"/>
        <v>0</v>
      </c>
      <c r="X61" s="9">
        <f t="shared" si="114"/>
        <v>0</v>
      </c>
      <c r="Y61" s="9">
        <f t="shared" si="115"/>
        <v>0</v>
      </c>
      <c r="Z61" s="9">
        <f t="shared" si="116"/>
        <v>0</v>
      </c>
      <c r="AA61" s="9">
        <f t="shared" si="117"/>
        <v>0</v>
      </c>
      <c r="AB61" s="9">
        <f t="shared" si="118"/>
        <v>0</v>
      </c>
      <c r="AC61" s="9">
        <f t="shared" si="119"/>
        <v>0</v>
      </c>
      <c r="AD61" s="9">
        <f t="shared" si="120"/>
        <v>0</v>
      </c>
      <c r="AE61" s="9">
        <f t="shared" si="121"/>
        <v>0</v>
      </c>
      <c r="AF61" s="9">
        <f t="shared" si="122"/>
        <v>0</v>
      </c>
      <c r="AG61" s="9">
        <f t="shared" si="123"/>
        <v>0</v>
      </c>
      <c r="AH61" s="9">
        <f t="shared" si="124"/>
        <v>0</v>
      </c>
      <c r="AI61" s="9">
        <f t="shared" si="125"/>
        <v>0</v>
      </c>
      <c r="AJ61" s="9">
        <f t="shared" si="126"/>
        <v>0</v>
      </c>
      <c r="AK61" s="9">
        <f t="shared" si="127"/>
        <v>0</v>
      </c>
      <c r="AL61" s="9">
        <f t="shared" si="128"/>
        <v>0</v>
      </c>
      <c r="AM61" s="9">
        <f t="shared" si="129"/>
        <v>0</v>
      </c>
      <c r="AN61" s="9">
        <f t="shared" si="130"/>
        <v>0</v>
      </c>
      <c r="AO61" s="10">
        <f t="shared" si="131"/>
        <v>0</v>
      </c>
      <c r="AQ61" s="109">
        <v>5</v>
      </c>
      <c r="AR61" s="9" t="s">
        <v>410</v>
      </c>
      <c r="AT61" s="129"/>
      <c r="AU61" s="130"/>
      <c r="AV61" s="131"/>
      <c r="AW61" s="131"/>
      <c r="AX61" s="131"/>
      <c r="AY61" s="129"/>
      <c r="AZ61" s="130"/>
      <c r="BA61" s="131"/>
      <c r="BB61" s="131"/>
      <c r="BC61" s="131"/>
      <c r="BD61" s="129"/>
      <c r="BE61" s="130"/>
      <c r="BF61" s="131"/>
      <c r="BG61" s="131"/>
      <c r="BH61" s="131"/>
      <c r="BI61" s="129"/>
      <c r="BJ61" s="132"/>
      <c r="BK61" s="131"/>
      <c r="BL61" s="131"/>
      <c r="BM61" s="131"/>
      <c r="BN61" s="129"/>
      <c r="BO61" s="132"/>
      <c r="BP61" s="131"/>
      <c r="BQ61" s="131"/>
      <c r="BR61" s="131"/>
      <c r="BS61" s="129"/>
      <c r="BU61" s="10" t="e">
        <f>#REF!</f>
        <v>#REF!</v>
      </c>
    </row>
    <row r="62" spans="2:73" s="10" customFormat="1" ht="18" customHeight="1" x14ac:dyDescent="0.2">
      <c r="B62" s="145">
        <v>58</v>
      </c>
      <c r="C62" s="145">
        <v>6</v>
      </c>
      <c r="D62" s="146" t="s">
        <v>455</v>
      </c>
      <c r="E62" s="176" t="s">
        <v>55</v>
      </c>
      <c r="F62" s="159" t="s">
        <v>143</v>
      </c>
      <c r="G62" s="216"/>
      <c r="H62" s="217" t="s">
        <v>912</v>
      </c>
      <c r="I62" s="218">
        <v>0.01</v>
      </c>
      <c r="J62" s="219">
        <v>1</v>
      </c>
      <c r="L62" s="111"/>
      <c r="M62" s="107" t="str">
        <f t="shared" si="105"/>
        <v>_</v>
      </c>
      <c r="N62" s="107">
        <f>'Project types'!$W$6</f>
        <v>2050</v>
      </c>
      <c r="O62" s="108">
        <f>IF(G62=1,(H62-1)+'Project types'!N63,IF(G62=2,H62-1,9999))</f>
        <v>9999</v>
      </c>
      <c r="P62" s="9">
        <f t="shared" ref="P62:P74" si="132">_xlfn.IFS(AND(AND($P$4&gt;=$H62,$P$4&lt;=$O62)),12,AND(AND($P$4&gt;=$M62,$P$4&lt;=$N62)),11,AND(OR($P$4&lt;$M62,$P$4&gt;$N62)),0)</f>
        <v>0</v>
      </c>
      <c r="Q62" s="9">
        <f t="shared" ref="Q62:Q74" si="133">_xlfn.IFS(AND(AND($Q$4&gt;=$H62,$Q$4&lt;=$O62)),12,AND(AND($Q$4&gt;=$M62,$Q$4&lt;=$N62)),11,AND(OR($Q$4&lt;$M62,$Q$4&gt;$N62)),0)</f>
        <v>0</v>
      </c>
      <c r="R62" s="9">
        <f t="shared" ref="R62:R74" si="134">_xlfn.IFS(AND(AND($R$4&gt;=$H62,$R$4&lt;=$O62)),12,AND(AND($R$4&gt;=$M62,$R$4&lt;=$N62)),11,AND(OR($R$4&lt;$M62,$R$4&gt;$N62)),0)</f>
        <v>0</v>
      </c>
      <c r="S62" s="9">
        <f t="shared" ref="S62:S74" si="135">_xlfn.IFS(AND(AND($S$4&gt;=$H62,$S$4&lt;=$O62)),12,AND(AND($S$4&gt;=$M62,$S$4&lt;=$N62)),11,AND(OR($S$4&lt;$M62,$S$4&gt;$N62)),0)</f>
        <v>0</v>
      </c>
      <c r="T62" s="9">
        <f t="shared" ref="T62:T74" si="136">_xlfn.IFS(AND(AND($T$4&gt;=$H62,$T$4&lt;=$O62)),12,AND(AND($T$4&gt;=$M62,$T$4&lt;=$N62)),11,AND(OR($T$4&lt;$M62,$T$4&gt;$N62)),0)</f>
        <v>0</v>
      </c>
      <c r="U62" s="9">
        <f t="shared" ref="U62:U74" si="137">_xlfn.IFS(AND(AND($U$4&gt;=$H62,$U$4&lt;=$O62)),12,AND(AND($U$4&gt;=$M62,$U$4&lt;=$N62)),11,AND(OR($U$4&lt;$M62,$U$4&gt;$N62)),0)</f>
        <v>0</v>
      </c>
      <c r="V62" s="9">
        <f t="shared" ref="V62:V74" si="138">_xlfn.IFS(AND(AND($V$4&gt;=$H62,$V$4&lt;=$O62)),12,AND(AND($V$4&gt;=$M62,$V$4&lt;=$N62)),11,AND(OR($V$4&lt;$M62,$V$4&gt;$N62)),0)</f>
        <v>0</v>
      </c>
      <c r="W62" s="9">
        <f t="shared" ref="W62:W74" si="139">_xlfn.IFS(AND(AND($W$4&gt;=$H62,$W$4&lt;=$O62)),12,AND(AND($W$4&gt;=$M62,$W$4&lt;=$N62)),11,AND(OR($W$4&lt;$M62,$W$4&gt;$N62)),0)</f>
        <v>0</v>
      </c>
      <c r="X62" s="9">
        <f t="shared" ref="X62:X74" si="140">_xlfn.IFS(AND(AND($X$4&gt;=$H62,$X$4&lt;=$O62)),12,AND(AND($X$4&gt;=$M62,$X$4&lt;=$N62)),11,AND(OR($X$4&lt;$M62,$X$4&gt;$N62)),0)</f>
        <v>0</v>
      </c>
      <c r="Y62" s="9">
        <f t="shared" ref="Y62:Y74" si="141">_xlfn.IFS(AND(AND($Y$4&gt;=$H62,$Y$4&lt;=$O62)),12,AND(AND($Y$4&gt;=$M62,$Y$4&lt;=$N62)),11,AND(OR($Y$4&lt;$M62,$Y$4&gt;$N62)),0)</f>
        <v>0</v>
      </c>
      <c r="Z62" s="9">
        <f t="shared" ref="Z62:Z74" si="142">_xlfn.IFS(AND(AND($Z$4&gt;=$H62,$Z$4&lt;=$O62)),12,AND(AND($Z$4&gt;=$M62,$Z$4&lt;=$N62)),11,AND(OR($Z$4&lt;$M62,$Z$4&gt;$N62)),0)</f>
        <v>0</v>
      </c>
      <c r="AA62" s="9">
        <f t="shared" ref="AA62:AA74" si="143">_xlfn.IFS(AND(AND($AA$4&gt;=$H62,$AA$4&lt;=$O62)),12,AND(AND($AA$4&gt;=$M62,$AA$4&lt;=$N62)),11,AND(OR($AA$4&lt;$M62,$AA$4&gt;$N62)),0)</f>
        <v>0</v>
      </c>
      <c r="AB62" s="9">
        <f t="shared" ref="AB62:AB74" si="144">_xlfn.IFS(AND(AND($AB$4&gt;=$H62,$AB$4&lt;=$O62)),12,AND(AND($AB$4&gt;=$M62,$AB$4&lt;=$N62)),11,AND(OR($AB$4&lt;$M62,$AB$4&gt;$N62)),0)</f>
        <v>0</v>
      </c>
      <c r="AC62" s="9">
        <f t="shared" ref="AC62:AC74" si="145">_xlfn.IFS(AND(AND($AC$4&gt;=$H62,$AC$4&lt;=$O62)),12,AND(AND($AC$4&gt;=$M62,$AC$4&lt;=$N62)),11,AND(OR($AC$4&lt;$M62,$AC$4&gt;$N62)),0)</f>
        <v>0</v>
      </c>
      <c r="AD62" s="9">
        <f t="shared" ref="AD62:AD74" si="146">_xlfn.IFS(AND(AND($AD$4&gt;=$H62,$AD$4&lt;=$O62)),12,AND(AND($AD$4&gt;=$M62,$AD$4&lt;=$N62)),11,AND(OR($AD$4&lt;$M62,$AD$4&gt;$N62)),0)</f>
        <v>0</v>
      </c>
      <c r="AE62" s="9">
        <f t="shared" ref="AE62:AE74" si="147">_xlfn.IFS(AND(AND($AE$4&gt;=$H62,$AE$4&lt;=$O62)),12,AND(AND($AE$4&gt;=$M62,$AE$4&lt;=$N62)),11,AND(OR($AE$4&lt;$M62,$AE$4&gt;$N62)),0)</f>
        <v>0</v>
      </c>
      <c r="AF62" s="9">
        <f t="shared" ref="AF62:AF74" si="148">_xlfn.IFS(AND(AND($AF$4&gt;=$H62,$AF$4&lt;=$O62)),12,AND(AND($AF$4&gt;=$M62,$AF$4&lt;=$N62)),11,AND(OR($AF$4&lt;$M62,$AF$4&gt;$N62)),0)</f>
        <v>0</v>
      </c>
      <c r="AG62" s="9">
        <f t="shared" ref="AG62:AG74" si="149">_xlfn.IFS(AND(AND($AG$4&gt;=$H62,$AG$4&lt;=$O62)),12,AND(AND($AG$4&gt;=$M62,$AG$4&lt;=$N62)),11,AND(OR($AG$4&lt;$M62,$AG$4&gt;$N62)),0)</f>
        <v>0</v>
      </c>
      <c r="AH62" s="9">
        <f t="shared" ref="AH62:AH74" si="150">_xlfn.IFS(AND(AND($AH$4&gt;=$H62,$AH$4&lt;=$O62)),12,AND(AND($AH$4&gt;=$M62,$AH$4&lt;=$N62)),11,AND(OR($AH$4&lt;$M62,$AH$4&gt;$N62)),0)</f>
        <v>0</v>
      </c>
      <c r="AI62" s="9">
        <f t="shared" ref="AI62:AI74" si="151">_xlfn.IFS(AND(AND($AI$4&gt;=$H62,$AI$4&lt;=$O62)),12,AND(AND($AI$4&gt;=$M62,$AI$4&lt;=$N62)),11,AND(OR($AI$4&lt;$M62,$AI$4&gt;$N62)),0)</f>
        <v>0</v>
      </c>
      <c r="AJ62" s="9">
        <f t="shared" ref="AJ62:AJ74" si="152">_xlfn.IFS(AND(AND($AJ$4&gt;=$H62,$AJ$4&lt;=$O62)),12,AND(AND($AJ$4&gt;=$M62,$AJ$4&lt;=$N62)),11,AND(OR($AJ$4&lt;$M62,$AJ$4&gt;$N62)),0)</f>
        <v>0</v>
      </c>
      <c r="AK62" s="9">
        <f t="shared" ref="AK62:AK74" si="153">_xlfn.IFS(AND(AND($AK$4&gt;=$H62,$AK$4&lt;=$O62)),12,AND(AND($AK$4&gt;=$M62,$AK$4&lt;=$N62)),11,AND(OR($AK$4&lt;$M62,$AK$4&gt;$N62)),0)</f>
        <v>0</v>
      </c>
      <c r="AL62" s="9">
        <f t="shared" ref="AL62:AL74" si="154">_xlfn.IFS(AND(AND($AL$4&gt;=$H62,$AL$4&lt;=$O62)),12,AND(AND($AL$4&gt;=$M62,$AL$4&lt;=$N62)),11,AND(OR($AL$4&lt;$M62,$AL$4&gt;$N62)),0)</f>
        <v>0</v>
      </c>
      <c r="AM62" s="9">
        <f t="shared" ref="AM62:AM74" si="155">_xlfn.IFS(AND(AND($AM$4&gt;=$H62,$AM$4&lt;=$O62)),12,AND(AND($AM$4&gt;=$M62,$AM$4&lt;=$N62)),11,AND(OR($AM$4&lt;$M62,$AM$4&gt;$N62)),0)</f>
        <v>0</v>
      </c>
      <c r="AN62" s="9">
        <f t="shared" ref="AN62:AN74" si="156">_xlfn.IFS(AND(AND($AN$4&gt;=$H62,$AN$4&lt;=$O62)),12,AND(AND($AN$4&gt;=$M62,$AN$4&lt;=$N62)),11,AND(OR($AN$4&lt;$M62,$AN$4&gt;$N62)),0)</f>
        <v>0</v>
      </c>
      <c r="AO62" s="10">
        <f t="shared" ref="AO62:AO74" si="157">_xlfn.IFS(AND(AND($AO$4&gt;=$H62,$AO$4&lt;=$O62)),12,AND(AND($AO$4&gt;=$M62,$AO$4&lt;=$N62)),11,AND(OR($AO$4&lt;$M62,$AO$4&gt;$N62)),0)</f>
        <v>0</v>
      </c>
      <c r="AQ62" s="109">
        <v>6</v>
      </c>
      <c r="AR62" s="9" t="s">
        <v>55</v>
      </c>
      <c r="AT62" s="133"/>
      <c r="AU62" s="134"/>
      <c r="AV62" s="135"/>
      <c r="AW62" s="135"/>
      <c r="AX62" s="135"/>
      <c r="AY62" s="133"/>
      <c r="AZ62" s="134"/>
      <c r="BA62" s="135"/>
      <c r="BB62" s="135"/>
      <c r="BC62" s="135"/>
      <c r="BD62" s="133"/>
      <c r="BE62" s="134"/>
      <c r="BF62" s="135"/>
      <c r="BG62" s="135"/>
      <c r="BH62" s="135"/>
      <c r="BI62" s="133"/>
      <c r="BJ62" s="136"/>
      <c r="BK62" s="135"/>
      <c r="BL62" s="135"/>
      <c r="BM62" s="135"/>
      <c r="BN62" s="133"/>
      <c r="BO62" s="136"/>
      <c r="BP62" s="135"/>
      <c r="BQ62" s="135"/>
      <c r="BR62" s="135"/>
      <c r="BS62" s="133"/>
      <c r="BU62" s="10" t="e">
        <f>#REF!</f>
        <v>#REF!</v>
      </c>
    </row>
    <row r="63" spans="2:73" s="10" customFormat="1" ht="18" customHeight="1" x14ac:dyDescent="0.2">
      <c r="B63" s="149">
        <v>59</v>
      </c>
      <c r="C63" s="149">
        <v>6</v>
      </c>
      <c r="D63" s="150" t="s">
        <v>455</v>
      </c>
      <c r="E63" s="177" t="s">
        <v>56</v>
      </c>
      <c r="F63" s="153" t="s">
        <v>122</v>
      </c>
      <c r="G63" s="216"/>
      <c r="H63" s="217" t="s">
        <v>912</v>
      </c>
      <c r="I63" s="218">
        <v>1</v>
      </c>
      <c r="J63" s="219">
        <v>1</v>
      </c>
      <c r="L63" s="111"/>
      <c r="M63" s="107" t="str">
        <f t="shared" si="105"/>
        <v>_</v>
      </c>
      <c r="N63" s="107">
        <f>'Project types'!$W$6</f>
        <v>2050</v>
      </c>
      <c r="O63" s="108">
        <f>IF(G63=1,(H63-1)+'Project types'!N64,IF(G63=2,H63-1,9999))</f>
        <v>9999</v>
      </c>
      <c r="P63" s="9">
        <f t="shared" si="132"/>
        <v>0</v>
      </c>
      <c r="Q63" s="9">
        <f t="shared" si="133"/>
        <v>0</v>
      </c>
      <c r="R63" s="9">
        <f t="shared" si="134"/>
        <v>0</v>
      </c>
      <c r="S63" s="9">
        <f t="shared" si="135"/>
        <v>0</v>
      </c>
      <c r="T63" s="9">
        <f t="shared" si="136"/>
        <v>0</v>
      </c>
      <c r="U63" s="9">
        <f t="shared" si="137"/>
        <v>0</v>
      </c>
      <c r="V63" s="9">
        <f t="shared" si="138"/>
        <v>0</v>
      </c>
      <c r="W63" s="9">
        <f t="shared" si="139"/>
        <v>0</v>
      </c>
      <c r="X63" s="9">
        <f t="shared" si="140"/>
        <v>0</v>
      </c>
      <c r="Y63" s="9">
        <f t="shared" si="141"/>
        <v>0</v>
      </c>
      <c r="Z63" s="9">
        <f t="shared" si="142"/>
        <v>0</v>
      </c>
      <c r="AA63" s="9">
        <f t="shared" si="143"/>
        <v>0</v>
      </c>
      <c r="AB63" s="9">
        <f t="shared" si="144"/>
        <v>0</v>
      </c>
      <c r="AC63" s="9">
        <f t="shared" si="145"/>
        <v>0</v>
      </c>
      <c r="AD63" s="9">
        <f t="shared" si="146"/>
        <v>0</v>
      </c>
      <c r="AE63" s="9">
        <f t="shared" si="147"/>
        <v>0</v>
      </c>
      <c r="AF63" s="9">
        <f t="shared" si="148"/>
        <v>0</v>
      </c>
      <c r="AG63" s="9">
        <f t="shared" si="149"/>
        <v>0</v>
      </c>
      <c r="AH63" s="9">
        <f t="shared" si="150"/>
        <v>0</v>
      </c>
      <c r="AI63" s="9">
        <f t="shared" si="151"/>
        <v>0</v>
      </c>
      <c r="AJ63" s="9">
        <f t="shared" si="152"/>
        <v>0</v>
      </c>
      <c r="AK63" s="9">
        <f t="shared" si="153"/>
        <v>0</v>
      </c>
      <c r="AL63" s="9">
        <f t="shared" si="154"/>
        <v>0</v>
      </c>
      <c r="AM63" s="9">
        <f t="shared" si="155"/>
        <v>0</v>
      </c>
      <c r="AN63" s="9">
        <f t="shared" si="156"/>
        <v>0</v>
      </c>
      <c r="AO63" s="10">
        <f t="shared" si="157"/>
        <v>0</v>
      </c>
      <c r="AQ63" s="109">
        <v>6</v>
      </c>
      <c r="AR63" s="9" t="s">
        <v>56</v>
      </c>
      <c r="AT63" s="125"/>
      <c r="AU63" s="126"/>
      <c r="AV63" s="127"/>
      <c r="AW63" s="127"/>
      <c r="AX63" s="127"/>
      <c r="AY63" s="125"/>
      <c r="AZ63" s="126"/>
      <c r="BA63" s="127"/>
      <c r="BB63" s="127"/>
      <c r="BC63" s="127"/>
      <c r="BD63" s="125"/>
      <c r="BE63" s="126"/>
      <c r="BF63" s="127"/>
      <c r="BG63" s="127"/>
      <c r="BH63" s="127"/>
      <c r="BI63" s="125"/>
      <c r="BJ63" s="128"/>
      <c r="BK63" s="127"/>
      <c r="BL63" s="127"/>
      <c r="BM63" s="127"/>
      <c r="BN63" s="125"/>
      <c r="BO63" s="128"/>
      <c r="BP63" s="127"/>
      <c r="BQ63" s="127"/>
      <c r="BR63" s="127"/>
      <c r="BS63" s="125"/>
      <c r="BU63" s="10" t="e">
        <f>#REF!</f>
        <v>#REF!</v>
      </c>
    </row>
    <row r="64" spans="2:73" s="10" customFormat="1" ht="18" customHeight="1" x14ac:dyDescent="0.2">
      <c r="B64" s="149">
        <v>60</v>
      </c>
      <c r="C64" s="149">
        <v>6</v>
      </c>
      <c r="D64" s="150" t="s">
        <v>455</v>
      </c>
      <c r="E64" s="177" t="s">
        <v>57</v>
      </c>
      <c r="F64" s="153" t="s">
        <v>141</v>
      </c>
      <c r="G64" s="216"/>
      <c r="H64" s="217" t="s">
        <v>912</v>
      </c>
      <c r="I64" s="218">
        <v>1</v>
      </c>
      <c r="J64" s="219">
        <v>1</v>
      </c>
      <c r="L64" s="111"/>
      <c r="M64" s="107" t="str">
        <f t="shared" si="105"/>
        <v>_</v>
      </c>
      <c r="N64" s="107">
        <f>'Project types'!$W$6</f>
        <v>2050</v>
      </c>
      <c r="O64" s="108">
        <f>IF(G64=1,(H64-1)+'Project types'!N65,IF(G64=2,H64-1,9999))</f>
        <v>9999</v>
      </c>
      <c r="P64" s="9">
        <f t="shared" si="132"/>
        <v>0</v>
      </c>
      <c r="Q64" s="9">
        <f t="shared" si="133"/>
        <v>0</v>
      </c>
      <c r="R64" s="9">
        <f t="shared" si="134"/>
        <v>0</v>
      </c>
      <c r="S64" s="9">
        <f t="shared" si="135"/>
        <v>0</v>
      </c>
      <c r="T64" s="9">
        <f t="shared" si="136"/>
        <v>0</v>
      </c>
      <c r="U64" s="9">
        <f t="shared" si="137"/>
        <v>0</v>
      </c>
      <c r="V64" s="9">
        <f t="shared" si="138"/>
        <v>0</v>
      </c>
      <c r="W64" s="9">
        <f t="shared" si="139"/>
        <v>0</v>
      </c>
      <c r="X64" s="9">
        <f t="shared" si="140"/>
        <v>0</v>
      </c>
      <c r="Y64" s="9">
        <f t="shared" si="141"/>
        <v>0</v>
      </c>
      <c r="Z64" s="9">
        <f t="shared" si="142"/>
        <v>0</v>
      </c>
      <c r="AA64" s="9">
        <f t="shared" si="143"/>
        <v>0</v>
      </c>
      <c r="AB64" s="9">
        <f t="shared" si="144"/>
        <v>0</v>
      </c>
      <c r="AC64" s="9">
        <f t="shared" si="145"/>
        <v>0</v>
      </c>
      <c r="AD64" s="9">
        <f t="shared" si="146"/>
        <v>0</v>
      </c>
      <c r="AE64" s="9">
        <f t="shared" si="147"/>
        <v>0</v>
      </c>
      <c r="AF64" s="9">
        <f t="shared" si="148"/>
        <v>0</v>
      </c>
      <c r="AG64" s="9">
        <f t="shared" si="149"/>
        <v>0</v>
      </c>
      <c r="AH64" s="9">
        <f t="shared" si="150"/>
        <v>0</v>
      </c>
      <c r="AI64" s="9">
        <f t="shared" si="151"/>
        <v>0</v>
      </c>
      <c r="AJ64" s="9">
        <f t="shared" si="152"/>
        <v>0</v>
      </c>
      <c r="AK64" s="9">
        <f t="shared" si="153"/>
        <v>0</v>
      </c>
      <c r="AL64" s="9">
        <f t="shared" si="154"/>
        <v>0</v>
      </c>
      <c r="AM64" s="9">
        <f t="shared" si="155"/>
        <v>0</v>
      </c>
      <c r="AN64" s="9">
        <f t="shared" si="156"/>
        <v>0</v>
      </c>
      <c r="AO64" s="10">
        <f t="shared" si="157"/>
        <v>0</v>
      </c>
      <c r="AQ64" s="109">
        <v>6</v>
      </c>
      <c r="AR64" s="9" t="s">
        <v>57</v>
      </c>
      <c r="AT64" s="125"/>
      <c r="AU64" s="126"/>
      <c r="AV64" s="127"/>
      <c r="AW64" s="127"/>
      <c r="AX64" s="127"/>
      <c r="AY64" s="125"/>
      <c r="AZ64" s="126"/>
      <c r="BA64" s="127"/>
      <c r="BB64" s="127"/>
      <c r="BC64" s="127"/>
      <c r="BD64" s="125"/>
      <c r="BE64" s="126"/>
      <c r="BF64" s="127"/>
      <c r="BG64" s="127"/>
      <c r="BH64" s="127"/>
      <c r="BI64" s="125"/>
      <c r="BJ64" s="128"/>
      <c r="BK64" s="127"/>
      <c r="BL64" s="127"/>
      <c r="BM64" s="127"/>
      <c r="BN64" s="125"/>
      <c r="BO64" s="128"/>
      <c r="BP64" s="127"/>
      <c r="BQ64" s="127"/>
      <c r="BR64" s="127"/>
      <c r="BS64" s="125"/>
      <c r="BU64" s="10" t="e">
        <f>#REF!</f>
        <v>#REF!</v>
      </c>
    </row>
    <row r="65" spans="2:73" s="10" customFormat="1" ht="18" customHeight="1" x14ac:dyDescent="0.2">
      <c r="B65" s="149">
        <v>61</v>
      </c>
      <c r="C65" s="149">
        <v>6</v>
      </c>
      <c r="D65" s="150" t="s">
        <v>455</v>
      </c>
      <c r="E65" s="177" t="s">
        <v>58</v>
      </c>
      <c r="F65" s="153" t="s">
        <v>142</v>
      </c>
      <c r="G65" s="216"/>
      <c r="H65" s="217" t="s">
        <v>912</v>
      </c>
      <c r="I65" s="218">
        <v>1</v>
      </c>
      <c r="J65" s="219">
        <v>1</v>
      </c>
      <c r="L65" s="111"/>
      <c r="M65" s="107" t="str">
        <f t="shared" si="105"/>
        <v>_</v>
      </c>
      <c r="N65" s="107">
        <f>'Project types'!$W$6</f>
        <v>2050</v>
      </c>
      <c r="O65" s="108">
        <f>IF(G65=1,(H65-1)+'Project types'!N66,IF(G65=2,H65-1,9999))</f>
        <v>9999</v>
      </c>
      <c r="P65" s="9">
        <f t="shared" si="132"/>
        <v>0</v>
      </c>
      <c r="Q65" s="9">
        <f t="shared" si="133"/>
        <v>0</v>
      </c>
      <c r="R65" s="9">
        <f t="shared" si="134"/>
        <v>0</v>
      </c>
      <c r="S65" s="9">
        <f t="shared" si="135"/>
        <v>0</v>
      </c>
      <c r="T65" s="9">
        <f t="shared" si="136"/>
        <v>0</v>
      </c>
      <c r="U65" s="9">
        <f t="shared" si="137"/>
        <v>0</v>
      </c>
      <c r="V65" s="9">
        <f t="shared" si="138"/>
        <v>0</v>
      </c>
      <c r="W65" s="9">
        <f t="shared" si="139"/>
        <v>0</v>
      </c>
      <c r="X65" s="9">
        <f t="shared" si="140"/>
        <v>0</v>
      </c>
      <c r="Y65" s="9">
        <f t="shared" si="141"/>
        <v>0</v>
      </c>
      <c r="Z65" s="9">
        <f t="shared" si="142"/>
        <v>0</v>
      </c>
      <c r="AA65" s="9">
        <f t="shared" si="143"/>
        <v>0</v>
      </c>
      <c r="AB65" s="9">
        <f t="shared" si="144"/>
        <v>0</v>
      </c>
      <c r="AC65" s="9">
        <f t="shared" si="145"/>
        <v>0</v>
      </c>
      <c r="AD65" s="9">
        <f t="shared" si="146"/>
        <v>0</v>
      </c>
      <c r="AE65" s="9">
        <f t="shared" si="147"/>
        <v>0</v>
      </c>
      <c r="AF65" s="9">
        <f t="shared" si="148"/>
        <v>0</v>
      </c>
      <c r="AG65" s="9">
        <f t="shared" si="149"/>
        <v>0</v>
      </c>
      <c r="AH65" s="9">
        <f t="shared" si="150"/>
        <v>0</v>
      </c>
      <c r="AI65" s="9">
        <f t="shared" si="151"/>
        <v>0</v>
      </c>
      <c r="AJ65" s="9">
        <f t="shared" si="152"/>
        <v>0</v>
      </c>
      <c r="AK65" s="9">
        <f t="shared" si="153"/>
        <v>0</v>
      </c>
      <c r="AL65" s="9">
        <f t="shared" si="154"/>
        <v>0</v>
      </c>
      <c r="AM65" s="9">
        <f t="shared" si="155"/>
        <v>0</v>
      </c>
      <c r="AN65" s="9">
        <f t="shared" si="156"/>
        <v>0</v>
      </c>
      <c r="AO65" s="10">
        <f t="shared" si="157"/>
        <v>0</v>
      </c>
      <c r="AQ65" s="109">
        <v>6</v>
      </c>
      <c r="AR65" s="9" t="s">
        <v>58</v>
      </c>
      <c r="AT65" s="125"/>
      <c r="AU65" s="126"/>
      <c r="AV65" s="127"/>
      <c r="AW65" s="127"/>
      <c r="AX65" s="127"/>
      <c r="AY65" s="125"/>
      <c r="AZ65" s="126"/>
      <c r="BA65" s="127"/>
      <c r="BB65" s="127"/>
      <c r="BC65" s="127"/>
      <c r="BD65" s="125"/>
      <c r="BE65" s="126"/>
      <c r="BF65" s="127"/>
      <c r="BG65" s="127"/>
      <c r="BH65" s="127"/>
      <c r="BI65" s="125"/>
      <c r="BJ65" s="128"/>
      <c r="BK65" s="127"/>
      <c r="BL65" s="127"/>
      <c r="BM65" s="127"/>
      <c r="BN65" s="125"/>
      <c r="BO65" s="128"/>
      <c r="BP65" s="127"/>
      <c r="BQ65" s="127"/>
      <c r="BR65" s="127"/>
      <c r="BS65" s="125"/>
      <c r="BU65" s="10" t="e">
        <f>#REF!</f>
        <v>#REF!</v>
      </c>
    </row>
    <row r="66" spans="2:73" s="10" customFormat="1" ht="18" customHeight="1" x14ac:dyDescent="0.2">
      <c r="B66" s="149">
        <v>62</v>
      </c>
      <c r="C66" s="149">
        <v>6</v>
      </c>
      <c r="D66" s="150" t="s">
        <v>455</v>
      </c>
      <c r="E66" s="177" t="s">
        <v>59</v>
      </c>
      <c r="F66" s="153" t="s">
        <v>144</v>
      </c>
      <c r="G66" s="216"/>
      <c r="H66" s="217" t="s">
        <v>912</v>
      </c>
      <c r="I66" s="218">
        <v>1</v>
      </c>
      <c r="J66" s="219">
        <v>1</v>
      </c>
      <c r="L66" s="111"/>
      <c r="M66" s="107" t="str">
        <f t="shared" si="105"/>
        <v>_</v>
      </c>
      <c r="N66" s="107">
        <f>'Project types'!$W$6</f>
        <v>2050</v>
      </c>
      <c r="O66" s="108">
        <f>IF(G66=1,(H66-1)+'Project types'!N67,IF(G66=2,H66-1,9999))</f>
        <v>9999</v>
      </c>
      <c r="P66" s="9">
        <f t="shared" si="132"/>
        <v>0</v>
      </c>
      <c r="Q66" s="9">
        <f t="shared" si="133"/>
        <v>0</v>
      </c>
      <c r="R66" s="9">
        <f t="shared" si="134"/>
        <v>0</v>
      </c>
      <c r="S66" s="9">
        <f t="shared" si="135"/>
        <v>0</v>
      </c>
      <c r="T66" s="9">
        <f t="shared" si="136"/>
        <v>0</v>
      </c>
      <c r="U66" s="9">
        <f t="shared" si="137"/>
        <v>0</v>
      </c>
      <c r="V66" s="9">
        <f t="shared" si="138"/>
        <v>0</v>
      </c>
      <c r="W66" s="9">
        <f t="shared" si="139"/>
        <v>0</v>
      </c>
      <c r="X66" s="9">
        <f t="shared" si="140"/>
        <v>0</v>
      </c>
      <c r="Y66" s="9">
        <f t="shared" si="141"/>
        <v>0</v>
      </c>
      <c r="Z66" s="9">
        <f t="shared" si="142"/>
        <v>0</v>
      </c>
      <c r="AA66" s="9">
        <f t="shared" si="143"/>
        <v>0</v>
      </c>
      <c r="AB66" s="9">
        <f t="shared" si="144"/>
        <v>0</v>
      </c>
      <c r="AC66" s="9">
        <f t="shared" si="145"/>
        <v>0</v>
      </c>
      <c r="AD66" s="9">
        <f t="shared" si="146"/>
        <v>0</v>
      </c>
      <c r="AE66" s="9">
        <f t="shared" si="147"/>
        <v>0</v>
      </c>
      <c r="AF66" s="9">
        <f t="shared" si="148"/>
        <v>0</v>
      </c>
      <c r="AG66" s="9">
        <f t="shared" si="149"/>
        <v>0</v>
      </c>
      <c r="AH66" s="9">
        <f t="shared" si="150"/>
        <v>0</v>
      </c>
      <c r="AI66" s="9">
        <f t="shared" si="151"/>
        <v>0</v>
      </c>
      <c r="AJ66" s="9">
        <f t="shared" si="152"/>
        <v>0</v>
      </c>
      <c r="AK66" s="9">
        <f t="shared" si="153"/>
        <v>0</v>
      </c>
      <c r="AL66" s="9">
        <f t="shared" si="154"/>
        <v>0</v>
      </c>
      <c r="AM66" s="9">
        <f t="shared" si="155"/>
        <v>0</v>
      </c>
      <c r="AN66" s="9">
        <f t="shared" si="156"/>
        <v>0</v>
      </c>
      <c r="AO66" s="10">
        <f t="shared" si="157"/>
        <v>0</v>
      </c>
      <c r="AQ66" s="109">
        <v>6</v>
      </c>
      <c r="AR66" s="9" t="s">
        <v>59</v>
      </c>
      <c r="AT66" s="125"/>
      <c r="AU66" s="126"/>
      <c r="AV66" s="127"/>
      <c r="AW66" s="127"/>
      <c r="AX66" s="127"/>
      <c r="AY66" s="125"/>
      <c r="AZ66" s="126"/>
      <c r="BA66" s="127"/>
      <c r="BB66" s="127"/>
      <c r="BC66" s="127"/>
      <c r="BD66" s="125"/>
      <c r="BE66" s="126"/>
      <c r="BF66" s="127"/>
      <c r="BG66" s="127"/>
      <c r="BH66" s="127"/>
      <c r="BI66" s="125"/>
      <c r="BJ66" s="128"/>
      <c r="BK66" s="127"/>
      <c r="BL66" s="127"/>
      <c r="BM66" s="127"/>
      <c r="BN66" s="125"/>
      <c r="BO66" s="128"/>
      <c r="BP66" s="127"/>
      <c r="BQ66" s="127"/>
      <c r="BR66" s="127"/>
      <c r="BS66" s="125"/>
      <c r="BU66" s="10" t="e">
        <f>#REF!</f>
        <v>#REF!</v>
      </c>
    </row>
    <row r="67" spans="2:73" s="10" customFormat="1" ht="18" customHeight="1" x14ac:dyDescent="0.2">
      <c r="B67" s="149">
        <v>63</v>
      </c>
      <c r="C67" s="149">
        <v>6</v>
      </c>
      <c r="D67" s="150" t="s">
        <v>455</v>
      </c>
      <c r="E67" s="177" t="s">
        <v>60</v>
      </c>
      <c r="F67" s="153" t="s">
        <v>123</v>
      </c>
      <c r="G67" s="216"/>
      <c r="H67" s="217" t="s">
        <v>912</v>
      </c>
      <c r="I67" s="218">
        <v>1</v>
      </c>
      <c r="J67" s="219">
        <v>1</v>
      </c>
      <c r="L67" s="111"/>
      <c r="M67" s="107" t="str">
        <f t="shared" si="105"/>
        <v>_</v>
      </c>
      <c r="N67" s="107">
        <f>'Project types'!$W$6</f>
        <v>2050</v>
      </c>
      <c r="O67" s="108">
        <f>IF(G67=1,(H67-1)+'Project types'!N68,IF(G67=2,H67-1,9999))</f>
        <v>9999</v>
      </c>
      <c r="P67" s="9">
        <f t="shared" si="132"/>
        <v>0</v>
      </c>
      <c r="Q67" s="9">
        <f t="shared" si="133"/>
        <v>0</v>
      </c>
      <c r="R67" s="9">
        <f t="shared" si="134"/>
        <v>0</v>
      </c>
      <c r="S67" s="9">
        <f t="shared" si="135"/>
        <v>0</v>
      </c>
      <c r="T67" s="9">
        <f t="shared" si="136"/>
        <v>0</v>
      </c>
      <c r="U67" s="9">
        <f t="shared" si="137"/>
        <v>0</v>
      </c>
      <c r="V67" s="9">
        <f t="shared" si="138"/>
        <v>0</v>
      </c>
      <c r="W67" s="9">
        <f t="shared" si="139"/>
        <v>0</v>
      </c>
      <c r="X67" s="9">
        <f t="shared" si="140"/>
        <v>0</v>
      </c>
      <c r="Y67" s="9">
        <f t="shared" si="141"/>
        <v>0</v>
      </c>
      <c r="Z67" s="9">
        <f t="shared" si="142"/>
        <v>0</v>
      </c>
      <c r="AA67" s="9">
        <f t="shared" si="143"/>
        <v>0</v>
      </c>
      <c r="AB67" s="9">
        <f t="shared" si="144"/>
        <v>0</v>
      </c>
      <c r="AC67" s="9">
        <f t="shared" si="145"/>
        <v>0</v>
      </c>
      <c r="AD67" s="9">
        <f t="shared" si="146"/>
        <v>0</v>
      </c>
      <c r="AE67" s="9">
        <f t="shared" si="147"/>
        <v>0</v>
      </c>
      <c r="AF67" s="9">
        <f t="shared" si="148"/>
        <v>0</v>
      </c>
      <c r="AG67" s="9">
        <f t="shared" si="149"/>
        <v>0</v>
      </c>
      <c r="AH67" s="9">
        <f t="shared" si="150"/>
        <v>0</v>
      </c>
      <c r="AI67" s="9">
        <f t="shared" si="151"/>
        <v>0</v>
      </c>
      <c r="AJ67" s="9">
        <f t="shared" si="152"/>
        <v>0</v>
      </c>
      <c r="AK67" s="9">
        <f t="shared" si="153"/>
        <v>0</v>
      </c>
      <c r="AL67" s="9">
        <f t="shared" si="154"/>
        <v>0</v>
      </c>
      <c r="AM67" s="9">
        <f t="shared" si="155"/>
        <v>0</v>
      </c>
      <c r="AN67" s="9">
        <f t="shared" si="156"/>
        <v>0</v>
      </c>
      <c r="AO67" s="10">
        <f t="shared" si="157"/>
        <v>0</v>
      </c>
      <c r="AQ67" s="109">
        <v>6</v>
      </c>
      <c r="AR67" s="9" t="s">
        <v>60</v>
      </c>
      <c r="AT67" s="125"/>
      <c r="AU67" s="126"/>
      <c r="AV67" s="127"/>
      <c r="AW67" s="127"/>
      <c r="AX67" s="127"/>
      <c r="AY67" s="125"/>
      <c r="AZ67" s="126"/>
      <c r="BA67" s="127"/>
      <c r="BB67" s="127"/>
      <c r="BC67" s="127"/>
      <c r="BD67" s="125"/>
      <c r="BE67" s="126"/>
      <c r="BF67" s="127"/>
      <c r="BG67" s="127"/>
      <c r="BH67" s="127"/>
      <c r="BI67" s="125"/>
      <c r="BJ67" s="128"/>
      <c r="BK67" s="127"/>
      <c r="BL67" s="127"/>
      <c r="BM67" s="127"/>
      <c r="BN67" s="125"/>
      <c r="BO67" s="128"/>
      <c r="BP67" s="127"/>
      <c r="BQ67" s="127"/>
      <c r="BR67" s="127"/>
      <c r="BS67" s="125"/>
      <c r="BU67" s="10" t="e">
        <f>#REF!</f>
        <v>#REF!</v>
      </c>
    </row>
    <row r="68" spans="2:73" s="10" customFormat="1" ht="18" customHeight="1" x14ac:dyDescent="0.2">
      <c r="B68" s="149">
        <v>64</v>
      </c>
      <c r="C68" s="149">
        <v>6</v>
      </c>
      <c r="D68" s="150" t="s">
        <v>455</v>
      </c>
      <c r="E68" s="177" t="s">
        <v>61</v>
      </c>
      <c r="F68" s="153" t="s">
        <v>145</v>
      </c>
      <c r="G68" s="216"/>
      <c r="H68" s="217" t="s">
        <v>912</v>
      </c>
      <c r="I68" s="218">
        <v>1</v>
      </c>
      <c r="J68" s="219">
        <v>1</v>
      </c>
      <c r="L68" s="111"/>
      <c r="M68" s="107" t="str">
        <f t="shared" si="105"/>
        <v>_</v>
      </c>
      <c r="N68" s="107">
        <f>'Project types'!$W$6</f>
        <v>2050</v>
      </c>
      <c r="O68" s="108">
        <f>IF(G68=1,(H68-1)+'Project types'!N69,IF(G68=2,H68-1,9999))</f>
        <v>9999</v>
      </c>
      <c r="P68" s="9">
        <f t="shared" si="132"/>
        <v>0</v>
      </c>
      <c r="Q68" s="9">
        <f t="shared" si="133"/>
        <v>0</v>
      </c>
      <c r="R68" s="9">
        <f t="shared" si="134"/>
        <v>0</v>
      </c>
      <c r="S68" s="9">
        <f t="shared" si="135"/>
        <v>0</v>
      </c>
      <c r="T68" s="9">
        <f t="shared" si="136"/>
        <v>0</v>
      </c>
      <c r="U68" s="9">
        <f t="shared" si="137"/>
        <v>0</v>
      </c>
      <c r="V68" s="9">
        <f t="shared" si="138"/>
        <v>0</v>
      </c>
      <c r="W68" s="9">
        <f t="shared" si="139"/>
        <v>0</v>
      </c>
      <c r="X68" s="9">
        <f t="shared" si="140"/>
        <v>0</v>
      </c>
      <c r="Y68" s="9">
        <f t="shared" si="141"/>
        <v>0</v>
      </c>
      <c r="Z68" s="9">
        <f t="shared" si="142"/>
        <v>0</v>
      </c>
      <c r="AA68" s="9">
        <f t="shared" si="143"/>
        <v>0</v>
      </c>
      <c r="AB68" s="9">
        <f t="shared" si="144"/>
        <v>0</v>
      </c>
      <c r="AC68" s="9">
        <f t="shared" si="145"/>
        <v>0</v>
      </c>
      <c r="AD68" s="9">
        <f t="shared" si="146"/>
        <v>0</v>
      </c>
      <c r="AE68" s="9">
        <f t="shared" si="147"/>
        <v>0</v>
      </c>
      <c r="AF68" s="9">
        <f t="shared" si="148"/>
        <v>0</v>
      </c>
      <c r="AG68" s="9">
        <f t="shared" si="149"/>
        <v>0</v>
      </c>
      <c r="AH68" s="9">
        <f t="shared" si="150"/>
        <v>0</v>
      </c>
      <c r="AI68" s="9">
        <f t="shared" si="151"/>
        <v>0</v>
      </c>
      <c r="AJ68" s="9">
        <f t="shared" si="152"/>
        <v>0</v>
      </c>
      <c r="AK68" s="9">
        <f t="shared" si="153"/>
        <v>0</v>
      </c>
      <c r="AL68" s="9">
        <f t="shared" si="154"/>
        <v>0</v>
      </c>
      <c r="AM68" s="9">
        <f t="shared" si="155"/>
        <v>0</v>
      </c>
      <c r="AN68" s="9">
        <f t="shared" si="156"/>
        <v>0</v>
      </c>
      <c r="AO68" s="10">
        <f t="shared" si="157"/>
        <v>0</v>
      </c>
      <c r="AQ68" s="109">
        <v>6</v>
      </c>
      <c r="AR68" s="9" t="s">
        <v>61</v>
      </c>
      <c r="AT68" s="125"/>
      <c r="AU68" s="126"/>
      <c r="AV68" s="127"/>
      <c r="AW68" s="127"/>
      <c r="AX68" s="127"/>
      <c r="AY68" s="125"/>
      <c r="AZ68" s="126"/>
      <c r="BA68" s="127"/>
      <c r="BB68" s="127"/>
      <c r="BC68" s="127"/>
      <c r="BD68" s="125"/>
      <c r="BE68" s="126"/>
      <c r="BF68" s="127"/>
      <c r="BG68" s="127"/>
      <c r="BH68" s="127"/>
      <c r="BI68" s="125"/>
      <c r="BJ68" s="128"/>
      <c r="BK68" s="127"/>
      <c r="BL68" s="127"/>
      <c r="BM68" s="127"/>
      <c r="BN68" s="125"/>
      <c r="BO68" s="128"/>
      <c r="BP68" s="127"/>
      <c r="BQ68" s="127"/>
      <c r="BR68" s="127"/>
      <c r="BS68" s="125"/>
      <c r="BU68" s="10" t="e">
        <f>#REF!</f>
        <v>#REF!</v>
      </c>
    </row>
    <row r="69" spans="2:73" s="10" customFormat="1" ht="18" customHeight="1" x14ac:dyDescent="0.2">
      <c r="B69" s="149">
        <v>65</v>
      </c>
      <c r="C69" s="149">
        <v>6</v>
      </c>
      <c r="D69" s="150" t="s">
        <v>455</v>
      </c>
      <c r="E69" s="177" t="s">
        <v>62</v>
      </c>
      <c r="F69" s="153" t="s">
        <v>146</v>
      </c>
      <c r="G69" s="216"/>
      <c r="H69" s="217" t="s">
        <v>912</v>
      </c>
      <c r="I69" s="218">
        <v>1</v>
      </c>
      <c r="J69" s="219">
        <v>1</v>
      </c>
      <c r="L69" s="111"/>
      <c r="M69" s="107" t="str">
        <f t="shared" ref="M69:M100" si="158">H69</f>
        <v>_</v>
      </c>
      <c r="N69" s="107">
        <f>'Project types'!$W$6</f>
        <v>2050</v>
      </c>
      <c r="O69" s="108">
        <f>IF(G69=1,(H69-1)+'Project types'!N70,IF(G69=2,H69-1,9999))</f>
        <v>9999</v>
      </c>
      <c r="P69" s="9">
        <f t="shared" si="132"/>
        <v>0</v>
      </c>
      <c r="Q69" s="9">
        <f t="shared" si="133"/>
        <v>0</v>
      </c>
      <c r="R69" s="9">
        <f t="shared" si="134"/>
        <v>0</v>
      </c>
      <c r="S69" s="9">
        <f t="shared" si="135"/>
        <v>0</v>
      </c>
      <c r="T69" s="9">
        <f t="shared" si="136"/>
        <v>0</v>
      </c>
      <c r="U69" s="9">
        <f t="shared" si="137"/>
        <v>0</v>
      </c>
      <c r="V69" s="9">
        <f t="shared" si="138"/>
        <v>0</v>
      </c>
      <c r="W69" s="9">
        <f t="shared" si="139"/>
        <v>0</v>
      </c>
      <c r="X69" s="9">
        <f t="shared" si="140"/>
        <v>0</v>
      </c>
      <c r="Y69" s="9">
        <f t="shared" si="141"/>
        <v>0</v>
      </c>
      <c r="Z69" s="9">
        <f t="shared" si="142"/>
        <v>0</v>
      </c>
      <c r="AA69" s="9">
        <f t="shared" si="143"/>
        <v>0</v>
      </c>
      <c r="AB69" s="9">
        <f t="shared" si="144"/>
        <v>0</v>
      </c>
      <c r="AC69" s="9">
        <f t="shared" si="145"/>
        <v>0</v>
      </c>
      <c r="AD69" s="9">
        <f t="shared" si="146"/>
        <v>0</v>
      </c>
      <c r="AE69" s="9">
        <f t="shared" si="147"/>
        <v>0</v>
      </c>
      <c r="AF69" s="9">
        <f t="shared" si="148"/>
        <v>0</v>
      </c>
      <c r="AG69" s="9">
        <f t="shared" si="149"/>
        <v>0</v>
      </c>
      <c r="AH69" s="9">
        <f t="shared" si="150"/>
        <v>0</v>
      </c>
      <c r="AI69" s="9">
        <f t="shared" si="151"/>
        <v>0</v>
      </c>
      <c r="AJ69" s="9">
        <f t="shared" si="152"/>
        <v>0</v>
      </c>
      <c r="AK69" s="9">
        <f t="shared" si="153"/>
        <v>0</v>
      </c>
      <c r="AL69" s="9">
        <f t="shared" si="154"/>
        <v>0</v>
      </c>
      <c r="AM69" s="9">
        <f t="shared" si="155"/>
        <v>0</v>
      </c>
      <c r="AN69" s="9">
        <f t="shared" si="156"/>
        <v>0</v>
      </c>
      <c r="AO69" s="10">
        <f t="shared" si="157"/>
        <v>0</v>
      </c>
      <c r="AQ69" s="109">
        <v>6</v>
      </c>
      <c r="AR69" s="9" t="s">
        <v>62</v>
      </c>
      <c r="AT69" s="125"/>
      <c r="AU69" s="126"/>
      <c r="AV69" s="127"/>
      <c r="AW69" s="127"/>
      <c r="AX69" s="127"/>
      <c r="AY69" s="125"/>
      <c r="AZ69" s="126"/>
      <c r="BA69" s="127"/>
      <c r="BB69" s="127"/>
      <c r="BC69" s="127"/>
      <c r="BD69" s="125"/>
      <c r="BE69" s="126"/>
      <c r="BF69" s="127"/>
      <c r="BG69" s="127"/>
      <c r="BH69" s="127"/>
      <c r="BI69" s="125"/>
      <c r="BJ69" s="128"/>
      <c r="BK69" s="127"/>
      <c r="BL69" s="127"/>
      <c r="BM69" s="127"/>
      <c r="BN69" s="125"/>
      <c r="BO69" s="128"/>
      <c r="BP69" s="127"/>
      <c r="BQ69" s="127"/>
      <c r="BR69" s="127"/>
      <c r="BS69" s="125"/>
      <c r="BU69" s="10" t="e">
        <f>#REF!</f>
        <v>#REF!</v>
      </c>
    </row>
    <row r="70" spans="2:73" s="10" customFormat="1" ht="18" customHeight="1" x14ac:dyDescent="0.2">
      <c r="B70" s="149">
        <v>66</v>
      </c>
      <c r="C70" s="149">
        <v>6</v>
      </c>
      <c r="D70" s="150" t="s">
        <v>455</v>
      </c>
      <c r="E70" s="177" t="s">
        <v>63</v>
      </c>
      <c r="F70" s="153" t="s">
        <v>147</v>
      </c>
      <c r="G70" s="216"/>
      <c r="H70" s="217" t="s">
        <v>912</v>
      </c>
      <c r="I70" s="218">
        <v>1</v>
      </c>
      <c r="J70" s="219">
        <v>1</v>
      </c>
      <c r="L70" s="111"/>
      <c r="M70" s="107" t="str">
        <f t="shared" si="158"/>
        <v>_</v>
      </c>
      <c r="N70" s="107">
        <f>'Project types'!$W$6</f>
        <v>2050</v>
      </c>
      <c r="O70" s="108">
        <f>IF(G70=1,(H70-1)+'Project types'!N71,IF(G70=2,H70-1,9999))</f>
        <v>9999</v>
      </c>
      <c r="P70" s="9">
        <f t="shared" si="132"/>
        <v>0</v>
      </c>
      <c r="Q70" s="9">
        <f t="shared" si="133"/>
        <v>0</v>
      </c>
      <c r="R70" s="9">
        <f t="shared" si="134"/>
        <v>0</v>
      </c>
      <c r="S70" s="9">
        <f t="shared" si="135"/>
        <v>0</v>
      </c>
      <c r="T70" s="9">
        <f t="shared" si="136"/>
        <v>0</v>
      </c>
      <c r="U70" s="9">
        <f t="shared" si="137"/>
        <v>0</v>
      </c>
      <c r="V70" s="9">
        <f t="shared" si="138"/>
        <v>0</v>
      </c>
      <c r="W70" s="9">
        <f t="shared" si="139"/>
        <v>0</v>
      </c>
      <c r="X70" s="9">
        <f t="shared" si="140"/>
        <v>0</v>
      </c>
      <c r="Y70" s="9">
        <f t="shared" si="141"/>
        <v>0</v>
      </c>
      <c r="Z70" s="9">
        <f t="shared" si="142"/>
        <v>0</v>
      </c>
      <c r="AA70" s="9">
        <f t="shared" si="143"/>
        <v>0</v>
      </c>
      <c r="AB70" s="9">
        <f t="shared" si="144"/>
        <v>0</v>
      </c>
      <c r="AC70" s="9">
        <f t="shared" si="145"/>
        <v>0</v>
      </c>
      <c r="AD70" s="9">
        <f t="shared" si="146"/>
        <v>0</v>
      </c>
      <c r="AE70" s="9">
        <f t="shared" si="147"/>
        <v>0</v>
      </c>
      <c r="AF70" s="9">
        <f t="shared" si="148"/>
        <v>0</v>
      </c>
      <c r="AG70" s="9">
        <f t="shared" si="149"/>
        <v>0</v>
      </c>
      <c r="AH70" s="9">
        <f t="shared" si="150"/>
        <v>0</v>
      </c>
      <c r="AI70" s="9">
        <f t="shared" si="151"/>
        <v>0</v>
      </c>
      <c r="AJ70" s="9">
        <f t="shared" si="152"/>
        <v>0</v>
      </c>
      <c r="AK70" s="9">
        <f t="shared" si="153"/>
        <v>0</v>
      </c>
      <c r="AL70" s="9">
        <f t="shared" si="154"/>
        <v>0</v>
      </c>
      <c r="AM70" s="9">
        <f t="shared" si="155"/>
        <v>0</v>
      </c>
      <c r="AN70" s="9">
        <f t="shared" si="156"/>
        <v>0</v>
      </c>
      <c r="AO70" s="10">
        <f t="shared" si="157"/>
        <v>0</v>
      </c>
      <c r="AQ70" s="109">
        <v>6</v>
      </c>
      <c r="AR70" s="9" t="s">
        <v>63</v>
      </c>
      <c r="AT70" s="125"/>
      <c r="AU70" s="126"/>
      <c r="AV70" s="127"/>
      <c r="AW70" s="127"/>
      <c r="AX70" s="127"/>
      <c r="AY70" s="125"/>
      <c r="AZ70" s="126"/>
      <c r="BA70" s="127"/>
      <c r="BB70" s="127"/>
      <c r="BC70" s="127"/>
      <c r="BD70" s="125"/>
      <c r="BE70" s="126"/>
      <c r="BF70" s="127"/>
      <c r="BG70" s="127"/>
      <c r="BH70" s="127"/>
      <c r="BI70" s="125"/>
      <c r="BJ70" s="128"/>
      <c r="BK70" s="127"/>
      <c r="BL70" s="127"/>
      <c r="BM70" s="127"/>
      <c r="BN70" s="125"/>
      <c r="BO70" s="128"/>
      <c r="BP70" s="127"/>
      <c r="BQ70" s="127"/>
      <c r="BR70" s="127"/>
      <c r="BS70" s="125"/>
      <c r="BU70" s="10" t="e">
        <f>#REF!</f>
        <v>#REF!</v>
      </c>
    </row>
    <row r="71" spans="2:73" s="10" customFormat="1" ht="18" customHeight="1" x14ac:dyDescent="0.2">
      <c r="B71" s="149">
        <v>67</v>
      </c>
      <c r="C71" s="149">
        <v>6</v>
      </c>
      <c r="D71" s="150" t="s">
        <v>455</v>
      </c>
      <c r="E71" s="177" t="s">
        <v>64</v>
      </c>
      <c r="F71" s="153" t="s">
        <v>148</v>
      </c>
      <c r="G71" s="216"/>
      <c r="H71" s="217" t="s">
        <v>912</v>
      </c>
      <c r="I71" s="218">
        <v>1</v>
      </c>
      <c r="J71" s="219">
        <v>1</v>
      </c>
      <c r="L71" s="111"/>
      <c r="M71" s="107" t="str">
        <f t="shared" si="158"/>
        <v>_</v>
      </c>
      <c r="N71" s="107">
        <f>'Project types'!$W$6</f>
        <v>2050</v>
      </c>
      <c r="O71" s="108">
        <f>IF(G71=1,(H71-1)+'Project types'!N72,IF(G71=2,H71-1,9999))</f>
        <v>9999</v>
      </c>
      <c r="P71" s="9">
        <f t="shared" si="132"/>
        <v>0</v>
      </c>
      <c r="Q71" s="9">
        <f t="shared" si="133"/>
        <v>0</v>
      </c>
      <c r="R71" s="9">
        <f t="shared" si="134"/>
        <v>0</v>
      </c>
      <c r="S71" s="9">
        <f t="shared" si="135"/>
        <v>0</v>
      </c>
      <c r="T71" s="9">
        <f t="shared" si="136"/>
        <v>0</v>
      </c>
      <c r="U71" s="9">
        <f t="shared" si="137"/>
        <v>0</v>
      </c>
      <c r="V71" s="9">
        <f t="shared" si="138"/>
        <v>0</v>
      </c>
      <c r="W71" s="9">
        <f t="shared" si="139"/>
        <v>0</v>
      </c>
      <c r="X71" s="9">
        <f t="shared" si="140"/>
        <v>0</v>
      </c>
      <c r="Y71" s="9">
        <f t="shared" si="141"/>
        <v>0</v>
      </c>
      <c r="Z71" s="9">
        <f t="shared" si="142"/>
        <v>0</v>
      </c>
      <c r="AA71" s="9">
        <f t="shared" si="143"/>
        <v>0</v>
      </c>
      <c r="AB71" s="9">
        <f t="shared" si="144"/>
        <v>0</v>
      </c>
      <c r="AC71" s="9">
        <f t="shared" si="145"/>
        <v>0</v>
      </c>
      <c r="AD71" s="9">
        <f t="shared" si="146"/>
        <v>0</v>
      </c>
      <c r="AE71" s="9">
        <f t="shared" si="147"/>
        <v>0</v>
      </c>
      <c r="AF71" s="9">
        <f t="shared" si="148"/>
        <v>0</v>
      </c>
      <c r="AG71" s="9">
        <f t="shared" si="149"/>
        <v>0</v>
      </c>
      <c r="AH71" s="9">
        <f t="shared" si="150"/>
        <v>0</v>
      </c>
      <c r="AI71" s="9">
        <f t="shared" si="151"/>
        <v>0</v>
      </c>
      <c r="AJ71" s="9">
        <f t="shared" si="152"/>
        <v>0</v>
      </c>
      <c r="AK71" s="9">
        <f t="shared" si="153"/>
        <v>0</v>
      </c>
      <c r="AL71" s="9">
        <f t="shared" si="154"/>
        <v>0</v>
      </c>
      <c r="AM71" s="9">
        <f t="shared" si="155"/>
        <v>0</v>
      </c>
      <c r="AN71" s="9">
        <f t="shared" si="156"/>
        <v>0</v>
      </c>
      <c r="AO71" s="10">
        <f t="shared" si="157"/>
        <v>0</v>
      </c>
      <c r="AQ71" s="109">
        <v>6</v>
      </c>
      <c r="AR71" s="9" t="s">
        <v>64</v>
      </c>
      <c r="AT71" s="125"/>
      <c r="AU71" s="126"/>
      <c r="AV71" s="127"/>
      <c r="AW71" s="127"/>
      <c r="AX71" s="127"/>
      <c r="AY71" s="125"/>
      <c r="AZ71" s="126"/>
      <c r="BA71" s="127"/>
      <c r="BB71" s="127"/>
      <c r="BC71" s="127"/>
      <c r="BD71" s="125"/>
      <c r="BE71" s="126"/>
      <c r="BF71" s="127"/>
      <c r="BG71" s="127"/>
      <c r="BH71" s="127"/>
      <c r="BI71" s="125"/>
      <c r="BJ71" s="128"/>
      <c r="BK71" s="127"/>
      <c r="BL71" s="127"/>
      <c r="BM71" s="127"/>
      <c r="BN71" s="125"/>
      <c r="BO71" s="128"/>
      <c r="BP71" s="127"/>
      <c r="BQ71" s="127"/>
      <c r="BR71" s="127"/>
      <c r="BS71" s="125"/>
      <c r="BU71" s="10" t="e">
        <f>#REF!</f>
        <v>#REF!</v>
      </c>
    </row>
    <row r="72" spans="2:73" s="10" customFormat="1" ht="18" customHeight="1" x14ac:dyDescent="0.2">
      <c r="B72" s="149">
        <v>68</v>
      </c>
      <c r="C72" s="149">
        <v>6</v>
      </c>
      <c r="D72" s="150" t="s">
        <v>455</v>
      </c>
      <c r="E72" s="177" t="s">
        <v>65</v>
      </c>
      <c r="F72" s="153" t="s">
        <v>411</v>
      </c>
      <c r="G72" s="216"/>
      <c r="H72" s="217" t="s">
        <v>912</v>
      </c>
      <c r="I72" s="218">
        <v>1</v>
      </c>
      <c r="J72" s="219">
        <v>1</v>
      </c>
      <c r="L72" s="111"/>
      <c r="M72" s="107" t="str">
        <f t="shared" si="158"/>
        <v>_</v>
      </c>
      <c r="N72" s="107">
        <f>'Project types'!$W$6</f>
        <v>2050</v>
      </c>
      <c r="O72" s="108">
        <f>IF(G72=1,(H72-1)+'Project types'!N73,IF(G72=2,H72-1,9999))</f>
        <v>9999</v>
      </c>
      <c r="P72" s="9">
        <f t="shared" si="132"/>
        <v>0</v>
      </c>
      <c r="Q72" s="9">
        <f t="shared" si="133"/>
        <v>0</v>
      </c>
      <c r="R72" s="9">
        <f t="shared" si="134"/>
        <v>0</v>
      </c>
      <c r="S72" s="9">
        <f t="shared" si="135"/>
        <v>0</v>
      </c>
      <c r="T72" s="9">
        <f t="shared" si="136"/>
        <v>0</v>
      </c>
      <c r="U72" s="9">
        <f t="shared" si="137"/>
        <v>0</v>
      </c>
      <c r="V72" s="9">
        <f t="shared" si="138"/>
        <v>0</v>
      </c>
      <c r="W72" s="9">
        <f t="shared" si="139"/>
        <v>0</v>
      </c>
      <c r="X72" s="9">
        <f t="shared" si="140"/>
        <v>0</v>
      </c>
      <c r="Y72" s="9">
        <f t="shared" si="141"/>
        <v>0</v>
      </c>
      <c r="Z72" s="9">
        <f t="shared" si="142"/>
        <v>0</v>
      </c>
      <c r="AA72" s="9">
        <f t="shared" si="143"/>
        <v>0</v>
      </c>
      <c r="AB72" s="9">
        <f t="shared" si="144"/>
        <v>0</v>
      </c>
      <c r="AC72" s="9">
        <f t="shared" si="145"/>
        <v>0</v>
      </c>
      <c r="AD72" s="9">
        <f t="shared" si="146"/>
        <v>0</v>
      </c>
      <c r="AE72" s="9">
        <f t="shared" si="147"/>
        <v>0</v>
      </c>
      <c r="AF72" s="9">
        <f t="shared" si="148"/>
        <v>0</v>
      </c>
      <c r="AG72" s="9">
        <f t="shared" si="149"/>
        <v>0</v>
      </c>
      <c r="AH72" s="9">
        <f t="shared" si="150"/>
        <v>0</v>
      </c>
      <c r="AI72" s="9">
        <f t="shared" si="151"/>
        <v>0</v>
      </c>
      <c r="AJ72" s="9">
        <f t="shared" si="152"/>
        <v>0</v>
      </c>
      <c r="AK72" s="9">
        <f t="shared" si="153"/>
        <v>0</v>
      </c>
      <c r="AL72" s="9">
        <f t="shared" si="154"/>
        <v>0</v>
      </c>
      <c r="AM72" s="9">
        <f t="shared" si="155"/>
        <v>0</v>
      </c>
      <c r="AN72" s="9">
        <f t="shared" si="156"/>
        <v>0</v>
      </c>
      <c r="AO72" s="10">
        <f t="shared" si="157"/>
        <v>0</v>
      </c>
      <c r="AQ72" s="109">
        <v>6</v>
      </c>
      <c r="AR72" s="9" t="s">
        <v>65</v>
      </c>
      <c r="AT72" s="125"/>
      <c r="AU72" s="126"/>
      <c r="AV72" s="127"/>
      <c r="AW72" s="127"/>
      <c r="AX72" s="127"/>
      <c r="AY72" s="125"/>
      <c r="AZ72" s="126"/>
      <c r="BA72" s="127"/>
      <c r="BB72" s="127"/>
      <c r="BC72" s="127"/>
      <c r="BD72" s="125"/>
      <c r="BE72" s="126"/>
      <c r="BF72" s="127"/>
      <c r="BG72" s="127"/>
      <c r="BH72" s="127"/>
      <c r="BI72" s="125"/>
      <c r="BJ72" s="128"/>
      <c r="BK72" s="127"/>
      <c r="BL72" s="127"/>
      <c r="BM72" s="127"/>
      <c r="BN72" s="125"/>
      <c r="BO72" s="128"/>
      <c r="BP72" s="127"/>
      <c r="BQ72" s="127"/>
      <c r="BR72" s="127"/>
      <c r="BS72" s="125"/>
      <c r="BU72" s="10" t="e">
        <f>#REF!</f>
        <v>#REF!</v>
      </c>
    </row>
    <row r="73" spans="2:73" s="10" customFormat="1" ht="18" customHeight="1" x14ac:dyDescent="0.2">
      <c r="B73" s="149">
        <v>69</v>
      </c>
      <c r="C73" s="149">
        <v>6</v>
      </c>
      <c r="D73" s="150" t="s">
        <v>455</v>
      </c>
      <c r="E73" s="177" t="s">
        <v>66</v>
      </c>
      <c r="F73" s="153" t="s">
        <v>149</v>
      </c>
      <c r="G73" s="216"/>
      <c r="H73" s="217" t="s">
        <v>912</v>
      </c>
      <c r="I73" s="218">
        <v>1</v>
      </c>
      <c r="J73" s="219">
        <v>1</v>
      </c>
      <c r="L73" s="111"/>
      <c r="M73" s="107" t="str">
        <f t="shared" si="158"/>
        <v>_</v>
      </c>
      <c r="N73" s="107">
        <f>'Project types'!$W$6</f>
        <v>2050</v>
      </c>
      <c r="O73" s="108">
        <f>IF(G73=1,(H73-1)+'Project types'!N74,IF(G73=2,H73-1,9999))</f>
        <v>9999</v>
      </c>
      <c r="P73" s="9">
        <f t="shared" si="132"/>
        <v>0</v>
      </c>
      <c r="Q73" s="9">
        <f t="shared" si="133"/>
        <v>0</v>
      </c>
      <c r="R73" s="9">
        <f t="shared" si="134"/>
        <v>0</v>
      </c>
      <c r="S73" s="9">
        <f t="shared" si="135"/>
        <v>0</v>
      </c>
      <c r="T73" s="9">
        <f t="shared" si="136"/>
        <v>0</v>
      </c>
      <c r="U73" s="9">
        <f t="shared" si="137"/>
        <v>0</v>
      </c>
      <c r="V73" s="9">
        <f t="shared" si="138"/>
        <v>0</v>
      </c>
      <c r="W73" s="9">
        <f t="shared" si="139"/>
        <v>0</v>
      </c>
      <c r="X73" s="9">
        <f t="shared" si="140"/>
        <v>0</v>
      </c>
      <c r="Y73" s="9">
        <f t="shared" si="141"/>
        <v>0</v>
      </c>
      <c r="Z73" s="9">
        <f t="shared" si="142"/>
        <v>0</v>
      </c>
      <c r="AA73" s="9">
        <f t="shared" si="143"/>
        <v>0</v>
      </c>
      <c r="AB73" s="9">
        <f t="shared" si="144"/>
        <v>0</v>
      </c>
      <c r="AC73" s="9">
        <f t="shared" si="145"/>
        <v>0</v>
      </c>
      <c r="AD73" s="9">
        <f t="shared" si="146"/>
        <v>0</v>
      </c>
      <c r="AE73" s="9">
        <f t="shared" si="147"/>
        <v>0</v>
      </c>
      <c r="AF73" s="9">
        <f t="shared" si="148"/>
        <v>0</v>
      </c>
      <c r="AG73" s="9">
        <f t="shared" si="149"/>
        <v>0</v>
      </c>
      <c r="AH73" s="9">
        <f t="shared" si="150"/>
        <v>0</v>
      </c>
      <c r="AI73" s="9">
        <f t="shared" si="151"/>
        <v>0</v>
      </c>
      <c r="AJ73" s="9">
        <f t="shared" si="152"/>
        <v>0</v>
      </c>
      <c r="AK73" s="9">
        <f t="shared" si="153"/>
        <v>0</v>
      </c>
      <c r="AL73" s="9">
        <f t="shared" si="154"/>
        <v>0</v>
      </c>
      <c r="AM73" s="9">
        <f t="shared" si="155"/>
        <v>0</v>
      </c>
      <c r="AN73" s="9">
        <f t="shared" si="156"/>
        <v>0</v>
      </c>
      <c r="AO73" s="10">
        <f t="shared" si="157"/>
        <v>0</v>
      </c>
      <c r="AQ73" s="109">
        <v>6</v>
      </c>
      <c r="AR73" s="9" t="s">
        <v>66</v>
      </c>
      <c r="AT73" s="125"/>
      <c r="AU73" s="126"/>
      <c r="AV73" s="127"/>
      <c r="AW73" s="127"/>
      <c r="AX73" s="127"/>
      <c r="AY73" s="125"/>
      <c r="AZ73" s="126"/>
      <c r="BA73" s="127"/>
      <c r="BB73" s="127"/>
      <c r="BC73" s="127"/>
      <c r="BD73" s="125"/>
      <c r="BE73" s="126"/>
      <c r="BF73" s="127"/>
      <c r="BG73" s="127"/>
      <c r="BH73" s="127"/>
      <c r="BI73" s="125"/>
      <c r="BJ73" s="128"/>
      <c r="BK73" s="127"/>
      <c r="BL73" s="127"/>
      <c r="BM73" s="127"/>
      <c r="BN73" s="125"/>
      <c r="BO73" s="128"/>
      <c r="BP73" s="127"/>
      <c r="BQ73" s="127"/>
      <c r="BR73" s="127"/>
      <c r="BS73" s="125"/>
      <c r="BU73" s="10" t="e">
        <f>#REF!</f>
        <v>#REF!</v>
      </c>
    </row>
    <row r="74" spans="2:73" s="10" customFormat="1" ht="18" customHeight="1" thickBot="1" x14ac:dyDescent="0.25">
      <c r="B74" s="154">
        <v>70</v>
      </c>
      <c r="C74" s="154">
        <v>6</v>
      </c>
      <c r="D74" s="155" t="s">
        <v>455</v>
      </c>
      <c r="E74" s="178" t="s">
        <v>67</v>
      </c>
      <c r="F74" s="157" t="s">
        <v>118</v>
      </c>
      <c r="G74" s="220"/>
      <c r="H74" s="224" t="s">
        <v>912</v>
      </c>
      <c r="I74" s="222">
        <v>1</v>
      </c>
      <c r="J74" s="223">
        <v>1</v>
      </c>
      <c r="L74" s="111"/>
      <c r="M74" s="107" t="str">
        <f t="shared" si="158"/>
        <v>_</v>
      </c>
      <c r="N74" s="107">
        <f>'Project types'!$W$6</f>
        <v>2050</v>
      </c>
      <c r="O74" s="108">
        <f>IF(G74=1,(H74-1)+'Project types'!N75,IF(G74=2,H74-1,9999))</f>
        <v>9999</v>
      </c>
      <c r="P74" s="9">
        <f t="shared" si="132"/>
        <v>0</v>
      </c>
      <c r="Q74" s="9">
        <f t="shared" si="133"/>
        <v>0</v>
      </c>
      <c r="R74" s="9">
        <f t="shared" si="134"/>
        <v>0</v>
      </c>
      <c r="S74" s="9">
        <f t="shared" si="135"/>
        <v>0</v>
      </c>
      <c r="T74" s="9">
        <f t="shared" si="136"/>
        <v>0</v>
      </c>
      <c r="U74" s="9">
        <f t="shared" si="137"/>
        <v>0</v>
      </c>
      <c r="V74" s="9">
        <f t="shared" si="138"/>
        <v>0</v>
      </c>
      <c r="W74" s="9">
        <f t="shared" si="139"/>
        <v>0</v>
      </c>
      <c r="X74" s="9">
        <f t="shared" si="140"/>
        <v>0</v>
      </c>
      <c r="Y74" s="9">
        <f t="shared" si="141"/>
        <v>0</v>
      </c>
      <c r="Z74" s="9">
        <f t="shared" si="142"/>
        <v>0</v>
      </c>
      <c r="AA74" s="9">
        <f t="shared" si="143"/>
        <v>0</v>
      </c>
      <c r="AB74" s="9">
        <f t="shared" si="144"/>
        <v>0</v>
      </c>
      <c r="AC74" s="9">
        <f t="shared" si="145"/>
        <v>0</v>
      </c>
      <c r="AD74" s="9">
        <f t="shared" si="146"/>
        <v>0</v>
      </c>
      <c r="AE74" s="9">
        <f t="shared" si="147"/>
        <v>0</v>
      </c>
      <c r="AF74" s="9">
        <f t="shared" si="148"/>
        <v>0</v>
      </c>
      <c r="AG74" s="9">
        <f t="shared" si="149"/>
        <v>0</v>
      </c>
      <c r="AH74" s="9">
        <f t="shared" si="150"/>
        <v>0</v>
      </c>
      <c r="AI74" s="9">
        <f t="shared" si="151"/>
        <v>0</v>
      </c>
      <c r="AJ74" s="9">
        <f t="shared" si="152"/>
        <v>0</v>
      </c>
      <c r="AK74" s="9">
        <f t="shared" si="153"/>
        <v>0</v>
      </c>
      <c r="AL74" s="9">
        <f t="shared" si="154"/>
        <v>0</v>
      </c>
      <c r="AM74" s="9">
        <f t="shared" si="155"/>
        <v>0</v>
      </c>
      <c r="AN74" s="9">
        <f t="shared" si="156"/>
        <v>0</v>
      </c>
      <c r="AO74" s="10">
        <f t="shared" si="157"/>
        <v>0</v>
      </c>
      <c r="AQ74" s="109">
        <v>6</v>
      </c>
      <c r="AR74" s="9" t="s">
        <v>67</v>
      </c>
      <c r="AT74" s="129"/>
      <c r="AU74" s="130"/>
      <c r="AV74" s="131"/>
      <c r="AW74" s="131"/>
      <c r="AX74" s="131"/>
      <c r="AY74" s="129"/>
      <c r="AZ74" s="130"/>
      <c r="BA74" s="131"/>
      <c r="BB74" s="131"/>
      <c r="BC74" s="131"/>
      <c r="BD74" s="129"/>
      <c r="BE74" s="130"/>
      <c r="BF74" s="131"/>
      <c r="BG74" s="131"/>
      <c r="BH74" s="131"/>
      <c r="BI74" s="129"/>
      <c r="BJ74" s="132"/>
      <c r="BK74" s="131"/>
      <c r="BL74" s="131"/>
      <c r="BM74" s="131"/>
      <c r="BN74" s="129"/>
      <c r="BO74" s="132"/>
      <c r="BP74" s="131"/>
      <c r="BQ74" s="131"/>
      <c r="BR74" s="131"/>
      <c r="BS74" s="129"/>
      <c r="BU74" s="10" t="e">
        <f>#REF!</f>
        <v>#REF!</v>
      </c>
    </row>
    <row r="75" spans="2:73" s="10" customFormat="1" ht="18" customHeight="1" x14ac:dyDescent="0.2">
      <c r="B75" s="145">
        <v>71</v>
      </c>
      <c r="C75" s="145">
        <v>7</v>
      </c>
      <c r="D75" s="146" t="s">
        <v>456</v>
      </c>
      <c r="E75" s="179" t="s">
        <v>68</v>
      </c>
      <c r="F75" s="159" t="s">
        <v>150</v>
      </c>
      <c r="G75" s="216"/>
      <c r="H75" s="217" t="s">
        <v>912</v>
      </c>
      <c r="I75" s="218">
        <v>1</v>
      </c>
      <c r="J75" s="219">
        <v>1</v>
      </c>
      <c r="L75" s="111"/>
      <c r="M75" s="107" t="str">
        <f t="shared" si="158"/>
        <v>_</v>
      </c>
      <c r="N75" s="107">
        <f>'Project types'!$W$6</f>
        <v>2050</v>
      </c>
      <c r="O75" s="108">
        <f>IF(G75=1,(H75-1)+'Project types'!N76,IF(G75=2,H75-1,9999))</f>
        <v>9999</v>
      </c>
      <c r="P75" s="9">
        <f t="shared" ref="P75:P85" si="159">_xlfn.IFS(AND(AND($P$4&gt;=$H75,$P$4&lt;=$O75)),14,AND(AND($P$4&gt;=$M75,$P$4&lt;=$N75)),13,AND(OR($P$4&lt;$M75,$P$4&gt;$N75)),0)</f>
        <v>0</v>
      </c>
      <c r="Q75" s="9">
        <f t="shared" ref="Q75:Q85" si="160">_xlfn.IFS(AND(AND($Q$4&gt;=$H75,$Q$4&lt;=$O75)),14,AND(AND($Q$4&gt;=$M75,$Q$4&lt;=$N75)),13,AND(OR($Q$4&lt;$M75,$Q$4&gt;$N75)),0)</f>
        <v>0</v>
      </c>
      <c r="R75" s="9">
        <f t="shared" ref="R75:R85" si="161">_xlfn.IFS(AND(AND($R$4&gt;=$H75,$R$4&lt;=$O75)),14,AND(AND($R$4&gt;=$M75,$R$4&lt;=$N75)),13,AND(OR($R$4&lt;$M75,$R$4&gt;$N75)),0)</f>
        <v>0</v>
      </c>
      <c r="S75" s="9">
        <f t="shared" ref="S75:S85" si="162">_xlfn.IFS(AND(AND($S$4&gt;=$H75,$S$4&lt;=$O75)),14,AND(AND($S$4&gt;=$M75,$S$4&lt;=$N75)),13,AND(OR($S$4&lt;$M75,$S$4&gt;$N75)),0)</f>
        <v>0</v>
      </c>
      <c r="T75" s="9">
        <f t="shared" ref="T75:T85" si="163">_xlfn.IFS(AND(AND($T$4&gt;=$H75,$T$4&lt;=$O75)),14,AND(AND($T$4&gt;=$M75,$T$4&lt;=$N75)),13,AND(OR($T$4&lt;$M75,$T$4&gt;$N75)),0)</f>
        <v>0</v>
      </c>
      <c r="U75" s="9">
        <f t="shared" ref="U75:U85" si="164">_xlfn.IFS(AND(AND($U$4&gt;=$H75,$U$4&lt;=$O75)),14,AND(AND($U$4&gt;=$M75,$U$4&lt;=$N75)),13,AND(OR($U$4&lt;$M75,$U$4&gt;$N75)),0)</f>
        <v>0</v>
      </c>
      <c r="V75" s="9">
        <f t="shared" ref="V75:V85" si="165">_xlfn.IFS(AND(AND($V$4&gt;=$H75,$V$4&lt;=$O75)),14,AND(AND($V$4&gt;=$M75,$V$4&lt;=$N75)),13,AND(OR($V$4&lt;$M75,$V$4&gt;$N75)),0)</f>
        <v>0</v>
      </c>
      <c r="W75" s="9">
        <f t="shared" ref="W75:W85" si="166">_xlfn.IFS(AND(AND($W$4&gt;=$H75,$W$4&lt;=$O75)),14,AND(AND($W$4&gt;=$M75,$W$4&lt;=$N75)),13,AND(OR($W$4&lt;$M75,$W$4&gt;$N75)),0)</f>
        <v>0</v>
      </c>
      <c r="X75" s="9">
        <f t="shared" ref="X75:X85" si="167">_xlfn.IFS(AND(AND($X$4&gt;=$H75,$X$4&lt;=$O75)),14,AND(AND($X$4&gt;=$M75,$X$4&lt;=$N75)),13,AND(OR($X$4&lt;$M75,$X$4&gt;$N75)),0)</f>
        <v>0</v>
      </c>
      <c r="Y75" s="9">
        <f t="shared" ref="Y75:Y85" si="168">_xlfn.IFS(AND(AND($Y$4&gt;=$H75,$Y$4&lt;=$O75)),14,AND(AND($Y$4&gt;=$M75,$Y$4&lt;=$N75)),13,AND(OR($Y$4&lt;$M75,$Y$4&gt;$N75)),0)</f>
        <v>0</v>
      </c>
      <c r="Z75" s="9">
        <f t="shared" ref="Z75:Z85" si="169">_xlfn.IFS(AND(AND($Z$4&gt;=$H75,$Z$4&lt;=$O75)),14,AND(AND($Z$4&gt;=$M75,$Z$4&lt;=$N75)),13,AND(OR($Z$4&lt;$M75,$Z$4&gt;$N75)),0)</f>
        <v>0</v>
      </c>
      <c r="AA75" s="9">
        <f t="shared" ref="AA75:AA85" si="170">_xlfn.IFS(AND(AND($AA$4&gt;=$H75,$AA$4&lt;=$O75)),14,AND(AND($AA$4&gt;=$M75,$AA$4&lt;=$N75)),13,AND(OR($AA$4&lt;$M75,$AA$4&gt;$N75)),0)</f>
        <v>0</v>
      </c>
      <c r="AB75" s="9">
        <f t="shared" ref="AB75:AB85" si="171">_xlfn.IFS(AND(AND($AB$4&gt;=$H75,$AB$4&lt;=$O75)),14,AND(AND($AB$4&gt;=$M75,$AB$4&lt;=$N75)),13,AND(OR($AB$4&lt;$M75,$AB$4&gt;$N75)),0)</f>
        <v>0</v>
      </c>
      <c r="AC75" s="9">
        <f t="shared" ref="AC75:AC85" si="172">_xlfn.IFS(AND(AND($AC$4&gt;=$H75,$AC$4&lt;=$O75)),14,AND(AND($AC$4&gt;=$M75,$AC$4&lt;=$N75)),13,AND(OR($AC$4&lt;$M75,$AC$4&gt;$N75)),0)</f>
        <v>0</v>
      </c>
      <c r="AD75" s="9">
        <f t="shared" ref="AD75:AD85" si="173">_xlfn.IFS(AND(AND($AD$4&gt;=$H75,$AD$4&lt;=$O75)),14,AND(AND($AD$4&gt;=$M75,$AD$4&lt;=$N75)),13,AND(OR($AD$4&lt;$M75,$AD$4&gt;$N75)),0)</f>
        <v>0</v>
      </c>
      <c r="AE75" s="9">
        <f t="shared" ref="AE75:AE85" si="174">_xlfn.IFS(AND(AND($AE$4&gt;=$H75,$AE$4&lt;=$O75)),14,AND(AND($AE$4&gt;=$M75,$AE$4&lt;=$N75)),13,AND(OR($AE$4&lt;$M75,$AE$4&gt;$N75)),0)</f>
        <v>0</v>
      </c>
      <c r="AF75" s="9">
        <f t="shared" ref="AF75:AF85" si="175">_xlfn.IFS(AND(AND($AF$4&gt;=$H75,$AF$4&lt;=$O75)),14,AND(AND($AF$4&gt;=$M75,$AF$4&lt;=$N75)),13,AND(OR($AF$4&lt;$M75,$AF$4&gt;$N75)),0)</f>
        <v>0</v>
      </c>
      <c r="AG75" s="9">
        <f t="shared" ref="AG75:AG85" si="176">_xlfn.IFS(AND(AND($AG$4&gt;=$H75,$AG$4&lt;=$O75)),14,AND(AND($AG$4&gt;=$M75,$AG$4&lt;=$N75)),13,AND(OR($AG$4&lt;$M75,$AG$4&gt;$N75)),0)</f>
        <v>0</v>
      </c>
      <c r="AH75" s="9">
        <f t="shared" ref="AH75:AH85" si="177">_xlfn.IFS(AND(AND($AH$4&gt;=$H75,$AH$4&lt;=$O75)),14,AND(AND($AH$4&gt;=$M75,$AH$4&lt;=$N75)),13,AND(OR($AH$4&lt;$M75,$AH$4&gt;$N75)),0)</f>
        <v>0</v>
      </c>
      <c r="AI75" s="9">
        <f t="shared" ref="AI75:AI85" si="178">_xlfn.IFS(AND(AND($AI$4&gt;=$H75,$AI$4&lt;=$O75)),14,AND(AND($AI$4&gt;=$M75,$AI$4&lt;=$N75)),13,AND(OR($AI$4&lt;$M75,$AI$4&gt;$N75)),0)</f>
        <v>0</v>
      </c>
      <c r="AJ75" s="9">
        <f t="shared" ref="AJ75:AJ85" si="179">_xlfn.IFS(AND(AND($AJ$4&gt;=$H75,$AJ$4&lt;=$O75)),14,AND(AND($AJ$4&gt;=$M75,$AJ$4&lt;=$N75)),13,AND(OR($AJ$4&lt;$M75,$AJ$4&gt;$N75)),0)</f>
        <v>0</v>
      </c>
      <c r="AK75" s="9">
        <f t="shared" ref="AK75:AK85" si="180">_xlfn.IFS(AND(AND($AK$4&gt;=$H75,$AK$4&lt;=$O75)),14,AND(AND($AK$4&gt;=$M75,$AK$4&lt;=$N75)),13,AND(OR($AK$4&lt;$M75,$AK$4&gt;$N75)),0)</f>
        <v>0</v>
      </c>
      <c r="AL75" s="9">
        <f t="shared" ref="AL75:AL85" si="181">_xlfn.IFS(AND(AND($AL$4&gt;=$H75,$AL$4&lt;=$O75)),14,AND(AND($AL$4&gt;=$M75,$AL$4&lt;=$N75)),13,AND(OR($AL$4&lt;$M75,$AL$4&gt;$N75)),0)</f>
        <v>0</v>
      </c>
      <c r="AM75" s="9">
        <f t="shared" ref="AM75:AM85" si="182">_xlfn.IFS(AND(AND($AM$4&gt;=$H75,$AM$4&lt;=$O75)),14,AND(AND($AM$4&gt;=$M75,$AM$4&lt;=$N75)),13,AND(OR($AM$4&lt;$M75,$AM$4&gt;$N75)),0)</f>
        <v>0</v>
      </c>
      <c r="AN75" s="9">
        <f t="shared" ref="AN75:AN85" si="183">_xlfn.IFS(AND(AND($AN$4&gt;=$H75,$AN$4&lt;=$O75)),14,AND(AND($AN$4&gt;=$M75,$AN$4&lt;=$N75)),13,AND(OR($AN$4&lt;$M75,$AN$4&gt;$N75)),0)</f>
        <v>0</v>
      </c>
      <c r="AO75" s="10">
        <f t="shared" ref="AO75:AO85" si="184">_xlfn.IFS(AND(AND($AO$4&gt;=$H75,$AO$4&lt;=$O75)),14,AND(AND($AO$4&gt;=$M75,$AO$4&lt;=$N75)),13,AND(OR($AO$4&lt;$M75,$AO$4&gt;$N75)),0)</f>
        <v>0</v>
      </c>
      <c r="AQ75" s="109">
        <v>7</v>
      </c>
      <c r="AR75" s="9" t="s">
        <v>68</v>
      </c>
      <c r="AT75" s="133"/>
      <c r="AU75" s="134"/>
      <c r="AV75" s="135"/>
      <c r="AW75" s="135"/>
      <c r="AX75" s="135"/>
      <c r="AY75" s="133"/>
      <c r="AZ75" s="134"/>
      <c r="BA75" s="135"/>
      <c r="BB75" s="135"/>
      <c r="BC75" s="135"/>
      <c r="BD75" s="133"/>
      <c r="BE75" s="134"/>
      <c r="BF75" s="135"/>
      <c r="BG75" s="135"/>
      <c r="BH75" s="135"/>
      <c r="BI75" s="133"/>
      <c r="BJ75" s="136"/>
      <c r="BK75" s="135"/>
      <c r="BL75" s="135"/>
      <c r="BM75" s="135"/>
      <c r="BN75" s="133"/>
      <c r="BO75" s="136"/>
      <c r="BP75" s="135"/>
      <c r="BQ75" s="135"/>
      <c r="BR75" s="135"/>
      <c r="BS75" s="133"/>
      <c r="BU75" s="10" t="e">
        <f>#REF!</f>
        <v>#REF!</v>
      </c>
    </row>
    <row r="76" spans="2:73" s="10" customFormat="1" ht="18" customHeight="1" x14ac:dyDescent="0.2">
      <c r="B76" s="149">
        <v>72</v>
      </c>
      <c r="C76" s="149">
        <v>7</v>
      </c>
      <c r="D76" s="150" t="s">
        <v>456</v>
      </c>
      <c r="E76" s="180" t="s">
        <v>69</v>
      </c>
      <c r="F76" s="153" t="s">
        <v>151</v>
      </c>
      <c r="G76" s="216"/>
      <c r="H76" s="217" t="s">
        <v>912</v>
      </c>
      <c r="I76" s="218">
        <v>1</v>
      </c>
      <c r="J76" s="219">
        <v>1</v>
      </c>
      <c r="L76" s="111"/>
      <c r="M76" s="107" t="str">
        <f t="shared" si="158"/>
        <v>_</v>
      </c>
      <c r="N76" s="107">
        <f>'Project types'!$W$6</f>
        <v>2050</v>
      </c>
      <c r="O76" s="108">
        <f>IF(G76=1,(H76-1)+'Project types'!N77,IF(G76=2,H76-1,9999))</f>
        <v>9999</v>
      </c>
      <c r="P76" s="9">
        <f t="shared" si="159"/>
        <v>0</v>
      </c>
      <c r="Q76" s="9">
        <f t="shared" si="160"/>
        <v>0</v>
      </c>
      <c r="R76" s="9">
        <f t="shared" si="161"/>
        <v>0</v>
      </c>
      <c r="S76" s="9">
        <f t="shared" si="162"/>
        <v>0</v>
      </c>
      <c r="T76" s="9">
        <f t="shared" si="163"/>
        <v>0</v>
      </c>
      <c r="U76" s="9">
        <f t="shared" si="164"/>
        <v>0</v>
      </c>
      <c r="V76" s="9">
        <f t="shared" si="165"/>
        <v>0</v>
      </c>
      <c r="W76" s="9">
        <f t="shared" si="166"/>
        <v>0</v>
      </c>
      <c r="X76" s="9">
        <f t="shared" si="167"/>
        <v>0</v>
      </c>
      <c r="Y76" s="9">
        <f t="shared" si="168"/>
        <v>0</v>
      </c>
      <c r="Z76" s="9">
        <f t="shared" si="169"/>
        <v>0</v>
      </c>
      <c r="AA76" s="9">
        <f t="shared" si="170"/>
        <v>0</v>
      </c>
      <c r="AB76" s="9">
        <f t="shared" si="171"/>
        <v>0</v>
      </c>
      <c r="AC76" s="9">
        <f t="shared" si="172"/>
        <v>0</v>
      </c>
      <c r="AD76" s="9">
        <f t="shared" si="173"/>
        <v>0</v>
      </c>
      <c r="AE76" s="9">
        <f t="shared" si="174"/>
        <v>0</v>
      </c>
      <c r="AF76" s="9">
        <f t="shared" si="175"/>
        <v>0</v>
      </c>
      <c r="AG76" s="9">
        <f t="shared" si="176"/>
        <v>0</v>
      </c>
      <c r="AH76" s="9">
        <f t="shared" si="177"/>
        <v>0</v>
      </c>
      <c r="AI76" s="9">
        <f t="shared" si="178"/>
        <v>0</v>
      </c>
      <c r="AJ76" s="9">
        <f t="shared" si="179"/>
        <v>0</v>
      </c>
      <c r="AK76" s="9">
        <f t="shared" si="180"/>
        <v>0</v>
      </c>
      <c r="AL76" s="9">
        <f t="shared" si="181"/>
        <v>0</v>
      </c>
      <c r="AM76" s="9">
        <f t="shared" si="182"/>
        <v>0</v>
      </c>
      <c r="AN76" s="9">
        <f t="shared" si="183"/>
        <v>0</v>
      </c>
      <c r="AO76" s="10">
        <f t="shared" si="184"/>
        <v>0</v>
      </c>
      <c r="AQ76" s="109">
        <v>7</v>
      </c>
      <c r="AR76" s="9" t="s">
        <v>69</v>
      </c>
      <c r="AT76" s="125"/>
      <c r="AU76" s="126"/>
      <c r="AV76" s="127"/>
      <c r="AW76" s="127"/>
      <c r="AX76" s="127"/>
      <c r="AY76" s="125"/>
      <c r="AZ76" s="126"/>
      <c r="BA76" s="127"/>
      <c r="BB76" s="127"/>
      <c r="BC76" s="127"/>
      <c r="BD76" s="125"/>
      <c r="BE76" s="126"/>
      <c r="BF76" s="127"/>
      <c r="BG76" s="127"/>
      <c r="BH76" s="127"/>
      <c r="BI76" s="125"/>
      <c r="BJ76" s="128"/>
      <c r="BK76" s="127"/>
      <c r="BL76" s="127"/>
      <c r="BM76" s="127"/>
      <c r="BN76" s="125"/>
      <c r="BO76" s="128"/>
      <c r="BP76" s="127"/>
      <c r="BQ76" s="127"/>
      <c r="BR76" s="127"/>
      <c r="BS76" s="125"/>
      <c r="BU76" s="10" t="e">
        <f>#REF!</f>
        <v>#REF!</v>
      </c>
    </row>
    <row r="77" spans="2:73" s="10" customFormat="1" ht="18" customHeight="1" x14ac:dyDescent="0.2">
      <c r="B77" s="149">
        <v>73</v>
      </c>
      <c r="C77" s="149">
        <v>7</v>
      </c>
      <c r="D77" s="150" t="s">
        <v>456</v>
      </c>
      <c r="E77" s="180" t="s">
        <v>70</v>
      </c>
      <c r="F77" s="153" t="s">
        <v>412</v>
      </c>
      <c r="G77" s="216"/>
      <c r="H77" s="217" t="s">
        <v>912</v>
      </c>
      <c r="I77" s="218">
        <v>1</v>
      </c>
      <c r="J77" s="219">
        <v>1</v>
      </c>
      <c r="L77" s="111"/>
      <c r="M77" s="107" t="str">
        <f t="shared" si="158"/>
        <v>_</v>
      </c>
      <c r="N77" s="107">
        <f>'Project types'!$W$6</f>
        <v>2050</v>
      </c>
      <c r="O77" s="108">
        <f>IF(G77=1,(H77-1)+'Project types'!N78,IF(G77=2,H77-1,9999))</f>
        <v>9999</v>
      </c>
      <c r="P77" s="9">
        <f t="shared" si="159"/>
        <v>0</v>
      </c>
      <c r="Q77" s="9">
        <f t="shared" si="160"/>
        <v>0</v>
      </c>
      <c r="R77" s="9">
        <f t="shared" si="161"/>
        <v>0</v>
      </c>
      <c r="S77" s="9">
        <f t="shared" si="162"/>
        <v>0</v>
      </c>
      <c r="T77" s="9">
        <f t="shared" si="163"/>
        <v>0</v>
      </c>
      <c r="U77" s="9">
        <f t="shared" si="164"/>
        <v>0</v>
      </c>
      <c r="V77" s="9">
        <f t="shared" si="165"/>
        <v>0</v>
      </c>
      <c r="W77" s="9">
        <f t="shared" si="166"/>
        <v>0</v>
      </c>
      <c r="X77" s="9">
        <f t="shared" si="167"/>
        <v>0</v>
      </c>
      <c r="Y77" s="9">
        <f t="shared" si="168"/>
        <v>0</v>
      </c>
      <c r="Z77" s="9">
        <f t="shared" si="169"/>
        <v>0</v>
      </c>
      <c r="AA77" s="9">
        <f t="shared" si="170"/>
        <v>0</v>
      </c>
      <c r="AB77" s="9">
        <f t="shared" si="171"/>
        <v>0</v>
      </c>
      <c r="AC77" s="9">
        <f t="shared" si="172"/>
        <v>0</v>
      </c>
      <c r="AD77" s="9">
        <f t="shared" si="173"/>
        <v>0</v>
      </c>
      <c r="AE77" s="9">
        <f t="shared" si="174"/>
        <v>0</v>
      </c>
      <c r="AF77" s="9">
        <f t="shared" si="175"/>
        <v>0</v>
      </c>
      <c r="AG77" s="9">
        <f t="shared" si="176"/>
        <v>0</v>
      </c>
      <c r="AH77" s="9">
        <f t="shared" si="177"/>
        <v>0</v>
      </c>
      <c r="AI77" s="9">
        <f t="shared" si="178"/>
        <v>0</v>
      </c>
      <c r="AJ77" s="9">
        <f t="shared" si="179"/>
        <v>0</v>
      </c>
      <c r="AK77" s="9">
        <f t="shared" si="180"/>
        <v>0</v>
      </c>
      <c r="AL77" s="9">
        <f t="shared" si="181"/>
        <v>0</v>
      </c>
      <c r="AM77" s="9">
        <f t="shared" si="182"/>
        <v>0</v>
      </c>
      <c r="AN77" s="9">
        <f t="shared" si="183"/>
        <v>0</v>
      </c>
      <c r="AO77" s="10">
        <f t="shared" si="184"/>
        <v>0</v>
      </c>
      <c r="AQ77" s="109">
        <v>7</v>
      </c>
      <c r="AR77" s="9" t="s">
        <v>70</v>
      </c>
      <c r="AT77" s="125"/>
      <c r="AU77" s="126"/>
      <c r="AV77" s="127"/>
      <c r="AW77" s="127"/>
      <c r="AX77" s="127"/>
      <c r="AY77" s="125"/>
      <c r="AZ77" s="126"/>
      <c r="BA77" s="127"/>
      <c r="BB77" s="127"/>
      <c r="BC77" s="127"/>
      <c r="BD77" s="125"/>
      <c r="BE77" s="126"/>
      <c r="BF77" s="127"/>
      <c r="BG77" s="127"/>
      <c r="BH77" s="127"/>
      <c r="BI77" s="125"/>
      <c r="BJ77" s="128"/>
      <c r="BK77" s="127"/>
      <c r="BL77" s="127"/>
      <c r="BM77" s="127"/>
      <c r="BN77" s="125"/>
      <c r="BO77" s="128"/>
      <c r="BP77" s="127"/>
      <c r="BQ77" s="127"/>
      <c r="BR77" s="127"/>
      <c r="BS77" s="125"/>
      <c r="BU77" s="10" t="e">
        <f>#REF!</f>
        <v>#REF!</v>
      </c>
    </row>
    <row r="78" spans="2:73" s="10" customFormat="1" ht="18" customHeight="1" x14ac:dyDescent="0.2">
      <c r="B78" s="149">
        <v>74</v>
      </c>
      <c r="C78" s="149">
        <v>7</v>
      </c>
      <c r="D78" s="150" t="s">
        <v>456</v>
      </c>
      <c r="E78" s="180" t="s">
        <v>71</v>
      </c>
      <c r="F78" s="153" t="s">
        <v>152</v>
      </c>
      <c r="G78" s="216"/>
      <c r="H78" s="217" t="s">
        <v>912</v>
      </c>
      <c r="I78" s="218">
        <v>1</v>
      </c>
      <c r="J78" s="219">
        <v>1</v>
      </c>
      <c r="L78" s="111"/>
      <c r="M78" s="107" t="str">
        <f t="shared" si="158"/>
        <v>_</v>
      </c>
      <c r="N78" s="107">
        <f>'Project types'!$W$6</f>
        <v>2050</v>
      </c>
      <c r="O78" s="108">
        <f>IF(G78=1,(H78-1)+'Project types'!N79,IF(G78=2,H78-1,9999))</f>
        <v>9999</v>
      </c>
      <c r="P78" s="9">
        <f t="shared" si="159"/>
        <v>0</v>
      </c>
      <c r="Q78" s="9">
        <f t="shared" si="160"/>
        <v>0</v>
      </c>
      <c r="R78" s="9">
        <f t="shared" si="161"/>
        <v>0</v>
      </c>
      <c r="S78" s="9">
        <f t="shared" si="162"/>
        <v>0</v>
      </c>
      <c r="T78" s="9">
        <f t="shared" si="163"/>
        <v>0</v>
      </c>
      <c r="U78" s="9">
        <f t="shared" si="164"/>
        <v>0</v>
      </c>
      <c r="V78" s="9">
        <f t="shared" si="165"/>
        <v>0</v>
      </c>
      <c r="W78" s="9">
        <f t="shared" si="166"/>
        <v>0</v>
      </c>
      <c r="X78" s="9">
        <f t="shared" si="167"/>
        <v>0</v>
      </c>
      <c r="Y78" s="9">
        <f t="shared" si="168"/>
        <v>0</v>
      </c>
      <c r="Z78" s="9">
        <f t="shared" si="169"/>
        <v>0</v>
      </c>
      <c r="AA78" s="9">
        <f t="shared" si="170"/>
        <v>0</v>
      </c>
      <c r="AB78" s="9">
        <f t="shared" si="171"/>
        <v>0</v>
      </c>
      <c r="AC78" s="9">
        <f t="shared" si="172"/>
        <v>0</v>
      </c>
      <c r="AD78" s="9">
        <f t="shared" si="173"/>
        <v>0</v>
      </c>
      <c r="AE78" s="9">
        <f t="shared" si="174"/>
        <v>0</v>
      </c>
      <c r="AF78" s="9">
        <f t="shared" si="175"/>
        <v>0</v>
      </c>
      <c r="AG78" s="9">
        <f t="shared" si="176"/>
        <v>0</v>
      </c>
      <c r="AH78" s="9">
        <f t="shared" si="177"/>
        <v>0</v>
      </c>
      <c r="AI78" s="9">
        <f t="shared" si="178"/>
        <v>0</v>
      </c>
      <c r="AJ78" s="9">
        <f t="shared" si="179"/>
        <v>0</v>
      </c>
      <c r="AK78" s="9">
        <f t="shared" si="180"/>
        <v>0</v>
      </c>
      <c r="AL78" s="9">
        <f t="shared" si="181"/>
        <v>0</v>
      </c>
      <c r="AM78" s="9">
        <f t="shared" si="182"/>
        <v>0</v>
      </c>
      <c r="AN78" s="9">
        <f t="shared" si="183"/>
        <v>0</v>
      </c>
      <c r="AO78" s="10">
        <f t="shared" si="184"/>
        <v>0</v>
      </c>
      <c r="AQ78" s="109">
        <v>7</v>
      </c>
      <c r="AR78" s="9" t="s">
        <v>71</v>
      </c>
      <c r="AT78" s="125"/>
      <c r="AU78" s="126"/>
      <c r="AV78" s="127"/>
      <c r="AW78" s="127"/>
      <c r="AX78" s="127"/>
      <c r="AY78" s="125"/>
      <c r="AZ78" s="126"/>
      <c r="BA78" s="127"/>
      <c r="BB78" s="127"/>
      <c r="BC78" s="127"/>
      <c r="BD78" s="125"/>
      <c r="BE78" s="126"/>
      <c r="BF78" s="127"/>
      <c r="BG78" s="127"/>
      <c r="BH78" s="127"/>
      <c r="BI78" s="125"/>
      <c r="BJ78" s="128"/>
      <c r="BK78" s="127"/>
      <c r="BL78" s="127"/>
      <c r="BM78" s="127"/>
      <c r="BN78" s="125"/>
      <c r="BO78" s="128"/>
      <c r="BP78" s="127"/>
      <c r="BQ78" s="127"/>
      <c r="BR78" s="127"/>
      <c r="BS78" s="125"/>
      <c r="BU78" s="10" t="e">
        <f>#REF!</f>
        <v>#REF!</v>
      </c>
    </row>
    <row r="79" spans="2:73" s="10" customFormat="1" ht="18" customHeight="1" x14ac:dyDescent="0.2">
      <c r="B79" s="149">
        <v>75</v>
      </c>
      <c r="C79" s="149">
        <v>7</v>
      </c>
      <c r="D79" s="150" t="s">
        <v>456</v>
      </c>
      <c r="E79" s="180" t="s">
        <v>72</v>
      </c>
      <c r="F79" s="153" t="s">
        <v>413</v>
      </c>
      <c r="G79" s="216"/>
      <c r="H79" s="217" t="s">
        <v>912</v>
      </c>
      <c r="I79" s="218">
        <v>1</v>
      </c>
      <c r="J79" s="219">
        <v>1</v>
      </c>
      <c r="L79" s="111"/>
      <c r="M79" s="107" t="str">
        <f t="shared" si="158"/>
        <v>_</v>
      </c>
      <c r="N79" s="107">
        <f>'Project types'!$W$6</f>
        <v>2050</v>
      </c>
      <c r="O79" s="108">
        <f>IF(G79=1,(H79-1)+'Project types'!N80,IF(G79=2,H79-1,9999))</f>
        <v>9999</v>
      </c>
      <c r="P79" s="9">
        <f t="shared" si="159"/>
        <v>0</v>
      </c>
      <c r="Q79" s="9">
        <f t="shared" si="160"/>
        <v>0</v>
      </c>
      <c r="R79" s="9">
        <f t="shared" si="161"/>
        <v>0</v>
      </c>
      <c r="S79" s="9">
        <f t="shared" si="162"/>
        <v>0</v>
      </c>
      <c r="T79" s="9">
        <f t="shared" si="163"/>
        <v>0</v>
      </c>
      <c r="U79" s="9">
        <f t="shared" si="164"/>
        <v>0</v>
      </c>
      <c r="V79" s="9">
        <f t="shared" si="165"/>
        <v>0</v>
      </c>
      <c r="W79" s="9">
        <f t="shared" si="166"/>
        <v>0</v>
      </c>
      <c r="X79" s="9">
        <f t="shared" si="167"/>
        <v>0</v>
      </c>
      <c r="Y79" s="9">
        <f t="shared" si="168"/>
        <v>0</v>
      </c>
      <c r="Z79" s="9">
        <f t="shared" si="169"/>
        <v>0</v>
      </c>
      <c r="AA79" s="9">
        <f t="shared" si="170"/>
        <v>0</v>
      </c>
      <c r="AB79" s="9">
        <f t="shared" si="171"/>
        <v>0</v>
      </c>
      <c r="AC79" s="9">
        <f t="shared" si="172"/>
        <v>0</v>
      </c>
      <c r="AD79" s="9">
        <f t="shared" si="173"/>
        <v>0</v>
      </c>
      <c r="AE79" s="9">
        <f t="shared" si="174"/>
        <v>0</v>
      </c>
      <c r="AF79" s="9">
        <f t="shared" si="175"/>
        <v>0</v>
      </c>
      <c r="AG79" s="9">
        <f t="shared" si="176"/>
        <v>0</v>
      </c>
      <c r="AH79" s="9">
        <f t="shared" si="177"/>
        <v>0</v>
      </c>
      <c r="AI79" s="9">
        <f t="shared" si="178"/>
        <v>0</v>
      </c>
      <c r="AJ79" s="9">
        <f t="shared" si="179"/>
        <v>0</v>
      </c>
      <c r="AK79" s="9">
        <f t="shared" si="180"/>
        <v>0</v>
      </c>
      <c r="AL79" s="9">
        <f t="shared" si="181"/>
        <v>0</v>
      </c>
      <c r="AM79" s="9">
        <f t="shared" si="182"/>
        <v>0</v>
      </c>
      <c r="AN79" s="9">
        <f t="shared" si="183"/>
        <v>0</v>
      </c>
      <c r="AO79" s="10">
        <f t="shared" si="184"/>
        <v>0</v>
      </c>
      <c r="AQ79" s="109">
        <v>7</v>
      </c>
      <c r="AR79" s="9" t="s">
        <v>72</v>
      </c>
      <c r="AT79" s="125"/>
      <c r="AU79" s="126"/>
      <c r="AV79" s="127"/>
      <c r="AW79" s="127"/>
      <c r="AX79" s="127"/>
      <c r="AY79" s="125"/>
      <c r="AZ79" s="126"/>
      <c r="BA79" s="127"/>
      <c r="BB79" s="127"/>
      <c r="BC79" s="127"/>
      <c r="BD79" s="125"/>
      <c r="BE79" s="126"/>
      <c r="BF79" s="127"/>
      <c r="BG79" s="127"/>
      <c r="BH79" s="127"/>
      <c r="BI79" s="125"/>
      <c r="BJ79" s="128"/>
      <c r="BK79" s="127"/>
      <c r="BL79" s="127"/>
      <c r="BM79" s="127"/>
      <c r="BN79" s="125"/>
      <c r="BO79" s="128"/>
      <c r="BP79" s="127"/>
      <c r="BQ79" s="127"/>
      <c r="BR79" s="127"/>
      <c r="BS79" s="125"/>
      <c r="BU79" s="10" t="e">
        <f>#REF!</f>
        <v>#REF!</v>
      </c>
    </row>
    <row r="80" spans="2:73" s="10" customFormat="1" ht="18" customHeight="1" x14ac:dyDescent="0.2">
      <c r="B80" s="149">
        <v>76</v>
      </c>
      <c r="C80" s="149">
        <v>7</v>
      </c>
      <c r="D80" s="150" t="s">
        <v>456</v>
      </c>
      <c r="E80" s="180" t="s">
        <v>73</v>
      </c>
      <c r="F80" s="153" t="s">
        <v>470</v>
      </c>
      <c r="G80" s="216"/>
      <c r="H80" s="217" t="s">
        <v>912</v>
      </c>
      <c r="I80" s="218">
        <v>1</v>
      </c>
      <c r="J80" s="219">
        <v>1</v>
      </c>
      <c r="L80" s="111"/>
      <c r="M80" s="107" t="str">
        <f t="shared" si="158"/>
        <v>_</v>
      </c>
      <c r="N80" s="107">
        <f>'Project types'!$W$6</f>
        <v>2050</v>
      </c>
      <c r="O80" s="108">
        <f>IF(G80=1,(H80-1)+'Project types'!N81,IF(G80=2,H80-1,9999))</f>
        <v>9999</v>
      </c>
      <c r="P80" s="9">
        <f t="shared" si="159"/>
        <v>0</v>
      </c>
      <c r="Q80" s="9">
        <f t="shared" si="160"/>
        <v>0</v>
      </c>
      <c r="R80" s="9">
        <f t="shared" si="161"/>
        <v>0</v>
      </c>
      <c r="S80" s="9">
        <f t="shared" si="162"/>
        <v>0</v>
      </c>
      <c r="T80" s="9">
        <f t="shared" si="163"/>
        <v>0</v>
      </c>
      <c r="U80" s="9">
        <f t="shared" si="164"/>
        <v>0</v>
      </c>
      <c r="V80" s="9">
        <f t="shared" si="165"/>
        <v>0</v>
      </c>
      <c r="W80" s="9">
        <f t="shared" si="166"/>
        <v>0</v>
      </c>
      <c r="X80" s="9">
        <f t="shared" si="167"/>
        <v>0</v>
      </c>
      <c r="Y80" s="9">
        <f t="shared" si="168"/>
        <v>0</v>
      </c>
      <c r="Z80" s="9">
        <f t="shared" si="169"/>
        <v>0</v>
      </c>
      <c r="AA80" s="9">
        <f t="shared" si="170"/>
        <v>0</v>
      </c>
      <c r="AB80" s="9">
        <f t="shared" si="171"/>
        <v>0</v>
      </c>
      <c r="AC80" s="9">
        <f t="shared" si="172"/>
        <v>0</v>
      </c>
      <c r="AD80" s="9">
        <f t="shared" si="173"/>
        <v>0</v>
      </c>
      <c r="AE80" s="9">
        <f t="shared" si="174"/>
        <v>0</v>
      </c>
      <c r="AF80" s="9">
        <f t="shared" si="175"/>
        <v>0</v>
      </c>
      <c r="AG80" s="9">
        <f t="shared" si="176"/>
        <v>0</v>
      </c>
      <c r="AH80" s="9">
        <f t="shared" si="177"/>
        <v>0</v>
      </c>
      <c r="AI80" s="9">
        <f t="shared" si="178"/>
        <v>0</v>
      </c>
      <c r="AJ80" s="9">
        <f t="shared" si="179"/>
        <v>0</v>
      </c>
      <c r="AK80" s="9">
        <f t="shared" si="180"/>
        <v>0</v>
      </c>
      <c r="AL80" s="9">
        <f t="shared" si="181"/>
        <v>0</v>
      </c>
      <c r="AM80" s="9">
        <f t="shared" si="182"/>
        <v>0</v>
      </c>
      <c r="AN80" s="9">
        <f t="shared" si="183"/>
        <v>0</v>
      </c>
      <c r="AO80" s="10">
        <f t="shared" si="184"/>
        <v>0</v>
      </c>
      <c r="AQ80" s="109">
        <v>7</v>
      </c>
      <c r="AR80" s="9" t="s">
        <v>73</v>
      </c>
      <c r="AT80" s="125"/>
      <c r="AU80" s="126"/>
      <c r="AV80" s="127"/>
      <c r="AW80" s="127"/>
      <c r="AX80" s="127"/>
      <c r="AY80" s="125"/>
      <c r="AZ80" s="126"/>
      <c r="BA80" s="127"/>
      <c r="BB80" s="127"/>
      <c r="BC80" s="127"/>
      <c r="BD80" s="125"/>
      <c r="BE80" s="126"/>
      <c r="BF80" s="127"/>
      <c r="BG80" s="127"/>
      <c r="BH80" s="127"/>
      <c r="BI80" s="125"/>
      <c r="BJ80" s="128"/>
      <c r="BK80" s="127"/>
      <c r="BL80" s="127"/>
      <c r="BM80" s="127"/>
      <c r="BN80" s="125"/>
      <c r="BO80" s="128"/>
      <c r="BP80" s="127"/>
      <c r="BQ80" s="127"/>
      <c r="BR80" s="127"/>
      <c r="BS80" s="125"/>
      <c r="BU80" s="10" t="e">
        <f>#REF!</f>
        <v>#REF!</v>
      </c>
    </row>
    <row r="81" spans="2:73" s="10" customFormat="1" ht="18" customHeight="1" x14ac:dyDescent="0.2">
      <c r="B81" s="149">
        <v>77</v>
      </c>
      <c r="C81" s="149">
        <v>7</v>
      </c>
      <c r="D81" s="150" t="s">
        <v>456</v>
      </c>
      <c r="E81" s="180" t="s">
        <v>74</v>
      </c>
      <c r="F81" s="153" t="s">
        <v>153</v>
      </c>
      <c r="G81" s="216"/>
      <c r="H81" s="217" t="s">
        <v>912</v>
      </c>
      <c r="I81" s="218">
        <v>1</v>
      </c>
      <c r="J81" s="219">
        <v>1</v>
      </c>
      <c r="L81" s="111"/>
      <c r="M81" s="107" t="str">
        <f t="shared" si="158"/>
        <v>_</v>
      </c>
      <c r="N81" s="107">
        <f>'Project types'!$W$6</f>
        <v>2050</v>
      </c>
      <c r="O81" s="108">
        <f>IF(G81=1,(H81-1)+'Project types'!N82,IF(G81=2,H81-1,9999))</f>
        <v>9999</v>
      </c>
      <c r="P81" s="9">
        <f t="shared" si="159"/>
        <v>0</v>
      </c>
      <c r="Q81" s="9">
        <f t="shared" si="160"/>
        <v>0</v>
      </c>
      <c r="R81" s="9">
        <f t="shared" si="161"/>
        <v>0</v>
      </c>
      <c r="S81" s="9">
        <f t="shared" si="162"/>
        <v>0</v>
      </c>
      <c r="T81" s="9">
        <f t="shared" si="163"/>
        <v>0</v>
      </c>
      <c r="U81" s="9">
        <f t="shared" si="164"/>
        <v>0</v>
      </c>
      <c r="V81" s="9">
        <f t="shared" si="165"/>
        <v>0</v>
      </c>
      <c r="W81" s="9">
        <f t="shared" si="166"/>
        <v>0</v>
      </c>
      <c r="X81" s="9">
        <f t="shared" si="167"/>
        <v>0</v>
      </c>
      <c r="Y81" s="9">
        <f t="shared" si="168"/>
        <v>0</v>
      </c>
      <c r="Z81" s="9">
        <f t="shared" si="169"/>
        <v>0</v>
      </c>
      <c r="AA81" s="9">
        <f t="shared" si="170"/>
        <v>0</v>
      </c>
      <c r="AB81" s="9">
        <f t="shared" si="171"/>
        <v>0</v>
      </c>
      <c r="AC81" s="9">
        <f t="shared" si="172"/>
        <v>0</v>
      </c>
      <c r="AD81" s="9">
        <f t="shared" si="173"/>
        <v>0</v>
      </c>
      <c r="AE81" s="9">
        <f t="shared" si="174"/>
        <v>0</v>
      </c>
      <c r="AF81" s="9">
        <f t="shared" si="175"/>
        <v>0</v>
      </c>
      <c r="AG81" s="9">
        <f t="shared" si="176"/>
        <v>0</v>
      </c>
      <c r="AH81" s="9">
        <f t="shared" si="177"/>
        <v>0</v>
      </c>
      <c r="AI81" s="9">
        <f t="shared" si="178"/>
        <v>0</v>
      </c>
      <c r="AJ81" s="9">
        <f t="shared" si="179"/>
        <v>0</v>
      </c>
      <c r="AK81" s="9">
        <f t="shared" si="180"/>
        <v>0</v>
      </c>
      <c r="AL81" s="9">
        <f t="shared" si="181"/>
        <v>0</v>
      </c>
      <c r="AM81" s="9">
        <f t="shared" si="182"/>
        <v>0</v>
      </c>
      <c r="AN81" s="9">
        <f t="shared" si="183"/>
        <v>0</v>
      </c>
      <c r="AO81" s="10">
        <f t="shared" si="184"/>
        <v>0</v>
      </c>
      <c r="AQ81" s="109">
        <v>7</v>
      </c>
      <c r="AR81" s="9" t="s">
        <v>74</v>
      </c>
      <c r="AT81" s="125"/>
      <c r="AU81" s="126"/>
      <c r="AV81" s="127"/>
      <c r="AW81" s="127"/>
      <c r="AX81" s="127"/>
      <c r="AY81" s="125"/>
      <c r="AZ81" s="126"/>
      <c r="BA81" s="127"/>
      <c r="BB81" s="127"/>
      <c r="BC81" s="127"/>
      <c r="BD81" s="125"/>
      <c r="BE81" s="126"/>
      <c r="BF81" s="127"/>
      <c r="BG81" s="127"/>
      <c r="BH81" s="127"/>
      <c r="BI81" s="125"/>
      <c r="BJ81" s="128"/>
      <c r="BK81" s="127"/>
      <c r="BL81" s="127"/>
      <c r="BM81" s="127"/>
      <c r="BN81" s="125"/>
      <c r="BO81" s="128"/>
      <c r="BP81" s="127"/>
      <c r="BQ81" s="127"/>
      <c r="BR81" s="127"/>
      <c r="BS81" s="125"/>
      <c r="BU81" s="10" t="e">
        <f>#REF!</f>
        <v>#REF!</v>
      </c>
    </row>
    <row r="82" spans="2:73" s="10" customFormat="1" ht="18" customHeight="1" x14ac:dyDescent="0.2">
      <c r="B82" s="149">
        <v>78</v>
      </c>
      <c r="C82" s="149">
        <v>7</v>
      </c>
      <c r="D82" s="150" t="s">
        <v>456</v>
      </c>
      <c r="E82" s="180" t="s">
        <v>75</v>
      </c>
      <c r="F82" s="153" t="s">
        <v>154</v>
      </c>
      <c r="G82" s="216"/>
      <c r="H82" s="217" t="s">
        <v>912</v>
      </c>
      <c r="I82" s="218">
        <v>1</v>
      </c>
      <c r="J82" s="219">
        <v>1</v>
      </c>
      <c r="L82" s="111"/>
      <c r="M82" s="107" t="str">
        <f t="shared" si="158"/>
        <v>_</v>
      </c>
      <c r="N82" s="107">
        <f>'Project types'!$W$6</f>
        <v>2050</v>
      </c>
      <c r="O82" s="108">
        <f>IF(G82=1,(H82-1)+'Project types'!N83,IF(G82=2,H82-1,9999))</f>
        <v>9999</v>
      </c>
      <c r="P82" s="9">
        <f t="shared" si="159"/>
        <v>0</v>
      </c>
      <c r="Q82" s="9">
        <f t="shared" si="160"/>
        <v>0</v>
      </c>
      <c r="R82" s="9">
        <f t="shared" si="161"/>
        <v>0</v>
      </c>
      <c r="S82" s="9">
        <f t="shared" si="162"/>
        <v>0</v>
      </c>
      <c r="T82" s="9">
        <f t="shared" si="163"/>
        <v>0</v>
      </c>
      <c r="U82" s="9">
        <f t="shared" si="164"/>
        <v>0</v>
      </c>
      <c r="V82" s="9">
        <f t="shared" si="165"/>
        <v>0</v>
      </c>
      <c r="W82" s="9">
        <f t="shared" si="166"/>
        <v>0</v>
      </c>
      <c r="X82" s="9">
        <f t="shared" si="167"/>
        <v>0</v>
      </c>
      <c r="Y82" s="9">
        <f t="shared" si="168"/>
        <v>0</v>
      </c>
      <c r="Z82" s="9">
        <f t="shared" si="169"/>
        <v>0</v>
      </c>
      <c r="AA82" s="9">
        <f t="shared" si="170"/>
        <v>0</v>
      </c>
      <c r="AB82" s="9">
        <f t="shared" si="171"/>
        <v>0</v>
      </c>
      <c r="AC82" s="9">
        <f t="shared" si="172"/>
        <v>0</v>
      </c>
      <c r="AD82" s="9">
        <f t="shared" si="173"/>
        <v>0</v>
      </c>
      <c r="AE82" s="9">
        <f t="shared" si="174"/>
        <v>0</v>
      </c>
      <c r="AF82" s="9">
        <f t="shared" si="175"/>
        <v>0</v>
      </c>
      <c r="AG82" s="9">
        <f t="shared" si="176"/>
        <v>0</v>
      </c>
      <c r="AH82" s="9">
        <f t="shared" si="177"/>
        <v>0</v>
      </c>
      <c r="AI82" s="9">
        <f t="shared" si="178"/>
        <v>0</v>
      </c>
      <c r="AJ82" s="9">
        <f t="shared" si="179"/>
        <v>0</v>
      </c>
      <c r="AK82" s="9">
        <f t="shared" si="180"/>
        <v>0</v>
      </c>
      <c r="AL82" s="9">
        <f t="shared" si="181"/>
        <v>0</v>
      </c>
      <c r="AM82" s="9">
        <f t="shared" si="182"/>
        <v>0</v>
      </c>
      <c r="AN82" s="9">
        <f t="shared" si="183"/>
        <v>0</v>
      </c>
      <c r="AO82" s="10">
        <f t="shared" si="184"/>
        <v>0</v>
      </c>
      <c r="AQ82" s="109">
        <v>7</v>
      </c>
      <c r="AR82" s="9" t="s">
        <v>75</v>
      </c>
      <c r="AT82" s="125"/>
      <c r="AU82" s="126"/>
      <c r="AV82" s="127"/>
      <c r="AW82" s="127"/>
      <c r="AX82" s="127"/>
      <c r="AY82" s="125"/>
      <c r="AZ82" s="126"/>
      <c r="BA82" s="127"/>
      <c r="BB82" s="127"/>
      <c r="BC82" s="127"/>
      <c r="BD82" s="125"/>
      <c r="BE82" s="126"/>
      <c r="BF82" s="127"/>
      <c r="BG82" s="127"/>
      <c r="BH82" s="127"/>
      <c r="BI82" s="125"/>
      <c r="BJ82" s="128"/>
      <c r="BK82" s="127"/>
      <c r="BL82" s="127"/>
      <c r="BM82" s="127"/>
      <c r="BN82" s="125"/>
      <c r="BO82" s="128"/>
      <c r="BP82" s="127"/>
      <c r="BQ82" s="127"/>
      <c r="BR82" s="127"/>
      <c r="BS82" s="125"/>
      <c r="BU82" s="10" t="e">
        <f>#REF!</f>
        <v>#REF!</v>
      </c>
    </row>
    <row r="83" spans="2:73" s="10" customFormat="1" ht="18" customHeight="1" x14ac:dyDescent="0.2">
      <c r="B83" s="149">
        <v>79</v>
      </c>
      <c r="C83" s="149">
        <v>7</v>
      </c>
      <c r="D83" s="150" t="s">
        <v>456</v>
      </c>
      <c r="E83" s="180" t="s">
        <v>76</v>
      </c>
      <c r="F83" s="153" t="s">
        <v>155</v>
      </c>
      <c r="G83" s="216"/>
      <c r="H83" s="217" t="s">
        <v>912</v>
      </c>
      <c r="I83" s="218">
        <v>1</v>
      </c>
      <c r="J83" s="219">
        <v>1</v>
      </c>
      <c r="L83" s="111"/>
      <c r="M83" s="107" t="str">
        <f t="shared" si="158"/>
        <v>_</v>
      </c>
      <c r="N83" s="107">
        <f>'Project types'!$W$6</f>
        <v>2050</v>
      </c>
      <c r="O83" s="108">
        <f>IF(G83=1,(H83-1)+'Project types'!N84,IF(G83=2,H83-1,9999))</f>
        <v>9999</v>
      </c>
      <c r="P83" s="9">
        <f t="shared" si="159"/>
        <v>0</v>
      </c>
      <c r="Q83" s="9">
        <f t="shared" si="160"/>
        <v>0</v>
      </c>
      <c r="R83" s="9">
        <f t="shared" si="161"/>
        <v>0</v>
      </c>
      <c r="S83" s="9">
        <f t="shared" si="162"/>
        <v>0</v>
      </c>
      <c r="T83" s="9">
        <f t="shared" si="163"/>
        <v>0</v>
      </c>
      <c r="U83" s="9">
        <f t="shared" si="164"/>
        <v>0</v>
      </c>
      <c r="V83" s="9">
        <f t="shared" si="165"/>
        <v>0</v>
      </c>
      <c r="W83" s="9">
        <f t="shared" si="166"/>
        <v>0</v>
      </c>
      <c r="X83" s="9">
        <f t="shared" si="167"/>
        <v>0</v>
      </c>
      <c r="Y83" s="9">
        <f t="shared" si="168"/>
        <v>0</v>
      </c>
      <c r="Z83" s="9">
        <f t="shared" si="169"/>
        <v>0</v>
      </c>
      <c r="AA83" s="9">
        <f t="shared" si="170"/>
        <v>0</v>
      </c>
      <c r="AB83" s="9">
        <f t="shared" si="171"/>
        <v>0</v>
      </c>
      <c r="AC83" s="9">
        <f t="shared" si="172"/>
        <v>0</v>
      </c>
      <c r="AD83" s="9">
        <f t="shared" si="173"/>
        <v>0</v>
      </c>
      <c r="AE83" s="9">
        <f t="shared" si="174"/>
        <v>0</v>
      </c>
      <c r="AF83" s="9">
        <f t="shared" si="175"/>
        <v>0</v>
      </c>
      <c r="AG83" s="9">
        <f t="shared" si="176"/>
        <v>0</v>
      </c>
      <c r="AH83" s="9">
        <f t="shared" si="177"/>
        <v>0</v>
      </c>
      <c r="AI83" s="9">
        <f t="shared" si="178"/>
        <v>0</v>
      </c>
      <c r="AJ83" s="9">
        <f t="shared" si="179"/>
        <v>0</v>
      </c>
      <c r="AK83" s="9">
        <f t="shared" si="180"/>
        <v>0</v>
      </c>
      <c r="AL83" s="9">
        <f t="shared" si="181"/>
        <v>0</v>
      </c>
      <c r="AM83" s="9">
        <f t="shared" si="182"/>
        <v>0</v>
      </c>
      <c r="AN83" s="9">
        <f t="shared" si="183"/>
        <v>0</v>
      </c>
      <c r="AO83" s="10">
        <f t="shared" si="184"/>
        <v>0</v>
      </c>
      <c r="AQ83" s="109">
        <v>7</v>
      </c>
      <c r="AR83" s="9" t="s">
        <v>76</v>
      </c>
      <c r="AT83" s="125"/>
      <c r="AU83" s="126"/>
      <c r="AV83" s="127"/>
      <c r="AW83" s="127"/>
      <c r="AX83" s="127"/>
      <c r="AY83" s="125"/>
      <c r="AZ83" s="126"/>
      <c r="BA83" s="127"/>
      <c r="BB83" s="127"/>
      <c r="BC83" s="127"/>
      <c r="BD83" s="125"/>
      <c r="BE83" s="126"/>
      <c r="BF83" s="127"/>
      <c r="BG83" s="127"/>
      <c r="BH83" s="127"/>
      <c r="BI83" s="125"/>
      <c r="BJ83" s="128"/>
      <c r="BK83" s="127"/>
      <c r="BL83" s="127"/>
      <c r="BM83" s="127"/>
      <c r="BN83" s="125"/>
      <c r="BO83" s="128"/>
      <c r="BP83" s="127"/>
      <c r="BQ83" s="127"/>
      <c r="BR83" s="127"/>
      <c r="BS83" s="125"/>
      <c r="BU83" s="10" t="e">
        <f>#REF!</f>
        <v>#REF!</v>
      </c>
    </row>
    <row r="84" spans="2:73" s="10" customFormat="1" ht="18" customHeight="1" x14ac:dyDescent="0.2">
      <c r="B84" s="149">
        <v>80</v>
      </c>
      <c r="C84" s="149">
        <v>7</v>
      </c>
      <c r="D84" s="150" t="s">
        <v>456</v>
      </c>
      <c r="E84" s="180" t="s">
        <v>77</v>
      </c>
      <c r="F84" s="153" t="s">
        <v>156</v>
      </c>
      <c r="G84" s="216"/>
      <c r="H84" s="217" t="s">
        <v>912</v>
      </c>
      <c r="I84" s="218">
        <v>1</v>
      </c>
      <c r="J84" s="219">
        <v>1</v>
      </c>
      <c r="L84" s="111"/>
      <c r="M84" s="107" t="str">
        <f t="shared" si="158"/>
        <v>_</v>
      </c>
      <c r="N84" s="107">
        <f>'Project types'!$W$6</f>
        <v>2050</v>
      </c>
      <c r="O84" s="108">
        <f>IF(G84=1,(H84-1)+'Project types'!N85,IF(G84=2,H84-1,9999))</f>
        <v>9999</v>
      </c>
      <c r="P84" s="9">
        <f t="shared" si="159"/>
        <v>0</v>
      </c>
      <c r="Q84" s="9">
        <f t="shared" si="160"/>
        <v>0</v>
      </c>
      <c r="R84" s="9">
        <f t="shared" si="161"/>
        <v>0</v>
      </c>
      <c r="S84" s="9">
        <f t="shared" si="162"/>
        <v>0</v>
      </c>
      <c r="T84" s="9">
        <f t="shared" si="163"/>
        <v>0</v>
      </c>
      <c r="U84" s="9">
        <f t="shared" si="164"/>
        <v>0</v>
      </c>
      <c r="V84" s="9">
        <f t="shared" si="165"/>
        <v>0</v>
      </c>
      <c r="W84" s="9">
        <f t="shared" si="166"/>
        <v>0</v>
      </c>
      <c r="X84" s="9">
        <f t="shared" si="167"/>
        <v>0</v>
      </c>
      <c r="Y84" s="9">
        <f t="shared" si="168"/>
        <v>0</v>
      </c>
      <c r="Z84" s="9">
        <f t="shared" si="169"/>
        <v>0</v>
      </c>
      <c r="AA84" s="9">
        <f t="shared" si="170"/>
        <v>0</v>
      </c>
      <c r="AB84" s="9">
        <f t="shared" si="171"/>
        <v>0</v>
      </c>
      <c r="AC84" s="9">
        <f t="shared" si="172"/>
        <v>0</v>
      </c>
      <c r="AD84" s="9">
        <f t="shared" si="173"/>
        <v>0</v>
      </c>
      <c r="AE84" s="9">
        <f t="shared" si="174"/>
        <v>0</v>
      </c>
      <c r="AF84" s="9">
        <f t="shared" si="175"/>
        <v>0</v>
      </c>
      <c r="AG84" s="9">
        <f t="shared" si="176"/>
        <v>0</v>
      </c>
      <c r="AH84" s="9">
        <f t="shared" si="177"/>
        <v>0</v>
      </c>
      <c r="AI84" s="9">
        <f t="shared" si="178"/>
        <v>0</v>
      </c>
      <c r="AJ84" s="9">
        <f t="shared" si="179"/>
        <v>0</v>
      </c>
      <c r="AK84" s="9">
        <f t="shared" si="180"/>
        <v>0</v>
      </c>
      <c r="AL84" s="9">
        <f t="shared" si="181"/>
        <v>0</v>
      </c>
      <c r="AM84" s="9">
        <f t="shared" si="182"/>
        <v>0</v>
      </c>
      <c r="AN84" s="9">
        <f t="shared" si="183"/>
        <v>0</v>
      </c>
      <c r="AO84" s="10">
        <f t="shared" si="184"/>
        <v>0</v>
      </c>
      <c r="AQ84" s="109">
        <v>7</v>
      </c>
      <c r="AR84" s="9" t="s">
        <v>77</v>
      </c>
      <c r="AT84" s="125"/>
      <c r="AU84" s="126"/>
      <c r="AV84" s="127"/>
      <c r="AW84" s="127"/>
      <c r="AX84" s="127"/>
      <c r="AY84" s="125"/>
      <c r="AZ84" s="126"/>
      <c r="BA84" s="127"/>
      <c r="BB84" s="127"/>
      <c r="BC84" s="127"/>
      <c r="BD84" s="125"/>
      <c r="BE84" s="126"/>
      <c r="BF84" s="127"/>
      <c r="BG84" s="127"/>
      <c r="BH84" s="127"/>
      <c r="BI84" s="125"/>
      <c r="BJ84" s="128"/>
      <c r="BK84" s="127"/>
      <c r="BL84" s="127"/>
      <c r="BM84" s="127"/>
      <c r="BN84" s="125"/>
      <c r="BO84" s="128"/>
      <c r="BP84" s="127"/>
      <c r="BQ84" s="127"/>
      <c r="BR84" s="127"/>
      <c r="BS84" s="125"/>
      <c r="BU84" s="10" t="e">
        <f>#REF!</f>
        <v>#REF!</v>
      </c>
    </row>
    <row r="85" spans="2:73" s="10" customFormat="1" ht="18" customHeight="1" thickBot="1" x14ac:dyDescent="0.25">
      <c r="B85" s="154">
        <v>81</v>
      </c>
      <c r="C85" s="154">
        <v>7</v>
      </c>
      <c r="D85" s="155" t="s">
        <v>456</v>
      </c>
      <c r="E85" s="181" t="s">
        <v>78</v>
      </c>
      <c r="F85" s="157" t="s">
        <v>118</v>
      </c>
      <c r="G85" s="220"/>
      <c r="H85" s="224" t="s">
        <v>912</v>
      </c>
      <c r="I85" s="222">
        <v>1</v>
      </c>
      <c r="J85" s="223">
        <v>1</v>
      </c>
      <c r="L85" s="111"/>
      <c r="M85" s="107" t="str">
        <f t="shared" si="158"/>
        <v>_</v>
      </c>
      <c r="N85" s="107">
        <f>'Project types'!$W$6</f>
        <v>2050</v>
      </c>
      <c r="O85" s="108">
        <f>IF(G85=1,(H85-1)+'Project types'!N86,IF(G85=2,H85-1,9999))</f>
        <v>9999</v>
      </c>
      <c r="P85" s="9">
        <f t="shared" si="159"/>
        <v>0</v>
      </c>
      <c r="Q85" s="9">
        <f t="shared" si="160"/>
        <v>0</v>
      </c>
      <c r="R85" s="9">
        <f t="shared" si="161"/>
        <v>0</v>
      </c>
      <c r="S85" s="9">
        <f t="shared" si="162"/>
        <v>0</v>
      </c>
      <c r="T85" s="9">
        <f t="shared" si="163"/>
        <v>0</v>
      </c>
      <c r="U85" s="9">
        <f t="shared" si="164"/>
        <v>0</v>
      </c>
      <c r="V85" s="9">
        <f t="shared" si="165"/>
        <v>0</v>
      </c>
      <c r="W85" s="9">
        <f t="shared" si="166"/>
        <v>0</v>
      </c>
      <c r="X85" s="9">
        <f t="shared" si="167"/>
        <v>0</v>
      </c>
      <c r="Y85" s="9">
        <f t="shared" si="168"/>
        <v>0</v>
      </c>
      <c r="Z85" s="9">
        <f t="shared" si="169"/>
        <v>0</v>
      </c>
      <c r="AA85" s="9">
        <f t="shared" si="170"/>
        <v>0</v>
      </c>
      <c r="AB85" s="9">
        <f t="shared" si="171"/>
        <v>0</v>
      </c>
      <c r="AC85" s="9">
        <f t="shared" si="172"/>
        <v>0</v>
      </c>
      <c r="AD85" s="9">
        <f t="shared" si="173"/>
        <v>0</v>
      </c>
      <c r="AE85" s="9">
        <f t="shared" si="174"/>
        <v>0</v>
      </c>
      <c r="AF85" s="9">
        <f t="shared" si="175"/>
        <v>0</v>
      </c>
      <c r="AG85" s="9">
        <f t="shared" si="176"/>
        <v>0</v>
      </c>
      <c r="AH85" s="9">
        <f t="shared" si="177"/>
        <v>0</v>
      </c>
      <c r="AI85" s="9">
        <f t="shared" si="178"/>
        <v>0</v>
      </c>
      <c r="AJ85" s="9">
        <f t="shared" si="179"/>
        <v>0</v>
      </c>
      <c r="AK85" s="9">
        <f t="shared" si="180"/>
        <v>0</v>
      </c>
      <c r="AL85" s="9">
        <f t="shared" si="181"/>
        <v>0</v>
      </c>
      <c r="AM85" s="9">
        <f t="shared" si="182"/>
        <v>0</v>
      </c>
      <c r="AN85" s="9">
        <f t="shared" si="183"/>
        <v>0</v>
      </c>
      <c r="AO85" s="10">
        <f t="shared" si="184"/>
        <v>0</v>
      </c>
      <c r="AQ85" s="109">
        <v>7</v>
      </c>
      <c r="AR85" s="9" t="s">
        <v>78</v>
      </c>
      <c r="AT85" s="129"/>
      <c r="AU85" s="130"/>
      <c r="AV85" s="131"/>
      <c r="AW85" s="131"/>
      <c r="AX85" s="131"/>
      <c r="AY85" s="129"/>
      <c r="AZ85" s="130"/>
      <c r="BA85" s="131"/>
      <c r="BB85" s="131"/>
      <c r="BC85" s="131"/>
      <c r="BD85" s="129"/>
      <c r="BE85" s="130"/>
      <c r="BF85" s="131"/>
      <c r="BG85" s="131"/>
      <c r="BH85" s="131"/>
      <c r="BI85" s="129"/>
      <c r="BJ85" s="132"/>
      <c r="BK85" s="131"/>
      <c r="BL85" s="131"/>
      <c r="BM85" s="131"/>
      <c r="BN85" s="129"/>
      <c r="BO85" s="132"/>
      <c r="BP85" s="131"/>
      <c r="BQ85" s="131"/>
      <c r="BR85" s="131"/>
      <c r="BS85" s="129"/>
      <c r="BU85" s="10" t="e">
        <f>#REF!</f>
        <v>#REF!</v>
      </c>
    </row>
    <row r="86" spans="2:73" s="10" customFormat="1" ht="18" customHeight="1" x14ac:dyDescent="0.2">
      <c r="B86" s="145">
        <v>82</v>
      </c>
      <c r="C86" s="145">
        <v>8</v>
      </c>
      <c r="D86" s="146" t="s">
        <v>457</v>
      </c>
      <c r="E86" s="182" t="s">
        <v>79</v>
      </c>
      <c r="F86" s="159" t="s">
        <v>471</v>
      </c>
      <c r="G86" s="216"/>
      <c r="H86" s="217" t="s">
        <v>912</v>
      </c>
      <c r="I86" s="218">
        <v>1</v>
      </c>
      <c r="J86" s="219">
        <v>1</v>
      </c>
      <c r="L86" s="111"/>
      <c r="M86" s="107" t="str">
        <f t="shared" si="158"/>
        <v>_</v>
      </c>
      <c r="N86" s="107">
        <f>'Project types'!$W$6</f>
        <v>2050</v>
      </c>
      <c r="O86" s="108">
        <f>IF(G86=1,(H86-1)+'Project types'!N87,IF(G86=2,H86-1,9999))</f>
        <v>9999</v>
      </c>
      <c r="P86" s="9">
        <f t="shared" ref="P86:P101" si="185">_xlfn.IFS(AND(AND($P$4&gt;=$H86,$P$4&lt;=$O86)),16,AND(AND($P$4&gt;=$M86,$P$4&lt;=$N86)),15,AND(OR($P$4&lt;$M86,$P$4&gt;$N86)),0)</f>
        <v>0</v>
      </c>
      <c r="Q86" s="9">
        <f t="shared" ref="Q86:Q101" si="186">_xlfn.IFS(AND(AND($Q$4&gt;=$H86,$Q$4&lt;=$O86)),16,AND(AND($Q$4&gt;=$M86,$Q$4&lt;=$N86)),15,AND(OR($Q$4&lt;$M86,$Q$4&gt;$N86)),0)</f>
        <v>0</v>
      </c>
      <c r="R86" s="9">
        <f t="shared" ref="R86:R101" si="187">_xlfn.IFS(AND(AND($R$4&gt;=$H86,$R$4&lt;=$O86)),16,AND(AND($R$4&gt;=$M86,$R$4&lt;=$N86)),15,AND(OR($R$4&lt;$M86,$R$4&gt;$N86)),0)</f>
        <v>0</v>
      </c>
      <c r="S86" s="9">
        <f t="shared" ref="S86:S101" si="188">_xlfn.IFS(AND(AND($S$4&gt;=$H86,$S$4&lt;=$O86)),16,AND(AND($S$4&gt;=$M86,$S$4&lt;=$N86)),15,AND(OR($S$4&lt;$M86,$S$4&gt;$N86)),0)</f>
        <v>0</v>
      </c>
      <c r="T86" s="9">
        <f t="shared" ref="T86:T101" si="189">_xlfn.IFS(AND(AND($T$4&gt;=$H86,$T$4&lt;=$O86)),16,AND(AND($T$4&gt;=$M86,$T$4&lt;=$N86)),15,AND(OR($T$4&lt;$M86,$T$4&gt;$N86)),0)</f>
        <v>0</v>
      </c>
      <c r="U86" s="9">
        <f t="shared" ref="U86:U101" si="190">_xlfn.IFS(AND(AND($U$4&gt;=$H86,$U$4&lt;=$O86)),16,AND(AND($U$4&gt;=$M86,$U$4&lt;=$N86)),15,AND(OR($U$4&lt;$M86,$U$4&gt;$N86)),0)</f>
        <v>0</v>
      </c>
      <c r="V86" s="9">
        <f t="shared" ref="V86:V101" si="191">_xlfn.IFS(AND(AND($V$4&gt;=$H86,$V$4&lt;=$O86)),16,AND(AND($V$4&gt;=$M86,$V$4&lt;=$N86)),15,AND(OR($V$4&lt;$M86,$V$4&gt;$N86)),0)</f>
        <v>0</v>
      </c>
      <c r="W86" s="9">
        <f t="shared" ref="W86:W101" si="192">_xlfn.IFS(AND(AND($W$4&gt;=$H86,$W$4&lt;=$O86)),16,AND(AND($W$4&gt;=$M86,$W$4&lt;=$N86)),15,AND(OR($W$4&lt;$M86,$W$4&gt;$N86)),0)</f>
        <v>0</v>
      </c>
      <c r="X86" s="9">
        <f t="shared" ref="X86:X101" si="193">_xlfn.IFS(AND(AND($X$4&gt;=$H86,$X$4&lt;=$O86)),16,AND(AND($X$4&gt;=$M86,$X$4&lt;=$N86)),15,AND(OR($X$4&lt;$M86,$X$4&gt;$N86)),0)</f>
        <v>0</v>
      </c>
      <c r="Y86" s="9">
        <f t="shared" ref="Y86:Y101" si="194">_xlfn.IFS(AND(AND($Y$4&gt;=$H86,$Y$4&lt;=$O86)),16,AND(AND($Y$4&gt;=$M86,$Y$4&lt;=$N86)),15,AND(OR($Y$4&lt;$M86,$Y$4&gt;$N86)),0)</f>
        <v>0</v>
      </c>
      <c r="Z86" s="9">
        <f t="shared" ref="Z86:Z101" si="195">_xlfn.IFS(AND(AND($Z$4&gt;=$H86,$Z$4&lt;=$O86)),16,AND(AND($Z$4&gt;=$M86,$Z$4&lt;=$N86)),15,AND(OR($Z$4&lt;$M86,$Z$4&gt;$N86)),0)</f>
        <v>0</v>
      </c>
      <c r="AA86" s="9">
        <f t="shared" ref="AA86:AA101" si="196">_xlfn.IFS(AND(AND($AA$4&gt;=$H86,$AA$4&lt;=$O86)),16,AND(AND($AA$4&gt;=$M86,$AA$4&lt;=$N86)),15,AND(OR($AA$4&lt;$M86,$AA$4&gt;$N86)),0)</f>
        <v>0</v>
      </c>
      <c r="AB86" s="9">
        <f t="shared" ref="AB86:AB101" si="197">_xlfn.IFS(AND(AND($AB$4&gt;=$H86,$AB$4&lt;=$O86)),16,AND(AND($AB$4&gt;=$M86,$AB$4&lt;=$N86)),15,AND(OR($AB$4&lt;$M86,$AB$4&gt;$N86)),0)</f>
        <v>0</v>
      </c>
      <c r="AC86" s="9">
        <f t="shared" ref="AC86:AC101" si="198">_xlfn.IFS(AND(AND($AC$4&gt;=$H86,$AC$4&lt;=$O86)),16,AND(AND($AC$4&gt;=$M86,$AC$4&lt;=$N86)),15,AND(OR($AC$4&lt;$M86,$AC$4&gt;$N86)),0)</f>
        <v>0</v>
      </c>
      <c r="AD86" s="9">
        <f t="shared" ref="AD86:AD101" si="199">_xlfn.IFS(AND(AND($AD$4&gt;=$H86,$AD$4&lt;=$O86)),16,AND(AND($AD$4&gt;=$M86,$AD$4&lt;=$N86)),15,AND(OR($AD$4&lt;$M86,$AD$4&gt;$N86)),0)</f>
        <v>0</v>
      </c>
      <c r="AE86" s="9">
        <f t="shared" ref="AE86:AE101" si="200">_xlfn.IFS(AND(AND($AE$4&gt;=$H86,$AE$4&lt;=$O86)),16,AND(AND($AE$4&gt;=$M86,$AE$4&lt;=$N86)),15,AND(OR($AE$4&lt;$M86,$AE$4&gt;$N86)),0)</f>
        <v>0</v>
      </c>
      <c r="AF86" s="9">
        <f t="shared" ref="AF86:AF101" si="201">_xlfn.IFS(AND(AND($AF$4&gt;=$H86,$AF$4&lt;=$O86)),16,AND(AND($AF$4&gt;=$M86,$AF$4&lt;=$N86)),15,AND(OR($AF$4&lt;$M86,$AF$4&gt;$N86)),0)</f>
        <v>0</v>
      </c>
      <c r="AG86" s="9">
        <f t="shared" ref="AG86:AG101" si="202">_xlfn.IFS(AND(AND($AG$4&gt;=$H86,$AG$4&lt;=$O86)),16,AND(AND($AG$4&gt;=$M86,$AG$4&lt;=$N86)),15,AND(OR($AG$4&lt;$M86,$AG$4&gt;$N86)),0)</f>
        <v>0</v>
      </c>
      <c r="AH86" s="9">
        <f t="shared" ref="AH86:AH101" si="203">_xlfn.IFS(AND(AND($AH$4&gt;=$H86,$AH$4&lt;=$O86)),16,AND(AND($AH$4&gt;=$M86,$AH$4&lt;=$N86)),15,AND(OR($AH$4&lt;$M86,$AH$4&gt;$N86)),0)</f>
        <v>0</v>
      </c>
      <c r="AI86" s="9">
        <f t="shared" ref="AI86:AI101" si="204">_xlfn.IFS(AND(AND($AI$4&gt;=$H86,$AI$4&lt;=$O86)),16,AND(AND($AI$4&gt;=$M86,$AI$4&lt;=$N86)),15,AND(OR($AI$4&lt;$M86,$AI$4&gt;$N86)),0)</f>
        <v>0</v>
      </c>
      <c r="AJ86" s="9">
        <f t="shared" ref="AJ86:AJ101" si="205">_xlfn.IFS(AND(AND($AJ$4&gt;=$H86,$AJ$4&lt;=$O86)),16,AND(AND($AJ$4&gt;=$M86,$AJ$4&lt;=$N86)),15,AND(OR($AJ$4&lt;$M86,$AJ$4&gt;$N86)),0)</f>
        <v>0</v>
      </c>
      <c r="AK86" s="9">
        <f t="shared" ref="AK86:AK101" si="206">_xlfn.IFS(AND(AND($AK$4&gt;=$H86,$AK$4&lt;=$O86)),16,AND(AND($AK$4&gt;=$M86,$AK$4&lt;=$N86)),15,AND(OR($AK$4&lt;$M86,$AK$4&gt;$N86)),0)</f>
        <v>0</v>
      </c>
      <c r="AL86" s="9">
        <f t="shared" ref="AL86:AL101" si="207">_xlfn.IFS(AND(AND($AL$4&gt;=$H86,$AL$4&lt;=$O86)),16,AND(AND($AL$4&gt;=$M86,$AL$4&lt;=$N86)),15,AND(OR($AL$4&lt;$M86,$AL$4&gt;$N86)),0)</f>
        <v>0</v>
      </c>
      <c r="AM86" s="9">
        <f t="shared" ref="AM86:AM101" si="208">_xlfn.IFS(AND(AND($AM$4&gt;=$H86,$AM$4&lt;=$O86)),16,AND(AND($AM$4&gt;=$M86,$AM$4&lt;=$N86)),15,AND(OR($AM$4&lt;$M86,$AM$4&gt;$N86)),0)</f>
        <v>0</v>
      </c>
      <c r="AN86" s="9">
        <f t="shared" ref="AN86:AN101" si="209">_xlfn.IFS(AND(AND($AN$4&gt;=$H86,$AN$4&lt;=$O86)),16,AND(AND($AN$4&gt;=$M86,$AN$4&lt;=$N86)),15,AND(OR($AN$4&lt;$M86,$AN$4&gt;$N86)),0)</f>
        <v>0</v>
      </c>
      <c r="AO86" s="10">
        <f t="shared" ref="AO86:AO101" si="210">_xlfn.IFS(AND(AND($AO$4&gt;=$H86,$AO$4&lt;=$O86)),16,AND(AND($AO$4&gt;=$M86,$AO$4&lt;=$N86)),15,AND(OR($AO$4&lt;$M86,$AO$4&gt;$N86)),0)</f>
        <v>0</v>
      </c>
      <c r="AQ86" s="109">
        <v>8</v>
      </c>
      <c r="AR86" s="9" t="s">
        <v>79</v>
      </c>
      <c r="AT86" s="133"/>
      <c r="AU86" s="134"/>
      <c r="AV86" s="135"/>
      <c r="AW86" s="135"/>
      <c r="AX86" s="135"/>
      <c r="AY86" s="133"/>
      <c r="AZ86" s="134"/>
      <c r="BA86" s="135"/>
      <c r="BB86" s="135"/>
      <c r="BC86" s="135"/>
      <c r="BD86" s="133"/>
      <c r="BE86" s="134"/>
      <c r="BF86" s="135"/>
      <c r="BG86" s="135"/>
      <c r="BH86" s="135"/>
      <c r="BI86" s="133"/>
      <c r="BJ86" s="136"/>
      <c r="BK86" s="135"/>
      <c r="BL86" s="135"/>
      <c r="BM86" s="135"/>
      <c r="BN86" s="133"/>
      <c r="BO86" s="136"/>
      <c r="BP86" s="135"/>
      <c r="BQ86" s="135"/>
      <c r="BR86" s="135"/>
      <c r="BS86" s="133"/>
      <c r="BU86" s="10" t="e">
        <f>#REF!</f>
        <v>#REF!</v>
      </c>
    </row>
    <row r="87" spans="2:73" s="10" customFormat="1" ht="18" customHeight="1" x14ac:dyDescent="0.2">
      <c r="B87" s="149">
        <v>83</v>
      </c>
      <c r="C87" s="149">
        <v>8</v>
      </c>
      <c r="D87" s="150" t="s">
        <v>457</v>
      </c>
      <c r="E87" s="183" t="s">
        <v>80</v>
      </c>
      <c r="F87" s="153" t="s">
        <v>472</v>
      </c>
      <c r="G87" s="216"/>
      <c r="H87" s="217" t="s">
        <v>912</v>
      </c>
      <c r="I87" s="218">
        <v>1</v>
      </c>
      <c r="J87" s="219">
        <v>1</v>
      </c>
      <c r="L87" s="111"/>
      <c r="M87" s="107" t="str">
        <f t="shared" si="158"/>
        <v>_</v>
      </c>
      <c r="N87" s="107">
        <f>'Project types'!$W$6</f>
        <v>2050</v>
      </c>
      <c r="O87" s="108">
        <f>IF(G87=1,(H87-1)+'Project types'!N88,IF(G87=2,H87-1,9999))</f>
        <v>9999</v>
      </c>
      <c r="P87" s="9">
        <f t="shared" si="185"/>
        <v>0</v>
      </c>
      <c r="Q87" s="9">
        <f t="shared" si="186"/>
        <v>0</v>
      </c>
      <c r="R87" s="9">
        <f t="shared" si="187"/>
        <v>0</v>
      </c>
      <c r="S87" s="9">
        <f t="shared" si="188"/>
        <v>0</v>
      </c>
      <c r="T87" s="9">
        <f t="shared" si="189"/>
        <v>0</v>
      </c>
      <c r="U87" s="9">
        <f t="shared" si="190"/>
        <v>0</v>
      </c>
      <c r="V87" s="9">
        <f t="shared" si="191"/>
        <v>0</v>
      </c>
      <c r="W87" s="9">
        <f t="shared" si="192"/>
        <v>0</v>
      </c>
      <c r="X87" s="9">
        <f t="shared" si="193"/>
        <v>0</v>
      </c>
      <c r="Y87" s="9">
        <f t="shared" si="194"/>
        <v>0</v>
      </c>
      <c r="Z87" s="9">
        <f t="shared" si="195"/>
        <v>0</v>
      </c>
      <c r="AA87" s="9">
        <f t="shared" si="196"/>
        <v>0</v>
      </c>
      <c r="AB87" s="9">
        <f t="shared" si="197"/>
        <v>0</v>
      </c>
      <c r="AC87" s="9">
        <f t="shared" si="198"/>
        <v>0</v>
      </c>
      <c r="AD87" s="9">
        <f t="shared" si="199"/>
        <v>0</v>
      </c>
      <c r="AE87" s="9">
        <f t="shared" si="200"/>
        <v>0</v>
      </c>
      <c r="AF87" s="9">
        <f t="shared" si="201"/>
        <v>0</v>
      </c>
      <c r="AG87" s="9">
        <f t="shared" si="202"/>
        <v>0</v>
      </c>
      <c r="AH87" s="9">
        <f t="shared" si="203"/>
        <v>0</v>
      </c>
      <c r="AI87" s="9">
        <f t="shared" si="204"/>
        <v>0</v>
      </c>
      <c r="AJ87" s="9">
        <f t="shared" si="205"/>
        <v>0</v>
      </c>
      <c r="AK87" s="9">
        <f t="shared" si="206"/>
        <v>0</v>
      </c>
      <c r="AL87" s="9">
        <f t="shared" si="207"/>
        <v>0</v>
      </c>
      <c r="AM87" s="9">
        <f t="shared" si="208"/>
        <v>0</v>
      </c>
      <c r="AN87" s="9">
        <f t="shared" si="209"/>
        <v>0</v>
      </c>
      <c r="AO87" s="10">
        <f t="shared" si="210"/>
        <v>0</v>
      </c>
      <c r="AQ87" s="109">
        <v>8</v>
      </c>
      <c r="AR87" s="9" t="s">
        <v>80</v>
      </c>
      <c r="AT87" s="125"/>
      <c r="AU87" s="126"/>
      <c r="AV87" s="127"/>
      <c r="AW87" s="127"/>
      <c r="AX87" s="127"/>
      <c r="AY87" s="125"/>
      <c r="AZ87" s="126"/>
      <c r="BA87" s="127"/>
      <c r="BB87" s="127"/>
      <c r="BC87" s="127"/>
      <c r="BD87" s="125"/>
      <c r="BE87" s="126"/>
      <c r="BF87" s="127"/>
      <c r="BG87" s="127"/>
      <c r="BH87" s="127"/>
      <c r="BI87" s="125"/>
      <c r="BJ87" s="128"/>
      <c r="BK87" s="127"/>
      <c r="BL87" s="127"/>
      <c r="BM87" s="127"/>
      <c r="BN87" s="125"/>
      <c r="BO87" s="128"/>
      <c r="BP87" s="127"/>
      <c r="BQ87" s="127"/>
      <c r="BR87" s="127"/>
      <c r="BS87" s="125"/>
      <c r="BU87" s="10" t="e">
        <f>#REF!</f>
        <v>#REF!</v>
      </c>
    </row>
    <row r="88" spans="2:73" s="10" customFormat="1" ht="18" customHeight="1" x14ac:dyDescent="0.2">
      <c r="B88" s="149">
        <v>84</v>
      </c>
      <c r="C88" s="149">
        <v>8</v>
      </c>
      <c r="D88" s="150" t="s">
        <v>457</v>
      </c>
      <c r="E88" s="183" t="s">
        <v>81</v>
      </c>
      <c r="F88" s="153" t="s">
        <v>473</v>
      </c>
      <c r="G88" s="216"/>
      <c r="H88" s="217" t="s">
        <v>912</v>
      </c>
      <c r="I88" s="218">
        <v>1</v>
      </c>
      <c r="J88" s="219">
        <v>1</v>
      </c>
      <c r="L88" s="111"/>
      <c r="M88" s="107" t="str">
        <f t="shared" si="158"/>
        <v>_</v>
      </c>
      <c r="N88" s="107">
        <f>'Project types'!$W$6</f>
        <v>2050</v>
      </c>
      <c r="O88" s="108">
        <f>IF(G88=1,(H88-1)+'Project types'!N89,IF(G88=2,H88-1,9999))</f>
        <v>9999</v>
      </c>
      <c r="P88" s="9">
        <f t="shared" si="185"/>
        <v>0</v>
      </c>
      <c r="Q88" s="9">
        <f t="shared" si="186"/>
        <v>0</v>
      </c>
      <c r="R88" s="9">
        <f t="shared" si="187"/>
        <v>0</v>
      </c>
      <c r="S88" s="9">
        <f t="shared" si="188"/>
        <v>0</v>
      </c>
      <c r="T88" s="9">
        <f t="shared" si="189"/>
        <v>0</v>
      </c>
      <c r="U88" s="9">
        <f t="shared" si="190"/>
        <v>0</v>
      </c>
      <c r="V88" s="9">
        <f t="shared" si="191"/>
        <v>0</v>
      </c>
      <c r="W88" s="9">
        <f t="shared" si="192"/>
        <v>0</v>
      </c>
      <c r="X88" s="9">
        <f t="shared" si="193"/>
        <v>0</v>
      </c>
      <c r="Y88" s="9">
        <f t="shared" si="194"/>
        <v>0</v>
      </c>
      <c r="Z88" s="9">
        <f t="shared" si="195"/>
        <v>0</v>
      </c>
      <c r="AA88" s="9">
        <f t="shared" si="196"/>
        <v>0</v>
      </c>
      <c r="AB88" s="9">
        <f t="shared" si="197"/>
        <v>0</v>
      </c>
      <c r="AC88" s="9">
        <f t="shared" si="198"/>
        <v>0</v>
      </c>
      <c r="AD88" s="9">
        <f t="shared" si="199"/>
        <v>0</v>
      </c>
      <c r="AE88" s="9">
        <f t="shared" si="200"/>
        <v>0</v>
      </c>
      <c r="AF88" s="9">
        <f t="shared" si="201"/>
        <v>0</v>
      </c>
      <c r="AG88" s="9">
        <f t="shared" si="202"/>
        <v>0</v>
      </c>
      <c r="AH88" s="9">
        <f t="shared" si="203"/>
        <v>0</v>
      </c>
      <c r="AI88" s="9">
        <f t="shared" si="204"/>
        <v>0</v>
      </c>
      <c r="AJ88" s="9">
        <f t="shared" si="205"/>
        <v>0</v>
      </c>
      <c r="AK88" s="9">
        <f t="shared" si="206"/>
        <v>0</v>
      </c>
      <c r="AL88" s="9">
        <f t="shared" si="207"/>
        <v>0</v>
      </c>
      <c r="AM88" s="9">
        <f t="shared" si="208"/>
        <v>0</v>
      </c>
      <c r="AN88" s="9">
        <f t="shared" si="209"/>
        <v>0</v>
      </c>
      <c r="AO88" s="10">
        <f t="shared" si="210"/>
        <v>0</v>
      </c>
      <c r="AQ88" s="109">
        <v>8</v>
      </c>
      <c r="AR88" s="9" t="s">
        <v>81</v>
      </c>
      <c r="AT88" s="125"/>
      <c r="AU88" s="126"/>
      <c r="AV88" s="127"/>
      <c r="AW88" s="127"/>
      <c r="AX88" s="127"/>
      <c r="AY88" s="125"/>
      <c r="AZ88" s="126"/>
      <c r="BA88" s="127"/>
      <c r="BB88" s="127"/>
      <c r="BC88" s="127"/>
      <c r="BD88" s="125"/>
      <c r="BE88" s="126"/>
      <c r="BF88" s="127"/>
      <c r="BG88" s="127"/>
      <c r="BH88" s="127"/>
      <c r="BI88" s="125"/>
      <c r="BJ88" s="128"/>
      <c r="BK88" s="127"/>
      <c r="BL88" s="127"/>
      <c r="BM88" s="127"/>
      <c r="BN88" s="125"/>
      <c r="BO88" s="128"/>
      <c r="BP88" s="127"/>
      <c r="BQ88" s="127"/>
      <c r="BR88" s="127"/>
      <c r="BS88" s="125"/>
      <c r="BU88" s="10" t="e">
        <f>#REF!</f>
        <v>#REF!</v>
      </c>
    </row>
    <row r="89" spans="2:73" s="10" customFormat="1" ht="18" customHeight="1" x14ac:dyDescent="0.2">
      <c r="B89" s="149">
        <v>85</v>
      </c>
      <c r="C89" s="149">
        <v>8</v>
      </c>
      <c r="D89" s="150" t="s">
        <v>457</v>
      </c>
      <c r="E89" s="183" t="s">
        <v>82</v>
      </c>
      <c r="F89" s="153" t="s">
        <v>474</v>
      </c>
      <c r="G89" s="216"/>
      <c r="H89" s="217" t="s">
        <v>912</v>
      </c>
      <c r="I89" s="218">
        <v>1</v>
      </c>
      <c r="J89" s="219">
        <v>1</v>
      </c>
      <c r="L89" s="111"/>
      <c r="M89" s="107" t="str">
        <f t="shared" si="158"/>
        <v>_</v>
      </c>
      <c r="N89" s="107">
        <f>'Project types'!$W$6</f>
        <v>2050</v>
      </c>
      <c r="O89" s="108">
        <f>IF(G89=1,(H89-1)+'Project types'!N90,IF(G89=2,H89-1,9999))</f>
        <v>9999</v>
      </c>
      <c r="P89" s="9">
        <f t="shared" si="185"/>
        <v>0</v>
      </c>
      <c r="Q89" s="9">
        <f t="shared" si="186"/>
        <v>0</v>
      </c>
      <c r="R89" s="9">
        <f t="shared" si="187"/>
        <v>0</v>
      </c>
      <c r="S89" s="9">
        <f t="shared" si="188"/>
        <v>0</v>
      </c>
      <c r="T89" s="9">
        <f t="shared" si="189"/>
        <v>0</v>
      </c>
      <c r="U89" s="9">
        <f t="shared" si="190"/>
        <v>0</v>
      </c>
      <c r="V89" s="9">
        <f t="shared" si="191"/>
        <v>0</v>
      </c>
      <c r="W89" s="9">
        <f t="shared" si="192"/>
        <v>0</v>
      </c>
      <c r="X89" s="9">
        <f t="shared" si="193"/>
        <v>0</v>
      </c>
      <c r="Y89" s="9">
        <f t="shared" si="194"/>
        <v>0</v>
      </c>
      <c r="Z89" s="9">
        <f t="shared" si="195"/>
        <v>0</v>
      </c>
      <c r="AA89" s="9">
        <f t="shared" si="196"/>
        <v>0</v>
      </c>
      <c r="AB89" s="9">
        <f t="shared" si="197"/>
        <v>0</v>
      </c>
      <c r="AC89" s="9">
        <f t="shared" si="198"/>
        <v>0</v>
      </c>
      <c r="AD89" s="9">
        <f t="shared" si="199"/>
        <v>0</v>
      </c>
      <c r="AE89" s="9">
        <f t="shared" si="200"/>
        <v>0</v>
      </c>
      <c r="AF89" s="9">
        <f t="shared" si="201"/>
        <v>0</v>
      </c>
      <c r="AG89" s="9">
        <f t="shared" si="202"/>
        <v>0</v>
      </c>
      <c r="AH89" s="9">
        <f t="shared" si="203"/>
        <v>0</v>
      </c>
      <c r="AI89" s="9">
        <f t="shared" si="204"/>
        <v>0</v>
      </c>
      <c r="AJ89" s="9">
        <f t="shared" si="205"/>
        <v>0</v>
      </c>
      <c r="AK89" s="9">
        <f t="shared" si="206"/>
        <v>0</v>
      </c>
      <c r="AL89" s="9">
        <f t="shared" si="207"/>
        <v>0</v>
      </c>
      <c r="AM89" s="9">
        <f t="shared" si="208"/>
        <v>0</v>
      </c>
      <c r="AN89" s="9">
        <f t="shared" si="209"/>
        <v>0</v>
      </c>
      <c r="AO89" s="10">
        <f t="shared" si="210"/>
        <v>0</v>
      </c>
      <c r="AQ89" s="109">
        <v>8</v>
      </c>
      <c r="AR89" s="9" t="s">
        <v>82</v>
      </c>
      <c r="AT89" s="125"/>
      <c r="AU89" s="126"/>
      <c r="AV89" s="127"/>
      <c r="AW89" s="127"/>
      <c r="AX89" s="127"/>
      <c r="AY89" s="125"/>
      <c r="AZ89" s="126"/>
      <c r="BA89" s="127"/>
      <c r="BB89" s="127"/>
      <c r="BC89" s="127"/>
      <c r="BD89" s="125"/>
      <c r="BE89" s="126"/>
      <c r="BF89" s="127"/>
      <c r="BG89" s="127"/>
      <c r="BH89" s="127"/>
      <c r="BI89" s="125"/>
      <c r="BJ89" s="128"/>
      <c r="BK89" s="127"/>
      <c r="BL89" s="127"/>
      <c r="BM89" s="127"/>
      <c r="BN89" s="125"/>
      <c r="BO89" s="128"/>
      <c r="BP89" s="127"/>
      <c r="BQ89" s="127"/>
      <c r="BR89" s="127"/>
      <c r="BS89" s="125"/>
      <c r="BU89" s="10" t="e">
        <f>#REF!</f>
        <v>#REF!</v>
      </c>
    </row>
    <row r="90" spans="2:73" s="10" customFormat="1" ht="18" customHeight="1" x14ac:dyDescent="0.2">
      <c r="B90" s="149">
        <v>86</v>
      </c>
      <c r="C90" s="149">
        <v>8</v>
      </c>
      <c r="D90" s="150" t="s">
        <v>457</v>
      </c>
      <c r="E90" s="183" t="s">
        <v>83</v>
      </c>
      <c r="F90" s="153" t="s">
        <v>475</v>
      </c>
      <c r="G90" s="216"/>
      <c r="H90" s="217" t="s">
        <v>912</v>
      </c>
      <c r="I90" s="218">
        <v>1</v>
      </c>
      <c r="J90" s="219">
        <v>1</v>
      </c>
      <c r="L90" s="111"/>
      <c r="M90" s="107" t="str">
        <f t="shared" si="158"/>
        <v>_</v>
      </c>
      <c r="N90" s="107">
        <f>'Project types'!$W$6</f>
        <v>2050</v>
      </c>
      <c r="O90" s="108">
        <f>IF(G90=1,(H90-1)+'Project types'!N91,IF(G90=2,H90-1,9999))</f>
        <v>9999</v>
      </c>
      <c r="P90" s="9">
        <f t="shared" si="185"/>
        <v>0</v>
      </c>
      <c r="Q90" s="9">
        <f t="shared" si="186"/>
        <v>0</v>
      </c>
      <c r="R90" s="9">
        <f t="shared" si="187"/>
        <v>0</v>
      </c>
      <c r="S90" s="9">
        <f t="shared" si="188"/>
        <v>0</v>
      </c>
      <c r="T90" s="9">
        <f t="shared" si="189"/>
        <v>0</v>
      </c>
      <c r="U90" s="9">
        <f t="shared" si="190"/>
        <v>0</v>
      </c>
      <c r="V90" s="9">
        <f t="shared" si="191"/>
        <v>0</v>
      </c>
      <c r="W90" s="9">
        <f t="shared" si="192"/>
        <v>0</v>
      </c>
      <c r="X90" s="9">
        <f t="shared" si="193"/>
        <v>0</v>
      </c>
      <c r="Y90" s="9">
        <f t="shared" si="194"/>
        <v>0</v>
      </c>
      <c r="Z90" s="9">
        <f t="shared" si="195"/>
        <v>0</v>
      </c>
      <c r="AA90" s="9">
        <f t="shared" si="196"/>
        <v>0</v>
      </c>
      <c r="AB90" s="9">
        <f t="shared" si="197"/>
        <v>0</v>
      </c>
      <c r="AC90" s="9">
        <f t="shared" si="198"/>
        <v>0</v>
      </c>
      <c r="AD90" s="9">
        <f t="shared" si="199"/>
        <v>0</v>
      </c>
      <c r="AE90" s="9">
        <f t="shared" si="200"/>
        <v>0</v>
      </c>
      <c r="AF90" s="9">
        <f t="shared" si="201"/>
        <v>0</v>
      </c>
      <c r="AG90" s="9">
        <f t="shared" si="202"/>
        <v>0</v>
      </c>
      <c r="AH90" s="9">
        <f t="shared" si="203"/>
        <v>0</v>
      </c>
      <c r="AI90" s="9">
        <f t="shared" si="204"/>
        <v>0</v>
      </c>
      <c r="AJ90" s="9">
        <f t="shared" si="205"/>
        <v>0</v>
      </c>
      <c r="AK90" s="9">
        <f t="shared" si="206"/>
        <v>0</v>
      </c>
      <c r="AL90" s="9">
        <f t="shared" si="207"/>
        <v>0</v>
      </c>
      <c r="AM90" s="9">
        <f t="shared" si="208"/>
        <v>0</v>
      </c>
      <c r="AN90" s="9">
        <f t="shared" si="209"/>
        <v>0</v>
      </c>
      <c r="AO90" s="10">
        <f t="shared" si="210"/>
        <v>0</v>
      </c>
      <c r="AQ90" s="109">
        <v>8</v>
      </c>
      <c r="AR90" s="9" t="s">
        <v>83</v>
      </c>
      <c r="AT90" s="125"/>
      <c r="AU90" s="126"/>
      <c r="AV90" s="127"/>
      <c r="AW90" s="127"/>
      <c r="AX90" s="127"/>
      <c r="AY90" s="125"/>
      <c r="AZ90" s="126"/>
      <c r="BA90" s="127"/>
      <c r="BB90" s="127"/>
      <c r="BC90" s="127"/>
      <c r="BD90" s="125"/>
      <c r="BE90" s="126"/>
      <c r="BF90" s="127"/>
      <c r="BG90" s="127"/>
      <c r="BH90" s="127"/>
      <c r="BI90" s="125"/>
      <c r="BJ90" s="128"/>
      <c r="BK90" s="127"/>
      <c r="BL90" s="127"/>
      <c r="BM90" s="127"/>
      <c r="BN90" s="125"/>
      <c r="BO90" s="128"/>
      <c r="BP90" s="127"/>
      <c r="BQ90" s="127"/>
      <c r="BR90" s="127"/>
      <c r="BS90" s="125"/>
      <c r="BU90" s="10" t="e">
        <f>#REF!</f>
        <v>#REF!</v>
      </c>
    </row>
    <row r="91" spans="2:73" s="10" customFormat="1" ht="18" customHeight="1" x14ac:dyDescent="0.2">
      <c r="B91" s="149">
        <v>87</v>
      </c>
      <c r="C91" s="149">
        <v>8</v>
      </c>
      <c r="D91" s="150" t="s">
        <v>457</v>
      </c>
      <c r="E91" s="183" t="s">
        <v>84</v>
      </c>
      <c r="F91" s="153" t="s">
        <v>476</v>
      </c>
      <c r="G91" s="216"/>
      <c r="H91" s="217" t="s">
        <v>912</v>
      </c>
      <c r="I91" s="218">
        <v>1</v>
      </c>
      <c r="J91" s="219">
        <v>1</v>
      </c>
      <c r="L91" s="111"/>
      <c r="M91" s="107" t="str">
        <f t="shared" si="158"/>
        <v>_</v>
      </c>
      <c r="N91" s="107">
        <f>'Project types'!$W$6</f>
        <v>2050</v>
      </c>
      <c r="O91" s="108">
        <f>IF(G91=1,(H91-1)+'Project types'!N92,IF(G91=2,H91-1,9999))</f>
        <v>9999</v>
      </c>
      <c r="P91" s="9">
        <f t="shared" si="185"/>
        <v>0</v>
      </c>
      <c r="Q91" s="9">
        <f t="shared" si="186"/>
        <v>0</v>
      </c>
      <c r="R91" s="9">
        <f t="shared" si="187"/>
        <v>0</v>
      </c>
      <c r="S91" s="9">
        <f t="shared" si="188"/>
        <v>0</v>
      </c>
      <c r="T91" s="9">
        <f t="shared" si="189"/>
        <v>0</v>
      </c>
      <c r="U91" s="9">
        <f t="shared" si="190"/>
        <v>0</v>
      </c>
      <c r="V91" s="9">
        <f t="shared" si="191"/>
        <v>0</v>
      </c>
      <c r="W91" s="9">
        <f t="shared" si="192"/>
        <v>0</v>
      </c>
      <c r="X91" s="9">
        <f t="shared" si="193"/>
        <v>0</v>
      </c>
      <c r="Y91" s="9">
        <f t="shared" si="194"/>
        <v>0</v>
      </c>
      <c r="Z91" s="9">
        <f t="shared" si="195"/>
        <v>0</v>
      </c>
      <c r="AA91" s="9">
        <f t="shared" si="196"/>
        <v>0</v>
      </c>
      <c r="AB91" s="9">
        <f t="shared" si="197"/>
        <v>0</v>
      </c>
      <c r="AC91" s="9">
        <f t="shared" si="198"/>
        <v>0</v>
      </c>
      <c r="AD91" s="9">
        <f t="shared" si="199"/>
        <v>0</v>
      </c>
      <c r="AE91" s="9">
        <f t="shared" si="200"/>
        <v>0</v>
      </c>
      <c r="AF91" s="9">
        <f t="shared" si="201"/>
        <v>0</v>
      </c>
      <c r="AG91" s="9">
        <f t="shared" si="202"/>
        <v>0</v>
      </c>
      <c r="AH91" s="9">
        <f t="shared" si="203"/>
        <v>0</v>
      </c>
      <c r="AI91" s="9">
        <f t="shared" si="204"/>
        <v>0</v>
      </c>
      <c r="AJ91" s="9">
        <f t="shared" si="205"/>
        <v>0</v>
      </c>
      <c r="AK91" s="9">
        <f t="shared" si="206"/>
        <v>0</v>
      </c>
      <c r="AL91" s="9">
        <f t="shared" si="207"/>
        <v>0</v>
      </c>
      <c r="AM91" s="9">
        <f t="shared" si="208"/>
        <v>0</v>
      </c>
      <c r="AN91" s="9">
        <f t="shared" si="209"/>
        <v>0</v>
      </c>
      <c r="AO91" s="10">
        <f t="shared" si="210"/>
        <v>0</v>
      </c>
      <c r="AQ91" s="109">
        <v>8</v>
      </c>
      <c r="AR91" s="9" t="s">
        <v>84</v>
      </c>
      <c r="AT91" s="125"/>
      <c r="AU91" s="126"/>
      <c r="AV91" s="127"/>
      <c r="AW91" s="127"/>
      <c r="AX91" s="127"/>
      <c r="AY91" s="125"/>
      <c r="AZ91" s="126"/>
      <c r="BA91" s="127"/>
      <c r="BB91" s="127"/>
      <c r="BC91" s="127"/>
      <c r="BD91" s="125"/>
      <c r="BE91" s="126"/>
      <c r="BF91" s="127"/>
      <c r="BG91" s="127"/>
      <c r="BH91" s="127"/>
      <c r="BI91" s="125"/>
      <c r="BJ91" s="128"/>
      <c r="BK91" s="127"/>
      <c r="BL91" s="127"/>
      <c r="BM91" s="127"/>
      <c r="BN91" s="125"/>
      <c r="BO91" s="128"/>
      <c r="BP91" s="127"/>
      <c r="BQ91" s="127"/>
      <c r="BR91" s="127"/>
      <c r="BS91" s="125"/>
      <c r="BU91" s="10" t="e">
        <f>#REF!</f>
        <v>#REF!</v>
      </c>
    </row>
    <row r="92" spans="2:73" s="10" customFormat="1" ht="18" customHeight="1" x14ac:dyDescent="0.2">
      <c r="B92" s="149">
        <v>88</v>
      </c>
      <c r="C92" s="149">
        <v>8</v>
      </c>
      <c r="D92" s="150" t="s">
        <v>457</v>
      </c>
      <c r="E92" s="183" t="s">
        <v>85</v>
      </c>
      <c r="F92" s="153" t="s">
        <v>477</v>
      </c>
      <c r="G92" s="216"/>
      <c r="H92" s="217" t="s">
        <v>912</v>
      </c>
      <c r="I92" s="218">
        <v>1</v>
      </c>
      <c r="J92" s="219">
        <v>1</v>
      </c>
      <c r="L92" s="111"/>
      <c r="M92" s="107" t="str">
        <f t="shared" si="158"/>
        <v>_</v>
      </c>
      <c r="N92" s="107">
        <f>'Project types'!$W$6</f>
        <v>2050</v>
      </c>
      <c r="O92" s="108">
        <f>IF(G92=1,(H92-1)+'Project types'!N93,IF(G92=2,H92-1,9999))</f>
        <v>9999</v>
      </c>
      <c r="P92" s="9">
        <f t="shared" si="185"/>
        <v>0</v>
      </c>
      <c r="Q92" s="9">
        <f t="shared" si="186"/>
        <v>0</v>
      </c>
      <c r="R92" s="9">
        <f t="shared" si="187"/>
        <v>0</v>
      </c>
      <c r="S92" s="9">
        <f t="shared" si="188"/>
        <v>0</v>
      </c>
      <c r="T92" s="9">
        <f t="shared" si="189"/>
        <v>0</v>
      </c>
      <c r="U92" s="9">
        <f t="shared" si="190"/>
        <v>0</v>
      </c>
      <c r="V92" s="9">
        <f t="shared" si="191"/>
        <v>0</v>
      </c>
      <c r="W92" s="9">
        <f t="shared" si="192"/>
        <v>0</v>
      </c>
      <c r="X92" s="9">
        <f t="shared" si="193"/>
        <v>0</v>
      </c>
      <c r="Y92" s="9">
        <f t="shared" si="194"/>
        <v>0</v>
      </c>
      <c r="Z92" s="9">
        <f t="shared" si="195"/>
        <v>0</v>
      </c>
      <c r="AA92" s="9">
        <f t="shared" si="196"/>
        <v>0</v>
      </c>
      <c r="AB92" s="9">
        <f t="shared" si="197"/>
        <v>0</v>
      </c>
      <c r="AC92" s="9">
        <f t="shared" si="198"/>
        <v>0</v>
      </c>
      <c r="AD92" s="9">
        <f t="shared" si="199"/>
        <v>0</v>
      </c>
      <c r="AE92" s="9">
        <f t="shared" si="200"/>
        <v>0</v>
      </c>
      <c r="AF92" s="9">
        <f t="shared" si="201"/>
        <v>0</v>
      </c>
      <c r="AG92" s="9">
        <f t="shared" si="202"/>
        <v>0</v>
      </c>
      <c r="AH92" s="9">
        <f t="shared" si="203"/>
        <v>0</v>
      </c>
      <c r="AI92" s="9">
        <f t="shared" si="204"/>
        <v>0</v>
      </c>
      <c r="AJ92" s="9">
        <f t="shared" si="205"/>
        <v>0</v>
      </c>
      <c r="AK92" s="9">
        <f t="shared" si="206"/>
        <v>0</v>
      </c>
      <c r="AL92" s="9">
        <f t="shared" si="207"/>
        <v>0</v>
      </c>
      <c r="AM92" s="9">
        <f t="shared" si="208"/>
        <v>0</v>
      </c>
      <c r="AN92" s="9">
        <f t="shared" si="209"/>
        <v>0</v>
      </c>
      <c r="AO92" s="10">
        <f t="shared" si="210"/>
        <v>0</v>
      </c>
      <c r="AQ92" s="109">
        <v>8</v>
      </c>
      <c r="AR92" s="9" t="s">
        <v>85</v>
      </c>
      <c r="AT92" s="125"/>
      <c r="AU92" s="126"/>
      <c r="AV92" s="127"/>
      <c r="AW92" s="127"/>
      <c r="AX92" s="127"/>
      <c r="AY92" s="125"/>
      <c r="AZ92" s="126"/>
      <c r="BA92" s="127"/>
      <c r="BB92" s="127"/>
      <c r="BC92" s="127"/>
      <c r="BD92" s="125"/>
      <c r="BE92" s="126"/>
      <c r="BF92" s="127"/>
      <c r="BG92" s="127"/>
      <c r="BH92" s="127"/>
      <c r="BI92" s="125"/>
      <c r="BJ92" s="128"/>
      <c r="BK92" s="127"/>
      <c r="BL92" s="127"/>
      <c r="BM92" s="127"/>
      <c r="BN92" s="125"/>
      <c r="BO92" s="128"/>
      <c r="BP92" s="127"/>
      <c r="BQ92" s="127"/>
      <c r="BR92" s="127"/>
      <c r="BS92" s="125"/>
      <c r="BU92" s="10" t="e">
        <f>#REF!</f>
        <v>#REF!</v>
      </c>
    </row>
    <row r="93" spans="2:73" s="10" customFormat="1" ht="18" customHeight="1" x14ac:dyDescent="0.2">
      <c r="B93" s="149">
        <v>89</v>
      </c>
      <c r="C93" s="149">
        <v>8</v>
      </c>
      <c r="D93" s="150" t="s">
        <v>457</v>
      </c>
      <c r="E93" s="183" t="s">
        <v>86</v>
      </c>
      <c r="F93" s="153" t="s">
        <v>478</v>
      </c>
      <c r="G93" s="216"/>
      <c r="H93" s="217" t="s">
        <v>912</v>
      </c>
      <c r="I93" s="218">
        <v>1</v>
      </c>
      <c r="J93" s="219">
        <v>1</v>
      </c>
      <c r="L93" s="111"/>
      <c r="M93" s="107" t="str">
        <f t="shared" si="158"/>
        <v>_</v>
      </c>
      <c r="N93" s="107">
        <f>'Project types'!$W$6</f>
        <v>2050</v>
      </c>
      <c r="O93" s="108">
        <f>IF(G93=1,(H93-1)+'Project types'!N94,IF(G93=2,H93-1,9999))</f>
        <v>9999</v>
      </c>
      <c r="P93" s="9">
        <f t="shared" si="185"/>
        <v>0</v>
      </c>
      <c r="Q93" s="9">
        <f t="shared" si="186"/>
        <v>0</v>
      </c>
      <c r="R93" s="9">
        <f t="shared" si="187"/>
        <v>0</v>
      </c>
      <c r="S93" s="9">
        <f t="shared" si="188"/>
        <v>0</v>
      </c>
      <c r="T93" s="9">
        <f t="shared" si="189"/>
        <v>0</v>
      </c>
      <c r="U93" s="9">
        <f t="shared" si="190"/>
        <v>0</v>
      </c>
      <c r="V93" s="9">
        <f t="shared" si="191"/>
        <v>0</v>
      </c>
      <c r="W93" s="9">
        <f t="shared" si="192"/>
        <v>0</v>
      </c>
      <c r="X93" s="9">
        <f t="shared" si="193"/>
        <v>0</v>
      </c>
      <c r="Y93" s="9">
        <f t="shared" si="194"/>
        <v>0</v>
      </c>
      <c r="Z93" s="9">
        <f t="shared" si="195"/>
        <v>0</v>
      </c>
      <c r="AA93" s="9">
        <f t="shared" si="196"/>
        <v>0</v>
      </c>
      <c r="AB93" s="9">
        <f t="shared" si="197"/>
        <v>0</v>
      </c>
      <c r="AC93" s="9">
        <f t="shared" si="198"/>
        <v>0</v>
      </c>
      <c r="AD93" s="9">
        <f t="shared" si="199"/>
        <v>0</v>
      </c>
      <c r="AE93" s="9">
        <f t="shared" si="200"/>
        <v>0</v>
      </c>
      <c r="AF93" s="9">
        <f t="shared" si="201"/>
        <v>0</v>
      </c>
      <c r="AG93" s="9">
        <f t="shared" si="202"/>
        <v>0</v>
      </c>
      <c r="AH93" s="9">
        <f t="shared" si="203"/>
        <v>0</v>
      </c>
      <c r="AI93" s="9">
        <f t="shared" si="204"/>
        <v>0</v>
      </c>
      <c r="AJ93" s="9">
        <f t="shared" si="205"/>
        <v>0</v>
      </c>
      <c r="AK93" s="9">
        <f t="shared" si="206"/>
        <v>0</v>
      </c>
      <c r="AL93" s="9">
        <f t="shared" si="207"/>
        <v>0</v>
      </c>
      <c r="AM93" s="9">
        <f t="shared" si="208"/>
        <v>0</v>
      </c>
      <c r="AN93" s="9">
        <f t="shared" si="209"/>
        <v>0</v>
      </c>
      <c r="AO93" s="10">
        <f t="shared" si="210"/>
        <v>0</v>
      </c>
      <c r="AQ93" s="109">
        <v>8</v>
      </c>
      <c r="AR93" s="9" t="s">
        <v>86</v>
      </c>
      <c r="AT93" s="125"/>
      <c r="AU93" s="126"/>
      <c r="AV93" s="127"/>
      <c r="AW93" s="127"/>
      <c r="AX93" s="127"/>
      <c r="AY93" s="125"/>
      <c r="AZ93" s="126"/>
      <c r="BA93" s="127"/>
      <c r="BB93" s="127"/>
      <c r="BC93" s="127"/>
      <c r="BD93" s="125"/>
      <c r="BE93" s="126"/>
      <c r="BF93" s="127"/>
      <c r="BG93" s="127"/>
      <c r="BH93" s="127"/>
      <c r="BI93" s="125"/>
      <c r="BJ93" s="128"/>
      <c r="BK93" s="127"/>
      <c r="BL93" s="127"/>
      <c r="BM93" s="127"/>
      <c r="BN93" s="125"/>
      <c r="BO93" s="128"/>
      <c r="BP93" s="127"/>
      <c r="BQ93" s="127"/>
      <c r="BR93" s="127"/>
      <c r="BS93" s="125"/>
      <c r="BU93" s="10" t="e">
        <f>#REF!</f>
        <v>#REF!</v>
      </c>
    </row>
    <row r="94" spans="2:73" s="10" customFormat="1" ht="18" customHeight="1" x14ac:dyDescent="0.2">
      <c r="B94" s="149">
        <v>90</v>
      </c>
      <c r="C94" s="149">
        <v>8</v>
      </c>
      <c r="D94" s="150" t="s">
        <v>457</v>
      </c>
      <c r="E94" s="183" t="s">
        <v>87</v>
      </c>
      <c r="F94" s="153" t="s">
        <v>479</v>
      </c>
      <c r="G94" s="216"/>
      <c r="H94" s="217" t="s">
        <v>912</v>
      </c>
      <c r="I94" s="218">
        <v>1</v>
      </c>
      <c r="J94" s="219">
        <v>1</v>
      </c>
      <c r="L94" s="111"/>
      <c r="M94" s="107" t="str">
        <f t="shared" si="158"/>
        <v>_</v>
      </c>
      <c r="N94" s="107">
        <f>'Project types'!$W$6</f>
        <v>2050</v>
      </c>
      <c r="O94" s="108">
        <f>IF(G94=1,(H94-1)+'Project types'!N95,IF(G94=2,H94-1,9999))</f>
        <v>9999</v>
      </c>
      <c r="P94" s="9">
        <f t="shared" si="185"/>
        <v>0</v>
      </c>
      <c r="Q94" s="9">
        <f t="shared" si="186"/>
        <v>0</v>
      </c>
      <c r="R94" s="9">
        <f t="shared" si="187"/>
        <v>0</v>
      </c>
      <c r="S94" s="9">
        <f t="shared" si="188"/>
        <v>0</v>
      </c>
      <c r="T94" s="9">
        <f t="shared" si="189"/>
        <v>0</v>
      </c>
      <c r="U94" s="9">
        <f t="shared" si="190"/>
        <v>0</v>
      </c>
      <c r="V94" s="9">
        <f t="shared" si="191"/>
        <v>0</v>
      </c>
      <c r="W94" s="9">
        <f t="shared" si="192"/>
        <v>0</v>
      </c>
      <c r="X94" s="9">
        <f t="shared" si="193"/>
        <v>0</v>
      </c>
      <c r="Y94" s="9">
        <f t="shared" si="194"/>
        <v>0</v>
      </c>
      <c r="Z94" s="9">
        <f t="shared" si="195"/>
        <v>0</v>
      </c>
      <c r="AA94" s="9">
        <f t="shared" si="196"/>
        <v>0</v>
      </c>
      <c r="AB94" s="9">
        <f t="shared" si="197"/>
        <v>0</v>
      </c>
      <c r="AC94" s="9">
        <f t="shared" si="198"/>
        <v>0</v>
      </c>
      <c r="AD94" s="9">
        <f t="shared" si="199"/>
        <v>0</v>
      </c>
      <c r="AE94" s="9">
        <f t="shared" si="200"/>
        <v>0</v>
      </c>
      <c r="AF94" s="9">
        <f t="shared" si="201"/>
        <v>0</v>
      </c>
      <c r="AG94" s="9">
        <f t="shared" si="202"/>
        <v>0</v>
      </c>
      <c r="AH94" s="9">
        <f t="shared" si="203"/>
        <v>0</v>
      </c>
      <c r="AI94" s="9">
        <f t="shared" si="204"/>
        <v>0</v>
      </c>
      <c r="AJ94" s="9">
        <f t="shared" si="205"/>
        <v>0</v>
      </c>
      <c r="AK94" s="9">
        <f t="shared" si="206"/>
        <v>0</v>
      </c>
      <c r="AL94" s="9">
        <f t="shared" si="207"/>
        <v>0</v>
      </c>
      <c r="AM94" s="9">
        <f t="shared" si="208"/>
        <v>0</v>
      </c>
      <c r="AN94" s="9">
        <f t="shared" si="209"/>
        <v>0</v>
      </c>
      <c r="AO94" s="10">
        <f t="shared" si="210"/>
        <v>0</v>
      </c>
      <c r="AQ94" s="109">
        <v>8</v>
      </c>
      <c r="AR94" s="9" t="s">
        <v>87</v>
      </c>
      <c r="AT94" s="125"/>
      <c r="AU94" s="126"/>
      <c r="AV94" s="127"/>
      <c r="AW94" s="127"/>
      <c r="AX94" s="127"/>
      <c r="AY94" s="125"/>
      <c r="AZ94" s="126"/>
      <c r="BA94" s="127"/>
      <c r="BB94" s="127"/>
      <c r="BC94" s="127"/>
      <c r="BD94" s="125"/>
      <c r="BE94" s="126"/>
      <c r="BF94" s="127"/>
      <c r="BG94" s="127"/>
      <c r="BH94" s="127"/>
      <c r="BI94" s="125"/>
      <c r="BJ94" s="128"/>
      <c r="BK94" s="127"/>
      <c r="BL94" s="127"/>
      <c r="BM94" s="127"/>
      <c r="BN94" s="125"/>
      <c r="BO94" s="128"/>
      <c r="BP94" s="127"/>
      <c r="BQ94" s="127"/>
      <c r="BR94" s="127"/>
      <c r="BS94" s="125"/>
      <c r="BU94" s="10" t="e">
        <f>#REF!</f>
        <v>#REF!</v>
      </c>
    </row>
    <row r="95" spans="2:73" s="10" customFormat="1" ht="18" customHeight="1" x14ac:dyDescent="0.2">
      <c r="B95" s="149">
        <v>91</v>
      </c>
      <c r="C95" s="149">
        <v>8</v>
      </c>
      <c r="D95" s="150" t="s">
        <v>457</v>
      </c>
      <c r="E95" s="183" t="s">
        <v>88</v>
      </c>
      <c r="F95" s="153" t="s">
        <v>480</v>
      </c>
      <c r="G95" s="216"/>
      <c r="H95" s="217" t="s">
        <v>912</v>
      </c>
      <c r="I95" s="218">
        <v>1</v>
      </c>
      <c r="J95" s="219">
        <v>1</v>
      </c>
      <c r="L95" s="111"/>
      <c r="M95" s="107" t="str">
        <f t="shared" si="158"/>
        <v>_</v>
      </c>
      <c r="N95" s="107">
        <f>'Project types'!$W$6</f>
        <v>2050</v>
      </c>
      <c r="O95" s="108">
        <f>IF(G95=1,(H95-1)+'Project types'!N96,IF(G95=2,H95-1,9999))</f>
        <v>9999</v>
      </c>
      <c r="P95" s="9">
        <f t="shared" si="185"/>
        <v>0</v>
      </c>
      <c r="Q95" s="9">
        <f t="shared" si="186"/>
        <v>0</v>
      </c>
      <c r="R95" s="9">
        <f t="shared" si="187"/>
        <v>0</v>
      </c>
      <c r="S95" s="9">
        <f t="shared" si="188"/>
        <v>0</v>
      </c>
      <c r="T95" s="9">
        <f t="shared" si="189"/>
        <v>0</v>
      </c>
      <c r="U95" s="9">
        <f t="shared" si="190"/>
        <v>0</v>
      </c>
      <c r="V95" s="9">
        <f t="shared" si="191"/>
        <v>0</v>
      </c>
      <c r="W95" s="9">
        <f t="shared" si="192"/>
        <v>0</v>
      </c>
      <c r="X95" s="9">
        <f t="shared" si="193"/>
        <v>0</v>
      </c>
      <c r="Y95" s="9">
        <f t="shared" si="194"/>
        <v>0</v>
      </c>
      <c r="Z95" s="9">
        <f t="shared" si="195"/>
        <v>0</v>
      </c>
      <c r="AA95" s="9">
        <f t="shared" si="196"/>
        <v>0</v>
      </c>
      <c r="AB95" s="9">
        <f t="shared" si="197"/>
        <v>0</v>
      </c>
      <c r="AC95" s="9">
        <f t="shared" si="198"/>
        <v>0</v>
      </c>
      <c r="AD95" s="9">
        <f t="shared" si="199"/>
        <v>0</v>
      </c>
      <c r="AE95" s="9">
        <f t="shared" si="200"/>
        <v>0</v>
      </c>
      <c r="AF95" s="9">
        <f t="shared" si="201"/>
        <v>0</v>
      </c>
      <c r="AG95" s="9">
        <f t="shared" si="202"/>
        <v>0</v>
      </c>
      <c r="AH95" s="9">
        <f t="shared" si="203"/>
        <v>0</v>
      </c>
      <c r="AI95" s="9">
        <f t="shared" si="204"/>
        <v>0</v>
      </c>
      <c r="AJ95" s="9">
        <f t="shared" si="205"/>
        <v>0</v>
      </c>
      <c r="AK95" s="9">
        <f t="shared" si="206"/>
        <v>0</v>
      </c>
      <c r="AL95" s="9">
        <f t="shared" si="207"/>
        <v>0</v>
      </c>
      <c r="AM95" s="9">
        <f t="shared" si="208"/>
        <v>0</v>
      </c>
      <c r="AN95" s="9">
        <f t="shared" si="209"/>
        <v>0</v>
      </c>
      <c r="AO95" s="10">
        <f t="shared" si="210"/>
        <v>0</v>
      </c>
      <c r="AQ95" s="109">
        <v>8</v>
      </c>
      <c r="AR95" s="9" t="s">
        <v>88</v>
      </c>
      <c r="AT95" s="125"/>
      <c r="AU95" s="126"/>
      <c r="AV95" s="127"/>
      <c r="AW95" s="127"/>
      <c r="AX95" s="127"/>
      <c r="AY95" s="125"/>
      <c r="AZ95" s="126"/>
      <c r="BA95" s="127"/>
      <c r="BB95" s="127"/>
      <c r="BC95" s="127"/>
      <c r="BD95" s="125"/>
      <c r="BE95" s="126"/>
      <c r="BF95" s="127"/>
      <c r="BG95" s="127"/>
      <c r="BH95" s="127"/>
      <c r="BI95" s="125"/>
      <c r="BJ95" s="128"/>
      <c r="BK95" s="127"/>
      <c r="BL95" s="127"/>
      <c r="BM95" s="127"/>
      <c r="BN95" s="125"/>
      <c r="BO95" s="128"/>
      <c r="BP95" s="127"/>
      <c r="BQ95" s="127"/>
      <c r="BR95" s="127"/>
      <c r="BS95" s="125"/>
      <c r="BU95" s="10" t="e">
        <f>#REF!</f>
        <v>#REF!</v>
      </c>
    </row>
    <row r="96" spans="2:73" s="10" customFormat="1" ht="18" customHeight="1" x14ac:dyDescent="0.2">
      <c r="B96" s="149">
        <v>92</v>
      </c>
      <c r="C96" s="149">
        <v>8</v>
      </c>
      <c r="D96" s="150" t="s">
        <v>457</v>
      </c>
      <c r="E96" s="183" t="s">
        <v>89</v>
      </c>
      <c r="F96" s="153" t="s">
        <v>157</v>
      </c>
      <c r="G96" s="216"/>
      <c r="H96" s="217" t="s">
        <v>912</v>
      </c>
      <c r="I96" s="218">
        <v>1</v>
      </c>
      <c r="J96" s="219">
        <v>1</v>
      </c>
      <c r="L96" s="111"/>
      <c r="M96" s="107" t="str">
        <f t="shared" si="158"/>
        <v>_</v>
      </c>
      <c r="N96" s="107">
        <f>'Project types'!$W$6</f>
        <v>2050</v>
      </c>
      <c r="O96" s="108">
        <f>IF(G96=1,(H96-1)+'Project types'!N97,IF(G96=2,H96-1,9999))</f>
        <v>9999</v>
      </c>
      <c r="P96" s="9">
        <f t="shared" si="185"/>
        <v>0</v>
      </c>
      <c r="Q96" s="9">
        <f t="shared" si="186"/>
        <v>0</v>
      </c>
      <c r="R96" s="9">
        <f t="shared" si="187"/>
        <v>0</v>
      </c>
      <c r="S96" s="9">
        <f t="shared" si="188"/>
        <v>0</v>
      </c>
      <c r="T96" s="9">
        <f t="shared" si="189"/>
        <v>0</v>
      </c>
      <c r="U96" s="9">
        <f t="shared" si="190"/>
        <v>0</v>
      </c>
      <c r="V96" s="9">
        <f t="shared" si="191"/>
        <v>0</v>
      </c>
      <c r="W96" s="9">
        <f t="shared" si="192"/>
        <v>0</v>
      </c>
      <c r="X96" s="9">
        <f t="shared" si="193"/>
        <v>0</v>
      </c>
      <c r="Y96" s="9">
        <f t="shared" si="194"/>
        <v>0</v>
      </c>
      <c r="Z96" s="9">
        <f t="shared" si="195"/>
        <v>0</v>
      </c>
      <c r="AA96" s="9">
        <f t="shared" si="196"/>
        <v>0</v>
      </c>
      <c r="AB96" s="9">
        <f t="shared" si="197"/>
        <v>0</v>
      </c>
      <c r="AC96" s="9">
        <f t="shared" si="198"/>
        <v>0</v>
      </c>
      <c r="AD96" s="9">
        <f t="shared" si="199"/>
        <v>0</v>
      </c>
      <c r="AE96" s="9">
        <f t="shared" si="200"/>
        <v>0</v>
      </c>
      <c r="AF96" s="9">
        <f t="shared" si="201"/>
        <v>0</v>
      </c>
      <c r="AG96" s="9">
        <f t="shared" si="202"/>
        <v>0</v>
      </c>
      <c r="AH96" s="9">
        <f t="shared" si="203"/>
        <v>0</v>
      </c>
      <c r="AI96" s="9">
        <f t="shared" si="204"/>
        <v>0</v>
      </c>
      <c r="AJ96" s="9">
        <f t="shared" si="205"/>
        <v>0</v>
      </c>
      <c r="AK96" s="9">
        <f t="shared" si="206"/>
        <v>0</v>
      </c>
      <c r="AL96" s="9">
        <f t="shared" si="207"/>
        <v>0</v>
      </c>
      <c r="AM96" s="9">
        <f t="shared" si="208"/>
        <v>0</v>
      </c>
      <c r="AN96" s="9">
        <f t="shared" si="209"/>
        <v>0</v>
      </c>
      <c r="AO96" s="10">
        <f t="shared" si="210"/>
        <v>0</v>
      </c>
      <c r="AQ96" s="109">
        <v>8</v>
      </c>
      <c r="AR96" s="9" t="s">
        <v>89</v>
      </c>
      <c r="AT96" s="125"/>
      <c r="AU96" s="126"/>
      <c r="AV96" s="127"/>
      <c r="AW96" s="127"/>
      <c r="AX96" s="127"/>
      <c r="AY96" s="125"/>
      <c r="AZ96" s="126"/>
      <c r="BA96" s="127"/>
      <c r="BB96" s="127"/>
      <c r="BC96" s="127"/>
      <c r="BD96" s="125"/>
      <c r="BE96" s="126"/>
      <c r="BF96" s="127"/>
      <c r="BG96" s="127"/>
      <c r="BH96" s="127"/>
      <c r="BI96" s="125"/>
      <c r="BJ96" s="128"/>
      <c r="BK96" s="127"/>
      <c r="BL96" s="127"/>
      <c r="BM96" s="127"/>
      <c r="BN96" s="125"/>
      <c r="BO96" s="128"/>
      <c r="BP96" s="127"/>
      <c r="BQ96" s="127"/>
      <c r="BR96" s="127"/>
      <c r="BS96" s="125"/>
      <c r="BU96" s="10" t="e">
        <f>#REF!</f>
        <v>#REF!</v>
      </c>
    </row>
    <row r="97" spans="2:73" s="10" customFormat="1" ht="18" customHeight="1" x14ac:dyDescent="0.2">
      <c r="B97" s="149">
        <v>93</v>
      </c>
      <c r="C97" s="149">
        <v>8</v>
      </c>
      <c r="D97" s="150" t="s">
        <v>457</v>
      </c>
      <c r="E97" s="183" t="s">
        <v>90</v>
      </c>
      <c r="F97" s="153" t="s">
        <v>158</v>
      </c>
      <c r="G97" s="216"/>
      <c r="H97" s="217" t="s">
        <v>912</v>
      </c>
      <c r="I97" s="218">
        <v>1</v>
      </c>
      <c r="J97" s="219">
        <v>1</v>
      </c>
      <c r="L97" s="111"/>
      <c r="M97" s="107" t="str">
        <f t="shared" si="158"/>
        <v>_</v>
      </c>
      <c r="N97" s="107">
        <f>'Project types'!$W$6</f>
        <v>2050</v>
      </c>
      <c r="O97" s="108">
        <f>IF(G97=1,(H97-1)+'Project types'!N98,IF(G97=2,H97-1,9999))</f>
        <v>9999</v>
      </c>
      <c r="P97" s="9">
        <f t="shared" si="185"/>
        <v>0</v>
      </c>
      <c r="Q97" s="9">
        <f t="shared" si="186"/>
        <v>0</v>
      </c>
      <c r="R97" s="9">
        <f t="shared" si="187"/>
        <v>0</v>
      </c>
      <c r="S97" s="9">
        <f t="shared" si="188"/>
        <v>0</v>
      </c>
      <c r="T97" s="9">
        <f t="shared" si="189"/>
        <v>0</v>
      </c>
      <c r="U97" s="9">
        <f t="shared" si="190"/>
        <v>0</v>
      </c>
      <c r="V97" s="9">
        <f t="shared" si="191"/>
        <v>0</v>
      </c>
      <c r="W97" s="9">
        <f t="shared" si="192"/>
        <v>0</v>
      </c>
      <c r="X97" s="9">
        <f t="shared" si="193"/>
        <v>0</v>
      </c>
      <c r="Y97" s="9">
        <f t="shared" si="194"/>
        <v>0</v>
      </c>
      <c r="Z97" s="9">
        <f t="shared" si="195"/>
        <v>0</v>
      </c>
      <c r="AA97" s="9">
        <f t="shared" si="196"/>
        <v>0</v>
      </c>
      <c r="AB97" s="9">
        <f t="shared" si="197"/>
        <v>0</v>
      </c>
      <c r="AC97" s="9">
        <f t="shared" si="198"/>
        <v>0</v>
      </c>
      <c r="AD97" s="9">
        <f t="shared" si="199"/>
        <v>0</v>
      </c>
      <c r="AE97" s="9">
        <f t="shared" si="200"/>
        <v>0</v>
      </c>
      <c r="AF97" s="9">
        <f t="shared" si="201"/>
        <v>0</v>
      </c>
      <c r="AG97" s="9">
        <f t="shared" si="202"/>
        <v>0</v>
      </c>
      <c r="AH97" s="9">
        <f t="shared" si="203"/>
        <v>0</v>
      </c>
      <c r="AI97" s="9">
        <f t="shared" si="204"/>
        <v>0</v>
      </c>
      <c r="AJ97" s="9">
        <f t="shared" si="205"/>
        <v>0</v>
      </c>
      <c r="AK97" s="9">
        <f t="shared" si="206"/>
        <v>0</v>
      </c>
      <c r="AL97" s="9">
        <f t="shared" si="207"/>
        <v>0</v>
      </c>
      <c r="AM97" s="9">
        <f t="shared" si="208"/>
        <v>0</v>
      </c>
      <c r="AN97" s="9">
        <f t="shared" si="209"/>
        <v>0</v>
      </c>
      <c r="AO97" s="10">
        <f t="shared" si="210"/>
        <v>0</v>
      </c>
      <c r="AQ97" s="109">
        <v>8</v>
      </c>
      <c r="AR97" s="9" t="s">
        <v>90</v>
      </c>
      <c r="AT97" s="125"/>
      <c r="AU97" s="126"/>
      <c r="AV97" s="127"/>
      <c r="AW97" s="127"/>
      <c r="AX97" s="127"/>
      <c r="AY97" s="125"/>
      <c r="AZ97" s="126"/>
      <c r="BA97" s="127"/>
      <c r="BB97" s="127"/>
      <c r="BC97" s="127"/>
      <c r="BD97" s="125"/>
      <c r="BE97" s="126"/>
      <c r="BF97" s="127"/>
      <c r="BG97" s="127"/>
      <c r="BH97" s="127"/>
      <c r="BI97" s="125"/>
      <c r="BJ97" s="128"/>
      <c r="BK97" s="127"/>
      <c r="BL97" s="127"/>
      <c r="BM97" s="127"/>
      <c r="BN97" s="125"/>
      <c r="BO97" s="128"/>
      <c r="BP97" s="127"/>
      <c r="BQ97" s="127"/>
      <c r="BR97" s="127"/>
      <c r="BS97" s="125"/>
      <c r="BU97" s="10" t="e">
        <f>#REF!</f>
        <v>#REF!</v>
      </c>
    </row>
    <row r="98" spans="2:73" s="10" customFormat="1" ht="18" customHeight="1" x14ac:dyDescent="0.2">
      <c r="B98" s="149">
        <v>94</v>
      </c>
      <c r="C98" s="149">
        <v>8</v>
      </c>
      <c r="D98" s="150" t="s">
        <v>457</v>
      </c>
      <c r="E98" s="183" t="s">
        <v>91</v>
      </c>
      <c r="F98" s="169" t="s">
        <v>124</v>
      </c>
      <c r="G98" s="216"/>
      <c r="H98" s="217" t="s">
        <v>912</v>
      </c>
      <c r="I98" s="218">
        <v>0.01</v>
      </c>
      <c r="J98" s="219">
        <v>1</v>
      </c>
      <c r="L98" s="111"/>
      <c r="M98" s="107" t="str">
        <f t="shared" si="158"/>
        <v>_</v>
      </c>
      <c r="N98" s="107">
        <f>'Project types'!$W$6</f>
        <v>2050</v>
      </c>
      <c r="O98" s="108">
        <f>IF(G98=1,(H98-1)+'Project types'!N99,IF(G98=2,H98-1,9999))</f>
        <v>9999</v>
      </c>
      <c r="P98" s="9">
        <f t="shared" si="185"/>
        <v>0</v>
      </c>
      <c r="Q98" s="9">
        <f t="shared" si="186"/>
        <v>0</v>
      </c>
      <c r="R98" s="9">
        <f t="shared" si="187"/>
        <v>0</v>
      </c>
      <c r="S98" s="9">
        <f t="shared" si="188"/>
        <v>0</v>
      </c>
      <c r="T98" s="9">
        <f t="shared" si="189"/>
        <v>0</v>
      </c>
      <c r="U98" s="9">
        <f t="shared" si="190"/>
        <v>0</v>
      </c>
      <c r="V98" s="9">
        <f t="shared" si="191"/>
        <v>0</v>
      </c>
      <c r="W98" s="9">
        <f t="shared" si="192"/>
        <v>0</v>
      </c>
      <c r="X98" s="9">
        <f t="shared" si="193"/>
        <v>0</v>
      </c>
      <c r="Y98" s="9">
        <f t="shared" si="194"/>
        <v>0</v>
      </c>
      <c r="Z98" s="9">
        <f t="shared" si="195"/>
        <v>0</v>
      </c>
      <c r="AA98" s="9">
        <f t="shared" si="196"/>
        <v>0</v>
      </c>
      <c r="AB98" s="9">
        <f t="shared" si="197"/>
        <v>0</v>
      </c>
      <c r="AC98" s="9">
        <f t="shared" si="198"/>
        <v>0</v>
      </c>
      <c r="AD98" s="9">
        <f t="shared" si="199"/>
        <v>0</v>
      </c>
      <c r="AE98" s="9">
        <f t="shared" si="200"/>
        <v>0</v>
      </c>
      <c r="AF98" s="9">
        <f t="shared" si="201"/>
        <v>0</v>
      </c>
      <c r="AG98" s="9">
        <f t="shared" si="202"/>
        <v>0</v>
      </c>
      <c r="AH98" s="9">
        <f t="shared" si="203"/>
        <v>0</v>
      </c>
      <c r="AI98" s="9">
        <f t="shared" si="204"/>
        <v>0</v>
      </c>
      <c r="AJ98" s="9">
        <f t="shared" si="205"/>
        <v>0</v>
      </c>
      <c r="AK98" s="9">
        <f t="shared" si="206"/>
        <v>0</v>
      </c>
      <c r="AL98" s="9">
        <f t="shared" si="207"/>
        <v>0</v>
      </c>
      <c r="AM98" s="9">
        <f t="shared" si="208"/>
        <v>0</v>
      </c>
      <c r="AN98" s="9">
        <f t="shared" si="209"/>
        <v>0</v>
      </c>
      <c r="AO98" s="10">
        <f t="shared" si="210"/>
        <v>0</v>
      </c>
      <c r="AQ98" s="109">
        <v>8</v>
      </c>
      <c r="AR98" s="9" t="s">
        <v>91</v>
      </c>
      <c r="AT98" s="125"/>
      <c r="AU98" s="126"/>
      <c r="AV98" s="127"/>
      <c r="AW98" s="127"/>
      <c r="AX98" s="127"/>
      <c r="AY98" s="125"/>
      <c r="AZ98" s="126"/>
      <c r="BA98" s="127"/>
      <c r="BB98" s="127"/>
      <c r="BC98" s="127"/>
      <c r="BD98" s="125"/>
      <c r="BE98" s="126"/>
      <c r="BF98" s="127"/>
      <c r="BG98" s="127"/>
      <c r="BH98" s="127"/>
      <c r="BI98" s="125"/>
      <c r="BJ98" s="128"/>
      <c r="BK98" s="127"/>
      <c r="BL98" s="127"/>
      <c r="BM98" s="127"/>
      <c r="BN98" s="125"/>
      <c r="BO98" s="128"/>
      <c r="BP98" s="127"/>
      <c r="BQ98" s="127"/>
      <c r="BR98" s="127"/>
      <c r="BS98" s="125"/>
      <c r="BU98" s="10" t="e">
        <f>#REF!</f>
        <v>#REF!</v>
      </c>
    </row>
    <row r="99" spans="2:73" s="10" customFormat="1" ht="18" customHeight="1" x14ac:dyDescent="0.2">
      <c r="B99" s="149">
        <v>95</v>
      </c>
      <c r="C99" s="149">
        <v>8</v>
      </c>
      <c r="D99" s="150" t="s">
        <v>457</v>
      </c>
      <c r="E99" s="183" t="s">
        <v>92</v>
      </c>
      <c r="F99" s="153" t="s">
        <v>414</v>
      </c>
      <c r="G99" s="216"/>
      <c r="H99" s="217" t="s">
        <v>912</v>
      </c>
      <c r="I99" s="218">
        <v>1</v>
      </c>
      <c r="J99" s="219">
        <v>1</v>
      </c>
      <c r="L99" s="111"/>
      <c r="M99" s="107" t="str">
        <f t="shared" si="158"/>
        <v>_</v>
      </c>
      <c r="N99" s="107">
        <f>'Project types'!$W$6</f>
        <v>2050</v>
      </c>
      <c r="O99" s="108">
        <f>IF(G99=1,(H99-1)+'Project types'!N100,IF(G99=2,H99-1,9999))</f>
        <v>9999</v>
      </c>
      <c r="P99" s="9">
        <f t="shared" si="185"/>
        <v>0</v>
      </c>
      <c r="Q99" s="9">
        <f t="shared" si="186"/>
        <v>0</v>
      </c>
      <c r="R99" s="9">
        <f t="shared" si="187"/>
        <v>0</v>
      </c>
      <c r="S99" s="9">
        <f t="shared" si="188"/>
        <v>0</v>
      </c>
      <c r="T99" s="9">
        <f t="shared" si="189"/>
        <v>0</v>
      </c>
      <c r="U99" s="9">
        <f t="shared" si="190"/>
        <v>0</v>
      </c>
      <c r="V99" s="9">
        <f t="shared" si="191"/>
        <v>0</v>
      </c>
      <c r="W99" s="9">
        <f t="shared" si="192"/>
        <v>0</v>
      </c>
      <c r="X99" s="9">
        <f t="shared" si="193"/>
        <v>0</v>
      </c>
      <c r="Y99" s="9">
        <f t="shared" si="194"/>
        <v>0</v>
      </c>
      <c r="Z99" s="9">
        <f t="shared" si="195"/>
        <v>0</v>
      </c>
      <c r="AA99" s="9">
        <f t="shared" si="196"/>
        <v>0</v>
      </c>
      <c r="AB99" s="9">
        <f t="shared" si="197"/>
        <v>0</v>
      </c>
      <c r="AC99" s="9">
        <f t="shared" si="198"/>
        <v>0</v>
      </c>
      <c r="AD99" s="9">
        <f t="shared" si="199"/>
        <v>0</v>
      </c>
      <c r="AE99" s="9">
        <f t="shared" si="200"/>
        <v>0</v>
      </c>
      <c r="AF99" s="9">
        <f t="shared" si="201"/>
        <v>0</v>
      </c>
      <c r="AG99" s="9">
        <f t="shared" si="202"/>
        <v>0</v>
      </c>
      <c r="AH99" s="9">
        <f t="shared" si="203"/>
        <v>0</v>
      </c>
      <c r="AI99" s="9">
        <f t="shared" si="204"/>
        <v>0</v>
      </c>
      <c r="AJ99" s="9">
        <f t="shared" si="205"/>
        <v>0</v>
      </c>
      <c r="AK99" s="9">
        <f t="shared" si="206"/>
        <v>0</v>
      </c>
      <c r="AL99" s="9">
        <f t="shared" si="207"/>
        <v>0</v>
      </c>
      <c r="AM99" s="9">
        <f t="shared" si="208"/>
        <v>0</v>
      </c>
      <c r="AN99" s="9">
        <f t="shared" si="209"/>
        <v>0</v>
      </c>
      <c r="AO99" s="10">
        <f t="shared" si="210"/>
        <v>0</v>
      </c>
      <c r="AQ99" s="109">
        <v>8</v>
      </c>
      <c r="AR99" s="9" t="s">
        <v>92</v>
      </c>
      <c r="AT99" s="125"/>
      <c r="AU99" s="126"/>
      <c r="AV99" s="127"/>
      <c r="AW99" s="127"/>
      <c r="AX99" s="127"/>
      <c r="AY99" s="125"/>
      <c r="AZ99" s="126"/>
      <c r="BA99" s="127"/>
      <c r="BB99" s="127"/>
      <c r="BC99" s="127"/>
      <c r="BD99" s="125"/>
      <c r="BE99" s="126"/>
      <c r="BF99" s="127"/>
      <c r="BG99" s="127"/>
      <c r="BH99" s="127"/>
      <c r="BI99" s="125"/>
      <c r="BJ99" s="128"/>
      <c r="BK99" s="127"/>
      <c r="BL99" s="127"/>
      <c r="BM99" s="127"/>
      <c r="BN99" s="125"/>
      <c r="BO99" s="128"/>
      <c r="BP99" s="127"/>
      <c r="BQ99" s="127"/>
      <c r="BR99" s="127"/>
      <c r="BS99" s="125"/>
      <c r="BU99" s="10" t="e">
        <f>#REF!</f>
        <v>#REF!</v>
      </c>
    </row>
    <row r="100" spans="2:73" s="10" customFormat="1" ht="18" customHeight="1" x14ac:dyDescent="0.2">
      <c r="B100" s="149">
        <v>96</v>
      </c>
      <c r="C100" s="149">
        <v>8</v>
      </c>
      <c r="D100" s="150" t="s">
        <v>457</v>
      </c>
      <c r="E100" s="183" t="s">
        <v>93</v>
      </c>
      <c r="F100" s="153" t="s">
        <v>159</v>
      </c>
      <c r="G100" s="216"/>
      <c r="H100" s="217" t="s">
        <v>912</v>
      </c>
      <c r="I100" s="218">
        <v>1</v>
      </c>
      <c r="J100" s="219">
        <v>1</v>
      </c>
      <c r="L100" s="111"/>
      <c r="M100" s="107" t="str">
        <f t="shared" si="158"/>
        <v>_</v>
      </c>
      <c r="N100" s="107">
        <f>'Project types'!$W$6</f>
        <v>2050</v>
      </c>
      <c r="O100" s="108">
        <f>IF(G100=1,(H100-1)+'Project types'!N101,IF(G100=2,H100-1,9999))</f>
        <v>9999</v>
      </c>
      <c r="P100" s="9">
        <f t="shared" si="185"/>
        <v>0</v>
      </c>
      <c r="Q100" s="9">
        <f t="shared" si="186"/>
        <v>0</v>
      </c>
      <c r="R100" s="9">
        <f t="shared" si="187"/>
        <v>0</v>
      </c>
      <c r="S100" s="9">
        <f t="shared" si="188"/>
        <v>0</v>
      </c>
      <c r="T100" s="9">
        <f t="shared" si="189"/>
        <v>0</v>
      </c>
      <c r="U100" s="9">
        <f t="shared" si="190"/>
        <v>0</v>
      </c>
      <c r="V100" s="9">
        <f t="shared" si="191"/>
        <v>0</v>
      </c>
      <c r="W100" s="9">
        <f t="shared" si="192"/>
        <v>0</v>
      </c>
      <c r="X100" s="9">
        <f t="shared" si="193"/>
        <v>0</v>
      </c>
      <c r="Y100" s="9">
        <f t="shared" si="194"/>
        <v>0</v>
      </c>
      <c r="Z100" s="9">
        <f t="shared" si="195"/>
        <v>0</v>
      </c>
      <c r="AA100" s="9">
        <f t="shared" si="196"/>
        <v>0</v>
      </c>
      <c r="AB100" s="9">
        <f t="shared" si="197"/>
        <v>0</v>
      </c>
      <c r="AC100" s="9">
        <f t="shared" si="198"/>
        <v>0</v>
      </c>
      <c r="AD100" s="9">
        <f t="shared" si="199"/>
        <v>0</v>
      </c>
      <c r="AE100" s="9">
        <f t="shared" si="200"/>
        <v>0</v>
      </c>
      <c r="AF100" s="9">
        <f t="shared" si="201"/>
        <v>0</v>
      </c>
      <c r="AG100" s="9">
        <f t="shared" si="202"/>
        <v>0</v>
      </c>
      <c r="AH100" s="9">
        <f t="shared" si="203"/>
        <v>0</v>
      </c>
      <c r="AI100" s="9">
        <f t="shared" si="204"/>
        <v>0</v>
      </c>
      <c r="AJ100" s="9">
        <f t="shared" si="205"/>
        <v>0</v>
      </c>
      <c r="AK100" s="9">
        <f t="shared" si="206"/>
        <v>0</v>
      </c>
      <c r="AL100" s="9">
        <f t="shared" si="207"/>
        <v>0</v>
      </c>
      <c r="AM100" s="9">
        <f t="shared" si="208"/>
        <v>0</v>
      </c>
      <c r="AN100" s="9">
        <f t="shared" si="209"/>
        <v>0</v>
      </c>
      <c r="AO100" s="10">
        <f t="shared" si="210"/>
        <v>0</v>
      </c>
      <c r="AQ100" s="109">
        <v>8</v>
      </c>
      <c r="AR100" s="9" t="s">
        <v>93</v>
      </c>
      <c r="AT100" s="125"/>
      <c r="AU100" s="126"/>
      <c r="AV100" s="127"/>
      <c r="AW100" s="127"/>
      <c r="AX100" s="127"/>
      <c r="AY100" s="125"/>
      <c r="AZ100" s="126"/>
      <c r="BA100" s="127"/>
      <c r="BB100" s="127"/>
      <c r="BC100" s="127"/>
      <c r="BD100" s="125"/>
      <c r="BE100" s="126"/>
      <c r="BF100" s="127"/>
      <c r="BG100" s="127"/>
      <c r="BH100" s="127"/>
      <c r="BI100" s="125"/>
      <c r="BJ100" s="128"/>
      <c r="BK100" s="127"/>
      <c r="BL100" s="127"/>
      <c r="BM100" s="127"/>
      <c r="BN100" s="125"/>
      <c r="BO100" s="128"/>
      <c r="BP100" s="127"/>
      <c r="BQ100" s="127"/>
      <c r="BR100" s="127"/>
      <c r="BS100" s="125"/>
      <c r="BU100" s="10" t="e">
        <f>#REF!</f>
        <v>#REF!</v>
      </c>
    </row>
    <row r="101" spans="2:73" s="10" customFormat="1" ht="18" customHeight="1" thickBot="1" x14ac:dyDescent="0.25">
      <c r="B101" s="154">
        <v>97</v>
      </c>
      <c r="C101" s="154">
        <v>8</v>
      </c>
      <c r="D101" s="155" t="s">
        <v>457</v>
      </c>
      <c r="E101" s="184" t="s">
        <v>415</v>
      </c>
      <c r="F101" s="157" t="s">
        <v>118</v>
      </c>
      <c r="G101" s="220"/>
      <c r="H101" s="224" t="s">
        <v>912</v>
      </c>
      <c r="I101" s="222">
        <v>1</v>
      </c>
      <c r="J101" s="223">
        <v>1</v>
      </c>
      <c r="L101" s="111"/>
      <c r="M101" s="107" t="str">
        <f t="shared" ref="M101:M121" si="211">H101</f>
        <v>_</v>
      </c>
      <c r="N101" s="107">
        <f>'Project types'!$W$6</f>
        <v>2050</v>
      </c>
      <c r="O101" s="108">
        <f>IF(G101=1,(H101-1)+'Project types'!N102,IF(G101=2,H101-1,9999))</f>
        <v>9999</v>
      </c>
      <c r="P101" s="9">
        <f t="shared" si="185"/>
        <v>0</v>
      </c>
      <c r="Q101" s="9">
        <f t="shared" si="186"/>
        <v>0</v>
      </c>
      <c r="R101" s="9">
        <f t="shared" si="187"/>
        <v>0</v>
      </c>
      <c r="S101" s="9">
        <f t="shared" si="188"/>
        <v>0</v>
      </c>
      <c r="T101" s="9">
        <f t="shared" si="189"/>
        <v>0</v>
      </c>
      <c r="U101" s="9">
        <f t="shared" si="190"/>
        <v>0</v>
      </c>
      <c r="V101" s="9">
        <f t="shared" si="191"/>
        <v>0</v>
      </c>
      <c r="W101" s="9">
        <f t="shared" si="192"/>
        <v>0</v>
      </c>
      <c r="X101" s="9">
        <f t="shared" si="193"/>
        <v>0</v>
      </c>
      <c r="Y101" s="9">
        <f t="shared" si="194"/>
        <v>0</v>
      </c>
      <c r="Z101" s="9">
        <f t="shared" si="195"/>
        <v>0</v>
      </c>
      <c r="AA101" s="9">
        <f t="shared" si="196"/>
        <v>0</v>
      </c>
      <c r="AB101" s="9">
        <f t="shared" si="197"/>
        <v>0</v>
      </c>
      <c r="AC101" s="9">
        <f t="shared" si="198"/>
        <v>0</v>
      </c>
      <c r="AD101" s="9">
        <f t="shared" si="199"/>
        <v>0</v>
      </c>
      <c r="AE101" s="9">
        <f t="shared" si="200"/>
        <v>0</v>
      </c>
      <c r="AF101" s="9">
        <f t="shared" si="201"/>
        <v>0</v>
      </c>
      <c r="AG101" s="9">
        <f t="shared" si="202"/>
        <v>0</v>
      </c>
      <c r="AH101" s="9">
        <f t="shared" si="203"/>
        <v>0</v>
      </c>
      <c r="AI101" s="9">
        <f t="shared" si="204"/>
        <v>0</v>
      </c>
      <c r="AJ101" s="9">
        <f t="shared" si="205"/>
        <v>0</v>
      </c>
      <c r="AK101" s="9">
        <f t="shared" si="206"/>
        <v>0</v>
      </c>
      <c r="AL101" s="9">
        <f t="shared" si="207"/>
        <v>0</v>
      </c>
      <c r="AM101" s="9">
        <f t="shared" si="208"/>
        <v>0</v>
      </c>
      <c r="AN101" s="9">
        <f t="shared" si="209"/>
        <v>0</v>
      </c>
      <c r="AO101" s="10">
        <f t="shared" si="210"/>
        <v>0</v>
      </c>
      <c r="AQ101" s="109">
        <v>8</v>
      </c>
      <c r="AR101" s="9" t="s">
        <v>415</v>
      </c>
      <c r="AT101" s="129"/>
      <c r="AU101" s="130"/>
      <c r="AV101" s="131"/>
      <c r="AW101" s="131"/>
      <c r="AX101" s="131"/>
      <c r="AY101" s="129"/>
      <c r="AZ101" s="130"/>
      <c r="BA101" s="131"/>
      <c r="BB101" s="131"/>
      <c r="BC101" s="131"/>
      <c r="BD101" s="129"/>
      <c r="BE101" s="130"/>
      <c r="BF101" s="131"/>
      <c r="BG101" s="131"/>
      <c r="BH101" s="131"/>
      <c r="BI101" s="129"/>
      <c r="BJ101" s="132"/>
      <c r="BK101" s="131"/>
      <c r="BL101" s="131"/>
      <c r="BM101" s="131"/>
      <c r="BN101" s="129"/>
      <c r="BO101" s="132"/>
      <c r="BP101" s="131"/>
      <c r="BQ101" s="131"/>
      <c r="BR101" s="131"/>
      <c r="BS101" s="129"/>
      <c r="BU101" s="10" t="e">
        <f>#REF!</f>
        <v>#REF!</v>
      </c>
    </row>
    <row r="102" spans="2:73" s="10" customFormat="1" ht="18" customHeight="1" x14ac:dyDescent="0.2">
      <c r="B102" s="145">
        <v>98</v>
      </c>
      <c r="C102" s="145">
        <v>9</v>
      </c>
      <c r="D102" s="146" t="s">
        <v>458</v>
      </c>
      <c r="E102" s="185" t="s">
        <v>94</v>
      </c>
      <c r="F102" s="159" t="s">
        <v>160</v>
      </c>
      <c r="G102" s="216"/>
      <c r="H102" s="217" t="s">
        <v>912</v>
      </c>
      <c r="I102" s="218">
        <v>0.01</v>
      </c>
      <c r="J102" s="219">
        <v>1</v>
      </c>
      <c r="L102" s="111"/>
      <c r="M102" s="107" t="str">
        <f t="shared" si="211"/>
        <v>_</v>
      </c>
      <c r="N102" s="107">
        <f>'Project types'!$W$6</f>
        <v>2050</v>
      </c>
      <c r="O102" s="108">
        <f>IF(G102=1,(H102-1)+'Project types'!N103,IF(G102=2,H102-1,9999))</f>
        <v>9999</v>
      </c>
      <c r="P102" s="9">
        <f t="shared" ref="P102:P121" si="212">_xlfn.IFS(AND(AND($P$4&gt;=$H102,$P$4&lt;=$O102)),18,AND(AND($P$4&gt;=$M102,$P$4&lt;=$N102)),17,AND(OR($P$4&lt;$M102,$P$4&gt;$N102)),0)</f>
        <v>0</v>
      </c>
      <c r="Q102" s="9">
        <f t="shared" ref="Q102:Q121" si="213">_xlfn.IFS(AND(AND($Q$4&gt;=$H102,$Q$4&lt;=$O102)),18,AND(AND($Q$4&gt;=$M102,$Q$4&lt;=$N102)),17,AND(OR($Q$4&lt;$M102,$Q$4&gt;$N102)),0)</f>
        <v>0</v>
      </c>
      <c r="R102" s="9">
        <f t="shared" ref="R102:R121" si="214">_xlfn.IFS(AND(AND($R$4&gt;=$H102,$R$4&lt;=$O102)),18,AND(AND($R$4&gt;=$M102,$R$4&lt;=$N102)),17,AND(OR($R$4&lt;$M102,$R$4&gt;$N102)),0)</f>
        <v>0</v>
      </c>
      <c r="S102" s="9">
        <f t="shared" ref="S102:S121" si="215">_xlfn.IFS(AND(AND($S$4&gt;=$H102,$S$4&lt;=$O102)),18,AND(AND($S$4&gt;=$M102,$S$4&lt;=$N102)),17,AND(OR($S$4&lt;$M102,$S$4&gt;$N102)),0)</f>
        <v>0</v>
      </c>
      <c r="T102" s="9">
        <f t="shared" ref="T102:T121" si="216">_xlfn.IFS(AND(AND($T$4&gt;=$H102,$T$4&lt;=$O102)),18,AND(AND($T$4&gt;=$M102,$T$4&lt;=$N102)),17,AND(OR($T$4&lt;$M102,$T$4&gt;$N102)),0)</f>
        <v>0</v>
      </c>
      <c r="U102" s="9">
        <f t="shared" ref="U102:U121" si="217">_xlfn.IFS(AND(AND($U$4&gt;=$H102,$U$4&lt;=$O102)),18,AND(AND($U$4&gt;=$M102,$U$4&lt;=$N102)),17,AND(OR($U$4&lt;$M102,$U$4&gt;$N102)),0)</f>
        <v>0</v>
      </c>
      <c r="V102" s="9">
        <f t="shared" ref="V102:V121" si="218">_xlfn.IFS(AND(AND($V$4&gt;=$H102,$V$4&lt;=$O102)),18,AND(AND($V$4&gt;=$M102,$V$4&lt;=$N102)),17,AND(OR($V$4&lt;$M102,$V$4&gt;$N102)),0)</f>
        <v>0</v>
      </c>
      <c r="W102" s="9">
        <f t="shared" ref="W102:W121" si="219">_xlfn.IFS(AND(AND($W$4&gt;=$H102,$W$4&lt;=$O102)),18,AND(AND($W$4&gt;=$M102,$W$4&lt;=$N102)),17,AND(OR($W$4&lt;$M102,$W$4&gt;$N102)),0)</f>
        <v>0</v>
      </c>
      <c r="X102" s="9">
        <f t="shared" ref="X102:X121" si="220">_xlfn.IFS(AND(AND($X$4&gt;=$H102,$X$4&lt;=$O102)),18,AND(AND($X$4&gt;=$M102,$X$4&lt;=$N102)),17,AND(OR($X$4&lt;$M102,$X$4&gt;$N102)),0)</f>
        <v>0</v>
      </c>
      <c r="Y102" s="9">
        <f t="shared" ref="Y102:Y121" si="221">_xlfn.IFS(AND(AND($Y$4&gt;=$H102,$Y$4&lt;=$O102)),18,AND(AND($Y$4&gt;=$M102,$Y$4&lt;=$N102)),17,AND(OR($Y$4&lt;$M102,$Y$4&gt;$N102)),0)</f>
        <v>0</v>
      </c>
      <c r="Z102" s="9">
        <f t="shared" ref="Z102:Z121" si="222">_xlfn.IFS(AND(AND($Z$4&gt;=$H102,$Z$4&lt;=$O102)),18,AND(AND($Z$4&gt;=$M102,$Z$4&lt;=$N102)),17,AND(OR($Z$4&lt;$M102,$Z$4&gt;$N102)),0)</f>
        <v>0</v>
      </c>
      <c r="AA102" s="9">
        <f t="shared" ref="AA102:AA121" si="223">_xlfn.IFS(AND(AND($AA$4&gt;=$H102,$AA$4&lt;=$O102)),18,AND(AND($AA$4&gt;=$M102,$AA$4&lt;=$N102)),17,AND(OR($AA$4&lt;$M102,$AA$4&gt;$N102)),0)</f>
        <v>0</v>
      </c>
      <c r="AB102" s="9">
        <f t="shared" ref="AB102:AB121" si="224">_xlfn.IFS(AND(AND($AB$4&gt;=$H102,$AB$4&lt;=$O102)),18,AND(AND($AB$4&gt;=$M102,$AB$4&lt;=$N102)),17,AND(OR($AB$4&lt;$M102,$AB$4&gt;$N102)),0)</f>
        <v>0</v>
      </c>
      <c r="AC102" s="9">
        <f t="shared" ref="AC102:AC121" si="225">_xlfn.IFS(AND(AND($AC$4&gt;=$H102,$AC$4&lt;=$O102)),18,AND(AND($AC$4&gt;=$M102,$AC$4&lt;=$N102)),17,AND(OR($AC$4&lt;$M102,$AC$4&gt;$N102)),0)</f>
        <v>0</v>
      </c>
      <c r="AD102" s="9">
        <f t="shared" ref="AD102:AD121" si="226">_xlfn.IFS(AND(AND($AD$4&gt;=$H102,$AD$4&lt;=$O102)),18,AND(AND($AD$4&gt;=$M102,$AD$4&lt;=$N102)),17,AND(OR($AD$4&lt;$M102,$AD$4&gt;$N102)),0)</f>
        <v>0</v>
      </c>
      <c r="AE102" s="9">
        <f t="shared" ref="AE102:AE121" si="227">_xlfn.IFS(AND(AND($AE$4&gt;=$H102,$AE$4&lt;=$O102)),18,AND(AND($AE$4&gt;=$M102,$AE$4&lt;=$N102)),17,AND(OR($AE$4&lt;$M102,$AE$4&gt;$N102)),0)</f>
        <v>0</v>
      </c>
      <c r="AF102" s="9">
        <f t="shared" ref="AF102:AF121" si="228">_xlfn.IFS(AND(AND($AF$4&gt;=$H102,$AF$4&lt;=$O102)),18,AND(AND($AF$4&gt;=$M102,$AF$4&lt;=$N102)),17,AND(OR($AF$4&lt;$M102,$AF$4&gt;$N102)),0)</f>
        <v>0</v>
      </c>
      <c r="AG102" s="9">
        <f t="shared" ref="AG102:AG121" si="229">_xlfn.IFS(AND(AND($AG$4&gt;=$H102,$AG$4&lt;=$O102)),18,AND(AND($AG$4&gt;=$M102,$AG$4&lt;=$N102)),17,AND(OR($AG$4&lt;$M102,$AG$4&gt;$N102)),0)</f>
        <v>0</v>
      </c>
      <c r="AH102" s="9">
        <f t="shared" ref="AH102:AH121" si="230">_xlfn.IFS(AND(AND($AH$4&gt;=$H102,$AH$4&lt;=$O102)),18,AND(AND($AH$4&gt;=$M102,$AH$4&lt;=$N102)),17,AND(OR($AH$4&lt;$M102,$AH$4&gt;$N102)),0)</f>
        <v>0</v>
      </c>
      <c r="AI102" s="9">
        <f t="shared" ref="AI102:AI121" si="231">_xlfn.IFS(AND(AND($AI$4&gt;=$H102,$AI$4&lt;=$O102)),18,AND(AND($AI$4&gt;=$M102,$AI$4&lt;=$N102)),17,AND(OR($AI$4&lt;$M102,$AI$4&gt;$N102)),0)</f>
        <v>0</v>
      </c>
      <c r="AJ102" s="9">
        <f t="shared" ref="AJ102:AJ121" si="232">_xlfn.IFS(AND(AND($AJ$4&gt;=$H102,$AJ$4&lt;=$O102)),18,AND(AND($AJ$4&gt;=$M102,$AJ$4&lt;=$N102)),17,AND(OR($AJ$4&lt;$M102,$AJ$4&gt;$N102)),0)</f>
        <v>0</v>
      </c>
      <c r="AK102" s="9">
        <f t="shared" ref="AK102:AK121" si="233">_xlfn.IFS(AND(AND($AK$4&gt;=$H102,$AK$4&lt;=$O102)),18,AND(AND($AK$4&gt;=$M102,$AK$4&lt;=$N102)),17,AND(OR($AK$4&lt;$M102,$AK$4&gt;$N102)),0)</f>
        <v>0</v>
      </c>
      <c r="AL102" s="9">
        <f t="shared" ref="AL102:AL121" si="234">_xlfn.IFS(AND(AND($AL$4&gt;=$H102,$AL$4&lt;=$O102)),18,AND(AND($AL$4&gt;=$M102,$AL$4&lt;=$N102)),17,AND(OR($AL$4&lt;$M102,$AL$4&gt;$N102)),0)</f>
        <v>0</v>
      </c>
      <c r="AM102" s="9">
        <f t="shared" ref="AM102:AM121" si="235">_xlfn.IFS(AND(AND($AM$4&gt;=$H102,$AM$4&lt;=$O102)),18,AND(AND($AM$4&gt;=$M102,$AM$4&lt;=$N102)),17,AND(OR($AM$4&lt;$M102,$AM$4&gt;$N102)),0)</f>
        <v>0</v>
      </c>
      <c r="AN102" s="9">
        <f t="shared" ref="AN102:AN121" si="236">_xlfn.IFS(AND(AND($AN$4&gt;=$H102,$AN$4&lt;=$O102)),18,AND(AND($AN$4&gt;=$M102,$AN$4&lt;=$N102)),17,AND(OR($AN$4&lt;$M102,$AN$4&gt;$N102)),0)</f>
        <v>0</v>
      </c>
      <c r="AO102" s="10">
        <f t="shared" ref="AO102:AO121" si="237">_xlfn.IFS(AND(AND($AO$4&gt;=$H102,$AO$4&lt;=$O102)),18,AND(AND($AO$4&gt;=$M102,$AO$4&lt;=$N102)),17,AND(OR($AO$4&lt;$M102,$AO$4&gt;$N102)),0)</f>
        <v>0</v>
      </c>
      <c r="AQ102" s="109">
        <v>9</v>
      </c>
      <c r="AR102" s="9" t="s">
        <v>94</v>
      </c>
      <c r="AT102" s="133"/>
      <c r="AU102" s="134"/>
      <c r="AV102" s="135"/>
      <c r="AW102" s="135"/>
      <c r="AX102" s="135"/>
      <c r="AY102" s="133"/>
      <c r="AZ102" s="134"/>
      <c r="BA102" s="135"/>
      <c r="BB102" s="135"/>
      <c r="BC102" s="135"/>
      <c r="BD102" s="133"/>
      <c r="BE102" s="134"/>
      <c r="BF102" s="135"/>
      <c r="BG102" s="135"/>
      <c r="BH102" s="135"/>
      <c r="BI102" s="133"/>
      <c r="BJ102" s="136"/>
      <c r="BK102" s="135"/>
      <c r="BL102" s="135"/>
      <c r="BM102" s="135"/>
      <c r="BN102" s="133"/>
      <c r="BO102" s="136"/>
      <c r="BP102" s="135"/>
      <c r="BQ102" s="135"/>
      <c r="BR102" s="135"/>
      <c r="BS102" s="133"/>
      <c r="BU102" s="10" t="e">
        <f>#REF!</f>
        <v>#REF!</v>
      </c>
    </row>
    <row r="103" spans="2:73" s="10" customFormat="1" ht="18" customHeight="1" x14ac:dyDescent="0.2">
      <c r="B103" s="149">
        <v>99</v>
      </c>
      <c r="C103" s="149">
        <v>9</v>
      </c>
      <c r="D103" s="150" t="s">
        <v>458</v>
      </c>
      <c r="E103" s="186" t="s">
        <v>95</v>
      </c>
      <c r="F103" s="153" t="s">
        <v>161</v>
      </c>
      <c r="G103" s="216"/>
      <c r="H103" s="217" t="s">
        <v>912</v>
      </c>
      <c r="I103" s="218">
        <v>0.01</v>
      </c>
      <c r="J103" s="219">
        <v>1</v>
      </c>
      <c r="L103" s="111"/>
      <c r="M103" s="107" t="str">
        <f t="shared" si="211"/>
        <v>_</v>
      </c>
      <c r="N103" s="107">
        <f>'Project types'!$W$6</f>
        <v>2050</v>
      </c>
      <c r="O103" s="108">
        <f>IF(G103=1,(H103-1)+'Project types'!N104,IF(G103=2,H103-1,9999))</f>
        <v>9999</v>
      </c>
      <c r="P103" s="9">
        <f t="shared" si="212"/>
        <v>0</v>
      </c>
      <c r="Q103" s="9">
        <f t="shared" si="213"/>
        <v>0</v>
      </c>
      <c r="R103" s="9">
        <f t="shared" si="214"/>
        <v>0</v>
      </c>
      <c r="S103" s="9">
        <f t="shared" si="215"/>
        <v>0</v>
      </c>
      <c r="T103" s="9">
        <f t="shared" si="216"/>
        <v>0</v>
      </c>
      <c r="U103" s="9">
        <f t="shared" si="217"/>
        <v>0</v>
      </c>
      <c r="V103" s="9">
        <f t="shared" si="218"/>
        <v>0</v>
      </c>
      <c r="W103" s="9">
        <f t="shared" si="219"/>
        <v>0</v>
      </c>
      <c r="X103" s="9">
        <f t="shared" si="220"/>
        <v>0</v>
      </c>
      <c r="Y103" s="9">
        <f t="shared" si="221"/>
        <v>0</v>
      </c>
      <c r="Z103" s="9">
        <f t="shared" si="222"/>
        <v>0</v>
      </c>
      <c r="AA103" s="9">
        <f t="shared" si="223"/>
        <v>0</v>
      </c>
      <c r="AB103" s="9">
        <f t="shared" si="224"/>
        <v>0</v>
      </c>
      <c r="AC103" s="9">
        <f t="shared" si="225"/>
        <v>0</v>
      </c>
      <c r="AD103" s="9">
        <f t="shared" si="226"/>
        <v>0</v>
      </c>
      <c r="AE103" s="9">
        <f t="shared" si="227"/>
        <v>0</v>
      </c>
      <c r="AF103" s="9">
        <f t="shared" si="228"/>
        <v>0</v>
      </c>
      <c r="AG103" s="9">
        <f t="shared" si="229"/>
        <v>0</v>
      </c>
      <c r="AH103" s="9">
        <f t="shared" si="230"/>
        <v>0</v>
      </c>
      <c r="AI103" s="9">
        <f t="shared" si="231"/>
        <v>0</v>
      </c>
      <c r="AJ103" s="9">
        <f t="shared" si="232"/>
        <v>0</v>
      </c>
      <c r="AK103" s="9">
        <f t="shared" si="233"/>
        <v>0</v>
      </c>
      <c r="AL103" s="9">
        <f t="shared" si="234"/>
        <v>0</v>
      </c>
      <c r="AM103" s="9">
        <f t="shared" si="235"/>
        <v>0</v>
      </c>
      <c r="AN103" s="9">
        <f t="shared" si="236"/>
        <v>0</v>
      </c>
      <c r="AO103" s="10">
        <f t="shared" si="237"/>
        <v>0</v>
      </c>
      <c r="AQ103" s="109">
        <v>9</v>
      </c>
      <c r="AR103" s="9" t="s">
        <v>95</v>
      </c>
      <c r="AT103" s="125"/>
      <c r="AU103" s="126"/>
      <c r="AV103" s="127"/>
      <c r="AW103" s="127"/>
      <c r="AX103" s="127"/>
      <c r="AY103" s="125"/>
      <c r="AZ103" s="126"/>
      <c r="BA103" s="127"/>
      <c r="BB103" s="127"/>
      <c r="BC103" s="127"/>
      <c r="BD103" s="125"/>
      <c r="BE103" s="126"/>
      <c r="BF103" s="127"/>
      <c r="BG103" s="127"/>
      <c r="BH103" s="127"/>
      <c r="BI103" s="125"/>
      <c r="BJ103" s="128"/>
      <c r="BK103" s="127"/>
      <c r="BL103" s="127"/>
      <c r="BM103" s="127"/>
      <c r="BN103" s="125"/>
      <c r="BO103" s="128"/>
      <c r="BP103" s="127"/>
      <c r="BQ103" s="127"/>
      <c r="BR103" s="127"/>
      <c r="BS103" s="125"/>
      <c r="BU103" s="10" t="e">
        <f>#REF!</f>
        <v>#REF!</v>
      </c>
    </row>
    <row r="104" spans="2:73" s="10" customFormat="1" ht="18" customHeight="1" x14ac:dyDescent="0.2">
      <c r="B104" s="149">
        <v>100</v>
      </c>
      <c r="C104" s="149">
        <v>9</v>
      </c>
      <c r="D104" s="150" t="s">
        <v>458</v>
      </c>
      <c r="E104" s="186" t="s">
        <v>96</v>
      </c>
      <c r="F104" s="153" t="s">
        <v>416</v>
      </c>
      <c r="G104" s="216"/>
      <c r="H104" s="217" t="s">
        <v>912</v>
      </c>
      <c r="I104" s="218">
        <v>0.01</v>
      </c>
      <c r="J104" s="219">
        <v>1</v>
      </c>
      <c r="L104" s="111"/>
      <c r="M104" s="107" t="str">
        <f t="shared" si="211"/>
        <v>_</v>
      </c>
      <c r="N104" s="107">
        <f>'Project types'!$W$6</f>
        <v>2050</v>
      </c>
      <c r="O104" s="108">
        <f>IF(G104=1,(H104-1)+'Project types'!N105,IF(G104=2,H104-1,9999))</f>
        <v>9999</v>
      </c>
      <c r="P104" s="9">
        <f t="shared" si="212"/>
        <v>0</v>
      </c>
      <c r="Q104" s="9">
        <f t="shared" si="213"/>
        <v>0</v>
      </c>
      <c r="R104" s="9">
        <f t="shared" si="214"/>
        <v>0</v>
      </c>
      <c r="S104" s="9">
        <f t="shared" si="215"/>
        <v>0</v>
      </c>
      <c r="T104" s="9">
        <f t="shared" si="216"/>
        <v>0</v>
      </c>
      <c r="U104" s="9">
        <f t="shared" si="217"/>
        <v>0</v>
      </c>
      <c r="V104" s="9">
        <f t="shared" si="218"/>
        <v>0</v>
      </c>
      <c r="W104" s="9">
        <f t="shared" si="219"/>
        <v>0</v>
      </c>
      <c r="X104" s="9">
        <f t="shared" si="220"/>
        <v>0</v>
      </c>
      <c r="Y104" s="9">
        <f t="shared" si="221"/>
        <v>0</v>
      </c>
      <c r="Z104" s="9">
        <f t="shared" si="222"/>
        <v>0</v>
      </c>
      <c r="AA104" s="9">
        <f t="shared" si="223"/>
        <v>0</v>
      </c>
      <c r="AB104" s="9">
        <f t="shared" si="224"/>
        <v>0</v>
      </c>
      <c r="AC104" s="9">
        <f t="shared" si="225"/>
        <v>0</v>
      </c>
      <c r="AD104" s="9">
        <f t="shared" si="226"/>
        <v>0</v>
      </c>
      <c r="AE104" s="9">
        <f t="shared" si="227"/>
        <v>0</v>
      </c>
      <c r="AF104" s="9">
        <f t="shared" si="228"/>
        <v>0</v>
      </c>
      <c r="AG104" s="9">
        <f t="shared" si="229"/>
        <v>0</v>
      </c>
      <c r="AH104" s="9">
        <f t="shared" si="230"/>
        <v>0</v>
      </c>
      <c r="AI104" s="9">
        <f t="shared" si="231"/>
        <v>0</v>
      </c>
      <c r="AJ104" s="9">
        <f t="shared" si="232"/>
        <v>0</v>
      </c>
      <c r="AK104" s="9">
        <f t="shared" si="233"/>
        <v>0</v>
      </c>
      <c r="AL104" s="9">
        <f t="shared" si="234"/>
        <v>0</v>
      </c>
      <c r="AM104" s="9">
        <f t="shared" si="235"/>
        <v>0</v>
      </c>
      <c r="AN104" s="9">
        <f t="shared" si="236"/>
        <v>0</v>
      </c>
      <c r="AO104" s="10">
        <f t="shared" si="237"/>
        <v>0</v>
      </c>
      <c r="AQ104" s="109">
        <v>9</v>
      </c>
      <c r="AR104" s="9" t="s">
        <v>96</v>
      </c>
      <c r="AT104" s="125"/>
      <c r="AU104" s="126"/>
      <c r="AV104" s="127"/>
      <c r="AW104" s="127"/>
      <c r="AX104" s="127"/>
      <c r="AY104" s="125"/>
      <c r="AZ104" s="126"/>
      <c r="BA104" s="127"/>
      <c r="BB104" s="127"/>
      <c r="BC104" s="127"/>
      <c r="BD104" s="125"/>
      <c r="BE104" s="126"/>
      <c r="BF104" s="127"/>
      <c r="BG104" s="127"/>
      <c r="BH104" s="127"/>
      <c r="BI104" s="125"/>
      <c r="BJ104" s="128"/>
      <c r="BK104" s="127"/>
      <c r="BL104" s="127"/>
      <c r="BM104" s="127"/>
      <c r="BN104" s="125"/>
      <c r="BO104" s="128"/>
      <c r="BP104" s="127"/>
      <c r="BQ104" s="127"/>
      <c r="BR104" s="127"/>
      <c r="BS104" s="125"/>
      <c r="BU104" s="10" t="e">
        <f>#REF!</f>
        <v>#REF!</v>
      </c>
    </row>
    <row r="105" spans="2:73" s="10" customFormat="1" ht="18" customHeight="1" x14ac:dyDescent="0.2">
      <c r="B105" s="149">
        <v>101</v>
      </c>
      <c r="C105" s="149">
        <v>9</v>
      </c>
      <c r="D105" s="150" t="s">
        <v>458</v>
      </c>
      <c r="E105" s="186" t="s">
        <v>97</v>
      </c>
      <c r="F105" s="153" t="s">
        <v>162</v>
      </c>
      <c r="G105" s="216"/>
      <c r="H105" s="217" t="s">
        <v>912</v>
      </c>
      <c r="I105" s="218">
        <v>0.2</v>
      </c>
      <c r="J105" s="219">
        <v>1</v>
      </c>
      <c r="L105" s="111"/>
      <c r="M105" s="107" t="str">
        <f t="shared" si="211"/>
        <v>_</v>
      </c>
      <c r="N105" s="107">
        <f>'Project types'!$W$6</f>
        <v>2050</v>
      </c>
      <c r="O105" s="108">
        <f>IF(G105=1,(H105-1)+'Project types'!N106,IF(G105=2,H105-1,9999))</f>
        <v>9999</v>
      </c>
      <c r="P105" s="9">
        <f t="shared" si="212"/>
        <v>0</v>
      </c>
      <c r="Q105" s="9">
        <f t="shared" si="213"/>
        <v>0</v>
      </c>
      <c r="R105" s="9">
        <f t="shared" si="214"/>
        <v>0</v>
      </c>
      <c r="S105" s="9">
        <f t="shared" si="215"/>
        <v>0</v>
      </c>
      <c r="T105" s="9">
        <f t="shared" si="216"/>
        <v>0</v>
      </c>
      <c r="U105" s="9">
        <f t="shared" si="217"/>
        <v>0</v>
      </c>
      <c r="V105" s="9">
        <f t="shared" si="218"/>
        <v>0</v>
      </c>
      <c r="W105" s="9">
        <f t="shared" si="219"/>
        <v>0</v>
      </c>
      <c r="X105" s="9">
        <f t="shared" si="220"/>
        <v>0</v>
      </c>
      <c r="Y105" s="9">
        <f t="shared" si="221"/>
        <v>0</v>
      </c>
      <c r="Z105" s="9">
        <f t="shared" si="222"/>
        <v>0</v>
      </c>
      <c r="AA105" s="9">
        <f t="shared" si="223"/>
        <v>0</v>
      </c>
      <c r="AB105" s="9">
        <f t="shared" si="224"/>
        <v>0</v>
      </c>
      <c r="AC105" s="9">
        <f t="shared" si="225"/>
        <v>0</v>
      </c>
      <c r="AD105" s="9">
        <f t="shared" si="226"/>
        <v>0</v>
      </c>
      <c r="AE105" s="9">
        <f t="shared" si="227"/>
        <v>0</v>
      </c>
      <c r="AF105" s="9">
        <f t="shared" si="228"/>
        <v>0</v>
      </c>
      <c r="AG105" s="9">
        <f t="shared" si="229"/>
        <v>0</v>
      </c>
      <c r="AH105" s="9">
        <f t="shared" si="230"/>
        <v>0</v>
      </c>
      <c r="AI105" s="9">
        <f t="shared" si="231"/>
        <v>0</v>
      </c>
      <c r="AJ105" s="9">
        <f t="shared" si="232"/>
        <v>0</v>
      </c>
      <c r="AK105" s="9">
        <f t="shared" si="233"/>
        <v>0</v>
      </c>
      <c r="AL105" s="9">
        <f t="shared" si="234"/>
        <v>0</v>
      </c>
      <c r="AM105" s="9">
        <f t="shared" si="235"/>
        <v>0</v>
      </c>
      <c r="AN105" s="9">
        <f t="shared" si="236"/>
        <v>0</v>
      </c>
      <c r="AO105" s="10">
        <f t="shared" si="237"/>
        <v>0</v>
      </c>
      <c r="AQ105" s="109">
        <v>9</v>
      </c>
      <c r="AR105" s="9" t="s">
        <v>97</v>
      </c>
      <c r="AT105" s="125"/>
      <c r="AU105" s="126"/>
      <c r="AV105" s="127"/>
      <c r="AW105" s="127"/>
      <c r="AX105" s="127"/>
      <c r="AY105" s="125"/>
      <c r="AZ105" s="126"/>
      <c r="BA105" s="127"/>
      <c r="BB105" s="127"/>
      <c r="BC105" s="127"/>
      <c r="BD105" s="125"/>
      <c r="BE105" s="126"/>
      <c r="BF105" s="127"/>
      <c r="BG105" s="127"/>
      <c r="BH105" s="127"/>
      <c r="BI105" s="125"/>
      <c r="BJ105" s="128"/>
      <c r="BK105" s="127"/>
      <c r="BL105" s="127"/>
      <c r="BM105" s="127"/>
      <c r="BN105" s="125"/>
      <c r="BO105" s="128"/>
      <c r="BP105" s="127"/>
      <c r="BQ105" s="127"/>
      <c r="BR105" s="127"/>
      <c r="BS105" s="125"/>
      <c r="BU105" s="10" t="e">
        <f>#REF!</f>
        <v>#REF!</v>
      </c>
    </row>
    <row r="106" spans="2:73" s="10" customFormat="1" ht="18" customHeight="1" x14ac:dyDescent="0.2">
      <c r="B106" s="149">
        <v>102</v>
      </c>
      <c r="C106" s="149">
        <v>9</v>
      </c>
      <c r="D106" s="150" t="s">
        <v>458</v>
      </c>
      <c r="E106" s="186" t="s">
        <v>98</v>
      </c>
      <c r="F106" s="153" t="s">
        <v>163</v>
      </c>
      <c r="G106" s="216"/>
      <c r="H106" s="217" t="s">
        <v>912</v>
      </c>
      <c r="I106" s="218">
        <v>1</v>
      </c>
      <c r="J106" s="219">
        <v>1</v>
      </c>
      <c r="L106" s="111"/>
      <c r="M106" s="107" t="str">
        <f t="shared" si="211"/>
        <v>_</v>
      </c>
      <c r="N106" s="107">
        <f>'Project types'!$W$6</f>
        <v>2050</v>
      </c>
      <c r="O106" s="108">
        <f>IF(G106=1,(H106-1)+'Project types'!N107,IF(G106=2,H106-1,9999))</f>
        <v>9999</v>
      </c>
      <c r="P106" s="9">
        <f t="shared" si="212"/>
        <v>0</v>
      </c>
      <c r="Q106" s="9">
        <f t="shared" si="213"/>
        <v>0</v>
      </c>
      <c r="R106" s="9">
        <f t="shared" si="214"/>
        <v>0</v>
      </c>
      <c r="S106" s="9">
        <f t="shared" si="215"/>
        <v>0</v>
      </c>
      <c r="T106" s="9">
        <f t="shared" si="216"/>
        <v>0</v>
      </c>
      <c r="U106" s="9">
        <f t="shared" si="217"/>
        <v>0</v>
      </c>
      <c r="V106" s="9">
        <f t="shared" si="218"/>
        <v>0</v>
      </c>
      <c r="W106" s="9">
        <f t="shared" si="219"/>
        <v>0</v>
      </c>
      <c r="X106" s="9">
        <f t="shared" si="220"/>
        <v>0</v>
      </c>
      <c r="Y106" s="9">
        <f t="shared" si="221"/>
        <v>0</v>
      </c>
      <c r="Z106" s="9">
        <f t="shared" si="222"/>
        <v>0</v>
      </c>
      <c r="AA106" s="9">
        <f t="shared" si="223"/>
        <v>0</v>
      </c>
      <c r="AB106" s="9">
        <f t="shared" si="224"/>
        <v>0</v>
      </c>
      <c r="AC106" s="9">
        <f t="shared" si="225"/>
        <v>0</v>
      </c>
      <c r="AD106" s="9">
        <f t="shared" si="226"/>
        <v>0</v>
      </c>
      <c r="AE106" s="9">
        <f t="shared" si="227"/>
        <v>0</v>
      </c>
      <c r="AF106" s="9">
        <f t="shared" si="228"/>
        <v>0</v>
      </c>
      <c r="AG106" s="9">
        <f t="shared" si="229"/>
        <v>0</v>
      </c>
      <c r="AH106" s="9">
        <f t="shared" si="230"/>
        <v>0</v>
      </c>
      <c r="AI106" s="9">
        <f t="shared" si="231"/>
        <v>0</v>
      </c>
      <c r="AJ106" s="9">
        <f t="shared" si="232"/>
        <v>0</v>
      </c>
      <c r="AK106" s="9">
        <f t="shared" si="233"/>
        <v>0</v>
      </c>
      <c r="AL106" s="9">
        <f t="shared" si="234"/>
        <v>0</v>
      </c>
      <c r="AM106" s="9">
        <f t="shared" si="235"/>
        <v>0</v>
      </c>
      <c r="AN106" s="9">
        <f t="shared" si="236"/>
        <v>0</v>
      </c>
      <c r="AO106" s="10">
        <f t="shared" si="237"/>
        <v>0</v>
      </c>
      <c r="AQ106" s="109">
        <v>9</v>
      </c>
      <c r="AR106" s="9" t="s">
        <v>98</v>
      </c>
      <c r="AT106" s="125"/>
      <c r="AU106" s="126"/>
      <c r="AV106" s="127"/>
      <c r="AW106" s="127"/>
      <c r="AX106" s="127"/>
      <c r="AY106" s="125"/>
      <c r="AZ106" s="126"/>
      <c r="BA106" s="127"/>
      <c r="BB106" s="127"/>
      <c r="BC106" s="127"/>
      <c r="BD106" s="125"/>
      <c r="BE106" s="126"/>
      <c r="BF106" s="127"/>
      <c r="BG106" s="127"/>
      <c r="BH106" s="127"/>
      <c r="BI106" s="125"/>
      <c r="BJ106" s="128"/>
      <c r="BK106" s="127"/>
      <c r="BL106" s="127"/>
      <c r="BM106" s="127"/>
      <c r="BN106" s="125"/>
      <c r="BO106" s="128"/>
      <c r="BP106" s="127"/>
      <c r="BQ106" s="127"/>
      <c r="BR106" s="127"/>
      <c r="BS106" s="125"/>
      <c r="BU106" s="10" t="e">
        <f>#REF!</f>
        <v>#REF!</v>
      </c>
    </row>
    <row r="107" spans="2:73" s="10" customFormat="1" ht="18" customHeight="1" x14ac:dyDescent="0.2">
      <c r="B107" s="149">
        <v>103</v>
      </c>
      <c r="C107" s="149">
        <v>9</v>
      </c>
      <c r="D107" s="150" t="s">
        <v>458</v>
      </c>
      <c r="E107" s="186" t="s">
        <v>99</v>
      </c>
      <c r="F107" s="153" t="s">
        <v>164</v>
      </c>
      <c r="G107" s="216"/>
      <c r="H107" s="217" t="s">
        <v>912</v>
      </c>
      <c r="I107" s="218">
        <v>0.01</v>
      </c>
      <c r="J107" s="219">
        <v>1</v>
      </c>
      <c r="L107" s="111"/>
      <c r="M107" s="107" t="str">
        <f t="shared" si="211"/>
        <v>_</v>
      </c>
      <c r="N107" s="107">
        <f>'Project types'!$W$6</f>
        <v>2050</v>
      </c>
      <c r="O107" s="108">
        <f>IF(G107=1,(H107-1)+'Project types'!N108,IF(G107=2,H107-1,9999))</f>
        <v>9999</v>
      </c>
      <c r="P107" s="9">
        <f t="shared" si="212"/>
        <v>0</v>
      </c>
      <c r="Q107" s="9">
        <f t="shared" si="213"/>
        <v>0</v>
      </c>
      <c r="R107" s="9">
        <f t="shared" si="214"/>
        <v>0</v>
      </c>
      <c r="S107" s="9">
        <f t="shared" si="215"/>
        <v>0</v>
      </c>
      <c r="T107" s="9">
        <f t="shared" si="216"/>
        <v>0</v>
      </c>
      <c r="U107" s="9">
        <f t="shared" si="217"/>
        <v>0</v>
      </c>
      <c r="V107" s="9">
        <f t="shared" si="218"/>
        <v>0</v>
      </c>
      <c r="W107" s="9">
        <f t="shared" si="219"/>
        <v>0</v>
      </c>
      <c r="X107" s="9">
        <f t="shared" si="220"/>
        <v>0</v>
      </c>
      <c r="Y107" s="9">
        <f t="shared" si="221"/>
        <v>0</v>
      </c>
      <c r="Z107" s="9">
        <f t="shared" si="222"/>
        <v>0</v>
      </c>
      <c r="AA107" s="9">
        <f t="shared" si="223"/>
        <v>0</v>
      </c>
      <c r="AB107" s="9">
        <f t="shared" si="224"/>
        <v>0</v>
      </c>
      <c r="AC107" s="9">
        <f t="shared" si="225"/>
        <v>0</v>
      </c>
      <c r="AD107" s="9">
        <f t="shared" si="226"/>
        <v>0</v>
      </c>
      <c r="AE107" s="9">
        <f t="shared" si="227"/>
        <v>0</v>
      </c>
      <c r="AF107" s="9">
        <f t="shared" si="228"/>
        <v>0</v>
      </c>
      <c r="AG107" s="9">
        <f t="shared" si="229"/>
        <v>0</v>
      </c>
      <c r="AH107" s="9">
        <f t="shared" si="230"/>
        <v>0</v>
      </c>
      <c r="AI107" s="9">
        <f t="shared" si="231"/>
        <v>0</v>
      </c>
      <c r="AJ107" s="9">
        <f t="shared" si="232"/>
        <v>0</v>
      </c>
      <c r="AK107" s="9">
        <f t="shared" si="233"/>
        <v>0</v>
      </c>
      <c r="AL107" s="9">
        <f t="shared" si="234"/>
        <v>0</v>
      </c>
      <c r="AM107" s="9">
        <f t="shared" si="235"/>
        <v>0</v>
      </c>
      <c r="AN107" s="9">
        <f t="shared" si="236"/>
        <v>0</v>
      </c>
      <c r="AO107" s="10">
        <f t="shared" si="237"/>
        <v>0</v>
      </c>
      <c r="AQ107" s="109">
        <v>9</v>
      </c>
      <c r="AR107" s="9" t="s">
        <v>99</v>
      </c>
      <c r="AT107" s="125"/>
      <c r="AU107" s="126"/>
      <c r="AV107" s="127"/>
      <c r="AW107" s="127"/>
      <c r="AX107" s="127"/>
      <c r="AY107" s="125"/>
      <c r="AZ107" s="126"/>
      <c r="BA107" s="127"/>
      <c r="BB107" s="127"/>
      <c r="BC107" s="127"/>
      <c r="BD107" s="125"/>
      <c r="BE107" s="126"/>
      <c r="BF107" s="127"/>
      <c r="BG107" s="127"/>
      <c r="BH107" s="127"/>
      <c r="BI107" s="125"/>
      <c r="BJ107" s="128"/>
      <c r="BK107" s="127"/>
      <c r="BL107" s="127"/>
      <c r="BM107" s="127"/>
      <c r="BN107" s="125"/>
      <c r="BO107" s="128"/>
      <c r="BP107" s="127"/>
      <c r="BQ107" s="127"/>
      <c r="BR107" s="127"/>
      <c r="BS107" s="125"/>
      <c r="BU107" s="10" t="e">
        <f>#REF!</f>
        <v>#REF!</v>
      </c>
    </row>
    <row r="108" spans="2:73" s="10" customFormat="1" ht="18" customHeight="1" x14ac:dyDescent="0.2">
      <c r="B108" s="149">
        <v>104</v>
      </c>
      <c r="C108" s="149">
        <v>9</v>
      </c>
      <c r="D108" s="150" t="s">
        <v>458</v>
      </c>
      <c r="E108" s="186" t="s">
        <v>100</v>
      </c>
      <c r="F108" s="153" t="s">
        <v>165</v>
      </c>
      <c r="G108" s="216"/>
      <c r="H108" s="217" t="s">
        <v>912</v>
      </c>
      <c r="I108" s="218">
        <v>0.01</v>
      </c>
      <c r="J108" s="219">
        <v>1</v>
      </c>
      <c r="L108" s="111"/>
      <c r="M108" s="107" t="str">
        <f t="shared" si="211"/>
        <v>_</v>
      </c>
      <c r="N108" s="107">
        <f>'Project types'!$W$6</f>
        <v>2050</v>
      </c>
      <c r="O108" s="108">
        <f>IF(G108=1,(H108-1)+'Project types'!N109,IF(G108=2,H108-1,9999))</f>
        <v>9999</v>
      </c>
      <c r="P108" s="9">
        <f t="shared" si="212"/>
        <v>0</v>
      </c>
      <c r="Q108" s="9">
        <f t="shared" si="213"/>
        <v>0</v>
      </c>
      <c r="R108" s="9">
        <f t="shared" si="214"/>
        <v>0</v>
      </c>
      <c r="S108" s="9">
        <f t="shared" si="215"/>
        <v>0</v>
      </c>
      <c r="T108" s="9">
        <f t="shared" si="216"/>
        <v>0</v>
      </c>
      <c r="U108" s="9">
        <f t="shared" si="217"/>
        <v>0</v>
      </c>
      <c r="V108" s="9">
        <f t="shared" si="218"/>
        <v>0</v>
      </c>
      <c r="W108" s="9">
        <f t="shared" si="219"/>
        <v>0</v>
      </c>
      <c r="X108" s="9">
        <f t="shared" si="220"/>
        <v>0</v>
      </c>
      <c r="Y108" s="9">
        <f t="shared" si="221"/>
        <v>0</v>
      </c>
      <c r="Z108" s="9">
        <f t="shared" si="222"/>
        <v>0</v>
      </c>
      <c r="AA108" s="9">
        <f t="shared" si="223"/>
        <v>0</v>
      </c>
      <c r="AB108" s="9">
        <f t="shared" si="224"/>
        <v>0</v>
      </c>
      <c r="AC108" s="9">
        <f t="shared" si="225"/>
        <v>0</v>
      </c>
      <c r="AD108" s="9">
        <f t="shared" si="226"/>
        <v>0</v>
      </c>
      <c r="AE108" s="9">
        <f t="shared" si="227"/>
        <v>0</v>
      </c>
      <c r="AF108" s="9">
        <f t="shared" si="228"/>
        <v>0</v>
      </c>
      <c r="AG108" s="9">
        <f t="shared" si="229"/>
        <v>0</v>
      </c>
      <c r="AH108" s="9">
        <f t="shared" si="230"/>
        <v>0</v>
      </c>
      <c r="AI108" s="9">
        <f t="shared" si="231"/>
        <v>0</v>
      </c>
      <c r="AJ108" s="9">
        <f t="shared" si="232"/>
        <v>0</v>
      </c>
      <c r="AK108" s="9">
        <f t="shared" si="233"/>
        <v>0</v>
      </c>
      <c r="AL108" s="9">
        <f t="shared" si="234"/>
        <v>0</v>
      </c>
      <c r="AM108" s="9">
        <f t="shared" si="235"/>
        <v>0</v>
      </c>
      <c r="AN108" s="9">
        <f t="shared" si="236"/>
        <v>0</v>
      </c>
      <c r="AO108" s="10">
        <f t="shared" si="237"/>
        <v>0</v>
      </c>
      <c r="AQ108" s="109">
        <v>9</v>
      </c>
      <c r="AR108" s="9" t="s">
        <v>100</v>
      </c>
      <c r="AT108" s="125"/>
      <c r="AU108" s="126"/>
      <c r="AV108" s="127"/>
      <c r="AW108" s="127"/>
      <c r="AX108" s="127"/>
      <c r="AY108" s="125"/>
      <c r="AZ108" s="126"/>
      <c r="BA108" s="127"/>
      <c r="BB108" s="127"/>
      <c r="BC108" s="127"/>
      <c r="BD108" s="125"/>
      <c r="BE108" s="126"/>
      <c r="BF108" s="127"/>
      <c r="BG108" s="127"/>
      <c r="BH108" s="127"/>
      <c r="BI108" s="125"/>
      <c r="BJ108" s="128"/>
      <c r="BK108" s="127"/>
      <c r="BL108" s="127"/>
      <c r="BM108" s="127"/>
      <c r="BN108" s="125"/>
      <c r="BO108" s="128"/>
      <c r="BP108" s="127"/>
      <c r="BQ108" s="127"/>
      <c r="BR108" s="127"/>
      <c r="BS108" s="125"/>
      <c r="BU108" s="10" t="e">
        <f>#REF!</f>
        <v>#REF!</v>
      </c>
    </row>
    <row r="109" spans="2:73" s="10" customFormat="1" ht="18" customHeight="1" x14ac:dyDescent="0.2">
      <c r="B109" s="149">
        <v>105</v>
      </c>
      <c r="C109" s="149">
        <v>9</v>
      </c>
      <c r="D109" s="150" t="s">
        <v>458</v>
      </c>
      <c r="E109" s="186" t="s">
        <v>101</v>
      </c>
      <c r="F109" s="153" t="s">
        <v>417</v>
      </c>
      <c r="G109" s="216"/>
      <c r="H109" s="217" t="s">
        <v>912</v>
      </c>
      <c r="I109" s="218">
        <v>1</v>
      </c>
      <c r="J109" s="219">
        <v>1</v>
      </c>
      <c r="L109" s="111"/>
      <c r="M109" s="107" t="str">
        <f t="shared" si="211"/>
        <v>_</v>
      </c>
      <c r="N109" s="107">
        <f>'Project types'!$W$6</f>
        <v>2050</v>
      </c>
      <c r="O109" s="108">
        <f>IF(G109=1,(H109-1)+'Project types'!N110,IF(G109=2,H109-1,9999))</f>
        <v>9999</v>
      </c>
      <c r="P109" s="9">
        <f t="shared" si="212"/>
        <v>0</v>
      </c>
      <c r="Q109" s="9">
        <f t="shared" si="213"/>
        <v>0</v>
      </c>
      <c r="R109" s="9">
        <f t="shared" si="214"/>
        <v>0</v>
      </c>
      <c r="S109" s="9">
        <f t="shared" si="215"/>
        <v>0</v>
      </c>
      <c r="T109" s="9">
        <f t="shared" si="216"/>
        <v>0</v>
      </c>
      <c r="U109" s="9">
        <f t="shared" si="217"/>
        <v>0</v>
      </c>
      <c r="V109" s="9">
        <f t="shared" si="218"/>
        <v>0</v>
      </c>
      <c r="W109" s="9">
        <f t="shared" si="219"/>
        <v>0</v>
      </c>
      <c r="X109" s="9">
        <f t="shared" si="220"/>
        <v>0</v>
      </c>
      <c r="Y109" s="9">
        <f t="shared" si="221"/>
        <v>0</v>
      </c>
      <c r="Z109" s="9">
        <f t="shared" si="222"/>
        <v>0</v>
      </c>
      <c r="AA109" s="9">
        <f t="shared" si="223"/>
        <v>0</v>
      </c>
      <c r="AB109" s="9">
        <f t="shared" si="224"/>
        <v>0</v>
      </c>
      <c r="AC109" s="9">
        <f t="shared" si="225"/>
        <v>0</v>
      </c>
      <c r="AD109" s="9">
        <f t="shared" si="226"/>
        <v>0</v>
      </c>
      <c r="AE109" s="9">
        <f t="shared" si="227"/>
        <v>0</v>
      </c>
      <c r="AF109" s="9">
        <f t="shared" si="228"/>
        <v>0</v>
      </c>
      <c r="AG109" s="9">
        <f t="shared" si="229"/>
        <v>0</v>
      </c>
      <c r="AH109" s="9">
        <f t="shared" si="230"/>
        <v>0</v>
      </c>
      <c r="AI109" s="9">
        <f t="shared" si="231"/>
        <v>0</v>
      </c>
      <c r="AJ109" s="9">
        <f t="shared" si="232"/>
        <v>0</v>
      </c>
      <c r="AK109" s="9">
        <f t="shared" si="233"/>
        <v>0</v>
      </c>
      <c r="AL109" s="9">
        <f t="shared" si="234"/>
        <v>0</v>
      </c>
      <c r="AM109" s="9">
        <f t="shared" si="235"/>
        <v>0</v>
      </c>
      <c r="AN109" s="9">
        <f t="shared" si="236"/>
        <v>0</v>
      </c>
      <c r="AO109" s="10">
        <f t="shared" si="237"/>
        <v>0</v>
      </c>
      <c r="AQ109" s="109">
        <v>9</v>
      </c>
      <c r="AR109" s="9" t="s">
        <v>101</v>
      </c>
      <c r="AT109" s="125"/>
      <c r="AU109" s="126"/>
      <c r="AV109" s="127"/>
      <c r="AW109" s="127"/>
      <c r="AX109" s="127"/>
      <c r="AY109" s="125"/>
      <c r="AZ109" s="126"/>
      <c r="BA109" s="127"/>
      <c r="BB109" s="127"/>
      <c r="BC109" s="127"/>
      <c r="BD109" s="125"/>
      <c r="BE109" s="126"/>
      <c r="BF109" s="127"/>
      <c r="BG109" s="127"/>
      <c r="BH109" s="127"/>
      <c r="BI109" s="125"/>
      <c r="BJ109" s="128"/>
      <c r="BK109" s="127"/>
      <c r="BL109" s="127"/>
      <c r="BM109" s="127"/>
      <c r="BN109" s="125"/>
      <c r="BO109" s="128"/>
      <c r="BP109" s="127"/>
      <c r="BQ109" s="127"/>
      <c r="BR109" s="127"/>
      <c r="BS109" s="125"/>
      <c r="BU109" s="10" t="e">
        <f>#REF!</f>
        <v>#REF!</v>
      </c>
    </row>
    <row r="110" spans="2:73" s="10" customFormat="1" ht="18" customHeight="1" x14ac:dyDescent="0.2">
      <c r="B110" s="149">
        <v>106</v>
      </c>
      <c r="C110" s="149">
        <v>9</v>
      </c>
      <c r="D110" s="150" t="s">
        <v>458</v>
      </c>
      <c r="E110" s="186" t="s">
        <v>102</v>
      </c>
      <c r="F110" s="153" t="s">
        <v>166</v>
      </c>
      <c r="G110" s="216"/>
      <c r="H110" s="217" t="s">
        <v>912</v>
      </c>
      <c r="I110" s="218">
        <v>0.01</v>
      </c>
      <c r="J110" s="219">
        <v>1</v>
      </c>
      <c r="L110" s="111"/>
      <c r="M110" s="107" t="str">
        <f t="shared" si="211"/>
        <v>_</v>
      </c>
      <c r="N110" s="107">
        <f>'Project types'!$W$6</f>
        <v>2050</v>
      </c>
      <c r="O110" s="108">
        <f>IF(G110=1,(H110-1)+'Project types'!N111,IF(G110=2,H110-1,9999))</f>
        <v>9999</v>
      </c>
      <c r="P110" s="9">
        <f t="shared" si="212"/>
        <v>0</v>
      </c>
      <c r="Q110" s="9">
        <f t="shared" si="213"/>
        <v>0</v>
      </c>
      <c r="R110" s="9">
        <f t="shared" si="214"/>
        <v>0</v>
      </c>
      <c r="S110" s="9">
        <f t="shared" si="215"/>
        <v>0</v>
      </c>
      <c r="T110" s="9">
        <f t="shared" si="216"/>
        <v>0</v>
      </c>
      <c r="U110" s="9">
        <f t="shared" si="217"/>
        <v>0</v>
      </c>
      <c r="V110" s="9">
        <f t="shared" si="218"/>
        <v>0</v>
      </c>
      <c r="W110" s="9">
        <f t="shared" si="219"/>
        <v>0</v>
      </c>
      <c r="X110" s="9">
        <f t="shared" si="220"/>
        <v>0</v>
      </c>
      <c r="Y110" s="9">
        <f t="shared" si="221"/>
        <v>0</v>
      </c>
      <c r="Z110" s="9">
        <f t="shared" si="222"/>
        <v>0</v>
      </c>
      <c r="AA110" s="9">
        <f t="shared" si="223"/>
        <v>0</v>
      </c>
      <c r="AB110" s="9">
        <f t="shared" si="224"/>
        <v>0</v>
      </c>
      <c r="AC110" s="9">
        <f t="shared" si="225"/>
        <v>0</v>
      </c>
      <c r="AD110" s="9">
        <f t="shared" si="226"/>
        <v>0</v>
      </c>
      <c r="AE110" s="9">
        <f t="shared" si="227"/>
        <v>0</v>
      </c>
      <c r="AF110" s="9">
        <f t="shared" si="228"/>
        <v>0</v>
      </c>
      <c r="AG110" s="9">
        <f t="shared" si="229"/>
        <v>0</v>
      </c>
      <c r="AH110" s="9">
        <f t="shared" si="230"/>
        <v>0</v>
      </c>
      <c r="AI110" s="9">
        <f t="shared" si="231"/>
        <v>0</v>
      </c>
      <c r="AJ110" s="9">
        <f t="shared" si="232"/>
        <v>0</v>
      </c>
      <c r="AK110" s="9">
        <f t="shared" si="233"/>
        <v>0</v>
      </c>
      <c r="AL110" s="9">
        <f t="shared" si="234"/>
        <v>0</v>
      </c>
      <c r="AM110" s="9">
        <f t="shared" si="235"/>
        <v>0</v>
      </c>
      <c r="AN110" s="9">
        <f t="shared" si="236"/>
        <v>0</v>
      </c>
      <c r="AO110" s="10">
        <f t="shared" si="237"/>
        <v>0</v>
      </c>
      <c r="AQ110" s="109">
        <v>9</v>
      </c>
      <c r="AR110" s="9" t="s">
        <v>102</v>
      </c>
      <c r="AT110" s="125"/>
      <c r="AU110" s="126"/>
      <c r="AV110" s="127"/>
      <c r="AW110" s="127"/>
      <c r="AX110" s="127"/>
      <c r="AY110" s="125"/>
      <c r="AZ110" s="126"/>
      <c r="BA110" s="127"/>
      <c r="BB110" s="127"/>
      <c r="BC110" s="127"/>
      <c r="BD110" s="125"/>
      <c r="BE110" s="126"/>
      <c r="BF110" s="127"/>
      <c r="BG110" s="127"/>
      <c r="BH110" s="127"/>
      <c r="BI110" s="125"/>
      <c r="BJ110" s="128"/>
      <c r="BK110" s="127"/>
      <c r="BL110" s="127"/>
      <c r="BM110" s="127"/>
      <c r="BN110" s="125"/>
      <c r="BO110" s="128"/>
      <c r="BP110" s="127"/>
      <c r="BQ110" s="127"/>
      <c r="BR110" s="127"/>
      <c r="BS110" s="125"/>
      <c r="BU110" s="10" t="e">
        <f>#REF!</f>
        <v>#REF!</v>
      </c>
    </row>
    <row r="111" spans="2:73" s="10" customFormat="1" ht="18" customHeight="1" x14ac:dyDescent="0.2">
      <c r="B111" s="149">
        <v>107</v>
      </c>
      <c r="C111" s="149">
        <v>9</v>
      </c>
      <c r="D111" s="150" t="s">
        <v>458</v>
      </c>
      <c r="E111" s="186" t="s">
        <v>103</v>
      </c>
      <c r="F111" s="153" t="s">
        <v>167</v>
      </c>
      <c r="G111" s="216"/>
      <c r="H111" s="217" t="s">
        <v>912</v>
      </c>
      <c r="I111" s="218">
        <v>1</v>
      </c>
      <c r="J111" s="219">
        <v>1</v>
      </c>
      <c r="L111" s="111"/>
      <c r="M111" s="107" t="str">
        <f t="shared" si="211"/>
        <v>_</v>
      </c>
      <c r="N111" s="107">
        <f>'Project types'!$W$6</f>
        <v>2050</v>
      </c>
      <c r="O111" s="108">
        <f>IF(G111=1,(H111-1)+'Project types'!N112,IF(G111=2,H111-1,9999))</f>
        <v>9999</v>
      </c>
      <c r="P111" s="9">
        <f t="shared" si="212"/>
        <v>0</v>
      </c>
      <c r="Q111" s="9">
        <f t="shared" si="213"/>
        <v>0</v>
      </c>
      <c r="R111" s="9">
        <f t="shared" si="214"/>
        <v>0</v>
      </c>
      <c r="S111" s="9">
        <f t="shared" si="215"/>
        <v>0</v>
      </c>
      <c r="T111" s="9">
        <f t="shared" si="216"/>
        <v>0</v>
      </c>
      <c r="U111" s="9">
        <f t="shared" si="217"/>
        <v>0</v>
      </c>
      <c r="V111" s="9">
        <f t="shared" si="218"/>
        <v>0</v>
      </c>
      <c r="W111" s="9">
        <f t="shared" si="219"/>
        <v>0</v>
      </c>
      <c r="X111" s="9">
        <f t="shared" si="220"/>
        <v>0</v>
      </c>
      <c r="Y111" s="9">
        <f t="shared" si="221"/>
        <v>0</v>
      </c>
      <c r="Z111" s="9">
        <f t="shared" si="222"/>
        <v>0</v>
      </c>
      <c r="AA111" s="9">
        <f t="shared" si="223"/>
        <v>0</v>
      </c>
      <c r="AB111" s="9">
        <f t="shared" si="224"/>
        <v>0</v>
      </c>
      <c r="AC111" s="9">
        <f t="shared" si="225"/>
        <v>0</v>
      </c>
      <c r="AD111" s="9">
        <f t="shared" si="226"/>
        <v>0</v>
      </c>
      <c r="AE111" s="9">
        <f t="shared" si="227"/>
        <v>0</v>
      </c>
      <c r="AF111" s="9">
        <f t="shared" si="228"/>
        <v>0</v>
      </c>
      <c r="AG111" s="9">
        <f t="shared" si="229"/>
        <v>0</v>
      </c>
      <c r="AH111" s="9">
        <f t="shared" si="230"/>
        <v>0</v>
      </c>
      <c r="AI111" s="9">
        <f t="shared" si="231"/>
        <v>0</v>
      </c>
      <c r="AJ111" s="9">
        <f t="shared" si="232"/>
        <v>0</v>
      </c>
      <c r="AK111" s="9">
        <f t="shared" si="233"/>
        <v>0</v>
      </c>
      <c r="AL111" s="9">
        <f t="shared" si="234"/>
        <v>0</v>
      </c>
      <c r="AM111" s="9">
        <f t="shared" si="235"/>
        <v>0</v>
      </c>
      <c r="AN111" s="9">
        <f t="shared" si="236"/>
        <v>0</v>
      </c>
      <c r="AO111" s="10">
        <f t="shared" si="237"/>
        <v>0</v>
      </c>
      <c r="AR111" s="137" t="s">
        <v>103</v>
      </c>
      <c r="AT111" s="125"/>
      <c r="AU111" s="126"/>
      <c r="AV111" s="127"/>
      <c r="AW111" s="127"/>
      <c r="AX111" s="127"/>
      <c r="AY111" s="125"/>
      <c r="AZ111" s="126"/>
      <c r="BA111" s="127"/>
      <c r="BB111" s="127"/>
      <c r="BC111" s="127"/>
      <c r="BD111" s="125"/>
      <c r="BE111" s="126"/>
      <c r="BF111" s="127"/>
      <c r="BG111" s="127"/>
      <c r="BH111" s="127"/>
      <c r="BI111" s="125"/>
      <c r="BJ111" s="128"/>
      <c r="BK111" s="127"/>
      <c r="BL111" s="127"/>
      <c r="BM111" s="127"/>
      <c r="BN111" s="125"/>
      <c r="BO111" s="128"/>
      <c r="BP111" s="127"/>
      <c r="BQ111" s="127"/>
      <c r="BR111" s="127"/>
      <c r="BS111" s="125"/>
      <c r="BU111" s="10" t="e">
        <f>#REF!</f>
        <v>#REF!</v>
      </c>
    </row>
    <row r="112" spans="2:73" s="10" customFormat="1" ht="18" customHeight="1" x14ac:dyDescent="0.2">
      <c r="B112" s="149">
        <v>108</v>
      </c>
      <c r="C112" s="149">
        <v>9</v>
      </c>
      <c r="D112" s="150" t="s">
        <v>458</v>
      </c>
      <c r="E112" s="186" t="s">
        <v>104</v>
      </c>
      <c r="F112" s="153" t="s">
        <v>168</v>
      </c>
      <c r="G112" s="216"/>
      <c r="H112" s="217" t="s">
        <v>912</v>
      </c>
      <c r="I112" s="218">
        <v>0.1</v>
      </c>
      <c r="J112" s="219">
        <v>1</v>
      </c>
      <c r="L112" s="111"/>
      <c r="M112" s="107" t="str">
        <f t="shared" si="211"/>
        <v>_</v>
      </c>
      <c r="N112" s="107">
        <f>'Project types'!$W$6</f>
        <v>2050</v>
      </c>
      <c r="O112" s="108">
        <f>IF(G112=1,(H112-1)+'Project types'!N113,IF(G112=2,H112-1,9999))</f>
        <v>9999</v>
      </c>
      <c r="P112" s="9">
        <f t="shared" si="212"/>
        <v>0</v>
      </c>
      <c r="Q112" s="9">
        <f t="shared" si="213"/>
        <v>0</v>
      </c>
      <c r="R112" s="9">
        <f t="shared" si="214"/>
        <v>0</v>
      </c>
      <c r="S112" s="9">
        <f t="shared" si="215"/>
        <v>0</v>
      </c>
      <c r="T112" s="9">
        <f t="shared" si="216"/>
        <v>0</v>
      </c>
      <c r="U112" s="9">
        <f t="shared" si="217"/>
        <v>0</v>
      </c>
      <c r="V112" s="9">
        <f t="shared" si="218"/>
        <v>0</v>
      </c>
      <c r="W112" s="9">
        <f t="shared" si="219"/>
        <v>0</v>
      </c>
      <c r="X112" s="9">
        <f t="shared" si="220"/>
        <v>0</v>
      </c>
      <c r="Y112" s="9">
        <f t="shared" si="221"/>
        <v>0</v>
      </c>
      <c r="Z112" s="9">
        <f t="shared" si="222"/>
        <v>0</v>
      </c>
      <c r="AA112" s="9">
        <f t="shared" si="223"/>
        <v>0</v>
      </c>
      <c r="AB112" s="9">
        <f t="shared" si="224"/>
        <v>0</v>
      </c>
      <c r="AC112" s="9">
        <f t="shared" si="225"/>
        <v>0</v>
      </c>
      <c r="AD112" s="9">
        <f t="shared" si="226"/>
        <v>0</v>
      </c>
      <c r="AE112" s="9">
        <f t="shared" si="227"/>
        <v>0</v>
      </c>
      <c r="AF112" s="9">
        <f t="shared" si="228"/>
        <v>0</v>
      </c>
      <c r="AG112" s="9">
        <f t="shared" si="229"/>
        <v>0</v>
      </c>
      <c r="AH112" s="9">
        <f t="shared" si="230"/>
        <v>0</v>
      </c>
      <c r="AI112" s="9">
        <f t="shared" si="231"/>
        <v>0</v>
      </c>
      <c r="AJ112" s="9">
        <f t="shared" si="232"/>
        <v>0</v>
      </c>
      <c r="AK112" s="9">
        <f t="shared" si="233"/>
        <v>0</v>
      </c>
      <c r="AL112" s="9">
        <f t="shared" si="234"/>
        <v>0</v>
      </c>
      <c r="AM112" s="9">
        <f t="shared" si="235"/>
        <v>0</v>
      </c>
      <c r="AN112" s="9">
        <f t="shared" si="236"/>
        <v>0</v>
      </c>
      <c r="AO112" s="10">
        <f t="shared" si="237"/>
        <v>0</v>
      </c>
      <c r="AR112" s="137" t="s">
        <v>104</v>
      </c>
      <c r="AT112" s="125"/>
      <c r="AU112" s="126"/>
      <c r="AV112" s="127"/>
      <c r="AW112" s="127"/>
      <c r="AX112" s="127"/>
      <c r="AY112" s="125"/>
      <c r="AZ112" s="126"/>
      <c r="BA112" s="127"/>
      <c r="BB112" s="127"/>
      <c r="BC112" s="127"/>
      <c r="BD112" s="125"/>
      <c r="BE112" s="126"/>
      <c r="BF112" s="127"/>
      <c r="BG112" s="127"/>
      <c r="BH112" s="127"/>
      <c r="BI112" s="125"/>
      <c r="BJ112" s="128"/>
      <c r="BK112" s="127"/>
      <c r="BL112" s="127"/>
      <c r="BM112" s="127"/>
      <c r="BN112" s="125"/>
      <c r="BO112" s="128"/>
      <c r="BP112" s="127"/>
      <c r="BQ112" s="127"/>
      <c r="BR112" s="127"/>
      <c r="BS112" s="125"/>
      <c r="BU112" s="10" t="e">
        <f>#REF!</f>
        <v>#REF!</v>
      </c>
    </row>
    <row r="113" spans="2:73" s="10" customFormat="1" ht="18" customHeight="1" x14ac:dyDescent="0.2">
      <c r="B113" s="149">
        <v>109</v>
      </c>
      <c r="C113" s="149">
        <v>9</v>
      </c>
      <c r="D113" s="150" t="s">
        <v>458</v>
      </c>
      <c r="E113" s="186" t="s">
        <v>105</v>
      </c>
      <c r="F113" s="153" t="s">
        <v>169</v>
      </c>
      <c r="G113" s="216"/>
      <c r="H113" s="217" t="s">
        <v>912</v>
      </c>
      <c r="I113" s="218">
        <v>1</v>
      </c>
      <c r="J113" s="219">
        <v>1</v>
      </c>
      <c r="L113" s="111"/>
      <c r="M113" s="107" t="str">
        <f t="shared" si="211"/>
        <v>_</v>
      </c>
      <c r="N113" s="107">
        <f>'Project types'!$W$6</f>
        <v>2050</v>
      </c>
      <c r="O113" s="108">
        <f>IF(G113=1,(H113-1)+'Project types'!N114,IF(G113=2,H113-1,9999))</f>
        <v>9999</v>
      </c>
      <c r="P113" s="9">
        <f t="shared" si="212"/>
        <v>0</v>
      </c>
      <c r="Q113" s="9">
        <f t="shared" si="213"/>
        <v>0</v>
      </c>
      <c r="R113" s="9">
        <f t="shared" si="214"/>
        <v>0</v>
      </c>
      <c r="S113" s="9">
        <f t="shared" si="215"/>
        <v>0</v>
      </c>
      <c r="T113" s="9">
        <f t="shared" si="216"/>
        <v>0</v>
      </c>
      <c r="U113" s="9">
        <f t="shared" si="217"/>
        <v>0</v>
      </c>
      <c r="V113" s="9">
        <f t="shared" si="218"/>
        <v>0</v>
      </c>
      <c r="W113" s="9">
        <f t="shared" si="219"/>
        <v>0</v>
      </c>
      <c r="X113" s="9">
        <f t="shared" si="220"/>
        <v>0</v>
      </c>
      <c r="Y113" s="9">
        <f>_xlfn.IFS(AND(AND($Y$4&gt;=$H113,$Y$4&lt;=$O113)),18,AND(AND($Y$4&gt;=$M113,$Y$4&lt;=$N113)),17,AND(OR($Y$4&lt;$M113,$Y$4&gt;$N113)),0)</f>
        <v>0</v>
      </c>
      <c r="Z113" s="9">
        <f t="shared" si="222"/>
        <v>0</v>
      </c>
      <c r="AA113" s="9">
        <f t="shared" si="223"/>
        <v>0</v>
      </c>
      <c r="AB113" s="9">
        <f t="shared" si="224"/>
        <v>0</v>
      </c>
      <c r="AC113" s="9">
        <f t="shared" si="225"/>
        <v>0</v>
      </c>
      <c r="AD113" s="9">
        <f t="shared" si="226"/>
        <v>0</v>
      </c>
      <c r="AE113" s="9">
        <f t="shared" si="227"/>
        <v>0</v>
      </c>
      <c r="AF113" s="9">
        <f t="shared" si="228"/>
        <v>0</v>
      </c>
      <c r="AG113" s="9">
        <f t="shared" si="229"/>
        <v>0</v>
      </c>
      <c r="AH113" s="9">
        <f t="shared" si="230"/>
        <v>0</v>
      </c>
      <c r="AI113" s="9">
        <f t="shared" si="231"/>
        <v>0</v>
      </c>
      <c r="AJ113" s="9">
        <f t="shared" si="232"/>
        <v>0</v>
      </c>
      <c r="AK113" s="9">
        <f t="shared" si="233"/>
        <v>0</v>
      </c>
      <c r="AL113" s="9">
        <f t="shared" si="234"/>
        <v>0</v>
      </c>
      <c r="AM113" s="9">
        <f t="shared" si="235"/>
        <v>0</v>
      </c>
      <c r="AN113" s="9">
        <f t="shared" si="236"/>
        <v>0</v>
      </c>
      <c r="AO113" s="10">
        <f t="shared" si="237"/>
        <v>0</v>
      </c>
      <c r="AR113" s="137" t="s">
        <v>105</v>
      </c>
      <c r="AT113" s="125"/>
      <c r="AU113" s="126"/>
      <c r="AV113" s="127"/>
      <c r="AW113" s="127"/>
      <c r="AX113" s="127"/>
      <c r="AY113" s="125"/>
      <c r="AZ113" s="126"/>
      <c r="BA113" s="127"/>
      <c r="BB113" s="127"/>
      <c r="BC113" s="127"/>
      <c r="BD113" s="125"/>
      <c r="BE113" s="126"/>
      <c r="BF113" s="127"/>
      <c r="BG113" s="127"/>
      <c r="BH113" s="127"/>
      <c r="BI113" s="125"/>
      <c r="BJ113" s="128"/>
      <c r="BK113" s="127"/>
      <c r="BL113" s="127"/>
      <c r="BM113" s="127"/>
      <c r="BN113" s="125"/>
      <c r="BO113" s="128"/>
      <c r="BP113" s="127"/>
      <c r="BQ113" s="127"/>
      <c r="BR113" s="127"/>
      <c r="BS113" s="125"/>
      <c r="BU113" s="10" t="e">
        <f>#REF!</f>
        <v>#REF!</v>
      </c>
    </row>
    <row r="114" spans="2:73" s="10" customFormat="1" ht="18" customHeight="1" x14ac:dyDescent="0.2">
      <c r="B114" s="149">
        <v>110</v>
      </c>
      <c r="C114" s="149">
        <v>9</v>
      </c>
      <c r="D114" s="150" t="s">
        <v>458</v>
      </c>
      <c r="E114" s="186" t="s">
        <v>106</v>
      </c>
      <c r="F114" s="153" t="s">
        <v>170</v>
      </c>
      <c r="G114" s="216"/>
      <c r="H114" s="217" t="s">
        <v>912</v>
      </c>
      <c r="I114" s="218">
        <v>1</v>
      </c>
      <c r="J114" s="219">
        <v>1</v>
      </c>
      <c r="L114" s="111"/>
      <c r="M114" s="107" t="str">
        <f t="shared" si="211"/>
        <v>_</v>
      </c>
      <c r="N114" s="107">
        <f>'Project types'!$W$6</f>
        <v>2050</v>
      </c>
      <c r="O114" s="108">
        <f>IF(G114=1,(H114-1)+'Project types'!N115,IF(G114=2,H114-1,9999))</f>
        <v>9999</v>
      </c>
      <c r="P114" s="9">
        <f t="shared" si="212"/>
        <v>0</v>
      </c>
      <c r="Q114" s="9">
        <f t="shared" si="213"/>
        <v>0</v>
      </c>
      <c r="R114" s="9">
        <f t="shared" si="214"/>
        <v>0</v>
      </c>
      <c r="S114" s="9">
        <f t="shared" si="215"/>
        <v>0</v>
      </c>
      <c r="T114" s="9">
        <f t="shared" si="216"/>
        <v>0</v>
      </c>
      <c r="U114" s="9">
        <f t="shared" si="217"/>
        <v>0</v>
      </c>
      <c r="V114" s="9">
        <f t="shared" si="218"/>
        <v>0</v>
      </c>
      <c r="W114" s="9">
        <f t="shared" si="219"/>
        <v>0</v>
      </c>
      <c r="X114" s="9">
        <f t="shared" si="220"/>
        <v>0</v>
      </c>
      <c r="Y114" s="9">
        <f t="shared" si="221"/>
        <v>0</v>
      </c>
      <c r="Z114" s="9">
        <f t="shared" si="222"/>
        <v>0</v>
      </c>
      <c r="AA114" s="9">
        <f t="shared" si="223"/>
        <v>0</v>
      </c>
      <c r="AB114" s="9">
        <f t="shared" si="224"/>
        <v>0</v>
      </c>
      <c r="AC114" s="9">
        <f t="shared" si="225"/>
        <v>0</v>
      </c>
      <c r="AD114" s="9">
        <f t="shared" si="226"/>
        <v>0</v>
      </c>
      <c r="AE114" s="9">
        <f t="shared" si="227"/>
        <v>0</v>
      </c>
      <c r="AF114" s="9">
        <f t="shared" si="228"/>
        <v>0</v>
      </c>
      <c r="AG114" s="9">
        <f t="shared" si="229"/>
        <v>0</v>
      </c>
      <c r="AH114" s="9">
        <f t="shared" si="230"/>
        <v>0</v>
      </c>
      <c r="AI114" s="9">
        <f t="shared" si="231"/>
        <v>0</v>
      </c>
      <c r="AJ114" s="9">
        <f t="shared" si="232"/>
        <v>0</v>
      </c>
      <c r="AK114" s="9">
        <f t="shared" si="233"/>
        <v>0</v>
      </c>
      <c r="AL114" s="9">
        <f t="shared" si="234"/>
        <v>0</v>
      </c>
      <c r="AM114" s="9">
        <f t="shared" si="235"/>
        <v>0</v>
      </c>
      <c r="AN114" s="9">
        <f t="shared" si="236"/>
        <v>0</v>
      </c>
      <c r="AO114" s="10">
        <f t="shared" si="237"/>
        <v>0</v>
      </c>
      <c r="AR114" s="137" t="s">
        <v>106</v>
      </c>
      <c r="AT114" s="125"/>
      <c r="AU114" s="126"/>
      <c r="AV114" s="127"/>
      <c r="AW114" s="127"/>
      <c r="AX114" s="127"/>
      <c r="AY114" s="125"/>
      <c r="AZ114" s="126"/>
      <c r="BA114" s="127"/>
      <c r="BB114" s="127"/>
      <c r="BC114" s="127"/>
      <c r="BD114" s="125"/>
      <c r="BE114" s="126"/>
      <c r="BF114" s="127"/>
      <c r="BG114" s="127"/>
      <c r="BH114" s="127"/>
      <c r="BI114" s="125"/>
      <c r="BJ114" s="128"/>
      <c r="BK114" s="127"/>
      <c r="BL114" s="127"/>
      <c r="BM114" s="127"/>
      <c r="BN114" s="125"/>
      <c r="BO114" s="128"/>
      <c r="BP114" s="127"/>
      <c r="BQ114" s="127"/>
      <c r="BR114" s="127"/>
      <c r="BS114" s="125"/>
      <c r="BU114" s="10" t="e">
        <f>#REF!</f>
        <v>#REF!</v>
      </c>
    </row>
    <row r="115" spans="2:73" s="10" customFormat="1" ht="18" customHeight="1" x14ac:dyDescent="0.2">
      <c r="B115" s="149">
        <v>111</v>
      </c>
      <c r="C115" s="149">
        <v>9</v>
      </c>
      <c r="D115" s="150" t="s">
        <v>458</v>
      </c>
      <c r="E115" s="186" t="s">
        <v>107</v>
      </c>
      <c r="F115" s="153" t="s">
        <v>171</v>
      </c>
      <c r="G115" s="216"/>
      <c r="H115" s="217" t="s">
        <v>912</v>
      </c>
      <c r="I115" s="218">
        <v>1</v>
      </c>
      <c r="J115" s="219">
        <v>1</v>
      </c>
      <c r="L115" s="111"/>
      <c r="M115" s="107" t="str">
        <f t="shared" si="211"/>
        <v>_</v>
      </c>
      <c r="N115" s="107">
        <f>'Project types'!$W$6</f>
        <v>2050</v>
      </c>
      <c r="O115" s="108">
        <f>IF(G115=1,(H115-1)+'Project types'!N116,IF(G115=2,H115-1,9999))</f>
        <v>9999</v>
      </c>
      <c r="P115" s="9">
        <f t="shared" si="212"/>
        <v>0</v>
      </c>
      <c r="Q115" s="9">
        <f t="shared" si="213"/>
        <v>0</v>
      </c>
      <c r="R115" s="9">
        <f t="shared" si="214"/>
        <v>0</v>
      </c>
      <c r="S115" s="9">
        <f t="shared" si="215"/>
        <v>0</v>
      </c>
      <c r="T115" s="9">
        <f t="shared" si="216"/>
        <v>0</v>
      </c>
      <c r="U115" s="9">
        <f t="shared" si="217"/>
        <v>0</v>
      </c>
      <c r="V115" s="9">
        <f t="shared" si="218"/>
        <v>0</v>
      </c>
      <c r="W115" s="9">
        <f t="shared" si="219"/>
        <v>0</v>
      </c>
      <c r="X115" s="9">
        <f t="shared" si="220"/>
        <v>0</v>
      </c>
      <c r="Y115" s="9">
        <f t="shared" si="221"/>
        <v>0</v>
      </c>
      <c r="Z115" s="9">
        <f t="shared" si="222"/>
        <v>0</v>
      </c>
      <c r="AA115" s="9">
        <f t="shared" si="223"/>
        <v>0</v>
      </c>
      <c r="AB115" s="9">
        <f t="shared" si="224"/>
        <v>0</v>
      </c>
      <c r="AC115" s="9">
        <f t="shared" si="225"/>
        <v>0</v>
      </c>
      <c r="AD115" s="9">
        <f t="shared" si="226"/>
        <v>0</v>
      </c>
      <c r="AE115" s="9">
        <f t="shared" si="227"/>
        <v>0</v>
      </c>
      <c r="AF115" s="9">
        <f t="shared" si="228"/>
        <v>0</v>
      </c>
      <c r="AG115" s="9">
        <f t="shared" si="229"/>
        <v>0</v>
      </c>
      <c r="AH115" s="9">
        <f t="shared" si="230"/>
        <v>0</v>
      </c>
      <c r="AI115" s="9">
        <f t="shared" si="231"/>
        <v>0</v>
      </c>
      <c r="AJ115" s="9">
        <f t="shared" si="232"/>
        <v>0</v>
      </c>
      <c r="AK115" s="9">
        <f t="shared" si="233"/>
        <v>0</v>
      </c>
      <c r="AL115" s="9">
        <f t="shared" si="234"/>
        <v>0</v>
      </c>
      <c r="AM115" s="9">
        <f t="shared" si="235"/>
        <v>0</v>
      </c>
      <c r="AN115" s="9">
        <f t="shared" si="236"/>
        <v>0</v>
      </c>
      <c r="AO115" s="10">
        <f t="shared" si="237"/>
        <v>0</v>
      </c>
      <c r="AR115" s="137" t="s">
        <v>107</v>
      </c>
      <c r="AT115" s="125"/>
      <c r="AU115" s="126"/>
      <c r="AV115" s="127"/>
      <c r="AW115" s="127"/>
      <c r="AX115" s="127"/>
      <c r="AY115" s="125"/>
      <c r="AZ115" s="126"/>
      <c r="BA115" s="127"/>
      <c r="BB115" s="127"/>
      <c r="BC115" s="127"/>
      <c r="BD115" s="125"/>
      <c r="BE115" s="126"/>
      <c r="BF115" s="127"/>
      <c r="BG115" s="127"/>
      <c r="BH115" s="127"/>
      <c r="BI115" s="125"/>
      <c r="BJ115" s="128"/>
      <c r="BK115" s="127"/>
      <c r="BL115" s="127"/>
      <c r="BM115" s="127"/>
      <c r="BN115" s="125"/>
      <c r="BO115" s="128"/>
      <c r="BP115" s="127"/>
      <c r="BQ115" s="127"/>
      <c r="BR115" s="127"/>
      <c r="BS115" s="125"/>
      <c r="BU115" s="10" t="e">
        <f>#REF!</f>
        <v>#REF!</v>
      </c>
    </row>
    <row r="116" spans="2:73" s="10" customFormat="1" ht="18" customHeight="1" x14ac:dyDescent="0.2">
      <c r="B116" s="149">
        <v>112</v>
      </c>
      <c r="C116" s="149">
        <v>9</v>
      </c>
      <c r="D116" s="150" t="s">
        <v>458</v>
      </c>
      <c r="E116" s="186" t="s">
        <v>108</v>
      </c>
      <c r="F116" s="153" t="s">
        <v>172</v>
      </c>
      <c r="G116" s="216"/>
      <c r="H116" s="217" t="s">
        <v>912</v>
      </c>
      <c r="I116" s="218">
        <v>1</v>
      </c>
      <c r="J116" s="219">
        <v>1</v>
      </c>
      <c r="L116" s="111"/>
      <c r="M116" s="107" t="str">
        <f t="shared" si="211"/>
        <v>_</v>
      </c>
      <c r="N116" s="107">
        <f>'Project types'!$W$6</f>
        <v>2050</v>
      </c>
      <c r="O116" s="108">
        <f>IF(G116=1,(H116-1)+'Project types'!N117,IF(G116=2,H116-1,9999))</f>
        <v>9999</v>
      </c>
      <c r="P116" s="9">
        <f t="shared" si="212"/>
        <v>0</v>
      </c>
      <c r="Q116" s="9">
        <f t="shared" si="213"/>
        <v>0</v>
      </c>
      <c r="R116" s="9">
        <f t="shared" si="214"/>
        <v>0</v>
      </c>
      <c r="S116" s="9">
        <f t="shared" si="215"/>
        <v>0</v>
      </c>
      <c r="T116" s="9">
        <f t="shared" si="216"/>
        <v>0</v>
      </c>
      <c r="U116" s="9">
        <f t="shared" si="217"/>
        <v>0</v>
      </c>
      <c r="V116" s="9">
        <f t="shared" si="218"/>
        <v>0</v>
      </c>
      <c r="W116" s="9">
        <f t="shared" si="219"/>
        <v>0</v>
      </c>
      <c r="X116" s="9">
        <f t="shared" si="220"/>
        <v>0</v>
      </c>
      <c r="Y116" s="9">
        <f t="shared" si="221"/>
        <v>0</v>
      </c>
      <c r="Z116" s="9">
        <f t="shared" si="222"/>
        <v>0</v>
      </c>
      <c r="AA116" s="9">
        <f t="shared" si="223"/>
        <v>0</v>
      </c>
      <c r="AB116" s="9">
        <f t="shared" si="224"/>
        <v>0</v>
      </c>
      <c r="AC116" s="9">
        <f t="shared" si="225"/>
        <v>0</v>
      </c>
      <c r="AD116" s="9">
        <f t="shared" si="226"/>
        <v>0</v>
      </c>
      <c r="AE116" s="9">
        <f t="shared" si="227"/>
        <v>0</v>
      </c>
      <c r="AF116" s="9">
        <f t="shared" si="228"/>
        <v>0</v>
      </c>
      <c r="AG116" s="9">
        <f t="shared" si="229"/>
        <v>0</v>
      </c>
      <c r="AH116" s="9">
        <f t="shared" si="230"/>
        <v>0</v>
      </c>
      <c r="AI116" s="9">
        <f t="shared" si="231"/>
        <v>0</v>
      </c>
      <c r="AJ116" s="9">
        <f t="shared" si="232"/>
        <v>0</v>
      </c>
      <c r="AK116" s="9">
        <f t="shared" si="233"/>
        <v>0</v>
      </c>
      <c r="AL116" s="9">
        <f t="shared" si="234"/>
        <v>0</v>
      </c>
      <c r="AM116" s="9">
        <f t="shared" si="235"/>
        <v>0</v>
      </c>
      <c r="AN116" s="9">
        <f t="shared" si="236"/>
        <v>0</v>
      </c>
      <c r="AO116" s="10">
        <f t="shared" si="237"/>
        <v>0</v>
      </c>
      <c r="AR116" s="137" t="s">
        <v>108</v>
      </c>
      <c r="AT116" s="125"/>
      <c r="AU116" s="126"/>
      <c r="AV116" s="127"/>
      <c r="AW116" s="127"/>
      <c r="AX116" s="127"/>
      <c r="AY116" s="125"/>
      <c r="AZ116" s="126"/>
      <c r="BA116" s="127"/>
      <c r="BB116" s="127"/>
      <c r="BC116" s="127"/>
      <c r="BD116" s="125"/>
      <c r="BE116" s="126"/>
      <c r="BF116" s="127"/>
      <c r="BG116" s="127"/>
      <c r="BH116" s="127"/>
      <c r="BI116" s="125"/>
      <c r="BJ116" s="128"/>
      <c r="BK116" s="127"/>
      <c r="BL116" s="127"/>
      <c r="BM116" s="127"/>
      <c r="BN116" s="125"/>
      <c r="BO116" s="128"/>
      <c r="BP116" s="127"/>
      <c r="BQ116" s="127"/>
      <c r="BR116" s="127"/>
      <c r="BS116" s="125"/>
      <c r="BU116" s="10" t="e">
        <f>#REF!</f>
        <v>#REF!</v>
      </c>
    </row>
    <row r="117" spans="2:73" s="10" customFormat="1" ht="18" customHeight="1" x14ac:dyDescent="0.2">
      <c r="B117" s="149">
        <v>113</v>
      </c>
      <c r="C117" s="149">
        <v>9</v>
      </c>
      <c r="D117" s="150" t="s">
        <v>458</v>
      </c>
      <c r="E117" s="186" t="s">
        <v>109</v>
      </c>
      <c r="F117" s="169" t="s">
        <v>407</v>
      </c>
      <c r="G117" s="216"/>
      <c r="H117" s="217" t="s">
        <v>912</v>
      </c>
      <c r="I117" s="218">
        <v>1</v>
      </c>
      <c r="J117" s="219">
        <v>1</v>
      </c>
      <c r="L117" s="111"/>
      <c r="M117" s="107" t="str">
        <f t="shared" si="211"/>
        <v>_</v>
      </c>
      <c r="N117" s="107">
        <f>'Project types'!$W$6</f>
        <v>2050</v>
      </c>
      <c r="O117" s="108">
        <f>IF(G117=1,(H117-1)+'Project types'!N118,IF(G117=2,H117-1,9999))</f>
        <v>9999</v>
      </c>
      <c r="P117" s="9">
        <f t="shared" si="212"/>
        <v>0</v>
      </c>
      <c r="Q117" s="9">
        <f t="shared" si="213"/>
        <v>0</v>
      </c>
      <c r="R117" s="9">
        <f t="shared" si="214"/>
        <v>0</v>
      </c>
      <c r="S117" s="9">
        <f t="shared" si="215"/>
        <v>0</v>
      </c>
      <c r="T117" s="9">
        <f t="shared" si="216"/>
        <v>0</v>
      </c>
      <c r="U117" s="9">
        <f t="shared" si="217"/>
        <v>0</v>
      </c>
      <c r="V117" s="9">
        <f t="shared" si="218"/>
        <v>0</v>
      </c>
      <c r="W117" s="9">
        <f t="shared" si="219"/>
        <v>0</v>
      </c>
      <c r="X117" s="9">
        <f t="shared" si="220"/>
        <v>0</v>
      </c>
      <c r="Y117" s="9">
        <f t="shared" si="221"/>
        <v>0</v>
      </c>
      <c r="Z117" s="9">
        <f t="shared" si="222"/>
        <v>0</v>
      </c>
      <c r="AA117" s="9">
        <f t="shared" si="223"/>
        <v>0</v>
      </c>
      <c r="AB117" s="9">
        <f t="shared" si="224"/>
        <v>0</v>
      </c>
      <c r="AC117" s="9">
        <f t="shared" si="225"/>
        <v>0</v>
      </c>
      <c r="AD117" s="9">
        <f t="shared" si="226"/>
        <v>0</v>
      </c>
      <c r="AE117" s="9">
        <f t="shared" si="227"/>
        <v>0</v>
      </c>
      <c r="AF117" s="9">
        <f t="shared" si="228"/>
        <v>0</v>
      </c>
      <c r="AG117" s="9">
        <f t="shared" si="229"/>
        <v>0</v>
      </c>
      <c r="AH117" s="9">
        <f t="shared" si="230"/>
        <v>0</v>
      </c>
      <c r="AI117" s="9">
        <f t="shared" si="231"/>
        <v>0</v>
      </c>
      <c r="AJ117" s="9">
        <f t="shared" si="232"/>
        <v>0</v>
      </c>
      <c r="AK117" s="9">
        <f t="shared" si="233"/>
        <v>0</v>
      </c>
      <c r="AL117" s="9">
        <f t="shared" si="234"/>
        <v>0</v>
      </c>
      <c r="AM117" s="9">
        <f t="shared" si="235"/>
        <v>0</v>
      </c>
      <c r="AN117" s="9">
        <f t="shared" si="236"/>
        <v>0</v>
      </c>
      <c r="AO117" s="10">
        <f t="shared" si="237"/>
        <v>0</v>
      </c>
      <c r="AR117" s="137" t="s">
        <v>109</v>
      </c>
      <c r="AT117" s="125"/>
      <c r="AU117" s="126"/>
      <c r="AV117" s="127"/>
      <c r="AW117" s="127"/>
      <c r="AX117" s="127"/>
      <c r="AY117" s="125"/>
      <c r="AZ117" s="126"/>
      <c r="BA117" s="127"/>
      <c r="BB117" s="127"/>
      <c r="BC117" s="127"/>
      <c r="BD117" s="125"/>
      <c r="BE117" s="126"/>
      <c r="BF117" s="127"/>
      <c r="BG117" s="127"/>
      <c r="BH117" s="127"/>
      <c r="BI117" s="125"/>
      <c r="BJ117" s="128"/>
      <c r="BK117" s="127"/>
      <c r="BL117" s="127"/>
      <c r="BM117" s="127"/>
      <c r="BN117" s="125"/>
      <c r="BO117" s="128"/>
      <c r="BP117" s="127"/>
      <c r="BQ117" s="127"/>
      <c r="BR117" s="127"/>
      <c r="BS117" s="125"/>
      <c r="BU117" s="10" t="e">
        <f>#REF!</f>
        <v>#REF!</v>
      </c>
    </row>
    <row r="118" spans="2:73" s="10" customFormat="1" ht="18" customHeight="1" x14ac:dyDescent="0.2">
      <c r="B118" s="149">
        <v>114</v>
      </c>
      <c r="C118" s="149">
        <v>9</v>
      </c>
      <c r="D118" s="150" t="s">
        <v>458</v>
      </c>
      <c r="E118" s="186" t="s">
        <v>418</v>
      </c>
      <c r="F118" s="169" t="s">
        <v>405</v>
      </c>
      <c r="G118" s="216"/>
      <c r="H118" s="217" t="s">
        <v>912</v>
      </c>
      <c r="I118" s="218">
        <v>1</v>
      </c>
      <c r="J118" s="219">
        <v>1</v>
      </c>
      <c r="L118" s="111"/>
      <c r="M118" s="107" t="str">
        <f t="shared" si="211"/>
        <v>_</v>
      </c>
      <c r="N118" s="107">
        <f>'Project types'!$W$6</f>
        <v>2050</v>
      </c>
      <c r="O118" s="108">
        <f>IF(G118=1,(H118-1)+'Project types'!N119,IF(G118=2,H118-1,9999))</f>
        <v>9999</v>
      </c>
      <c r="P118" s="9">
        <f t="shared" si="212"/>
        <v>0</v>
      </c>
      <c r="Q118" s="9">
        <f t="shared" si="213"/>
        <v>0</v>
      </c>
      <c r="R118" s="9">
        <f t="shared" si="214"/>
        <v>0</v>
      </c>
      <c r="S118" s="9">
        <f t="shared" si="215"/>
        <v>0</v>
      </c>
      <c r="T118" s="9">
        <f t="shared" si="216"/>
        <v>0</v>
      </c>
      <c r="U118" s="9">
        <f t="shared" si="217"/>
        <v>0</v>
      </c>
      <c r="V118" s="9">
        <f t="shared" si="218"/>
        <v>0</v>
      </c>
      <c r="W118" s="9">
        <f t="shared" si="219"/>
        <v>0</v>
      </c>
      <c r="X118" s="9">
        <f t="shared" si="220"/>
        <v>0</v>
      </c>
      <c r="Y118" s="9">
        <f t="shared" si="221"/>
        <v>0</v>
      </c>
      <c r="Z118" s="9">
        <f t="shared" si="222"/>
        <v>0</v>
      </c>
      <c r="AA118" s="9">
        <f t="shared" si="223"/>
        <v>0</v>
      </c>
      <c r="AB118" s="9">
        <f t="shared" si="224"/>
        <v>0</v>
      </c>
      <c r="AC118" s="9">
        <f t="shared" si="225"/>
        <v>0</v>
      </c>
      <c r="AD118" s="9">
        <f t="shared" si="226"/>
        <v>0</v>
      </c>
      <c r="AE118" s="9">
        <f t="shared" si="227"/>
        <v>0</v>
      </c>
      <c r="AF118" s="9">
        <f t="shared" si="228"/>
        <v>0</v>
      </c>
      <c r="AG118" s="9">
        <f t="shared" si="229"/>
        <v>0</v>
      </c>
      <c r="AH118" s="9">
        <f t="shared" si="230"/>
        <v>0</v>
      </c>
      <c r="AI118" s="9">
        <f t="shared" si="231"/>
        <v>0</v>
      </c>
      <c r="AJ118" s="9">
        <f t="shared" si="232"/>
        <v>0</v>
      </c>
      <c r="AK118" s="9">
        <f t="shared" si="233"/>
        <v>0</v>
      </c>
      <c r="AL118" s="9">
        <f t="shared" si="234"/>
        <v>0</v>
      </c>
      <c r="AM118" s="9">
        <f t="shared" si="235"/>
        <v>0</v>
      </c>
      <c r="AN118" s="9">
        <f t="shared" si="236"/>
        <v>0</v>
      </c>
      <c r="AO118" s="10">
        <f t="shared" si="237"/>
        <v>0</v>
      </c>
      <c r="AR118" s="137" t="s">
        <v>418</v>
      </c>
      <c r="AT118" s="125"/>
      <c r="AU118" s="126"/>
      <c r="AV118" s="127"/>
      <c r="AW118" s="127"/>
      <c r="AX118" s="127"/>
      <c r="AY118" s="125"/>
      <c r="AZ118" s="126"/>
      <c r="BA118" s="127"/>
      <c r="BB118" s="127"/>
      <c r="BC118" s="127"/>
      <c r="BD118" s="125"/>
      <c r="BE118" s="126"/>
      <c r="BF118" s="127"/>
      <c r="BG118" s="127"/>
      <c r="BH118" s="127"/>
      <c r="BI118" s="125"/>
      <c r="BJ118" s="128"/>
      <c r="BK118" s="127"/>
      <c r="BL118" s="127"/>
      <c r="BM118" s="127"/>
      <c r="BN118" s="125"/>
      <c r="BO118" s="128"/>
      <c r="BP118" s="127"/>
      <c r="BQ118" s="127"/>
      <c r="BR118" s="127"/>
      <c r="BS118" s="125"/>
      <c r="BU118" s="10" t="e">
        <f>#REF!</f>
        <v>#REF!</v>
      </c>
    </row>
    <row r="119" spans="2:73" s="10" customFormat="1" ht="18" customHeight="1" x14ac:dyDescent="0.2">
      <c r="B119" s="149">
        <v>115</v>
      </c>
      <c r="C119" s="149">
        <v>9</v>
      </c>
      <c r="D119" s="150" t="s">
        <v>458</v>
      </c>
      <c r="E119" s="186" t="s">
        <v>419</v>
      </c>
      <c r="F119" s="169" t="s">
        <v>406</v>
      </c>
      <c r="G119" s="216"/>
      <c r="H119" s="217" t="s">
        <v>912</v>
      </c>
      <c r="I119" s="218">
        <v>1</v>
      </c>
      <c r="J119" s="219">
        <v>1</v>
      </c>
      <c r="L119" s="111"/>
      <c r="M119" s="107" t="str">
        <f t="shared" si="211"/>
        <v>_</v>
      </c>
      <c r="N119" s="107">
        <f>'Project types'!$W$6</f>
        <v>2050</v>
      </c>
      <c r="O119" s="108">
        <f>IF(G119=1,(H119-1)+'Project types'!N120,IF(G119=2,H119-1,9999))</f>
        <v>9999</v>
      </c>
      <c r="P119" s="9">
        <f t="shared" si="212"/>
        <v>0</v>
      </c>
      <c r="Q119" s="9">
        <f t="shared" si="213"/>
        <v>0</v>
      </c>
      <c r="R119" s="9">
        <f t="shared" si="214"/>
        <v>0</v>
      </c>
      <c r="S119" s="9">
        <f t="shared" si="215"/>
        <v>0</v>
      </c>
      <c r="T119" s="9">
        <f t="shared" si="216"/>
        <v>0</v>
      </c>
      <c r="U119" s="9">
        <f t="shared" si="217"/>
        <v>0</v>
      </c>
      <c r="V119" s="9">
        <f t="shared" si="218"/>
        <v>0</v>
      </c>
      <c r="W119" s="9">
        <f t="shared" si="219"/>
        <v>0</v>
      </c>
      <c r="X119" s="9">
        <f t="shared" si="220"/>
        <v>0</v>
      </c>
      <c r="Y119" s="9">
        <f t="shared" si="221"/>
        <v>0</v>
      </c>
      <c r="Z119" s="9">
        <f t="shared" si="222"/>
        <v>0</v>
      </c>
      <c r="AA119" s="9">
        <f t="shared" si="223"/>
        <v>0</v>
      </c>
      <c r="AB119" s="9">
        <f t="shared" si="224"/>
        <v>0</v>
      </c>
      <c r="AC119" s="9">
        <f t="shared" si="225"/>
        <v>0</v>
      </c>
      <c r="AD119" s="9">
        <f t="shared" si="226"/>
        <v>0</v>
      </c>
      <c r="AE119" s="9">
        <f t="shared" si="227"/>
        <v>0</v>
      </c>
      <c r="AF119" s="9">
        <f t="shared" si="228"/>
        <v>0</v>
      </c>
      <c r="AG119" s="9">
        <f t="shared" si="229"/>
        <v>0</v>
      </c>
      <c r="AH119" s="9">
        <f t="shared" si="230"/>
        <v>0</v>
      </c>
      <c r="AI119" s="9">
        <f t="shared" si="231"/>
        <v>0</v>
      </c>
      <c r="AJ119" s="9">
        <f t="shared" si="232"/>
        <v>0</v>
      </c>
      <c r="AK119" s="9">
        <f t="shared" si="233"/>
        <v>0</v>
      </c>
      <c r="AL119" s="9">
        <f t="shared" si="234"/>
        <v>0</v>
      </c>
      <c r="AM119" s="9">
        <f t="shared" si="235"/>
        <v>0</v>
      </c>
      <c r="AN119" s="9">
        <f t="shared" si="236"/>
        <v>0</v>
      </c>
      <c r="AO119" s="10">
        <f t="shared" si="237"/>
        <v>0</v>
      </c>
      <c r="AR119" s="137" t="s">
        <v>419</v>
      </c>
      <c r="AT119" s="125"/>
      <c r="AU119" s="126"/>
      <c r="AV119" s="127"/>
      <c r="AW119" s="127"/>
      <c r="AX119" s="127"/>
      <c r="AY119" s="125"/>
      <c r="AZ119" s="126"/>
      <c r="BA119" s="127"/>
      <c r="BB119" s="127"/>
      <c r="BC119" s="127"/>
      <c r="BD119" s="125"/>
      <c r="BE119" s="126"/>
      <c r="BF119" s="127"/>
      <c r="BG119" s="127"/>
      <c r="BH119" s="127"/>
      <c r="BI119" s="125"/>
      <c r="BJ119" s="128"/>
      <c r="BK119" s="127"/>
      <c r="BL119" s="127"/>
      <c r="BM119" s="127"/>
      <c r="BN119" s="125"/>
      <c r="BO119" s="128"/>
      <c r="BP119" s="127"/>
      <c r="BQ119" s="127"/>
      <c r="BR119" s="127"/>
      <c r="BS119" s="125"/>
      <c r="BU119" s="10" t="e">
        <f>#REF!</f>
        <v>#REF!</v>
      </c>
    </row>
    <row r="120" spans="2:73" s="10" customFormat="1" ht="18" customHeight="1" x14ac:dyDescent="0.2">
      <c r="B120" s="149">
        <v>116</v>
      </c>
      <c r="C120" s="149">
        <v>9</v>
      </c>
      <c r="D120" s="150" t="s">
        <v>458</v>
      </c>
      <c r="E120" s="186" t="s">
        <v>420</v>
      </c>
      <c r="F120" s="153" t="s">
        <v>173</v>
      </c>
      <c r="G120" s="216"/>
      <c r="H120" s="217" t="s">
        <v>912</v>
      </c>
      <c r="I120" s="218">
        <v>1</v>
      </c>
      <c r="J120" s="219">
        <v>1</v>
      </c>
      <c r="L120" s="111"/>
      <c r="M120" s="107" t="str">
        <f t="shared" si="211"/>
        <v>_</v>
      </c>
      <c r="N120" s="107">
        <f>'Project types'!$W$6</f>
        <v>2050</v>
      </c>
      <c r="O120" s="108">
        <f>IF(G120=1,(H120-1)+'Project types'!N121,IF(G120=2,H120-1,9999))</f>
        <v>9999</v>
      </c>
      <c r="P120" s="9">
        <f t="shared" si="212"/>
        <v>0</v>
      </c>
      <c r="Q120" s="9">
        <f t="shared" si="213"/>
        <v>0</v>
      </c>
      <c r="R120" s="9">
        <f t="shared" si="214"/>
        <v>0</v>
      </c>
      <c r="S120" s="9">
        <f t="shared" si="215"/>
        <v>0</v>
      </c>
      <c r="T120" s="9">
        <f t="shared" si="216"/>
        <v>0</v>
      </c>
      <c r="U120" s="9">
        <f t="shared" si="217"/>
        <v>0</v>
      </c>
      <c r="V120" s="9">
        <f t="shared" si="218"/>
        <v>0</v>
      </c>
      <c r="W120" s="9">
        <f t="shared" si="219"/>
        <v>0</v>
      </c>
      <c r="X120" s="9">
        <f t="shared" si="220"/>
        <v>0</v>
      </c>
      <c r="Y120" s="9">
        <f t="shared" si="221"/>
        <v>0</v>
      </c>
      <c r="Z120" s="9">
        <f t="shared" si="222"/>
        <v>0</v>
      </c>
      <c r="AA120" s="9">
        <f t="shared" si="223"/>
        <v>0</v>
      </c>
      <c r="AB120" s="9">
        <f t="shared" si="224"/>
        <v>0</v>
      </c>
      <c r="AC120" s="9">
        <f t="shared" si="225"/>
        <v>0</v>
      </c>
      <c r="AD120" s="9">
        <f t="shared" si="226"/>
        <v>0</v>
      </c>
      <c r="AE120" s="9">
        <f t="shared" si="227"/>
        <v>0</v>
      </c>
      <c r="AF120" s="9">
        <f t="shared" si="228"/>
        <v>0</v>
      </c>
      <c r="AG120" s="9">
        <f t="shared" si="229"/>
        <v>0</v>
      </c>
      <c r="AH120" s="9">
        <f t="shared" si="230"/>
        <v>0</v>
      </c>
      <c r="AI120" s="9">
        <f t="shared" si="231"/>
        <v>0</v>
      </c>
      <c r="AJ120" s="9">
        <f t="shared" si="232"/>
        <v>0</v>
      </c>
      <c r="AK120" s="9">
        <f t="shared" si="233"/>
        <v>0</v>
      </c>
      <c r="AL120" s="9">
        <f t="shared" si="234"/>
        <v>0</v>
      </c>
      <c r="AM120" s="9">
        <f t="shared" si="235"/>
        <v>0</v>
      </c>
      <c r="AN120" s="9">
        <f t="shared" si="236"/>
        <v>0</v>
      </c>
      <c r="AO120" s="10">
        <f t="shared" si="237"/>
        <v>0</v>
      </c>
      <c r="AR120" s="137" t="s">
        <v>420</v>
      </c>
      <c r="AT120" s="125"/>
      <c r="AU120" s="126"/>
      <c r="AV120" s="127"/>
      <c r="AW120" s="127"/>
      <c r="AX120" s="127"/>
      <c r="AY120" s="125"/>
      <c r="AZ120" s="126"/>
      <c r="BA120" s="127"/>
      <c r="BB120" s="127"/>
      <c r="BC120" s="127"/>
      <c r="BD120" s="125"/>
      <c r="BE120" s="126"/>
      <c r="BF120" s="127"/>
      <c r="BG120" s="127"/>
      <c r="BH120" s="127"/>
      <c r="BI120" s="125"/>
      <c r="BJ120" s="128"/>
      <c r="BK120" s="127"/>
      <c r="BL120" s="127"/>
      <c r="BM120" s="127"/>
      <c r="BN120" s="125"/>
      <c r="BO120" s="128"/>
      <c r="BP120" s="127"/>
      <c r="BQ120" s="127"/>
      <c r="BR120" s="127"/>
      <c r="BS120" s="125"/>
      <c r="BU120" s="10" t="e">
        <f>#REF!</f>
        <v>#REF!</v>
      </c>
    </row>
    <row r="121" spans="2:73" s="10" customFormat="1" ht="18" customHeight="1" x14ac:dyDescent="0.2">
      <c r="B121" s="187">
        <v>117</v>
      </c>
      <c r="C121" s="187">
        <v>9</v>
      </c>
      <c r="D121" s="188" t="s">
        <v>458</v>
      </c>
      <c r="E121" s="189" t="s">
        <v>421</v>
      </c>
      <c r="F121" s="190" t="s">
        <v>118</v>
      </c>
      <c r="G121" s="216"/>
      <c r="H121" s="225" t="s">
        <v>912</v>
      </c>
      <c r="I121" s="218">
        <v>1</v>
      </c>
      <c r="J121" s="226">
        <v>1</v>
      </c>
      <c r="L121" s="111"/>
      <c r="M121" s="107" t="str">
        <f t="shared" si="211"/>
        <v>_</v>
      </c>
      <c r="N121" s="107">
        <f>'Project types'!$W$6</f>
        <v>2050</v>
      </c>
      <c r="O121" s="108">
        <f>IF(G121=1,(H121-1)+'Project types'!N122,IF(G121=2,H121-1,9999))</f>
        <v>9999</v>
      </c>
      <c r="P121" s="9">
        <f t="shared" si="212"/>
        <v>0</v>
      </c>
      <c r="Q121" s="9">
        <f t="shared" si="213"/>
        <v>0</v>
      </c>
      <c r="R121" s="9">
        <f t="shared" si="214"/>
        <v>0</v>
      </c>
      <c r="S121" s="9">
        <f t="shared" si="215"/>
        <v>0</v>
      </c>
      <c r="T121" s="9">
        <f t="shared" si="216"/>
        <v>0</v>
      </c>
      <c r="U121" s="9">
        <f t="shared" si="217"/>
        <v>0</v>
      </c>
      <c r="V121" s="9">
        <f t="shared" si="218"/>
        <v>0</v>
      </c>
      <c r="W121" s="9">
        <f t="shared" si="219"/>
        <v>0</v>
      </c>
      <c r="X121" s="9">
        <f t="shared" si="220"/>
        <v>0</v>
      </c>
      <c r="Y121" s="9">
        <f t="shared" si="221"/>
        <v>0</v>
      </c>
      <c r="Z121" s="9">
        <f t="shared" si="222"/>
        <v>0</v>
      </c>
      <c r="AA121" s="9">
        <f t="shared" si="223"/>
        <v>0</v>
      </c>
      <c r="AB121" s="9">
        <f t="shared" si="224"/>
        <v>0</v>
      </c>
      <c r="AC121" s="9">
        <f t="shared" si="225"/>
        <v>0</v>
      </c>
      <c r="AD121" s="9">
        <f t="shared" si="226"/>
        <v>0</v>
      </c>
      <c r="AE121" s="9">
        <f t="shared" si="227"/>
        <v>0</v>
      </c>
      <c r="AF121" s="9">
        <f t="shared" si="228"/>
        <v>0</v>
      </c>
      <c r="AG121" s="9">
        <f t="shared" si="229"/>
        <v>0</v>
      </c>
      <c r="AH121" s="9">
        <f t="shared" si="230"/>
        <v>0</v>
      </c>
      <c r="AI121" s="9">
        <f t="shared" si="231"/>
        <v>0</v>
      </c>
      <c r="AJ121" s="9">
        <f t="shared" si="232"/>
        <v>0</v>
      </c>
      <c r="AK121" s="9">
        <f t="shared" si="233"/>
        <v>0</v>
      </c>
      <c r="AL121" s="9">
        <f t="shared" si="234"/>
        <v>0</v>
      </c>
      <c r="AM121" s="9">
        <f t="shared" si="235"/>
        <v>0</v>
      </c>
      <c r="AN121" s="9">
        <f t="shared" si="236"/>
        <v>0</v>
      </c>
      <c r="AO121" s="10">
        <f t="shared" si="237"/>
        <v>0</v>
      </c>
      <c r="AR121" s="137" t="s">
        <v>421</v>
      </c>
      <c r="AT121" s="129"/>
      <c r="AU121" s="130"/>
      <c r="AV121" s="131"/>
      <c r="AW121" s="131"/>
      <c r="AX121" s="131"/>
      <c r="AY121" s="129"/>
      <c r="AZ121" s="130"/>
      <c r="BA121" s="131"/>
      <c r="BB121" s="131"/>
      <c r="BC121" s="131"/>
      <c r="BD121" s="129"/>
      <c r="BE121" s="130"/>
      <c r="BF121" s="131"/>
      <c r="BG121" s="131"/>
      <c r="BH121" s="131"/>
      <c r="BI121" s="129"/>
      <c r="BJ121" s="132"/>
      <c r="BK121" s="131"/>
      <c r="BL121" s="131"/>
      <c r="BM121" s="131"/>
      <c r="BN121" s="129"/>
      <c r="BO121" s="132"/>
      <c r="BP121" s="131"/>
      <c r="BQ121" s="131"/>
      <c r="BR121" s="131"/>
      <c r="BS121" s="129"/>
      <c r="BU121" s="10" t="e">
        <f>#REF!</f>
        <v>#REF!</v>
      </c>
    </row>
    <row r="123" spans="2:73" s="436" customFormat="1" ht="20" x14ac:dyDescent="0.2">
      <c r="B123" s="429"/>
      <c r="C123" s="430"/>
      <c r="D123" s="430"/>
      <c r="E123" s="431"/>
      <c r="F123" s="432" t="s">
        <v>920</v>
      </c>
      <c r="G123" s="433"/>
      <c r="H123" s="434"/>
      <c r="I123" s="432" t="s">
        <v>923</v>
      </c>
      <c r="J123" s="435"/>
      <c r="M123" s="429"/>
      <c r="N123" s="429"/>
      <c r="O123" s="434"/>
      <c r="P123" s="434"/>
      <c r="Q123" s="434"/>
      <c r="R123" s="434"/>
      <c r="S123" s="434"/>
      <c r="T123" s="434"/>
      <c r="U123" s="434"/>
      <c r="V123" s="434"/>
      <c r="W123" s="434"/>
      <c r="X123" s="434"/>
      <c r="Y123" s="434"/>
      <c r="Z123" s="434"/>
      <c r="AA123" s="434"/>
      <c r="AB123" s="434"/>
      <c r="AC123" s="434"/>
      <c r="AD123" s="434"/>
      <c r="AE123" s="434"/>
      <c r="AF123" s="434"/>
      <c r="AG123" s="434"/>
      <c r="AH123" s="434"/>
      <c r="AI123" s="434"/>
      <c r="AJ123" s="434"/>
      <c r="AK123" s="434"/>
      <c r="AL123" s="434"/>
      <c r="AM123" s="434"/>
      <c r="AN123" s="434"/>
      <c r="AR123" s="434"/>
    </row>
  </sheetData>
  <sheetProtection selectLockedCells="1"/>
  <sortState xmlns:xlrd2="http://schemas.microsoft.com/office/spreadsheetml/2017/richdata2" ref="B5:BU121">
    <sortCondition ref="B5:B121"/>
  </sortState>
  <mergeCells count="8">
    <mergeCell ref="BO2:BS2"/>
    <mergeCell ref="AZ2:BD2"/>
    <mergeCell ref="BJ2:BN2"/>
    <mergeCell ref="I3:J3"/>
    <mergeCell ref="B2:J2"/>
    <mergeCell ref="AU2:AY2"/>
    <mergeCell ref="BE2:BI2"/>
    <mergeCell ref="L2:AT2"/>
  </mergeCells>
  <conditionalFormatting sqref="P5:AO16">
    <cfRule type="cellIs" dxfId="78" priority="59" operator="equal">
      <formula>1</formula>
    </cfRule>
    <cfRule type="cellIs" dxfId="77" priority="58" operator="equal">
      <formula>2</formula>
    </cfRule>
  </conditionalFormatting>
  <conditionalFormatting sqref="P17:AO27">
    <cfRule type="cellIs" dxfId="76" priority="16" operator="equal">
      <formula>4</formula>
    </cfRule>
    <cfRule type="cellIs" dxfId="75" priority="15" operator="equal">
      <formula>3</formula>
    </cfRule>
  </conditionalFormatting>
  <conditionalFormatting sqref="P28:AO34">
    <cfRule type="cellIs" dxfId="74" priority="14" operator="equal">
      <formula>6</formula>
    </cfRule>
    <cfRule type="cellIs" dxfId="73" priority="13" operator="equal">
      <formula>5</formula>
    </cfRule>
  </conditionalFormatting>
  <conditionalFormatting sqref="P35:AO49">
    <cfRule type="cellIs" dxfId="72" priority="12" operator="equal">
      <formula>8</formula>
    </cfRule>
    <cfRule type="cellIs" dxfId="71" priority="11" operator="equal">
      <formula>7</formula>
    </cfRule>
  </conditionalFormatting>
  <conditionalFormatting sqref="P50:AO61">
    <cfRule type="cellIs" dxfId="70" priority="10" operator="equal">
      <formula>10</formula>
    </cfRule>
    <cfRule type="cellIs" dxfId="69" priority="9" operator="equal">
      <formula>9</formula>
    </cfRule>
  </conditionalFormatting>
  <conditionalFormatting sqref="P62:AO74">
    <cfRule type="cellIs" dxfId="68" priority="7" operator="equal">
      <formula>11</formula>
    </cfRule>
    <cfRule type="cellIs" dxfId="67" priority="8" operator="equal">
      <formula>12</formula>
    </cfRule>
  </conditionalFormatting>
  <conditionalFormatting sqref="P75:AO85">
    <cfRule type="cellIs" dxfId="66" priority="5" operator="equal">
      <formula>13</formula>
    </cfRule>
    <cfRule type="cellIs" dxfId="65" priority="6" operator="equal">
      <formula>14</formula>
    </cfRule>
  </conditionalFormatting>
  <conditionalFormatting sqref="P86:AO101">
    <cfRule type="cellIs" dxfId="64" priority="3" operator="equal">
      <formula>15</formula>
    </cfRule>
    <cfRule type="cellIs" dxfId="63" priority="4" operator="equal">
      <formula>16</formula>
    </cfRule>
  </conditionalFormatting>
  <conditionalFormatting sqref="P102:AO121">
    <cfRule type="cellIs" dxfId="62" priority="2" operator="equal">
      <formula>18</formula>
    </cfRule>
    <cfRule type="cellIs" dxfId="61" priority="1" operator="equal">
      <formula>17</formula>
    </cfRule>
  </conditionalFormatting>
  <conditionalFormatting sqref="AT5:BS121">
    <cfRule type="expression" dxfId="51" priority="25">
      <formula>P5=6</formula>
    </cfRule>
    <cfRule type="expression" dxfId="50" priority="31">
      <formula>P5=12</formula>
    </cfRule>
    <cfRule type="expression" dxfId="49" priority="32">
      <formula>P5=13</formula>
    </cfRule>
    <cfRule type="expression" dxfId="48" priority="33">
      <formula>P5=14</formula>
    </cfRule>
    <cfRule type="expression" dxfId="47" priority="34">
      <formula>P5=15</formula>
    </cfRule>
    <cfRule type="expression" dxfId="46" priority="30">
      <formula>P5=11</formula>
    </cfRule>
    <cfRule type="expression" dxfId="45" priority="29">
      <formula>P5=10</formula>
    </cfRule>
    <cfRule type="expression" dxfId="44" priority="28">
      <formula>P5=9</formula>
    </cfRule>
    <cfRule type="expression" dxfId="43" priority="27">
      <formula>P5=8</formula>
    </cfRule>
    <cfRule type="expression" dxfId="42" priority="26">
      <formula>P5=7</formula>
    </cfRule>
    <cfRule type="expression" dxfId="41" priority="24">
      <formula>P5=5</formula>
    </cfRule>
    <cfRule type="expression" dxfId="40" priority="23">
      <formula>P5=4</formula>
    </cfRule>
    <cfRule type="expression" dxfId="39" priority="22">
      <formula>P5=3</formula>
    </cfRule>
    <cfRule type="expression" dxfId="38" priority="21">
      <formula>P5=2</formula>
    </cfRule>
    <cfRule type="expression" dxfId="37" priority="20">
      <formula>P5=1</formula>
    </cfRule>
    <cfRule type="expression" dxfId="36" priority="19">
      <formula>P5=18</formula>
    </cfRule>
    <cfRule type="expression" dxfId="35" priority="255">
      <formula>P5=16</formula>
    </cfRule>
    <cfRule type="expression" dxfId="34" priority="256">
      <formula>P5=17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2" id="{0C452892-F02A-4178-8158-3141814C6D80}">
            <xm:f>'Gantt Chart'!$A4=4</xm:f>
            <x14:dxf>
              <fill>
                <patternFill>
                  <bgColor rgb="FF90CE9F"/>
                </patternFill>
              </fill>
            </x14:dxf>
          </x14:cfRule>
          <x14:cfRule type="expression" priority="251" id="{CCCE82A5-899F-46D3-83D8-1147D7FF784D}">
            <xm:f>'Gantt Chart'!$A4=1</xm:f>
            <x14:dxf>
              <fill>
                <patternFill>
                  <bgColor rgb="FF9FE9ED"/>
                </patternFill>
              </fill>
            </x14:dxf>
          </x14:cfRule>
          <x14:cfRule type="expression" priority="250" id="{61980D5D-651B-494A-AA9D-CF0BAF0321C6}">
            <xm:f>'Gantt Chart'!$A4=6</xm:f>
            <x14:dxf>
              <fill>
                <patternFill>
                  <bgColor rgb="FFF17872"/>
                </patternFill>
              </fill>
            </x14:dxf>
          </x14:cfRule>
          <x14:cfRule type="expression" priority="249" id="{F9B917AE-8765-42E9-B958-7686C52B8966}">
            <xm:f>'Gantt Chart'!$A4=8</xm:f>
            <x14:dxf>
              <fill>
                <patternFill>
                  <bgColor rgb="FFB78ACE"/>
                </patternFill>
              </fill>
            </x14:dxf>
          </x14:cfRule>
          <x14:cfRule type="expression" priority="248" id="{49A060D6-3F0F-4343-A328-FBA826552C78}">
            <xm:f>'Gantt Chart'!$A4=7</xm:f>
            <x14:dxf>
              <fill>
                <patternFill>
                  <bgColor rgb="FF728383"/>
                </patternFill>
              </fill>
            </x14:dxf>
          </x14:cfRule>
          <x14:cfRule type="expression" priority="247" id="{CF42C960-CA02-4769-9360-A0823806069E}">
            <xm:f>'Gantt Chart'!$A4=2</xm:f>
            <x14:dxf>
              <fill>
                <patternFill>
                  <bgColor rgb="FF7FBED8"/>
                </patternFill>
              </fill>
            </x14:dxf>
          </x14:cfRule>
          <x14:cfRule type="expression" priority="246" id="{7450AB71-152F-4C31-B8A1-A729AF79AC1E}">
            <xm:f>'Gantt Chart'!$A4=5</xm:f>
            <x14:dxf>
              <fill>
                <patternFill>
                  <bgColor rgb="FFEDE09E"/>
                </patternFill>
              </fill>
            </x14:dxf>
          </x14:cfRule>
          <x14:cfRule type="expression" priority="245" id="{4E2A5097-3435-4C17-9853-0AC38C744BF3}">
            <xm:f>'Gantt Chart'!$A4=9</xm:f>
            <x14:dxf>
              <fill>
                <patternFill>
                  <bgColor rgb="FFD2629B"/>
                </patternFill>
              </fill>
            </x14:dxf>
          </x14:cfRule>
          <x14:cfRule type="expression" priority="244" id="{AB684E61-32B8-4D27-A214-E9614F1BF211}">
            <xm:f>'Gantt Chart'!$A4=3</xm:f>
            <x14:dxf>
              <fill>
                <patternFill>
                  <bgColor theme="2" tint="-9.9948118533890809E-2"/>
                </patternFill>
              </fill>
            </x14:dxf>
          </x14:cfRule>
          <xm:sqref>AR5:AR121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6DE1C-D7A9-44F2-85CD-08E35124C6B0}">
  <dimension ref="A1:AG134"/>
  <sheetViews>
    <sheetView showGridLines="0" zoomScale="50" zoomScaleNormal="50" workbookViewId="0">
      <pane ySplit="5" topLeftCell="A6" activePane="bottomLeft" state="frozen"/>
      <selection pane="bottomLeft" activeCell="L6" sqref="L6"/>
    </sheetView>
  </sheetViews>
  <sheetFormatPr baseColWidth="10" defaultColWidth="8.6640625" defaultRowHeight="14" x14ac:dyDescent="0.15"/>
  <cols>
    <col min="1" max="1" width="1.6640625" style="248" customWidth="1"/>
    <col min="2" max="2" width="4.83203125" style="13" bestFit="1" customWidth="1"/>
    <col min="3" max="3" width="9.83203125" style="412" hidden="1" customWidth="1"/>
    <col min="4" max="4" width="30.6640625" style="12" bestFit="1" customWidth="1"/>
    <col min="5" max="5" width="9.83203125" style="12" bestFit="1" customWidth="1"/>
    <col min="6" max="6" width="63.33203125" style="312" customWidth="1"/>
    <col min="7" max="7" width="14.6640625" style="12" customWidth="1"/>
    <col min="8" max="8" width="39.83203125" style="312" customWidth="1"/>
    <col min="9" max="9" width="22.1640625" style="312" customWidth="1"/>
    <col min="10" max="10" width="17.83203125" style="413" customWidth="1"/>
    <col min="11" max="11" width="16.33203125" style="413" customWidth="1"/>
    <col min="12" max="12" width="13.1640625" style="413" bestFit="1" customWidth="1"/>
    <col min="13" max="14" width="15.5" style="312" bestFit="1" customWidth="1"/>
    <col min="15" max="15" width="15.33203125" style="312" bestFit="1" customWidth="1"/>
    <col min="16" max="16" width="18.6640625" style="312" bestFit="1" customWidth="1"/>
    <col min="17" max="17" width="15.1640625" style="312" bestFit="1" customWidth="1"/>
    <col min="18" max="19" width="15.33203125" style="312" bestFit="1" customWidth="1"/>
    <col min="20" max="20" width="17.83203125" style="12" bestFit="1" customWidth="1"/>
    <col min="21" max="21" width="17.6640625" style="415" customWidth="1"/>
    <col min="22" max="23" width="18.5" style="12" hidden="1" customWidth="1"/>
    <col min="24" max="24" width="3.6640625" style="13" customWidth="1"/>
    <col min="25" max="26" width="10.6640625" style="13" customWidth="1"/>
    <col min="27" max="27" width="1.6640625" style="13" customWidth="1"/>
    <col min="28" max="29" width="10.6640625" style="13" customWidth="1"/>
    <col min="30" max="30" width="1.6640625" style="13" customWidth="1"/>
    <col min="31" max="32" width="10.6640625" style="13" customWidth="1"/>
    <col min="33" max="33" width="1.6640625" style="13" customWidth="1"/>
    <col min="34" max="16384" width="8.6640625" style="13"/>
  </cols>
  <sheetData>
    <row r="1" spans="1:33" ht="5" customHeight="1" x14ac:dyDescent="0.15">
      <c r="A1" s="227"/>
      <c r="B1" s="228"/>
      <c r="C1" s="229"/>
      <c r="D1" s="230"/>
      <c r="E1" s="230"/>
      <c r="F1" s="231"/>
      <c r="G1" s="230"/>
      <c r="H1" s="231"/>
      <c r="I1" s="231"/>
      <c r="J1" s="232"/>
      <c r="K1" s="232"/>
      <c r="L1" s="232"/>
      <c r="M1" s="233"/>
      <c r="N1" s="231"/>
      <c r="O1" s="231"/>
      <c r="P1" s="231"/>
      <c r="Q1" s="231"/>
      <c r="R1" s="231"/>
      <c r="S1" s="231"/>
      <c r="T1" s="230"/>
      <c r="U1" s="234"/>
      <c r="Y1" s="235"/>
      <c r="Z1" s="236"/>
      <c r="AA1" s="237"/>
      <c r="AB1" s="236"/>
      <c r="AC1" s="237"/>
      <c r="AD1" s="235"/>
      <c r="AE1" s="237"/>
      <c r="AF1" s="236"/>
      <c r="AG1" s="238"/>
    </row>
    <row r="2" spans="1:33" ht="15" thickBot="1" x14ac:dyDescent="0.2">
      <c r="A2" s="239"/>
      <c r="B2" s="240"/>
      <c r="C2" s="229"/>
      <c r="D2" s="241"/>
      <c r="E2" s="241"/>
      <c r="F2" s="241"/>
      <c r="G2" s="242"/>
      <c r="H2" s="241"/>
      <c r="I2" s="243"/>
      <c r="J2" s="244"/>
      <c r="K2" s="243"/>
      <c r="L2" s="245"/>
      <c r="M2" s="246"/>
      <c r="N2" s="241"/>
      <c r="O2" s="241"/>
      <c r="P2" s="241"/>
      <c r="Q2" s="241"/>
      <c r="R2" s="241"/>
      <c r="S2" s="241"/>
      <c r="T2" s="229"/>
      <c r="U2" s="247"/>
      <c r="X2" s="248"/>
      <c r="Y2" s="228"/>
      <c r="Z2" s="249"/>
      <c r="AA2" s="240"/>
      <c r="AB2" s="228"/>
      <c r="AD2" s="228"/>
      <c r="AE2" s="240"/>
      <c r="AF2" s="249"/>
      <c r="AG2" s="249"/>
    </row>
    <row r="3" spans="1:33" s="10" customFormat="1" ht="59" customHeight="1" thickBot="1" x14ac:dyDescent="0.2">
      <c r="A3" s="250"/>
      <c r="B3" s="240"/>
      <c r="C3" s="251"/>
      <c r="D3" s="252" t="s">
        <v>668</v>
      </c>
      <c r="E3" s="253">
        <v>2050</v>
      </c>
      <c r="F3" s="254" t="s">
        <v>670</v>
      </c>
      <c r="G3" s="255">
        <f>SUMPRODUCT(J6:J122,K6:K122, L6:L122)/1000000000</f>
        <v>207.21170221965002</v>
      </c>
      <c r="H3" s="448" t="s">
        <v>662</v>
      </c>
      <c r="I3" s="448"/>
      <c r="J3" s="256">
        <f>SUMPRODUCT(J6:J122,K6:K122, S6:S122)/1000000000</f>
        <v>25589.834580615399</v>
      </c>
      <c r="K3" s="257"/>
      <c r="L3" s="258"/>
      <c r="M3" s="259"/>
      <c r="N3" s="260"/>
      <c r="O3" s="260"/>
      <c r="P3" s="260"/>
      <c r="Q3" s="260"/>
      <c r="R3" s="449" t="s">
        <v>627</v>
      </c>
      <c r="S3" s="450"/>
      <c r="T3" s="451"/>
      <c r="U3" s="261">
        <f>SUMPRODUCT(J6:J122,K6:K122, S6:S122)/SUMPRODUCT(J6:J122,K6:K122, L6:L122)</f>
        <v>123.49608784879089</v>
      </c>
      <c r="V3" s="9"/>
      <c r="W3" s="9"/>
      <c r="X3" s="262"/>
      <c r="Y3" s="452" t="s">
        <v>669</v>
      </c>
      <c r="Z3" s="453"/>
      <c r="AA3" s="453"/>
      <c r="AB3" s="453"/>
      <c r="AC3" s="453"/>
      <c r="AD3" s="453"/>
      <c r="AE3" s="453"/>
      <c r="AF3" s="454"/>
      <c r="AG3" s="250"/>
    </row>
    <row r="4" spans="1:33" ht="76.5" customHeight="1" thickBot="1" x14ac:dyDescent="0.2">
      <c r="A4" s="239"/>
      <c r="B4" s="240"/>
      <c r="C4" s="263"/>
      <c r="D4" s="264"/>
      <c r="E4" s="264"/>
      <c r="F4" s="263"/>
      <c r="G4" s="265"/>
      <c r="H4" s="263"/>
      <c r="I4" s="263"/>
      <c r="J4" s="266"/>
      <c r="K4" s="267"/>
      <c r="L4" s="445" t="s">
        <v>486</v>
      </c>
      <c r="M4" s="446"/>
      <c r="N4" s="446"/>
      <c r="O4" s="446"/>
      <c r="P4" s="446"/>
      <c r="Q4" s="446"/>
      <c r="R4" s="446"/>
      <c r="S4" s="447"/>
      <c r="T4" s="268"/>
      <c r="U4" s="269"/>
      <c r="X4" s="248"/>
      <c r="Y4" s="455" t="s">
        <v>656</v>
      </c>
      <c r="Z4" s="456"/>
      <c r="AA4" s="270"/>
      <c r="AB4" s="457" t="s">
        <v>657</v>
      </c>
      <c r="AC4" s="456"/>
      <c r="AD4" s="270"/>
      <c r="AE4" s="457" t="s">
        <v>658</v>
      </c>
      <c r="AF4" s="458"/>
    </row>
    <row r="5" spans="1:33" ht="83.5" customHeight="1" thickBot="1" x14ac:dyDescent="0.2">
      <c r="A5" s="271"/>
      <c r="B5" s="272" t="s">
        <v>2</v>
      </c>
      <c r="C5" s="273" t="s">
        <v>424</v>
      </c>
      <c r="D5" s="273" t="s">
        <v>0</v>
      </c>
      <c r="E5" s="274" t="s">
        <v>425</v>
      </c>
      <c r="F5" s="275" t="s">
        <v>1</v>
      </c>
      <c r="G5" s="273" t="s">
        <v>467</v>
      </c>
      <c r="H5" s="276" t="s">
        <v>488</v>
      </c>
      <c r="I5" s="276" t="s">
        <v>481</v>
      </c>
      <c r="J5" s="277" t="s">
        <v>489</v>
      </c>
      <c r="K5" s="276" t="s">
        <v>485</v>
      </c>
      <c r="L5" s="276" t="s">
        <v>487</v>
      </c>
      <c r="M5" s="276" t="s">
        <v>671</v>
      </c>
      <c r="N5" s="276" t="s">
        <v>663</v>
      </c>
      <c r="O5" s="277" t="s">
        <v>664</v>
      </c>
      <c r="P5" s="277" t="s">
        <v>484</v>
      </c>
      <c r="Q5" s="277" t="s">
        <v>911</v>
      </c>
      <c r="R5" s="277" t="s">
        <v>640</v>
      </c>
      <c r="S5" s="277" t="s">
        <v>665</v>
      </c>
      <c r="T5" s="277" t="s">
        <v>607</v>
      </c>
      <c r="U5" s="278" t="s">
        <v>925</v>
      </c>
      <c r="V5" s="279" t="s">
        <v>666</v>
      </c>
      <c r="W5" s="279" t="s">
        <v>667</v>
      </c>
      <c r="X5" s="280"/>
      <c r="Y5" s="281" t="s">
        <v>645</v>
      </c>
      <c r="Z5" s="282" t="s">
        <v>659</v>
      </c>
      <c r="AA5" s="283"/>
      <c r="AB5" s="284" t="s">
        <v>645</v>
      </c>
      <c r="AC5" s="285" t="s">
        <v>660</v>
      </c>
      <c r="AD5" s="283"/>
      <c r="AE5" s="284" t="s">
        <v>645</v>
      </c>
      <c r="AF5" s="286" t="s">
        <v>661</v>
      </c>
      <c r="AG5" s="280"/>
    </row>
    <row r="6" spans="1:33" ht="15" thickBot="1" x14ac:dyDescent="0.2">
      <c r="A6" s="271"/>
      <c r="B6" s="287">
        <v>1</v>
      </c>
      <c r="C6" s="288">
        <v>1</v>
      </c>
      <c r="D6" s="289" t="s">
        <v>450</v>
      </c>
      <c r="E6" s="290" t="s">
        <v>5</v>
      </c>
      <c r="F6" s="291" t="s">
        <v>384</v>
      </c>
      <c r="G6" s="12" t="s">
        <v>465</v>
      </c>
      <c r="H6" s="292" t="s">
        <v>460</v>
      </c>
      <c r="I6" s="12" t="s">
        <v>482</v>
      </c>
      <c r="J6" s="293">
        <v>5371501</v>
      </c>
      <c r="K6" s="294">
        <v>1</v>
      </c>
      <c r="L6" s="207">
        <v>40</v>
      </c>
      <c r="M6" s="295">
        <f t="shared" ref="M6:M37" si="0">J6*K6*L6/1000000000</f>
        <v>0.21486004</v>
      </c>
      <c r="N6" s="296">
        <v>7</v>
      </c>
      <c r="O6" s="209">
        <v>100</v>
      </c>
      <c r="P6" s="293">
        <v>1000</v>
      </c>
      <c r="Q6" s="209">
        <v>500</v>
      </c>
      <c r="R6" s="293">
        <v>9000</v>
      </c>
      <c r="S6" s="293">
        <v>400</v>
      </c>
      <c r="T6" s="297">
        <f t="shared" ref="T6:T37" si="1">J6*K6*S6/1000000000</f>
        <v>2.1486003999999999</v>
      </c>
      <c r="U6" s="298">
        <f>(L6/S6)*100</f>
        <v>10</v>
      </c>
      <c r="V6" s="299">
        <f>IF('Prepare Gantt Chart'!G5=1,'Prepare Gantt Chart'!H5,9999)</f>
        <v>9999</v>
      </c>
      <c r="W6" s="300">
        <f>E3</f>
        <v>2050</v>
      </c>
      <c r="X6" s="301"/>
      <c r="Y6" s="302" t="s">
        <v>105</v>
      </c>
      <c r="Z6" s="303">
        <v>350000</v>
      </c>
      <c r="AA6" s="304"/>
      <c r="AB6" s="305" t="s">
        <v>16</v>
      </c>
      <c r="AC6" s="306">
        <v>40</v>
      </c>
      <c r="AD6" s="304"/>
      <c r="AE6" s="307" t="s">
        <v>75</v>
      </c>
      <c r="AF6" s="308">
        <v>12500</v>
      </c>
      <c r="AG6" s="301"/>
    </row>
    <row r="7" spans="1:33" ht="15" thickBot="1" x14ac:dyDescent="0.2">
      <c r="B7" s="287">
        <v>2</v>
      </c>
      <c r="C7" s="309">
        <v>1</v>
      </c>
      <c r="D7" s="310" t="s">
        <v>450</v>
      </c>
      <c r="E7" s="311" t="s">
        <v>6</v>
      </c>
      <c r="F7" s="312" t="s">
        <v>385</v>
      </c>
      <c r="G7" s="12" t="s">
        <v>466</v>
      </c>
      <c r="H7" s="292" t="s">
        <v>460</v>
      </c>
      <c r="I7" s="12" t="s">
        <v>482</v>
      </c>
      <c r="J7" s="293">
        <v>136524</v>
      </c>
      <c r="K7" s="294">
        <v>1</v>
      </c>
      <c r="L7" s="207">
        <v>300</v>
      </c>
      <c r="M7" s="295">
        <f t="shared" si="0"/>
        <v>4.0957199999999999E-2</v>
      </c>
      <c r="N7" s="296">
        <v>4</v>
      </c>
      <c r="O7" s="209">
        <v>800</v>
      </c>
      <c r="P7" s="293">
        <v>3000</v>
      </c>
      <c r="Q7" s="209">
        <v>2500</v>
      </c>
      <c r="R7" s="293">
        <v>53000</v>
      </c>
      <c r="S7" s="293">
        <v>2000</v>
      </c>
      <c r="T7" s="297">
        <f t="shared" si="1"/>
        <v>0.27304800000000001</v>
      </c>
      <c r="U7" s="313">
        <f t="shared" ref="U7:U70" si="2">(L7/S7)*100</f>
        <v>15</v>
      </c>
      <c r="V7" s="299">
        <f>IF('Prepare Gantt Chart'!G6=2,'Prepare Gantt Chart'!H6,9999)</f>
        <v>9999</v>
      </c>
      <c r="W7" s="300">
        <f>W6</f>
        <v>2050</v>
      </c>
      <c r="X7" s="301"/>
      <c r="Y7" s="314" t="s">
        <v>101</v>
      </c>
      <c r="Z7" s="315">
        <v>200000</v>
      </c>
      <c r="AA7" s="316"/>
      <c r="AB7" s="317" t="s">
        <v>27</v>
      </c>
      <c r="AC7" s="318">
        <v>40</v>
      </c>
      <c r="AD7" s="316"/>
      <c r="AE7" s="319" t="s">
        <v>64</v>
      </c>
      <c r="AF7" s="320">
        <v>7500</v>
      </c>
      <c r="AG7" s="301"/>
    </row>
    <row r="8" spans="1:33" ht="15" thickBot="1" x14ac:dyDescent="0.2">
      <c r="B8" s="287">
        <v>3</v>
      </c>
      <c r="C8" s="309">
        <v>1</v>
      </c>
      <c r="D8" s="310" t="s">
        <v>450</v>
      </c>
      <c r="E8" s="311" t="s">
        <v>7</v>
      </c>
      <c r="F8" s="312" t="s">
        <v>386</v>
      </c>
      <c r="G8" s="12" t="s">
        <v>465</v>
      </c>
      <c r="H8" s="292" t="s">
        <v>460</v>
      </c>
      <c r="I8" s="12" t="s">
        <v>482</v>
      </c>
      <c r="J8" s="293">
        <v>149052</v>
      </c>
      <c r="K8" s="294">
        <v>1</v>
      </c>
      <c r="L8" s="207">
        <v>100</v>
      </c>
      <c r="M8" s="295">
        <f t="shared" si="0"/>
        <v>1.49052E-2</v>
      </c>
      <c r="N8" s="296">
        <v>10</v>
      </c>
      <c r="O8" s="209">
        <v>50000</v>
      </c>
      <c r="P8" s="293">
        <v>500000</v>
      </c>
      <c r="Q8" s="209">
        <v>150000</v>
      </c>
      <c r="R8" s="293">
        <v>2250000</v>
      </c>
      <c r="S8" s="293">
        <v>110000</v>
      </c>
      <c r="T8" s="297">
        <f t="shared" si="1"/>
        <v>16.395720000000001</v>
      </c>
      <c r="U8" s="321">
        <f t="shared" si="2"/>
        <v>9.0909090909090912E-2</v>
      </c>
      <c r="V8" s="299">
        <f>IF('Prepare Gantt Chart'!G7=2,'Prepare Gantt Chart'!H7,9999)</f>
        <v>9999</v>
      </c>
      <c r="W8" s="300">
        <f t="shared" ref="W8:W71" si="3">W7</f>
        <v>2050</v>
      </c>
      <c r="X8" s="301"/>
      <c r="Y8" s="314" t="s">
        <v>106</v>
      </c>
      <c r="Z8" s="315">
        <v>200000</v>
      </c>
      <c r="AA8" s="316"/>
      <c r="AB8" s="322" t="s">
        <v>34</v>
      </c>
      <c r="AC8" s="318">
        <v>40</v>
      </c>
      <c r="AD8" s="316"/>
      <c r="AE8" s="319" t="s">
        <v>66</v>
      </c>
      <c r="AF8" s="320">
        <v>7500</v>
      </c>
      <c r="AG8" s="301"/>
    </row>
    <row r="9" spans="1:33" ht="15" thickBot="1" x14ac:dyDescent="0.2">
      <c r="B9" s="287">
        <v>4</v>
      </c>
      <c r="C9" s="309">
        <v>1</v>
      </c>
      <c r="D9" s="310" t="s">
        <v>450</v>
      </c>
      <c r="E9" s="311" t="s">
        <v>8</v>
      </c>
      <c r="F9" s="312" t="s">
        <v>110</v>
      </c>
      <c r="G9" s="12" t="s">
        <v>466</v>
      </c>
      <c r="H9" s="292" t="s">
        <v>460</v>
      </c>
      <c r="I9" s="12" t="s">
        <v>482</v>
      </c>
      <c r="J9" s="293">
        <v>11933</v>
      </c>
      <c r="K9" s="294">
        <v>1</v>
      </c>
      <c r="L9" s="207">
        <v>1000</v>
      </c>
      <c r="M9" s="295">
        <f t="shared" si="0"/>
        <v>1.1932999999999999E-2</v>
      </c>
      <c r="N9" s="296">
        <v>4</v>
      </c>
      <c r="O9" s="209">
        <v>850000</v>
      </c>
      <c r="P9" s="293">
        <v>3400000</v>
      </c>
      <c r="Q9" s="209">
        <v>7000</v>
      </c>
      <c r="R9" s="293">
        <v>147000</v>
      </c>
      <c r="S9" s="293">
        <v>142000</v>
      </c>
      <c r="T9" s="297">
        <f t="shared" si="1"/>
        <v>1.6944859999999999</v>
      </c>
      <c r="U9" s="313">
        <f t="shared" si="2"/>
        <v>0.70422535211267612</v>
      </c>
      <c r="V9" s="299">
        <f>IF('Prepare Gantt Chart'!G8=2,'Prepare Gantt Chart'!H8,9999)</f>
        <v>9999</v>
      </c>
      <c r="W9" s="300">
        <f t="shared" si="3"/>
        <v>2050</v>
      </c>
      <c r="X9" s="301"/>
      <c r="Y9" s="314" t="s">
        <v>95</v>
      </c>
      <c r="Z9" s="315">
        <v>100000</v>
      </c>
      <c r="AA9" s="316"/>
      <c r="AB9" s="323" t="s">
        <v>402</v>
      </c>
      <c r="AC9" s="318">
        <v>40</v>
      </c>
      <c r="AD9" s="316"/>
      <c r="AE9" s="319" t="s">
        <v>67</v>
      </c>
      <c r="AF9" s="320">
        <v>2500</v>
      </c>
      <c r="AG9" s="301"/>
    </row>
    <row r="10" spans="1:33" ht="15" thickBot="1" x14ac:dyDescent="0.2">
      <c r="B10" s="287">
        <v>5</v>
      </c>
      <c r="C10" s="309">
        <v>1</v>
      </c>
      <c r="D10" s="310" t="s">
        <v>450</v>
      </c>
      <c r="E10" s="311" t="s">
        <v>9</v>
      </c>
      <c r="F10" s="312" t="s">
        <v>111</v>
      </c>
      <c r="G10" s="12" t="s">
        <v>465</v>
      </c>
      <c r="H10" s="292" t="s">
        <v>460</v>
      </c>
      <c r="I10" s="12" t="s">
        <v>482</v>
      </c>
      <c r="J10" s="293">
        <v>149052</v>
      </c>
      <c r="K10" s="294">
        <v>1</v>
      </c>
      <c r="L10" s="207">
        <v>200</v>
      </c>
      <c r="M10" s="295">
        <f t="shared" si="0"/>
        <v>2.9810400000000001E-2</v>
      </c>
      <c r="N10" s="296">
        <v>6</v>
      </c>
      <c r="O10" s="209">
        <v>267000</v>
      </c>
      <c r="P10" s="293">
        <v>1600000</v>
      </c>
      <c r="Q10" s="209">
        <v>5000</v>
      </c>
      <c r="R10" s="293">
        <v>95000</v>
      </c>
      <c r="S10" s="293">
        <v>68000</v>
      </c>
      <c r="T10" s="297">
        <f t="shared" si="1"/>
        <v>10.135536</v>
      </c>
      <c r="U10" s="313">
        <f t="shared" si="2"/>
        <v>0.29411764705882354</v>
      </c>
      <c r="V10" s="299">
        <f>IF('Prepare Gantt Chart'!G9=2,'Prepare Gantt Chart'!H9,9999)</f>
        <v>9999</v>
      </c>
      <c r="W10" s="300">
        <f t="shared" si="3"/>
        <v>2050</v>
      </c>
      <c r="X10" s="301"/>
      <c r="Y10" s="314" t="s">
        <v>107</v>
      </c>
      <c r="Z10" s="315">
        <v>80000</v>
      </c>
      <c r="AA10" s="316"/>
      <c r="AB10" s="323" t="s">
        <v>403</v>
      </c>
      <c r="AC10" s="318">
        <v>40</v>
      </c>
      <c r="AD10" s="316"/>
      <c r="AE10" s="324" t="s">
        <v>76</v>
      </c>
      <c r="AF10" s="320">
        <v>2500</v>
      </c>
      <c r="AG10" s="301"/>
    </row>
    <row r="11" spans="1:33" ht="15" thickBot="1" x14ac:dyDescent="0.2">
      <c r="B11" s="287">
        <v>6</v>
      </c>
      <c r="C11" s="309">
        <v>1</v>
      </c>
      <c r="D11" s="310" t="s">
        <v>450</v>
      </c>
      <c r="E11" s="311" t="s">
        <v>10</v>
      </c>
      <c r="F11" s="312" t="s">
        <v>112</v>
      </c>
      <c r="G11" s="12" t="s">
        <v>465</v>
      </c>
      <c r="H11" s="292" t="s">
        <v>460</v>
      </c>
      <c r="I11" s="12" t="s">
        <v>482</v>
      </c>
      <c r="J11" s="293">
        <v>27840403</v>
      </c>
      <c r="K11" s="294">
        <v>0.01</v>
      </c>
      <c r="L11" s="207">
        <v>10</v>
      </c>
      <c r="M11" s="295">
        <f t="shared" si="0"/>
        <v>2.7840403000000003E-3</v>
      </c>
      <c r="N11" s="296">
        <v>2</v>
      </c>
      <c r="O11" s="209">
        <v>3000</v>
      </c>
      <c r="P11" s="293">
        <v>5000</v>
      </c>
      <c r="Q11" s="209">
        <v>1000</v>
      </c>
      <c r="R11" s="293">
        <v>23000</v>
      </c>
      <c r="S11" s="293">
        <v>1000</v>
      </c>
      <c r="T11" s="297">
        <f t="shared" si="1"/>
        <v>0.27840403000000002</v>
      </c>
      <c r="U11" s="313">
        <f t="shared" si="2"/>
        <v>1</v>
      </c>
      <c r="V11" s="299">
        <f>IF('Prepare Gantt Chart'!G10=2,'Prepare Gantt Chart'!H10,9999)</f>
        <v>9999</v>
      </c>
      <c r="W11" s="300">
        <f t="shared" si="3"/>
        <v>2050</v>
      </c>
      <c r="X11" s="301"/>
      <c r="Y11" s="325" t="s">
        <v>74</v>
      </c>
      <c r="Z11" s="315">
        <v>75000</v>
      </c>
      <c r="AA11" s="316"/>
      <c r="AB11" s="326" t="s">
        <v>410</v>
      </c>
      <c r="AC11" s="318">
        <v>40</v>
      </c>
      <c r="AD11" s="316"/>
      <c r="AE11" s="327" t="s">
        <v>92</v>
      </c>
      <c r="AF11" s="320">
        <v>2500</v>
      </c>
      <c r="AG11" s="301"/>
    </row>
    <row r="12" spans="1:33" ht="15" thickBot="1" x14ac:dyDescent="0.2">
      <c r="B12" s="287">
        <v>7</v>
      </c>
      <c r="C12" s="309">
        <v>1</v>
      </c>
      <c r="D12" s="310" t="s">
        <v>450</v>
      </c>
      <c r="E12" s="311" t="s">
        <v>11</v>
      </c>
      <c r="F12" s="312" t="s">
        <v>113</v>
      </c>
      <c r="G12" s="12" t="s">
        <v>465</v>
      </c>
      <c r="H12" s="292" t="s">
        <v>460</v>
      </c>
      <c r="I12" s="12" t="s">
        <v>482</v>
      </c>
      <c r="J12" s="293">
        <v>136420471</v>
      </c>
      <c r="K12" s="294">
        <v>0.01</v>
      </c>
      <c r="L12" s="207">
        <v>100</v>
      </c>
      <c r="M12" s="295">
        <f t="shared" si="0"/>
        <v>0.13642047099999999</v>
      </c>
      <c r="N12" s="296">
        <v>2</v>
      </c>
      <c r="O12" s="209">
        <v>63000</v>
      </c>
      <c r="P12" s="293">
        <v>125000</v>
      </c>
      <c r="Q12" s="209">
        <v>30000</v>
      </c>
      <c r="R12" s="293">
        <v>690000</v>
      </c>
      <c r="S12" s="293">
        <v>33000</v>
      </c>
      <c r="T12" s="297">
        <f t="shared" si="1"/>
        <v>45.018755429999999</v>
      </c>
      <c r="U12" s="313">
        <f t="shared" si="2"/>
        <v>0.30303030303030304</v>
      </c>
      <c r="V12" s="299">
        <f>IF('Prepare Gantt Chart'!G11=2,'Prepare Gantt Chart'!H11,9999)</f>
        <v>9999</v>
      </c>
      <c r="W12" s="300">
        <f t="shared" si="3"/>
        <v>2050</v>
      </c>
      <c r="X12" s="301"/>
      <c r="Y12" s="325" t="s">
        <v>70</v>
      </c>
      <c r="Z12" s="315">
        <v>50000</v>
      </c>
      <c r="AA12" s="316"/>
      <c r="AB12" s="319" t="s">
        <v>64</v>
      </c>
      <c r="AC12" s="318">
        <v>40</v>
      </c>
      <c r="AD12" s="316"/>
      <c r="AE12" s="327" t="s">
        <v>415</v>
      </c>
      <c r="AF12" s="320">
        <v>2500</v>
      </c>
      <c r="AG12" s="301"/>
    </row>
    <row r="13" spans="1:33" ht="15" thickBot="1" x14ac:dyDescent="0.2">
      <c r="B13" s="287">
        <v>8</v>
      </c>
      <c r="C13" s="309">
        <v>1</v>
      </c>
      <c r="D13" s="310" t="s">
        <v>450</v>
      </c>
      <c r="E13" s="311" t="s">
        <v>12</v>
      </c>
      <c r="F13" s="312" t="s">
        <v>114</v>
      </c>
      <c r="G13" s="12" t="s">
        <v>465</v>
      </c>
      <c r="H13" s="292" t="s">
        <v>460</v>
      </c>
      <c r="I13" s="12" t="s">
        <v>482</v>
      </c>
      <c r="J13" s="293">
        <v>27840403</v>
      </c>
      <c r="K13" s="294">
        <v>0.01</v>
      </c>
      <c r="L13" s="207">
        <v>10</v>
      </c>
      <c r="M13" s="295">
        <f t="shared" si="0"/>
        <v>2.7840403000000003E-3</v>
      </c>
      <c r="N13" s="296">
        <v>3</v>
      </c>
      <c r="O13" s="209">
        <v>18000</v>
      </c>
      <c r="P13" s="293">
        <v>55000</v>
      </c>
      <c r="Q13" s="209">
        <v>2000</v>
      </c>
      <c r="R13" s="293">
        <v>44000</v>
      </c>
      <c r="S13" s="293">
        <v>4000</v>
      </c>
      <c r="T13" s="297">
        <f t="shared" si="1"/>
        <v>1.1136161200000001</v>
      </c>
      <c r="U13" s="313">
        <f t="shared" si="2"/>
        <v>0.25</v>
      </c>
      <c r="V13" s="299">
        <f>IF('Prepare Gantt Chart'!G12=2,'Prepare Gantt Chart'!H12,9999)</f>
        <v>9999</v>
      </c>
      <c r="W13" s="300">
        <f t="shared" si="3"/>
        <v>2050</v>
      </c>
      <c r="X13" s="301"/>
      <c r="Y13" s="325" t="s">
        <v>72</v>
      </c>
      <c r="Z13" s="315">
        <v>50000</v>
      </c>
      <c r="AA13" s="316"/>
      <c r="AB13" s="319" t="s">
        <v>65</v>
      </c>
      <c r="AC13" s="318">
        <v>40</v>
      </c>
      <c r="AD13" s="316"/>
      <c r="AE13" s="328" t="s">
        <v>420</v>
      </c>
      <c r="AF13" s="320">
        <v>2500</v>
      </c>
      <c r="AG13" s="301"/>
    </row>
    <row r="14" spans="1:33" ht="15" thickBot="1" x14ac:dyDescent="0.2">
      <c r="B14" s="287">
        <v>9</v>
      </c>
      <c r="C14" s="309">
        <v>1</v>
      </c>
      <c r="D14" s="310" t="s">
        <v>450</v>
      </c>
      <c r="E14" s="311" t="s">
        <v>13</v>
      </c>
      <c r="F14" s="312" t="s">
        <v>116</v>
      </c>
      <c r="G14" s="12" t="s">
        <v>465</v>
      </c>
      <c r="H14" s="292" t="s">
        <v>460</v>
      </c>
      <c r="I14" s="12" t="s">
        <v>482</v>
      </c>
      <c r="J14" s="293">
        <v>10664361</v>
      </c>
      <c r="K14" s="294">
        <v>0.01</v>
      </c>
      <c r="L14" s="207">
        <v>500</v>
      </c>
      <c r="M14" s="295">
        <f t="shared" si="0"/>
        <v>5.3321805E-2</v>
      </c>
      <c r="N14" s="296">
        <v>2</v>
      </c>
      <c r="O14" s="209">
        <v>275000</v>
      </c>
      <c r="P14" s="293">
        <v>550000</v>
      </c>
      <c r="Q14" s="209">
        <v>3000</v>
      </c>
      <c r="R14" s="293">
        <v>69000</v>
      </c>
      <c r="S14" s="293">
        <v>25000</v>
      </c>
      <c r="T14" s="297">
        <f t="shared" si="1"/>
        <v>2.6660902499999999</v>
      </c>
      <c r="U14" s="313">
        <f t="shared" si="2"/>
        <v>2</v>
      </c>
      <c r="V14" s="299">
        <f>IF('Prepare Gantt Chart'!G13=2,'Prepare Gantt Chart'!H13,9999)</f>
        <v>9999</v>
      </c>
      <c r="W14" s="300">
        <f t="shared" si="3"/>
        <v>2050</v>
      </c>
      <c r="X14" s="301"/>
      <c r="Y14" s="325" t="s">
        <v>71</v>
      </c>
      <c r="Z14" s="315">
        <v>30000</v>
      </c>
      <c r="AA14" s="316"/>
      <c r="AB14" s="319" t="s">
        <v>66</v>
      </c>
      <c r="AC14" s="318">
        <v>40</v>
      </c>
      <c r="AD14" s="316"/>
      <c r="AE14" s="328" t="s">
        <v>421</v>
      </c>
      <c r="AF14" s="320">
        <v>2500</v>
      </c>
      <c r="AG14" s="301"/>
    </row>
    <row r="15" spans="1:33" ht="15" thickBot="1" x14ac:dyDescent="0.2">
      <c r="B15" s="287">
        <v>10</v>
      </c>
      <c r="C15" s="309">
        <v>1</v>
      </c>
      <c r="D15" s="310" t="s">
        <v>450</v>
      </c>
      <c r="E15" s="311" t="s">
        <v>14</v>
      </c>
      <c r="F15" s="312" t="s">
        <v>117</v>
      </c>
      <c r="G15" s="12" t="s">
        <v>465</v>
      </c>
      <c r="H15" s="292" t="s">
        <v>460</v>
      </c>
      <c r="I15" s="12" t="s">
        <v>482</v>
      </c>
      <c r="J15" s="293">
        <v>7576479</v>
      </c>
      <c r="K15" s="294">
        <v>1</v>
      </c>
      <c r="L15" s="207">
        <v>500</v>
      </c>
      <c r="M15" s="295">
        <f t="shared" si="0"/>
        <v>3.7882395</v>
      </c>
      <c r="N15" s="296">
        <v>10</v>
      </c>
      <c r="O15" s="209">
        <v>19000</v>
      </c>
      <c r="P15" s="293">
        <v>190000</v>
      </c>
      <c r="Q15" s="209">
        <v>1000</v>
      </c>
      <c r="R15" s="293">
        <v>15000</v>
      </c>
      <c r="S15" s="293">
        <v>8000</v>
      </c>
      <c r="T15" s="297">
        <f t="shared" si="1"/>
        <v>60.611832</v>
      </c>
      <c r="U15" s="321">
        <f t="shared" si="2"/>
        <v>6.25</v>
      </c>
      <c r="V15" s="299">
        <f>IF('Prepare Gantt Chart'!G14=2,'Prepare Gantt Chart'!H14,9999)</f>
        <v>9999</v>
      </c>
      <c r="W15" s="300">
        <f t="shared" si="3"/>
        <v>2050</v>
      </c>
      <c r="X15" s="301"/>
      <c r="Y15" s="329" t="s">
        <v>59</v>
      </c>
      <c r="Z15" s="315">
        <v>20000</v>
      </c>
      <c r="AA15" s="316"/>
      <c r="AB15" s="319" t="s">
        <v>67</v>
      </c>
      <c r="AC15" s="318">
        <v>40</v>
      </c>
      <c r="AD15" s="316"/>
      <c r="AE15" s="317" t="s">
        <v>27</v>
      </c>
      <c r="AF15" s="320">
        <v>1250</v>
      </c>
      <c r="AG15" s="301"/>
    </row>
    <row r="16" spans="1:33" ht="15" thickBot="1" x14ac:dyDescent="0.2">
      <c r="B16" s="287">
        <v>11</v>
      </c>
      <c r="C16" s="309">
        <v>1</v>
      </c>
      <c r="D16" s="310" t="s">
        <v>450</v>
      </c>
      <c r="E16" s="311" t="s">
        <v>15</v>
      </c>
      <c r="F16" s="312" t="s">
        <v>115</v>
      </c>
      <c r="G16" s="12" t="s">
        <v>465</v>
      </c>
      <c r="H16" s="299" t="s">
        <v>461</v>
      </c>
      <c r="I16" s="12" t="s">
        <v>482</v>
      </c>
      <c r="J16" s="293">
        <v>20749323</v>
      </c>
      <c r="K16" s="294">
        <v>1</v>
      </c>
      <c r="L16" s="207">
        <v>20</v>
      </c>
      <c r="M16" s="295">
        <f t="shared" si="0"/>
        <v>0.41498646</v>
      </c>
      <c r="N16" s="296">
        <v>2</v>
      </c>
      <c r="O16" s="209">
        <v>28000</v>
      </c>
      <c r="P16" s="293">
        <v>55000</v>
      </c>
      <c r="Q16" s="209">
        <v>3000</v>
      </c>
      <c r="R16" s="293">
        <v>69000</v>
      </c>
      <c r="S16" s="293">
        <v>5000</v>
      </c>
      <c r="T16" s="297">
        <f t="shared" si="1"/>
        <v>103.74661500000001</v>
      </c>
      <c r="U16" s="313">
        <f t="shared" si="2"/>
        <v>0.4</v>
      </c>
      <c r="V16" s="299">
        <f>IF('Prepare Gantt Chart'!G15=2,'Prepare Gantt Chart'!H15,9999)</f>
        <v>9999</v>
      </c>
      <c r="W16" s="300">
        <f t="shared" si="3"/>
        <v>2050</v>
      </c>
      <c r="X16" s="301"/>
      <c r="Y16" s="314" t="s">
        <v>94</v>
      </c>
      <c r="Z16" s="315">
        <v>20000</v>
      </c>
      <c r="AA16" s="316"/>
      <c r="AB16" s="324" t="s">
        <v>75</v>
      </c>
      <c r="AC16" s="318">
        <v>40</v>
      </c>
      <c r="AD16" s="316"/>
      <c r="AE16" s="324" t="s">
        <v>77</v>
      </c>
      <c r="AF16" s="320">
        <v>1250</v>
      </c>
      <c r="AG16" s="301"/>
    </row>
    <row r="17" spans="2:33" ht="15" thickBot="1" x14ac:dyDescent="0.2">
      <c r="B17" s="330">
        <v>12</v>
      </c>
      <c r="C17" s="331">
        <v>1</v>
      </c>
      <c r="D17" s="332" t="s">
        <v>450</v>
      </c>
      <c r="E17" s="333" t="s">
        <v>16</v>
      </c>
      <c r="F17" s="334" t="s">
        <v>118</v>
      </c>
      <c r="G17" s="335" t="s">
        <v>465</v>
      </c>
      <c r="H17" s="336" t="s">
        <v>461</v>
      </c>
      <c r="I17" s="335" t="s">
        <v>482</v>
      </c>
      <c r="J17" s="337">
        <v>136420471</v>
      </c>
      <c r="K17" s="338">
        <v>0.01</v>
      </c>
      <c r="L17" s="208">
        <v>30</v>
      </c>
      <c r="M17" s="339">
        <f t="shared" si="0"/>
        <v>4.0926141299999996E-2</v>
      </c>
      <c r="N17" s="340">
        <v>7</v>
      </c>
      <c r="O17" s="210">
        <v>10</v>
      </c>
      <c r="P17" s="337">
        <v>100</v>
      </c>
      <c r="Q17" s="210">
        <v>70</v>
      </c>
      <c r="R17" s="337">
        <v>1000</v>
      </c>
      <c r="S17" s="337">
        <v>40</v>
      </c>
      <c r="T17" s="341">
        <f t="shared" si="1"/>
        <v>5.4568188399999995E-2</v>
      </c>
      <c r="U17" s="342">
        <f t="shared" si="2"/>
        <v>75</v>
      </c>
      <c r="V17" s="336">
        <f>IF('Prepare Gantt Chart'!G16=2,'Prepare Gantt Chart'!H16,9999)</f>
        <v>9999</v>
      </c>
      <c r="W17" s="343">
        <f t="shared" si="3"/>
        <v>2050</v>
      </c>
      <c r="X17" s="301"/>
      <c r="Y17" s="344" t="s">
        <v>81</v>
      </c>
      <c r="Z17" s="315">
        <v>15000</v>
      </c>
      <c r="AA17" s="316"/>
      <c r="AB17" s="324" t="s">
        <v>76</v>
      </c>
      <c r="AC17" s="318">
        <v>40</v>
      </c>
      <c r="AD17" s="316"/>
      <c r="AE17" s="319" t="s">
        <v>65</v>
      </c>
      <c r="AF17" s="320">
        <v>1000</v>
      </c>
      <c r="AG17" s="301"/>
    </row>
    <row r="18" spans="2:33" ht="15" thickBot="1" x14ac:dyDescent="0.2">
      <c r="B18" s="287">
        <v>13</v>
      </c>
      <c r="C18" s="345">
        <v>2</v>
      </c>
      <c r="D18" s="289" t="s">
        <v>451</v>
      </c>
      <c r="E18" s="346" t="s">
        <v>17</v>
      </c>
      <c r="F18" s="312" t="s">
        <v>387</v>
      </c>
      <c r="G18" s="12" t="s">
        <v>464</v>
      </c>
      <c r="H18" s="292" t="s">
        <v>460</v>
      </c>
      <c r="I18" s="12" t="s">
        <v>482</v>
      </c>
      <c r="J18" s="293">
        <v>45984444</v>
      </c>
      <c r="K18" s="294">
        <v>1</v>
      </c>
      <c r="L18" s="207">
        <v>40</v>
      </c>
      <c r="M18" s="295">
        <f t="shared" si="0"/>
        <v>1.8393777600000001</v>
      </c>
      <c r="N18" s="296">
        <v>8</v>
      </c>
      <c r="O18" s="209">
        <v>2000</v>
      </c>
      <c r="P18" s="293">
        <v>18000</v>
      </c>
      <c r="Q18" s="209">
        <v>16000</v>
      </c>
      <c r="R18" s="293">
        <v>272000</v>
      </c>
      <c r="S18" s="293">
        <v>12000</v>
      </c>
      <c r="T18" s="297">
        <f t="shared" si="1"/>
        <v>551.81332799999996</v>
      </c>
      <c r="U18" s="313">
        <f t="shared" si="2"/>
        <v>0.33333333333333337</v>
      </c>
      <c r="V18" s="299">
        <f>IF('Prepare Gantt Chart'!G17=2,'Prepare Gantt Chart'!H17,9999)</f>
        <v>9999</v>
      </c>
      <c r="W18" s="300">
        <f t="shared" si="3"/>
        <v>2050</v>
      </c>
      <c r="X18" s="301"/>
      <c r="Y18" s="344" t="s">
        <v>80</v>
      </c>
      <c r="Z18" s="315">
        <v>10000</v>
      </c>
      <c r="AA18" s="316"/>
      <c r="AB18" s="324" t="s">
        <v>77</v>
      </c>
      <c r="AC18" s="318">
        <v>40</v>
      </c>
      <c r="AD18" s="316"/>
      <c r="AE18" s="323" t="s">
        <v>403</v>
      </c>
      <c r="AF18" s="320">
        <v>625</v>
      </c>
      <c r="AG18" s="301"/>
    </row>
    <row r="19" spans="2:33" ht="15" thickBot="1" x14ac:dyDescent="0.2">
      <c r="B19" s="287">
        <v>14</v>
      </c>
      <c r="C19" s="347">
        <v>2</v>
      </c>
      <c r="D19" s="310" t="s">
        <v>451</v>
      </c>
      <c r="E19" s="348" t="s">
        <v>18</v>
      </c>
      <c r="F19" s="312" t="s">
        <v>388</v>
      </c>
      <c r="G19" s="12" t="s">
        <v>464</v>
      </c>
      <c r="H19" s="292" t="s">
        <v>460</v>
      </c>
      <c r="I19" s="12" t="s">
        <v>482</v>
      </c>
      <c r="J19" s="293">
        <v>2638901</v>
      </c>
      <c r="K19" s="294">
        <v>1</v>
      </c>
      <c r="L19" s="207">
        <v>100</v>
      </c>
      <c r="M19" s="295">
        <f t="shared" si="0"/>
        <v>0.26389010000000002</v>
      </c>
      <c r="N19" s="296">
        <v>6</v>
      </c>
      <c r="O19" s="209">
        <v>100</v>
      </c>
      <c r="P19" s="293">
        <v>600</v>
      </c>
      <c r="Q19" s="209">
        <v>20000</v>
      </c>
      <c r="R19" s="293">
        <v>380000</v>
      </c>
      <c r="S19" s="293">
        <v>15000</v>
      </c>
      <c r="T19" s="297">
        <f t="shared" si="1"/>
        <v>39.583514999999998</v>
      </c>
      <c r="U19" s="313">
        <f t="shared" si="2"/>
        <v>0.66666666666666674</v>
      </c>
      <c r="V19" s="299">
        <f>IF('Prepare Gantt Chart'!G18=2,'Prepare Gantt Chart'!H18,9999)</f>
        <v>9999</v>
      </c>
      <c r="W19" s="300">
        <f t="shared" si="3"/>
        <v>2050</v>
      </c>
      <c r="X19" s="301"/>
      <c r="Y19" s="344" t="s">
        <v>82</v>
      </c>
      <c r="Z19" s="315">
        <v>6000</v>
      </c>
      <c r="AA19" s="316"/>
      <c r="AB19" s="324" t="s">
        <v>78</v>
      </c>
      <c r="AC19" s="318">
        <v>40</v>
      </c>
      <c r="AD19" s="316"/>
      <c r="AE19" s="327" t="s">
        <v>93</v>
      </c>
      <c r="AF19" s="320">
        <v>500</v>
      </c>
      <c r="AG19" s="301"/>
    </row>
    <row r="20" spans="2:33" ht="15" thickBot="1" x14ac:dyDescent="0.2">
      <c r="B20" s="287">
        <v>15</v>
      </c>
      <c r="C20" s="347">
        <v>2</v>
      </c>
      <c r="D20" s="310" t="s">
        <v>451</v>
      </c>
      <c r="E20" s="348" t="s">
        <v>19</v>
      </c>
      <c r="F20" s="312" t="s">
        <v>389</v>
      </c>
      <c r="G20" s="12" t="s">
        <v>464</v>
      </c>
      <c r="H20" s="292" t="s">
        <v>460</v>
      </c>
      <c r="I20" s="12" t="s">
        <v>482</v>
      </c>
      <c r="J20" s="293">
        <v>1039004</v>
      </c>
      <c r="K20" s="294">
        <v>1</v>
      </c>
      <c r="L20" s="207">
        <v>500</v>
      </c>
      <c r="M20" s="295">
        <f t="shared" si="0"/>
        <v>0.51950200000000002</v>
      </c>
      <c r="N20" s="296">
        <v>10</v>
      </c>
      <c r="O20" s="209">
        <v>3000</v>
      </c>
      <c r="P20" s="293">
        <v>27000</v>
      </c>
      <c r="Q20" s="209">
        <v>1000</v>
      </c>
      <c r="R20" s="293">
        <v>15000</v>
      </c>
      <c r="S20" s="293">
        <v>2000</v>
      </c>
      <c r="T20" s="297">
        <f t="shared" si="1"/>
        <v>2.0780080000000001</v>
      </c>
      <c r="U20" s="313">
        <f t="shared" si="2"/>
        <v>25</v>
      </c>
      <c r="V20" s="299">
        <f>IF('Prepare Gantt Chart'!G19=2,'Prepare Gantt Chart'!H19,9999)</f>
        <v>9999</v>
      </c>
      <c r="W20" s="300">
        <f t="shared" si="3"/>
        <v>2050</v>
      </c>
      <c r="X20" s="301"/>
      <c r="Y20" s="329" t="s">
        <v>57</v>
      </c>
      <c r="Z20" s="315">
        <v>5000</v>
      </c>
      <c r="AA20" s="316"/>
      <c r="AB20" s="327" t="s">
        <v>92</v>
      </c>
      <c r="AC20" s="318">
        <v>40</v>
      </c>
      <c r="AD20" s="316"/>
      <c r="AE20" s="323" t="s">
        <v>402</v>
      </c>
      <c r="AF20" s="320">
        <v>250</v>
      </c>
      <c r="AG20" s="301"/>
    </row>
    <row r="21" spans="2:33" ht="15" thickBot="1" x14ac:dyDescent="0.2">
      <c r="B21" s="287">
        <v>16</v>
      </c>
      <c r="C21" s="347">
        <v>2</v>
      </c>
      <c r="D21" s="310" t="s">
        <v>451</v>
      </c>
      <c r="E21" s="348" t="s">
        <v>20</v>
      </c>
      <c r="F21" s="312" t="s">
        <v>469</v>
      </c>
      <c r="G21" s="12" t="s">
        <v>464</v>
      </c>
      <c r="H21" s="292" t="s">
        <v>460</v>
      </c>
      <c r="I21" s="12" t="s">
        <v>482</v>
      </c>
      <c r="J21" s="293">
        <v>20595367</v>
      </c>
      <c r="K21" s="294">
        <v>0.1</v>
      </c>
      <c r="L21" s="207">
        <v>50</v>
      </c>
      <c r="M21" s="295">
        <f t="shared" si="0"/>
        <v>0.10297683500000002</v>
      </c>
      <c r="N21" s="296">
        <v>8</v>
      </c>
      <c r="O21" s="209">
        <v>63000</v>
      </c>
      <c r="P21" s="293">
        <v>500000</v>
      </c>
      <c r="Q21" s="209">
        <v>25000</v>
      </c>
      <c r="R21" s="293">
        <v>425000</v>
      </c>
      <c r="S21" s="293">
        <v>37000</v>
      </c>
      <c r="T21" s="297">
        <f t="shared" si="1"/>
        <v>76.202857899999998</v>
      </c>
      <c r="U21" s="313">
        <f t="shared" si="2"/>
        <v>0.13513513513513514</v>
      </c>
      <c r="V21" s="299">
        <f>IF('Prepare Gantt Chart'!G20=2,'Prepare Gantt Chart'!H20,9999)</f>
        <v>9999</v>
      </c>
      <c r="W21" s="300">
        <f t="shared" si="3"/>
        <v>2050</v>
      </c>
      <c r="X21" s="301"/>
      <c r="Y21" s="329" t="s">
        <v>58</v>
      </c>
      <c r="Z21" s="315">
        <v>5000</v>
      </c>
      <c r="AA21" s="316"/>
      <c r="AB21" s="327" t="s">
        <v>93</v>
      </c>
      <c r="AC21" s="318">
        <v>40</v>
      </c>
      <c r="AD21" s="316"/>
      <c r="AE21" s="324" t="s">
        <v>78</v>
      </c>
      <c r="AF21" s="320">
        <v>250</v>
      </c>
      <c r="AG21" s="301"/>
    </row>
    <row r="22" spans="2:33" ht="15" thickBot="1" x14ac:dyDescent="0.2">
      <c r="B22" s="287">
        <v>17</v>
      </c>
      <c r="C22" s="347">
        <v>2</v>
      </c>
      <c r="D22" s="310" t="s">
        <v>451</v>
      </c>
      <c r="E22" s="348" t="s">
        <v>21</v>
      </c>
      <c r="F22" s="312" t="s">
        <v>119</v>
      </c>
      <c r="G22" s="12" t="s">
        <v>464</v>
      </c>
      <c r="H22" s="292" t="s">
        <v>460</v>
      </c>
      <c r="I22" s="12" t="s">
        <v>482</v>
      </c>
      <c r="J22" s="293">
        <v>45984444</v>
      </c>
      <c r="K22" s="294">
        <v>0.2</v>
      </c>
      <c r="L22" s="207">
        <v>300</v>
      </c>
      <c r="M22" s="295">
        <f t="shared" si="0"/>
        <v>2.7590666399999999</v>
      </c>
      <c r="N22" s="296">
        <v>2</v>
      </c>
      <c r="O22" s="209">
        <v>300000</v>
      </c>
      <c r="P22" s="293">
        <v>600000</v>
      </c>
      <c r="Q22" s="209">
        <v>20000</v>
      </c>
      <c r="R22" s="293">
        <v>460000</v>
      </c>
      <c r="S22" s="293">
        <v>42000</v>
      </c>
      <c r="T22" s="297">
        <f t="shared" si="1"/>
        <v>386.26932960000005</v>
      </c>
      <c r="U22" s="313">
        <f t="shared" si="2"/>
        <v>0.7142857142857143</v>
      </c>
      <c r="V22" s="299">
        <f>IF('Prepare Gantt Chart'!G21=2,'Prepare Gantt Chart'!H21,9999)</f>
        <v>9999</v>
      </c>
      <c r="W22" s="300">
        <f t="shared" si="3"/>
        <v>2050</v>
      </c>
      <c r="X22" s="301"/>
      <c r="Y22" s="329" t="s">
        <v>60</v>
      </c>
      <c r="Z22" s="315">
        <v>5000</v>
      </c>
      <c r="AA22" s="316"/>
      <c r="AB22" s="327" t="s">
        <v>415</v>
      </c>
      <c r="AC22" s="318">
        <v>40</v>
      </c>
      <c r="AD22" s="316"/>
      <c r="AE22" s="328" t="s">
        <v>101</v>
      </c>
      <c r="AF22" s="320">
        <v>144.92753623188406</v>
      </c>
      <c r="AG22" s="301"/>
    </row>
    <row r="23" spans="2:33" ht="15" thickBot="1" x14ac:dyDescent="0.2">
      <c r="B23" s="287">
        <v>18</v>
      </c>
      <c r="C23" s="347">
        <v>2</v>
      </c>
      <c r="D23" s="310" t="s">
        <v>451</v>
      </c>
      <c r="E23" s="348" t="s">
        <v>22</v>
      </c>
      <c r="F23" s="312" t="s">
        <v>120</v>
      </c>
      <c r="G23" s="12" t="s">
        <v>464</v>
      </c>
      <c r="H23" s="292" t="s">
        <v>460</v>
      </c>
      <c r="I23" s="12" t="s">
        <v>482</v>
      </c>
      <c r="J23" s="293">
        <v>2638901</v>
      </c>
      <c r="K23" s="294">
        <v>1</v>
      </c>
      <c r="L23" s="207">
        <v>200</v>
      </c>
      <c r="M23" s="295">
        <f t="shared" si="0"/>
        <v>0.52778020000000003</v>
      </c>
      <c r="N23" s="296">
        <v>2</v>
      </c>
      <c r="O23" s="209">
        <v>300000</v>
      </c>
      <c r="P23" s="293">
        <v>600000</v>
      </c>
      <c r="Q23" s="209">
        <v>20000</v>
      </c>
      <c r="R23" s="293">
        <v>460000</v>
      </c>
      <c r="S23" s="293">
        <v>42000</v>
      </c>
      <c r="T23" s="297">
        <f t="shared" si="1"/>
        <v>110.833842</v>
      </c>
      <c r="U23" s="313">
        <f t="shared" si="2"/>
        <v>0.47619047619047622</v>
      </c>
      <c r="V23" s="299">
        <f>IF('Prepare Gantt Chart'!G22=2,'Prepare Gantt Chart'!H22,9999)</f>
        <v>9999</v>
      </c>
      <c r="W23" s="300">
        <f t="shared" si="3"/>
        <v>2050</v>
      </c>
      <c r="X23" s="301"/>
      <c r="Y23" s="329" t="s">
        <v>61</v>
      </c>
      <c r="Z23" s="315">
        <v>5000</v>
      </c>
      <c r="AA23" s="316"/>
      <c r="AB23" s="328" t="s">
        <v>420</v>
      </c>
      <c r="AC23" s="318">
        <v>40</v>
      </c>
      <c r="AD23" s="316"/>
      <c r="AE23" s="319" t="s">
        <v>61</v>
      </c>
      <c r="AF23" s="320">
        <v>100</v>
      </c>
      <c r="AG23" s="301"/>
    </row>
    <row r="24" spans="2:33" ht="15" thickBot="1" x14ac:dyDescent="0.2">
      <c r="B24" s="287">
        <v>19</v>
      </c>
      <c r="C24" s="347">
        <v>2</v>
      </c>
      <c r="D24" s="310" t="s">
        <v>451</v>
      </c>
      <c r="E24" s="348" t="s">
        <v>23</v>
      </c>
      <c r="F24" s="312" t="s">
        <v>121</v>
      </c>
      <c r="G24" s="12" t="s">
        <v>464</v>
      </c>
      <c r="H24" s="292" t="s">
        <v>460</v>
      </c>
      <c r="I24" s="12" t="s">
        <v>482</v>
      </c>
      <c r="J24" s="293">
        <v>1039004</v>
      </c>
      <c r="K24" s="294">
        <v>1</v>
      </c>
      <c r="L24" s="207">
        <v>500</v>
      </c>
      <c r="M24" s="295">
        <f t="shared" si="0"/>
        <v>0.51950200000000002</v>
      </c>
      <c r="N24" s="296">
        <v>2</v>
      </c>
      <c r="O24" s="209">
        <v>63000</v>
      </c>
      <c r="P24" s="293">
        <v>125000</v>
      </c>
      <c r="Q24" s="209">
        <v>10000</v>
      </c>
      <c r="R24" s="293">
        <v>230000</v>
      </c>
      <c r="S24" s="293">
        <v>14000</v>
      </c>
      <c r="T24" s="297">
        <f t="shared" si="1"/>
        <v>14.546056</v>
      </c>
      <c r="U24" s="313">
        <f t="shared" si="2"/>
        <v>3.5714285714285712</v>
      </c>
      <c r="V24" s="299">
        <f>IF('Prepare Gantt Chart'!G23=2,'Prepare Gantt Chart'!H23,9999)</f>
        <v>9999</v>
      </c>
      <c r="W24" s="300">
        <f t="shared" si="3"/>
        <v>2050</v>
      </c>
      <c r="X24" s="301"/>
      <c r="Y24" s="325" t="s">
        <v>68</v>
      </c>
      <c r="Z24" s="315">
        <v>5000</v>
      </c>
      <c r="AA24" s="316"/>
      <c r="AB24" s="328" t="s">
        <v>421</v>
      </c>
      <c r="AC24" s="318">
        <v>40</v>
      </c>
      <c r="AD24" s="316"/>
      <c r="AE24" s="349" t="s">
        <v>16</v>
      </c>
      <c r="AF24" s="320">
        <v>75</v>
      </c>
      <c r="AG24" s="301"/>
    </row>
    <row r="25" spans="2:33" ht="15" thickBot="1" x14ac:dyDescent="0.2">
      <c r="B25" s="287">
        <v>20</v>
      </c>
      <c r="C25" s="347">
        <v>2</v>
      </c>
      <c r="D25" s="310" t="s">
        <v>451</v>
      </c>
      <c r="E25" s="348" t="s">
        <v>24</v>
      </c>
      <c r="F25" s="312" t="s">
        <v>390</v>
      </c>
      <c r="G25" s="12" t="s">
        <v>464</v>
      </c>
      <c r="H25" s="292" t="s">
        <v>460</v>
      </c>
      <c r="I25" s="12" t="s">
        <v>482</v>
      </c>
      <c r="J25" s="293">
        <v>20595367</v>
      </c>
      <c r="K25" s="294">
        <v>0.01</v>
      </c>
      <c r="L25" s="207">
        <v>50</v>
      </c>
      <c r="M25" s="295">
        <f t="shared" si="0"/>
        <v>1.02976835E-2</v>
      </c>
      <c r="N25" s="296">
        <v>2</v>
      </c>
      <c r="O25" s="209">
        <v>300000</v>
      </c>
      <c r="P25" s="293">
        <v>600000</v>
      </c>
      <c r="Q25" s="209">
        <v>20000</v>
      </c>
      <c r="R25" s="293">
        <v>460000</v>
      </c>
      <c r="S25" s="293">
        <v>42000</v>
      </c>
      <c r="T25" s="297">
        <f t="shared" si="1"/>
        <v>8.6500541399999999</v>
      </c>
      <c r="U25" s="313">
        <f t="shared" si="2"/>
        <v>0.11904761904761905</v>
      </c>
      <c r="V25" s="299">
        <f>IF('Prepare Gantt Chart'!G24=2,'Prepare Gantt Chart'!H24,9999)</f>
        <v>9999</v>
      </c>
      <c r="W25" s="300">
        <f t="shared" si="3"/>
        <v>2050</v>
      </c>
      <c r="X25" s="301"/>
      <c r="Y25" s="325" t="s">
        <v>69</v>
      </c>
      <c r="Z25" s="315">
        <v>5000</v>
      </c>
      <c r="AA25" s="316"/>
      <c r="AB25" s="322" t="s">
        <v>28</v>
      </c>
      <c r="AC25" s="318">
        <v>100</v>
      </c>
      <c r="AD25" s="316"/>
      <c r="AE25" s="322" t="s">
        <v>34</v>
      </c>
      <c r="AF25" s="320">
        <v>50</v>
      </c>
      <c r="AG25" s="301"/>
    </row>
    <row r="26" spans="2:33" ht="15" thickBot="1" x14ac:dyDescent="0.2">
      <c r="B26" s="287">
        <v>21</v>
      </c>
      <c r="C26" s="347">
        <v>2</v>
      </c>
      <c r="D26" s="310" t="s">
        <v>451</v>
      </c>
      <c r="E26" s="348" t="s">
        <v>25</v>
      </c>
      <c r="F26" s="312" t="s">
        <v>123</v>
      </c>
      <c r="G26" s="12" t="s">
        <v>464</v>
      </c>
      <c r="H26" s="292" t="s">
        <v>460</v>
      </c>
      <c r="I26" s="12" t="s">
        <v>482</v>
      </c>
      <c r="J26" s="293">
        <v>29007</v>
      </c>
      <c r="K26" s="294">
        <v>1</v>
      </c>
      <c r="L26" s="207">
        <v>4000</v>
      </c>
      <c r="M26" s="295">
        <f t="shared" si="0"/>
        <v>0.11602800000000001</v>
      </c>
      <c r="N26" s="296">
        <v>2</v>
      </c>
      <c r="O26" s="209">
        <v>37500000</v>
      </c>
      <c r="P26" s="293">
        <v>75000000</v>
      </c>
      <c r="Q26" s="209">
        <v>375000</v>
      </c>
      <c r="R26" s="293">
        <v>8625000</v>
      </c>
      <c r="S26" s="293">
        <v>3345000</v>
      </c>
      <c r="T26" s="297">
        <f t="shared" si="1"/>
        <v>97.028414999999995</v>
      </c>
      <c r="U26" s="313">
        <f t="shared" si="2"/>
        <v>0.1195814648729447</v>
      </c>
      <c r="V26" s="299">
        <f>IF('Prepare Gantt Chart'!G25=2,'Prepare Gantt Chart'!H25,9999)</f>
        <v>9999</v>
      </c>
      <c r="W26" s="300">
        <f t="shared" si="3"/>
        <v>2050</v>
      </c>
      <c r="X26" s="301"/>
      <c r="Y26" s="325" t="s">
        <v>75</v>
      </c>
      <c r="Z26" s="315">
        <v>5000</v>
      </c>
      <c r="AA26" s="316"/>
      <c r="AB26" s="322" t="s">
        <v>31</v>
      </c>
      <c r="AC26" s="318">
        <v>300</v>
      </c>
      <c r="AD26" s="316"/>
      <c r="AE26" s="326" t="s">
        <v>410</v>
      </c>
      <c r="AF26" s="320">
        <v>50</v>
      </c>
      <c r="AG26" s="301"/>
    </row>
    <row r="27" spans="2:33" ht="15" thickBot="1" x14ac:dyDescent="0.2">
      <c r="B27" s="287">
        <v>22</v>
      </c>
      <c r="C27" s="347">
        <v>2</v>
      </c>
      <c r="D27" s="310" t="s">
        <v>451</v>
      </c>
      <c r="E27" s="348" t="s">
        <v>26</v>
      </c>
      <c r="F27" s="312" t="s">
        <v>122</v>
      </c>
      <c r="G27" s="12" t="s">
        <v>464</v>
      </c>
      <c r="H27" s="350" t="s">
        <v>462</v>
      </c>
      <c r="I27" s="12" t="s">
        <v>482</v>
      </c>
      <c r="J27" s="293">
        <v>3189480</v>
      </c>
      <c r="K27" s="294">
        <v>1</v>
      </c>
      <c r="L27" s="207">
        <v>2000</v>
      </c>
      <c r="M27" s="295">
        <f t="shared" si="0"/>
        <v>6.3789600000000002</v>
      </c>
      <c r="N27" s="296">
        <v>2</v>
      </c>
      <c r="O27" s="209">
        <v>150000</v>
      </c>
      <c r="P27" s="293">
        <v>300000</v>
      </c>
      <c r="Q27" s="209">
        <v>20000</v>
      </c>
      <c r="R27" s="293">
        <v>460000</v>
      </c>
      <c r="S27" s="293">
        <v>30000</v>
      </c>
      <c r="T27" s="297">
        <f t="shared" si="1"/>
        <v>95.684399999999997</v>
      </c>
      <c r="U27" s="313">
        <f t="shared" si="2"/>
        <v>6.666666666666667</v>
      </c>
      <c r="V27" s="299">
        <f>IF('Prepare Gantt Chart'!G26=2,'Prepare Gantt Chart'!H26,9999)</f>
        <v>9999</v>
      </c>
      <c r="W27" s="300">
        <f t="shared" si="3"/>
        <v>2050</v>
      </c>
      <c r="X27" s="301"/>
      <c r="Y27" s="344" t="s">
        <v>83</v>
      </c>
      <c r="Z27" s="315">
        <v>5000</v>
      </c>
      <c r="AA27" s="316"/>
      <c r="AB27" s="349" t="s">
        <v>5</v>
      </c>
      <c r="AC27" s="318">
        <v>400</v>
      </c>
      <c r="AD27" s="316"/>
      <c r="AE27" s="324" t="s">
        <v>74</v>
      </c>
      <c r="AF27" s="320">
        <v>33.936651583710407</v>
      </c>
      <c r="AG27" s="301"/>
    </row>
    <row r="28" spans="2:33" ht="15" thickBot="1" x14ac:dyDescent="0.2">
      <c r="B28" s="330">
        <v>23</v>
      </c>
      <c r="C28" s="351">
        <v>2</v>
      </c>
      <c r="D28" s="332" t="s">
        <v>451</v>
      </c>
      <c r="E28" s="352" t="s">
        <v>27</v>
      </c>
      <c r="F28" s="334" t="s">
        <v>118</v>
      </c>
      <c r="G28" s="335" t="s">
        <v>464</v>
      </c>
      <c r="H28" s="336" t="s">
        <v>461</v>
      </c>
      <c r="I28" s="335" t="s">
        <v>482</v>
      </c>
      <c r="J28" s="337">
        <v>3189480</v>
      </c>
      <c r="K28" s="338">
        <v>1</v>
      </c>
      <c r="L28" s="208">
        <v>500</v>
      </c>
      <c r="M28" s="339">
        <f t="shared" si="0"/>
        <v>1.59474</v>
      </c>
      <c r="N28" s="340">
        <v>1</v>
      </c>
      <c r="O28" s="210">
        <v>30</v>
      </c>
      <c r="P28" s="337">
        <v>30</v>
      </c>
      <c r="Q28" s="210">
        <v>50</v>
      </c>
      <c r="R28" s="337">
        <v>1000</v>
      </c>
      <c r="S28" s="337">
        <v>40</v>
      </c>
      <c r="T28" s="341">
        <f t="shared" si="1"/>
        <v>0.1275792</v>
      </c>
      <c r="U28" s="342">
        <f t="shared" si="2"/>
        <v>1250</v>
      </c>
      <c r="V28" s="336">
        <f>IF('Prepare Gantt Chart'!G27=2,'Prepare Gantt Chart'!H27,9999)</f>
        <v>9999</v>
      </c>
      <c r="W28" s="343">
        <f t="shared" si="3"/>
        <v>2050</v>
      </c>
      <c r="X28" s="301"/>
      <c r="Y28" s="344" t="s">
        <v>91</v>
      </c>
      <c r="Z28" s="315">
        <v>5000</v>
      </c>
      <c r="AA28" s="316"/>
      <c r="AB28" s="322" t="s">
        <v>30</v>
      </c>
      <c r="AC28" s="318">
        <v>400</v>
      </c>
      <c r="AD28" s="316"/>
      <c r="AE28" s="324" t="s">
        <v>70</v>
      </c>
      <c r="AF28" s="320">
        <v>31.25</v>
      </c>
      <c r="AG28" s="301"/>
    </row>
    <row r="29" spans="2:33" ht="15" thickBot="1" x14ac:dyDescent="0.2">
      <c r="B29" s="287">
        <v>24</v>
      </c>
      <c r="C29" s="353">
        <v>3</v>
      </c>
      <c r="D29" s="289" t="s">
        <v>452</v>
      </c>
      <c r="E29" s="354" t="s">
        <v>28</v>
      </c>
      <c r="F29" s="312" t="s">
        <v>391</v>
      </c>
      <c r="G29" s="12" t="s">
        <v>464</v>
      </c>
      <c r="H29" s="292" t="s">
        <v>460</v>
      </c>
      <c r="I29" s="12" t="s">
        <v>482</v>
      </c>
      <c r="J29" s="293">
        <v>45026725</v>
      </c>
      <c r="K29" s="294">
        <v>0.01</v>
      </c>
      <c r="L29" s="207">
        <v>5</v>
      </c>
      <c r="M29" s="295">
        <f t="shared" si="0"/>
        <v>2.2513362499999999E-3</v>
      </c>
      <c r="N29" s="296">
        <v>2</v>
      </c>
      <c r="O29" s="209">
        <v>500</v>
      </c>
      <c r="P29" s="293">
        <v>1000</v>
      </c>
      <c r="Q29" s="209">
        <v>100</v>
      </c>
      <c r="R29" s="293">
        <v>2000</v>
      </c>
      <c r="S29" s="293">
        <v>100</v>
      </c>
      <c r="T29" s="297">
        <f t="shared" si="1"/>
        <v>4.5026724999999997E-2</v>
      </c>
      <c r="U29" s="313">
        <f t="shared" si="2"/>
        <v>5</v>
      </c>
      <c r="V29" s="299">
        <f>IF('Prepare Gantt Chart'!G28=2,'Prepare Gantt Chart'!H28,9999)</f>
        <v>9999</v>
      </c>
      <c r="W29" s="300">
        <f t="shared" si="3"/>
        <v>2050</v>
      </c>
      <c r="X29" s="301"/>
      <c r="Y29" s="314" t="s">
        <v>96</v>
      </c>
      <c r="Z29" s="315">
        <v>5000</v>
      </c>
      <c r="AA29" s="316"/>
      <c r="AB29" s="322" t="s">
        <v>29</v>
      </c>
      <c r="AC29" s="318">
        <v>500</v>
      </c>
      <c r="AD29" s="316"/>
      <c r="AE29" s="317" t="s">
        <v>19</v>
      </c>
      <c r="AF29" s="320">
        <v>25</v>
      </c>
      <c r="AG29" s="301"/>
    </row>
    <row r="30" spans="2:33" ht="15" thickBot="1" x14ac:dyDescent="0.2">
      <c r="B30" s="287">
        <v>25</v>
      </c>
      <c r="C30" s="355">
        <v>3</v>
      </c>
      <c r="D30" s="310" t="s">
        <v>452</v>
      </c>
      <c r="E30" s="356" t="s">
        <v>29</v>
      </c>
      <c r="F30" s="312" t="s">
        <v>157</v>
      </c>
      <c r="G30" s="12" t="s">
        <v>464</v>
      </c>
      <c r="H30" s="292" t="s">
        <v>460</v>
      </c>
      <c r="I30" s="12" t="s">
        <v>482</v>
      </c>
      <c r="J30" s="293">
        <v>378757</v>
      </c>
      <c r="K30" s="294">
        <v>0.01</v>
      </c>
      <c r="L30" s="207">
        <v>20</v>
      </c>
      <c r="M30" s="295">
        <f t="shared" si="0"/>
        <v>7.5751400000000015E-5</v>
      </c>
      <c r="N30" s="296">
        <v>2</v>
      </c>
      <c r="O30" s="209">
        <v>4000</v>
      </c>
      <c r="P30" s="293">
        <v>7000</v>
      </c>
      <c r="Q30" s="209">
        <v>200</v>
      </c>
      <c r="R30" s="293">
        <v>5000</v>
      </c>
      <c r="S30" s="293">
        <v>500</v>
      </c>
      <c r="T30" s="297">
        <f t="shared" si="1"/>
        <v>1.893785E-3</v>
      </c>
      <c r="U30" s="313">
        <f t="shared" si="2"/>
        <v>4</v>
      </c>
      <c r="V30" s="299">
        <f>IF('Prepare Gantt Chart'!G29=2,'Prepare Gantt Chart'!H29,9999)</f>
        <v>9999</v>
      </c>
      <c r="W30" s="300">
        <f t="shared" si="3"/>
        <v>2050</v>
      </c>
      <c r="X30" s="301"/>
      <c r="Y30" s="314" t="s">
        <v>108</v>
      </c>
      <c r="Z30" s="315">
        <v>5000</v>
      </c>
      <c r="AA30" s="316"/>
      <c r="AB30" s="349" t="s">
        <v>10</v>
      </c>
      <c r="AC30" s="318">
        <v>1000</v>
      </c>
      <c r="AD30" s="316"/>
      <c r="AE30" s="324" t="s">
        <v>71</v>
      </c>
      <c r="AF30" s="320">
        <v>21.428571428571427</v>
      </c>
      <c r="AG30" s="301"/>
    </row>
    <row r="31" spans="2:33" ht="15" thickBot="1" x14ac:dyDescent="0.2">
      <c r="B31" s="287">
        <v>26</v>
      </c>
      <c r="C31" s="355">
        <v>3</v>
      </c>
      <c r="D31" s="310" t="s">
        <v>452</v>
      </c>
      <c r="E31" s="356" t="s">
        <v>30</v>
      </c>
      <c r="F31" s="312" t="s">
        <v>392</v>
      </c>
      <c r="G31" s="12" t="s">
        <v>464</v>
      </c>
      <c r="H31" s="292" t="s">
        <v>460</v>
      </c>
      <c r="I31" s="12" t="s">
        <v>482</v>
      </c>
      <c r="J31" s="293">
        <v>2584368</v>
      </c>
      <c r="K31" s="294">
        <v>0.01</v>
      </c>
      <c r="L31" s="207">
        <v>60</v>
      </c>
      <c r="M31" s="295">
        <f t="shared" si="0"/>
        <v>1.5506208E-3</v>
      </c>
      <c r="N31" s="296">
        <v>2</v>
      </c>
      <c r="O31" s="209">
        <v>2000</v>
      </c>
      <c r="P31" s="293">
        <v>4000</v>
      </c>
      <c r="Q31" s="209">
        <v>300</v>
      </c>
      <c r="R31" s="293">
        <v>7000</v>
      </c>
      <c r="S31" s="293">
        <v>400</v>
      </c>
      <c r="T31" s="297">
        <f t="shared" si="1"/>
        <v>1.0337472E-2</v>
      </c>
      <c r="U31" s="313">
        <f t="shared" si="2"/>
        <v>15</v>
      </c>
      <c r="V31" s="299">
        <f>IF('Prepare Gantt Chart'!G30=2,'Prepare Gantt Chart'!H30,9999)</f>
        <v>9999</v>
      </c>
      <c r="W31" s="300">
        <f t="shared" si="3"/>
        <v>2050</v>
      </c>
      <c r="X31" s="301"/>
      <c r="Y31" s="357" t="s">
        <v>25</v>
      </c>
      <c r="Z31" s="315">
        <v>4000</v>
      </c>
      <c r="AA31" s="316"/>
      <c r="AB31" s="322" t="s">
        <v>33</v>
      </c>
      <c r="AC31" s="318">
        <v>1000</v>
      </c>
      <c r="AD31" s="316"/>
      <c r="AE31" s="322" t="s">
        <v>31</v>
      </c>
      <c r="AF31" s="320">
        <v>16.666666666666664</v>
      </c>
      <c r="AG31" s="301"/>
    </row>
    <row r="32" spans="2:33" ht="15" thickBot="1" x14ac:dyDescent="0.2">
      <c r="B32" s="287">
        <v>27</v>
      </c>
      <c r="C32" s="355">
        <v>3</v>
      </c>
      <c r="D32" s="310" t="s">
        <v>452</v>
      </c>
      <c r="E32" s="356" t="s">
        <v>31</v>
      </c>
      <c r="F32" s="312" t="s">
        <v>393</v>
      </c>
      <c r="G32" s="12" t="s">
        <v>464</v>
      </c>
      <c r="H32" s="292" t="s">
        <v>460</v>
      </c>
      <c r="I32" s="12" t="s">
        <v>482</v>
      </c>
      <c r="J32" s="293">
        <v>45026725</v>
      </c>
      <c r="K32" s="294">
        <v>0.01</v>
      </c>
      <c r="L32" s="207">
        <v>50</v>
      </c>
      <c r="M32" s="295">
        <f t="shared" si="0"/>
        <v>2.2513362499999998E-2</v>
      </c>
      <c r="N32" s="296">
        <v>2</v>
      </c>
      <c r="O32" s="209">
        <v>2000</v>
      </c>
      <c r="P32" s="293">
        <v>3000</v>
      </c>
      <c r="Q32" s="209">
        <v>200</v>
      </c>
      <c r="R32" s="293">
        <v>5000</v>
      </c>
      <c r="S32" s="293">
        <v>300</v>
      </c>
      <c r="T32" s="297">
        <f t="shared" si="1"/>
        <v>0.135080175</v>
      </c>
      <c r="U32" s="313">
        <f t="shared" si="2"/>
        <v>16.666666666666664</v>
      </c>
      <c r="V32" s="299">
        <f>IF('Prepare Gantt Chart'!G31=2,'Prepare Gantt Chart'!H31,9999)</f>
        <v>9999</v>
      </c>
      <c r="W32" s="300">
        <f t="shared" si="3"/>
        <v>2050</v>
      </c>
      <c r="X32" s="301"/>
      <c r="Y32" s="329" t="s">
        <v>63</v>
      </c>
      <c r="Z32" s="315">
        <v>4000</v>
      </c>
      <c r="AA32" s="316"/>
      <c r="AB32" s="323" t="s">
        <v>400</v>
      </c>
      <c r="AC32" s="318">
        <v>1000</v>
      </c>
      <c r="AD32" s="316"/>
      <c r="AE32" s="327" t="s">
        <v>82</v>
      </c>
      <c r="AF32" s="320">
        <v>16.216216216216218</v>
      </c>
      <c r="AG32" s="301"/>
    </row>
    <row r="33" spans="2:33" ht="15" thickBot="1" x14ac:dyDescent="0.2">
      <c r="B33" s="287">
        <v>28</v>
      </c>
      <c r="C33" s="355">
        <v>3</v>
      </c>
      <c r="D33" s="310" t="s">
        <v>452</v>
      </c>
      <c r="E33" s="356" t="s">
        <v>32</v>
      </c>
      <c r="F33" s="312" t="s">
        <v>394</v>
      </c>
      <c r="G33" s="12" t="s">
        <v>464</v>
      </c>
      <c r="H33" s="292" t="s">
        <v>460</v>
      </c>
      <c r="I33" s="12" t="s">
        <v>482</v>
      </c>
      <c r="J33" s="293">
        <v>2171</v>
      </c>
      <c r="K33" s="294">
        <v>0.01</v>
      </c>
      <c r="L33" s="207">
        <v>400</v>
      </c>
      <c r="M33" s="295">
        <f t="shared" si="0"/>
        <v>8.6840000000000002E-6</v>
      </c>
      <c r="N33" s="296">
        <v>5</v>
      </c>
      <c r="O33" s="209">
        <v>120000</v>
      </c>
      <c r="P33" s="293">
        <v>600000</v>
      </c>
      <c r="Q33" s="209">
        <v>7000</v>
      </c>
      <c r="R33" s="293">
        <v>140000</v>
      </c>
      <c r="S33" s="293">
        <v>30000</v>
      </c>
      <c r="T33" s="297">
        <f t="shared" si="1"/>
        <v>6.5129999999999995E-4</v>
      </c>
      <c r="U33" s="313">
        <f t="shared" si="2"/>
        <v>1.3333333333333335</v>
      </c>
      <c r="V33" s="299">
        <f>IF('Prepare Gantt Chart'!G32=2,'Prepare Gantt Chart'!H32,9999)</f>
        <v>9999</v>
      </c>
      <c r="W33" s="300">
        <f t="shared" si="3"/>
        <v>2050</v>
      </c>
      <c r="X33" s="301"/>
      <c r="Y33" s="314" t="s">
        <v>104</v>
      </c>
      <c r="Z33" s="315">
        <v>4000</v>
      </c>
      <c r="AA33" s="316"/>
      <c r="AB33" s="349" t="s">
        <v>6</v>
      </c>
      <c r="AC33" s="318">
        <v>2000</v>
      </c>
      <c r="AD33" s="316"/>
      <c r="AE33" s="349" t="s">
        <v>6</v>
      </c>
      <c r="AF33" s="320">
        <v>15</v>
      </c>
      <c r="AG33" s="301"/>
    </row>
    <row r="34" spans="2:33" ht="15" thickBot="1" x14ac:dyDescent="0.2">
      <c r="B34" s="287">
        <v>29</v>
      </c>
      <c r="C34" s="355">
        <v>3</v>
      </c>
      <c r="D34" s="310" t="s">
        <v>452</v>
      </c>
      <c r="E34" s="356" t="s">
        <v>33</v>
      </c>
      <c r="F34" s="312" t="s">
        <v>125</v>
      </c>
      <c r="G34" s="12" t="s">
        <v>464</v>
      </c>
      <c r="H34" s="292" t="s">
        <v>460</v>
      </c>
      <c r="I34" s="12" t="s">
        <v>482</v>
      </c>
      <c r="J34" s="293">
        <v>45026725</v>
      </c>
      <c r="K34" s="294">
        <v>0.01</v>
      </c>
      <c r="L34" s="207">
        <v>100</v>
      </c>
      <c r="M34" s="295">
        <f t="shared" si="0"/>
        <v>4.5026724999999997E-2</v>
      </c>
      <c r="N34" s="296">
        <v>2</v>
      </c>
      <c r="O34" s="209">
        <v>3000</v>
      </c>
      <c r="P34" s="293">
        <v>5000</v>
      </c>
      <c r="Q34" s="209">
        <v>1000</v>
      </c>
      <c r="R34" s="293">
        <v>23000</v>
      </c>
      <c r="S34" s="293">
        <v>1000</v>
      </c>
      <c r="T34" s="297">
        <f t="shared" si="1"/>
        <v>0.45026725000000001</v>
      </c>
      <c r="U34" s="313">
        <f t="shared" si="2"/>
        <v>10</v>
      </c>
      <c r="V34" s="299">
        <f>IF('Prepare Gantt Chart'!G33=2,'Prepare Gantt Chart'!H33,9999)</f>
        <v>9999</v>
      </c>
      <c r="W34" s="300">
        <f t="shared" si="3"/>
        <v>2050</v>
      </c>
      <c r="X34" s="301"/>
      <c r="Y34" s="329" t="s">
        <v>64</v>
      </c>
      <c r="Z34" s="315">
        <v>3000</v>
      </c>
      <c r="AA34" s="316"/>
      <c r="AB34" s="317" t="s">
        <v>19</v>
      </c>
      <c r="AC34" s="318">
        <v>2000</v>
      </c>
      <c r="AD34" s="316"/>
      <c r="AE34" s="322" t="s">
        <v>30</v>
      </c>
      <c r="AF34" s="320">
        <v>15</v>
      </c>
      <c r="AG34" s="301"/>
    </row>
    <row r="35" spans="2:33" ht="15" thickBot="1" x14ac:dyDescent="0.2">
      <c r="B35" s="330">
        <v>30</v>
      </c>
      <c r="C35" s="358">
        <v>3</v>
      </c>
      <c r="D35" s="332" t="s">
        <v>452</v>
      </c>
      <c r="E35" s="359" t="s">
        <v>34</v>
      </c>
      <c r="F35" s="334" t="s">
        <v>118</v>
      </c>
      <c r="G35" s="335" t="s">
        <v>464</v>
      </c>
      <c r="H35" s="336" t="s">
        <v>461</v>
      </c>
      <c r="I35" s="335" t="s">
        <v>482</v>
      </c>
      <c r="J35" s="337">
        <v>45026725</v>
      </c>
      <c r="K35" s="338">
        <v>0.01</v>
      </c>
      <c r="L35" s="208">
        <v>20</v>
      </c>
      <c r="M35" s="339">
        <f t="shared" si="0"/>
        <v>9.0053449999999997E-3</v>
      </c>
      <c r="N35" s="340">
        <v>1</v>
      </c>
      <c r="O35" s="210">
        <v>60</v>
      </c>
      <c r="P35" s="337">
        <v>60</v>
      </c>
      <c r="Q35" s="210">
        <v>50</v>
      </c>
      <c r="R35" s="337">
        <v>1000</v>
      </c>
      <c r="S35" s="337">
        <v>40</v>
      </c>
      <c r="T35" s="341">
        <f t="shared" si="1"/>
        <v>1.8010689999999999E-2</v>
      </c>
      <c r="U35" s="342">
        <f t="shared" si="2"/>
        <v>50</v>
      </c>
      <c r="V35" s="336">
        <f>IF('Prepare Gantt Chart'!G34=2,'Prepare Gantt Chart'!H34,9999)</f>
        <v>9999</v>
      </c>
      <c r="W35" s="343">
        <f t="shared" si="3"/>
        <v>2050</v>
      </c>
      <c r="X35" s="301"/>
      <c r="Y35" s="329" t="s">
        <v>66</v>
      </c>
      <c r="Z35" s="315">
        <v>3000</v>
      </c>
      <c r="AA35" s="316"/>
      <c r="AB35" s="323" t="s">
        <v>36</v>
      </c>
      <c r="AC35" s="318">
        <v>2000</v>
      </c>
      <c r="AD35" s="316"/>
      <c r="AE35" s="319" t="s">
        <v>60</v>
      </c>
      <c r="AF35" s="320">
        <v>14.705882352941178</v>
      </c>
      <c r="AG35" s="301"/>
    </row>
    <row r="36" spans="2:33" ht="15" thickBot="1" x14ac:dyDescent="0.2">
      <c r="B36" s="287">
        <v>31</v>
      </c>
      <c r="C36" s="360">
        <v>4</v>
      </c>
      <c r="D36" s="361" t="s">
        <v>453</v>
      </c>
      <c r="E36" s="362" t="s">
        <v>35</v>
      </c>
      <c r="F36" s="312" t="s">
        <v>395</v>
      </c>
      <c r="G36" s="12" t="s">
        <v>464</v>
      </c>
      <c r="H36" s="292" t="s">
        <v>460</v>
      </c>
      <c r="I36" s="12" t="s">
        <v>482</v>
      </c>
      <c r="J36" s="293">
        <v>27357702</v>
      </c>
      <c r="K36" s="294">
        <v>1</v>
      </c>
      <c r="L36" s="207">
        <v>100</v>
      </c>
      <c r="M36" s="295">
        <f t="shared" si="0"/>
        <v>2.7357702000000002</v>
      </c>
      <c r="N36" s="296">
        <v>10</v>
      </c>
      <c r="O36" s="209">
        <v>2000</v>
      </c>
      <c r="P36" s="293">
        <v>24000</v>
      </c>
      <c r="Q36" s="209">
        <v>4000</v>
      </c>
      <c r="R36" s="293">
        <v>60000</v>
      </c>
      <c r="S36" s="293">
        <v>3000</v>
      </c>
      <c r="T36" s="297">
        <f t="shared" si="1"/>
        <v>82.073105999999996</v>
      </c>
      <c r="U36" s="313">
        <f t="shared" si="2"/>
        <v>3.3333333333333335</v>
      </c>
      <c r="V36" s="299">
        <f>IF('Prepare Gantt Chart'!G35=2,'Prepare Gantt Chart'!H35,9999)</f>
        <v>9999</v>
      </c>
      <c r="W36" s="300">
        <f t="shared" si="3"/>
        <v>2050</v>
      </c>
      <c r="X36" s="301"/>
      <c r="Y36" s="344" t="s">
        <v>84</v>
      </c>
      <c r="Z36" s="315">
        <v>3000</v>
      </c>
      <c r="AA36" s="316"/>
      <c r="AB36" s="323" t="s">
        <v>37</v>
      </c>
      <c r="AC36" s="318">
        <v>2000</v>
      </c>
      <c r="AD36" s="316"/>
      <c r="AE36" s="328" t="s">
        <v>105</v>
      </c>
      <c r="AF36" s="320">
        <v>14.583333333333334</v>
      </c>
      <c r="AG36" s="301"/>
    </row>
    <row r="37" spans="2:33" ht="15" thickBot="1" x14ac:dyDescent="0.2">
      <c r="B37" s="287">
        <v>32</v>
      </c>
      <c r="C37" s="363">
        <v>4</v>
      </c>
      <c r="D37" s="364" t="s">
        <v>453</v>
      </c>
      <c r="E37" s="365" t="s">
        <v>36</v>
      </c>
      <c r="F37" s="312" t="s">
        <v>396</v>
      </c>
      <c r="G37" s="12" t="s">
        <v>464</v>
      </c>
      <c r="H37" s="292" t="s">
        <v>460</v>
      </c>
      <c r="I37" s="12" t="s">
        <v>482</v>
      </c>
      <c r="J37" s="293">
        <v>61229058</v>
      </c>
      <c r="K37" s="294">
        <v>1</v>
      </c>
      <c r="L37" s="207">
        <v>100</v>
      </c>
      <c r="M37" s="295">
        <f t="shared" si="0"/>
        <v>6.1229057999999998</v>
      </c>
      <c r="N37" s="296">
        <v>6</v>
      </c>
      <c r="O37" s="209">
        <v>4000</v>
      </c>
      <c r="P37" s="293">
        <v>21500</v>
      </c>
      <c r="Q37" s="209">
        <v>1000</v>
      </c>
      <c r="R37" s="293">
        <v>19000</v>
      </c>
      <c r="S37" s="293">
        <v>2000</v>
      </c>
      <c r="T37" s="297">
        <f t="shared" si="1"/>
        <v>122.458116</v>
      </c>
      <c r="U37" s="313">
        <f t="shared" si="2"/>
        <v>5</v>
      </c>
      <c r="V37" s="299">
        <f>IF('Prepare Gantt Chart'!G36=2,'Prepare Gantt Chart'!H36,9999)</f>
        <v>9999</v>
      </c>
      <c r="W37" s="300">
        <f t="shared" si="3"/>
        <v>2050</v>
      </c>
      <c r="X37" s="301"/>
      <c r="Y37" s="344" t="s">
        <v>85</v>
      </c>
      <c r="Z37" s="315">
        <v>3000</v>
      </c>
      <c r="AA37" s="316"/>
      <c r="AB37" s="323" t="s">
        <v>401</v>
      </c>
      <c r="AC37" s="318">
        <v>2000</v>
      </c>
      <c r="AD37" s="316"/>
      <c r="AE37" s="319" t="s">
        <v>58</v>
      </c>
      <c r="AF37" s="320">
        <v>14.285714285714285</v>
      </c>
      <c r="AG37" s="301"/>
    </row>
    <row r="38" spans="2:33" ht="15" thickBot="1" x14ac:dyDescent="0.2">
      <c r="B38" s="287">
        <v>33</v>
      </c>
      <c r="C38" s="363">
        <v>4</v>
      </c>
      <c r="D38" s="364" t="s">
        <v>453</v>
      </c>
      <c r="E38" s="365" t="s">
        <v>37</v>
      </c>
      <c r="F38" s="312" t="s">
        <v>397</v>
      </c>
      <c r="G38" s="12" t="s">
        <v>464</v>
      </c>
      <c r="H38" s="292" t="s">
        <v>460</v>
      </c>
      <c r="I38" s="12" t="s">
        <v>482</v>
      </c>
      <c r="J38" s="293">
        <v>11262381</v>
      </c>
      <c r="K38" s="294">
        <v>1</v>
      </c>
      <c r="L38" s="207">
        <v>150</v>
      </c>
      <c r="M38" s="295">
        <f t="shared" ref="M38:M69" si="4">J38*K38*L38/1000000000</f>
        <v>1.68935715</v>
      </c>
      <c r="N38" s="296">
        <v>10</v>
      </c>
      <c r="O38" s="209">
        <v>1000</v>
      </c>
      <c r="P38" s="293">
        <v>14000</v>
      </c>
      <c r="Q38" s="209">
        <v>3000</v>
      </c>
      <c r="R38" s="293">
        <v>45000</v>
      </c>
      <c r="S38" s="293">
        <v>2000</v>
      </c>
      <c r="T38" s="297">
        <f t="shared" ref="T38:T69" si="5">J38*K38*S38/1000000000</f>
        <v>22.524761999999999</v>
      </c>
      <c r="U38" s="313">
        <f t="shared" si="2"/>
        <v>7.5</v>
      </c>
      <c r="V38" s="299">
        <f>IF('Prepare Gantt Chart'!G37=2,'Prepare Gantt Chart'!H37,9999)</f>
        <v>9999</v>
      </c>
      <c r="W38" s="300">
        <f t="shared" si="3"/>
        <v>2050</v>
      </c>
      <c r="X38" s="301"/>
      <c r="Y38" s="344" t="s">
        <v>86</v>
      </c>
      <c r="Z38" s="315">
        <v>3000</v>
      </c>
      <c r="AA38" s="316"/>
      <c r="AB38" s="326" t="s">
        <v>48</v>
      </c>
      <c r="AC38" s="318">
        <v>2000</v>
      </c>
      <c r="AD38" s="316"/>
      <c r="AE38" s="324" t="s">
        <v>72</v>
      </c>
      <c r="AF38" s="320">
        <v>14.285714285714285</v>
      </c>
      <c r="AG38" s="301"/>
    </row>
    <row r="39" spans="2:33" ht="15" thickBot="1" x14ac:dyDescent="0.2">
      <c r="B39" s="287">
        <v>34</v>
      </c>
      <c r="C39" s="363">
        <v>4</v>
      </c>
      <c r="D39" s="364" t="s">
        <v>453</v>
      </c>
      <c r="E39" s="365" t="s">
        <v>38</v>
      </c>
      <c r="F39" s="312" t="s">
        <v>459</v>
      </c>
      <c r="G39" s="12" t="s">
        <v>464</v>
      </c>
      <c r="H39" s="292" t="s">
        <v>460</v>
      </c>
      <c r="I39" s="12" t="s">
        <v>482</v>
      </c>
      <c r="J39" s="293">
        <v>76364411</v>
      </c>
      <c r="K39" s="294">
        <v>0.2</v>
      </c>
      <c r="L39" s="207">
        <v>200</v>
      </c>
      <c r="M39" s="295">
        <f t="shared" si="4"/>
        <v>3.0545764399999999</v>
      </c>
      <c r="N39" s="296">
        <v>2</v>
      </c>
      <c r="O39" s="209">
        <v>1150000</v>
      </c>
      <c r="P39" s="293">
        <v>2300000</v>
      </c>
      <c r="Q39" s="209">
        <v>12000</v>
      </c>
      <c r="R39" s="293">
        <v>276000</v>
      </c>
      <c r="S39" s="293">
        <v>103000</v>
      </c>
      <c r="T39" s="297">
        <f t="shared" si="5"/>
        <v>1573.1068666000001</v>
      </c>
      <c r="U39" s="313">
        <f t="shared" si="2"/>
        <v>0.1941747572815534</v>
      </c>
      <c r="V39" s="299">
        <f>IF('Prepare Gantt Chart'!G38=2,'Prepare Gantt Chart'!H38,9999)</f>
        <v>9999</v>
      </c>
      <c r="W39" s="300">
        <f t="shared" si="3"/>
        <v>2050</v>
      </c>
      <c r="X39" s="301"/>
      <c r="Y39" s="314" t="s">
        <v>98</v>
      </c>
      <c r="Z39" s="315">
        <v>3000</v>
      </c>
      <c r="AA39" s="316"/>
      <c r="AB39" s="326" t="s">
        <v>50</v>
      </c>
      <c r="AC39" s="318">
        <v>2000</v>
      </c>
      <c r="AD39" s="316"/>
      <c r="AE39" s="328" t="s">
        <v>107</v>
      </c>
      <c r="AF39" s="320">
        <v>12.539184952978054</v>
      </c>
      <c r="AG39" s="301"/>
    </row>
    <row r="40" spans="2:33" ht="15" thickBot="1" x14ac:dyDescent="0.2">
      <c r="B40" s="287">
        <v>35</v>
      </c>
      <c r="C40" s="363">
        <v>4</v>
      </c>
      <c r="D40" s="364" t="s">
        <v>453</v>
      </c>
      <c r="E40" s="365" t="s">
        <v>39</v>
      </c>
      <c r="F40" s="312" t="s">
        <v>126</v>
      </c>
      <c r="G40" s="12" t="s">
        <v>464</v>
      </c>
      <c r="H40" s="292" t="s">
        <v>460</v>
      </c>
      <c r="I40" s="12" t="s">
        <v>482</v>
      </c>
      <c r="J40" s="293">
        <v>76364411</v>
      </c>
      <c r="K40" s="294">
        <v>1</v>
      </c>
      <c r="L40" s="207">
        <v>170</v>
      </c>
      <c r="M40" s="295">
        <f t="shared" si="4"/>
        <v>12.981949869999999</v>
      </c>
      <c r="N40" s="296">
        <v>2</v>
      </c>
      <c r="O40" s="209">
        <v>87000</v>
      </c>
      <c r="P40" s="293">
        <v>174000</v>
      </c>
      <c r="Q40" s="209">
        <v>87000</v>
      </c>
      <c r="R40" s="293">
        <v>2001000</v>
      </c>
      <c r="S40" s="293">
        <v>87000</v>
      </c>
      <c r="T40" s="297">
        <f t="shared" si="5"/>
        <v>6643.7037570000002</v>
      </c>
      <c r="U40" s="313">
        <f t="shared" si="2"/>
        <v>0.1954022988505747</v>
      </c>
      <c r="V40" s="299">
        <f>IF('Prepare Gantt Chart'!G39=2,'Prepare Gantt Chart'!H39,9999)</f>
        <v>9999</v>
      </c>
      <c r="W40" s="300">
        <f t="shared" si="3"/>
        <v>2050</v>
      </c>
      <c r="X40" s="301"/>
      <c r="Y40" s="357" t="s">
        <v>26</v>
      </c>
      <c r="Z40" s="315">
        <v>2000</v>
      </c>
      <c r="AA40" s="316"/>
      <c r="AB40" s="326" t="s">
        <v>52</v>
      </c>
      <c r="AC40" s="318">
        <v>2000</v>
      </c>
      <c r="AD40" s="316"/>
      <c r="AE40" s="319" t="s">
        <v>63</v>
      </c>
      <c r="AF40" s="320">
        <v>12.5</v>
      </c>
      <c r="AG40" s="301"/>
    </row>
    <row r="41" spans="2:33" ht="15" thickBot="1" x14ac:dyDescent="0.2">
      <c r="B41" s="287">
        <v>36</v>
      </c>
      <c r="C41" s="363">
        <v>4</v>
      </c>
      <c r="D41" s="364" t="s">
        <v>453</v>
      </c>
      <c r="E41" s="365" t="s">
        <v>40</v>
      </c>
      <c r="F41" s="312" t="s">
        <v>127</v>
      </c>
      <c r="G41" s="12" t="s">
        <v>464</v>
      </c>
      <c r="H41" s="292" t="s">
        <v>460</v>
      </c>
      <c r="I41" s="12" t="s">
        <v>482</v>
      </c>
      <c r="J41" s="293">
        <v>35851796</v>
      </c>
      <c r="K41" s="294">
        <v>1</v>
      </c>
      <c r="L41" s="207">
        <v>10</v>
      </c>
      <c r="M41" s="295">
        <f t="shared" si="4"/>
        <v>0.35851796000000002</v>
      </c>
      <c r="N41" s="296">
        <v>2</v>
      </c>
      <c r="O41" s="209">
        <v>87000</v>
      </c>
      <c r="P41" s="293">
        <v>174000</v>
      </c>
      <c r="Q41" s="209">
        <v>18000</v>
      </c>
      <c r="R41" s="293">
        <v>414000</v>
      </c>
      <c r="S41" s="293">
        <v>24000</v>
      </c>
      <c r="T41" s="297">
        <f t="shared" si="5"/>
        <v>860.44310399999995</v>
      </c>
      <c r="U41" s="313">
        <f t="shared" si="2"/>
        <v>4.1666666666666671E-2</v>
      </c>
      <c r="V41" s="299">
        <f>IF('Prepare Gantt Chart'!G40=2,'Prepare Gantt Chart'!H40,9999)</f>
        <v>9999</v>
      </c>
      <c r="W41" s="300">
        <f t="shared" si="3"/>
        <v>2050</v>
      </c>
      <c r="X41" s="301"/>
      <c r="Y41" s="366" t="s">
        <v>47</v>
      </c>
      <c r="Z41" s="315">
        <v>2000</v>
      </c>
      <c r="AA41" s="316"/>
      <c r="AB41" s="326" t="s">
        <v>53</v>
      </c>
      <c r="AC41" s="318">
        <v>2000</v>
      </c>
      <c r="AD41" s="316"/>
      <c r="AE41" s="319" t="s">
        <v>59</v>
      </c>
      <c r="AF41" s="320">
        <v>11.904761904761903</v>
      </c>
      <c r="AG41" s="301"/>
    </row>
    <row r="42" spans="2:33" ht="15" thickBot="1" x14ac:dyDescent="0.2">
      <c r="B42" s="287">
        <v>37</v>
      </c>
      <c r="C42" s="363">
        <v>4</v>
      </c>
      <c r="D42" s="364" t="s">
        <v>453</v>
      </c>
      <c r="E42" s="365" t="s">
        <v>41</v>
      </c>
      <c r="F42" s="312" t="s">
        <v>129</v>
      </c>
      <c r="G42" s="12" t="s">
        <v>464</v>
      </c>
      <c r="H42" s="292" t="s">
        <v>460</v>
      </c>
      <c r="I42" s="12" t="s">
        <v>482</v>
      </c>
      <c r="J42" s="293">
        <v>4605084</v>
      </c>
      <c r="K42" s="294">
        <v>1</v>
      </c>
      <c r="L42" s="207">
        <v>500</v>
      </c>
      <c r="M42" s="295">
        <f t="shared" si="4"/>
        <v>2.3025419999999999</v>
      </c>
      <c r="N42" s="296">
        <v>10</v>
      </c>
      <c r="O42" s="209">
        <v>170000</v>
      </c>
      <c r="P42" s="293">
        <v>1701000</v>
      </c>
      <c r="Q42" s="209">
        <v>110000</v>
      </c>
      <c r="R42" s="293">
        <v>1650000</v>
      </c>
      <c r="S42" s="293">
        <v>134000</v>
      </c>
      <c r="T42" s="297">
        <f t="shared" si="5"/>
        <v>617.08125600000005</v>
      </c>
      <c r="U42" s="313">
        <f t="shared" si="2"/>
        <v>0.37313432835820892</v>
      </c>
      <c r="V42" s="299">
        <f>IF('Prepare Gantt Chart'!G41=2,'Prepare Gantt Chart'!H41,9999)</f>
        <v>9999</v>
      </c>
      <c r="W42" s="300">
        <f t="shared" si="3"/>
        <v>2050</v>
      </c>
      <c r="X42" s="301"/>
      <c r="Y42" s="314" t="s">
        <v>97</v>
      </c>
      <c r="Z42" s="315">
        <v>2000</v>
      </c>
      <c r="AA42" s="316"/>
      <c r="AB42" s="323" t="s">
        <v>35</v>
      </c>
      <c r="AC42" s="318">
        <v>3000</v>
      </c>
      <c r="AD42" s="316"/>
      <c r="AE42" s="349" t="s">
        <v>5</v>
      </c>
      <c r="AF42" s="320">
        <v>10</v>
      </c>
      <c r="AG42" s="301"/>
    </row>
    <row r="43" spans="2:33" ht="15" thickBot="1" x14ac:dyDescent="0.2">
      <c r="B43" s="287">
        <v>38</v>
      </c>
      <c r="C43" s="363">
        <v>4</v>
      </c>
      <c r="D43" s="364" t="s">
        <v>453</v>
      </c>
      <c r="E43" s="365" t="s">
        <v>42</v>
      </c>
      <c r="F43" s="312" t="s">
        <v>130</v>
      </c>
      <c r="G43" s="12" t="s">
        <v>464</v>
      </c>
      <c r="H43" s="292" t="s">
        <v>460</v>
      </c>
      <c r="I43" s="12" t="s">
        <v>482</v>
      </c>
      <c r="J43" s="293">
        <v>35851796</v>
      </c>
      <c r="K43" s="294">
        <v>1</v>
      </c>
      <c r="L43" s="207">
        <v>200</v>
      </c>
      <c r="M43" s="295">
        <f t="shared" si="4"/>
        <v>7.1703592</v>
      </c>
      <c r="N43" s="296">
        <v>10</v>
      </c>
      <c r="O43" s="209">
        <v>19000</v>
      </c>
      <c r="P43" s="293">
        <v>185000</v>
      </c>
      <c r="Q43" s="209">
        <v>50000</v>
      </c>
      <c r="R43" s="293">
        <v>750000</v>
      </c>
      <c r="S43" s="293">
        <v>37000</v>
      </c>
      <c r="T43" s="297">
        <f t="shared" si="5"/>
        <v>1326.5164520000001</v>
      </c>
      <c r="U43" s="313">
        <f t="shared" si="2"/>
        <v>0.54054054054054057</v>
      </c>
      <c r="V43" s="299">
        <f>IF('Prepare Gantt Chart'!G42=2,'Prepare Gantt Chart'!H42,9999)</f>
        <v>9999</v>
      </c>
      <c r="W43" s="300">
        <f t="shared" si="3"/>
        <v>2050</v>
      </c>
      <c r="X43" s="301"/>
      <c r="Y43" s="314" t="s">
        <v>100</v>
      </c>
      <c r="Z43" s="315">
        <v>2000</v>
      </c>
      <c r="AA43" s="316"/>
      <c r="AB43" s="326" t="s">
        <v>46</v>
      </c>
      <c r="AC43" s="318">
        <v>3000</v>
      </c>
      <c r="AD43" s="316"/>
      <c r="AE43" s="322" t="s">
        <v>33</v>
      </c>
      <c r="AF43" s="320">
        <v>10</v>
      </c>
      <c r="AG43" s="301"/>
    </row>
    <row r="44" spans="2:33" ht="15" thickBot="1" x14ac:dyDescent="0.2">
      <c r="B44" s="287">
        <v>39</v>
      </c>
      <c r="C44" s="363">
        <v>4</v>
      </c>
      <c r="D44" s="364" t="s">
        <v>453</v>
      </c>
      <c r="E44" s="365" t="s">
        <v>43</v>
      </c>
      <c r="F44" s="312" t="s">
        <v>131</v>
      </c>
      <c r="G44" s="12" t="s">
        <v>464</v>
      </c>
      <c r="H44" s="292" t="s">
        <v>460</v>
      </c>
      <c r="I44" s="12" t="s">
        <v>482</v>
      </c>
      <c r="J44" s="293">
        <v>21666361</v>
      </c>
      <c r="K44" s="294">
        <v>1</v>
      </c>
      <c r="L44" s="207">
        <v>100</v>
      </c>
      <c r="M44" s="295">
        <f t="shared" si="4"/>
        <v>2.1666360999999998</v>
      </c>
      <c r="N44" s="296">
        <v>10</v>
      </c>
      <c r="O44" s="209">
        <v>37000</v>
      </c>
      <c r="P44" s="293">
        <v>370000</v>
      </c>
      <c r="Q44" s="209">
        <v>14000</v>
      </c>
      <c r="R44" s="293">
        <v>210000</v>
      </c>
      <c r="S44" s="293">
        <v>23000</v>
      </c>
      <c r="T44" s="297">
        <f t="shared" si="5"/>
        <v>498.326303</v>
      </c>
      <c r="U44" s="313">
        <f t="shared" si="2"/>
        <v>0.43478260869565216</v>
      </c>
      <c r="V44" s="299">
        <f>IF('Prepare Gantt Chart'!G43=2,'Prepare Gantt Chart'!H43,9999)</f>
        <v>9999</v>
      </c>
      <c r="W44" s="300">
        <f t="shared" si="3"/>
        <v>2050</v>
      </c>
      <c r="X44" s="301"/>
      <c r="Y44" s="314" t="s">
        <v>418</v>
      </c>
      <c r="Z44" s="315">
        <v>2000</v>
      </c>
      <c r="AA44" s="316"/>
      <c r="AB44" s="326" t="s">
        <v>49</v>
      </c>
      <c r="AC44" s="318">
        <v>3000</v>
      </c>
      <c r="AD44" s="316"/>
      <c r="AE44" s="319" t="s">
        <v>62</v>
      </c>
      <c r="AF44" s="320">
        <v>10</v>
      </c>
      <c r="AG44" s="301"/>
    </row>
    <row r="45" spans="2:33" ht="15" thickBot="1" x14ac:dyDescent="0.2">
      <c r="B45" s="287">
        <v>40</v>
      </c>
      <c r="C45" s="363">
        <v>4</v>
      </c>
      <c r="D45" s="364" t="s">
        <v>453</v>
      </c>
      <c r="E45" s="365" t="s">
        <v>44</v>
      </c>
      <c r="F45" s="312" t="s">
        <v>132</v>
      </c>
      <c r="G45" s="12" t="s">
        <v>464</v>
      </c>
      <c r="H45" s="292" t="s">
        <v>460</v>
      </c>
      <c r="I45" s="12" t="s">
        <v>482</v>
      </c>
      <c r="J45" s="293">
        <v>76364411</v>
      </c>
      <c r="K45" s="294">
        <v>0.01</v>
      </c>
      <c r="L45" s="207">
        <v>130</v>
      </c>
      <c r="M45" s="295">
        <f t="shared" si="4"/>
        <v>9.9273734299999999E-2</v>
      </c>
      <c r="N45" s="296">
        <v>3</v>
      </c>
      <c r="O45" s="209">
        <v>167000</v>
      </c>
      <c r="P45" s="293">
        <v>500000</v>
      </c>
      <c r="Q45" s="209">
        <v>37000</v>
      </c>
      <c r="R45" s="293">
        <v>814000</v>
      </c>
      <c r="S45" s="293">
        <v>53000</v>
      </c>
      <c r="T45" s="297">
        <f t="shared" si="5"/>
        <v>40.473137829999999</v>
      </c>
      <c r="U45" s="313">
        <f t="shared" si="2"/>
        <v>0.24528301886792453</v>
      </c>
      <c r="V45" s="299">
        <f>IF('Prepare Gantt Chart'!G44=2,'Prepare Gantt Chart'!H44,9999)</f>
        <v>9999</v>
      </c>
      <c r="W45" s="300">
        <f t="shared" si="3"/>
        <v>2050</v>
      </c>
      <c r="X45" s="301"/>
      <c r="Y45" s="367" t="s">
        <v>8</v>
      </c>
      <c r="Z45" s="315">
        <v>1000</v>
      </c>
      <c r="AA45" s="316"/>
      <c r="AB45" s="349" t="s">
        <v>12</v>
      </c>
      <c r="AC45" s="318">
        <v>4000</v>
      </c>
      <c r="AD45" s="316"/>
      <c r="AE45" s="326" t="s">
        <v>50</v>
      </c>
      <c r="AF45" s="320">
        <v>9.5</v>
      </c>
      <c r="AG45" s="301"/>
    </row>
    <row r="46" spans="2:33" ht="15" thickBot="1" x14ac:dyDescent="0.2">
      <c r="B46" s="287">
        <v>41</v>
      </c>
      <c r="C46" s="363">
        <v>4</v>
      </c>
      <c r="D46" s="364" t="s">
        <v>453</v>
      </c>
      <c r="E46" s="365" t="s">
        <v>45</v>
      </c>
      <c r="F46" s="312" t="s">
        <v>133</v>
      </c>
      <c r="G46" s="12" t="s">
        <v>464</v>
      </c>
      <c r="H46" s="292" t="s">
        <v>460</v>
      </c>
      <c r="I46" s="12" t="s">
        <v>482</v>
      </c>
      <c r="J46" s="293">
        <v>76364411</v>
      </c>
      <c r="K46" s="294">
        <v>0.01</v>
      </c>
      <c r="L46" s="207">
        <v>100</v>
      </c>
      <c r="M46" s="295">
        <f t="shared" si="4"/>
        <v>7.6364410999999993E-2</v>
      </c>
      <c r="N46" s="296">
        <v>3</v>
      </c>
      <c r="O46" s="209">
        <v>100000</v>
      </c>
      <c r="P46" s="293">
        <v>300000</v>
      </c>
      <c r="Q46" s="209">
        <v>80000</v>
      </c>
      <c r="R46" s="293">
        <v>1760000</v>
      </c>
      <c r="S46" s="293">
        <v>82000</v>
      </c>
      <c r="T46" s="297">
        <f t="shared" si="5"/>
        <v>62.618817020000002</v>
      </c>
      <c r="U46" s="313">
        <f t="shared" si="2"/>
        <v>0.12195121951219512</v>
      </c>
      <c r="V46" s="299">
        <f>IF('Prepare Gantt Chart'!G45=2,'Prepare Gantt Chart'!H45,9999)</f>
        <v>9999</v>
      </c>
      <c r="W46" s="300">
        <f t="shared" si="3"/>
        <v>2050</v>
      </c>
      <c r="X46" s="301"/>
      <c r="Y46" s="329" t="s">
        <v>67</v>
      </c>
      <c r="Z46" s="315">
        <v>1000</v>
      </c>
      <c r="AA46" s="316"/>
      <c r="AB46" s="349" t="s">
        <v>15</v>
      </c>
      <c r="AC46" s="318">
        <v>5000</v>
      </c>
      <c r="AD46" s="316"/>
      <c r="AE46" s="319" t="s">
        <v>56</v>
      </c>
      <c r="AF46" s="320">
        <v>8.3333333333333321</v>
      </c>
      <c r="AG46" s="301"/>
    </row>
    <row r="47" spans="2:33" ht="15" thickBot="1" x14ac:dyDescent="0.2">
      <c r="B47" s="287">
        <v>42</v>
      </c>
      <c r="C47" s="363">
        <v>4</v>
      </c>
      <c r="D47" s="364" t="s">
        <v>453</v>
      </c>
      <c r="E47" s="365" t="s">
        <v>400</v>
      </c>
      <c r="F47" s="312" t="s">
        <v>398</v>
      </c>
      <c r="G47" s="12" t="s">
        <v>464</v>
      </c>
      <c r="H47" s="350" t="s">
        <v>462</v>
      </c>
      <c r="I47" s="12" t="s">
        <v>483</v>
      </c>
      <c r="J47" s="293">
        <v>40159363</v>
      </c>
      <c r="K47" s="294">
        <v>1</v>
      </c>
      <c r="L47" s="207">
        <v>50</v>
      </c>
      <c r="M47" s="295">
        <f t="shared" si="4"/>
        <v>2.00796815</v>
      </c>
      <c r="N47" s="296">
        <v>7</v>
      </c>
      <c r="O47" s="209">
        <v>200</v>
      </c>
      <c r="P47" s="293">
        <v>1400</v>
      </c>
      <c r="Q47" s="209">
        <v>1000</v>
      </c>
      <c r="R47" s="293">
        <v>18000</v>
      </c>
      <c r="S47" s="293">
        <v>1000</v>
      </c>
      <c r="T47" s="297">
        <f t="shared" si="5"/>
        <v>40.159362999999999</v>
      </c>
      <c r="U47" s="313">
        <f t="shared" si="2"/>
        <v>5</v>
      </c>
      <c r="V47" s="299">
        <f>IF('Prepare Gantt Chart'!G46=2,'Prepare Gantt Chart'!H46,9999)</f>
        <v>9999</v>
      </c>
      <c r="W47" s="300">
        <f t="shared" si="3"/>
        <v>2050</v>
      </c>
      <c r="X47" s="301"/>
      <c r="Y47" s="325" t="s">
        <v>76</v>
      </c>
      <c r="Z47" s="315">
        <v>1000</v>
      </c>
      <c r="AA47" s="316"/>
      <c r="AB47" s="319" t="s">
        <v>61</v>
      </c>
      <c r="AC47" s="318">
        <v>5000</v>
      </c>
      <c r="AD47" s="316"/>
      <c r="AE47" s="328" t="s">
        <v>106</v>
      </c>
      <c r="AF47" s="320">
        <v>8.3333333333333321</v>
      </c>
      <c r="AG47" s="301"/>
    </row>
    <row r="48" spans="2:33" ht="15" thickBot="1" x14ac:dyDescent="0.2">
      <c r="B48" s="287">
        <v>43</v>
      </c>
      <c r="C48" s="363">
        <v>4</v>
      </c>
      <c r="D48" s="364" t="s">
        <v>453</v>
      </c>
      <c r="E48" s="365" t="s">
        <v>401</v>
      </c>
      <c r="F48" s="312" t="s">
        <v>128</v>
      </c>
      <c r="G48" s="12" t="s">
        <v>464</v>
      </c>
      <c r="H48" s="350" t="s">
        <v>462</v>
      </c>
      <c r="I48" s="12" t="s">
        <v>482</v>
      </c>
      <c r="J48" s="293">
        <v>76364411</v>
      </c>
      <c r="K48" s="294">
        <v>1</v>
      </c>
      <c r="L48" s="207">
        <v>100</v>
      </c>
      <c r="M48" s="295">
        <f t="shared" si="4"/>
        <v>7.6364410999999999</v>
      </c>
      <c r="N48" s="296">
        <v>10</v>
      </c>
      <c r="O48" s="209">
        <v>2000</v>
      </c>
      <c r="P48" s="293">
        <v>16000</v>
      </c>
      <c r="Q48" s="209">
        <v>3000</v>
      </c>
      <c r="R48" s="293">
        <v>45000</v>
      </c>
      <c r="S48" s="293">
        <v>2000</v>
      </c>
      <c r="T48" s="297">
        <f t="shared" si="5"/>
        <v>152.72882200000001</v>
      </c>
      <c r="U48" s="313">
        <f t="shared" si="2"/>
        <v>5</v>
      </c>
      <c r="V48" s="299">
        <f>IF('Prepare Gantt Chart'!G47=2,'Prepare Gantt Chart'!H47,9999)</f>
        <v>9999</v>
      </c>
      <c r="W48" s="300">
        <f t="shared" si="3"/>
        <v>2050</v>
      </c>
      <c r="X48" s="301"/>
      <c r="Y48" s="344" t="s">
        <v>79</v>
      </c>
      <c r="Z48" s="315">
        <v>1000</v>
      </c>
      <c r="AA48" s="316"/>
      <c r="AB48" s="319" t="s">
        <v>62</v>
      </c>
      <c r="AC48" s="318">
        <v>5000</v>
      </c>
      <c r="AD48" s="316"/>
      <c r="AE48" s="323" t="s">
        <v>37</v>
      </c>
      <c r="AF48" s="320">
        <v>7.5</v>
      </c>
      <c r="AG48" s="301"/>
    </row>
    <row r="49" spans="2:33" ht="15" thickBot="1" x14ac:dyDescent="0.2">
      <c r="B49" s="287">
        <v>44</v>
      </c>
      <c r="C49" s="363">
        <v>4</v>
      </c>
      <c r="D49" s="364" t="s">
        <v>453</v>
      </c>
      <c r="E49" s="365" t="s">
        <v>402</v>
      </c>
      <c r="F49" s="312" t="s">
        <v>118</v>
      </c>
      <c r="G49" s="12" t="s">
        <v>464</v>
      </c>
      <c r="H49" s="299" t="s">
        <v>461</v>
      </c>
      <c r="I49" s="12" t="s">
        <v>482</v>
      </c>
      <c r="J49" s="293">
        <v>98030766</v>
      </c>
      <c r="K49" s="294">
        <v>1</v>
      </c>
      <c r="L49" s="207">
        <v>100</v>
      </c>
      <c r="M49" s="295">
        <f t="shared" si="4"/>
        <v>9.8030766000000007</v>
      </c>
      <c r="N49" s="296">
        <v>1</v>
      </c>
      <c r="O49" s="209">
        <v>60</v>
      </c>
      <c r="P49" s="293">
        <v>60</v>
      </c>
      <c r="Q49" s="209">
        <v>50</v>
      </c>
      <c r="R49" s="293">
        <v>1000</v>
      </c>
      <c r="S49" s="293">
        <v>40</v>
      </c>
      <c r="T49" s="297">
        <f t="shared" si="5"/>
        <v>3.9212306400000001</v>
      </c>
      <c r="U49" s="313">
        <f t="shared" si="2"/>
        <v>250</v>
      </c>
      <c r="V49" s="299">
        <f>IF('Prepare Gantt Chart'!G48=2,'Prepare Gantt Chart'!H48,9999)</f>
        <v>9999</v>
      </c>
      <c r="W49" s="300">
        <f t="shared" si="3"/>
        <v>2050</v>
      </c>
      <c r="X49" s="301"/>
      <c r="Y49" s="344" t="s">
        <v>87</v>
      </c>
      <c r="Z49" s="315">
        <v>1000</v>
      </c>
      <c r="AA49" s="316"/>
      <c r="AB49" s="319" t="s">
        <v>56</v>
      </c>
      <c r="AC49" s="318">
        <v>6000</v>
      </c>
      <c r="AD49" s="316"/>
      <c r="AE49" s="317" t="s">
        <v>26</v>
      </c>
      <c r="AF49" s="320">
        <v>6.666666666666667</v>
      </c>
      <c r="AG49" s="301"/>
    </row>
    <row r="50" spans="2:33" ht="15" thickBot="1" x14ac:dyDescent="0.2">
      <c r="B50" s="330">
        <v>45</v>
      </c>
      <c r="C50" s="368">
        <v>4</v>
      </c>
      <c r="D50" s="369" t="s">
        <v>453</v>
      </c>
      <c r="E50" s="370" t="s">
        <v>403</v>
      </c>
      <c r="F50" s="334" t="s">
        <v>399</v>
      </c>
      <c r="G50" s="335" t="s">
        <v>464</v>
      </c>
      <c r="H50" s="336" t="s">
        <v>461</v>
      </c>
      <c r="I50" s="335" t="s">
        <v>482</v>
      </c>
      <c r="J50" s="337">
        <v>76364411</v>
      </c>
      <c r="K50" s="338">
        <v>1</v>
      </c>
      <c r="L50" s="208">
        <v>250</v>
      </c>
      <c r="M50" s="339">
        <f t="shared" si="4"/>
        <v>19.091102750000001</v>
      </c>
      <c r="N50" s="340">
        <v>1</v>
      </c>
      <c r="O50" s="210">
        <v>60</v>
      </c>
      <c r="P50" s="337">
        <v>60</v>
      </c>
      <c r="Q50" s="210">
        <v>40</v>
      </c>
      <c r="R50" s="337">
        <v>1000</v>
      </c>
      <c r="S50" s="337">
        <v>40</v>
      </c>
      <c r="T50" s="341">
        <f t="shared" si="5"/>
        <v>3.0545764399999999</v>
      </c>
      <c r="U50" s="342">
        <f t="shared" si="2"/>
        <v>625</v>
      </c>
      <c r="V50" s="336">
        <f>IF('Prepare Gantt Chart'!G49=2,'Prepare Gantt Chart'!H49,9999)</f>
        <v>9999</v>
      </c>
      <c r="W50" s="343">
        <f t="shared" si="3"/>
        <v>2050</v>
      </c>
      <c r="X50" s="301"/>
      <c r="Y50" s="344" t="s">
        <v>88</v>
      </c>
      <c r="Z50" s="315">
        <v>1000</v>
      </c>
      <c r="AA50" s="316"/>
      <c r="AB50" s="349" t="s">
        <v>14</v>
      </c>
      <c r="AC50" s="371">
        <v>8000</v>
      </c>
      <c r="AD50" s="316"/>
      <c r="AE50" s="349" t="s">
        <v>14</v>
      </c>
      <c r="AF50" s="372">
        <v>6.25</v>
      </c>
      <c r="AG50" s="301"/>
    </row>
    <row r="51" spans="2:33" ht="15" thickBot="1" x14ac:dyDescent="0.2">
      <c r="B51" s="287">
        <v>46</v>
      </c>
      <c r="C51" s="373">
        <v>5</v>
      </c>
      <c r="D51" s="289" t="s">
        <v>454</v>
      </c>
      <c r="E51" s="374" t="s">
        <v>46</v>
      </c>
      <c r="F51" s="312" t="s">
        <v>404</v>
      </c>
      <c r="G51" s="12" t="s">
        <v>464</v>
      </c>
      <c r="H51" s="292" t="s">
        <v>460</v>
      </c>
      <c r="I51" s="12" t="s">
        <v>482</v>
      </c>
      <c r="J51" s="293">
        <v>21666361</v>
      </c>
      <c r="K51" s="294">
        <v>1</v>
      </c>
      <c r="L51" s="207">
        <v>80</v>
      </c>
      <c r="M51" s="295">
        <f t="shared" si="4"/>
        <v>1.7333088800000001</v>
      </c>
      <c r="N51" s="296">
        <v>10</v>
      </c>
      <c r="O51" s="209">
        <v>6000</v>
      </c>
      <c r="P51" s="293">
        <v>55000</v>
      </c>
      <c r="Q51" s="209">
        <v>2000</v>
      </c>
      <c r="R51" s="293">
        <v>30000</v>
      </c>
      <c r="S51" s="293">
        <v>3000</v>
      </c>
      <c r="T51" s="297">
        <f t="shared" si="5"/>
        <v>64.999082999999999</v>
      </c>
      <c r="U51" s="313">
        <f t="shared" si="2"/>
        <v>2.666666666666667</v>
      </c>
      <c r="V51" s="299">
        <f>IF('Prepare Gantt Chart'!G50=2,'Prepare Gantt Chart'!H50,9999)</f>
        <v>9999</v>
      </c>
      <c r="W51" s="300">
        <f t="shared" si="3"/>
        <v>2050</v>
      </c>
      <c r="X51" s="301"/>
      <c r="Y51" s="344" t="s">
        <v>90</v>
      </c>
      <c r="Z51" s="315">
        <v>1000</v>
      </c>
      <c r="AA51" s="316"/>
      <c r="AB51" s="326" t="s">
        <v>51</v>
      </c>
      <c r="AC51" s="318">
        <v>11000</v>
      </c>
      <c r="AD51" s="316"/>
      <c r="AE51" s="327" t="s">
        <v>80</v>
      </c>
      <c r="AF51" s="320">
        <v>5.376344086021505</v>
      </c>
      <c r="AG51" s="301"/>
    </row>
    <row r="52" spans="2:33" ht="15" thickBot="1" x14ac:dyDescent="0.2">
      <c r="B52" s="287">
        <v>47</v>
      </c>
      <c r="C52" s="375">
        <v>5</v>
      </c>
      <c r="D52" s="310" t="s">
        <v>454</v>
      </c>
      <c r="E52" s="376" t="s">
        <v>47</v>
      </c>
      <c r="F52" s="312" t="s">
        <v>134</v>
      </c>
      <c r="G52" s="12" t="s">
        <v>464</v>
      </c>
      <c r="H52" s="292" t="s">
        <v>460</v>
      </c>
      <c r="I52" s="12" t="s">
        <v>482</v>
      </c>
      <c r="J52" s="293">
        <v>21666361</v>
      </c>
      <c r="K52" s="294">
        <v>0.01</v>
      </c>
      <c r="L52" s="207">
        <v>2000</v>
      </c>
      <c r="M52" s="295">
        <f t="shared" si="4"/>
        <v>0.43332722000000007</v>
      </c>
      <c r="N52" s="296">
        <v>10</v>
      </c>
      <c r="O52" s="209">
        <v>275000</v>
      </c>
      <c r="P52" s="293">
        <v>2750000</v>
      </c>
      <c r="Q52" s="209">
        <v>120000</v>
      </c>
      <c r="R52" s="293">
        <v>1800000</v>
      </c>
      <c r="S52" s="293">
        <v>182000</v>
      </c>
      <c r="T52" s="297">
        <f t="shared" si="5"/>
        <v>39.432777020000003</v>
      </c>
      <c r="U52" s="313">
        <f t="shared" si="2"/>
        <v>1.098901098901099</v>
      </c>
      <c r="V52" s="299">
        <f>IF('Prepare Gantt Chart'!G51=2,'Prepare Gantt Chart'!H51,9999)</f>
        <v>9999</v>
      </c>
      <c r="W52" s="300">
        <f t="shared" si="3"/>
        <v>2050</v>
      </c>
      <c r="X52" s="301"/>
      <c r="Y52" s="344" t="s">
        <v>92</v>
      </c>
      <c r="Z52" s="315">
        <v>1000</v>
      </c>
      <c r="AA52" s="316"/>
      <c r="AB52" s="317" t="s">
        <v>17</v>
      </c>
      <c r="AC52" s="318">
        <v>12000</v>
      </c>
      <c r="AD52" s="316"/>
      <c r="AE52" s="322" t="s">
        <v>28</v>
      </c>
      <c r="AF52" s="320">
        <v>5</v>
      </c>
      <c r="AG52" s="301"/>
    </row>
    <row r="53" spans="2:33" ht="15" thickBot="1" x14ac:dyDescent="0.2">
      <c r="B53" s="287">
        <v>48</v>
      </c>
      <c r="C53" s="375">
        <v>5</v>
      </c>
      <c r="D53" s="310" t="s">
        <v>454</v>
      </c>
      <c r="E53" s="376" t="s">
        <v>48</v>
      </c>
      <c r="F53" s="312" t="s">
        <v>135</v>
      </c>
      <c r="G53" s="12" t="s">
        <v>464</v>
      </c>
      <c r="H53" s="350" t="s">
        <v>462</v>
      </c>
      <c r="I53" s="12" t="s">
        <v>482</v>
      </c>
      <c r="J53" s="293">
        <v>11147634</v>
      </c>
      <c r="K53" s="294">
        <v>1</v>
      </c>
      <c r="L53" s="207">
        <v>30</v>
      </c>
      <c r="M53" s="295">
        <f t="shared" si="4"/>
        <v>0.33442902000000002</v>
      </c>
      <c r="N53" s="296">
        <v>10</v>
      </c>
      <c r="O53" s="209">
        <v>3000</v>
      </c>
      <c r="P53" s="293">
        <v>27000</v>
      </c>
      <c r="Q53" s="209">
        <v>1000</v>
      </c>
      <c r="R53" s="293">
        <v>15000</v>
      </c>
      <c r="S53" s="293">
        <v>2000</v>
      </c>
      <c r="T53" s="297">
        <f t="shared" si="5"/>
        <v>22.295268</v>
      </c>
      <c r="U53" s="313">
        <f t="shared" si="2"/>
        <v>1.5</v>
      </c>
      <c r="V53" s="299">
        <f>IF('Prepare Gantt Chart'!G52=2,'Prepare Gantt Chart'!H52,9999)</f>
        <v>9999</v>
      </c>
      <c r="W53" s="300">
        <f t="shared" si="3"/>
        <v>2050</v>
      </c>
      <c r="X53" s="301"/>
      <c r="Y53" s="344" t="s">
        <v>415</v>
      </c>
      <c r="Z53" s="315">
        <v>1000</v>
      </c>
      <c r="AA53" s="316"/>
      <c r="AB53" s="317" t="s">
        <v>23</v>
      </c>
      <c r="AC53" s="318">
        <v>14000</v>
      </c>
      <c r="AD53" s="316"/>
      <c r="AE53" s="323" t="s">
        <v>36</v>
      </c>
      <c r="AF53" s="320">
        <v>5</v>
      </c>
      <c r="AG53" s="301"/>
    </row>
    <row r="54" spans="2:33" ht="15" thickBot="1" x14ac:dyDescent="0.2">
      <c r="B54" s="287">
        <v>49</v>
      </c>
      <c r="C54" s="375">
        <v>5</v>
      </c>
      <c r="D54" s="310" t="s">
        <v>454</v>
      </c>
      <c r="E54" s="376" t="s">
        <v>49</v>
      </c>
      <c r="F54" s="312" t="s">
        <v>136</v>
      </c>
      <c r="G54" s="12" t="s">
        <v>464</v>
      </c>
      <c r="H54" s="350" t="s">
        <v>462</v>
      </c>
      <c r="I54" s="12" t="s">
        <v>482</v>
      </c>
      <c r="J54" s="293">
        <v>20069501</v>
      </c>
      <c r="K54" s="294">
        <v>1</v>
      </c>
      <c r="L54" s="207">
        <v>10</v>
      </c>
      <c r="M54" s="295">
        <f t="shared" si="4"/>
        <v>0.20069501000000001</v>
      </c>
      <c r="N54" s="296">
        <v>10</v>
      </c>
      <c r="O54" s="209">
        <v>6000</v>
      </c>
      <c r="P54" s="293">
        <v>55000</v>
      </c>
      <c r="Q54" s="209">
        <v>2000</v>
      </c>
      <c r="R54" s="293">
        <v>30000</v>
      </c>
      <c r="S54" s="293">
        <v>3000</v>
      </c>
      <c r="T54" s="297">
        <f t="shared" si="5"/>
        <v>60.208503</v>
      </c>
      <c r="U54" s="313">
        <f t="shared" si="2"/>
        <v>0.33333333333333337</v>
      </c>
      <c r="V54" s="299">
        <f>IF('Prepare Gantt Chart'!G53=2,'Prepare Gantt Chart'!H53,9999)</f>
        <v>9999</v>
      </c>
      <c r="W54" s="300">
        <f t="shared" si="3"/>
        <v>2050</v>
      </c>
      <c r="X54" s="301"/>
      <c r="Y54" s="314" t="s">
        <v>99</v>
      </c>
      <c r="Z54" s="315">
        <v>1000</v>
      </c>
      <c r="AA54" s="316"/>
      <c r="AB54" s="317" t="s">
        <v>18</v>
      </c>
      <c r="AC54" s="318">
        <v>15000</v>
      </c>
      <c r="AD54" s="316"/>
      <c r="AE54" s="323" t="s">
        <v>400</v>
      </c>
      <c r="AF54" s="320">
        <v>5</v>
      </c>
      <c r="AG54" s="301"/>
    </row>
    <row r="55" spans="2:33" ht="15" thickBot="1" x14ac:dyDescent="0.2">
      <c r="B55" s="287">
        <v>50</v>
      </c>
      <c r="C55" s="375">
        <v>5</v>
      </c>
      <c r="D55" s="310" t="s">
        <v>454</v>
      </c>
      <c r="E55" s="376" t="s">
        <v>50</v>
      </c>
      <c r="F55" s="312" t="s">
        <v>137</v>
      </c>
      <c r="G55" s="12" t="s">
        <v>464</v>
      </c>
      <c r="H55" s="350" t="s">
        <v>462</v>
      </c>
      <c r="I55" s="12" t="s">
        <v>483</v>
      </c>
      <c r="J55" s="293">
        <v>7855</v>
      </c>
      <c r="K55" s="294">
        <v>1</v>
      </c>
      <c r="L55" s="207">
        <v>190</v>
      </c>
      <c r="M55" s="295">
        <f t="shared" si="4"/>
        <v>1.49245E-3</v>
      </c>
      <c r="N55" s="296">
        <v>10</v>
      </c>
      <c r="O55" s="209">
        <v>3000</v>
      </c>
      <c r="P55" s="293">
        <v>27000</v>
      </c>
      <c r="Q55" s="209">
        <v>1000</v>
      </c>
      <c r="R55" s="293">
        <v>15000</v>
      </c>
      <c r="S55" s="293">
        <v>2000</v>
      </c>
      <c r="T55" s="297">
        <f t="shared" si="5"/>
        <v>1.5709999999999998E-2</v>
      </c>
      <c r="U55" s="313">
        <f t="shared" si="2"/>
        <v>9.5</v>
      </c>
      <c r="V55" s="299">
        <f>IF('Prepare Gantt Chart'!G54=2,'Prepare Gantt Chart'!H54,9999)</f>
        <v>9999</v>
      </c>
      <c r="W55" s="300">
        <f t="shared" si="3"/>
        <v>2050</v>
      </c>
      <c r="X55" s="301"/>
      <c r="Y55" s="314" t="s">
        <v>102</v>
      </c>
      <c r="Z55" s="315">
        <v>1000</v>
      </c>
      <c r="AA55" s="316"/>
      <c r="AB55" s="323" t="s">
        <v>43</v>
      </c>
      <c r="AC55" s="318">
        <v>23000</v>
      </c>
      <c r="AD55" s="316"/>
      <c r="AE55" s="323" t="s">
        <v>401</v>
      </c>
      <c r="AF55" s="320">
        <v>5</v>
      </c>
      <c r="AG55" s="301"/>
    </row>
    <row r="56" spans="2:33" ht="15" thickBot="1" x14ac:dyDescent="0.2">
      <c r="B56" s="287">
        <v>51</v>
      </c>
      <c r="C56" s="375">
        <v>5</v>
      </c>
      <c r="D56" s="310" t="s">
        <v>454</v>
      </c>
      <c r="E56" s="376" t="s">
        <v>51</v>
      </c>
      <c r="F56" s="312" t="s">
        <v>138</v>
      </c>
      <c r="G56" s="12" t="s">
        <v>464</v>
      </c>
      <c r="H56" s="350" t="s">
        <v>462</v>
      </c>
      <c r="I56" s="12" t="s">
        <v>482</v>
      </c>
      <c r="J56" s="293">
        <v>33560</v>
      </c>
      <c r="K56" s="294">
        <v>1</v>
      </c>
      <c r="L56" s="207">
        <v>50</v>
      </c>
      <c r="M56" s="295">
        <f t="shared" si="4"/>
        <v>1.678E-3</v>
      </c>
      <c r="N56" s="296">
        <v>10</v>
      </c>
      <c r="O56" s="209">
        <v>25000</v>
      </c>
      <c r="P56" s="293">
        <v>250000</v>
      </c>
      <c r="Q56" s="209">
        <v>1000</v>
      </c>
      <c r="R56" s="293">
        <v>15000</v>
      </c>
      <c r="S56" s="293">
        <v>11000</v>
      </c>
      <c r="T56" s="297">
        <f t="shared" si="5"/>
        <v>0.36915999999999999</v>
      </c>
      <c r="U56" s="313">
        <f t="shared" si="2"/>
        <v>0.45454545454545453</v>
      </c>
      <c r="V56" s="299">
        <f>IF('Prepare Gantt Chart'!G55=2,'Prepare Gantt Chart'!H55,9999)</f>
        <v>9999</v>
      </c>
      <c r="W56" s="300">
        <f t="shared" si="3"/>
        <v>2050</v>
      </c>
      <c r="X56" s="301"/>
      <c r="Y56" s="314" t="s">
        <v>103</v>
      </c>
      <c r="Z56" s="315">
        <v>1000</v>
      </c>
      <c r="AA56" s="316"/>
      <c r="AB56" s="323" t="s">
        <v>40</v>
      </c>
      <c r="AC56" s="318">
        <v>24000</v>
      </c>
      <c r="AD56" s="316"/>
      <c r="AE56" s="324" t="s">
        <v>68</v>
      </c>
      <c r="AF56" s="320">
        <v>5</v>
      </c>
      <c r="AG56" s="301"/>
    </row>
    <row r="57" spans="2:33" ht="15" thickBot="1" x14ac:dyDescent="0.2">
      <c r="B57" s="287">
        <v>52</v>
      </c>
      <c r="C57" s="375">
        <v>5</v>
      </c>
      <c r="D57" s="310" t="s">
        <v>454</v>
      </c>
      <c r="E57" s="376" t="s">
        <v>52</v>
      </c>
      <c r="F57" s="312" t="s">
        <v>139</v>
      </c>
      <c r="G57" s="12" t="s">
        <v>464</v>
      </c>
      <c r="H57" s="350" t="s">
        <v>462</v>
      </c>
      <c r="I57" s="12" t="s">
        <v>483</v>
      </c>
      <c r="J57" s="293">
        <v>8209</v>
      </c>
      <c r="K57" s="294">
        <v>1</v>
      </c>
      <c r="L57" s="207">
        <v>15</v>
      </c>
      <c r="M57" s="295">
        <f t="shared" si="4"/>
        <v>1.2313499999999999E-4</v>
      </c>
      <c r="N57" s="296">
        <v>10</v>
      </c>
      <c r="O57" s="209">
        <v>2000</v>
      </c>
      <c r="P57" s="293">
        <v>20000</v>
      </c>
      <c r="Q57" s="209">
        <v>1200</v>
      </c>
      <c r="R57" s="293">
        <v>18000</v>
      </c>
      <c r="S57" s="293">
        <v>2000</v>
      </c>
      <c r="T57" s="297">
        <f t="shared" si="5"/>
        <v>1.6417999999999999E-2</v>
      </c>
      <c r="U57" s="313">
        <f t="shared" si="2"/>
        <v>0.75</v>
      </c>
      <c r="V57" s="299">
        <f>IF('Prepare Gantt Chart'!G56=2,'Prepare Gantt Chart'!H56,9999)</f>
        <v>9999</v>
      </c>
      <c r="W57" s="300">
        <f t="shared" si="3"/>
        <v>2050</v>
      </c>
      <c r="X57" s="301"/>
      <c r="Y57" s="314" t="s">
        <v>109</v>
      </c>
      <c r="Z57" s="315">
        <v>1000</v>
      </c>
      <c r="AA57" s="316"/>
      <c r="AB57" s="349" t="s">
        <v>13</v>
      </c>
      <c r="AC57" s="318">
        <v>25000</v>
      </c>
      <c r="AD57" s="316"/>
      <c r="AE57" s="327" t="s">
        <v>83</v>
      </c>
      <c r="AF57" s="320">
        <v>4.2735042735042734</v>
      </c>
      <c r="AG57" s="301"/>
    </row>
    <row r="58" spans="2:33" ht="15" thickBot="1" x14ac:dyDescent="0.2">
      <c r="B58" s="287">
        <v>53</v>
      </c>
      <c r="C58" s="375">
        <v>5</v>
      </c>
      <c r="D58" s="310" t="s">
        <v>454</v>
      </c>
      <c r="E58" s="376" t="s">
        <v>53</v>
      </c>
      <c r="F58" s="312" t="s">
        <v>140</v>
      </c>
      <c r="G58" s="12" t="s">
        <v>464</v>
      </c>
      <c r="H58" s="350" t="s">
        <v>462</v>
      </c>
      <c r="I58" s="12" t="s">
        <v>482</v>
      </c>
      <c r="J58" s="293">
        <v>19740</v>
      </c>
      <c r="K58" s="294">
        <v>1</v>
      </c>
      <c r="L58" s="207">
        <v>20</v>
      </c>
      <c r="M58" s="295">
        <f t="shared" si="4"/>
        <v>3.948E-4</v>
      </c>
      <c r="N58" s="296">
        <v>10</v>
      </c>
      <c r="O58" s="209">
        <v>2100</v>
      </c>
      <c r="P58" s="293">
        <v>21000</v>
      </c>
      <c r="Q58" s="209">
        <v>1300</v>
      </c>
      <c r="R58" s="293">
        <v>20000</v>
      </c>
      <c r="S58" s="293">
        <v>2000</v>
      </c>
      <c r="T58" s="297">
        <f t="shared" si="5"/>
        <v>3.9480000000000001E-2</v>
      </c>
      <c r="U58" s="313">
        <f t="shared" si="2"/>
        <v>1</v>
      </c>
      <c r="V58" s="299">
        <f>IF('Prepare Gantt Chart'!G57=2,'Prepare Gantt Chart'!H57,9999)</f>
        <v>9999</v>
      </c>
      <c r="W58" s="300">
        <f t="shared" si="3"/>
        <v>2050</v>
      </c>
      <c r="X58" s="301"/>
      <c r="Y58" s="314" t="s">
        <v>419</v>
      </c>
      <c r="Z58" s="315">
        <v>1000</v>
      </c>
      <c r="AA58" s="316"/>
      <c r="AB58" s="317" t="s">
        <v>26</v>
      </c>
      <c r="AC58" s="318">
        <v>30000</v>
      </c>
      <c r="AD58" s="316"/>
      <c r="AE58" s="327" t="s">
        <v>81</v>
      </c>
      <c r="AF58" s="320">
        <v>4.0540540540540544</v>
      </c>
      <c r="AG58" s="301"/>
    </row>
    <row r="59" spans="2:33" ht="15" thickBot="1" x14ac:dyDescent="0.2">
      <c r="B59" s="287">
        <v>54</v>
      </c>
      <c r="C59" s="375">
        <v>5</v>
      </c>
      <c r="D59" s="310" t="s">
        <v>454</v>
      </c>
      <c r="E59" s="376" t="s">
        <v>54</v>
      </c>
      <c r="F59" s="312" t="s">
        <v>405</v>
      </c>
      <c r="G59" s="12" t="s">
        <v>464</v>
      </c>
      <c r="H59" s="350" t="s">
        <v>462</v>
      </c>
      <c r="I59" s="12" t="s">
        <v>482</v>
      </c>
      <c r="J59" s="293">
        <v>20799351</v>
      </c>
      <c r="K59" s="294">
        <v>0.1</v>
      </c>
      <c r="L59" s="207">
        <v>30</v>
      </c>
      <c r="M59" s="295">
        <f t="shared" si="4"/>
        <v>6.2398053000000002E-2</v>
      </c>
      <c r="N59" s="296">
        <v>10</v>
      </c>
      <c r="O59" s="209">
        <v>80000</v>
      </c>
      <c r="P59" s="293">
        <v>800000</v>
      </c>
      <c r="Q59" s="209">
        <v>140000</v>
      </c>
      <c r="R59" s="293">
        <v>2100000</v>
      </c>
      <c r="S59" s="293">
        <v>116000</v>
      </c>
      <c r="T59" s="297">
        <f t="shared" si="5"/>
        <v>241.27247159999999</v>
      </c>
      <c r="U59" s="313">
        <f t="shared" si="2"/>
        <v>2.5862068965517241E-2</v>
      </c>
      <c r="V59" s="299">
        <f>IF('Prepare Gantt Chart'!G58=2,'Prepare Gantt Chart'!H58,9999)</f>
        <v>9999</v>
      </c>
      <c r="W59" s="300">
        <f t="shared" si="3"/>
        <v>2050</v>
      </c>
      <c r="X59" s="301"/>
      <c r="Y59" s="314" t="s">
        <v>420</v>
      </c>
      <c r="Z59" s="315">
        <v>1000</v>
      </c>
      <c r="AA59" s="316"/>
      <c r="AB59" s="322" t="s">
        <v>32</v>
      </c>
      <c r="AC59" s="318">
        <v>30000</v>
      </c>
      <c r="AD59" s="316"/>
      <c r="AE59" s="322" t="s">
        <v>29</v>
      </c>
      <c r="AF59" s="320">
        <v>4</v>
      </c>
      <c r="AG59" s="301"/>
    </row>
    <row r="60" spans="2:33" ht="15" thickBot="1" x14ac:dyDescent="0.2">
      <c r="B60" s="287">
        <v>55</v>
      </c>
      <c r="C60" s="375">
        <v>5</v>
      </c>
      <c r="D60" s="310" t="s">
        <v>454</v>
      </c>
      <c r="E60" s="376" t="s">
        <v>408</v>
      </c>
      <c r="F60" s="312" t="s">
        <v>406</v>
      </c>
      <c r="G60" s="12" t="s">
        <v>464</v>
      </c>
      <c r="H60" s="350" t="s">
        <v>462</v>
      </c>
      <c r="I60" s="12" t="s">
        <v>482</v>
      </c>
      <c r="J60" s="293">
        <v>21666361</v>
      </c>
      <c r="K60" s="294">
        <v>1</v>
      </c>
      <c r="L60" s="207">
        <v>5</v>
      </c>
      <c r="M60" s="295">
        <f t="shared" si="4"/>
        <v>0.108331805</v>
      </c>
      <c r="N60" s="296">
        <v>10</v>
      </c>
      <c r="O60" s="209">
        <v>11000</v>
      </c>
      <c r="P60" s="293">
        <v>110000</v>
      </c>
      <c r="Q60" s="209">
        <v>110000</v>
      </c>
      <c r="R60" s="293">
        <v>1650000</v>
      </c>
      <c r="S60" s="293">
        <v>70000</v>
      </c>
      <c r="T60" s="297">
        <f t="shared" si="5"/>
        <v>1516.64527</v>
      </c>
      <c r="U60" s="313">
        <f t="shared" si="2"/>
        <v>7.1428571428571435E-3</v>
      </c>
      <c r="V60" s="299">
        <f>IF('Prepare Gantt Chart'!G59=2,'Prepare Gantt Chart'!H59,9999)</f>
        <v>9999</v>
      </c>
      <c r="W60" s="300">
        <f t="shared" si="3"/>
        <v>2050</v>
      </c>
      <c r="X60" s="301"/>
      <c r="Y60" s="314" t="s">
        <v>421</v>
      </c>
      <c r="Z60" s="315">
        <v>1000</v>
      </c>
      <c r="AA60" s="316"/>
      <c r="AB60" s="319" t="s">
        <v>63</v>
      </c>
      <c r="AC60" s="318">
        <v>32000</v>
      </c>
      <c r="AD60" s="316"/>
      <c r="AE60" s="317" t="s">
        <v>23</v>
      </c>
      <c r="AF60" s="320">
        <v>3.5714285714285712</v>
      </c>
      <c r="AG60" s="301"/>
    </row>
    <row r="61" spans="2:33" ht="15" thickBot="1" x14ac:dyDescent="0.2">
      <c r="B61" s="287">
        <v>56</v>
      </c>
      <c r="C61" s="375">
        <v>5</v>
      </c>
      <c r="D61" s="310" t="s">
        <v>454</v>
      </c>
      <c r="E61" s="376" t="s">
        <v>409</v>
      </c>
      <c r="F61" s="312" t="s">
        <v>407</v>
      </c>
      <c r="G61" s="12" t="s">
        <v>464</v>
      </c>
      <c r="H61" s="350" t="s">
        <v>462</v>
      </c>
      <c r="I61" s="12" t="s">
        <v>483</v>
      </c>
      <c r="J61" s="293">
        <v>21666361</v>
      </c>
      <c r="K61" s="294">
        <v>1</v>
      </c>
      <c r="L61" s="207">
        <v>40</v>
      </c>
      <c r="M61" s="295">
        <f t="shared" si="4"/>
        <v>0.86665444000000003</v>
      </c>
      <c r="N61" s="296">
        <v>10</v>
      </c>
      <c r="O61" s="209">
        <v>4000</v>
      </c>
      <c r="P61" s="293">
        <v>35000</v>
      </c>
      <c r="Q61" s="209">
        <v>120000</v>
      </c>
      <c r="R61" s="293">
        <v>1800000</v>
      </c>
      <c r="S61" s="293">
        <v>73000</v>
      </c>
      <c r="T61" s="297">
        <f t="shared" si="5"/>
        <v>1581.6443529999999</v>
      </c>
      <c r="U61" s="313">
        <f t="shared" si="2"/>
        <v>5.4794520547945202E-2</v>
      </c>
      <c r="V61" s="299">
        <f>IF('Prepare Gantt Chart'!G60=2,'Prepare Gantt Chart'!H60,9999)</f>
        <v>9999</v>
      </c>
      <c r="W61" s="300">
        <f t="shared" si="3"/>
        <v>2050</v>
      </c>
      <c r="X61" s="301"/>
      <c r="Y61" s="367" t="s">
        <v>13</v>
      </c>
      <c r="Z61" s="315">
        <v>500</v>
      </c>
      <c r="AA61" s="316"/>
      <c r="AB61" s="327" t="s">
        <v>90</v>
      </c>
      <c r="AC61" s="318">
        <v>32000</v>
      </c>
      <c r="AD61" s="316"/>
      <c r="AE61" s="323" t="s">
        <v>35</v>
      </c>
      <c r="AF61" s="320">
        <v>3.3333333333333335</v>
      </c>
      <c r="AG61" s="301"/>
    </row>
    <row r="62" spans="2:33" ht="15" thickBot="1" x14ac:dyDescent="0.2">
      <c r="B62" s="330">
        <v>57</v>
      </c>
      <c r="C62" s="377">
        <v>5</v>
      </c>
      <c r="D62" s="332" t="s">
        <v>454</v>
      </c>
      <c r="E62" s="378" t="s">
        <v>410</v>
      </c>
      <c r="F62" s="334" t="s">
        <v>118</v>
      </c>
      <c r="G62" s="335" t="s">
        <v>464</v>
      </c>
      <c r="H62" s="336" t="s">
        <v>461</v>
      </c>
      <c r="I62" s="335" t="s">
        <v>482</v>
      </c>
      <c r="J62" s="337">
        <v>21666361</v>
      </c>
      <c r="K62" s="338">
        <v>1</v>
      </c>
      <c r="L62" s="208">
        <v>20</v>
      </c>
      <c r="M62" s="339">
        <f t="shared" si="4"/>
        <v>0.43332722000000001</v>
      </c>
      <c r="N62" s="340">
        <v>1</v>
      </c>
      <c r="O62" s="210">
        <v>60</v>
      </c>
      <c r="P62" s="337">
        <v>60</v>
      </c>
      <c r="Q62" s="210">
        <v>40</v>
      </c>
      <c r="R62" s="337">
        <v>1000</v>
      </c>
      <c r="S62" s="337">
        <v>40</v>
      </c>
      <c r="T62" s="341">
        <f t="shared" si="5"/>
        <v>0.86665444000000003</v>
      </c>
      <c r="U62" s="342">
        <f t="shared" si="2"/>
        <v>50</v>
      </c>
      <c r="V62" s="336">
        <f>IF('Prepare Gantt Chart'!G61=2,'Prepare Gantt Chart'!H61,9999)</f>
        <v>9999</v>
      </c>
      <c r="W62" s="343">
        <f t="shared" si="3"/>
        <v>2050</v>
      </c>
      <c r="X62" s="301"/>
      <c r="Y62" s="367" t="s">
        <v>14</v>
      </c>
      <c r="Z62" s="315">
        <v>500</v>
      </c>
      <c r="AA62" s="316"/>
      <c r="AB62" s="349" t="s">
        <v>11</v>
      </c>
      <c r="AC62" s="318">
        <v>33000</v>
      </c>
      <c r="AD62" s="316"/>
      <c r="AE62" s="324" t="s">
        <v>69</v>
      </c>
      <c r="AF62" s="320">
        <v>3.125</v>
      </c>
      <c r="AG62" s="301"/>
    </row>
    <row r="63" spans="2:33" ht="15" thickBot="1" x14ac:dyDescent="0.2">
      <c r="B63" s="287">
        <v>58</v>
      </c>
      <c r="C63" s="379">
        <v>6</v>
      </c>
      <c r="D63" s="289" t="s">
        <v>455</v>
      </c>
      <c r="E63" s="380" t="s">
        <v>55</v>
      </c>
      <c r="F63" s="312" t="s">
        <v>143</v>
      </c>
      <c r="G63" s="12" t="s">
        <v>464</v>
      </c>
      <c r="H63" s="292" t="s">
        <v>460</v>
      </c>
      <c r="I63" s="12" t="s">
        <v>482</v>
      </c>
      <c r="J63" s="293">
        <v>962068</v>
      </c>
      <c r="K63" s="294">
        <v>0.01</v>
      </c>
      <c r="L63" s="207">
        <v>500</v>
      </c>
      <c r="M63" s="295">
        <f t="shared" si="4"/>
        <v>4.8103399999999998E-3</v>
      </c>
      <c r="N63" s="296">
        <v>10</v>
      </c>
      <c r="O63" s="209">
        <v>2500000</v>
      </c>
      <c r="P63" s="293">
        <v>25000000</v>
      </c>
      <c r="Q63" s="209">
        <v>130000</v>
      </c>
      <c r="R63" s="293">
        <v>1950000</v>
      </c>
      <c r="S63" s="293">
        <v>1078000</v>
      </c>
      <c r="T63" s="297">
        <f t="shared" si="5"/>
        <v>10.37109304</v>
      </c>
      <c r="U63" s="313">
        <f t="shared" si="2"/>
        <v>4.63821892393321E-2</v>
      </c>
      <c r="V63" s="299">
        <f>IF('Prepare Gantt Chart'!G62=2,'Prepare Gantt Chart'!H62,9999)</f>
        <v>9999</v>
      </c>
      <c r="W63" s="300">
        <f t="shared" si="3"/>
        <v>2050</v>
      </c>
      <c r="X63" s="301"/>
      <c r="Y63" s="357" t="s">
        <v>19</v>
      </c>
      <c r="Z63" s="315">
        <v>500</v>
      </c>
      <c r="AA63" s="316"/>
      <c r="AB63" s="319" t="s">
        <v>60</v>
      </c>
      <c r="AC63" s="318">
        <v>34000</v>
      </c>
      <c r="AD63" s="316"/>
      <c r="AE63" s="327" t="s">
        <v>90</v>
      </c>
      <c r="AF63" s="320">
        <v>3.125</v>
      </c>
      <c r="AG63" s="301"/>
    </row>
    <row r="64" spans="2:33" ht="15" thickBot="1" x14ac:dyDescent="0.2">
      <c r="B64" s="287">
        <v>59</v>
      </c>
      <c r="C64" s="381">
        <v>6</v>
      </c>
      <c r="D64" s="310" t="s">
        <v>455</v>
      </c>
      <c r="E64" s="382" t="s">
        <v>56</v>
      </c>
      <c r="F64" s="312" t="s">
        <v>122</v>
      </c>
      <c r="G64" s="12" t="s">
        <v>464</v>
      </c>
      <c r="H64" s="292" t="s">
        <v>460</v>
      </c>
      <c r="I64" s="12" t="s">
        <v>482</v>
      </c>
      <c r="J64" s="293">
        <v>962068</v>
      </c>
      <c r="K64" s="294">
        <v>1</v>
      </c>
      <c r="L64" s="207">
        <v>500</v>
      </c>
      <c r="M64" s="295">
        <f t="shared" si="4"/>
        <v>0.48103400000000002</v>
      </c>
      <c r="N64" s="296">
        <v>10</v>
      </c>
      <c r="O64" s="209">
        <v>5000</v>
      </c>
      <c r="P64" s="293">
        <v>50000</v>
      </c>
      <c r="Q64" s="209">
        <v>6000</v>
      </c>
      <c r="R64" s="293">
        <v>90000</v>
      </c>
      <c r="S64" s="293">
        <v>6000</v>
      </c>
      <c r="T64" s="297">
        <f t="shared" si="5"/>
        <v>5.7724080000000004</v>
      </c>
      <c r="U64" s="313">
        <f t="shared" si="2"/>
        <v>8.3333333333333321</v>
      </c>
      <c r="V64" s="299">
        <f>IF('Prepare Gantt Chart'!G63=2,'Prepare Gantt Chart'!H63,9999)</f>
        <v>9999</v>
      </c>
      <c r="W64" s="300">
        <f t="shared" si="3"/>
        <v>2050</v>
      </c>
      <c r="X64" s="301"/>
      <c r="Y64" s="357" t="s">
        <v>23</v>
      </c>
      <c r="Z64" s="315">
        <v>500</v>
      </c>
      <c r="AA64" s="316"/>
      <c r="AB64" s="319" t="s">
        <v>58</v>
      </c>
      <c r="AC64" s="318">
        <v>35000</v>
      </c>
      <c r="AD64" s="316"/>
      <c r="AE64" s="328" t="s">
        <v>108</v>
      </c>
      <c r="AF64" s="320">
        <v>3.125</v>
      </c>
      <c r="AG64" s="301"/>
    </row>
    <row r="65" spans="2:33" ht="15" thickBot="1" x14ac:dyDescent="0.2">
      <c r="B65" s="287">
        <v>60</v>
      </c>
      <c r="C65" s="381">
        <v>6</v>
      </c>
      <c r="D65" s="310" t="s">
        <v>455</v>
      </c>
      <c r="E65" s="382" t="s">
        <v>57</v>
      </c>
      <c r="F65" s="312" t="s">
        <v>141</v>
      </c>
      <c r="G65" s="12" t="s">
        <v>464</v>
      </c>
      <c r="H65" s="350" t="s">
        <v>462</v>
      </c>
      <c r="I65" s="12" t="s">
        <v>483</v>
      </c>
      <c r="J65" s="293">
        <v>962068</v>
      </c>
      <c r="K65" s="294">
        <v>1</v>
      </c>
      <c r="L65" s="207">
        <v>5000</v>
      </c>
      <c r="M65" s="295">
        <f t="shared" si="4"/>
        <v>4.8103400000000001</v>
      </c>
      <c r="N65" s="296">
        <v>10</v>
      </c>
      <c r="O65" s="209">
        <v>250000</v>
      </c>
      <c r="P65" s="293">
        <v>2500000</v>
      </c>
      <c r="Q65" s="209">
        <v>120000</v>
      </c>
      <c r="R65" s="293">
        <v>1800000</v>
      </c>
      <c r="S65" s="293">
        <v>172000</v>
      </c>
      <c r="T65" s="297">
        <f t="shared" si="5"/>
        <v>165.475696</v>
      </c>
      <c r="U65" s="313">
        <f t="shared" si="2"/>
        <v>2.9069767441860463</v>
      </c>
      <c r="V65" s="299">
        <f>IF('Prepare Gantt Chart'!G64=2,'Prepare Gantt Chart'!H64,9999)</f>
        <v>9999</v>
      </c>
      <c r="W65" s="300">
        <f t="shared" si="3"/>
        <v>2050</v>
      </c>
      <c r="X65" s="301"/>
      <c r="Y65" s="357" t="s">
        <v>27</v>
      </c>
      <c r="Z65" s="315">
        <v>500</v>
      </c>
      <c r="AA65" s="316"/>
      <c r="AB65" s="327" t="s">
        <v>87</v>
      </c>
      <c r="AC65" s="318">
        <v>35000</v>
      </c>
      <c r="AD65" s="316"/>
      <c r="AE65" s="319" t="s">
        <v>57</v>
      </c>
      <c r="AF65" s="320">
        <v>2.9069767441860463</v>
      </c>
      <c r="AG65" s="301"/>
    </row>
    <row r="66" spans="2:33" ht="15" thickBot="1" x14ac:dyDescent="0.2">
      <c r="B66" s="287">
        <v>61</v>
      </c>
      <c r="C66" s="381">
        <v>6</v>
      </c>
      <c r="D66" s="310" t="s">
        <v>455</v>
      </c>
      <c r="E66" s="382" t="s">
        <v>58</v>
      </c>
      <c r="F66" s="312" t="s">
        <v>142</v>
      </c>
      <c r="G66" s="12" t="s">
        <v>464</v>
      </c>
      <c r="H66" s="350" t="s">
        <v>462</v>
      </c>
      <c r="I66" s="12" t="s">
        <v>483</v>
      </c>
      <c r="J66" s="293">
        <v>962068</v>
      </c>
      <c r="K66" s="294">
        <v>1</v>
      </c>
      <c r="L66" s="207">
        <v>5000</v>
      </c>
      <c r="M66" s="295">
        <f t="shared" si="4"/>
        <v>4.8103400000000001</v>
      </c>
      <c r="N66" s="296">
        <v>10</v>
      </c>
      <c r="O66" s="209">
        <v>50000</v>
      </c>
      <c r="P66" s="293">
        <v>500000</v>
      </c>
      <c r="Q66" s="209">
        <v>25000</v>
      </c>
      <c r="R66" s="293">
        <v>375000</v>
      </c>
      <c r="S66" s="293">
        <v>35000</v>
      </c>
      <c r="T66" s="297">
        <f t="shared" si="5"/>
        <v>33.672379999999997</v>
      </c>
      <c r="U66" s="313">
        <f t="shared" si="2"/>
        <v>14.285714285714285</v>
      </c>
      <c r="V66" s="299">
        <f>IF('Prepare Gantt Chart'!G65=2,'Prepare Gantt Chart'!H65,9999)</f>
        <v>9999</v>
      </c>
      <c r="W66" s="300">
        <f t="shared" si="3"/>
        <v>2050</v>
      </c>
      <c r="X66" s="301"/>
      <c r="Y66" s="383" t="s">
        <v>41</v>
      </c>
      <c r="Z66" s="315">
        <v>500</v>
      </c>
      <c r="AA66" s="316"/>
      <c r="AB66" s="327" t="s">
        <v>89</v>
      </c>
      <c r="AC66" s="318">
        <v>35000</v>
      </c>
      <c r="AD66" s="316"/>
      <c r="AE66" s="327" t="s">
        <v>87</v>
      </c>
      <c r="AF66" s="320">
        <v>2.8571428571428572</v>
      </c>
      <c r="AG66" s="301"/>
    </row>
    <row r="67" spans="2:33" ht="15" thickBot="1" x14ac:dyDescent="0.2">
      <c r="B67" s="287">
        <v>62</v>
      </c>
      <c r="C67" s="381">
        <v>6</v>
      </c>
      <c r="D67" s="310" t="s">
        <v>455</v>
      </c>
      <c r="E67" s="382" t="s">
        <v>59</v>
      </c>
      <c r="F67" s="312" t="s">
        <v>144</v>
      </c>
      <c r="G67" s="12" t="s">
        <v>464</v>
      </c>
      <c r="H67" s="350" t="s">
        <v>462</v>
      </c>
      <c r="I67" s="12" t="s">
        <v>483</v>
      </c>
      <c r="J67" s="293">
        <v>962068</v>
      </c>
      <c r="K67" s="294">
        <v>1</v>
      </c>
      <c r="L67" s="207">
        <v>20000</v>
      </c>
      <c r="M67" s="295">
        <f t="shared" si="4"/>
        <v>19.24136</v>
      </c>
      <c r="N67" s="296">
        <v>10</v>
      </c>
      <c r="O67" s="209">
        <v>240000</v>
      </c>
      <c r="P67" s="293">
        <v>2400000</v>
      </c>
      <c r="Q67" s="209">
        <v>120000</v>
      </c>
      <c r="R67" s="293">
        <v>1800000</v>
      </c>
      <c r="S67" s="293">
        <v>168000</v>
      </c>
      <c r="T67" s="297">
        <f t="shared" si="5"/>
        <v>161.62742399999999</v>
      </c>
      <c r="U67" s="313">
        <f t="shared" si="2"/>
        <v>11.904761904761903</v>
      </c>
      <c r="V67" s="299">
        <f>IF('Prepare Gantt Chart'!G66=2,'Prepare Gantt Chart'!H66,9999)</f>
        <v>9999</v>
      </c>
      <c r="W67" s="300">
        <f t="shared" si="3"/>
        <v>2050</v>
      </c>
      <c r="X67" s="301"/>
      <c r="Y67" s="329" t="s">
        <v>55</v>
      </c>
      <c r="Z67" s="315">
        <v>500</v>
      </c>
      <c r="AA67" s="316"/>
      <c r="AB67" s="317" t="s">
        <v>20</v>
      </c>
      <c r="AC67" s="318">
        <v>37000</v>
      </c>
      <c r="AD67" s="316"/>
      <c r="AE67" s="327" t="s">
        <v>79</v>
      </c>
      <c r="AF67" s="320">
        <v>2.7027027027027026</v>
      </c>
      <c r="AG67" s="301"/>
    </row>
    <row r="68" spans="2:33" ht="15" thickBot="1" x14ac:dyDescent="0.2">
      <c r="B68" s="287">
        <v>63</v>
      </c>
      <c r="C68" s="381">
        <v>6</v>
      </c>
      <c r="D68" s="310" t="s">
        <v>455</v>
      </c>
      <c r="E68" s="382" t="s">
        <v>60</v>
      </c>
      <c r="F68" s="312" t="s">
        <v>123</v>
      </c>
      <c r="G68" s="12" t="s">
        <v>464</v>
      </c>
      <c r="H68" s="350" t="s">
        <v>462</v>
      </c>
      <c r="I68" s="12" t="s">
        <v>482</v>
      </c>
      <c r="J68" s="293">
        <v>962068</v>
      </c>
      <c r="K68" s="294">
        <v>1</v>
      </c>
      <c r="L68" s="207">
        <v>5000</v>
      </c>
      <c r="M68" s="295">
        <f t="shared" si="4"/>
        <v>4.8103400000000001</v>
      </c>
      <c r="N68" s="296">
        <v>10</v>
      </c>
      <c r="O68" s="209">
        <v>55000</v>
      </c>
      <c r="P68" s="293">
        <v>550000</v>
      </c>
      <c r="Q68" s="209">
        <v>20000</v>
      </c>
      <c r="R68" s="293">
        <v>300000</v>
      </c>
      <c r="S68" s="293">
        <v>34000</v>
      </c>
      <c r="T68" s="297">
        <f t="shared" si="5"/>
        <v>32.710312000000002</v>
      </c>
      <c r="U68" s="313">
        <f t="shared" si="2"/>
        <v>14.705882352941178</v>
      </c>
      <c r="V68" s="299">
        <f>IF('Prepare Gantt Chart'!G67=2,'Prepare Gantt Chart'!H67,9999)</f>
        <v>9999</v>
      </c>
      <c r="W68" s="300">
        <f t="shared" si="3"/>
        <v>2050</v>
      </c>
      <c r="X68" s="301"/>
      <c r="Y68" s="329" t="s">
        <v>56</v>
      </c>
      <c r="Z68" s="315">
        <v>500</v>
      </c>
      <c r="AA68" s="316"/>
      <c r="AB68" s="323" t="s">
        <v>42</v>
      </c>
      <c r="AC68" s="318">
        <v>37000</v>
      </c>
      <c r="AD68" s="316"/>
      <c r="AE68" s="327" t="s">
        <v>88</v>
      </c>
      <c r="AF68" s="320">
        <v>2.7027027027027026</v>
      </c>
      <c r="AG68" s="301"/>
    </row>
    <row r="69" spans="2:33" ht="15" thickBot="1" x14ac:dyDescent="0.2">
      <c r="B69" s="287">
        <v>64</v>
      </c>
      <c r="C69" s="381">
        <v>6</v>
      </c>
      <c r="D69" s="310" t="s">
        <v>455</v>
      </c>
      <c r="E69" s="382" t="s">
        <v>61</v>
      </c>
      <c r="F69" s="312" t="s">
        <v>145</v>
      </c>
      <c r="G69" s="12" t="s">
        <v>464</v>
      </c>
      <c r="H69" s="350" t="s">
        <v>462</v>
      </c>
      <c r="I69" s="12" t="s">
        <v>482</v>
      </c>
      <c r="J69" s="293">
        <v>7097</v>
      </c>
      <c r="K69" s="294">
        <v>1</v>
      </c>
      <c r="L69" s="207">
        <v>5000</v>
      </c>
      <c r="M69" s="295">
        <f t="shared" si="4"/>
        <v>3.5485000000000003E-2</v>
      </c>
      <c r="N69" s="296">
        <v>10</v>
      </c>
      <c r="O69" s="209">
        <v>6000</v>
      </c>
      <c r="P69" s="293">
        <v>55000</v>
      </c>
      <c r="Q69" s="209">
        <v>5000</v>
      </c>
      <c r="R69" s="293">
        <v>75000</v>
      </c>
      <c r="S69" s="293">
        <v>5000</v>
      </c>
      <c r="T69" s="297">
        <f t="shared" si="5"/>
        <v>3.5485000000000003E-2</v>
      </c>
      <c r="U69" s="313">
        <f t="shared" si="2"/>
        <v>100</v>
      </c>
      <c r="V69" s="299">
        <f>IF('Prepare Gantt Chart'!G68=2,'Prepare Gantt Chart'!H68,9999)</f>
        <v>9999</v>
      </c>
      <c r="W69" s="300">
        <f t="shared" si="3"/>
        <v>2050</v>
      </c>
      <c r="X69" s="301"/>
      <c r="Y69" s="329" t="s">
        <v>62</v>
      </c>
      <c r="Z69" s="315">
        <v>500</v>
      </c>
      <c r="AA69" s="316"/>
      <c r="AB69" s="327" t="s">
        <v>79</v>
      </c>
      <c r="AC69" s="318">
        <v>37000</v>
      </c>
      <c r="AD69" s="316"/>
      <c r="AE69" s="328" t="s">
        <v>418</v>
      </c>
      <c r="AF69" s="320">
        <v>2.7027027027027026</v>
      </c>
      <c r="AG69" s="301"/>
    </row>
    <row r="70" spans="2:33" ht="15" thickBot="1" x14ac:dyDescent="0.2">
      <c r="B70" s="287">
        <v>65</v>
      </c>
      <c r="C70" s="381">
        <v>6</v>
      </c>
      <c r="D70" s="310" t="s">
        <v>455</v>
      </c>
      <c r="E70" s="382" t="s">
        <v>62</v>
      </c>
      <c r="F70" s="312" t="s">
        <v>146</v>
      </c>
      <c r="G70" s="12" t="s">
        <v>464</v>
      </c>
      <c r="H70" s="350" t="s">
        <v>462</v>
      </c>
      <c r="I70" s="12" t="s">
        <v>482</v>
      </c>
      <c r="J70" s="293">
        <v>962068</v>
      </c>
      <c r="K70" s="294">
        <v>1</v>
      </c>
      <c r="L70" s="207">
        <v>500</v>
      </c>
      <c r="M70" s="295">
        <f t="shared" ref="M70:M101" si="6">J70*K70*L70/1000000000</f>
        <v>0.48103400000000002</v>
      </c>
      <c r="N70" s="296">
        <v>10</v>
      </c>
      <c r="O70" s="209">
        <v>5000</v>
      </c>
      <c r="P70" s="293">
        <v>50000</v>
      </c>
      <c r="Q70" s="209">
        <v>5000</v>
      </c>
      <c r="R70" s="293">
        <v>75000</v>
      </c>
      <c r="S70" s="293">
        <v>5000</v>
      </c>
      <c r="T70" s="297">
        <f t="shared" ref="T70:T101" si="7">J70*K70*S70/1000000000</f>
        <v>4.8103400000000001</v>
      </c>
      <c r="U70" s="313">
        <f t="shared" si="2"/>
        <v>10</v>
      </c>
      <c r="V70" s="299">
        <f>IF('Prepare Gantt Chart'!G69=2,'Prepare Gantt Chart'!H69,9999)</f>
        <v>9999</v>
      </c>
      <c r="W70" s="300">
        <f t="shared" si="3"/>
        <v>2050</v>
      </c>
      <c r="X70" s="301"/>
      <c r="Y70" s="325" t="s">
        <v>73</v>
      </c>
      <c r="Z70" s="315">
        <v>500</v>
      </c>
      <c r="AA70" s="316"/>
      <c r="AB70" s="327" t="s">
        <v>82</v>
      </c>
      <c r="AC70" s="318">
        <v>37000</v>
      </c>
      <c r="AD70" s="316"/>
      <c r="AE70" s="326" t="s">
        <v>46</v>
      </c>
      <c r="AF70" s="320">
        <v>2.666666666666667</v>
      </c>
      <c r="AG70" s="301"/>
    </row>
    <row r="71" spans="2:33" ht="15" thickBot="1" x14ac:dyDescent="0.2">
      <c r="B71" s="287">
        <v>66</v>
      </c>
      <c r="C71" s="381">
        <v>6</v>
      </c>
      <c r="D71" s="310" t="s">
        <v>455</v>
      </c>
      <c r="E71" s="382" t="s">
        <v>63</v>
      </c>
      <c r="F71" s="312" t="s">
        <v>147</v>
      </c>
      <c r="G71" s="12" t="s">
        <v>464</v>
      </c>
      <c r="H71" s="350" t="s">
        <v>462</v>
      </c>
      <c r="I71" s="12" t="s">
        <v>483</v>
      </c>
      <c r="J71" s="293">
        <v>962068</v>
      </c>
      <c r="K71" s="294">
        <v>1</v>
      </c>
      <c r="L71" s="207">
        <v>4000</v>
      </c>
      <c r="M71" s="295">
        <f t="shared" si="6"/>
        <v>3.8482720000000001</v>
      </c>
      <c r="N71" s="296">
        <v>10</v>
      </c>
      <c r="O71" s="209">
        <v>50000</v>
      </c>
      <c r="P71" s="293">
        <v>500000</v>
      </c>
      <c r="Q71" s="209">
        <v>20000</v>
      </c>
      <c r="R71" s="293">
        <v>300000</v>
      </c>
      <c r="S71" s="293">
        <v>32000</v>
      </c>
      <c r="T71" s="297">
        <f t="shared" si="7"/>
        <v>30.786176000000001</v>
      </c>
      <c r="U71" s="313">
        <f t="shared" ref="U71:U122" si="8">(L71/S71)*100</f>
        <v>12.5</v>
      </c>
      <c r="V71" s="299">
        <f>IF('Prepare Gantt Chart'!G70=2,'Prepare Gantt Chart'!H70,9999)</f>
        <v>9999</v>
      </c>
      <c r="W71" s="300">
        <f t="shared" si="3"/>
        <v>2050</v>
      </c>
      <c r="X71" s="301"/>
      <c r="Y71" s="325" t="s">
        <v>77</v>
      </c>
      <c r="Z71" s="315">
        <v>500</v>
      </c>
      <c r="AA71" s="316"/>
      <c r="AB71" s="327" t="s">
        <v>88</v>
      </c>
      <c r="AC71" s="318">
        <v>37000</v>
      </c>
      <c r="AD71" s="316"/>
      <c r="AE71" s="328" t="s">
        <v>94</v>
      </c>
      <c r="AF71" s="320">
        <v>2.197802197802198</v>
      </c>
      <c r="AG71" s="301"/>
    </row>
    <row r="72" spans="2:33" ht="15" thickBot="1" x14ac:dyDescent="0.2">
      <c r="B72" s="287">
        <v>67</v>
      </c>
      <c r="C72" s="381">
        <v>6</v>
      </c>
      <c r="D72" s="310" t="s">
        <v>455</v>
      </c>
      <c r="E72" s="382" t="s">
        <v>64</v>
      </c>
      <c r="F72" s="312" t="s">
        <v>148</v>
      </c>
      <c r="G72" s="12" t="s">
        <v>464</v>
      </c>
      <c r="H72" s="350" t="s">
        <v>462</v>
      </c>
      <c r="I72" s="12" t="s">
        <v>483</v>
      </c>
      <c r="J72" s="293">
        <v>962068</v>
      </c>
      <c r="K72" s="294">
        <v>1</v>
      </c>
      <c r="L72" s="207">
        <v>3000</v>
      </c>
      <c r="M72" s="295">
        <f t="shared" si="6"/>
        <v>2.8862040000000002</v>
      </c>
      <c r="N72" s="296">
        <v>1</v>
      </c>
      <c r="O72" s="209">
        <v>60</v>
      </c>
      <c r="P72" s="293">
        <v>60</v>
      </c>
      <c r="Q72" s="209">
        <v>40</v>
      </c>
      <c r="R72" s="293">
        <v>1000</v>
      </c>
      <c r="S72" s="293">
        <v>40</v>
      </c>
      <c r="T72" s="297">
        <f t="shared" si="7"/>
        <v>3.8482719999999998E-2</v>
      </c>
      <c r="U72" s="313">
        <f t="shared" si="8"/>
        <v>7500</v>
      </c>
      <c r="V72" s="299">
        <f>IF('Prepare Gantt Chart'!G71=2,'Prepare Gantt Chart'!H71,9999)</f>
        <v>9999</v>
      </c>
      <c r="W72" s="300">
        <f t="shared" ref="W72:W122" si="9">W71</f>
        <v>2050</v>
      </c>
      <c r="X72" s="301"/>
      <c r="Y72" s="344" t="s">
        <v>89</v>
      </c>
      <c r="Z72" s="315">
        <v>500</v>
      </c>
      <c r="AA72" s="316"/>
      <c r="AB72" s="317" t="s">
        <v>21</v>
      </c>
      <c r="AC72" s="318">
        <v>42000</v>
      </c>
      <c r="AD72" s="316"/>
      <c r="AE72" s="349" t="s">
        <v>13</v>
      </c>
      <c r="AF72" s="320">
        <v>2</v>
      </c>
      <c r="AG72" s="301"/>
    </row>
    <row r="73" spans="2:33" ht="15" thickBot="1" x14ac:dyDescent="0.2">
      <c r="B73" s="287">
        <v>68</v>
      </c>
      <c r="C73" s="381">
        <v>6</v>
      </c>
      <c r="D73" s="310" t="s">
        <v>455</v>
      </c>
      <c r="E73" s="382" t="s">
        <v>65</v>
      </c>
      <c r="F73" s="312" t="s">
        <v>411</v>
      </c>
      <c r="G73" s="12" t="s">
        <v>464</v>
      </c>
      <c r="H73" s="350" t="s">
        <v>462</v>
      </c>
      <c r="I73" s="12" t="s">
        <v>483</v>
      </c>
      <c r="J73" s="293">
        <v>962068</v>
      </c>
      <c r="K73" s="294">
        <v>1</v>
      </c>
      <c r="L73" s="207">
        <v>400</v>
      </c>
      <c r="M73" s="295">
        <f t="shared" si="6"/>
        <v>0.38482719999999998</v>
      </c>
      <c r="N73" s="296">
        <v>1</v>
      </c>
      <c r="O73" s="209">
        <v>60</v>
      </c>
      <c r="P73" s="293">
        <v>60</v>
      </c>
      <c r="Q73" s="209">
        <v>40</v>
      </c>
      <c r="R73" s="293">
        <v>1000</v>
      </c>
      <c r="S73" s="293">
        <v>40</v>
      </c>
      <c r="T73" s="297">
        <f t="shared" si="7"/>
        <v>3.8482719999999998E-2</v>
      </c>
      <c r="U73" s="313">
        <f t="shared" si="8"/>
        <v>1000</v>
      </c>
      <c r="V73" s="299">
        <f>IF('Prepare Gantt Chart'!G72=2,'Prepare Gantt Chart'!H72,9999)</f>
        <v>9999</v>
      </c>
      <c r="W73" s="300">
        <f t="shared" si="9"/>
        <v>2050</v>
      </c>
      <c r="X73" s="301"/>
      <c r="Y73" s="384" t="s">
        <v>32</v>
      </c>
      <c r="Z73" s="315">
        <v>400</v>
      </c>
      <c r="AA73" s="316"/>
      <c r="AB73" s="317" t="s">
        <v>22</v>
      </c>
      <c r="AC73" s="318">
        <v>42000</v>
      </c>
      <c r="AD73" s="316"/>
      <c r="AE73" s="327" t="s">
        <v>84</v>
      </c>
      <c r="AF73" s="320">
        <v>1.6304347826086956</v>
      </c>
      <c r="AG73" s="301"/>
    </row>
    <row r="74" spans="2:33" ht="15" thickBot="1" x14ac:dyDescent="0.2">
      <c r="B74" s="287">
        <v>69</v>
      </c>
      <c r="C74" s="381">
        <v>6</v>
      </c>
      <c r="D74" s="310" t="s">
        <v>455</v>
      </c>
      <c r="E74" s="382" t="s">
        <v>66</v>
      </c>
      <c r="F74" s="312" t="s">
        <v>641</v>
      </c>
      <c r="G74" s="12" t="s">
        <v>464</v>
      </c>
      <c r="H74" s="350" t="s">
        <v>462</v>
      </c>
      <c r="I74" s="12" t="s">
        <v>483</v>
      </c>
      <c r="J74" s="293">
        <v>962068</v>
      </c>
      <c r="K74" s="294">
        <v>1</v>
      </c>
      <c r="L74" s="207">
        <v>3000</v>
      </c>
      <c r="M74" s="295">
        <f t="shared" si="6"/>
        <v>2.8862040000000002</v>
      </c>
      <c r="N74" s="296">
        <v>1</v>
      </c>
      <c r="O74" s="209">
        <v>60</v>
      </c>
      <c r="P74" s="293">
        <v>60</v>
      </c>
      <c r="Q74" s="209">
        <v>40</v>
      </c>
      <c r="R74" s="293">
        <v>1000</v>
      </c>
      <c r="S74" s="293">
        <v>40</v>
      </c>
      <c r="T74" s="297">
        <f t="shared" si="7"/>
        <v>3.8482719999999998E-2</v>
      </c>
      <c r="U74" s="313">
        <f t="shared" si="8"/>
        <v>7500</v>
      </c>
      <c r="V74" s="299">
        <f>IF('Prepare Gantt Chart'!G73=2,'Prepare Gantt Chart'!H73,9999)</f>
        <v>9999</v>
      </c>
      <c r="W74" s="300">
        <f t="shared" si="9"/>
        <v>2050</v>
      </c>
      <c r="X74" s="301"/>
      <c r="Y74" s="329" t="s">
        <v>65</v>
      </c>
      <c r="Z74" s="315">
        <v>400</v>
      </c>
      <c r="AA74" s="316"/>
      <c r="AB74" s="317" t="s">
        <v>24</v>
      </c>
      <c r="AC74" s="318">
        <v>42000</v>
      </c>
      <c r="AD74" s="316"/>
      <c r="AE74" s="327" t="s">
        <v>85</v>
      </c>
      <c r="AF74" s="320">
        <v>1.6129032258064515</v>
      </c>
      <c r="AG74" s="301"/>
    </row>
    <row r="75" spans="2:33" ht="15" thickBot="1" x14ac:dyDescent="0.2">
      <c r="B75" s="330">
        <v>70</v>
      </c>
      <c r="C75" s="385">
        <v>6</v>
      </c>
      <c r="D75" s="332" t="s">
        <v>455</v>
      </c>
      <c r="E75" s="386" t="s">
        <v>67</v>
      </c>
      <c r="F75" s="334" t="s">
        <v>118</v>
      </c>
      <c r="G75" s="335" t="s">
        <v>464</v>
      </c>
      <c r="H75" s="336" t="s">
        <v>461</v>
      </c>
      <c r="I75" s="335" t="s">
        <v>482</v>
      </c>
      <c r="J75" s="337">
        <v>962068</v>
      </c>
      <c r="K75" s="338">
        <v>1</v>
      </c>
      <c r="L75" s="208">
        <v>1000</v>
      </c>
      <c r="M75" s="339">
        <f t="shared" si="6"/>
        <v>0.96206800000000003</v>
      </c>
      <c r="N75" s="340">
        <v>1</v>
      </c>
      <c r="O75" s="210">
        <v>60</v>
      </c>
      <c r="P75" s="337">
        <v>60</v>
      </c>
      <c r="Q75" s="210">
        <v>40</v>
      </c>
      <c r="R75" s="337">
        <v>1000</v>
      </c>
      <c r="S75" s="337">
        <v>40</v>
      </c>
      <c r="T75" s="341">
        <f t="shared" si="7"/>
        <v>3.8482719999999998E-2</v>
      </c>
      <c r="U75" s="342">
        <f t="shared" si="8"/>
        <v>2500</v>
      </c>
      <c r="V75" s="336">
        <f>IF('Prepare Gantt Chart'!G74=2,'Prepare Gantt Chart'!H74,9999)</f>
        <v>9999</v>
      </c>
      <c r="W75" s="343">
        <f t="shared" si="9"/>
        <v>2050</v>
      </c>
      <c r="X75" s="301"/>
      <c r="Y75" s="367" t="s">
        <v>6</v>
      </c>
      <c r="Z75" s="315">
        <v>300</v>
      </c>
      <c r="AA75" s="316"/>
      <c r="AB75" s="323" t="s">
        <v>44</v>
      </c>
      <c r="AC75" s="318">
        <v>53000</v>
      </c>
      <c r="AD75" s="316"/>
      <c r="AE75" s="326" t="s">
        <v>48</v>
      </c>
      <c r="AF75" s="320">
        <v>1.5</v>
      </c>
      <c r="AG75" s="301"/>
    </row>
    <row r="76" spans="2:33" ht="15" thickBot="1" x14ac:dyDescent="0.2">
      <c r="B76" s="287">
        <v>71</v>
      </c>
      <c r="C76" s="387">
        <v>7</v>
      </c>
      <c r="D76" s="289" t="s">
        <v>456</v>
      </c>
      <c r="E76" s="388" t="s">
        <v>68</v>
      </c>
      <c r="F76" s="312" t="s">
        <v>150</v>
      </c>
      <c r="G76" s="12" t="s">
        <v>464</v>
      </c>
      <c r="H76" s="350" t="s">
        <v>462</v>
      </c>
      <c r="I76" s="12" t="s">
        <v>483</v>
      </c>
      <c r="J76" s="293">
        <v>591740</v>
      </c>
      <c r="K76" s="294">
        <v>1</v>
      </c>
      <c r="L76" s="207">
        <v>5000</v>
      </c>
      <c r="M76" s="295">
        <f t="shared" si="6"/>
        <v>2.9586999999999999</v>
      </c>
      <c r="N76" s="296">
        <v>10</v>
      </c>
      <c r="O76" s="209">
        <v>100000</v>
      </c>
      <c r="P76" s="293">
        <v>1000000</v>
      </c>
      <c r="Q76" s="209">
        <v>100000</v>
      </c>
      <c r="R76" s="293">
        <v>1500000</v>
      </c>
      <c r="S76" s="293">
        <v>100000</v>
      </c>
      <c r="T76" s="297">
        <f t="shared" si="7"/>
        <v>59.173999999999999</v>
      </c>
      <c r="U76" s="313">
        <f t="shared" si="8"/>
        <v>5</v>
      </c>
      <c r="V76" s="299">
        <f>IF('Prepare Gantt Chart'!G75=2,'Prepare Gantt Chart'!H75,9999)</f>
        <v>9999</v>
      </c>
      <c r="W76" s="300">
        <f t="shared" si="9"/>
        <v>2050</v>
      </c>
      <c r="X76" s="301"/>
      <c r="Y76" s="357" t="s">
        <v>21</v>
      </c>
      <c r="Z76" s="315">
        <v>300</v>
      </c>
      <c r="AA76" s="316"/>
      <c r="AB76" s="349" t="s">
        <v>9</v>
      </c>
      <c r="AC76" s="318">
        <v>68000</v>
      </c>
      <c r="AD76" s="316"/>
      <c r="AE76" s="327" t="s">
        <v>89</v>
      </c>
      <c r="AF76" s="320">
        <v>1.4285714285714286</v>
      </c>
      <c r="AG76" s="301"/>
    </row>
    <row r="77" spans="2:33" ht="15" thickBot="1" x14ac:dyDescent="0.2">
      <c r="B77" s="287">
        <v>72</v>
      </c>
      <c r="C77" s="389">
        <v>7</v>
      </c>
      <c r="D77" s="310" t="s">
        <v>456</v>
      </c>
      <c r="E77" s="390" t="s">
        <v>69</v>
      </c>
      <c r="F77" s="312" t="s">
        <v>151</v>
      </c>
      <c r="G77" s="12" t="s">
        <v>464</v>
      </c>
      <c r="H77" s="350" t="s">
        <v>462</v>
      </c>
      <c r="I77" s="12" t="s">
        <v>483</v>
      </c>
      <c r="J77" s="293">
        <v>591740</v>
      </c>
      <c r="K77" s="294">
        <v>1</v>
      </c>
      <c r="L77" s="207">
        <v>5000</v>
      </c>
      <c r="M77" s="295">
        <f t="shared" si="6"/>
        <v>2.9586999999999999</v>
      </c>
      <c r="N77" s="296">
        <v>10</v>
      </c>
      <c r="O77" s="209">
        <v>100000</v>
      </c>
      <c r="P77" s="293">
        <v>1000000</v>
      </c>
      <c r="Q77" s="209">
        <v>200000</v>
      </c>
      <c r="R77" s="293">
        <v>3000000</v>
      </c>
      <c r="S77" s="293">
        <v>160000</v>
      </c>
      <c r="T77" s="297">
        <f t="shared" si="7"/>
        <v>94.678399999999996</v>
      </c>
      <c r="U77" s="313">
        <f t="shared" si="8"/>
        <v>3.125</v>
      </c>
      <c r="V77" s="299">
        <f>IF('Prepare Gantt Chart'!G76=2,'Prepare Gantt Chart'!H76,9999)</f>
        <v>9999</v>
      </c>
      <c r="W77" s="300">
        <f t="shared" si="9"/>
        <v>2050</v>
      </c>
      <c r="X77" s="301"/>
      <c r="Y77" s="383" t="s">
        <v>403</v>
      </c>
      <c r="Z77" s="315">
        <v>250</v>
      </c>
      <c r="AA77" s="316"/>
      <c r="AB77" s="326" t="s">
        <v>408</v>
      </c>
      <c r="AC77" s="318">
        <v>70000</v>
      </c>
      <c r="AD77" s="316"/>
      <c r="AE77" s="322" t="s">
        <v>32</v>
      </c>
      <c r="AF77" s="320">
        <v>1.3333333333333335</v>
      </c>
      <c r="AG77" s="301"/>
    </row>
    <row r="78" spans="2:33" ht="15" thickBot="1" x14ac:dyDescent="0.2">
      <c r="B78" s="287">
        <v>73</v>
      </c>
      <c r="C78" s="389">
        <v>7</v>
      </c>
      <c r="D78" s="310" t="s">
        <v>456</v>
      </c>
      <c r="E78" s="390" t="s">
        <v>70</v>
      </c>
      <c r="F78" s="312" t="s">
        <v>412</v>
      </c>
      <c r="G78" s="12" t="s">
        <v>464</v>
      </c>
      <c r="H78" s="350" t="s">
        <v>462</v>
      </c>
      <c r="I78" s="12" t="s">
        <v>483</v>
      </c>
      <c r="J78" s="293">
        <v>267388</v>
      </c>
      <c r="K78" s="294">
        <v>1</v>
      </c>
      <c r="L78" s="207">
        <v>50000</v>
      </c>
      <c r="M78" s="295">
        <f t="shared" si="6"/>
        <v>13.369400000000001</v>
      </c>
      <c r="N78" s="296">
        <v>10</v>
      </c>
      <c r="O78" s="209">
        <v>100000</v>
      </c>
      <c r="P78" s="293">
        <v>1000000</v>
      </c>
      <c r="Q78" s="209">
        <v>200000</v>
      </c>
      <c r="R78" s="293">
        <v>3000000</v>
      </c>
      <c r="S78" s="293">
        <v>160000</v>
      </c>
      <c r="T78" s="297">
        <f t="shared" si="7"/>
        <v>42.782080000000001</v>
      </c>
      <c r="U78" s="313">
        <f t="shared" si="8"/>
        <v>31.25</v>
      </c>
      <c r="V78" s="299">
        <f>IF('Prepare Gantt Chart'!G77=2,'Prepare Gantt Chart'!H77,9999)</f>
        <v>9999</v>
      </c>
      <c r="W78" s="300">
        <f t="shared" si="9"/>
        <v>2050</v>
      </c>
      <c r="X78" s="301"/>
      <c r="Y78" s="367" t="s">
        <v>9</v>
      </c>
      <c r="Z78" s="315">
        <v>200</v>
      </c>
      <c r="AA78" s="316"/>
      <c r="AB78" s="326" t="s">
        <v>409</v>
      </c>
      <c r="AC78" s="318">
        <v>73000</v>
      </c>
      <c r="AD78" s="316"/>
      <c r="AE78" s="326" t="s">
        <v>47</v>
      </c>
      <c r="AF78" s="320">
        <v>1.098901098901099</v>
      </c>
      <c r="AG78" s="301"/>
    </row>
    <row r="79" spans="2:33" ht="15" thickBot="1" x14ac:dyDescent="0.2">
      <c r="B79" s="287">
        <v>74</v>
      </c>
      <c r="C79" s="389">
        <v>7</v>
      </c>
      <c r="D79" s="310" t="s">
        <v>456</v>
      </c>
      <c r="E79" s="390" t="s">
        <v>71</v>
      </c>
      <c r="F79" s="312" t="s">
        <v>152</v>
      </c>
      <c r="G79" s="12" t="s">
        <v>464</v>
      </c>
      <c r="H79" s="350" t="s">
        <v>462</v>
      </c>
      <c r="I79" s="12" t="s">
        <v>483</v>
      </c>
      <c r="J79" s="293">
        <v>39568</v>
      </c>
      <c r="K79" s="294">
        <v>1</v>
      </c>
      <c r="L79" s="207">
        <v>30000</v>
      </c>
      <c r="M79" s="295">
        <f t="shared" si="6"/>
        <v>1.1870400000000001</v>
      </c>
      <c r="N79" s="296">
        <v>10</v>
      </c>
      <c r="O79" s="209">
        <v>55000</v>
      </c>
      <c r="P79" s="293">
        <v>550000</v>
      </c>
      <c r="Q79" s="209">
        <v>196000</v>
      </c>
      <c r="R79" s="293">
        <v>2940000</v>
      </c>
      <c r="S79" s="293">
        <v>140000</v>
      </c>
      <c r="T79" s="297">
        <f t="shared" si="7"/>
        <v>5.5395200000000004</v>
      </c>
      <c r="U79" s="313">
        <f t="shared" si="8"/>
        <v>21.428571428571427</v>
      </c>
      <c r="V79" s="299">
        <f>IF('Prepare Gantt Chart'!G78=2,'Prepare Gantt Chart'!H78,9999)</f>
        <v>9999</v>
      </c>
      <c r="W79" s="300">
        <f t="shared" si="9"/>
        <v>2050</v>
      </c>
      <c r="X79" s="301"/>
      <c r="Y79" s="357" t="s">
        <v>22</v>
      </c>
      <c r="Z79" s="315">
        <v>200</v>
      </c>
      <c r="AA79" s="316"/>
      <c r="AB79" s="328" t="s">
        <v>418</v>
      </c>
      <c r="AC79" s="318">
        <v>74000</v>
      </c>
      <c r="AD79" s="316"/>
      <c r="AE79" s="349" t="s">
        <v>10</v>
      </c>
      <c r="AF79" s="320">
        <v>1</v>
      </c>
      <c r="AG79" s="301"/>
    </row>
    <row r="80" spans="2:33" ht="15" thickBot="1" x14ac:dyDescent="0.2">
      <c r="B80" s="287">
        <v>75</v>
      </c>
      <c r="C80" s="389">
        <v>7</v>
      </c>
      <c r="D80" s="310" t="s">
        <v>456</v>
      </c>
      <c r="E80" s="390" t="s">
        <v>72</v>
      </c>
      <c r="F80" s="312" t="s">
        <v>413</v>
      </c>
      <c r="G80" s="12" t="s">
        <v>464</v>
      </c>
      <c r="H80" s="350" t="s">
        <v>462</v>
      </c>
      <c r="I80" s="12" t="s">
        <v>482</v>
      </c>
      <c r="J80" s="293">
        <v>3340</v>
      </c>
      <c r="K80" s="294">
        <v>1</v>
      </c>
      <c r="L80" s="207">
        <v>50000</v>
      </c>
      <c r="M80" s="295">
        <f t="shared" si="6"/>
        <v>0.16700000000000001</v>
      </c>
      <c r="N80" s="296">
        <v>10</v>
      </c>
      <c r="O80" s="209">
        <v>500000</v>
      </c>
      <c r="P80" s="293">
        <v>5000000</v>
      </c>
      <c r="Q80" s="209">
        <v>250000</v>
      </c>
      <c r="R80" s="293">
        <v>3750000</v>
      </c>
      <c r="S80" s="293">
        <v>350000</v>
      </c>
      <c r="T80" s="297">
        <f t="shared" si="7"/>
        <v>1.169</v>
      </c>
      <c r="U80" s="313">
        <f t="shared" si="8"/>
        <v>14.285714285714285</v>
      </c>
      <c r="V80" s="299">
        <f>IF('Prepare Gantt Chart'!G79=2,'Prepare Gantt Chart'!H79,9999)</f>
        <v>9999</v>
      </c>
      <c r="W80" s="300">
        <f t="shared" si="9"/>
        <v>2050</v>
      </c>
      <c r="X80" s="301"/>
      <c r="Y80" s="383" t="s">
        <v>38</v>
      </c>
      <c r="Z80" s="315">
        <v>200</v>
      </c>
      <c r="AA80" s="316"/>
      <c r="AB80" s="323" t="s">
        <v>45</v>
      </c>
      <c r="AC80" s="318">
        <v>82000</v>
      </c>
      <c r="AD80" s="316"/>
      <c r="AE80" s="326" t="s">
        <v>53</v>
      </c>
      <c r="AF80" s="320">
        <v>1</v>
      </c>
      <c r="AG80" s="301"/>
    </row>
    <row r="81" spans="2:33" ht="15" thickBot="1" x14ac:dyDescent="0.2">
      <c r="B81" s="287">
        <v>76</v>
      </c>
      <c r="C81" s="389">
        <v>7</v>
      </c>
      <c r="D81" s="310" t="s">
        <v>456</v>
      </c>
      <c r="E81" s="390" t="s">
        <v>73</v>
      </c>
      <c r="F81" s="312" t="s">
        <v>470</v>
      </c>
      <c r="G81" s="12" t="s">
        <v>465</v>
      </c>
      <c r="H81" s="350" t="s">
        <v>462</v>
      </c>
      <c r="I81" s="12" t="s">
        <v>482</v>
      </c>
      <c r="J81" s="293">
        <v>7563779</v>
      </c>
      <c r="K81" s="294">
        <v>1</v>
      </c>
      <c r="L81" s="207">
        <v>500</v>
      </c>
      <c r="M81" s="295">
        <f t="shared" si="6"/>
        <v>3.7818895000000001</v>
      </c>
      <c r="N81" s="296">
        <v>10</v>
      </c>
      <c r="O81" s="209">
        <v>550000</v>
      </c>
      <c r="P81" s="293">
        <v>5500000</v>
      </c>
      <c r="Q81" s="209">
        <v>2000</v>
      </c>
      <c r="R81" s="293">
        <v>30000</v>
      </c>
      <c r="S81" s="293">
        <v>221000</v>
      </c>
      <c r="T81" s="297">
        <f t="shared" si="7"/>
        <v>1671.595159</v>
      </c>
      <c r="U81" s="313">
        <f t="shared" si="8"/>
        <v>0.22624434389140274</v>
      </c>
      <c r="V81" s="299">
        <f>IF('Prepare Gantt Chart'!G80=2,'Prepare Gantt Chart'!H80,9999)</f>
        <v>9999</v>
      </c>
      <c r="W81" s="300">
        <f t="shared" si="9"/>
        <v>2050</v>
      </c>
      <c r="X81" s="301"/>
      <c r="Y81" s="383" t="s">
        <v>42</v>
      </c>
      <c r="Z81" s="315">
        <v>200</v>
      </c>
      <c r="AA81" s="316"/>
      <c r="AB81" s="323" t="s">
        <v>39</v>
      </c>
      <c r="AC81" s="318">
        <v>87000</v>
      </c>
      <c r="AD81" s="316"/>
      <c r="AE81" s="328" t="s">
        <v>419</v>
      </c>
      <c r="AF81" s="320">
        <v>0.98039215686274506</v>
      </c>
      <c r="AG81" s="301"/>
    </row>
    <row r="82" spans="2:33" ht="15" thickBot="1" x14ac:dyDescent="0.2">
      <c r="B82" s="287">
        <v>77</v>
      </c>
      <c r="C82" s="389">
        <v>7</v>
      </c>
      <c r="D82" s="310" t="s">
        <v>456</v>
      </c>
      <c r="E82" s="390" t="s">
        <v>74</v>
      </c>
      <c r="F82" s="312" t="s">
        <v>153</v>
      </c>
      <c r="G82" s="12" t="s">
        <v>464</v>
      </c>
      <c r="H82" s="350" t="s">
        <v>463</v>
      </c>
      <c r="I82" s="12" t="s">
        <v>482</v>
      </c>
      <c r="J82" s="293">
        <v>3302</v>
      </c>
      <c r="K82" s="294">
        <v>1</v>
      </c>
      <c r="L82" s="207">
        <v>75000</v>
      </c>
      <c r="M82" s="295">
        <f t="shared" si="6"/>
        <v>0.24765000000000001</v>
      </c>
      <c r="N82" s="296">
        <v>10</v>
      </c>
      <c r="O82" s="209">
        <v>550000</v>
      </c>
      <c r="P82" s="293">
        <v>5500000</v>
      </c>
      <c r="Q82" s="209">
        <v>2000</v>
      </c>
      <c r="R82" s="293">
        <v>30000</v>
      </c>
      <c r="S82" s="293">
        <v>221000</v>
      </c>
      <c r="T82" s="297">
        <f t="shared" si="7"/>
        <v>0.729742</v>
      </c>
      <c r="U82" s="313">
        <f t="shared" si="8"/>
        <v>33.936651583710407</v>
      </c>
      <c r="V82" s="299">
        <f>IF('Prepare Gantt Chart'!G81=2,'Prepare Gantt Chart'!H81,9999)</f>
        <v>9999</v>
      </c>
      <c r="W82" s="300">
        <f t="shared" si="9"/>
        <v>2050</v>
      </c>
      <c r="X82" s="301"/>
      <c r="Y82" s="344" t="s">
        <v>93</v>
      </c>
      <c r="Z82" s="315">
        <v>200</v>
      </c>
      <c r="AA82" s="316"/>
      <c r="AB82" s="324" t="s">
        <v>68</v>
      </c>
      <c r="AC82" s="318">
        <v>100000</v>
      </c>
      <c r="AD82" s="316"/>
      <c r="AE82" s="327" t="s">
        <v>86</v>
      </c>
      <c r="AF82" s="320">
        <v>0.80428954423592491</v>
      </c>
      <c r="AG82" s="301"/>
    </row>
    <row r="83" spans="2:33" ht="15" thickBot="1" x14ac:dyDescent="0.2">
      <c r="B83" s="287">
        <v>78</v>
      </c>
      <c r="C83" s="389">
        <v>7</v>
      </c>
      <c r="D83" s="310" t="s">
        <v>456</v>
      </c>
      <c r="E83" s="390" t="s">
        <v>75</v>
      </c>
      <c r="F83" s="312" t="s">
        <v>154</v>
      </c>
      <c r="G83" s="12" t="s">
        <v>464</v>
      </c>
      <c r="H83" s="350" t="s">
        <v>463</v>
      </c>
      <c r="I83" s="12" t="s">
        <v>483</v>
      </c>
      <c r="J83" s="293">
        <v>591740</v>
      </c>
      <c r="K83" s="294">
        <v>1</v>
      </c>
      <c r="L83" s="207">
        <v>5000</v>
      </c>
      <c r="M83" s="295">
        <f t="shared" si="6"/>
        <v>2.9586999999999999</v>
      </c>
      <c r="N83" s="296">
        <v>1</v>
      </c>
      <c r="O83" s="209">
        <v>60</v>
      </c>
      <c r="P83" s="293">
        <v>60</v>
      </c>
      <c r="Q83" s="209">
        <v>40</v>
      </c>
      <c r="R83" s="293">
        <v>1000</v>
      </c>
      <c r="S83" s="293">
        <v>40</v>
      </c>
      <c r="T83" s="297">
        <f t="shared" si="7"/>
        <v>2.3669599999999999E-2</v>
      </c>
      <c r="U83" s="313">
        <f t="shared" si="8"/>
        <v>12500</v>
      </c>
      <c r="V83" s="299">
        <f>IF('Prepare Gantt Chart'!G82=2,'Prepare Gantt Chart'!H82,9999)</f>
        <v>9999</v>
      </c>
      <c r="W83" s="300">
        <f t="shared" si="9"/>
        <v>2050</v>
      </c>
      <c r="X83" s="301"/>
      <c r="Y83" s="366" t="s">
        <v>50</v>
      </c>
      <c r="Z83" s="315">
        <v>190</v>
      </c>
      <c r="AA83" s="316"/>
      <c r="AB83" s="328" t="s">
        <v>419</v>
      </c>
      <c r="AC83" s="318">
        <v>102000</v>
      </c>
      <c r="AD83" s="316"/>
      <c r="AE83" s="326" t="s">
        <v>52</v>
      </c>
      <c r="AF83" s="320">
        <v>0.75</v>
      </c>
      <c r="AG83" s="301"/>
    </row>
    <row r="84" spans="2:33" ht="15" thickBot="1" x14ac:dyDescent="0.2">
      <c r="B84" s="287">
        <v>79</v>
      </c>
      <c r="C84" s="389">
        <v>7</v>
      </c>
      <c r="D84" s="310" t="s">
        <v>456</v>
      </c>
      <c r="E84" s="390" t="s">
        <v>76</v>
      </c>
      <c r="F84" s="312" t="s">
        <v>155</v>
      </c>
      <c r="G84" s="12" t="s">
        <v>464</v>
      </c>
      <c r="H84" s="350" t="s">
        <v>463</v>
      </c>
      <c r="I84" s="12" t="s">
        <v>482</v>
      </c>
      <c r="J84" s="293">
        <v>967814</v>
      </c>
      <c r="K84" s="294">
        <v>1</v>
      </c>
      <c r="L84" s="207">
        <v>1000</v>
      </c>
      <c r="M84" s="295">
        <f t="shared" si="6"/>
        <v>0.96781399999999995</v>
      </c>
      <c r="N84" s="296">
        <v>1</v>
      </c>
      <c r="O84" s="209">
        <v>60</v>
      </c>
      <c r="P84" s="293">
        <v>60</v>
      </c>
      <c r="Q84" s="209">
        <v>40</v>
      </c>
      <c r="R84" s="293">
        <v>1000</v>
      </c>
      <c r="S84" s="293">
        <v>40</v>
      </c>
      <c r="T84" s="297">
        <f t="shared" si="7"/>
        <v>3.871256E-2</v>
      </c>
      <c r="U84" s="313">
        <f t="shared" si="8"/>
        <v>2500</v>
      </c>
      <c r="V84" s="299">
        <f>IF('Prepare Gantt Chart'!G83=2,'Prepare Gantt Chart'!H83,9999)</f>
        <v>9999</v>
      </c>
      <c r="W84" s="300">
        <f t="shared" si="9"/>
        <v>2050</v>
      </c>
      <c r="X84" s="301"/>
      <c r="Y84" s="383" t="s">
        <v>39</v>
      </c>
      <c r="Z84" s="315">
        <v>170</v>
      </c>
      <c r="AA84" s="316"/>
      <c r="AB84" s="323" t="s">
        <v>38</v>
      </c>
      <c r="AC84" s="318">
        <v>103000</v>
      </c>
      <c r="AD84" s="316"/>
      <c r="AE84" s="317" t="s">
        <v>21</v>
      </c>
      <c r="AF84" s="320">
        <v>0.7142857142857143</v>
      </c>
      <c r="AG84" s="301"/>
    </row>
    <row r="85" spans="2:33" ht="15" thickBot="1" x14ac:dyDescent="0.2">
      <c r="B85" s="287">
        <v>80</v>
      </c>
      <c r="C85" s="389">
        <v>7</v>
      </c>
      <c r="D85" s="310" t="s">
        <v>456</v>
      </c>
      <c r="E85" s="390" t="s">
        <v>77</v>
      </c>
      <c r="F85" s="312" t="s">
        <v>156</v>
      </c>
      <c r="G85" s="12" t="s">
        <v>464</v>
      </c>
      <c r="H85" s="350" t="s">
        <v>463</v>
      </c>
      <c r="I85" s="12" t="s">
        <v>483</v>
      </c>
      <c r="J85" s="293">
        <v>967814</v>
      </c>
      <c r="K85" s="294">
        <v>1</v>
      </c>
      <c r="L85" s="207">
        <v>500</v>
      </c>
      <c r="M85" s="295">
        <f t="shared" si="6"/>
        <v>0.48390699999999998</v>
      </c>
      <c r="N85" s="296">
        <v>1</v>
      </c>
      <c r="O85" s="209">
        <v>60</v>
      </c>
      <c r="P85" s="293">
        <v>60</v>
      </c>
      <c r="Q85" s="209">
        <v>40</v>
      </c>
      <c r="R85" s="293">
        <v>1000</v>
      </c>
      <c r="S85" s="293">
        <v>40</v>
      </c>
      <c r="T85" s="297">
        <f t="shared" si="7"/>
        <v>3.871256E-2</v>
      </c>
      <c r="U85" s="313">
        <f t="shared" si="8"/>
        <v>1250</v>
      </c>
      <c r="V85" s="299">
        <f>IF('Prepare Gantt Chart'!G84=2,'Prepare Gantt Chart'!H84,9999)</f>
        <v>9999</v>
      </c>
      <c r="W85" s="300">
        <f t="shared" si="9"/>
        <v>2050</v>
      </c>
      <c r="X85" s="301"/>
      <c r="Y85" s="383" t="s">
        <v>37</v>
      </c>
      <c r="Z85" s="315">
        <v>150</v>
      </c>
      <c r="AA85" s="316"/>
      <c r="AB85" s="349" t="s">
        <v>7</v>
      </c>
      <c r="AC85" s="318">
        <v>110000</v>
      </c>
      <c r="AD85" s="316"/>
      <c r="AE85" s="349" t="s">
        <v>8</v>
      </c>
      <c r="AF85" s="320">
        <v>0.70422535211267612</v>
      </c>
      <c r="AG85" s="301"/>
    </row>
    <row r="86" spans="2:33" ht="15" thickBot="1" x14ac:dyDescent="0.2">
      <c r="B86" s="330">
        <v>81</v>
      </c>
      <c r="C86" s="391">
        <v>7</v>
      </c>
      <c r="D86" s="332" t="s">
        <v>456</v>
      </c>
      <c r="E86" s="392" t="s">
        <v>78</v>
      </c>
      <c r="F86" s="334" t="s">
        <v>118</v>
      </c>
      <c r="G86" s="335" t="s">
        <v>466</v>
      </c>
      <c r="H86" s="336" t="s">
        <v>461</v>
      </c>
      <c r="I86" s="335" t="s">
        <v>482</v>
      </c>
      <c r="J86" s="337">
        <v>8949029</v>
      </c>
      <c r="K86" s="338">
        <v>1</v>
      </c>
      <c r="L86" s="208">
        <v>100</v>
      </c>
      <c r="M86" s="339">
        <f t="shared" si="6"/>
        <v>0.89490289999999995</v>
      </c>
      <c r="N86" s="340">
        <v>1</v>
      </c>
      <c r="O86" s="210">
        <v>60</v>
      </c>
      <c r="P86" s="337">
        <v>60</v>
      </c>
      <c r="Q86" s="210">
        <v>40</v>
      </c>
      <c r="R86" s="337">
        <v>1000</v>
      </c>
      <c r="S86" s="337">
        <v>40</v>
      </c>
      <c r="T86" s="341">
        <f t="shared" si="7"/>
        <v>0.35796116</v>
      </c>
      <c r="U86" s="342">
        <f t="shared" si="8"/>
        <v>250</v>
      </c>
      <c r="V86" s="336">
        <f>IF('Prepare Gantt Chart'!G85=2,'Prepare Gantt Chart'!H85,9999)</f>
        <v>9999</v>
      </c>
      <c r="W86" s="343">
        <f t="shared" si="9"/>
        <v>2050</v>
      </c>
      <c r="X86" s="301"/>
      <c r="Y86" s="383" t="s">
        <v>44</v>
      </c>
      <c r="Z86" s="315">
        <v>130</v>
      </c>
      <c r="AA86" s="316"/>
      <c r="AB86" s="326" t="s">
        <v>54</v>
      </c>
      <c r="AC86" s="318">
        <v>116000</v>
      </c>
      <c r="AD86" s="316"/>
      <c r="AE86" s="317" t="s">
        <v>18</v>
      </c>
      <c r="AF86" s="320">
        <v>0.66666666666666674</v>
      </c>
      <c r="AG86" s="301"/>
    </row>
    <row r="87" spans="2:33" ht="15" thickBot="1" x14ac:dyDescent="0.2">
      <c r="B87" s="287">
        <v>82</v>
      </c>
      <c r="C87" s="393">
        <v>8</v>
      </c>
      <c r="D87" s="289" t="s">
        <v>457</v>
      </c>
      <c r="E87" s="394" t="s">
        <v>79</v>
      </c>
      <c r="F87" s="312" t="s">
        <v>471</v>
      </c>
      <c r="G87" s="12" t="s">
        <v>464</v>
      </c>
      <c r="H87" s="350" t="s">
        <v>462</v>
      </c>
      <c r="I87" s="12" t="s">
        <v>483</v>
      </c>
      <c r="J87" s="293">
        <v>111</v>
      </c>
      <c r="K87" s="294">
        <v>1</v>
      </c>
      <c r="L87" s="207">
        <v>1000</v>
      </c>
      <c r="M87" s="295">
        <f t="shared" si="6"/>
        <v>1.11E-4</v>
      </c>
      <c r="N87" s="296">
        <v>10</v>
      </c>
      <c r="O87" s="209">
        <v>55000</v>
      </c>
      <c r="P87" s="293">
        <v>550000</v>
      </c>
      <c r="Q87" s="209">
        <v>25000</v>
      </c>
      <c r="R87" s="293">
        <v>375000</v>
      </c>
      <c r="S87" s="293">
        <v>37000</v>
      </c>
      <c r="T87" s="297">
        <f t="shared" si="7"/>
        <v>4.1070000000000004E-3</v>
      </c>
      <c r="U87" s="313">
        <f t="shared" si="8"/>
        <v>2.7027027027027026</v>
      </c>
      <c r="V87" s="299">
        <f>IF('Prepare Gantt Chart'!G86=2,'Prepare Gantt Chart'!H86,9999)</f>
        <v>9999</v>
      </c>
      <c r="W87" s="300">
        <f t="shared" si="9"/>
        <v>2050</v>
      </c>
      <c r="X87" s="301"/>
      <c r="Y87" s="367" t="s">
        <v>7</v>
      </c>
      <c r="Z87" s="315">
        <v>100</v>
      </c>
      <c r="AA87" s="316"/>
      <c r="AB87" s="327" t="s">
        <v>83</v>
      </c>
      <c r="AC87" s="318">
        <v>117000</v>
      </c>
      <c r="AD87" s="316"/>
      <c r="AE87" s="328" t="s">
        <v>109</v>
      </c>
      <c r="AF87" s="320">
        <v>0.61728395061728392</v>
      </c>
      <c r="AG87" s="301"/>
    </row>
    <row r="88" spans="2:33" ht="15" thickBot="1" x14ac:dyDescent="0.2">
      <c r="B88" s="287">
        <v>83</v>
      </c>
      <c r="C88" s="395">
        <v>8</v>
      </c>
      <c r="D88" s="310" t="s">
        <v>457</v>
      </c>
      <c r="E88" s="396" t="s">
        <v>80</v>
      </c>
      <c r="F88" s="312" t="s">
        <v>472</v>
      </c>
      <c r="G88" s="12" t="s">
        <v>464</v>
      </c>
      <c r="H88" s="350" t="s">
        <v>462</v>
      </c>
      <c r="I88" s="12" t="s">
        <v>483</v>
      </c>
      <c r="J88" s="293">
        <v>556</v>
      </c>
      <c r="K88" s="294">
        <v>1</v>
      </c>
      <c r="L88" s="207">
        <v>10000</v>
      </c>
      <c r="M88" s="295">
        <f t="shared" si="6"/>
        <v>5.5599999999999998E-3</v>
      </c>
      <c r="N88" s="296">
        <v>10</v>
      </c>
      <c r="O88" s="209">
        <v>275000</v>
      </c>
      <c r="P88" s="293">
        <v>2750000</v>
      </c>
      <c r="Q88" s="209">
        <v>127000</v>
      </c>
      <c r="R88" s="293">
        <v>1905000</v>
      </c>
      <c r="S88" s="293">
        <v>186000</v>
      </c>
      <c r="T88" s="297">
        <f t="shared" si="7"/>
        <v>0.10341599999999999</v>
      </c>
      <c r="U88" s="313">
        <f t="shared" si="8"/>
        <v>5.376344086021505</v>
      </c>
      <c r="V88" s="299">
        <f>IF('Prepare Gantt Chart'!G87=2,'Prepare Gantt Chart'!H87,9999)</f>
        <v>9999</v>
      </c>
      <c r="W88" s="300">
        <f t="shared" si="9"/>
        <v>2050</v>
      </c>
      <c r="X88" s="301"/>
      <c r="Y88" s="367" t="s">
        <v>11</v>
      </c>
      <c r="Z88" s="315">
        <v>100</v>
      </c>
      <c r="AA88" s="316"/>
      <c r="AB88" s="323" t="s">
        <v>41</v>
      </c>
      <c r="AC88" s="318">
        <v>134000</v>
      </c>
      <c r="AD88" s="316"/>
      <c r="AE88" s="323" t="s">
        <v>42</v>
      </c>
      <c r="AF88" s="320">
        <v>0.54054054054054057</v>
      </c>
      <c r="AG88" s="301"/>
    </row>
    <row r="89" spans="2:33" ht="15" thickBot="1" x14ac:dyDescent="0.2">
      <c r="B89" s="287">
        <v>84</v>
      </c>
      <c r="C89" s="395">
        <v>8</v>
      </c>
      <c r="D89" s="310" t="s">
        <v>457</v>
      </c>
      <c r="E89" s="396" t="s">
        <v>81</v>
      </c>
      <c r="F89" s="312" t="s">
        <v>473</v>
      </c>
      <c r="G89" s="12" t="s">
        <v>464</v>
      </c>
      <c r="H89" s="350" t="s">
        <v>462</v>
      </c>
      <c r="I89" s="12" t="s">
        <v>483</v>
      </c>
      <c r="J89" s="293">
        <v>1599</v>
      </c>
      <c r="K89" s="294">
        <v>1</v>
      </c>
      <c r="L89" s="207">
        <v>15000</v>
      </c>
      <c r="M89" s="295">
        <f t="shared" si="6"/>
        <v>2.3984999999999999E-2</v>
      </c>
      <c r="N89" s="296">
        <v>10</v>
      </c>
      <c r="O89" s="209">
        <v>550000</v>
      </c>
      <c r="P89" s="293">
        <v>5500000</v>
      </c>
      <c r="Q89" s="209">
        <v>250000</v>
      </c>
      <c r="R89" s="293">
        <v>3750000</v>
      </c>
      <c r="S89" s="293">
        <v>370000</v>
      </c>
      <c r="T89" s="297">
        <f t="shared" si="7"/>
        <v>0.59162999999999999</v>
      </c>
      <c r="U89" s="313">
        <f t="shared" si="8"/>
        <v>4.0540540540540544</v>
      </c>
      <c r="V89" s="299">
        <f>IF('Prepare Gantt Chart'!G88=2,'Prepare Gantt Chart'!H88,9999)</f>
        <v>9999</v>
      </c>
      <c r="W89" s="300">
        <f t="shared" si="9"/>
        <v>2050</v>
      </c>
      <c r="X89" s="301"/>
      <c r="Y89" s="357" t="s">
        <v>18</v>
      </c>
      <c r="Z89" s="315">
        <v>100</v>
      </c>
      <c r="AA89" s="316"/>
      <c r="AB89" s="328" t="s">
        <v>101</v>
      </c>
      <c r="AC89" s="318">
        <v>138000</v>
      </c>
      <c r="AD89" s="316"/>
      <c r="AE89" s="317" t="s">
        <v>22</v>
      </c>
      <c r="AF89" s="320">
        <v>0.47619047619047622</v>
      </c>
      <c r="AG89" s="301"/>
    </row>
    <row r="90" spans="2:33" ht="15" thickBot="1" x14ac:dyDescent="0.2">
      <c r="B90" s="287">
        <v>85</v>
      </c>
      <c r="C90" s="395">
        <v>8</v>
      </c>
      <c r="D90" s="310" t="s">
        <v>457</v>
      </c>
      <c r="E90" s="396" t="s">
        <v>82</v>
      </c>
      <c r="F90" s="312" t="s">
        <v>474</v>
      </c>
      <c r="G90" s="12" t="s">
        <v>464</v>
      </c>
      <c r="H90" s="350" t="s">
        <v>462</v>
      </c>
      <c r="I90" s="12" t="s">
        <v>483</v>
      </c>
      <c r="J90" s="293">
        <v>240</v>
      </c>
      <c r="K90" s="294">
        <v>1</v>
      </c>
      <c r="L90" s="207">
        <v>6000</v>
      </c>
      <c r="M90" s="295">
        <f t="shared" si="6"/>
        <v>1.4400000000000001E-3</v>
      </c>
      <c r="N90" s="296">
        <v>10</v>
      </c>
      <c r="O90" s="209">
        <v>55000</v>
      </c>
      <c r="P90" s="293">
        <v>550000</v>
      </c>
      <c r="Q90" s="209">
        <v>25000</v>
      </c>
      <c r="R90" s="293">
        <v>375000</v>
      </c>
      <c r="S90" s="293">
        <v>37000</v>
      </c>
      <c r="T90" s="297">
        <f t="shared" si="7"/>
        <v>8.8800000000000007E-3</v>
      </c>
      <c r="U90" s="313">
        <f t="shared" si="8"/>
        <v>16.216216216216218</v>
      </c>
      <c r="V90" s="299">
        <f>IF('Prepare Gantt Chart'!G89=2,'Prepare Gantt Chart'!H89,9999)</f>
        <v>9999</v>
      </c>
      <c r="W90" s="300">
        <f t="shared" si="9"/>
        <v>2050</v>
      </c>
      <c r="X90" s="301"/>
      <c r="Y90" s="384" t="s">
        <v>33</v>
      </c>
      <c r="Z90" s="315">
        <v>100</v>
      </c>
      <c r="AA90" s="316"/>
      <c r="AB90" s="324" t="s">
        <v>71</v>
      </c>
      <c r="AC90" s="318">
        <v>140000</v>
      </c>
      <c r="AD90" s="316"/>
      <c r="AE90" s="326" t="s">
        <v>51</v>
      </c>
      <c r="AF90" s="320">
        <v>0.45454545454545453</v>
      </c>
      <c r="AG90" s="301"/>
    </row>
    <row r="91" spans="2:33" ht="15" thickBot="1" x14ac:dyDescent="0.2">
      <c r="B91" s="287">
        <v>86</v>
      </c>
      <c r="C91" s="395">
        <v>8</v>
      </c>
      <c r="D91" s="310" t="s">
        <v>457</v>
      </c>
      <c r="E91" s="396" t="s">
        <v>83</v>
      </c>
      <c r="F91" s="312" t="s">
        <v>475</v>
      </c>
      <c r="G91" s="12" t="s">
        <v>464</v>
      </c>
      <c r="H91" s="350" t="s">
        <v>462</v>
      </c>
      <c r="I91" s="12" t="s">
        <v>483</v>
      </c>
      <c r="J91" s="293">
        <v>443</v>
      </c>
      <c r="K91" s="294">
        <v>1</v>
      </c>
      <c r="L91" s="207">
        <v>5000</v>
      </c>
      <c r="M91" s="295">
        <f t="shared" si="6"/>
        <v>2.215E-3</v>
      </c>
      <c r="N91" s="296">
        <v>10</v>
      </c>
      <c r="O91" s="209">
        <v>275000</v>
      </c>
      <c r="P91" s="293">
        <v>2750000</v>
      </c>
      <c r="Q91" s="209">
        <v>12000</v>
      </c>
      <c r="R91" s="293">
        <v>180000</v>
      </c>
      <c r="S91" s="293">
        <v>117000</v>
      </c>
      <c r="T91" s="297">
        <f t="shared" si="7"/>
        <v>5.1831000000000002E-2</v>
      </c>
      <c r="U91" s="313">
        <f t="shared" si="8"/>
        <v>4.2735042735042734</v>
      </c>
      <c r="V91" s="299">
        <f>IF('Prepare Gantt Chart'!G90=2,'Prepare Gantt Chart'!H90,9999)</f>
        <v>9999</v>
      </c>
      <c r="W91" s="300">
        <f t="shared" si="9"/>
        <v>2050</v>
      </c>
      <c r="X91" s="301"/>
      <c r="Y91" s="383" t="s">
        <v>35</v>
      </c>
      <c r="Z91" s="315">
        <v>100</v>
      </c>
      <c r="AA91" s="316"/>
      <c r="AB91" s="349" t="s">
        <v>8</v>
      </c>
      <c r="AC91" s="318">
        <v>142000</v>
      </c>
      <c r="AD91" s="316"/>
      <c r="AE91" s="323" t="s">
        <v>43</v>
      </c>
      <c r="AF91" s="320">
        <v>0.43478260869565216</v>
      </c>
      <c r="AG91" s="301"/>
    </row>
    <row r="92" spans="2:33" ht="15" thickBot="1" x14ac:dyDescent="0.2">
      <c r="B92" s="287">
        <v>87</v>
      </c>
      <c r="C92" s="395">
        <v>8</v>
      </c>
      <c r="D92" s="310" t="s">
        <v>457</v>
      </c>
      <c r="E92" s="396" t="s">
        <v>84</v>
      </c>
      <c r="F92" s="312" t="s">
        <v>476</v>
      </c>
      <c r="G92" s="12" t="s">
        <v>464</v>
      </c>
      <c r="H92" s="350" t="s">
        <v>462</v>
      </c>
      <c r="I92" s="12" t="s">
        <v>483</v>
      </c>
      <c r="J92" s="293">
        <v>276</v>
      </c>
      <c r="K92" s="294">
        <v>1</v>
      </c>
      <c r="L92" s="207">
        <v>3000</v>
      </c>
      <c r="M92" s="295">
        <f t="shared" si="6"/>
        <v>8.2799999999999996E-4</v>
      </c>
      <c r="N92" s="296">
        <v>10</v>
      </c>
      <c r="O92" s="209">
        <v>270000</v>
      </c>
      <c r="P92" s="293">
        <v>2700000</v>
      </c>
      <c r="Q92" s="209">
        <v>127000</v>
      </c>
      <c r="R92" s="293">
        <v>1905000</v>
      </c>
      <c r="S92" s="293">
        <v>184000</v>
      </c>
      <c r="T92" s="297">
        <f t="shared" si="7"/>
        <v>5.0784000000000003E-2</v>
      </c>
      <c r="U92" s="313">
        <f t="shared" si="8"/>
        <v>1.6304347826086956</v>
      </c>
      <c r="V92" s="299">
        <f>IF('Prepare Gantt Chart'!G91=2,'Prepare Gantt Chart'!H91,9999)</f>
        <v>9999</v>
      </c>
      <c r="W92" s="300">
        <f t="shared" si="9"/>
        <v>2050</v>
      </c>
      <c r="X92" s="301"/>
      <c r="Y92" s="383" t="s">
        <v>36</v>
      </c>
      <c r="Z92" s="315">
        <v>100</v>
      </c>
      <c r="AA92" s="316"/>
      <c r="AB92" s="324" t="s">
        <v>69</v>
      </c>
      <c r="AC92" s="318">
        <v>160000</v>
      </c>
      <c r="AD92" s="316"/>
      <c r="AE92" s="328" t="s">
        <v>104</v>
      </c>
      <c r="AF92" s="320">
        <v>0.40816326530612246</v>
      </c>
      <c r="AG92" s="301"/>
    </row>
    <row r="93" spans="2:33" ht="15" thickBot="1" x14ac:dyDescent="0.2">
      <c r="B93" s="287">
        <v>88</v>
      </c>
      <c r="C93" s="395">
        <v>8</v>
      </c>
      <c r="D93" s="310" t="s">
        <v>457</v>
      </c>
      <c r="E93" s="396" t="s">
        <v>85</v>
      </c>
      <c r="F93" s="312" t="s">
        <v>477</v>
      </c>
      <c r="G93" s="12" t="s">
        <v>464</v>
      </c>
      <c r="H93" s="350" t="s">
        <v>462</v>
      </c>
      <c r="I93" s="12" t="s">
        <v>483</v>
      </c>
      <c r="J93" s="293">
        <v>78</v>
      </c>
      <c r="K93" s="294">
        <v>1</v>
      </c>
      <c r="L93" s="207">
        <v>3000</v>
      </c>
      <c r="M93" s="295">
        <f t="shared" si="6"/>
        <v>2.34E-4</v>
      </c>
      <c r="N93" s="296">
        <v>10</v>
      </c>
      <c r="O93" s="209">
        <v>275000</v>
      </c>
      <c r="P93" s="293">
        <v>2750000</v>
      </c>
      <c r="Q93" s="209">
        <v>127000</v>
      </c>
      <c r="R93" s="293">
        <v>1905000</v>
      </c>
      <c r="S93" s="293">
        <v>186000</v>
      </c>
      <c r="T93" s="297">
        <f t="shared" si="7"/>
        <v>1.4508E-2</v>
      </c>
      <c r="U93" s="313">
        <f t="shared" si="8"/>
        <v>1.6129032258064515</v>
      </c>
      <c r="V93" s="299">
        <f>IF('Prepare Gantt Chart'!G92=2,'Prepare Gantt Chart'!H92,9999)</f>
        <v>9999</v>
      </c>
      <c r="W93" s="300">
        <f t="shared" si="9"/>
        <v>2050</v>
      </c>
      <c r="X93" s="301"/>
      <c r="Y93" s="383" t="s">
        <v>43</v>
      </c>
      <c r="Z93" s="315">
        <v>100</v>
      </c>
      <c r="AA93" s="316"/>
      <c r="AB93" s="324" t="s">
        <v>70</v>
      </c>
      <c r="AC93" s="318">
        <v>160000</v>
      </c>
      <c r="AD93" s="316"/>
      <c r="AE93" s="349" t="s">
        <v>15</v>
      </c>
      <c r="AF93" s="320">
        <v>0.4</v>
      </c>
      <c r="AG93" s="301"/>
    </row>
    <row r="94" spans="2:33" ht="15" thickBot="1" x14ac:dyDescent="0.2">
      <c r="B94" s="287">
        <v>89</v>
      </c>
      <c r="C94" s="395">
        <v>8</v>
      </c>
      <c r="D94" s="310" t="s">
        <v>457</v>
      </c>
      <c r="E94" s="396" t="s">
        <v>86</v>
      </c>
      <c r="F94" s="312" t="s">
        <v>478</v>
      </c>
      <c r="G94" s="12" t="s">
        <v>464</v>
      </c>
      <c r="H94" s="350" t="s">
        <v>462</v>
      </c>
      <c r="I94" s="12" t="s">
        <v>483</v>
      </c>
      <c r="J94" s="293">
        <v>80</v>
      </c>
      <c r="K94" s="294">
        <v>1</v>
      </c>
      <c r="L94" s="207">
        <v>3000</v>
      </c>
      <c r="M94" s="295">
        <f t="shared" si="6"/>
        <v>2.4000000000000001E-4</v>
      </c>
      <c r="N94" s="296">
        <v>10</v>
      </c>
      <c r="O94" s="209">
        <v>550000</v>
      </c>
      <c r="P94" s="293">
        <v>5500000</v>
      </c>
      <c r="Q94" s="209">
        <v>255000</v>
      </c>
      <c r="R94" s="293">
        <v>3825000</v>
      </c>
      <c r="S94" s="293">
        <v>373000</v>
      </c>
      <c r="T94" s="297">
        <f t="shared" si="7"/>
        <v>2.9839999999999998E-2</v>
      </c>
      <c r="U94" s="313">
        <f t="shared" si="8"/>
        <v>0.80428954423592491</v>
      </c>
      <c r="V94" s="299">
        <f>IF('Prepare Gantt Chart'!G93=2,'Prepare Gantt Chart'!H93,9999)</f>
        <v>9999</v>
      </c>
      <c r="W94" s="300">
        <f t="shared" si="9"/>
        <v>2050</v>
      </c>
      <c r="X94" s="301"/>
      <c r="Y94" s="383" t="s">
        <v>45</v>
      </c>
      <c r="Z94" s="315">
        <v>100</v>
      </c>
      <c r="AA94" s="316"/>
      <c r="AB94" s="328" t="s">
        <v>108</v>
      </c>
      <c r="AC94" s="318">
        <v>160000</v>
      </c>
      <c r="AD94" s="316"/>
      <c r="AE94" s="323" t="s">
        <v>41</v>
      </c>
      <c r="AF94" s="320">
        <v>0.37313432835820892</v>
      </c>
      <c r="AG94" s="301"/>
    </row>
    <row r="95" spans="2:33" ht="15" thickBot="1" x14ac:dyDescent="0.2">
      <c r="B95" s="287">
        <v>90</v>
      </c>
      <c r="C95" s="395">
        <v>8</v>
      </c>
      <c r="D95" s="310" t="s">
        <v>457</v>
      </c>
      <c r="E95" s="396" t="s">
        <v>87</v>
      </c>
      <c r="F95" s="312" t="s">
        <v>479</v>
      </c>
      <c r="G95" s="12" t="s">
        <v>464</v>
      </c>
      <c r="H95" s="350" t="s">
        <v>462</v>
      </c>
      <c r="I95" s="12" t="s">
        <v>483</v>
      </c>
      <c r="J95" s="293">
        <v>245</v>
      </c>
      <c r="K95" s="294">
        <v>1</v>
      </c>
      <c r="L95" s="207">
        <v>1000</v>
      </c>
      <c r="M95" s="295">
        <f t="shared" si="6"/>
        <v>2.4499999999999999E-4</v>
      </c>
      <c r="N95" s="296">
        <v>10</v>
      </c>
      <c r="O95" s="209">
        <v>50000</v>
      </c>
      <c r="P95" s="293">
        <v>500000</v>
      </c>
      <c r="Q95" s="209">
        <v>25000</v>
      </c>
      <c r="R95" s="293">
        <v>375000</v>
      </c>
      <c r="S95" s="293">
        <v>35000</v>
      </c>
      <c r="T95" s="297">
        <f t="shared" si="7"/>
        <v>8.5749999999999993E-3</v>
      </c>
      <c r="U95" s="313">
        <f t="shared" si="8"/>
        <v>2.8571428571428572</v>
      </c>
      <c r="V95" s="299">
        <f>IF('Prepare Gantt Chart'!G94=2,'Prepare Gantt Chart'!H94,9999)</f>
        <v>9999</v>
      </c>
      <c r="W95" s="300">
        <f t="shared" si="9"/>
        <v>2050</v>
      </c>
      <c r="X95" s="301"/>
      <c r="Y95" s="383" t="s">
        <v>401</v>
      </c>
      <c r="Z95" s="315">
        <v>100</v>
      </c>
      <c r="AA95" s="316"/>
      <c r="AB95" s="328" t="s">
        <v>109</v>
      </c>
      <c r="AC95" s="318">
        <v>162000</v>
      </c>
      <c r="AD95" s="316"/>
      <c r="AE95" s="317" t="s">
        <v>17</v>
      </c>
      <c r="AF95" s="320">
        <v>0.33333333333333337</v>
      </c>
      <c r="AG95" s="301"/>
    </row>
    <row r="96" spans="2:33" ht="15" thickBot="1" x14ac:dyDescent="0.2">
      <c r="B96" s="287">
        <v>91</v>
      </c>
      <c r="C96" s="395">
        <v>8</v>
      </c>
      <c r="D96" s="310" t="s">
        <v>457</v>
      </c>
      <c r="E96" s="396" t="s">
        <v>88</v>
      </c>
      <c r="F96" s="312" t="s">
        <v>480</v>
      </c>
      <c r="G96" s="12" t="s">
        <v>464</v>
      </c>
      <c r="H96" s="350" t="s">
        <v>462</v>
      </c>
      <c r="I96" s="12" t="s">
        <v>483</v>
      </c>
      <c r="J96" s="293">
        <v>2955</v>
      </c>
      <c r="K96" s="294">
        <v>1</v>
      </c>
      <c r="L96" s="207">
        <v>1000</v>
      </c>
      <c r="M96" s="295">
        <f t="shared" si="6"/>
        <v>2.9550000000000002E-3</v>
      </c>
      <c r="N96" s="296">
        <v>10</v>
      </c>
      <c r="O96" s="209">
        <v>55000</v>
      </c>
      <c r="P96" s="293">
        <v>550000</v>
      </c>
      <c r="Q96" s="209">
        <v>25000</v>
      </c>
      <c r="R96" s="293">
        <v>375000</v>
      </c>
      <c r="S96" s="293">
        <v>37000</v>
      </c>
      <c r="T96" s="297">
        <f t="shared" si="7"/>
        <v>0.109335</v>
      </c>
      <c r="U96" s="313">
        <f t="shared" si="8"/>
        <v>2.7027027027027026</v>
      </c>
      <c r="V96" s="299">
        <f>IF('Prepare Gantt Chart'!G95=2,'Prepare Gantt Chart'!H95,9999)</f>
        <v>9999</v>
      </c>
      <c r="W96" s="300">
        <f t="shared" si="9"/>
        <v>2050</v>
      </c>
      <c r="X96" s="301"/>
      <c r="Y96" s="383" t="s">
        <v>402</v>
      </c>
      <c r="Z96" s="315">
        <v>100</v>
      </c>
      <c r="AA96" s="316"/>
      <c r="AB96" s="319" t="s">
        <v>59</v>
      </c>
      <c r="AC96" s="318">
        <v>168000</v>
      </c>
      <c r="AD96" s="316"/>
      <c r="AE96" s="326" t="s">
        <v>49</v>
      </c>
      <c r="AF96" s="320">
        <v>0.33333333333333337</v>
      </c>
      <c r="AG96" s="301"/>
    </row>
    <row r="97" spans="2:33" ht="15" thickBot="1" x14ac:dyDescent="0.2">
      <c r="B97" s="287">
        <v>92</v>
      </c>
      <c r="C97" s="395">
        <v>8</v>
      </c>
      <c r="D97" s="310" t="s">
        <v>457</v>
      </c>
      <c r="E97" s="396" t="s">
        <v>89</v>
      </c>
      <c r="F97" s="312" t="s">
        <v>157</v>
      </c>
      <c r="G97" s="12" t="s">
        <v>464</v>
      </c>
      <c r="H97" s="350" t="s">
        <v>462</v>
      </c>
      <c r="I97" s="12" t="s">
        <v>482</v>
      </c>
      <c r="J97" s="293">
        <v>788</v>
      </c>
      <c r="K97" s="294">
        <v>1</v>
      </c>
      <c r="L97" s="207">
        <v>500</v>
      </c>
      <c r="M97" s="295">
        <f t="shared" si="6"/>
        <v>3.9399999999999998E-4</v>
      </c>
      <c r="N97" s="296">
        <v>10</v>
      </c>
      <c r="O97" s="209">
        <v>5000</v>
      </c>
      <c r="P97" s="293">
        <v>50000</v>
      </c>
      <c r="Q97" s="209">
        <v>55000</v>
      </c>
      <c r="R97" s="293">
        <v>825000</v>
      </c>
      <c r="S97" s="293">
        <v>35000</v>
      </c>
      <c r="T97" s="297">
        <f t="shared" si="7"/>
        <v>2.758E-2</v>
      </c>
      <c r="U97" s="313">
        <f t="shared" si="8"/>
        <v>1.4285714285714286</v>
      </c>
      <c r="V97" s="299">
        <f>IF('Prepare Gantt Chart'!G96=2,'Prepare Gantt Chart'!H96,9999)</f>
        <v>9999</v>
      </c>
      <c r="W97" s="300">
        <f t="shared" si="9"/>
        <v>2050</v>
      </c>
      <c r="X97" s="301"/>
      <c r="Y97" s="325" t="s">
        <v>78</v>
      </c>
      <c r="Z97" s="315">
        <v>100</v>
      </c>
      <c r="AA97" s="316"/>
      <c r="AB97" s="319" t="s">
        <v>57</v>
      </c>
      <c r="AC97" s="318">
        <v>172000</v>
      </c>
      <c r="AD97" s="316"/>
      <c r="AE97" s="328" t="s">
        <v>100</v>
      </c>
      <c r="AF97" s="320">
        <v>0.31746031746031744</v>
      </c>
      <c r="AG97" s="301"/>
    </row>
    <row r="98" spans="2:33" ht="15" thickBot="1" x14ac:dyDescent="0.2">
      <c r="B98" s="287">
        <v>93</v>
      </c>
      <c r="C98" s="395">
        <v>8</v>
      </c>
      <c r="D98" s="310" t="s">
        <v>457</v>
      </c>
      <c r="E98" s="396" t="s">
        <v>90</v>
      </c>
      <c r="F98" s="312" t="s">
        <v>158</v>
      </c>
      <c r="G98" s="12" t="s">
        <v>464</v>
      </c>
      <c r="H98" s="350" t="s">
        <v>463</v>
      </c>
      <c r="I98" s="12" t="s">
        <v>482</v>
      </c>
      <c r="J98" s="293">
        <v>14717</v>
      </c>
      <c r="K98" s="294">
        <v>1</v>
      </c>
      <c r="L98" s="207">
        <v>1000</v>
      </c>
      <c r="M98" s="295">
        <f t="shared" si="6"/>
        <v>1.4716999999999999E-2</v>
      </c>
      <c r="N98" s="296">
        <v>10</v>
      </c>
      <c r="O98" s="209">
        <v>6000</v>
      </c>
      <c r="P98" s="293">
        <v>55000</v>
      </c>
      <c r="Q98" s="209">
        <v>50000</v>
      </c>
      <c r="R98" s="293">
        <v>750000</v>
      </c>
      <c r="S98" s="293">
        <v>32000</v>
      </c>
      <c r="T98" s="297">
        <f t="shared" si="7"/>
        <v>0.47094399999999997</v>
      </c>
      <c r="U98" s="313">
        <f t="shared" si="8"/>
        <v>3.125</v>
      </c>
      <c r="V98" s="299">
        <f>IF('Prepare Gantt Chart'!G97=2,'Prepare Gantt Chart'!H97,9999)</f>
        <v>9999</v>
      </c>
      <c r="W98" s="300">
        <f t="shared" si="9"/>
        <v>2050</v>
      </c>
      <c r="X98" s="301"/>
      <c r="Y98" s="366" t="s">
        <v>46</v>
      </c>
      <c r="Z98" s="315">
        <v>80</v>
      </c>
      <c r="AA98" s="316"/>
      <c r="AB98" s="326" t="s">
        <v>47</v>
      </c>
      <c r="AC98" s="318">
        <v>182000</v>
      </c>
      <c r="AD98" s="316"/>
      <c r="AE98" s="328" t="s">
        <v>95</v>
      </c>
      <c r="AF98" s="320">
        <v>0.31232431757136608</v>
      </c>
      <c r="AG98" s="301"/>
    </row>
    <row r="99" spans="2:33" ht="15" thickBot="1" x14ac:dyDescent="0.2">
      <c r="B99" s="287">
        <v>94</v>
      </c>
      <c r="C99" s="395">
        <v>8</v>
      </c>
      <c r="D99" s="310" t="s">
        <v>457</v>
      </c>
      <c r="E99" s="396" t="s">
        <v>91</v>
      </c>
      <c r="F99" s="312" t="s">
        <v>124</v>
      </c>
      <c r="G99" s="12" t="s">
        <v>466</v>
      </c>
      <c r="H99" s="350" t="s">
        <v>462</v>
      </c>
      <c r="I99" s="12" t="s">
        <v>483</v>
      </c>
      <c r="J99" s="293">
        <v>1910155</v>
      </c>
      <c r="K99" s="294">
        <v>0.01</v>
      </c>
      <c r="L99" s="207">
        <v>5000</v>
      </c>
      <c r="M99" s="295">
        <f t="shared" si="6"/>
        <v>9.5507750000000002E-2</v>
      </c>
      <c r="N99" s="296">
        <v>3</v>
      </c>
      <c r="O99" s="209">
        <v>833000</v>
      </c>
      <c r="P99" s="293">
        <v>2500000</v>
      </c>
      <c r="Q99" s="209">
        <v>5110000</v>
      </c>
      <c r="R99" s="293">
        <v>112420000</v>
      </c>
      <c r="S99" s="293">
        <v>4597000</v>
      </c>
      <c r="T99" s="297">
        <f t="shared" si="7"/>
        <v>87.809825349999997</v>
      </c>
      <c r="U99" s="313">
        <f t="shared" si="8"/>
        <v>0.10876658690450293</v>
      </c>
      <c r="V99" s="299">
        <f>IF('Prepare Gantt Chart'!G98=2,'Prepare Gantt Chart'!H98,9999)</f>
        <v>9999</v>
      </c>
      <c r="W99" s="300">
        <f t="shared" si="9"/>
        <v>2050</v>
      </c>
      <c r="X99" s="301"/>
      <c r="Y99" s="384" t="s">
        <v>30</v>
      </c>
      <c r="Z99" s="315">
        <v>60</v>
      </c>
      <c r="AA99" s="316"/>
      <c r="AB99" s="327" t="s">
        <v>84</v>
      </c>
      <c r="AC99" s="318">
        <v>184000</v>
      </c>
      <c r="AD99" s="316"/>
      <c r="AE99" s="349" t="s">
        <v>11</v>
      </c>
      <c r="AF99" s="320">
        <v>0.30303030303030304</v>
      </c>
      <c r="AG99" s="301"/>
    </row>
    <row r="100" spans="2:33" ht="15" thickBot="1" x14ac:dyDescent="0.2">
      <c r="B100" s="287">
        <v>95</v>
      </c>
      <c r="C100" s="395">
        <v>8</v>
      </c>
      <c r="D100" s="310" t="s">
        <v>457</v>
      </c>
      <c r="E100" s="396" t="s">
        <v>92</v>
      </c>
      <c r="F100" s="312" t="s">
        <v>414</v>
      </c>
      <c r="G100" s="12" t="s">
        <v>464</v>
      </c>
      <c r="H100" s="350" t="s">
        <v>462</v>
      </c>
      <c r="I100" s="12" t="s">
        <v>483</v>
      </c>
      <c r="J100" s="293">
        <v>14717</v>
      </c>
      <c r="K100" s="294">
        <v>1</v>
      </c>
      <c r="L100" s="207">
        <v>1000</v>
      </c>
      <c r="M100" s="295">
        <f t="shared" si="6"/>
        <v>1.4716999999999999E-2</v>
      </c>
      <c r="N100" s="296">
        <v>1</v>
      </c>
      <c r="O100" s="209">
        <v>60</v>
      </c>
      <c r="P100" s="293">
        <v>60</v>
      </c>
      <c r="Q100" s="209">
        <v>40</v>
      </c>
      <c r="R100" s="293">
        <v>1000</v>
      </c>
      <c r="S100" s="293">
        <v>40</v>
      </c>
      <c r="T100" s="297">
        <f t="shared" si="7"/>
        <v>5.8867999999999995E-4</v>
      </c>
      <c r="U100" s="313">
        <f t="shared" si="8"/>
        <v>2500</v>
      </c>
      <c r="V100" s="299">
        <f>IF('Prepare Gantt Chart'!G99=2,'Prepare Gantt Chart'!H99,9999)</f>
        <v>9999</v>
      </c>
      <c r="W100" s="300">
        <f t="shared" si="9"/>
        <v>2050</v>
      </c>
      <c r="X100" s="301"/>
      <c r="Y100" s="357" t="s">
        <v>20</v>
      </c>
      <c r="Z100" s="315">
        <v>50</v>
      </c>
      <c r="AA100" s="316"/>
      <c r="AB100" s="327" t="s">
        <v>80</v>
      </c>
      <c r="AC100" s="318">
        <v>186000</v>
      </c>
      <c r="AD100" s="316"/>
      <c r="AE100" s="349" t="s">
        <v>9</v>
      </c>
      <c r="AF100" s="320">
        <v>0.29411764705882354</v>
      </c>
      <c r="AG100" s="301"/>
    </row>
    <row r="101" spans="2:33" ht="15" thickBot="1" x14ac:dyDescent="0.2">
      <c r="B101" s="287">
        <v>96</v>
      </c>
      <c r="C101" s="395">
        <v>8</v>
      </c>
      <c r="D101" s="310" t="s">
        <v>457</v>
      </c>
      <c r="E101" s="396" t="s">
        <v>93</v>
      </c>
      <c r="F101" s="312" t="s">
        <v>159</v>
      </c>
      <c r="G101" s="12" t="s">
        <v>464</v>
      </c>
      <c r="H101" s="350" t="s">
        <v>462</v>
      </c>
      <c r="I101" s="12" t="s">
        <v>483</v>
      </c>
      <c r="J101" s="293">
        <v>14717</v>
      </c>
      <c r="K101" s="294">
        <v>1</v>
      </c>
      <c r="L101" s="207">
        <v>200</v>
      </c>
      <c r="M101" s="295">
        <f t="shared" si="6"/>
        <v>2.9434000000000001E-3</v>
      </c>
      <c r="N101" s="296">
        <v>1</v>
      </c>
      <c r="O101" s="209">
        <v>60</v>
      </c>
      <c r="P101" s="293">
        <v>60</v>
      </c>
      <c r="Q101" s="209">
        <v>40</v>
      </c>
      <c r="R101" s="293">
        <v>1000</v>
      </c>
      <c r="S101" s="293">
        <v>40</v>
      </c>
      <c r="T101" s="297">
        <f t="shared" si="7"/>
        <v>5.8867999999999995E-4</v>
      </c>
      <c r="U101" s="313">
        <f t="shared" si="8"/>
        <v>500</v>
      </c>
      <c r="V101" s="299">
        <f>IF('Prepare Gantt Chart'!G100=2,'Prepare Gantt Chart'!H100,9999)</f>
        <v>9999</v>
      </c>
      <c r="W101" s="300">
        <f t="shared" si="9"/>
        <v>2050</v>
      </c>
      <c r="X101" s="301"/>
      <c r="Y101" s="357" t="s">
        <v>24</v>
      </c>
      <c r="Z101" s="315">
        <v>50</v>
      </c>
      <c r="AA101" s="316"/>
      <c r="AB101" s="327" t="s">
        <v>85</v>
      </c>
      <c r="AC101" s="318">
        <v>186000</v>
      </c>
      <c r="AD101" s="316"/>
      <c r="AE101" s="349" t="s">
        <v>12</v>
      </c>
      <c r="AF101" s="320">
        <v>0.25</v>
      </c>
      <c r="AG101" s="301"/>
    </row>
    <row r="102" spans="2:33" ht="15" thickBot="1" x14ac:dyDescent="0.2">
      <c r="B102" s="330">
        <v>97</v>
      </c>
      <c r="C102" s="397">
        <v>8</v>
      </c>
      <c r="D102" s="332" t="s">
        <v>457</v>
      </c>
      <c r="E102" s="398" t="s">
        <v>415</v>
      </c>
      <c r="F102" s="334" t="s">
        <v>118</v>
      </c>
      <c r="G102" s="335" t="s">
        <v>464</v>
      </c>
      <c r="H102" s="336" t="s">
        <v>461</v>
      </c>
      <c r="I102" s="335" t="s">
        <v>482</v>
      </c>
      <c r="J102" s="337">
        <v>14717</v>
      </c>
      <c r="K102" s="338">
        <v>1</v>
      </c>
      <c r="L102" s="208">
        <v>1000</v>
      </c>
      <c r="M102" s="339">
        <f t="shared" ref="M102:M122" si="10">J102*K102*L102/1000000000</f>
        <v>1.4716999999999999E-2</v>
      </c>
      <c r="N102" s="340">
        <v>1</v>
      </c>
      <c r="O102" s="210">
        <v>60</v>
      </c>
      <c r="P102" s="337">
        <v>60</v>
      </c>
      <c r="Q102" s="210">
        <v>40</v>
      </c>
      <c r="R102" s="337">
        <v>1000</v>
      </c>
      <c r="S102" s="337">
        <v>40</v>
      </c>
      <c r="T102" s="341">
        <f t="shared" ref="T102:T122" si="11">J102*K102*S102/1000000000</f>
        <v>5.8867999999999995E-4</v>
      </c>
      <c r="U102" s="342">
        <f t="shared" si="8"/>
        <v>2500</v>
      </c>
      <c r="V102" s="336">
        <f>IF('Prepare Gantt Chart'!G101=2,'Prepare Gantt Chart'!H101,9999)</f>
        <v>9999</v>
      </c>
      <c r="W102" s="343">
        <f t="shared" si="9"/>
        <v>2050</v>
      </c>
      <c r="X102" s="301"/>
      <c r="Y102" s="384" t="s">
        <v>31</v>
      </c>
      <c r="Z102" s="315">
        <v>50</v>
      </c>
      <c r="AA102" s="316"/>
      <c r="AB102" s="324" t="s">
        <v>73</v>
      </c>
      <c r="AC102" s="318">
        <v>221000</v>
      </c>
      <c r="AD102" s="316"/>
      <c r="AE102" s="323" t="s">
        <v>44</v>
      </c>
      <c r="AF102" s="320">
        <v>0.24528301886792453</v>
      </c>
      <c r="AG102" s="301"/>
    </row>
    <row r="103" spans="2:33" ht="15" thickBot="1" x14ac:dyDescent="0.2">
      <c r="B103" s="287">
        <v>98</v>
      </c>
      <c r="C103" s="399">
        <v>9</v>
      </c>
      <c r="D103" s="289" t="s">
        <v>458</v>
      </c>
      <c r="E103" s="400" t="s">
        <v>94</v>
      </c>
      <c r="F103" s="312" t="s">
        <v>160</v>
      </c>
      <c r="G103" s="12" t="s">
        <v>464</v>
      </c>
      <c r="H103" s="350" t="s">
        <v>462</v>
      </c>
      <c r="I103" s="12" t="s">
        <v>483</v>
      </c>
      <c r="J103" s="293">
        <v>47008673</v>
      </c>
      <c r="K103" s="294">
        <v>0.01</v>
      </c>
      <c r="L103" s="207">
        <v>20000</v>
      </c>
      <c r="M103" s="295">
        <f t="shared" si="10"/>
        <v>9.4017345999999993</v>
      </c>
      <c r="N103" s="296">
        <v>10</v>
      </c>
      <c r="O103" s="209">
        <v>1980000</v>
      </c>
      <c r="P103" s="293">
        <v>19800000</v>
      </c>
      <c r="Q103" s="209">
        <v>196000</v>
      </c>
      <c r="R103" s="293">
        <v>2940000</v>
      </c>
      <c r="S103" s="293">
        <v>910000</v>
      </c>
      <c r="T103" s="297">
        <f t="shared" si="11"/>
        <v>427.77892430000003</v>
      </c>
      <c r="U103" s="313">
        <f t="shared" si="8"/>
        <v>2.197802197802198</v>
      </c>
      <c r="V103" s="299">
        <f>IF('Prepare Gantt Chart'!G102=2,'Prepare Gantt Chart'!H102,9999)</f>
        <v>9999</v>
      </c>
      <c r="W103" s="300">
        <f t="shared" si="9"/>
        <v>2050</v>
      </c>
      <c r="X103" s="301"/>
      <c r="Y103" s="383" t="s">
        <v>400</v>
      </c>
      <c r="Z103" s="315">
        <v>50</v>
      </c>
      <c r="AA103" s="316"/>
      <c r="AB103" s="324" t="s">
        <v>74</v>
      </c>
      <c r="AC103" s="318">
        <v>221000</v>
      </c>
      <c r="AD103" s="316"/>
      <c r="AE103" s="324" t="s">
        <v>73</v>
      </c>
      <c r="AF103" s="320">
        <v>0.22624434389140274</v>
      </c>
      <c r="AG103" s="301"/>
    </row>
    <row r="104" spans="2:33" ht="15" thickBot="1" x14ac:dyDescent="0.2">
      <c r="B104" s="287">
        <v>99</v>
      </c>
      <c r="C104" s="401">
        <v>9</v>
      </c>
      <c r="D104" s="310" t="s">
        <v>458</v>
      </c>
      <c r="E104" s="402" t="s">
        <v>95</v>
      </c>
      <c r="F104" s="312" t="s">
        <v>161</v>
      </c>
      <c r="G104" s="12" t="s">
        <v>465</v>
      </c>
      <c r="H104" s="350" t="s">
        <v>462</v>
      </c>
      <c r="I104" s="12" t="s">
        <v>483</v>
      </c>
      <c r="J104" s="293">
        <v>10664361</v>
      </c>
      <c r="K104" s="294">
        <v>0.01</v>
      </c>
      <c r="L104" s="207">
        <v>100000</v>
      </c>
      <c r="M104" s="295">
        <f t="shared" si="10"/>
        <v>10.664361</v>
      </c>
      <c r="N104" s="296">
        <v>10</v>
      </c>
      <c r="O104" s="209">
        <v>80000000</v>
      </c>
      <c r="P104" s="293">
        <v>800000000</v>
      </c>
      <c r="Q104" s="209">
        <v>30000</v>
      </c>
      <c r="R104" s="293">
        <v>450000</v>
      </c>
      <c r="S104" s="293">
        <v>32018000</v>
      </c>
      <c r="T104" s="297">
        <f t="shared" si="11"/>
        <v>3414.5151049800002</v>
      </c>
      <c r="U104" s="313">
        <f t="shared" si="8"/>
        <v>0.31232431757136608</v>
      </c>
      <c r="V104" s="299">
        <f>IF('Prepare Gantt Chart'!G103=2,'Prepare Gantt Chart'!H103,9999)</f>
        <v>9999</v>
      </c>
      <c r="W104" s="300">
        <f t="shared" si="9"/>
        <v>2050</v>
      </c>
      <c r="X104" s="301"/>
      <c r="Y104" s="366" t="s">
        <v>51</v>
      </c>
      <c r="Z104" s="315">
        <v>50</v>
      </c>
      <c r="AA104" s="316"/>
      <c r="AB104" s="324" t="s">
        <v>72</v>
      </c>
      <c r="AC104" s="318">
        <v>350000</v>
      </c>
      <c r="AD104" s="316"/>
      <c r="AE104" s="328" t="s">
        <v>98</v>
      </c>
      <c r="AF104" s="320">
        <v>0.21551724137931033</v>
      </c>
      <c r="AG104" s="301"/>
    </row>
    <row r="105" spans="2:33" ht="15" thickBot="1" x14ac:dyDescent="0.2">
      <c r="B105" s="287">
        <v>100</v>
      </c>
      <c r="C105" s="401">
        <v>9</v>
      </c>
      <c r="D105" s="310" t="s">
        <v>458</v>
      </c>
      <c r="E105" s="402" t="s">
        <v>96</v>
      </c>
      <c r="F105" s="312" t="s">
        <v>416</v>
      </c>
      <c r="G105" s="12" t="s">
        <v>464</v>
      </c>
      <c r="H105" s="350" t="s">
        <v>462</v>
      </c>
      <c r="I105" s="12" t="s">
        <v>483</v>
      </c>
      <c r="J105" s="293">
        <v>10645392</v>
      </c>
      <c r="K105" s="294">
        <v>0.01</v>
      </c>
      <c r="L105" s="207">
        <v>5000</v>
      </c>
      <c r="M105" s="295">
        <f t="shared" si="10"/>
        <v>0.53226960000000001</v>
      </c>
      <c r="N105" s="296">
        <v>10</v>
      </c>
      <c r="O105" s="209">
        <v>24000000</v>
      </c>
      <c r="P105" s="293">
        <v>240000000</v>
      </c>
      <c r="Q105" s="209">
        <v>10000</v>
      </c>
      <c r="R105" s="293">
        <v>150000</v>
      </c>
      <c r="S105" s="293">
        <v>9606000</v>
      </c>
      <c r="T105" s="297">
        <f t="shared" si="11"/>
        <v>1022.59635552</v>
      </c>
      <c r="U105" s="313">
        <f t="shared" si="8"/>
        <v>5.2050801582344375E-2</v>
      </c>
      <c r="V105" s="299">
        <f>IF('Prepare Gantt Chart'!G104=2,'Prepare Gantt Chart'!H104,9999)</f>
        <v>9999</v>
      </c>
      <c r="W105" s="300">
        <f t="shared" si="9"/>
        <v>2050</v>
      </c>
      <c r="X105" s="301"/>
      <c r="Y105" s="367" t="s">
        <v>5</v>
      </c>
      <c r="Z105" s="315">
        <v>40</v>
      </c>
      <c r="AA105" s="316"/>
      <c r="AB105" s="327" t="s">
        <v>81</v>
      </c>
      <c r="AC105" s="318">
        <v>370000</v>
      </c>
      <c r="AD105" s="316"/>
      <c r="AE105" s="323" t="s">
        <v>39</v>
      </c>
      <c r="AF105" s="320">
        <v>0.1954022988505747</v>
      </c>
      <c r="AG105" s="301"/>
    </row>
    <row r="106" spans="2:33" ht="15" thickBot="1" x14ac:dyDescent="0.2">
      <c r="B106" s="287">
        <v>101</v>
      </c>
      <c r="C106" s="401">
        <v>9</v>
      </c>
      <c r="D106" s="310" t="s">
        <v>458</v>
      </c>
      <c r="E106" s="402" t="s">
        <v>97</v>
      </c>
      <c r="F106" s="312" t="s">
        <v>162</v>
      </c>
      <c r="G106" s="12" t="s">
        <v>464</v>
      </c>
      <c r="H106" s="350" t="s">
        <v>462</v>
      </c>
      <c r="I106" s="12" t="s">
        <v>483</v>
      </c>
      <c r="J106" s="293">
        <v>39774</v>
      </c>
      <c r="K106" s="294">
        <v>0.2</v>
      </c>
      <c r="L106" s="207">
        <v>2000</v>
      </c>
      <c r="M106" s="295">
        <f t="shared" si="10"/>
        <v>1.5909599999999999E-2</v>
      </c>
      <c r="N106" s="296">
        <v>10</v>
      </c>
      <c r="O106" s="209">
        <v>5000000</v>
      </c>
      <c r="P106" s="293">
        <v>50000000</v>
      </c>
      <c r="Q106" s="209">
        <v>1200000</v>
      </c>
      <c r="R106" s="293">
        <v>18000000</v>
      </c>
      <c r="S106" s="293">
        <v>2720000</v>
      </c>
      <c r="T106" s="297">
        <f t="shared" si="11"/>
        <v>21.637056000000001</v>
      </c>
      <c r="U106" s="313">
        <f t="shared" si="8"/>
        <v>7.3529411764705885E-2</v>
      </c>
      <c r="V106" s="299">
        <f>IF('Prepare Gantt Chart'!G105=2,'Prepare Gantt Chart'!H105,9999)</f>
        <v>9999</v>
      </c>
      <c r="W106" s="300">
        <f t="shared" si="9"/>
        <v>2050</v>
      </c>
      <c r="X106" s="301"/>
      <c r="Y106" s="357" t="s">
        <v>17</v>
      </c>
      <c r="Z106" s="315">
        <v>40</v>
      </c>
      <c r="AA106" s="316"/>
      <c r="AB106" s="327" t="s">
        <v>86</v>
      </c>
      <c r="AC106" s="318">
        <v>373000</v>
      </c>
      <c r="AD106" s="316"/>
      <c r="AE106" s="323" t="s">
        <v>38</v>
      </c>
      <c r="AF106" s="320">
        <v>0.1941747572815534</v>
      </c>
      <c r="AG106" s="301"/>
    </row>
    <row r="107" spans="2:33" ht="15" thickBot="1" x14ac:dyDescent="0.2">
      <c r="B107" s="287">
        <v>102</v>
      </c>
      <c r="C107" s="401">
        <v>9</v>
      </c>
      <c r="D107" s="310" t="s">
        <v>458</v>
      </c>
      <c r="E107" s="402" t="s">
        <v>98</v>
      </c>
      <c r="F107" s="312" t="s">
        <v>163</v>
      </c>
      <c r="G107" s="12" t="s">
        <v>464</v>
      </c>
      <c r="H107" s="350" t="s">
        <v>462</v>
      </c>
      <c r="I107" s="12" t="s">
        <v>483</v>
      </c>
      <c r="J107" s="293">
        <v>261902</v>
      </c>
      <c r="K107" s="294">
        <v>0.1</v>
      </c>
      <c r="L107" s="207">
        <v>3000</v>
      </c>
      <c r="M107" s="295">
        <f t="shared" si="10"/>
        <v>7.8570600000000004E-2</v>
      </c>
      <c r="N107" s="296">
        <v>10</v>
      </c>
      <c r="O107" s="209">
        <v>2881000</v>
      </c>
      <c r="P107" s="293">
        <v>28810000</v>
      </c>
      <c r="Q107" s="209">
        <v>400000</v>
      </c>
      <c r="R107" s="293">
        <v>6000000</v>
      </c>
      <c r="S107" s="293">
        <v>1392000</v>
      </c>
      <c r="T107" s="297">
        <f t="shared" si="11"/>
        <v>36.456758399999998</v>
      </c>
      <c r="U107" s="313">
        <f t="shared" si="8"/>
        <v>0.21551724137931033</v>
      </c>
      <c r="V107" s="299">
        <f>IF('Prepare Gantt Chart'!G106=2,'Prepare Gantt Chart'!H106,9999)</f>
        <v>9999</v>
      </c>
      <c r="W107" s="300">
        <f t="shared" si="9"/>
        <v>2050</v>
      </c>
      <c r="X107" s="301"/>
      <c r="Y107" s="366" t="s">
        <v>409</v>
      </c>
      <c r="Z107" s="315">
        <v>40</v>
      </c>
      <c r="AA107" s="316"/>
      <c r="AB107" s="328" t="s">
        <v>100</v>
      </c>
      <c r="AC107" s="318">
        <v>630000</v>
      </c>
      <c r="AD107" s="316"/>
      <c r="AE107" s="317" t="s">
        <v>20</v>
      </c>
      <c r="AF107" s="320">
        <v>0.13513513513513514</v>
      </c>
      <c r="AG107" s="301"/>
    </row>
    <row r="108" spans="2:33" ht="15" thickBot="1" x14ac:dyDescent="0.2">
      <c r="B108" s="287">
        <v>103</v>
      </c>
      <c r="C108" s="401">
        <v>9</v>
      </c>
      <c r="D108" s="310" t="s">
        <v>458</v>
      </c>
      <c r="E108" s="402" t="s">
        <v>99</v>
      </c>
      <c r="F108" s="312" t="s">
        <v>164</v>
      </c>
      <c r="G108" s="12" t="s">
        <v>465</v>
      </c>
      <c r="H108" s="350" t="s">
        <v>462</v>
      </c>
      <c r="I108" s="12" t="s">
        <v>483</v>
      </c>
      <c r="J108" s="293">
        <v>16917728</v>
      </c>
      <c r="K108" s="294">
        <v>0.01</v>
      </c>
      <c r="L108" s="207">
        <v>1000</v>
      </c>
      <c r="M108" s="295">
        <f t="shared" si="10"/>
        <v>0.16917728000000001</v>
      </c>
      <c r="N108" s="296">
        <v>10</v>
      </c>
      <c r="O108" s="209">
        <v>6318000</v>
      </c>
      <c r="P108" s="293">
        <v>63180000</v>
      </c>
      <c r="Q108" s="209">
        <v>400000</v>
      </c>
      <c r="R108" s="293">
        <v>6000000</v>
      </c>
      <c r="S108" s="293">
        <v>2767000</v>
      </c>
      <c r="T108" s="297">
        <f t="shared" si="11"/>
        <v>468.11353376</v>
      </c>
      <c r="U108" s="313">
        <f t="shared" si="8"/>
        <v>3.6140224069389229E-2</v>
      </c>
      <c r="V108" s="299">
        <f>IF('Prepare Gantt Chart'!G107=2,'Prepare Gantt Chart'!H107,9999)</f>
        <v>9999</v>
      </c>
      <c r="W108" s="300">
        <f t="shared" si="9"/>
        <v>2050</v>
      </c>
      <c r="X108" s="301"/>
      <c r="Y108" s="367" t="s">
        <v>16</v>
      </c>
      <c r="Z108" s="315">
        <v>30</v>
      </c>
      <c r="AA108" s="316"/>
      <c r="AB108" s="328" t="s">
        <v>107</v>
      </c>
      <c r="AC108" s="318">
        <v>638000</v>
      </c>
      <c r="AD108" s="316"/>
      <c r="AE108" s="323" t="s">
        <v>45</v>
      </c>
      <c r="AF108" s="320">
        <v>0.12195121951219512</v>
      </c>
      <c r="AG108" s="301"/>
    </row>
    <row r="109" spans="2:33" ht="15" thickBot="1" x14ac:dyDescent="0.2">
      <c r="B109" s="287">
        <v>104</v>
      </c>
      <c r="C109" s="401">
        <v>9</v>
      </c>
      <c r="D109" s="310" t="s">
        <v>458</v>
      </c>
      <c r="E109" s="402" t="s">
        <v>100</v>
      </c>
      <c r="F109" s="312" t="s">
        <v>165</v>
      </c>
      <c r="G109" s="12" t="s">
        <v>465</v>
      </c>
      <c r="H109" s="350" t="s">
        <v>462</v>
      </c>
      <c r="I109" s="12" t="s">
        <v>483</v>
      </c>
      <c r="J109" s="293">
        <v>242571</v>
      </c>
      <c r="K109" s="294">
        <v>0.01</v>
      </c>
      <c r="L109" s="207">
        <v>2000</v>
      </c>
      <c r="M109" s="295">
        <f t="shared" si="10"/>
        <v>4.8514200000000004E-3</v>
      </c>
      <c r="N109" s="296">
        <v>10</v>
      </c>
      <c r="O109" s="209">
        <v>1500000</v>
      </c>
      <c r="P109" s="293">
        <v>15000000</v>
      </c>
      <c r="Q109" s="209">
        <v>50000</v>
      </c>
      <c r="R109" s="293">
        <v>750000</v>
      </c>
      <c r="S109" s="293">
        <v>630000</v>
      </c>
      <c r="T109" s="297">
        <f t="shared" si="11"/>
        <v>1.5281973</v>
      </c>
      <c r="U109" s="313">
        <f t="shared" si="8"/>
        <v>0.31746031746031744</v>
      </c>
      <c r="V109" s="299">
        <f>IF('Prepare Gantt Chart'!G108=2,'Prepare Gantt Chart'!H108,9999)</f>
        <v>9999</v>
      </c>
      <c r="W109" s="300">
        <f t="shared" si="9"/>
        <v>2050</v>
      </c>
      <c r="X109" s="301"/>
      <c r="Y109" s="366" t="s">
        <v>48</v>
      </c>
      <c r="Z109" s="315">
        <v>30</v>
      </c>
      <c r="AA109" s="316"/>
      <c r="AB109" s="328" t="s">
        <v>94</v>
      </c>
      <c r="AC109" s="318">
        <v>910000</v>
      </c>
      <c r="AD109" s="316"/>
      <c r="AE109" s="317" t="s">
        <v>25</v>
      </c>
      <c r="AF109" s="320">
        <v>0.1195814648729447</v>
      </c>
      <c r="AG109" s="301"/>
    </row>
    <row r="110" spans="2:33" ht="15" thickBot="1" x14ac:dyDescent="0.2">
      <c r="B110" s="287">
        <v>105</v>
      </c>
      <c r="C110" s="401">
        <v>9</v>
      </c>
      <c r="D110" s="310" t="s">
        <v>458</v>
      </c>
      <c r="E110" s="402" t="s">
        <v>101</v>
      </c>
      <c r="F110" s="312" t="s">
        <v>417</v>
      </c>
      <c r="G110" s="12" t="s">
        <v>464</v>
      </c>
      <c r="H110" s="350" t="s">
        <v>462</v>
      </c>
      <c r="I110" s="12" t="s">
        <v>483</v>
      </c>
      <c r="J110" s="293">
        <v>310</v>
      </c>
      <c r="K110" s="294">
        <v>1</v>
      </c>
      <c r="L110" s="207">
        <v>200000</v>
      </c>
      <c r="M110" s="295">
        <f t="shared" si="10"/>
        <v>6.2E-2</v>
      </c>
      <c r="N110" s="296">
        <v>10</v>
      </c>
      <c r="O110" s="209">
        <v>150000</v>
      </c>
      <c r="P110" s="293">
        <v>1500000</v>
      </c>
      <c r="Q110" s="209">
        <v>130000</v>
      </c>
      <c r="R110" s="293">
        <v>1950000</v>
      </c>
      <c r="S110" s="293">
        <v>138000</v>
      </c>
      <c r="T110" s="297">
        <f t="shared" si="11"/>
        <v>4.2779999999999999E-2</v>
      </c>
      <c r="U110" s="313">
        <f t="shared" si="8"/>
        <v>144.92753623188406</v>
      </c>
      <c r="V110" s="299">
        <f>IF('Prepare Gantt Chart'!G109=2,'Prepare Gantt Chart'!H109,9999)</f>
        <v>9999</v>
      </c>
      <c r="W110" s="300">
        <f t="shared" si="9"/>
        <v>2050</v>
      </c>
      <c r="X110" s="301"/>
      <c r="Y110" s="366" t="s">
        <v>54</v>
      </c>
      <c r="Z110" s="315">
        <v>30</v>
      </c>
      <c r="AA110" s="316"/>
      <c r="AB110" s="328" t="s">
        <v>104</v>
      </c>
      <c r="AC110" s="318">
        <v>980000</v>
      </c>
      <c r="AD110" s="316"/>
      <c r="AE110" s="317" t="s">
        <v>24</v>
      </c>
      <c r="AF110" s="320">
        <v>0.11904761904761905</v>
      </c>
      <c r="AG110" s="301"/>
    </row>
    <row r="111" spans="2:33" ht="15" thickBot="1" x14ac:dyDescent="0.2">
      <c r="B111" s="287">
        <v>106</v>
      </c>
      <c r="C111" s="401">
        <v>9</v>
      </c>
      <c r="D111" s="310" t="s">
        <v>458</v>
      </c>
      <c r="E111" s="402" t="s">
        <v>102</v>
      </c>
      <c r="F111" s="312" t="s">
        <v>166</v>
      </c>
      <c r="G111" s="12" t="s">
        <v>466</v>
      </c>
      <c r="H111" s="350" t="s">
        <v>462</v>
      </c>
      <c r="I111" s="12" t="s">
        <v>483</v>
      </c>
      <c r="J111" s="293">
        <v>12355591</v>
      </c>
      <c r="K111" s="294">
        <v>0.01</v>
      </c>
      <c r="L111" s="207">
        <v>1000</v>
      </c>
      <c r="M111" s="295">
        <f t="shared" si="10"/>
        <v>0.12355591</v>
      </c>
      <c r="N111" s="296">
        <v>10</v>
      </c>
      <c r="O111" s="209">
        <v>3920000</v>
      </c>
      <c r="P111" s="293">
        <v>39200000</v>
      </c>
      <c r="Q111" s="209">
        <v>1100000</v>
      </c>
      <c r="R111" s="293">
        <v>16500000</v>
      </c>
      <c r="S111" s="293">
        <v>2228000</v>
      </c>
      <c r="T111" s="297">
        <f t="shared" si="11"/>
        <v>275.28256748000001</v>
      </c>
      <c r="U111" s="313">
        <f t="shared" si="8"/>
        <v>4.4883303411131059E-2</v>
      </c>
      <c r="V111" s="299">
        <f>IF('Prepare Gantt Chart'!G110=2,'Prepare Gantt Chart'!H110,9999)</f>
        <v>9999</v>
      </c>
      <c r="W111" s="300">
        <f t="shared" si="9"/>
        <v>2050</v>
      </c>
      <c r="X111" s="301"/>
      <c r="Y111" s="367" t="s">
        <v>15</v>
      </c>
      <c r="Z111" s="315">
        <v>20</v>
      </c>
      <c r="AA111" s="316"/>
      <c r="AB111" s="319" t="s">
        <v>55</v>
      </c>
      <c r="AC111" s="318">
        <v>1078000</v>
      </c>
      <c r="AD111" s="316"/>
      <c r="AE111" s="327" t="s">
        <v>91</v>
      </c>
      <c r="AF111" s="320">
        <v>0.10876658690450293</v>
      </c>
      <c r="AG111" s="301"/>
    </row>
    <row r="112" spans="2:33" ht="15" thickBot="1" x14ac:dyDescent="0.2">
      <c r="B112" s="287">
        <v>107</v>
      </c>
      <c r="C112" s="401">
        <v>9</v>
      </c>
      <c r="D112" s="310" t="s">
        <v>458</v>
      </c>
      <c r="E112" s="402" t="s">
        <v>103</v>
      </c>
      <c r="F112" s="312" t="s">
        <v>167</v>
      </c>
      <c r="G112" s="12" t="s">
        <v>464</v>
      </c>
      <c r="H112" s="350" t="s">
        <v>462</v>
      </c>
      <c r="I112" s="12" t="s">
        <v>483</v>
      </c>
      <c r="J112" s="293">
        <v>962068</v>
      </c>
      <c r="K112" s="294">
        <v>0.01</v>
      </c>
      <c r="L112" s="207">
        <v>1000</v>
      </c>
      <c r="M112" s="295">
        <f t="shared" si="10"/>
        <v>9.6206799999999995E-3</v>
      </c>
      <c r="N112" s="296">
        <v>10</v>
      </c>
      <c r="O112" s="209">
        <v>1900000</v>
      </c>
      <c r="P112" s="293">
        <v>19000000</v>
      </c>
      <c r="Q112" s="209">
        <v>8450000</v>
      </c>
      <c r="R112" s="293">
        <v>126750000</v>
      </c>
      <c r="S112" s="293">
        <v>5830000</v>
      </c>
      <c r="T112" s="297">
        <f t="shared" si="11"/>
        <v>56.088564400000003</v>
      </c>
      <c r="U112" s="313">
        <f t="shared" si="8"/>
        <v>1.7152658662092621E-2</v>
      </c>
      <c r="V112" s="299">
        <f>IF('Prepare Gantt Chart'!G111=2,'Prepare Gantt Chart'!H111,9999)</f>
        <v>9999</v>
      </c>
      <c r="W112" s="300">
        <f t="shared" si="9"/>
        <v>2050</v>
      </c>
      <c r="X112" s="301"/>
      <c r="Y112" s="384" t="s">
        <v>29</v>
      </c>
      <c r="Z112" s="315">
        <v>20</v>
      </c>
      <c r="AA112" s="316"/>
      <c r="AB112" s="328" t="s">
        <v>98</v>
      </c>
      <c r="AC112" s="318">
        <v>1392000</v>
      </c>
      <c r="AD112" s="316"/>
      <c r="AE112" s="349" t="s">
        <v>7</v>
      </c>
      <c r="AF112" s="320">
        <v>9.0909090909090898E-2</v>
      </c>
      <c r="AG112" s="301"/>
    </row>
    <row r="113" spans="2:33" ht="15" thickBot="1" x14ac:dyDescent="0.2">
      <c r="B113" s="287">
        <v>108</v>
      </c>
      <c r="C113" s="401">
        <v>9</v>
      </c>
      <c r="D113" s="310" t="s">
        <v>458</v>
      </c>
      <c r="E113" s="402" t="s">
        <v>104</v>
      </c>
      <c r="F113" s="312" t="s">
        <v>168</v>
      </c>
      <c r="G113" s="12" t="s">
        <v>464</v>
      </c>
      <c r="H113" s="350" t="s">
        <v>462</v>
      </c>
      <c r="I113" s="12" t="s">
        <v>483</v>
      </c>
      <c r="J113" s="293">
        <v>650909</v>
      </c>
      <c r="K113" s="294">
        <v>0.1</v>
      </c>
      <c r="L113" s="207">
        <v>4000</v>
      </c>
      <c r="M113" s="295">
        <f t="shared" si="10"/>
        <v>0.26036359999999997</v>
      </c>
      <c r="N113" s="296">
        <v>10</v>
      </c>
      <c r="O113" s="209">
        <v>1400000</v>
      </c>
      <c r="P113" s="293">
        <v>14000000</v>
      </c>
      <c r="Q113" s="209">
        <v>700000</v>
      </c>
      <c r="R113" s="293">
        <v>10500000</v>
      </c>
      <c r="S113" s="293">
        <v>980000</v>
      </c>
      <c r="T113" s="297">
        <f t="shared" si="11"/>
        <v>63.789082000000001</v>
      </c>
      <c r="U113" s="313">
        <f t="shared" si="8"/>
        <v>0.40816326530612246</v>
      </c>
      <c r="V113" s="299">
        <f>IF('Prepare Gantt Chart'!G112=2,'Prepare Gantt Chart'!H112,9999)</f>
        <v>9999</v>
      </c>
      <c r="W113" s="300">
        <f t="shared" si="9"/>
        <v>2050</v>
      </c>
      <c r="X113" s="301"/>
      <c r="Y113" s="384" t="s">
        <v>34</v>
      </c>
      <c r="Z113" s="315">
        <v>20</v>
      </c>
      <c r="AA113" s="316"/>
      <c r="AB113" s="328" t="s">
        <v>102</v>
      </c>
      <c r="AC113" s="318">
        <v>2228000</v>
      </c>
      <c r="AD113" s="316"/>
      <c r="AE113" s="328" t="s">
        <v>97</v>
      </c>
      <c r="AF113" s="320">
        <v>7.3529411764705885E-2</v>
      </c>
      <c r="AG113" s="301"/>
    </row>
    <row r="114" spans="2:33" ht="15" thickBot="1" x14ac:dyDescent="0.2">
      <c r="B114" s="287">
        <v>109</v>
      </c>
      <c r="C114" s="401">
        <v>9</v>
      </c>
      <c r="D114" s="310" t="s">
        <v>458</v>
      </c>
      <c r="E114" s="402" t="s">
        <v>105</v>
      </c>
      <c r="F114" s="312" t="s">
        <v>169</v>
      </c>
      <c r="G114" s="12" t="s">
        <v>464</v>
      </c>
      <c r="H114" s="350" t="s">
        <v>462</v>
      </c>
      <c r="I114" s="12" t="s">
        <v>482</v>
      </c>
      <c r="J114" s="293">
        <v>5171</v>
      </c>
      <c r="K114" s="294">
        <v>1</v>
      </c>
      <c r="L114" s="207">
        <v>350000</v>
      </c>
      <c r="M114" s="295">
        <f t="shared" si="10"/>
        <v>1.80985</v>
      </c>
      <c r="N114" s="296">
        <v>10</v>
      </c>
      <c r="O114" s="209">
        <v>5850000</v>
      </c>
      <c r="P114" s="293">
        <v>58500000</v>
      </c>
      <c r="Q114" s="209">
        <v>100000</v>
      </c>
      <c r="R114" s="293">
        <v>1500000</v>
      </c>
      <c r="S114" s="293">
        <v>2400000</v>
      </c>
      <c r="T114" s="297">
        <f t="shared" si="11"/>
        <v>12.410399999999999</v>
      </c>
      <c r="U114" s="313">
        <f t="shared" si="8"/>
        <v>14.583333333333334</v>
      </c>
      <c r="V114" s="299">
        <f>IF('Prepare Gantt Chart'!G113=2,'Prepare Gantt Chart'!H113,9999)</f>
        <v>9999</v>
      </c>
      <c r="W114" s="300">
        <f t="shared" si="9"/>
        <v>2050</v>
      </c>
      <c r="X114" s="301"/>
      <c r="Y114" s="366" t="s">
        <v>53</v>
      </c>
      <c r="Z114" s="315">
        <v>20</v>
      </c>
      <c r="AA114" s="316"/>
      <c r="AB114" s="328" t="s">
        <v>105</v>
      </c>
      <c r="AC114" s="318">
        <v>2400000</v>
      </c>
      <c r="AD114" s="316"/>
      <c r="AE114" s="326" t="s">
        <v>409</v>
      </c>
      <c r="AF114" s="320">
        <v>5.4794520547945202E-2</v>
      </c>
      <c r="AG114" s="301"/>
    </row>
    <row r="115" spans="2:33" ht="15" thickBot="1" x14ac:dyDescent="0.2">
      <c r="B115" s="287">
        <v>110</v>
      </c>
      <c r="C115" s="401">
        <v>9</v>
      </c>
      <c r="D115" s="310" t="s">
        <v>458</v>
      </c>
      <c r="E115" s="402" t="s">
        <v>106</v>
      </c>
      <c r="F115" s="312" t="s">
        <v>170</v>
      </c>
      <c r="G115" s="12" t="s">
        <v>464</v>
      </c>
      <c r="H115" s="350" t="s">
        <v>462</v>
      </c>
      <c r="I115" s="12" t="s">
        <v>482</v>
      </c>
      <c r="J115" s="293">
        <v>5171</v>
      </c>
      <c r="K115" s="294">
        <v>1</v>
      </c>
      <c r="L115" s="207">
        <v>200000</v>
      </c>
      <c r="M115" s="295">
        <f t="shared" si="10"/>
        <v>1.0342</v>
      </c>
      <c r="N115" s="296">
        <v>10</v>
      </c>
      <c r="O115" s="209">
        <v>5850000</v>
      </c>
      <c r="P115" s="293">
        <v>58500000</v>
      </c>
      <c r="Q115" s="209">
        <v>100000</v>
      </c>
      <c r="R115" s="293">
        <v>1500000</v>
      </c>
      <c r="S115" s="293">
        <v>2400000</v>
      </c>
      <c r="T115" s="297">
        <f t="shared" si="11"/>
        <v>12.410399999999999</v>
      </c>
      <c r="U115" s="313">
        <f t="shared" si="8"/>
        <v>8.3333333333333321</v>
      </c>
      <c r="V115" s="299">
        <f>IF('Prepare Gantt Chart'!G114=2,'Prepare Gantt Chart'!H114,9999)</f>
        <v>9999</v>
      </c>
      <c r="W115" s="300">
        <f t="shared" si="9"/>
        <v>2050</v>
      </c>
      <c r="X115" s="301"/>
      <c r="Y115" s="366" t="s">
        <v>410</v>
      </c>
      <c r="Z115" s="315">
        <v>20</v>
      </c>
      <c r="AA115" s="316"/>
      <c r="AB115" s="328" t="s">
        <v>106</v>
      </c>
      <c r="AC115" s="318">
        <v>2400000</v>
      </c>
      <c r="AD115" s="316"/>
      <c r="AE115" s="328" t="s">
        <v>96</v>
      </c>
      <c r="AF115" s="320">
        <v>5.2050801582344375E-2</v>
      </c>
      <c r="AG115" s="301"/>
    </row>
    <row r="116" spans="2:33" ht="15" thickBot="1" x14ac:dyDescent="0.2">
      <c r="B116" s="287">
        <v>111</v>
      </c>
      <c r="C116" s="401">
        <v>9</v>
      </c>
      <c r="D116" s="310" t="s">
        <v>458</v>
      </c>
      <c r="E116" s="402" t="s">
        <v>107</v>
      </c>
      <c r="F116" s="312" t="s">
        <v>171</v>
      </c>
      <c r="G116" s="12" t="s">
        <v>464</v>
      </c>
      <c r="H116" s="350" t="s">
        <v>462</v>
      </c>
      <c r="I116" s="12" t="s">
        <v>483</v>
      </c>
      <c r="J116" s="293">
        <v>5171</v>
      </c>
      <c r="K116" s="294">
        <v>1</v>
      </c>
      <c r="L116" s="207">
        <v>80000</v>
      </c>
      <c r="M116" s="295">
        <f t="shared" si="10"/>
        <v>0.41367999999999999</v>
      </c>
      <c r="N116" s="296">
        <v>10</v>
      </c>
      <c r="O116" s="209">
        <v>1400000</v>
      </c>
      <c r="P116" s="293">
        <v>14000000</v>
      </c>
      <c r="Q116" s="209">
        <v>130000</v>
      </c>
      <c r="R116" s="293">
        <v>1950000</v>
      </c>
      <c r="S116" s="293">
        <v>638000</v>
      </c>
      <c r="T116" s="297">
        <f t="shared" si="11"/>
        <v>3.2990979999999999</v>
      </c>
      <c r="U116" s="313">
        <f t="shared" si="8"/>
        <v>12.539184952978054</v>
      </c>
      <c r="V116" s="299">
        <f>IF('Prepare Gantt Chart'!G115=2,'Prepare Gantt Chart'!H115,9999)</f>
        <v>9999</v>
      </c>
      <c r="W116" s="300">
        <f t="shared" si="9"/>
        <v>2050</v>
      </c>
      <c r="X116" s="301"/>
      <c r="Y116" s="366" t="s">
        <v>52</v>
      </c>
      <c r="Z116" s="315">
        <v>15</v>
      </c>
      <c r="AA116" s="316"/>
      <c r="AB116" s="328" t="s">
        <v>97</v>
      </c>
      <c r="AC116" s="318">
        <v>2720000</v>
      </c>
      <c r="AD116" s="316"/>
      <c r="AE116" s="319" t="s">
        <v>55</v>
      </c>
      <c r="AF116" s="320">
        <v>4.63821892393321E-2</v>
      </c>
      <c r="AG116" s="301"/>
    </row>
    <row r="117" spans="2:33" ht="15" thickBot="1" x14ac:dyDescent="0.2">
      <c r="B117" s="287">
        <v>112</v>
      </c>
      <c r="C117" s="401">
        <v>9</v>
      </c>
      <c r="D117" s="310" t="s">
        <v>458</v>
      </c>
      <c r="E117" s="402" t="s">
        <v>108</v>
      </c>
      <c r="F117" s="312" t="s">
        <v>172</v>
      </c>
      <c r="G117" s="12" t="s">
        <v>464</v>
      </c>
      <c r="H117" s="350" t="s">
        <v>462</v>
      </c>
      <c r="I117" s="12" t="s">
        <v>483</v>
      </c>
      <c r="J117" s="293">
        <v>973961</v>
      </c>
      <c r="K117" s="294">
        <v>1</v>
      </c>
      <c r="L117" s="207">
        <v>5000</v>
      </c>
      <c r="M117" s="295">
        <f t="shared" si="10"/>
        <v>4.8698050000000004</v>
      </c>
      <c r="N117" s="296">
        <v>10</v>
      </c>
      <c r="O117" s="209">
        <v>100000</v>
      </c>
      <c r="P117" s="293">
        <v>1000000</v>
      </c>
      <c r="Q117" s="209">
        <v>200000</v>
      </c>
      <c r="R117" s="293">
        <v>3000000</v>
      </c>
      <c r="S117" s="293">
        <v>160000</v>
      </c>
      <c r="T117" s="297">
        <f t="shared" si="11"/>
        <v>155.83376000000001</v>
      </c>
      <c r="U117" s="313">
        <f t="shared" si="8"/>
        <v>3.125</v>
      </c>
      <c r="V117" s="299">
        <f>IF('Prepare Gantt Chart'!G116=2,'Prepare Gantt Chart'!H116,9999)</f>
        <v>9999</v>
      </c>
      <c r="W117" s="300">
        <f t="shared" si="9"/>
        <v>2050</v>
      </c>
      <c r="X117" s="301"/>
      <c r="Y117" s="367" t="s">
        <v>10</v>
      </c>
      <c r="Z117" s="315">
        <v>10</v>
      </c>
      <c r="AA117" s="316"/>
      <c r="AB117" s="328" t="s">
        <v>99</v>
      </c>
      <c r="AC117" s="318">
        <v>2767000</v>
      </c>
      <c r="AD117" s="316"/>
      <c r="AE117" s="328" t="s">
        <v>102</v>
      </c>
      <c r="AF117" s="320">
        <v>4.4883303411131059E-2</v>
      </c>
      <c r="AG117" s="301"/>
    </row>
    <row r="118" spans="2:33" ht="15" thickBot="1" x14ac:dyDescent="0.2">
      <c r="B118" s="287">
        <v>113</v>
      </c>
      <c r="C118" s="401">
        <v>9</v>
      </c>
      <c r="D118" s="310" t="s">
        <v>458</v>
      </c>
      <c r="E118" s="402" t="s">
        <v>109</v>
      </c>
      <c r="F118" s="312" t="s">
        <v>407</v>
      </c>
      <c r="G118" s="12" t="s">
        <v>464</v>
      </c>
      <c r="H118" s="350" t="s">
        <v>462</v>
      </c>
      <c r="I118" s="12" t="s">
        <v>483</v>
      </c>
      <c r="J118" s="293">
        <v>7622</v>
      </c>
      <c r="K118" s="294">
        <v>1</v>
      </c>
      <c r="L118" s="207">
        <v>1000</v>
      </c>
      <c r="M118" s="295">
        <f t="shared" si="10"/>
        <v>7.6220000000000003E-3</v>
      </c>
      <c r="N118" s="296">
        <v>10</v>
      </c>
      <c r="O118" s="209">
        <v>225000</v>
      </c>
      <c r="P118" s="293">
        <v>2250000</v>
      </c>
      <c r="Q118" s="209">
        <v>120000</v>
      </c>
      <c r="R118" s="293">
        <v>1800000</v>
      </c>
      <c r="S118" s="293">
        <v>162000</v>
      </c>
      <c r="T118" s="297">
        <f t="shared" si="11"/>
        <v>1.234764</v>
      </c>
      <c r="U118" s="313">
        <f t="shared" si="8"/>
        <v>0.61728395061728392</v>
      </c>
      <c r="V118" s="299">
        <f>IF('Prepare Gantt Chart'!G117=2,'Prepare Gantt Chart'!H117,9999)</f>
        <v>9999</v>
      </c>
      <c r="W118" s="300">
        <f t="shared" si="9"/>
        <v>2050</v>
      </c>
      <c r="X118" s="301"/>
      <c r="Y118" s="367" t="s">
        <v>12</v>
      </c>
      <c r="Z118" s="315">
        <v>10</v>
      </c>
      <c r="AA118" s="316"/>
      <c r="AB118" s="317" t="s">
        <v>25</v>
      </c>
      <c r="AC118" s="318">
        <v>3345000</v>
      </c>
      <c r="AD118" s="316"/>
      <c r="AE118" s="323" t="s">
        <v>40</v>
      </c>
      <c r="AF118" s="320">
        <v>4.1666666666666671E-2</v>
      </c>
      <c r="AG118" s="301"/>
    </row>
    <row r="119" spans="2:33" ht="15" thickBot="1" x14ac:dyDescent="0.2">
      <c r="B119" s="287">
        <v>114</v>
      </c>
      <c r="C119" s="401">
        <v>9</v>
      </c>
      <c r="D119" s="310" t="s">
        <v>458</v>
      </c>
      <c r="E119" s="402" t="s">
        <v>418</v>
      </c>
      <c r="F119" s="312" t="s">
        <v>405</v>
      </c>
      <c r="G119" s="12" t="s">
        <v>464</v>
      </c>
      <c r="H119" s="350" t="s">
        <v>462</v>
      </c>
      <c r="I119" s="12" t="s">
        <v>482</v>
      </c>
      <c r="J119" s="293">
        <v>7622</v>
      </c>
      <c r="K119" s="294">
        <v>1</v>
      </c>
      <c r="L119" s="207">
        <v>2000</v>
      </c>
      <c r="M119" s="295">
        <f t="shared" si="10"/>
        <v>1.5244000000000001E-2</v>
      </c>
      <c r="N119" s="296">
        <v>10</v>
      </c>
      <c r="O119" s="209">
        <v>110000</v>
      </c>
      <c r="P119" s="293">
        <v>1100000</v>
      </c>
      <c r="Q119" s="209">
        <v>50000</v>
      </c>
      <c r="R119" s="293">
        <v>750000</v>
      </c>
      <c r="S119" s="293">
        <v>74000</v>
      </c>
      <c r="T119" s="297">
        <f t="shared" si="11"/>
        <v>0.56402799999999997</v>
      </c>
      <c r="U119" s="313">
        <f t="shared" si="8"/>
        <v>2.7027027027027026</v>
      </c>
      <c r="V119" s="299">
        <f>IF('Prepare Gantt Chart'!G118=2,'Prepare Gantt Chart'!H118,9999)</f>
        <v>9999</v>
      </c>
      <c r="W119" s="300">
        <f t="shared" si="9"/>
        <v>2050</v>
      </c>
      <c r="X119" s="301"/>
      <c r="Y119" s="383" t="s">
        <v>40</v>
      </c>
      <c r="Z119" s="315">
        <v>10</v>
      </c>
      <c r="AA119" s="316"/>
      <c r="AB119" s="327" t="s">
        <v>91</v>
      </c>
      <c r="AC119" s="318">
        <v>4597000</v>
      </c>
      <c r="AD119" s="316"/>
      <c r="AE119" s="328" t="s">
        <v>99</v>
      </c>
      <c r="AF119" s="320">
        <v>3.6140224069389229E-2</v>
      </c>
      <c r="AG119" s="301"/>
    </row>
    <row r="120" spans="2:33" ht="15" thickBot="1" x14ac:dyDescent="0.2">
      <c r="B120" s="287">
        <v>115</v>
      </c>
      <c r="C120" s="401">
        <v>9</v>
      </c>
      <c r="D120" s="310" t="s">
        <v>458</v>
      </c>
      <c r="E120" s="402" t="s">
        <v>419</v>
      </c>
      <c r="F120" s="312" t="s">
        <v>406</v>
      </c>
      <c r="G120" s="12" t="s">
        <v>464</v>
      </c>
      <c r="H120" s="350" t="s">
        <v>462</v>
      </c>
      <c r="I120" s="12" t="s">
        <v>482</v>
      </c>
      <c r="J120" s="293">
        <v>7622</v>
      </c>
      <c r="K120" s="294">
        <v>1</v>
      </c>
      <c r="L120" s="207">
        <v>1000</v>
      </c>
      <c r="M120" s="295">
        <f t="shared" si="10"/>
        <v>7.6220000000000003E-3</v>
      </c>
      <c r="N120" s="296">
        <v>10</v>
      </c>
      <c r="O120" s="209">
        <v>150000</v>
      </c>
      <c r="P120" s="293">
        <v>1500000</v>
      </c>
      <c r="Q120" s="209">
        <v>70000</v>
      </c>
      <c r="R120" s="293">
        <v>1050000</v>
      </c>
      <c r="S120" s="293">
        <v>102000</v>
      </c>
      <c r="T120" s="297">
        <f t="shared" si="11"/>
        <v>0.77744400000000002</v>
      </c>
      <c r="U120" s="313">
        <f t="shared" si="8"/>
        <v>0.98039215686274506</v>
      </c>
      <c r="V120" s="299">
        <f>IF('Prepare Gantt Chart'!G119=2,'Prepare Gantt Chart'!H119,9999)</f>
        <v>9999</v>
      </c>
      <c r="W120" s="300">
        <f t="shared" si="9"/>
        <v>2050</v>
      </c>
      <c r="X120" s="301"/>
      <c r="Y120" s="366" t="s">
        <v>49</v>
      </c>
      <c r="Z120" s="315">
        <v>10</v>
      </c>
      <c r="AA120" s="316"/>
      <c r="AB120" s="328" t="s">
        <v>103</v>
      </c>
      <c r="AC120" s="318">
        <v>5830000</v>
      </c>
      <c r="AD120" s="316"/>
      <c r="AE120" s="326" t="s">
        <v>54</v>
      </c>
      <c r="AF120" s="320">
        <v>2.5862068965517241E-2</v>
      </c>
      <c r="AG120" s="301"/>
    </row>
    <row r="121" spans="2:33" ht="15" thickBot="1" x14ac:dyDescent="0.2">
      <c r="B121" s="287">
        <v>116</v>
      </c>
      <c r="C121" s="401">
        <v>9</v>
      </c>
      <c r="D121" s="310" t="s">
        <v>458</v>
      </c>
      <c r="E121" s="402" t="s">
        <v>420</v>
      </c>
      <c r="F121" s="312" t="s">
        <v>173</v>
      </c>
      <c r="G121" s="12" t="s">
        <v>464</v>
      </c>
      <c r="H121" s="350" t="s">
        <v>462</v>
      </c>
      <c r="I121" s="12" t="s">
        <v>482</v>
      </c>
      <c r="J121" s="293">
        <v>987329</v>
      </c>
      <c r="K121" s="294">
        <v>1</v>
      </c>
      <c r="L121" s="207">
        <v>1000</v>
      </c>
      <c r="M121" s="295">
        <f t="shared" si="10"/>
        <v>0.98732900000000001</v>
      </c>
      <c r="N121" s="296">
        <v>1</v>
      </c>
      <c r="O121" s="209">
        <v>60</v>
      </c>
      <c r="P121" s="293">
        <v>60</v>
      </c>
      <c r="Q121" s="209">
        <v>40</v>
      </c>
      <c r="R121" s="293">
        <v>1000</v>
      </c>
      <c r="S121" s="293">
        <v>40</v>
      </c>
      <c r="T121" s="297">
        <f t="shared" si="11"/>
        <v>3.9493159999999999E-2</v>
      </c>
      <c r="U121" s="313">
        <f t="shared" si="8"/>
        <v>2500</v>
      </c>
      <c r="V121" s="299">
        <f>IF('Prepare Gantt Chart'!G120=2,'Prepare Gantt Chart'!H120,9999)</f>
        <v>9999</v>
      </c>
      <c r="W121" s="300">
        <f t="shared" si="9"/>
        <v>2050</v>
      </c>
      <c r="X121" s="301"/>
      <c r="Y121" s="384" t="s">
        <v>28</v>
      </c>
      <c r="Z121" s="315">
        <v>5</v>
      </c>
      <c r="AA121" s="316"/>
      <c r="AB121" s="328" t="s">
        <v>96</v>
      </c>
      <c r="AC121" s="318">
        <v>9606000</v>
      </c>
      <c r="AD121" s="316"/>
      <c r="AE121" s="328" t="s">
        <v>103</v>
      </c>
      <c r="AF121" s="320">
        <v>1.7152658662092621E-2</v>
      </c>
      <c r="AG121" s="301"/>
    </row>
    <row r="122" spans="2:33" ht="15" thickBot="1" x14ac:dyDescent="0.2">
      <c r="B122" s="330">
        <v>117</v>
      </c>
      <c r="C122" s="403">
        <v>9</v>
      </c>
      <c r="D122" s="332" t="s">
        <v>458</v>
      </c>
      <c r="E122" s="404" t="s">
        <v>421</v>
      </c>
      <c r="F122" s="334" t="s">
        <v>118</v>
      </c>
      <c r="G122" s="335" t="s">
        <v>464</v>
      </c>
      <c r="H122" s="336" t="s">
        <v>461</v>
      </c>
      <c r="I122" s="335" t="s">
        <v>482</v>
      </c>
      <c r="J122" s="337">
        <v>7622</v>
      </c>
      <c r="K122" s="338">
        <v>1</v>
      </c>
      <c r="L122" s="208">
        <v>1000</v>
      </c>
      <c r="M122" s="339">
        <f t="shared" si="10"/>
        <v>7.6220000000000003E-3</v>
      </c>
      <c r="N122" s="340">
        <v>1</v>
      </c>
      <c r="O122" s="210">
        <v>60</v>
      </c>
      <c r="P122" s="337">
        <v>60</v>
      </c>
      <c r="Q122" s="210">
        <v>40</v>
      </c>
      <c r="R122" s="337">
        <v>1000</v>
      </c>
      <c r="S122" s="337">
        <v>40</v>
      </c>
      <c r="T122" s="341">
        <f t="shared" si="11"/>
        <v>3.0487999999999999E-4</v>
      </c>
      <c r="U122" s="342">
        <f t="shared" si="8"/>
        <v>2500</v>
      </c>
      <c r="V122" s="336">
        <f>IF('Prepare Gantt Chart'!G121=2,'Prepare Gantt Chart'!H121,9999)</f>
        <v>9999</v>
      </c>
      <c r="W122" s="343">
        <f t="shared" si="9"/>
        <v>2050</v>
      </c>
      <c r="X122" s="301"/>
      <c r="Y122" s="405" t="s">
        <v>408</v>
      </c>
      <c r="Z122" s="406">
        <v>5</v>
      </c>
      <c r="AA122" s="407"/>
      <c r="AB122" s="408" t="s">
        <v>95</v>
      </c>
      <c r="AC122" s="409">
        <v>32018000</v>
      </c>
      <c r="AD122" s="407"/>
      <c r="AE122" s="410" t="s">
        <v>408</v>
      </c>
      <c r="AF122" s="411">
        <v>7.1428571428571435E-3</v>
      </c>
      <c r="AG122" s="301"/>
    </row>
    <row r="123" spans="2:33" ht="5" customHeight="1" x14ac:dyDescent="0.15">
      <c r="S123" s="414"/>
    </row>
    <row r="124" spans="2:33" hidden="1" x14ac:dyDescent="0.15">
      <c r="J124" s="293">
        <f>SUM(J6:J122)</f>
        <v>1793766127</v>
      </c>
      <c r="K124" s="416"/>
      <c r="L124" s="293">
        <f>SUM(L6:L122)</f>
        <v>1328155</v>
      </c>
      <c r="M124" s="417">
        <f>SUM(M6:M122)</f>
        <v>207.21170221964996</v>
      </c>
      <c r="N124" s="417"/>
      <c r="O124" s="417"/>
      <c r="P124" s="417"/>
      <c r="Q124" s="417"/>
      <c r="R124" s="417"/>
      <c r="S124" s="418">
        <f t="shared" ref="S124" si="12">SUM(S6:S122)</f>
        <v>79299460</v>
      </c>
      <c r="T124" s="419">
        <f>SUM(T6:T122)</f>
        <v>25589.834580615396</v>
      </c>
    </row>
    <row r="125" spans="2:33" hidden="1" x14ac:dyDescent="0.15">
      <c r="J125" s="293">
        <f>SUM(J6:J122)</f>
        <v>1793766127</v>
      </c>
      <c r="K125" s="293"/>
      <c r="L125" s="293">
        <f t="shared" ref="L125" si="13">SUM(L6:L122)</f>
        <v>1328155</v>
      </c>
      <c r="M125" s="420">
        <f>SUM(M6:M122)</f>
        <v>207.21170221964996</v>
      </c>
      <c r="N125" s="420"/>
      <c r="O125" s="420"/>
      <c r="P125" s="421">
        <f t="shared" ref="P125" si="14">SUM(P6:P122)</f>
        <v>1600006650</v>
      </c>
      <c r="T125" s="422">
        <f>SUM(T6:T122)</f>
        <v>25589.834580615396</v>
      </c>
    </row>
    <row r="134" spans="8:21" x14ac:dyDescent="0.15">
      <c r="H134" s="12"/>
      <c r="I134" s="12"/>
      <c r="M134" s="12"/>
      <c r="N134" s="12"/>
      <c r="O134" s="12"/>
      <c r="P134" s="12"/>
      <c r="Q134" s="12"/>
      <c r="R134" s="12"/>
      <c r="S134" s="12"/>
      <c r="U134" s="423"/>
    </row>
  </sheetData>
  <sheetProtection algorithmName="SHA-512" hashValue="CEw864pYcoNsqfrtCJpAVOfJjt0TXxJIf3KFR+JeATzEm+lwrOzIoIqioQ9esXpQznSZUuEFLie5P/To+73JLg==" saltValue="Zctl5Prq1hpH0sDHqGFnyQ==" spinCount="100000" sheet="1" objects="1" scenarios="1" selectLockedCells="1"/>
  <mergeCells count="7">
    <mergeCell ref="L4:S4"/>
    <mergeCell ref="H3:I3"/>
    <mergeCell ref="R3:T3"/>
    <mergeCell ref="Y3:AF3"/>
    <mergeCell ref="Y4:Z4"/>
    <mergeCell ref="AB4:AC4"/>
    <mergeCell ref="AE4:AF4"/>
  </mergeCells>
  <conditionalFormatting sqref="K6:L122">
    <cfRule type="expression" dxfId="33" priority="304">
      <formula>$K6&lt;&gt;#REF!</formula>
    </cfRule>
  </conditionalFormatting>
  <conditionalFormatting sqref="V6:V122">
    <cfRule type="cellIs" dxfId="32" priority="294" operator="greaterThan">
      <formula>#REF!</formula>
    </cfRule>
  </conditionalFormatting>
  <conditionalFormatting sqref="W6:W122">
    <cfRule type="expression" dxfId="31" priority="284">
      <formula>AND(#REF!-$W6&gt;0, #REF!-$W6&lt;50)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0F609-CC3C-4EBB-864D-1B107DEE29EF}">
  <dimension ref="A1:BQ146"/>
  <sheetViews>
    <sheetView zoomScale="70" zoomScaleNormal="70" zoomScaleSheetLayoutView="40" workbookViewId="0">
      <selection activeCell="A5" sqref="A5"/>
    </sheetView>
  </sheetViews>
  <sheetFormatPr baseColWidth="10" defaultColWidth="8.83203125" defaultRowHeight="15" x14ac:dyDescent="0.2"/>
  <cols>
    <col min="1" max="1" width="19.83203125" customWidth="1"/>
    <col min="2" max="2" width="71.1640625" customWidth="1"/>
    <col min="3" max="29" width="20.5" customWidth="1"/>
    <col min="30" max="30" width="22.6640625" customWidth="1"/>
    <col min="31" max="35" width="30.5" customWidth="1"/>
    <col min="36" max="36" width="10.5" customWidth="1"/>
    <col min="38" max="63" width="20.5" style="53" customWidth="1"/>
    <col min="64" max="69" width="30.5" customWidth="1"/>
  </cols>
  <sheetData>
    <row r="1" spans="1:69" ht="82.5" customHeight="1" x14ac:dyDescent="0.2">
      <c r="A1" s="47"/>
      <c r="B1" s="48" t="s">
        <v>628</v>
      </c>
      <c r="C1" s="101">
        <f>IF((SUM(AL123:BK123))=0,0,SUM(C123:AB123)/(SUM(AL123:BK123)))</f>
        <v>0</v>
      </c>
      <c r="D1" s="49" t="s">
        <v>915</v>
      </c>
      <c r="E1" s="47"/>
      <c r="F1" s="48" t="s">
        <v>629</v>
      </c>
      <c r="G1" s="112">
        <f>SUM(C123:AB123)/1000000000/26</f>
        <v>0</v>
      </c>
      <c r="H1" s="49" t="s">
        <v>609</v>
      </c>
      <c r="J1" s="55"/>
      <c r="K1" s="48" t="s">
        <v>608</v>
      </c>
      <c r="L1" s="113">
        <f>(SUM(AL123:BK123)/1000000000)/26</f>
        <v>0</v>
      </c>
      <c r="M1" s="54" t="s">
        <v>610</v>
      </c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47"/>
      <c r="BM1" s="47"/>
      <c r="BN1" s="47"/>
      <c r="BO1" s="47"/>
      <c r="BP1" s="47"/>
      <c r="BQ1" s="52"/>
    </row>
    <row r="2" spans="1:69" ht="60.75" customHeight="1" x14ac:dyDescent="0.2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47"/>
      <c r="BM2" s="47"/>
      <c r="BN2" s="47"/>
      <c r="BO2" s="47"/>
      <c r="BP2" s="47"/>
      <c r="BQ2" s="52"/>
    </row>
    <row r="3" spans="1:69" ht="282.75" customHeight="1" x14ac:dyDescent="0.2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47"/>
      <c r="BM3" s="47"/>
      <c r="BN3" s="47"/>
      <c r="BO3" s="47"/>
      <c r="BP3" s="47"/>
      <c r="BQ3" s="52"/>
    </row>
    <row r="4" spans="1:69" ht="366" customHeight="1" x14ac:dyDescent="0.3">
      <c r="A4" s="47"/>
      <c r="B4" s="59" t="s">
        <v>612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L4" s="59" t="s">
        <v>613</v>
      </c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95"/>
      <c r="BM4" s="47"/>
      <c r="BN4" s="47"/>
      <c r="BO4" s="47"/>
      <c r="BP4" s="47"/>
      <c r="BQ4" s="52"/>
    </row>
    <row r="5" spans="1:69" ht="49" thickBot="1" x14ac:dyDescent="0.25">
      <c r="A5" s="7" t="s">
        <v>425</v>
      </c>
      <c r="B5" s="3" t="s">
        <v>1</v>
      </c>
      <c r="C5" s="57">
        <v>2025</v>
      </c>
      <c r="D5" s="57">
        <v>2026</v>
      </c>
      <c r="E5" s="57">
        <v>2027</v>
      </c>
      <c r="F5" s="57">
        <v>2028</v>
      </c>
      <c r="G5" s="57">
        <v>2029</v>
      </c>
      <c r="H5" s="57">
        <v>2030</v>
      </c>
      <c r="I5" s="57">
        <v>2031</v>
      </c>
      <c r="J5" s="57">
        <v>2032</v>
      </c>
      <c r="K5" s="57">
        <v>2033</v>
      </c>
      <c r="L5" s="57">
        <v>2034</v>
      </c>
      <c r="M5" s="57">
        <v>2035</v>
      </c>
      <c r="N5" s="57">
        <v>2036</v>
      </c>
      <c r="O5" s="57">
        <v>2037</v>
      </c>
      <c r="P5" s="57">
        <v>2038</v>
      </c>
      <c r="Q5" s="57">
        <v>2039</v>
      </c>
      <c r="R5" s="57">
        <v>2040</v>
      </c>
      <c r="S5" s="57">
        <v>2041</v>
      </c>
      <c r="T5" s="57">
        <v>2042</v>
      </c>
      <c r="U5" s="57">
        <v>2043</v>
      </c>
      <c r="V5" s="57">
        <v>2044</v>
      </c>
      <c r="W5" s="57">
        <v>2045</v>
      </c>
      <c r="X5" s="57">
        <v>2046</v>
      </c>
      <c r="Y5" s="57">
        <v>2047</v>
      </c>
      <c r="Z5" s="57">
        <v>2048</v>
      </c>
      <c r="AA5" s="57">
        <v>2049</v>
      </c>
      <c r="AB5" s="57">
        <v>2050</v>
      </c>
      <c r="AC5" s="6" t="s">
        <v>614</v>
      </c>
      <c r="AD5" s="6" t="s">
        <v>611</v>
      </c>
      <c r="AE5" s="6" t="s">
        <v>617</v>
      </c>
      <c r="AF5" s="6" t="s">
        <v>618</v>
      </c>
      <c r="AG5" s="6" t="s">
        <v>619</v>
      </c>
      <c r="AH5" s="6" t="s">
        <v>620</v>
      </c>
      <c r="AI5" s="6" t="s">
        <v>621</v>
      </c>
      <c r="AK5" s="7" t="s">
        <v>425</v>
      </c>
      <c r="AL5" s="56">
        <v>2025</v>
      </c>
      <c r="AM5" s="56">
        <v>2026</v>
      </c>
      <c r="AN5" s="56">
        <v>2027</v>
      </c>
      <c r="AO5" s="56">
        <v>2028</v>
      </c>
      <c r="AP5" s="56">
        <v>2029</v>
      </c>
      <c r="AQ5" s="56">
        <v>2030</v>
      </c>
      <c r="AR5" s="56">
        <v>2031</v>
      </c>
      <c r="AS5" s="56">
        <v>2032</v>
      </c>
      <c r="AT5" s="56">
        <v>2033</v>
      </c>
      <c r="AU5" s="56">
        <v>2034</v>
      </c>
      <c r="AV5" s="56">
        <v>2035</v>
      </c>
      <c r="AW5" s="56">
        <v>2036</v>
      </c>
      <c r="AX5" s="56">
        <v>2037</v>
      </c>
      <c r="AY5" s="56">
        <v>2038</v>
      </c>
      <c r="AZ5" s="56">
        <v>2039</v>
      </c>
      <c r="BA5" s="56">
        <v>2040</v>
      </c>
      <c r="BB5" s="56">
        <v>2041</v>
      </c>
      <c r="BC5" s="56">
        <v>2042</v>
      </c>
      <c r="BD5" s="56">
        <v>2043</v>
      </c>
      <c r="BE5" s="56">
        <v>2044</v>
      </c>
      <c r="BF5" s="56">
        <v>2045</v>
      </c>
      <c r="BG5" s="56">
        <v>2046</v>
      </c>
      <c r="BH5" s="56">
        <v>2047</v>
      </c>
      <c r="BI5" s="56">
        <v>2048</v>
      </c>
      <c r="BJ5" s="56">
        <v>2049</v>
      </c>
      <c r="BK5" s="56">
        <v>2050</v>
      </c>
      <c r="BL5" s="6" t="s">
        <v>616</v>
      </c>
      <c r="BM5" s="6" t="s">
        <v>622</v>
      </c>
      <c r="BN5" s="6" t="s">
        <v>623</v>
      </c>
      <c r="BO5" s="6" t="s">
        <v>624</v>
      </c>
      <c r="BP5" s="6" t="s">
        <v>625</v>
      </c>
      <c r="BQ5" s="6" t="s">
        <v>626</v>
      </c>
    </row>
    <row r="6" spans="1:69" x14ac:dyDescent="0.2">
      <c r="A6" s="17" t="s">
        <v>5</v>
      </c>
      <c r="B6" s="4" t="s">
        <v>384</v>
      </c>
      <c r="C6" s="45">
        <f>_xlfn.IFS('Prepare Gantt Chart'!P5=2,'Project types'!$O6*('Prepare Gantt Chart'!$I5*'Prepare Gantt Chart'!$J5),'Prepare Gantt Chart'!P5=1,'Project types'!$Q6*('Prepare Gantt Chart'!$I5*'Prepare Gantt Chart'!$J5),'Prepare Gantt Chart'!P5=0,0)</f>
        <v>0</v>
      </c>
      <c r="D6" s="45">
        <f>_xlfn.IFS('Prepare Gantt Chart'!Q5=2,'Project types'!$O6*('Prepare Gantt Chart'!$I5*'Prepare Gantt Chart'!$J5),'Prepare Gantt Chart'!Q5=1,'Project types'!$Q6*('Prepare Gantt Chart'!$I5*'Prepare Gantt Chart'!$J5),'Prepare Gantt Chart'!Q5=0,0)</f>
        <v>0</v>
      </c>
      <c r="E6" s="45">
        <f>_xlfn.IFS('Prepare Gantt Chart'!R5=2,'Project types'!$O6*('Prepare Gantt Chart'!$I5*'Prepare Gantt Chart'!$J5),'Prepare Gantt Chart'!R5=1,'Project types'!$Q6*('Prepare Gantt Chart'!$I5*'Prepare Gantt Chart'!$J5),'Prepare Gantt Chart'!R5=0,0)</f>
        <v>0</v>
      </c>
      <c r="F6" s="45">
        <f>_xlfn.IFS('Prepare Gantt Chart'!S5=2,'Project types'!$O6*('Prepare Gantt Chart'!$I5*'Prepare Gantt Chart'!$J5),'Prepare Gantt Chart'!S5=1,'Project types'!$Q6*('Prepare Gantt Chart'!$I5*'Prepare Gantt Chart'!$J5),'Prepare Gantt Chart'!S5=0,0)</f>
        <v>0</v>
      </c>
      <c r="G6" s="45">
        <f>_xlfn.IFS('Prepare Gantt Chart'!T5=2,'Project types'!$O6*('Prepare Gantt Chart'!$I5*'Prepare Gantt Chart'!$J5),'Prepare Gantt Chart'!T5=1,'Project types'!$Q6*('Prepare Gantt Chart'!$I5*'Prepare Gantt Chart'!$J5),'Prepare Gantt Chart'!T5=0,0)</f>
        <v>0</v>
      </c>
      <c r="H6" s="45">
        <f>_xlfn.IFS('Prepare Gantt Chart'!U5=2,'Project types'!$O6*('Prepare Gantt Chart'!$I5*'Prepare Gantt Chart'!$J5),'Prepare Gantt Chart'!U5=1,'Project types'!$Q6*('Prepare Gantt Chart'!$I5*'Prepare Gantt Chart'!$J5),'Prepare Gantt Chart'!U5=0,0)</f>
        <v>0</v>
      </c>
      <c r="I6" s="45">
        <f>_xlfn.IFS('Prepare Gantt Chart'!V5=2,'Project types'!$O6*('Prepare Gantt Chart'!$I5*'Prepare Gantt Chart'!$J5),'Prepare Gantt Chart'!V5=1,'Project types'!$Q6*('Prepare Gantt Chart'!$I5*'Prepare Gantt Chart'!$J5),'Prepare Gantt Chart'!V5=0,0)</f>
        <v>0</v>
      </c>
      <c r="J6" s="45">
        <f>_xlfn.IFS('Prepare Gantt Chart'!W5=2,'Project types'!$O6*('Prepare Gantt Chart'!$I5*'Prepare Gantt Chart'!$J5),'Prepare Gantt Chart'!W5=1,'Project types'!$Q6*('Prepare Gantt Chart'!$I5*'Prepare Gantt Chart'!$J5),'Prepare Gantt Chart'!W5=0,0)</f>
        <v>0</v>
      </c>
      <c r="K6" s="45">
        <f>_xlfn.IFS('Prepare Gantt Chart'!X5=2,'Project types'!$O6*('Prepare Gantt Chart'!$I5*'Prepare Gantt Chart'!$J5),'Prepare Gantt Chart'!X5=1,'Project types'!$Q6*('Prepare Gantt Chart'!$I5*'Prepare Gantt Chart'!$J5),'Prepare Gantt Chart'!X5=0,0)</f>
        <v>0</v>
      </c>
      <c r="L6" s="45">
        <f>_xlfn.IFS('Prepare Gantt Chart'!Y5=2,'Project types'!$O6*('Prepare Gantt Chart'!$I5*'Prepare Gantt Chart'!$J5),'Prepare Gantt Chart'!Y5=1,'Project types'!$Q6*('Prepare Gantt Chart'!$I5*'Prepare Gantt Chart'!$J5),'Prepare Gantt Chart'!Y5=0,0)</f>
        <v>0</v>
      </c>
      <c r="M6" s="45">
        <f>_xlfn.IFS('Prepare Gantt Chart'!Z5=2,'Project types'!$O6*('Prepare Gantt Chart'!$I5*'Prepare Gantt Chart'!$J5),'Prepare Gantt Chart'!Z5=1,'Project types'!$Q6*('Prepare Gantt Chart'!$I5*'Prepare Gantt Chart'!$J5),'Prepare Gantt Chart'!Z5=0,0)</f>
        <v>0</v>
      </c>
      <c r="N6" s="45">
        <f>_xlfn.IFS('Prepare Gantt Chart'!AA5=2,'Project types'!$O6*('Prepare Gantt Chart'!$I5*'Prepare Gantt Chart'!$J5),'Prepare Gantt Chart'!AA5=1,'Project types'!$Q6*('Prepare Gantt Chart'!$I5*'Prepare Gantt Chart'!$J5),'Prepare Gantt Chart'!AA5=0,0)</f>
        <v>0</v>
      </c>
      <c r="O6" s="45">
        <f>_xlfn.IFS('Prepare Gantt Chart'!AB5=2,'Project types'!$O6*('Prepare Gantt Chart'!$I5*'Prepare Gantt Chart'!$J5),'Prepare Gantt Chart'!AB5=1,'Project types'!$Q6*('Prepare Gantt Chart'!$I5*'Prepare Gantt Chart'!$J5),'Prepare Gantt Chart'!AB5=0,0)</f>
        <v>0</v>
      </c>
      <c r="P6" s="45">
        <f>_xlfn.IFS('Prepare Gantt Chart'!AC5=2,'Project types'!$O6*('Prepare Gantt Chart'!$I5*'Prepare Gantt Chart'!$J5),'Prepare Gantt Chart'!AC5=1,'Project types'!$Q6*('Prepare Gantt Chart'!$I5*'Prepare Gantt Chart'!$J5),'Prepare Gantt Chart'!AC5=0,0)</f>
        <v>0</v>
      </c>
      <c r="Q6" s="45">
        <f>_xlfn.IFS('Prepare Gantt Chart'!AD5=2,'Project types'!$O6*('Prepare Gantt Chart'!$I5*'Prepare Gantt Chart'!$J5),'Prepare Gantt Chart'!AD5=1,'Project types'!$Q6*('Prepare Gantt Chart'!$I5*'Prepare Gantt Chart'!$J5),'Prepare Gantt Chart'!AD5=0,0)</f>
        <v>0</v>
      </c>
      <c r="R6" s="45">
        <f>_xlfn.IFS('Prepare Gantt Chart'!AE5=2,'Project types'!$O6*('Prepare Gantt Chart'!$I5*'Prepare Gantt Chart'!$J5),'Prepare Gantt Chart'!AE5=1,'Project types'!$Q6*('Prepare Gantt Chart'!$I5*'Prepare Gantt Chart'!$J5),'Prepare Gantt Chart'!AE5=0,0)</f>
        <v>0</v>
      </c>
      <c r="S6" s="45">
        <f>_xlfn.IFS('Prepare Gantt Chart'!AF5=2,'Project types'!$O6*('Prepare Gantt Chart'!$I5*'Prepare Gantt Chart'!$J5),'Prepare Gantt Chart'!AF5=1,'Project types'!$Q6*('Prepare Gantt Chart'!$I5*'Prepare Gantt Chart'!$J5),'Prepare Gantt Chart'!AF5=0,0)</f>
        <v>0</v>
      </c>
      <c r="T6" s="45">
        <f>_xlfn.IFS('Prepare Gantt Chart'!AG5=2,'Project types'!$O6*('Prepare Gantt Chart'!$I5*'Prepare Gantt Chart'!$J5),'Prepare Gantt Chart'!AG5=1,'Project types'!$Q6*('Prepare Gantt Chart'!$I5*'Prepare Gantt Chart'!$J5),'Prepare Gantt Chart'!AG5=0,0)</f>
        <v>0</v>
      </c>
      <c r="U6" s="45">
        <f>_xlfn.IFS('Prepare Gantt Chart'!AH5=2,'Project types'!$O6*('Prepare Gantt Chart'!$I5*'Prepare Gantt Chart'!$J5),'Prepare Gantt Chart'!AH5=1,'Project types'!$Q6*('Prepare Gantt Chart'!$I5*'Prepare Gantt Chart'!$J5),'Prepare Gantt Chart'!AH5=0,0)</f>
        <v>0</v>
      </c>
      <c r="V6" s="45">
        <f>_xlfn.IFS('Prepare Gantt Chart'!AI5=2,'Project types'!$O6*('Prepare Gantt Chart'!$I5*'Prepare Gantt Chart'!$J5),'Prepare Gantt Chart'!AI5=1,'Project types'!$Q6*('Prepare Gantt Chart'!$I5*'Prepare Gantt Chart'!$J5),'Prepare Gantt Chart'!AI5=0,0)</f>
        <v>0</v>
      </c>
      <c r="W6" s="45">
        <f>_xlfn.IFS('Prepare Gantt Chart'!AJ5=2,'Project types'!$O6*('Prepare Gantt Chart'!$I5*'Prepare Gantt Chart'!$J5),'Prepare Gantt Chart'!AJ5=1,'Project types'!$Q6*('Prepare Gantt Chart'!$I5*'Prepare Gantt Chart'!$J5),'Prepare Gantt Chart'!AJ5=0,0)</f>
        <v>0</v>
      </c>
      <c r="X6" s="45">
        <f>_xlfn.IFS('Prepare Gantt Chart'!AK5=2,'Project types'!$O6*('Prepare Gantt Chart'!$I5*'Prepare Gantt Chart'!$J5),'Prepare Gantt Chart'!AK5=1,'Project types'!$Q6*('Prepare Gantt Chart'!$I5*'Prepare Gantt Chart'!$J5),'Prepare Gantt Chart'!AK5=0,0)</f>
        <v>0</v>
      </c>
      <c r="Y6" s="45">
        <f>_xlfn.IFS('Prepare Gantt Chart'!AL5=2,'Project types'!$O6*('Prepare Gantt Chart'!$I5*'Prepare Gantt Chart'!$J5),'Prepare Gantt Chart'!AL5=1,'Project types'!$Q6*('Prepare Gantt Chart'!$I5*'Prepare Gantt Chart'!$J5),'Prepare Gantt Chart'!AL5=0,0)</f>
        <v>0</v>
      </c>
      <c r="Z6" s="45">
        <f>_xlfn.IFS('Prepare Gantt Chart'!AM5=2,'Project types'!$O6*('Prepare Gantt Chart'!$I5*'Prepare Gantt Chart'!$J5),'Prepare Gantt Chart'!AM5=1,'Project types'!$Q6*('Prepare Gantt Chart'!$I5*'Prepare Gantt Chart'!$J5),'Prepare Gantt Chart'!AM5=0,0)</f>
        <v>0</v>
      </c>
      <c r="AA6" s="45">
        <f>_xlfn.IFS('Prepare Gantt Chart'!AN5=2,'Project types'!$O6*('Prepare Gantt Chart'!$I5*'Prepare Gantt Chart'!$J5),'Prepare Gantt Chart'!AN5=1,'Project types'!$Q6*('Prepare Gantt Chart'!$I5*'Prepare Gantt Chart'!$J5),'Prepare Gantt Chart'!AN5=0,0)</f>
        <v>0</v>
      </c>
      <c r="AB6" s="45">
        <f>_xlfn.IFS('Prepare Gantt Chart'!AO5=2,'Project types'!$O6*('Prepare Gantt Chart'!$I5*'Prepare Gantt Chart'!$J5),'Prepare Gantt Chart'!AO5=1,'Project types'!$Q6*('Prepare Gantt Chart'!$I5*'Prepare Gantt Chart'!$J5),'Prepare Gantt Chart'!AO5=0,0)</f>
        <v>0</v>
      </c>
      <c r="AC6" s="45">
        <f>'Prepare Gantt Chart'!J5*'Prepare Gantt Chart'!I5*(AD6/26)</f>
        <v>0</v>
      </c>
      <c r="AD6" s="46">
        <f>SUM(C6:AB6)</f>
        <v>0</v>
      </c>
      <c r="AE6" s="72">
        <f>IF('Prepare Gantt Chart'!$J5=0,0,SUM(C6:H6)/6/'Prepare Gantt Chart'!$J5)</f>
        <v>0</v>
      </c>
      <c r="AF6" s="72">
        <f>IF('Prepare Gantt Chart'!$J5=0,0,SUM(I6:M6)/5/'Prepare Gantt Chart'!$J5)</f>
        <v>0</v>
      </c>
      <c r="AG6" s="72">
        <f>IF('Prepare Gantt Chart'!$J5=0,0,SUM(N6:R6)/5/'Prepare Gantt Chart'!$J5)</f>
        <v>0</v>
      </c>
      <c r="AH6" s="72">
        <f>IF('Prepare Gantt Chart'!$J5=0,0,SUM(S6:W6)/5/'Prepare Gantt Chart'!$J5)</f>
        <v>0</v>
      </c>
      <c r="AI6" s="72">
        <f>IF('Prepare Gantt Chart'!$J5=0,0,SUM(X6:AB6)/5/'Prepare Gantt Chart'!$J5)</f>
        <v>0</v>
      </c>
      <c r="AK6" s="17" t="s">
        <v>5</v>
      </c>
      <c r="AL6" s="45">
        <f>_xlfn.IFS('Prepare Gantt Chart'!P5=2,'Project types'!$L6*('Prepare Gantt Chart'!$I5*'Prepare Gantt Chart'!$J5),'Prepare Gantt Chart'!P5=1,'Project types'!$L6*('Prepare Gantt Chart'!$I5*'Prepare Gantt Chart'!$J5),'Prepare Gantt Chart'!P5=0,0)</f>
        <v>0</v>
      </c>
      <c r="AM6" s="45">
        <f>_xlfn.IFS('Prepare Gantt Chart'!Q5=2,'Project types'!$L6*('Prepare Gantt Chart'!$I5*'Prepare Gantt Chart'!$J5),'Prepare Gantt Chart'!Q5=1,'Project types'!$L6*('Prepare Gantt Chart'!$I5*'Prepare Gantt Chart'!$J5),'Prepare Gantt Chart'!Q5=0,0)</f>
        <v>0</v>
      </c>
      <c r="AN6" s="45">
        <f>_xlfn.IFS('Prepare Gantt Chart'!R5=2,'Project types'!$L6*('Prepare Gantt Chart'!$I5*'Prepare Gantt Chart'!$J5),'Prepare Gantt Chart'!R5=1,'Project types'!$L6*('Prepare Gantt Chart'!$I5*'Prepare Gantt Chart'!$J5),'Prepare Gantt Chart'!R5=0,0)</f>
        <v>0</v>
      </c>
      <c r="AO6" s="45">
        <f>_xlfn.IFS('Prepare Gantt Chart'!S5=2,'Project types'!$L6*('Prepare Gantt Chart'!$I5*'Prepare Gantt Chart'!$J5),'Prepare Gantt Chart'!S5=1,'Project types'!$L6*('Prepare Gantt Chart'!$I5*'Prepare Gantt Chart'!$J5),'Prepare Gantt Chart'!S5=0,0)</f>
        <v>0</v>
      </c>
      <c r="AP6" s="45">
        <f>_xlfn.IFS('Prepare Gantt Chart'!T5=2,'Project types'!$L6*('Prepare Gantt Chart'!$I5*'Prepare Gantt Chart'!$J5),'Prepare Gantt Chart'!T5=1,'Project types'!$L6*('Prepare Gantt Chart'!$I5*'Prepare Gantt Chart'!$J5),'Prepare Gantt Chart'!T5=0,0)</f>
        <v>0</v>
      </c>
      <c r="AQ6" s="45">
        <f>_xlfn.IFS('Prepare Gantt Chart'!U5=2,'Project types'!$L6*('Prepare Gantt Chart'!$I5*'Prepare Gantt Chart'!$J5),'Prepare Gantt Chart'!U5=1,'Project types'!$L6*('Prepare Gantt Chart'!$I5*'Prepare Gantt Chart'!$J5),'Prepare Gantt Chart'!U5=0,0)</f>
        <v>0</v>
      </c>
      <c r="AR6" s="45">
        <f>_xlfn.IFS('Prepare Gantt Chart'!V5=2,'Project types'!$L6*('Prepare Gantt Chart'!$I5*'Prepare Gantt Chart'!$J5),'Prepare Gantt Chart'!V5=1,'Project types'!$L6*('Prepare Gantt Chart'!$I5*'Prepare Gantt Chart'!$J5),'Prepare Gantt Chart'!V5=0,0)</f>
        <v>0</v>
      </c>
      <c r="AS6" s="45">
        <f>_xlfn.IFS('Prepare Gantt Chart'!W5=2,'Project types'!$L6*('Prepare Gantt Chart'!$I5*'Prepare Gantt Chart'!$J5),'Prepare Gantt Chart'!W5=1,'Project types'!$L6*('Prepare Gantt Chart'!$I5*'Prepare Gantt Chart'!$J5),'Prepare Gantt Chart'!W5=0,0)</f>
        <v>0</v>
      </c>
      <c r="AT6" s="45">
        <f>_xlfn.IFS('Prepare Gantt Chart'!X5=2,'Project types'!$L6*('Prepare Gantt Chart'!$I5*'Prepare Gantt Chart'!$J5),'Prepare Gantt Chart'!X5=1,'Project types'!$L6*('Prepare Gantt Chart'!$I5*'Prepare Gantt Chart'!$J5),'Prepare Gantt Chart'!X5=0,0)</f>
        <v>0</v>
      </c>
      <c r="AU6" s="45">
        <f>_xlfn.IFS('Prepare Gantt Chart'!Y5=2,'Project types'!$L6*('Prepare Gantt Chart'!$I5*'Prepare Gantt Chart'!$J5),'Prepare Gantt Chart'!Y5=1,'Project types'!$L6*('Prepare Gantt Chart'!$I5*'Prepare Gantt Chart'!$J5),'Prepare Gantt Chart'!Y5=0,0)</f>
        <v>0</v>
      </c>
      <c r="AV6" s="45">
        <f>_xlfn.IFS('Prepare Gantt Chart'!Z5=2,'Project types'!$L6*('Prepare Gantt Chart'!$I5*'Prepare Gantt Chart'!$J5),'Prepare Gantt Chart'!Z5=1,'Project types'!$L6*('Prepare Gantt Chart'!$I5*'Prepare Gantt Chart'!$J5),'Prepare Gantt Chart'!Z5=0,0)</f>
        <v>0</v>
      </c>
      <c r="AW6" s="45">
        <f>_xlfn.IFS('Prepare Gantt Chart'!AA5=2,'Project types'!$L6*('Prepare Gantt Chart'!$I5*'Prepare Gantt Chart'!$J5),'Prepare Gantt Chart'!AA5=1,'Project types'!$L6*('Prepare Gantt Chart'!$I5*'Prepare Gantt Chart'!$J5),'Prepare Gantt Chart'!AA5=0,0)</f>
        <v>0</v>
      </c>
      <c r="AX6" s="45">
        <f>_xlfn.IFS('Prepare Gantt Chart'!AB5=2,'Project types'!$L6*('Prepare Gantt Chart'!$I5*'Prepare Gantt Chart'!$J5),'Prepare Gantt Chart'!AB5=1,'Project types'!$L6*('Prepare Gantt Chart'!$I5*'Prepare Gantt Chart'!$J5),'Prepare Gantt Chart'!AB5=0,0)</f>
        <v>0</v>
      </c>
      <c r="AY6" s="45">
        <f>_xlfn.IFS('Prepare Gantt Chart'!AC5=2,'Project types'!$L6*('Prepare Gantt Chart'!$I5*'Prepare Gantt Chart'!$J5),'Prepare Gantt Chart'!AC5=1,'Project types'!$L6*('Prepare Gantt Chart'!$I5*'Prepare Gantt Chart'!$J5),'Prepare Gantt Chart'!AC5=0,0)</f>
        <v>0</v>
      </c>
      <c r="AZ6" s="45">
        <f>_xlfn.IFS('Prepare Gantt Chart'!AD5=2,'Project types'!$L6*('Prepare Gantt Chart'!$I5*'Prepare Gantt Chart'!$J5),'Prepare Gantt Chart'!AD5=1,'Project types'!$L6*('Prepare Gantt Chart'!$I5*'Prepare Gantt Chart'!$J5),'Prepare Gantt Chart'!AD5=0,0)</f>
        <v>0</v>
      </c>
      <c r="BA6" s="45">
        <f>_xlfn.IFS('Prepare Gantt Chart'!AE5=2,'Project types'!$L6*('Prepare Gantt Chart'!$I5*'Prepare Gantt Chart'!$J5),'Prepare Gantt Chart'!AE5=1,'Project types'!$L6*('Prepare Gantt Chart'!$I5*'Prepare Gantt Chart'!$J5),'Prepare Gantt Chart'!AE5=0,0)</f>
        <v>0</v>
      </c>
      <c r="BB6" s="45">
        <f>_xlfn.IFS('Prepare Gantt Chart'!AF5=2,'Project types'!$L6*('Prepare Gantt Chart'!$I5*'Prepare Gantt Chart'!$J5),'Prepare Gantt Chart'!AF5=1,'Project types'!$L6*('Prepare Gantt Chart'!$I5*'Prepare Gantt Chart'!$J5),'Prepare Gantt Chart'!AF5=0,0)</f>
        <v>0</v>
      </c>
      <c r="BC6" s="45">
        <f>_xlfn.IFS('Prepare Gantt Chart'!AG5=2,'Project types'!$L6*('Prepare Gantt Chart'!$I5*'Prepare Gantt Chart'!$J5),'Prepare Gantt Chart'!AG5=1,'Project types'!$L6*('Prepare Gantt Chart'!$I5*'Prepare Gantt Chart'!$J5),'Prepare Gantt Chart'!AG5=0,0)</f>
        <v>0</v>
      </c>
      <c r="BD6" s="45">
        <f>_xlfn.IFS('Prepare Gantt Chart'!AH5=2,'Project types'!$L6*('Prepare Gantt Chart'!$I5*'Prepare Gantt Chart'!$J5),'Prepare Gantt Chart'!AH5=1,'Project types'!$L6*('Prepare Gantt Chart'!$I5*'Prepare Gantt Chart'!$J5),'Prepare Gantt Chart'!AH5=0,0)</f>
        <v>0</v>
      </c>
      <c r="BE6" s="45">
        <f>_xlfn.IFS('Prepare Gantt Chart'!AI5=2,'Project types'!$L6*('Prepare Gantt Chart'!$I5*'Prepare Gantt Chart'!$J5),'Prepare Gantt Chart'!AI5=1,'Project types'!$L6*('Prepare Gantt Chart'!$I5*'Prepare Gantt Chart'!$J5),'Prepare Gantt Chart'!AI5=0,0)</f>
        <v>0</v>
      </c>
      <c r="BF6" s="45">
        <f>_xlfn.IFS('Prepare Gantt Chart'!AJ5=2,'Project types'!$L6*('Prepare Gantt Chart'!$I5*'Prepare Gantt Chart'!$J5),'Prepare Gantt Chart'!AJ5=1,'Project types'!$L6*('Prepare Gantt Chart'!$I5*'Prepare Gantt Chart'!$J5),'Prepare Gantt Chart'!AJ5=0,0)</f>
        <v>0</v>
      </c>
      <c r="BG6" s="45">
        <f>_xlfn.IFS('Prepare Gantt Chart'!AK5=2,'Project types'!$L6*('Prepare Gantt Chart'!$I5*'Prepare Gantt Chart'!$J5),'Prepare Gantt Chart'!AK5=1,'Project types'!$L6*('Prepare Gantt Chart'!$I5*'Prepare Gantt Chart'!$J5),'Prepare Gantt Chart'!AK5=0,0)</f>
        <v>0</v>
      </c>
      <c r="BH6" s="45">
        <f>_xlfn.IFS('Prepare Gantt Chart'!AL5=2,'Project types'!$L6*('Prepare Gantt Chart'!$I5*'Prepare Gantt Chart'!$J5),'Prepare Gantt Chart'!AL5=1,'Project types'!$L6*('Prepare Gantt Chart'!$I5*'Prepare Gantt Chart'!$J5),'Prepare Gantt Chart'!AL5=0,0)</f>
        <v>0</v>
      </c>
      <c r="BI6" s="45">
        <f>_xlfn.IFS('Prepare Gantt Chart'!AM5=2,'Project types'!$L6*('Prepare Gantt Chart'!$I5*'Prepare Gantt Chart'!$J5),'Prepare Gantt Chart'!AM5=1,'Project types'!$L6*('Prepare Gantt Chart'!$I5*'Prepare Gantt Chart'!$J5),'Prepare Gantt Chart'!AM5=0,0)</f>
        <v>0</v>
      </c>
      <c r="BJ6" s="45">
        <f>_xlfn.IFS('Prepare Gantt Chart'!AN5=2,'Project types'!$L6*('Prepare Gantt Chart'!$I5*'Prepare Gantt Chart'!$J5),'Prepare Gantt Chart'!AN5=1,'Project types'!$L6*('Prepare Gantt Chart'!$I5*'Prepare Gantt Chart'!$J5),'Prepare Gantt Chart'!AN5=0,0)</f>
        <v>0</v>
      </c>
      <c r="BK6" s="45">
        <f>_xlfn.IFS('Prepare Gantt Chart'!AO5=2,'Project types'!$L6*('Prepare Gantt Chart'!$I5*'Prepare Gantt Chart'!$J5),'Prepare Gantt Chart'!AO5=1,'Project types'!$L6*('Prepare Gantt Chart'!$I5*'Prepare Gantt Chart'!$J5),'Prepare Gantt Chart'!AO5=0,0)</f>
        <v>0</v>
      </c>
      <c r="BL6" s="46">
        <f>SUM(AL6:BK6)</f>
        <v>0</v>
      </c>
      <c r="BM6" s="75">
        <f>IF('Prepare Gantt Chart'!$J5=0,0,SUM(AL6:AQ6)/6/'Prepare Gantt Chart'!$J5)</f>
        <v>0</v>
      </c>
      <c r="BN6" s="75">
        <f>IF('Prepare Gantt Chart'!$J5=0,0,SUM(AR6:AV6)/5/'Prepare Gantt Chart'!$J5)</f>
        <v>0</v>
      </c>
      <c r="BO6" s="75">
        <f>IF('Prepare Gantt Chart'!$J5=0,0,SUM(AW6:BA6)/5/'Prepare Gantt Chart'!$J5)</f>
        <v>0</v>
      </c>
      <c r="BP6" s="75">
        <f>IF('Prepare Gantt Chart'!$J5=0,0,SUM(BB6:BF6)/5/'Prepare Gantt Chart'!$J5)</f>
        <v>0</v>
      </c>
      <c r="BQ6" s="75">
        <f>IF('Prepare Gantt Chart'!$J5=0,0,SUM(BG6:BK6)/5/'Prepare Gantt Chart'!$J5)</f>
        <v>0</v>
      </c>
    </row>
    <row r="7" spans="1:69" x14ac:dyDescent="0.2">
      <c r="A7" s="18" t="s">
        <v>6</v>
      </c>
      <c r="B7" s="1" t="s">
        <v>385</v>
      </c>
      <c r="C7" s="45">
        <f>_xlfn.IFS('Prepare Gantt Chart'!P6=2,'Project types'!$O7*('Prepare Gantt Chart'!$I6*'Prepare Gantt Chart'!$J6),'Prepare Gantt Chart'!P6=1,'Project types'!$Q7*('Prepare Gantt Chart'!$I6*'Prepare Gantt Chart'!$J6),'Prepare Gantt Chart'!P6=0,0)</f>
        <v>0</v>
      </c>
      <c r="D7" s="45">
        <f>_xlfn.IFS('Prepare Gantt Chart'!Q6=2,'Project types'!$O7*('Prepare Gantt Chart'!$I6*'Prepare Gantt Chart'!$J6),'Prepare Gantt Chart'!Q6=1,'Project types'!$Q7*('Prepare Gantt Chart'!$I6*'Prepare Gantt Chart'!$J6),'Prepare Gantt Chart'!Q6=0,0)</f>
        <v>0</v>
      </c>
      <c r="E7" s="45">
        <f>_xlfn.IFS('Prepare Gantt Chart'!R6=2,'Project types'!$O7*('Prepare Gantt Chart'!$I6*'Prepare Gantt Chart'!$J6),'Prepare Gantt Chart'!R6=1,'Project types'!$Q7*('Prepare Gantt Chart'!$I6*'Prepare Gantt Chart'!$J6),'Prepare Gantt Chart'!R6=0,0)</f>
        <v>0</v>
      </c>
      <c r="F7" s="45">
        <f>_xlfn.IFS('Prepare Gantt Chart'!S6=2,'Project types'!$O7*('Prepare Gantt Chart'!$I6*'Prepare Gantt Chart'!$J6),'Prepare Gantt Chart'!S6=1,'Project types'!$Q7*('Prepare Gantt Chart'!$I6*'Prepare Gantt Chart'!$J6),'Prepare Gantt Chart'!S6=0,0)</f>
        <v>0</v>
      </c>
      <c r="G7" s="45">
        <f>_xlfn.IFS('Prepare Gantt Chart'!T6=2,'Project types'!$O7*('Prepare Gantt Chart'!$I6*'Prepare Gantt Chart'!$J6),'Prepare Gantt Chart'!T6=1,'Project types'!$Q7*('Prepare Gantt Chart'!$I6*'Prepare Gantt Chart'!$J6),'Prepare Gantt Chart'!T6=0,0)</f>
        <v>0</v>
      </c>
      <c r="H7" s="45">
        <f>_xlfn.IFS('Prepare Gantt Chart'!U6=2,'Project types'!$O7*('Prepare Gantt Chart'!$I6*'Prepare Gantt Chart'!$J6),'Prepare Gantt Chart'!U6=1,'Project types'!$Q7*('Prepare Gantt Chart'!$I6*'Prepare Gantt Chart'!$J6),'Prepare Gantt Chart'!U6=0,0)</f>
        <v>0</v>
      </c>
      <c r="I7" s="45">
        <f>_xlfn.IFS('Prepare Gantt Chart'!V6=2,'Project types'!$O7*('Prepare Gantt Chart'!$I6*'Prepare Gantt Chart'!$J6),'Prepare Gantt Chart'!V6=1,'Project types'!$Q7*('Prepare Gantt Chart'!$I6*'Prepare Gantt Chart'!$J6),'Prepare Gantt Chart'!V6=0,0)</f>
        <v>0</v>
      </c>
      <c r="J7" s="45">
        <f>_xlfn.IFS('Prepare Gantt Chart'!W6=2,'Project types'!$O7*('Prepare Gantt Chart'!$I6*'Prepare Gantt Chart'!$J6),'Prepare Gantt Chart'!W6=1,'Project types'!$Q7*('Prepare Gantt Chart'!$I6*'Prepare Gantt Chart'!$J6),'Prepare Gantt Chart'!W6=0,0)</f>
        <v>0</v>
      </c>
      <c r="K7" s="45">
        <f>_xlfn.IFS('Prepare Gantt Chart'!X6=2,'Project types'!$O7*('Prepare Gantt Chart'!$I6*'Prepare Gantt Chart'!$J6),'Prepare Gantt Chart'!X6=1,'Project types'!$Q7*('Prepare Gantt Chart'!$I6*'Prepare Gantt Chart'!$J6),'Prepare Gantt Chart'!X6=0,0)</f>
        <v>0</v>
      </c>
      <c r="L7" s="45">
        <f>_xlfn.IFS('Prepare Gantt Chart'!Y6=2,'Project types'!$O7*('Prepare Gantt Chart'!$I6*'Prepare Gantt Chart'!$J6),'Prepare Gantt Chart'!Y6=1,'Project types'!$Q7*('Prepare Gantt Chart'!$I6*'Prepare Gantt Chart'!$J6),'Prepare Gantt Chart'!Y6=0,0)</f>
        <v>0</v>
      </c>
      <c r="M7" s="45">
        <f>_xlfn.IFS('Prepare Gantt Chart'!Z6=2,'Project types'!$O7*('Prepare Gantt Chart'!$I6*'Prepare Gantt Chart'!$J6),'Prepare Gantt Chart'!Z6=1,'Project types'!$Q7*('Prepare Gantt Chart'!$I6*'Prepare Gantt Chart'!$J6),'Prepare Gantt Chart'!Z6=0,0)</f>
        <v>0</v>
      </c>
      <c r="N7" s="45">
        <f>_xlfn.IFS('Prepare Gantt Chart'!AA6=2,'Project types'!$O7*('Prepare Gantt Chart'!$I6*'Prepare Gantt Chart'!$J6),'Prepare Gantt Chart'!AA6=1,'Project types'!$Q7*('Prepare Gantt Chart'!$I6*'Prepare Gantt Chart'!$J6),'Prepare Gantt Chart'!AA6=0,0)</f>
        <v>0</v>
      </c>
      <c r="O7" s="45">
        <f>_xlfn.IFS('Prepare Gantt Chart'!AB6=2,'Project types'!$O7*('Prepare Gantt Chart'!$I6*'Prepare Gantt Chart'!$J6),'Prepare Gantt Chart'!AB6=1,'Project types'!$Q7*('Prepare Gantt Chart'!$I6*'Prepare Gantt Chart'!$J6),'Prepare Gantt Chart'!AB6=0,0)</f>
        <v>0</v>
      </c>
      <c r="P7" s="45">
        <f>_xlfn.IFS('Prepare Gantt Chart'!AC6=2,'Project types'!$O7*('Prepare Gantt Chart'!$I6*'Prepare Gantt Chart'!$J6),'Prepare Gantt Chart'!AC6=1,'Project types'!$Q7*('Prepare Gantt Chart'!$I6*'Prepare Gantt Chart'!$J6),'Prepare Gantt Chart'!AC6=0,0)</f>
        <v>0</v>
      </c>
      <c r="Q7" s="45">
        <f>_xlfn.IFS('Prepare Gantt Chart'!AD6=2,'Project types'!$O7*('Prepare Gantt Chart'!$I6*'Prepare Gantt Chart'!$J6),'Prepare Gantt Chart'!AD6=1,'Project types'!$Q7*('Prepare Gantt Chart'!$I6*'Prepare Gantt Chart'!$J6),'Prepare Gantt Chart'!AD6=0,0)</f>
        <v>0</v>
      </c>
      <c r="R7" s="45">
        <f>_xlfn.IFS('Prepare Gantt Chart'!AE6=2,'Project types'!$O7*('Prepare Gantt Chart'!$I6*'Prepare Gantt Chart'!$J6),'Prepare Gantt Chart'!AE6=1,'Project types'!$Q7*('Prepare Gantt Chart'!$I6*'Prepare Gantt Chart'!$J6),'Prepare Gantt Chart'!AE6=0,0)</f>
        <v>0</v>
      </c>
      <c r="S7" s="45">
        <f>_xlfn.IFS('Prepare Gantt Chart'!AF6=2,'Project types'!$O7*('Prepare Gantt Chart'!$I6*'Prepare Gantt Chart'!$J6),'Prepare Gantt Chart'!AF6=1,'Project types'!$Q7*('Prepare Gantt Chart'!$I6*'Prepare Gantt Chart'!$J6),'Prepare Gantt Chart'!AF6=0,0)</f>
        <v>0</v>
      </c>
      <c r="T7" s="45">
        <f>_xlfn.IFS('Prepare Gantt Chart'!AG6=2,'Project types'!$O7*('Prepare Gantt Chart'!$I6*'Prepare Gantt Chart'!$J6),'Prepare Gantt Chart'!AG6=1,'Project types'!$Q7*('Prepare Gantt Chart'!$I6*'Prepare Gantt Chart'!$J6),'Prepare Gantt Chart'!AG6=0,0)</f>
        <v>0</v>
      </c>
      <c r="U7" s="45">
        <f>_xlfn.IFS('Prepare Gantt Chart'!AH6=2,'Project types'!$O7*('Prepare Gantt Chart'!$I6*'Prepare Gantt Chart'!$J6),'Prepare Gantt Chart'!AH6=1,'Project types'!$Q7*('Prepare Gantt Chart'!$I6*'Prepare Gantt Chart'!$J6),'Prepare Gantt Chart'!AH6=0,0)</f>
        <v>0</v>
      </c>
      <c r="V7" s="45">
        <f>_xlfn.IFS('Prepare Gantt Chart'!AI6=2,'Project types'!$O7*('Prepare Gantt Chart'!$I6*'Prepare Gantt Chart'!$J6),'Prepare Gantt Chart'!AI6=1,'Project types'!$Q7*('Prepare Gantt Chart'!$I6*'Prepare Gantt Chart'!$J6),'Prepare Gantt Chart'!AI6=0,0)</f>
        <v>0</v>
      </c>
      <c r="W7" s="45">
        <f>_xlfn.IFS('Prepare Gantt Chart'!AJ6=2,'Project types'!$O7*('Prepare Gantt Chart'!$I6*'Prepare Gantt Chart'!$J6),'Prepare Gantt Chart'!AJ6=1,'Project types'!$Q7*('Prepare Gantt Chart'!$I6*'Prepare Gantt Chart'!$J6),'Prepare Gantt Chart'!AJ6=0,0)</f>
        <v>0</v>
      </c>
      <c r="X7" s="45">
        <f>_xlfn.IFS('Prepare Gantt Chart'!AK6=2,'Project types'!$O7*('Prepare Gantt Chart'!$I6*'Prepare Gantt Chart'!$J6),'Prepare Gantt Chart'!AK6=1,'Project types'!$Q7*('Prepare Gantt Chart'!$I6*'Prepare Gantt Chart'!$J6),'Prepare Gantt Chart'!AK6=0,0)</f>
        <v>0</v>
      </c>
      <c r="Y7" s="45">
        <f>_xlfn.IFS('Prepare Gantt Chart'!AL6=2,'Project types'!$O7*('Prepare Gantt Chart'!$I6*'Prepare Gantt Chart'!$J6),'Prepare Gantt Chart'!AL6=1,'Project types'!$Q7*('Prepare Gantt Chart'!$I6*'Prepare Gantt Chart'!$J6),'Prepare Gantt Chart'!AL6=0,0)</f>
        <v>0</v>
      </c>
      <c r="Z7" s="45">
        <f>_xlfn.IFS('Prepare Gantt Chart'!AM6=2,'Project types'!$O7*('Prepare Gantt Chart'!$I6*'Prepare Gantt Chart'!$J6),'Prepare Gantt Chart'!AM6=1,'Project types'!$Q7*('Prepare Gantt Chart'!$I6*'Prepare Gantt Chart'!$J6),'Prepare Gantt Chart'!AM6=0,0)</f>
        <v>0</v>
      </c>
      <c r="AA7" s="45">
        <f>_xlfn.IFS('Prepare Gantt Chart'!AN6=2,'Project types'!$O7*('Prepare Gantt Chart'!$I6*'Prepare Gantt Chart'!$J6),'Prepare Gantt Chart'!AN6=1,'Project types'!$Q7*('Prepare Gantt Chart'!$I6*'Prepare Gantt Chart'!$J6),'Prepare Gantt Chart'!AN6=0,0)</f>
        <v>0</v>
      </c>
      <c r="AB7" s="45">
        <f>_xlfn.IFS('Prepare Gantt Chart'!AO6=2,'Project types'!$O7*('Prepare Gantt Chart'!$I6*'Prepare Gantt Chart'!$J6),'Prepare Gantt Chart'!AO6=1,'Project types'!$Q7*('Prepare Gantt Chart'!$I6*'Prepare Gantt Chart'!$J6),'Prepare Gantt Chart'!AO6=0,0)</f>
        <v>0</v>
      </c>
      <c r="AC7" s="45">
        <f>'Prepare Gantt Chart'!J6*'Prepare Gantt Chart'!I6*(AD7/26)</f>
        <v>0</v>
      </c>
      <c r="AD7" s="46">
        <f t="shared" ref="AD7:AD70" si="0">SUM(C7:AB7)</f>
        <v>0</v>
      </c>
      <c r="AE7" s="72">
        <f>IF('Prepare Gantt Chart'!$J6=0,0,SUM(C7:H7)/6/'Prepare Gantt Chart'!$J6)</f>
        <v>0</v>
      </c>
      <c r="AF7" s="72">
        <f>IF('Prepare Gantt Chart'!$J6=0,0,SUM(I7:M7)/5/'Prepare Gantt Chart'!$J6)</f>
        <v>0</v>
      </c>
      <c r="AG7" s="72">
        <f>IF('Prepare Gantt Chart'!$J6=0,0,SUM(N7:R7)/5/'Prepare Gantt Chart'!$J6)</f>
        <v>0</v>
      </c>
      <c r="AH7" s="72">
        <f>IF('Prepare Gantt Chart'!$J6=0,0,SUM(S7:W7)/5/'Prepare Gantt Chart'!$J6)</f>
        <v>0</v>
      </c>
      <c r="AI7" s="72">
        <f>IF('Prepare Gantt Chart'!$J6=0,0,SUM(X7:AB7)/5/'Prepare Gantt Chart'!$J6)</f>
        <v>0</v>
      </c>
      <c r="AK7" s="18" t="s">
        <v>6</v>
      </c>
      <c r="AL7" s="45">
        <f>_xlfn.IFS('Prepare Gantt Chart'!P6=2,'Project types'!$L7*('Prepare Gantt Chart'!$I6*'Prepare Gantt Chart'!$J6),'Prepare Gantt Chart'!P6=1,'Project types'!$L7*('Prepare Gantt Chart'!$I6*'Prepare Gantt Chart'!$J6),'Prepare Gantt Chart'!P6=0,0)</f>
        <v>0</v>
      </c>
      <c r="AM7" s="45">
        <f>_xlfn.IFS('Prepare Gantt Chart'!Q6=2,'Project types'!$L7*('Prepare Gantt Chart'!$I6*'Prepare Gantt Chart'!$J6),'Prepare Gantt Chart'!Q6=1,'Project types'!$L7*('Prepare Gantt Chart'!$I6*'Prepare Gantt Chart'!$J6),'Prepare Gantt Chart'!Q6=0,0)</f>
        <v>0</v>
      </c>
      <c r="AN7" s="45">
        <f>_xlfn.IFS('Prepare Gantt Chart'!R6=2,'Project types'!$L7*('Prepare Gantt Chart'!$I6*'Prepare Gantt Chart'!$J6),'Prepare Gantt Chart'!R6=1,'Project types'!$L7*('Prepare Gantt Chart'!$I6*'Prepare Gantt Chart'!$J6),'Prepare Gantt Chart'!R6=0,0)</f>
        <v>0</v>
      </c>
      <c r="AO7" s="45">
        <f>_xlfn.IFS('Prepare Gantt Chart'!S6=2,'Project types'!$L7*('Prepare Gantt Chart'!$I6*'Prepare Gantt Chart'!$J6),'Prepare Gantt Chart'!S6=1,'Project types'!$L7*('Prepare Gantt Chart'!$I6*'Prepare Gantt Chart'!$J6),'Prepare Gantt Chart'!S6=0,0)</f>
        <v>0</v>
      </c>
      <c r="AP7" s="45">
        <f>_xlfn.IFS('Prepare Gantt Chart'!T6=2,'Project types'!$L7*('Prepare Gantt Chart'!$I6*'Prepare Gantt Chart'!$J6),'Prepare Gantt Chart'!T6=1,'Project types'!$L7*('Prepare Gantt Chart'!$I6*'Prepare Gantt Chart'!$J6),'Prepare Gantt Chart'!T6=0,0)</f>
        <v>0</v>
      </c>
      <c r="AQ7" s="45">
        <f>_xlfn.IFS('Prepare Gantt Chart'!U6=2,'Project types'!$L7*('Prepare Gantt Chart'!$I6*'Prepare Gantt Chart'!$J6),'Prepare Gantt Chart'!U6=1,'Project types'!$L7*('Prepare Gantt Chart'!$I6*'Prepare Gantt Chart'!$J6),'Prepare Gantt Chart'!U6=0,0)</f>
        <v>0</v>
      </c>
      <c r="AR7" s="45">
        <f>_xlfn.IFS('Prepare Gantt Chart'!V6=2,'Project types'!$L7*('Prepare Gantt Chart'!$I6*'Prepare Gantt Chart'!$J6),'Prepare Gantt Chart'!V6=1,'Project types'!$L7*('Prepare Gantt Chart'!$I6*'Prepare Gantt Chart'!$J6),'Prepare Gantt Chart'!V6=0,0)</f>
        <v>0</v>
      </c>
      <c r="AS7" s="45">
        <f>_xlfn.IFS('Prepare Gantt Chart'!W6=2,'Project types'!$L7*('Prepare Gantt Chart'!$I6*'Prepare Gantt Chart'!$J6),'Prepare Gantt Chart'!W6=1,'Project types'!$L7*('Prepare Gantt Chart'!$I6*'Prepare Gantt Chart'!$J6),'Prepare Gantt Chart'!W6=0,0)</f>
        <v>0</v>
      </c>
      <c r="AT7" s="45">
        <f>_xlfn.IFS('Prepare Gantt Chart'!X6=2,'Project types'!$L7*('Prepare Gantt Chart'!$I6*'Prepare Gantt Chart'!$J6),'Prepare Gantt Chart'!X6=1,'Project types'!$L7*('Prepare Gantt Chart'!$I6*'Prepare Gantt Chart'!$J6),'Prepare Gantt Chart'!X6=0,0)</f>
        <v>0</v>
      </c>
      <c r="AU7" s="45">
        <f>_xlfn.IFS('Prepare Gantt Chart'!Y6=2,'Project types'!$L7*('Prepare Gantt Chart'!$I6*'Prepare Gantt Chart'!$J6),'Prepare Gantt Chart'!Y6=1,'Project types'!$L7*('Prepare Gantt Chart'!$I6*'Prepare Gantt Chart'!$J6),'Prepare Gantt Chart'!Y6=0,0)</f>
        <v>0</v>
      </c>
      <c r="AV7" s="45">
        <f>_xlfn.IFS('Prepare Gantt Chart'!Z6=2,'Project types'!$L7*('Prepare Gantt Chart'!$I6*'Prepare Gantt Chart'!$J6),'Prepare Gantt Chart'!Z6=1,'Project types'!$L7*('Prepare Gantt Chart'!$I6*'Prepare Gantt Chart'!$J6),'Prepare Gantt Chart'!Z6=0,0)</f>
        <v>0</v>
      </c>
      <c r="AW7" s="45">
        <f>_xlfn.IFS('Prepare Gantt Chart'!AA6=2,'Project types'!$L7*('Prepare Gantt Chart'!$I6*'Prepare Gantt Chart'!$J6),'Prepare Gantt Chart'!AA6=1,'Project types'!$L7*('Prepare Gantt Chart'!$I6*'Prepare Gantt Chart'!$J6),'Prepare Gantt Chart'!AA6=0,0)</f>
        <v>0</v>
      </c>
      <c r="AX7" s="45">
        <f>_xlfn.IFS('Prepare Gantt Chart'!AB6=2,'Project types'!$L7*('Prepare Gantt Chart'!$I6*'Prepare Gantt Chart'!$J6),'Prepare Gantt Chart'!AB6=1,'Project types'!$L7*('Prepare Gantt Chart'!$I6*'Prepare Gantt Chart'!$J6),'Prepare Gantt Chart'!AB6=0,0)</f>
        <v>0</v>
      </c>
      <c r="AY7" s="45">
        <f>_xlfn.IFS('Prepare Gantt Chart'!AC6=2,'Project types'!$L7*('Prepare Gantt Chart'!$I6*'Prepare Gantt Chart'!$J6),'Prepare Gantt Chart'!AC6=1,'Project types'!$L7*('Prepare Gantt Chart'!$I6*'Prepare Gantt Chart'!$J6),'Prepare Gantt Chart'!AC6=0,0)</f>
        <v>0</v>
      </c>
      <c r="AZ7" s="45">
        <f>_xlfn.IFS('Prepare Gantt Chart'!AD6=2,'Project types'!$L7*('Prepare Gantt Chart'!$I6*'Prepare Gantt Chart'!$J6),'Prepare Gantt Chart'!AD6=1,'Project types'!$L7*('Prepare Gantt Chart'!$I6*'Prepare Gantt Chart'!$J6),'Prepare Gantt Chart'!AD6=0,0)</f>
        <v>0</v>
      </c>
      <c r="BA7" s="45">
        <f>_xlfn.IFS('Prepare Gantt Chart'!AE6=2,'Project types'!$L7*('Prepare Gantt Chart'!$I6*'Prepare Gantt Chart'!$J6),'Prepare Gantt Chart'!AE6=1,'Project types'!$L7*('Prepare Gantt Chart'!$I6*'Prepare Gantt Chart'!$J6),'Prepare Gantt Chart'!AE6=0,0)</f>
        <v>0</v>
      </c>
      <c r="BB7" s="45">
        <f>_xlfn.IFS('Prepare Gantt Chart'!AF6=2,'Project types'!$L7*('Prepare Gantt Chart'!$I6*'Prepare Gantt Chart'!$J6),'Prepare Gantt Chart'!AF6=1,'Project types'!$L7*('Prepare Gantt Chart'!$I6*'Prepare Gantt Chart'!$J6),'Prepare Gantt Chart'!AF6=0,0)</f>
        <v>0</v>
      </c>
      <c r="BC7" s="45">
        <f>_xlfn.IFS('Prepare Gantt Chart'!AG6=2,'Project types'!$L7*('Prepare Gantt Chart'!$I6*'Prepare Gantt Chart'!$J6),'Prepare Gantt Chart'!AG6=1,'Project types'!$L7*('Prepare Gantt Chart'!$I6*'Prepare Gantt Chart'!$J6),'Prepare Gantt Chart'!AG6=0,0)</f>
        <v>0</v>
      </c>
      <c r="BD7" s="45">
        <f>_xlfn.IFS('Prepare Gantt Chart'!AH6=2,'Project types'!$L7*('Prepare Gantt Chart'!$I6*'Prepare Gantt Chart'!$J6),'Prepare Gantt Chart'!AH6=1,'Project types'!$L7*('Prepare Gantt Chart'!$I6*'Prepare Gantt Chart'!$J6),'Prepare Gantt Chart'!AH6=0,0)</f>
        <v>0</v>
      </c>
      <c r="BE7" s="45">
        <f>_xlfn.IFS('Prepare Gantt Chart'!AI6=2,'Project types'!$L7*('Prepare Gantt Chart'!$I6*'Prepare Gantt Chart'!$J6),'Prepare Gantt Chart'!AI6=1,'Project types'!$L7*('Prepare Gantt Chart'!$I6*'Prepare Gantt Chart'!$J6),'Prepare Gantt Chart'!AI6=0,0)</f>
        <v>0</v>
      </c>
      <c r="BF7" s="45">
        <f>_xlfn.IFS('Prepare Gantt Chart'!AJ6=2,'Project types'!$L7*('Prepare Gantt Chart'!$I6*'Prepare Gantt Chart'!$J6),'Prepare Gantt Chart'!AJ6=1,'Project types'!$L7*('Prepare Gantt Chart'!$I6*'Prepare Gantt Chart'!$J6),'Prepare Gantt Chart'!AJ6=0,0)</f>
        <v>0</v>
      </c>
      <c r="BG7" s="45">
        <f>_xlfn.IFS('Prepare Gantt Chart'!AK6=2,'Project types'!$L7*('Prepare Gantt Chart'!$I6*'Prepare Gantt Chart'!$J6),'Prepare Gantt Chart'!AK6=1,'Project types'!$L7*('Prepare Gantt Chart'!$I6*'Prepare Gantt Chart'!$J6),'Prepare Gantt Chart'!AK6=0,0)</f>
        <v>0</v>
      </c>
      <c r="BH7" s="45">
        <f>_xlfn.IFS('Prepare Gantt Chart'!AL6=2,'Project types'!$L7*('Prepare Gantt Chart'!$I6*'Prepare Gantt Chart'!$J6),'Prepare Gantt Chart'!AL6=1,'Project types'!$L7*('Prepare Gantt Chart'!$I6*'Prepare Gantt Chart'!$J6),'Prepare Gantt Chart'!AL6=0,0)</f>
        <v>0</v>
      </c>
      <c r="BI7" s="45">
        <f>_xlfn.IFS('Prepare Gantt Chart'!AM6=2,'Project types'!$L7*('Prepare Gantt Chart'!$I6*'Prepare Gantt Chart'!$J6),'Prepare Gantt Chart'!AM6=1,'Project types'!$L7*('Prepare Gantt Chart'!$I6*'Prepare Gantt Chart'!$J6),'Prepare Gantt Chart'!AM6=0,0)</f>
        <v>0</v>
      </c>
      <c r="BJ7" s="45">
        <f>_xlfn.IFS('Prepare Gantt Chart'!AN6=2,'Project types'!$L7*('Prepare Gantt Chart'!$I6*'Prepare Gantt Chart'!$J6),'Prepare Gantt Chart'!AN6=1,'Project types'!$L7*('Prepare Gantt Chart'!$I6*'Prepare Gantt Chart'!$J6),'Prepare Gantt Chart'!AN6=0,0)</f>
        <v>0</v>
      </c>
      <c r="BK7" s="45">
        <f>_xlfn.IFS('Prepare Gantt Chart'!AO6=2,'Project types'!$L7*('Prepare Gantt Chart'!$I6*'Prepare Gantt Chart'!$J6),'Prepare Gantt Chart'!AO6=1,'Project types'!$L7*('Prepare Gantt Chart'!$I6*'Prepare Gantt Chart'!$J6),'Prepare Gantt Chart'!AO6=0,0)</f>
        <v>0</v>
      </c>
      <c r="BL7" s="46">
        <f t="shared" ref="BL7:BL70" si="1">SUM(AL7:BK7)</f>
        <v>0</v>
      </c>
      <c r="BM7" s="75">
        <f>IF('Prepare Gantt Chart'!$J6=0,0,SUM(AL7:AQ7)/6/'Prepare Gantt Chart'!$J6)</f>
        <v>0</v>
      </c>
      <c r="BN7" s="75">
        <f>IF('Prepare Gantt Chart'!$J6=0,0,SUM(AR7:AV7)/5/'Prepare Gantt Chart'!$J6)</f>
        <v>0</v>
      </c>
      <c r="BO7" s="75">
        <f>IF('Prepare Gantt Chart'!$J6=0,0,SUM(AW7:BA7)/5/'Prepare Gantt Chart'!$J6)</f>
        <v>0</v>
      </c>
      <c r="BP7" s="75">
        <f>IF('Prepare Gantt Chart'!$J6=0,0,SUM(BB7:BF7)/5/'Prepare Gantt Chart'!$J6)</f>
        <v>0</v>
      </c>
      <c r="BQ7" s="75">
        <f>IF('Prepare Gantt Chart'!$J6=0,0,SUM(BG7:BK7)/5/'Prepare Gantt Chart'!$J6)</f>
        <v>0</v>
      </c>
    </row>
    <row r="8" spans="1:69" x14ac:dyDescent="0.2">
      <c r="A8" s="18" t="s">
        <v>7</v>
      </c>
      <c r="B8" s="1" t="s">
        <v>386</v>
      </c>
      <c r="C8" s="45">
        <f>_xlfn.IFS('Prepare Gantt Chart'!P7=2,'Project types'!$O8*('Prepare Gantt Chart'!$I7*'Prepare Gantt Chart'!$J7),'Prepare Gantt Chart'!P7=1,'Project types'!$Q8*('Prepare Gantt Chart'!$I7*'Prepare Gantt Chart'!$J7),'Prepare Gantt Chart'!P7=0,0)</f>
        <v>0</v>
      </c>
      <c r="D8" s="45">
        <f>_xlfn.IFS('Prepare Gantt Chart'!Q7=2,'Project types'!$O8*('Prepare Gantt Chart'!$I7*'Prepare Gantt Chart'!$J7),'Prepare Gantt Chart'!Q7=1,'Project types'!$Q8*('Prepare Gantt Chart'!$I7*'Prepare Gantt Chart'!$J7),'Prepare Gantt Chart'!Q7=0,0)</f>
        <v>0</v>
      </c>
      <c r="E8" s="45">
        <f>_xlfn.IFS('Prepare Gantt Chart'!R7=2,'Project types'!$O8*('Prepare Gantt Chart'!$I7*'Prepare Gantt Chart'!$J7),'Prepare Gantt Chart'!R7=1,'Project types'!$Q8*('Prepare Gantt Chart'!$I7*'Prepare Gantt Chart'!$J7),'Prepare Gantt Chart'!R7=0,0)</f>
        <v>0</v>
      </c>
      <c r="F8" s="45">
        <f>_xlfn.IFS('Prepare Gantt Chart'!S7=2,'Project types'!$O8*('Prepare Gantt Chart'!$I7*'Prepare Gantt Chart'!$J7),'Prepare Gantt Chart'!S7=1,'Project types'!$Q8*('Prepare Gantt Chart'!$I7*'Prepare Gantt Chart'!$J7),'Prepare Gantt Chart'!S7=0,0)</f>
        <v>0</v>
      </c>
      <c r="G8" s="45">
        <f>_xlfn.IFS('Prepare Gantt Chart'!T7=2,'Project types'!$O8*('Prepare Gantt Chart'!$I7*'Prepare Gantt Chart'!$J7),'Prepare Gantt Chart'!T7=1,'Project types'!$Q8*('Prepare Gantt Chart'!$I7*'Prepare Gantt Chart'!$J7),'Prepare Gantt Chart'!T7=0,0)</f>
        <v>0</v>
      </c>
      <c r="H8" s="45">
        <f>_xlfn.IFS('Prepare Gantt Chart'!U7=2,'Project types'!$O8*('Prepare Gantt Chart'!$I7*'Prepare Gantt Chart'!$J7),'Prepare Gantt Chart'!U7=1,'Project types'!$Q8*('Prepare Gantt Chart'!$I7*'Prepare Gantt Chart'!$J7),'Prepare Gantt Chart'!U7=0,0)</f>
        <v>0</v>
      </c>
      <c r="I8" s="45">
        <f>_xlfn.IFS('Prepare Gantt Chart'!V7=2,'Project types'!$O8*('Prepare Gantt Chart'!$I7*'Prepare Gantt Chart'!$J7),'Prepare Gantt Chart'!V7=1,'Project types'!$Q8*('Prepare Gantt Chart'!$I7*'Prepare Gantt Chart'!$J7),'Prepare Gantt Chart'!V7=0,0)</f>
        <v>0</v>
      </c>
      <c r="J8" s="45">
        <f>_xlfn.IFS('Prepare Gantt Chart'!W7=2,'Project types'!$O8*('Prepare Gantt Chart'!$I7*'Prepare Gantt Chart'!$J7),'Prepare Gantt Chart'!W7=1,'Project types'!$Q8*('Prepare Gantt Chart'!$I7*'Prepare Gantt Chart'!$J7),'Prepare Gantt Chart'!W7=0,0)</f>
        <v>0</v>
      </c>
      <c r="K8" s="45">
        <f>_xlfn.IFS('Prepare Gantt Chart'!X7=2,'Project types'!$O8*('Prepare Gantt Chart'!$I7*'Prepare Gantt Chart'!$J7),'Prepare Gantt Chart'!X7=1,'Project types'!$Q8*('Prepare Gantt Chart'!$I7*'Prepare Gantt Chart'!$J7),'Prepare Gantt Chart'!X7=0,0)</f>
        <v>0</v>
      </c>
      <c r="L8" s="45">
        <f>_xlfn.IFS('Prepare Gantt Chart'!Y7=2,'Project types'!$O8*('Prepare Gantt Chart'!$I7*'Prepare Gantt Chart'!$J7),'Prepare Gantt Chart'!Y7=1,'Project types'!$Q8*('Prepare Gantt Chart'!$I7*'Prepare Gantt Chart'!$J7),'Prepare Gantt Chart'!Y7=0,0)</f>
        <v>0</v>
      </c>
      <c r="M8" s="45">
        <f>_xlfn.IFS('Prepare Gantt Chart'!Z7=2,'Project types'!$O8*('Prepare Gantt Chart'!$I7*'Prepare Gantt Chart'!$J7),'Prepare Gantt Chart'!Z7=1,'Project types'!$Q8*('Prepare Gantt Chart'!$I7*'Prepare Gantt Chart'!$J7),'Prepare Gantt Chart'!Z7=0,0)</f>
        <v>0</v>
      </c>
      <c r="N8" s="45">
        <f>_xlfn.IFS('Prepare Gantt Chart'!AA7=2,'Project types'!$O8*('Prepare Gantt Chart'!$I7*'Prepare Gantt Chart'!$J7),'Prepare Gantt Chart'!AA7=1,'Project types'!$Q8*('Prepare Gantt Chart'!$I7*'Prepare Gantt Chart'!$J7),'Prepare Gantt Chart'!AA7=0,0)</f>
        <v>0</v>
      </c>
      <c r="O8" s="45">
        <f>_xlfn.IFS('Prepare Gantt Chart'!AB7=2,'Project types'!$O8*('Prepare Gantt Chart'!$I7*'Prepare Gantt Chart'!$J7),'Prepare Gantt Chart'!AB7=1,'Project types'!$Q8*('Prepare Gantt Chart'!$I7*'Prepare Gantt Chart'!$J7),'Prepare Gantt Chart'!AB7=0,0)</f>
        <v>0</v>
      </c>
      <c r="P8" s="45">
        <f>_xlfn.IFS('Prepare Gantt Chart'!AC7=2,'Project types'!$O8*('Prepare Gantt Chart'!$I7*'Prepare Gantt Chart'!$J7),'Prepare Gantt Chart'!AC7=1,'Project types'!$Q8*('Prepare Gantt Chart'!$I7*'Prepare Gantt Chart'!$J7),'Prepare Gantt Chart'!AC7=0,0)</f>
        <v>0</v>
      </c>
      <c r="Q8" s="45">
        <f>_xlfn.IFS('Prepare Gantt Chart'!AD7=2,'Project types'!$O8*('Prepare Gantt Chart'!$I7*'Prepare Gantt Chart'!$J7),'Prepare Gantt Chart'!AD7=1,'Project types'!$Q8*('Prepare Gantt Chart'!$I7*'Prepare Gantt Chart'!$J7),'Prepare Gantt Chart'!AD7=0,0)</f>
        <v>0</v>
      </c>
      <c r="R8" s="45">
        <f>_xlfn.IFS('Prepare Gantt Chart'!AE7=2,'Project types'!$O8*('Prepare Gantt Chart'!$I7*'Prepare Gantt Chart'!$J7),'Prepare Gantt Chart'!AE7=1,'Project types'!$Q8*('Prepare Gantt Chart'!$I7*'Prepare Gantt Chart'!$J7),'Prepare Gantt Chart'!AE7=0,0)</f>
        <v>0</v>
      </c>
      <c r="S8" s="45">
        <f>_xlfn.IFS('Prepare Gantt Chart'!AF7=2,'Project types'!$O8*('Prepare Gantt Chart'!$I7*'Prepare Gantt Chart'!$J7),'Prepare Gantt Chart'!AF7=1,'Project types'!$Q8*('Prepare Gantt Chart'!$I7*'Prepare Gantt Chart'!$J7),'Prepare Gantt Chart'!AF7=0,0)</f>
        <v>0</v>
      </c>
      <c r="T8" s="45">
        <f>_xlfn.IFS('Prepare Gantt Chart'!AG7=2,'Project types'!$O8*('Prepare Gantt Chart'!$I7*'Prepare Gantt Chart'!$J7),'Prepare Gantt Chart'!AG7=1,'Project types'!$Q8*('Prepare Gantt Chart'!$I7*'Prepare Gantt Chart'!$J7),'Prepare Gantt Chart'!AG7=0,0)</f>
        <v>0</v>
      </c>
      <c r="U8" s="45">
        <f>_xlfn.IFS('Prepare Gantt Chart'!AH7=2,'Project types'!$O8*('Prepare Gantt Chart'!$I7*'Prepare Gantt Chart'!$J7),'Prepare Gantt Chart'!AH7=1,'Project types'!$Q8*('Prepare Gantt Chart'!$I7*'Prepare Gantt Chart'!$J7),'Prepare Gantt Chart'!AH7=0,0)</f>
        <v>0</v>
      </c>
      <c r="V8" s="45">
        <f>_xlfn.IFS('Prepare Gantt Chart'!AI7=2,'Project types'!$O8*('Prepare Gantt Chart'!$I7*'Prepare Gantt Chart'!$J7),'Prepare Gantt Chart'!AI7=1,'Project types'!$Q8*('Prepare Gantt Chart'!$I7*'Prepare Gantt Chart'!$J7),'Prepare Gantt Chart'!AI7=0,0)</f>
        <v>0</v>
      </c>
      <c r="W8" s="45">
        <f>_xlfn.IFS('Prepare Gantt Chart'!AJ7=2,'Project types'!$O8*('Prepare Gantt Chart'!$I7*'Prepare Gantt Chart'!$J7),'Prepare Gantt Chart'!AJ7=1,'Project types'!$Q8*('Prepare Gantt Chart'!$I7*'Prepare Gantt Chart'!$J7),'Prepare Gantt Chart'!AJ7=0,0)</f>
        <v>0</v>
      </c>
      <c r="X8" s="45">
        <f>_xlfn.IFS('Prepare Gantt Chart'!AK7=2,'Project types'!$O8*('Prepare Gantt Chart'!$I7*'Prepare Gantt Chart'!$J7),'Prepare Gantt Chart'!AK7=1,'Project types'!$Q8*('Prepare Gantt Chart'!$I7*'Prepare Gantt Chart'!$J7),'Prepare Gantt Chart'!AK7=0,0)</f>
        <v>0</v>
      </c>
      <c r="Y8" s="45">
        <f>_xlfn.IFS('Prepare Gantt Chart'!AL7=2,'Project types'!$O8*('Prepare Gantt Chart'!$I7*'Prepare Gantt Chart'!$J7),'Prepare Gantt Chart'!AL7=1,'Project types'!$Q8*('Prepare Gantt Chart'!$I7*'Prepare Gantt Chart'!$J7),'Prepare Gantt Chart'!AL7=0,0)</f>
        <v>0</v>
      </c>
      <c r="Z8" s="45">
        <f>_xlfn.IFS('Prepare Gantt Chart'!AM7=2,'Project types'!$O8*('Prepare Gantt Chart'!$I7*'Prepare Gantt Chart'!$J7),'Prepare Gantt Chart'!AM7=1,'Project types'!$Q8*('Prepare Gantt Chart'!$I7*'Prepare Gantt Chart'!$J7),'Prepare Gantt Chart'!AM7=0,0)</f>
        <v>0</v>
      </c>
      <c r="AA8" s="45">
        <f>_xlfn.IFS('Prepare Gantt Chart'!AN7=2,'Project types'!$O8*('Prepare Gantt Chart'!$I7*'Prepare Gantt Chart'!$J7),'Prepare Gantt Chart'!AN7=1,'Project types'!$Q8*('Prepare Gantt Chart'!$I7*'Prepare Gantt Chart'!$J7),'Prepare Gantt Chart'!AN7=0,0)</f>
        <v>0</v>
      </c>
      <c r="AB8" s="45">
        <f>_xlfn.IFS('Prepare Gantt Chart'!AO7=2,'Project types'!$O8*('Prepare Gantt Chart'!$I7*'Prepare Gantt Chart'!$J7),'Prepare Gantt Chart'!AO7=1,'Project types'!$Q8*('Prepare Gantt Chart'!$I7*'Prepare Gantt Chart'!$J7),'Prepare Gantt Chart'!AO7=0,0)</f>
        <v>0</v>
      </c>
      <c r="AC8" s="45">
        <f>'Prepare Gantt Chart'!J7*'Prepare Gantt Chart'!I7*(AD8/26)</f>
        <v>0</v>
      </c>
      <c r="AD8" s="46">
        <f t="shared" si="0"/>
        <v>0</v>
      </c>
      <c r="AE8" s="72">
        <f>IF('Prepare Gantt Chart'!$J7=0,0,SUM(C8:H8)/6/'Prepare Gantt Chart'!$J7)</f>
        <v>0</v>
      </c>
      <c r="AF8" s="72">
        <f>IF('Prepare Gantt Chart'!$J7=0,0,SUM(I8:M8)/5/'Prepare Gantt Chart'!$J7)</f>
        <v>0</v>
      </c>
      <c r="AG8" s="72">
        <f>IF('Prepare Gantt Chart'!$J7=0,0,SUM(N8:R8)/5/'Prepare Gantt Chart'!$J7)</f>
        <v>0</v>
      </c>
      <c r="AH8" s="72">
        <f>IF('Prepare Gantt Chart'!$J7=0,0,SUM(S8:W8)/5/'Prepare Gantt Chart'!$J7)</f>
        <v>0</v>
      </c>
      <c r="AI8" s="72">
        <f>IF('Prepare Gantt Chart'!$J7=0,0,SUM(X8:AB8)/5/'Prepare Gantt Chart'!$J7)</f>
        <v>0</v>
      </c>
      <c r="AK8" s="18" t="s">
        <v>7</v>
      </c>
      <c r="AL8" s="45">
        <f>_xlfn.IFS('Prepare Gantt Chart'!P7=2,'Project types'!$L8*('Prepare Gantt Chart'!$I7*'Prepare Gantt Chart'!$J7),'Prepare Gantt Chart'!P7=1,'Project types'!$L8*('Prepare Gantt Chart'!$I7*'Prepare Gantt Chart'!$J7),'Prepare Gantt Chart'!P7=0,0)</f>
        <v>0</v>
      </c>
      <c r="AM8" s="45">
        <f>_xlfn.IFS('Prepare Gantt Chart'!Q7=2,'Project types'!$L8*('Prepare Gantt Chart'!$I7*'Prepare Gantt Chart'!$J7),'Prepare Gantt Chart'!Q7=1,'Project types'!$L8*('Prepare Gantt Chart'!$I7*'Prepare Gantt Chart'!$J7),'Prepare Gantt Chart'!Q7=0,0)</f>
        <v>0</v>
      </c>
      <c r="AN8" s="45">
        <f>_xlfn.IFS('Prepare Gantt Chart'!R7=2,'Project types'!$L8*('Prepare Gantt Chart'!$I7*'Prepare Gantt Chart'!$J7),'Prepare Gantt Chart'!R7=1,'Project types'!$L8*('Prepare Gantt Chart'!$I7*'Prepare Gantt Chart'!$J7),'Prepare Gantt Chart'!R7=0,0)</f>
        <v>0</v>
      </c>
      <c r="AO8" s="45">
        <f>_xlfn.IFS('Prepare Gantt Chart'!S7=2,'Project types'!$L8*('Prepare Gantt Chart'!$I7*'Prepare Gantt Chart'!$J7),'Prepare Gantt Chart'!S7=1,'Project types'!$L8*('Prepare Gantt Chart'!$I7*'Prepare Gantt Chart'!$J7),'Prepare Gantt Chart'!S7=0,0)</f>
        <v>0</v>
      </c>
      <c r="AP8" s="45">
        <f>_xlfn.IFS('Prepare Gantt Chart'!T7=2,'Project types'!$L8*('Prepare Gantt Chart'!$I7*'Prepare Gantt Chart'!$J7),'Prepare Gantt Chart'!T7=1,'Project types'!$L8*('Prepare Gantt Chart'!$I7*'Prepare Gantt Chart'!$J7),'Prepare Gantt Chart'!T7=0,0)</f>
        <v>0</v>
      </c>
      <c r="AQ8" s="45">
        <f>_xlfn.IFS('Prepare Gantt Chart'!U7=2,'Project types'!$L8*('Prepare Gantt Chart'!$I7*'Prepare Gantt Chart'!$J7),'Prepare Gantt Chart'!U7=1,'Project types'!$L8*('Prepare Gantt Chart'!$I7*'Prepare Gantt Chart'!$J7),'Prepare Gantt Chart'!U7=0,0)</f>
        <v>0</v>
      </c>
      <c r="AR8" s="45">
        <f>_xlfn.IFS('Prepare Gantt Chart'!V7=2,'Project types'!$L8*('Prepare Gantt Chart'!$I7*'Prepare Gantt Chart'!$J7),'Prepare Gantt Chart'!V7=1,'Project types'!$L8*('Prepare Gantt Chart'!$I7*'Prepare Gantt Chart'!$J7),'Prepare Gantt Chart'!V7=0,0)</f>
        <v>0</v>
      </c>
      <c r="AS8" s="45">
        <f>_xlfn.IFS('Prepare Gantt Chart'!W7=2,'Project types'!$L8*('Prepare Gantt Chart'!$I7*'Prepare Gantt Chart'!$J7),'Prepare Gantt Chart'!W7=1,'Project types'!$L8*('Prepare Gantt Chart'!$I7*'Prepare Gantt Chart'!$J7),'Prepare Gantt Chart'!W7=0,0)</f>
        <v>0</v>
      </c>
      <c r="AT8" s="45">
        <f>_xlfn.IFS('Prepare Gantt Chart'!X7=2,'Project types'!$L8*('Prepare Gantt Chart'!$I7*'Prepare Gantt Chart'!$J7),'Prepare Gantt Chart'!X7=1,'Project types'!$L8*('Prepare Gantt Chart'!$I7*'Prepare Gantt Chart'!$J7),'Prepare Gantt Chart'!X7=0,0)</f>
        <v>0</v>
      </c>
      <c r="AU8" s="45">
        <f>_xlfn.IFS('Prepare Gantt Chart'!Y7=2,'Project types'!$L8*('Prepare Gantt Chart'!$I7*'Prepare Gantt Chart'!$J7),'Prepare Gantt Chart'!Y7=1,'Project types'!$L8*('Prepare Gantt Chart'!$I7*'Prepare Gantt Chart'!$J7),'Prepare Gantt Chart'!Y7=0,0)</f>
        <v>0</v>
      </c>
      <c r="AV8" s="45">
        <f>_xlfn.IFS('Prepare Gantt Chart'!Z7=2,'Project types'!$L8*('Prepare Gantt Chart'!$I7*'Prepare Gantt Chart'!$J7),'Prepare Gantt Chart'!Z7=1,'Project types'!$L8*('Prepare Gantt Chart'!$I7*'Prepare Gantt Chart'!$J7),'Prepare Gantt Chart'!Z7=0,0)</f>
        <v>0</v>
      </c>
      <c r="AW8" s="45">
        <f>_xlfn.IFS('Prepare Gantt Chart'!AA7=2,'Project types'!$L8*('Prepare Gantt Chart'!$I7*'Prepare Gantt Chart'!$J7),'Prepare Gantt Chart'!AA7=1,'Project types'!$L8*('Prepare Gantt Chart'!$I7*'Prepare Gantt Chart'!$J7),'Prepare Gantt Chart'!AA7=0,0)</f>
        <v>0</v>
      </c>
      <c r="AX8" s="45">
        <f>_xlfn.IFS('Prepare Gantt Chart'!AB7=2,'Project types'!$L8*('Prepare Gantt Chart'!$I7*'Prepare Gantt Chart'!$J7),'Prepare Gantt Chart'!AB7=1,'Project types'!$L8*('Prepare Gantt Chart'!$I7*'Prepare Gantt Chart'!$J7),'Prepare Gantt Chart'!AB7=0,0)</f>
        <v>0</v>
      </c>
      <c r="AY8" s="45">
        <f>_xlfn.IFS('Prepare Gantt Chart'!AC7=2,'Project types'!$L8*('Prepare Gantt Chart'!$I7*'Prepare Gantt Chart'!$J7),'Prepare Gantt Chart'!AC7=1,'Project types'!$L8*('Prepare Gantt Chart'!$I7*'Prepare Gantt Chart'!$J7),'Prepare Gantt Chart'!AC7=0,0)</f>
        <v>0</v>
      </c>
      <c r="AZ8" s="45">
        <f>_xlfn.IFS('Prepare Gantt Chart'!AD7=2,'Project types'!$L8*('Prepare Gantt Chart'!$I7*'Prepare Gantt Chart'!$J7),'Prepare Gantt Chart'!AD7=1,'Project types'!$L8*('Prepare Gantt Chart'!$I7*'Prepare Gantt Chart'!$J7),'Prepare Gantt Chart'!AD7=0,0)</f>
        <v>0</v>
      </c>
      <c r="BA8" s="45">
        <f>_xlfn.IFS('Prepare Gantt Chart'!AE7=2,'Project types'!$L8*('Prepare Gantt Chart'!$I7*'Prepare Gantt Chart'!$J7),'Prepare Gantt Chart'!AE7=1,'Project types'!$L8*('Prepare Gantt Chart'!$I7*'Prepare Gantt Chart'!$J7),'Prepare Gantt Chart'!AE7=0,0)</f>
        <v>0</v>
      </c>
      <c r="BB8" s="45">
        <f>_xlfn.IFS('Prepare Gantt Chart'!AF7=2,'Project types'!$L8*('Prepare Gantt Chart'!$I7*'Prepare Gantt Chart'!$J7),'Prepare Gantt Chart'!AF7=1,'Project types'!$L8*('Prepare Gantt Chart'!$I7*'Prepare Gantt Chart'!$J7),'Prepare Gantt Chart'!AF7=0,0)</f>
        <v>0</v>
      </c>
      <c r="BC8" s="45">
        <f>_xlfn.IFS('Prepare Gantt Chart'!AG7=2,'Project types'!$L8*('Prepare Gantt Chart'!$I7*'Prepare Gantt Chart'!$J7),'Prepare Gantt Chart'!AG7=1,'Project types'!$L8*('Prepare Gantt Chart'!$I7*'Prepare Gantt Chart'!$J7),'Prepare Gantt Chart'!AG7=0,0)</f>
        <v>0</v>
      </c>
      <c r="BD8" s="45">
        <f>_xlfn.IFS('Prepare Gantt Chart'!AH7=2,'Project types'!$L8*('Prepare Gantt Chart'!$I7*'Prepare Gantt Chart'!$J7),'Prepare Gantt Chart'!AH7=1,'Project types'!$L8*('Prepare Gantt Chart'!$I7*'Prepare Gantt Chart'!$J7),'Prepare Gantt Chart'!AH7=0,0)</f>
        <v>0</v>
      </c>
      <c r="BE8" s="45">
        <f>_xlfn.IFS('Prepare Gantt Chart'!AI7=2,'Project types'!$L8*('Prepare Gantt Chart'!$I7*'Prepare Gantt Chart'!$J7),'Prepare Gantt Chart'!AI7=1,'Project types'!$L8*('Prepare Gantt Chart'!$I7*'Prepare Gantt Chart'!$J7),'Prepare Gantt Chart'!AI7=0,0)</f>
        <v>0</v>
      </c>
      <c r="BF8" s="45">
        <f>_xlfn.IFS('Prepare Gantt Chart'!AJ7=2,'Project types'!$L8*('Prepare Gantt Chart'!$I7*'Prepare Gantt Chart'!$J7),'Prepare Gantt Chart'!AJ7=1,'Project types'!$L8*('Prepare Gantt Chart'!$I7*'Prepare Gantt Chart'!$J7),'Prepare Gantt Chart'!AJ7=0,0)</f>
        <v>0</v>
      </c>
      <c r="BG8" s="45">
        <f>_xlfn.IFS('Prepare Gantt Chart'!AK7=2,'Project types'!$L8*('Prepare Gantt Chart'!$I7*'Prepare Gantt Chart'!$J7),'Prepare Gantt Chart'!AK7=1,'Project types'!$L8*('Prepare Gantt Chart'!$I7*'Prepare Gantt Chart'!$J7),'Prepare Gantt Chart'!AK7=0,0)</f>
        <v>0</v>
      </c>
      <c r="BH8" s="45">
        <f>_xlfn.IFS('Prepare Gantt Chart'!AL7=2,'Project types'!$L8*('Prepare Gantt Chart'!$I7*'Prepare Gantt Chart'!$J7),'Prepare Gantt Chart'!AL7=1,'Project types'!$L8*('Prepare Gantt Chart'!$I7*'Prepare Gantt Chart'!$J7),'Prepare Gantt Chart'!AL7=0,0)</f>
        <v>0</v>
      </c>
      <c r="BI8" s="45">
        <f>_xlfn.IFS('Prepare Gantt Chart'!AM7=2,'Project types'!$L8*('Prepare Gantt Chart'!$I7*'Prepare Gantt Chart'!$J7),'Prepare Gantt Chart'!AM7=1,'Project types'!$L8*('Prepare Gantt Chart'!$I7*'Prepare Gantt Chart'!$J7),'Prepare Gantt Chart'!AM7=0,0)</f>
        <v>0</v>
      </c>
      <c r="BJ8" s="45">
        <f>_xlfn.IFS('Prepare Gantt Chart'!AN7=2,'Project types'!$L8*('Prepare Gantt Chart'!$I7*'Prepare Gantt Chart'!$J7),'Prepare Gantt Chart'!AN7=1,'Project types'!$L8*('Prepare Gantt Chart'!$I7*'Prepare Gantt Chart'!$J7),'Prepare Gantt Chart'!AN7=0,0)</f>
        <v>0</v>
      </c>
      <c r="BK8" s="45">
        <f>_xlfn.IFS('Prepare Gantt Chart'!AO7=2,'Project types'!$L8*('Prepare Gantt Chart'!$I7*'Prepare Gantt Chart'!$J7),'Prepare Gantt Chart'!AO7=1,'Project types'!$L8*('Prepare Gantt Chart'!$I7*'Prepare Gantt Chart'!$J7),'Prepare Gantt Chart'!AO7=0,0)</f>
        <v>0</v>
      </c>
      <c r="BL8" s="46">
        <f t="shared" si="1"/>
        <v>0</v>
      </c>
      <c r="BM8" s="75">
        <f>IF('Prepare Gantt Chart'!$J7=0,0,SUM(AL8:AQ8)/6/'Prepare Gantt Chart'!$J7)</f>
        <v>0</v>
      </c>
      <c r="BN8" s="75">
        <f>IF('Prepare Gantt Chart'!$J7=0,0,SUM(AR8:AV8)/5/'Prepare Gantt Chart'!$J7)</f>
        <v>0</v>
      </c>
      <c r="BO8" s="75">
        <f>IF('Prepare Gantt Chart'!$J7=0,0,SUM(AW8:BA8)/5/'Prepare Gantt Chart'!$J7)</f>
        <v>0</v>
      </c>
      <c r="BP8" s="75">
        <f>IF('Prepare Gantt Chart'!$J7=0,0,SUM(BB8:BF8)/5/'Prepare Gantt Chart'!$J7)</f>
        <v>0</v>
      </c>
      <c r="BQ8" s="75">
        <f>IF('Prepare Gantt Chart'!$J7=0,0,SUM(BG8:BK8)/5/'Prepare Gantt Chart'!$J7)</f>
        <v>0</v>
      </c>
    </row>
    <row r="9" spans="1:69" x14ac:dyDescent="0.2">
      <c r="A9" s="18" t="s">
        <v>8</v>
      </c>
      <c r="B9" s="1" t="s">
        <v>110</v>
      </c>
      <c r="C9" s="45">
        <f>_xlfn.IFS('Prepare Gantt Chart'!P8=2,'Project types'!$O9*('Prepare Gantt Chart'!$I8*'Prepare Gantt Chart'!$J8),'Prepare Gantt Chart'!P8=1,'Project types'!$Q9*('Prepare Gantt Chart'!$I8*'Prepare Gantt Chart'!$J8),'Prepare Gantt Chart'!P8=0,0)</f>
        <v>0</v>
      </c>
      <c r="D9" s="45">
        <f>_xlfn.IFS('Prepare Gantt Chart'!Q8=2,'Project types'!$O9*('Prepare Gantt Chart'!$I8*'Prepare Gantt Chart'!$J8),'Prepare Gantt Chart'!Q8=1,'Project types'!$Q9*('Prepare Gantt Chart'!$I8*'Prepare Gantt Chart'!$J8),'Prepare Gantt Chart'!Q8=0,0)</f>
        <v>0</v>
      </c>
      <c r="E9" s="45">
        <f>_xlfn.IFS('Prepare Gantt Chart'!R8=2,'Project types'!$O9*('Prepare Gantt Chart'!$I8*'Prepare Gantt Chart'!$J8),'Prepare Gantt Chart'!R8=1,'Project types'!$Q9*('Prepare Gantt Chart'!$I8*'Prepare Gantt Chart'!$J8),'Prepare Gantt Chart'!R8=0,0)</f>
        <v>0</v>
      </c>
      <c r="F9" s="45">
        <f>_xlfn.IFS('Prepare Gantt Chart'!S8=2,'Project types'!$O9*('Prepare Gantt Chart'!$I8*'Prepare Gantt Chart'!$J8),'Prepare Gantt Chart'!S8=1,'Project types'!$Q9*('Prepare Gantt Chart'!$I8*'Prepare Gantt Chart'!$J8),'Prepare Gantt Chart'!S8=0,0)</f>
        <v>0</v>
      </c>
      <c r="G9" s="45">
        <f>_xlfn.IFS('Prepare Gantt Chart'!T8=2,'Project types'!$O9*('Prepare Gantt Chart'!$I8*'Prepare Gantt Chart'!$J8),'Prepare Gantt Chart'!T8=1,'Project types'!$Q9*('Prepare Gantt Chart'!$I8*'Prepare Gantt Chart'!$J8),'Prepare Gantt Chart'!T8=0,0)</f>
        <v>0</v>
      </c>
      <c r="H9" s="45">
        <f>_xlfn.IFS('Prepare Gantt Chart'!U8=2,'Project types'!$O9*('Prepare Gantt Chart'!$I8*'Prepare Gantt Chart'!$J8),'Prepare Gantt Chart'!U8=1,'Project types'!$Q9*('Prepare Gantt Chart'!$I8*'Prepare Gantt Chart'!$J8),'Prepare Gantt Chart'!U8=0,0)</f>
        <v>0</v>
      </c>
      <c r="I9" s="45">
        <f>_xlfn.IFS('Prepare Gantt Chart'!V8=2,'Project types'!$O9*('Prepare Gantt Chart'!$I8*'Prepare Gantt Chart'!$J8),'Prepare Gantt Chart'!V8=1,'Project types'!$Q9*('Prepare Gantt Chart'!$I8*'Prepare Gantt Chart'!$J8),'Prepare Gantt Chart'!V8=0,0)</f>
        <v>0</v>
      </c>
      <c r="J9" s="45">
        <f>_xlfn.IFS('Prepare Gantt Chart'!W8=2,'Project types'!$O9*('Prepare Gantt Chart'!$I8*'Prepare Gantt Chart'!$J8),'Prepare Gantt Chart'!W8=1,'Project types'!$Q9*('Prepare Gantt Chart'!$I8*'Prepare Gantt Chart'!$J8),'Prepare Gantt Chart'!W8=0,0)</f>
        <v>0</v>
      </c>
      <c r="K9" s="45">
        <f>_xlfn.IFS('Prepare Gantt Chart'!X8=2,'Project types'!$O9*('Prepare Gantt Chart'!$I8*'Prepare Gantt Chart'!$J8),'Prepare Gantt Chart'!X8=1,'Project types'!$Q9*('Prepare Gantt Chart'!$I8*'Prepare Gantt Chart'!$J8),'Prepare Gantt Chart'!X8=0,0)</f>
        <v>0</v>
      </c>
      <c r="L9" s="45">
        <f>_xlfn.IFS('Prepare Gantt Chart'!Y8=2,'Project types'!$O9*('Prepare Gantt Chart'!$I8*'Prepare Gantt Chart'!$J8),'Prepare Gantt Chart'!Y8=1,'Project types'!$Q9*('Prepare Gantt Chart'!$I8*'Prepare Gantt Chart'!$J8),'Prepare Gantt Chart'!Y8=0,0)</f>
        <v>0</v>
      </c>
      <c r="M9" s="45">
        <f>_xlfn.IFS('Prepare Gantt Chart'!Z8=2,'Project types'!$O9*('Prepare Gantt Chart'!$I8*'Prepare Gantt Chart'!$J8),'Prepare Gantt Chart'!Z8=1,'Project types'!$Q9*('Prepare Gantt Chart'!$I8*'Prepare Gantt Chart'!$J8),'Prepare Gantt Chart'!Z8=0,0)</f>
        <v>0</v>
      </c>
      <c r="N9" s="45">
        <f>_xlfn.IFS('Prepare Gantt Chart'!AA8=2,'Project types'!$O9*('Prepare Gantt Chart'!$I8*'Prepare Gantt Chart'!$J8),'Prepare Gantt Chart'!AA8=1,'Project types'!$Q9*('Prepare Gantt Chart'!$I8*'Prepare Gantt Chart'!$J8),'Prepare Gantt Chart'!AA8=0,0)</f>
        <v>0</v>
      </c>
      <c r="O9" s="45">
        <f>_xlfn.IFS('Prepare Gantt Chart'!AB8=2,'Project types'!$O9*('Prepare Gantt Chart'!$I8*'Prepare Gantt Chart'!$J8),'Prepare Gantt Chart'!AB8=1,'Project types'!$Q9*('Prepare Gantt Chart'!$I8*'Prepare Gantt Chart'!$J8),'Prepare Gantt Chart'!AB8=0,0)</f>
        <v>0</v>
      </c>
      <c r="P9" s="45">
        <f>_xlfn.IFS('Prepare Gantt Chart'!AC8=2,'Project types'!$O9*('Prepare Gantt Chart'!$I8*'Prepare Gantt Chart'!$J8),'Prepare Gantt Chart'!AC8=1,'Project types'!$Q9*('Prepare Gantt Chart'!$I8*'Prepare Gantt Chart'!$J8),'Prepare Gantt Chart'!AC8=0,0)</f>
        <v>0</v>
      </c>
      <c r="Q9" s="45">
        <f>_xlfn.IFS('Prepare Gantt Chart'!AD8=2,'Project types'!$O9*('Prepare Gantt Chart'!$I8*'Prepare Gantt Chart'!$J8),'Prepare Gantt Chart'!AD8=1,'Project types'!$Q9*('Prepare Gantt Chart'!$I8*'Prepare Gantt Chart'!$J8),'Prepare Gantt Chart'!AD8=0,0)</f>
        <v>0</v>
      </c>
      <c r="R9" s="45">
        <f>_xlfn.IFS('Prepare Gantt Chart'!AE8=2,'Project types'!$O9*('Prepare Gantt Chart'!$I8*'Prepare Gantt Chart'!$J8),'Prepare Gantt Chart'!AE8=1,'Project types'!$Q9*('Prepare Gantt Chart'!$I8*'Prepare Gantt Chart'!$J8),'Prepare Gantt Chart'!AE8=0,0)</f>
        <v>0</v>
      </c>
      <c r="S9" s="45">
        <f>_xlfn.IFS('Prepare Gantt Chart'!AF8=2,'Project types'!$O9*('Prepare Gantt Chart'!$I8*'Prepare Gantt Chart'!$J8),'Prepare Gantt Chart'!AF8=1,'Project types'!$Q9*('Prepare Gantt Chart'!$I8*'Prepare Gantt Chart'!$J8),'Prepare Gantt Chart'!AF8=0,0)</f>
        <v>0</v>
      </c>
      <c r="T9" s="45">
        <f>_xlfn.IFS('Prepare Gantt Chart'!AG8=2,'Project types'!$O9*('Prepare Gantt Chart'!$I8*'Prepare Gantt Chart'!$J8),'Prepare Gantt Chart'!AG8=1,'Project types'!$Q9*('Prepare Gantt Chart'!$I8*'Prepare Gantt Chart'!$J8),'Prepare Gantt Chart'!AG8=0,0)</f>
        <v>0</v>
      </c>
      <c r="U9" s="45">
        <f>_xlfn.IFS('Prepare Gantt Chart'!AH8=2,'Project types'!$O9*('Prepare Gantt Chart'!$I8*'Prepare Gantt Chart'!$J8),'Prepare Gantt Chart'!AH8=1,'Project types'!$Q9*('Prepare Gantt Chart'!$I8*'Prepare Gantt Chart'!$J8),'Prepare Gantt Chart'!AH8=0,0)</f>
        <v>0</v>
      </c>
      <c r="V9" s="45">
        <f>_xlfn.IFS('Prepare Gantt Chart'!AI8=2,'Project types'!$O9*('Prepare Gantt Chart'!$I8*'Prepare Gantt Chart'!$J8),'Prepare Gantt Chart'!AI8=1,'Project types'!$Q9*('Prepare Gantt Chart'!$I8*'Prepare Gantt Chart'!$J8),'Prepare Gantt Chart'!AI8=0,0)</f>
        <v>0</v>
      </c>
      <c r="W9" s="45">
        <f>_xlfn.IFS('Prepare Gantt Chart'!AJ8=2,'Project types'!$O9*('Prepare Gantt Chart'!$I8*'Prepare Gantt Chart'!$J8),'Prepare Gantt Chart'!AJ8=1,'Project types'!$Q9*('Prepare Gantt Chart'!$I8*'Prepare Gantt Chart'!$J8),'Prepare Gantt Chart'!AJ8=0,0)</f>
        <v>0</v>
      </c>
      <c r="X9" s="45">
        <f>_xlfn.IFS('Prepare Gantt Chart'!AK8=2,'Project types'!$O9*('Prepare Gantt Chart'!$I8*'Prepare Gantt Chart'!$J8),'Prepare Gantt Chart'!AK8=1,'Project types'!$Q9*('Prepare Gantt Chart'!$I8*'Prepare Gantt Chart'!$J8),'Prepare Gantt Chart'!AK8=0,0)</f>
        <v>0</v>
      </c>
      <c r="Y9" s="45">
        <f>_xlfn.IFS('Prepare Gantt Chart'!AL8=2,'Project types'!$O9*('Prepare Gantt Chart'!$I8*'Prepare Gantt Chart'!$J8),'Prepare Gantt Chart'!AL8=1,'Project types'!$Q9*('Prepare Gantt Chart'!$I8*'Prepare Gantt Chart'!$J8),'Prepare Gantt Chart'!AL8=0,0)</f>
        <v>0</v>
      </c>
      <c r="Z9" s="45">
        <f>_xlfn.IFS('Prepare Gantt Chart'!AM8=2,'Project types'!$O9*('Prepare Gantt Chart'!$I8*'Prepare Gantt Chart'!$J8),'Prepare Gantt Chart'!AM8=1,'Project types'!$Q9*('Prepare Gantt Chart'!$I8*'Prepare Gantt Chart'!$J8),'Prepare Gantt Chart'!AM8=0,0)</f>
        <v>0</v>
      </c>
      <c r="AA9" s="45">
        <f>_xlfn.IFS('Prepare Gantt Chart'!AN8=2,'Project types'!$O9*('Prepare Gantt Chart'!$I8*'Prepare Gantt Chart'!$J8),'Prepare Gantt Chart'!AN8=1,'Project types'!$Q9*('Prepare Gantt Chart'!$I8*'Prepare Gantt Chart'!$J8),'Prepare Gantt Chart'!AN8=0,0)</f>
        <v>0</v>
      </c>
      <c r="AB9" s="45">
        <f>_xlfn.IFS('Prepare Gantt Chart'!AO8=2,'Project types'!$O9*('Prepare Gantt Chart'!$I8*'Prepare Gantt Chart'!$J8),'Prepare Gantt Chart'!AO8=1,'Project types'!$Q9*('Prepare Gantt Chart'!$I8*'Prepare Gantt Chart'!$J8),'Prepare Gantt Chart'!AO8=0,0)</f>
        <v>0</v>
      </c>
      <c r="AC9" s="45">
        <f>'Prepare Gantt Chart'!J8*'Prepare Gantt Chart'!I8*(AD9/26)</f>
        <v>0</v>
      </c>
      <c r="AD9" s="46">
        <f t="shared" si="0"/>
        <v>0</v>
      </c>
      <c r="AE9" s="72">
        <f>IF('Prepare Gantt Chart'!$J8=0,0,SUM(C9:H9)/6/'Prepare Gantt Chart'!$J8)</f>
        <v>0</v>
      </c>
      <c r="AF9" s="72">
        <f>IF('Prepare Gantt Chart'!$J8=0,0,SUM(I9:M9)/5/'Prepare Gantt Chart'!$J8)</f>
        <v>0</v>
      </c>
      <c r="AG9" s="72">
        <f>IF('Prepare Gantt Chart'!$J8=0,0,SUM(N9:R9)/5/'Prepare Gantt Chart'!$J8)</f>
        <v>0</v>
      </c>
      <c r="AH9" s="72">
        <f>IF('Prepare Gantt Chart'!$J8=0,0,SUM(S9:W9)/5/'Prepare Gantt Chart'!$J8)</f>
        <v>0</v>
      </c>
      <c r="AI9" s="72">
        <f>IF('Prepare Gantt Chart'!$J8=0,0,SUM(X9:AB9)/5/'Prepare Gantt Chart'!$J8)</f>
        <v>0</v>
      </c>
      <c r="AK9" s="18" t="s">
        <v>8</v>
      </c>
      <c r="AL9" s="45">
        <f>_xlfn.IFS('Prepare Gantt Chart'!P8=2,'Project types'!$L9*('Prepare Gantt Chart'!$I8*'Prepare Gantt Chart'!$J8),'Prepare Gantt Chart'!P8=1,'Project types'!$L9*('Prepare Gantt Chart'!$I8*'Prepare Gantt Chart'!$J8),'Prepare Gantt Chart'!P8=0,0)</f>
        <v>0</v>
      </c>
      <c r="AM9" s="45">
        <f>_xlfn.IFS('Prepare Gantt Chart'!Q8=2,'Project types'!$L9*('Prepare Gantt Chart'!$I8*'Prepare Gantt Chart'!$J8),'Prepare Gantt Chart'!Q8=1,'Project types'!$L9*('Prepare Gantt Chart'!$I8*'Prepare Gantt Chart'!$J8),'Prepare Gantt Chart'!Q8=0,0)</f>
        <v>0</v>
      </c>
      <c r="AN9" s="45">
        <f>_xlfn.IFS('Prepare Gantt Chart'!R8=2,'Project types'!$L9*('Prepare Gantt Chart'!$I8*'Prepare Gantt Chart'!$J8),'Prepare Gantt Chart'!R8=1,'Project types'!$L9*('Prepare Gantt Chart'!$I8*'Prepare Gantt Chart'!$J8),'Prepare Gantt Chart'!R8=0,0)</f>
        <v>0</v>
      </c>
      <c r="AO9" s="45">
        <f>_xlfn.IFS('Prepare Gantt Chart'!S8=2,'Project types'!$L9*('Prepare Gantt Chart'!$I8*'Prepare Gantt Chart'!$J8),'Prepare Gantt Chart'!S8=1,'Project types'!$L9*('Prepare Gantt Chart'!$I8*'Prepare Gantt Chart'!$J8),'Prepare Gantt Chart'!S8=0,0)</f>
        <v>0</v>
      </c>
      <c r="AP9" s="45">
        <f>_xlfn.IFS('Prepare Gantt Chart'!T8=2,'Project types'!$L9*('Prepare Gantt Chart'!$I8*'Prepare Gantt Chart'!$J8),'Prepare Gantt Chart'!T8=1,'Project types'!$L9*('Prepare Gantt Chart'!$I8*'Prepare Gantt Chart'!$J8),'Prepare Gantt Chart'!T8=0,0)</f>
        <v>0</v>
      </c>
      <c r="AQ9" s="45">
        <f>_xlfn.IFS('Prepare Gantt Chart'!U8=2,'Project types'!$L9*('Prepare Gantt Chart'!$I8*'Prepare Gantt Chart'!$J8),'Prepare Gantt Chart'!U8=1,'Project types'!$L9*('Prepare Gantt Chart'!$I8*'Prepare Gantt Chart'!$J8),'Prepare Gantt Chart'!U8=0,0)</f>
        <v>0</v>
      </c>
      <c r="AR9" s="45">
        <f>_xlfn.IFS('Prepare Gantt Chart'!V8=2,'Project types'!$L9*('Prepare Gantt Chart'!$I8*'Prepare Gantt Chart'!$J8),'Prepare Gantt Chart'!V8=1,'Project types'!$L9*('Prepare Gantt Chart'!$I8*'Prepare Gantt Chart'!$J8),'Prepare Gantt Chart'!V8=0,0)</f>
        <v>0</v>
      </c>
      <c r="AS9" s="45">
        <f>_xlfn.IFS('Prepare Gantt Chart'!W8=2,'Project types'!$L9*('Prepare Gantt Chart'!$I8*'Prepare Gantt Chart'!$J8),'Prepare Gantt Chart'!W8=1,'Project types'!$L9*('Prepare Gantt Chart'!$I8*'Prepare Gantt Chart'!$J8),'Prepare Gantt Chart'!W8=0,0)</f>
        <v>0</v>
      </c>
      <c r="AT9" s="45">
        <f>_xlfn.IFS('Prepare Gantt Chart'!X8=2,'Project types'!$L9*('Prepare Gantt Chart'!$I8*'Prepare Gantt Chart'!$J8),'Prepare Gantt Chart'!X8=1,'Project types'!$L9*('Prepare Gantt Chart'!$I8*'Prepare Gantt Chart'!$J8),'Prepare Gantt Chart'!X8=0,0)</f>
        <v>0</v>
      </c>
      <c r="AU9" s="45">
        <f>_xlfn.IFS('Prepare Gantt Chart'!Y8=2,'Project types'!$L9*('Prepare Gantt Chart'!$I8*'Prepare Gantt Chart'!$J8),'Prepare Gantt Chart'!Y8=1,'Project types'!$L9*('Prepare Gantt Chart'!$I8*'Prepare Gantt Chart'!$J8),'Prepare Gantt Chart'!Y8=0,0)</f>
        <v>0</v>
      </c>
      <c r="AV9" s="45">
        <f>_xlfn.IFS('Prepare Gantt Chart'!Z8=2,'Project types'!$L9*('Prepare Gantt Chart'!$I8*'Prepare Gantt Chart'!$J8),'Prepare Gantt Chart'!Z8=1,'Project types'!$L9*('Prepare Gantt Chart'!$I8*'Prepare Gantt Chart'!$J8),'Prepare Gantt Chart'!Z8=0,0)</f>
        <v>0</v>
      </c>
      <c r="AW9" s="45">
        <f>_xlfn.IFS('Prepare Gantt Chart'!AA8=2,'Project types'!$L9*('Prepare Gantt Chart'!$I8*'Prepare Gantt Chart'!$J8),'Prepare Gantt Chart'!AA8=1,'Project types'!$L9*('Prepare Gantt Chart'!$I8*'Prepare Gantt Chart'!$J8),'Prepare Gantt Chart'!AA8=0,0)</f>
        <v>0</v>
      </c>
      <c r="AX9" s="45">
        <f>_xlfn.IFS('Prepare Gantt Chart'!AB8=2,'Project types'!$L9*('Prepare Gantt Chart'!$I8*'Prepare Gantt Chart'!$J8),'Prepare Gantt Chart'!AB8=1,'Project types'!$L9*('Prepare Gantt Chart'!$I8*'Prepare Gantt Chart'!$J8),'Prepare Gantt Chart'!AB8=0,0)</f>
        <v>0</v>
      </c>
      <c r="AY9" s="45">
        <f>_xlfn.IFS('Prepare Gantt Chart'!AC8=2,'Project types'!$L9*('Prepare Gantt Chart'!$I8*'Prepare Gantt Chart'!$J8),'Prepare Gantt Chart'!AC8=1,'Project types'!$L9*('Prepare Gantt Chart'!$I8*'Prepare Gantt Chart'!$J8),'Prepare Gantt Chart'!AC8=0,0)</f>
        <v>0</v>
      </c>
      <c r="AZ9" s="45">
        <f>_xlfn.IFS('Prepare Gantt Chart'!AD8=2,'Project types'!$L9*('Prepare Gantt Chart'!$I8*'Prepare Gantt Chart'!$J8),'Prepare Gantt Chart'!AD8=1,'Project types'!$L9*('Prepare Gantt Chart'!$I8*'Prepare Gantt Chart'!$J8),'Prepare Gantt Chart'!AD8=0,0)</f>
        <v>0</v>
      </c>
      <c r="BA9" s="45">
        <f>_xlfn.IFS('Prepare Gantt Chart'!AE8=2,'Project types'!$L9*('Prepare Gantt Chart'!$I8*'Prepare Gantt Chart'!$J8),'Prepare Gantt Chart'!AE8=1,'Project types'!$L9*('Prepare Gantt Chart'!$I8*'Prepare Gantt Chart'!$J8),'Prepare Gantt Chart'!AE8=0,0)</f>
        <v>0</v>
      </c>
      <c r="BB9" s="45">
        <f>_xlfn.IFS('Prepare Gantt Chart'!AF8=2,'Project types'!$L9*('Prepare Gantt Chart'!$I8*'Prepare Gantt Chart'!$J8),'Prepare Gantt Chart'!AF8=1,'Project types'!$L9*('Prepare Gantt Chart'!$I8*'Prepare Gantt Chart'!$J8),'Prepare Gantt Chart'!AF8=0,0)</f>
        <v>0</v>
      </c>
      <c r="BC9" s="45">
        <f>_xlfn.IFS('Prepare Gantt Chart'!AG8=2,'Project types'!$L9*('Prepare Gantt Chart'!$I8*'Prepare Gantt Chart'!$J8),'Prepare Gantt Chart'!AG8=1,'Project types'!$L9*('Prepare Gantt Chart'!$I8*'Prepare Gantt Chart'!$J8),'Prepare Gantt Chart'!AG8=0,0)</f>
        <v>0</v>
      </c>
      <c r="BD9" s="45">
        <f>_xlfn.IFS('Prepare Gantt Chart'!AH8=2,'Project types'!$L9*('Prepare Gantt Chart'!$I8*'Prepare Gantt Chart'!$J8),'Prepare Gantt Chart'!AH8=1,'Project types'!$L9*('Prepare Gantt Chart'!$I8*'Prepare Gantt Chart'!$J8),'Prepare Gantt Chart'!AH8=0,0)</f>
        <v>0</v>
      </c>
      <c r="BE9" s="45">
        <f>_xlfn.IFS('Prepare Gantt Chart'!AI8=2,'Project types'!$L9*('Prepare Gantt Chart'!$I8*'Prepare Gantt Chart'!$J8),'Prepare Gantt Chart'!AI8=1,'Project types'!$L9*('Prepare Gantt Chart'!$I8*'Prepare Gantt Chart'!$J8),'Prepare Gantt Chart'!AI8=0,0)</f>
        <v>0</v>
      </c>
      <c r="BF9" s="45">
        <f>_xlfn.IFS('Prepare Gantt Chart'!AJ8=2,'Project types'!$L9*('Prepare Gantt Chart'!$I8*'Prepare Gantt Chart'!$J8),'Prepare Gantt Chart'!AJ8=1,'Project types'!$L9*('Prepare Gantt Chart'!$I8*'Prepare Gantt Chart'!$J8),'Prepare Gantt Chart'!AJ8=0,0)</f>
        <v>0</v>
      </c>
      <c r="BG9" s="45">
        <f>_xlfn.IFS('Prepare Gantt Chart'!AK8=2,'Project types'!$L9*('Prepare Gantt Chart'!$I8*'Prepare Gantt Chart'!$J8),'Prepare Gantt Chart'!AK8=1,'Project types'!$L9*('Prepare Gantt Chart'!$I8*'Prepare Gantt Chart'!$J8),'Prepare Gantt Chart'!AK8=0,0)</f>
        <v>0</v>
      </c>
      <c r="BH9" s="45">
        <f>_xlfn.IFS('Prepare Gantt Chart'!AL8=2,'Project types'!$L9*('Prepare Gantt Chart'!$I8*'Prepare Gantt Chart'!$J8),'Prepare Gantt Chart'!AL8=1,'Project types'!$L9*('Prepare Gantt Chart'!$I8*'Prepare Gantt Chart'!$J8),'Prepare Gantt Chart'!AL8=0,0)</f>
        <v>0</v>
      </c>
      <c r="BI9" s="45">
        <f>_xlfn.IFS('Prepare Gantt Chart'!AM8=2,'Project types'!$L9*('Prepare Gantt Chart'!$I8*'Prepare Gantt Chart'!$J8),'Prepare Gantt Chart'!AM8=1,'Project types'!$L9*('Prepare Gantt Chart'!$I8*'Prepare Gantt Chart'!$J8),'Prepare Gantt Chart'!AM8=0,0)</f>
        <v>0</v>
      </c>
      <c r="BJ9" s="45">
        <f>_xlfn.IFS('Prepare Gantt Chart'!AN8=2,'Project types'!$L9*('Prepare Gantt Chart'!$I8*'Prepare Gantt Chart'!$J8),'Prepare Gantt Chart'!AN8=1,'Project types'!$L9*('Prepare Gantt Chart'!$I8*'Prepare Gantt Chart'!$J8),'Prepare Gantt Chart'!AN8=0,0)</f>
        <v>0</v>
      </c>
      <c r="BK9" s="45">
        <f>_xlfn.IFS('Prepare Gantt Chart'!AO8=2,'Project types'!$L9*('Prepare Gantt Chart'!$I8*'Prepare Gantt Chart'!$J8),'Prepare Gantt Chart'!AO8=1,'Project types'!$L9*('Prepare Gantt Chart'!$I8*'Prepare Gantt Chart'!$J8),'Prepare Gantt Chart'!AO8=0,0)</f>
        <v>0</v>
      </c>
      <c r="BL9" s="46">
        <f t="shared" si="1"/>
        <v>0</v>
      </c>
      <c r="BM9" s="75">
        <f>IF('Prepare Gantt Chart'!$J8=0,0,SUM(AL9:AQ9)/6/'Prepare Gantt Chart'!$J8)</f>
        <v>0</v>
      </c>
      <c r="BN9" s="75">
        <f>IF('Prepare Gantt Chart'!$J8=0,0,SUM(AR9:AV9)/5/'Prepare Gantt Chart'!$J8)</f>
        <v>0</v>
      </c>
      <c r="BO9" s="75">
        <f>IF('Prepare Gantt Chart'!$J8=0,0,SUM(AW9:BA9)/5/'Prepare Gantt Chart'!$J8)</f>
        <v>0</v>
      </c>
      <c r="BP9" s="75">
        <f>IF('Prepare Gantt Chart'!$J8=0,0,SUM(BB9:BF9)/5/'Prepare Gantt Chart'!$J8)</f>
        <v>0</v>
      </c>
      <c r="BQ9" s="75">
        <f>IF('Prepare Gantt Chart'!$J8=0,0,SUM(BG9:BK9)/5/'Prepare Gantt Chart'!$J8)</f>
        <v>0</v>
      </c>
    </row>
    <row r="10" spans="1:69" x14ac:dyDescent="0.2">
      <c r="A10" s="18" t="s">
        <v>9</v>
      </c>
      <c r="B10" s="1" t="s">
        <v>111</v>
      </c>
      <c r="C10" s="45">
        <f>_xlfn.IFS('Prepare Gantt Chart'!P9=2,'Project types'!$O10*('Prepare Gantt Chart'!$I9*'Prepare Gantt Chart'!$J9),'Prepare Gantt Chart'!P9=1,'Project types'!$Q10*('Prepare Gantt Chart'!$I9*'Prepare Gantt Chart'!$J9),'Prepare Gantt Chart'!P9=0,0)</f>
        <v>0</v>
      </c>
      <c r="D10" s="45">
        <f>_xlfn.IFS('Prepare Gantt Chart'!Q9=2,'Project types'!$O10*('Prepare Gantt Chart'!$I9*'Prepare Gantt Chart'!$J9),'Prepare Gantt Chart'!Q9=1,'Project types'!$Q10*('Prepare Gantt Chart'!$I9*'Prepare Gantt Chart'!$J9),'Prepare Gantt Chart'!Q9=0,0)</f>
        <v>0</v>
      </c>
      <c r="E10" s="45">
        <f>_xlfn.IFS('Prepare Gantt Chart'!R9=2,'Project types'!$O10*('Prepare Gantt Chart'!$I9*'Prepare Gantt Chart'!$J9),'Prepare Gantt Chart'!R9=1,'Project types'!$Q10*('Prepare Gantt Chart'!$I9*'Prepare Gantt Chart'!$J9),'Prepare Gantt Chart'!R9=0,0)</f>
        <v>0</v>
      </c>
      <c r="F10" s="45">
        <f>_xlfn.IFS('Prepare Gantt Chart'!S9=2,'Project types'!$O10*('Prepare Gantt Chart'!$I9*'Prepare Gantt Chart'!$J9),'Prepare Gantt Chart'!S9=1,'Project types'!$Q10*('Prepare Gantt Chart'!$I9*'Prepare Gantt Chart'!$J9),'Prepare Gantt Chart'!S9=0,0)</f>
        <v>0</v>
      </c>
      <c r="G10" s="45">
        <f>_xlfn.IFS('Prepare Gantt Chart'!T9=2,'Project types'!$O10*('Prepare Gantt Chart'!$I9*'Prepare Gantt Chart'!$J9),'Prepare Gantt Chart'!T9=1,'Project types'!$Q10*('Prepare Gantt Chart'!$I9*'Prepare Gantt Chart'!$J9),'Prepare Gantt Chart'!T9=0,0)</f>
        <v>0</v>
      </c>
      <c r="H10" s="45">
        <f>_xlfn.IFS('Prepare Gantt Chart'!U9=2,'Project types'!$O10*('Prepare Gantt Chart'!$I9*'Prepare Gantt Chart'!$J9),'Prepare Gantt Chart'!U9=1,'Project types'!$Q10*('Prepare Gantt Chart'!$I9*'Prepare Gantt Chart'!$J9),'Prepare Gantt Chart'!U9=0,0)</f>
        <v>0</v>
      </c>
      <c r="I10" s="45">
        <f>_xlfn.IFS('Prepare Gantt Chart'!V9=2,'Project types'!$O10*('Prepare Gantt Chart'!$I9*'Prepare Gantt Chart'!$J9),'Prepare Gantt Chart'!V9=1,'Project types'!$Q10*('Prepare Gantt Chart'!$I9*'Prepare Gantt Chart'!$J9),'Prepare Gantt Chart'!V9=0,0)</f>
        <v>0</v>
      </c>
      <c r="J10" s="45">
        <f>_xlfn.IFS('Prepare Gantt Chart'!W9=2,'Project types'!$O10*('Prepare Gantt Chart'!$I9*'Prepare Gantt Chart'!$J9),'Prepare Gantt Chart'!W9=1,'Project types'!$Q10*('Prepare Gantt Chart'!$I9*'Prepare Gantt Chart'!$J9),'Prepare Gantt Chart'!W9=0,0)</f>
        <v>0</v>
      </c>
      <c r="K10" s="45">
        <f>_xlfn.IFS('Prepare Gantt Chart'!X9=2,'Project types'!$O10*('Prepare Gantt Chart'!$I9*'Prepare Gantt Chart'!$J9),'Prepare Gantt Chart'!X9=1,'Project types'!$Q10*('Prepare Gantt Chart'!$I9*'Prepare Gantt Chart'!$J9),'Prepare Gantt Chart'!X9=0,0)</f>
        <v>0</v>
      </c>
      <c r="L10" s="45">
        <f>_xlfn.IFS('Prepare Gantt Chart'!Y9=2,'Project types'!$O10*('Prepare Gantt Chart'!$I9*'Prepare Gantt Chart'!$J9),'Prepare Gantt Chart'!Y9=1,'Project types'!$Q10*('Prepare Gantt Chart'!$I9*'Prepare Gantt Chart'!$J9),'Prepare Gantt Chart'!Y9=0,0)</f>
        <v>0</v>
      </c>
      <c r="M10" s="45">
        <f>_xlfn.IFS('Prepare Gantt Chart'!Z9=2,'Project types'!$O10*('Prepare Gantt Chart'!$I9*'Prepare Gantt Chart'!$J9),'Prepare Gantt Chart'!Z9=1,'Project types'!$Q10*('Prepare Gantt Chart'!$I9*'Prepare Gantt Chart'!$J9),'Prepare Gantt Chart'!Z9=0,0)</f>
        <v>0</v>
      </c>
      <c r="N10" s="45">
        <f>_xlfn.IFS('Prepare Gantt Chart'!AA9=2,'Project types'!$O10*('Prepare Gantt Chart'!$I9*'Prepare Gantt Chart'!$J9),'Prepare Gantt Chart'!AA9=1,'Project types'!$Q10*('Prepare Gantt Chart'!$I9*'Prepare Gantt Chart'!$J9),'Prepare Gantt Chart'!AA9=0,0)</f>
        <v>0</v>
      </c>
      <c r="O10" s="45">
        <f>_xlfn.IFS('Prepare Gantt Chart'!AB9=2,'Project types'!$O10*('Prepare Gantt Chart'!$I9*'Prepare Gantt Chart'!$J9),'Prepare Gantt Chart'!AB9=1,'Project types'!$Q10*('Prepare Gantt Chart'!$I9*'Prepare Gantt Chart'!$J9),'Prepare Gantt Chart'!AB9=0,0)</f>
        <v>0</v>
      </c>
      <c r="P10" s="45">
        <f>_xlfn.IFS('Prepare Gantt Chart'!AC9=2,'Project types'!$O10*('Prepare Gantt Chart'!$I9*'Prepare Gantt Chart'!$J9),'Prepare Gantt Chart'!AC9=1,'Project types'!$Q10*('Prepare Gantt Chart'!$I9*'Prepare Gantt Chart'!$J9),'Prepare Gantt Chart'!AC9=0,0)</f>
        <v>0</v>
      </c>
      <c r="Q10" s="45">
        <f>_xlfn.IFS('Prepare Gantt Chart'!AD9=2,'Project types'!$O10*('Prepare Gantt Chart'!$I9*'Prepare Gantt Chart'!$J9),'Prepare Gantt Chart'!AD9=1,'Project types'!$Q10*('Prepare Gantt Chart'!$I9*'Prepare Gantt Chart'!$J9),'Prepare Gantt Chart'!AD9=0,0)</f>
        <v>0</v>
      </c>
      <c r="R10" s="45">
        <f>_xlfn.IFS('Prepare Gantt Chart'!AE9=2,'Project types'!$O10*('Prepare Gantt Chart'!$I9*'Prepare Gantt Chart'!$J9),'Prepare Gantt Chart'!AE9=1,'Project types'!$Q10*('Prepare Gantt Chart'!$I9*'Prepare Gantt Chart'!$J9),'Prepare Gantt Chart'!AE9=0,0)</f>
        <v>0</v>
      </c>
      <c r="S10" s="45">
        <f>_xlfn.IFS('Prepare Gantt Chart'!AF9=2,'Project types'!$O10*('Prepare Gantt Chart'!$I9*'Prepare Gantt Chart'!$J9),'Prepare Gantt Chart'!AF9=1,'Project types'!$Q10*('Prepare Gantt Chart'!$I9*'Prepare Gantt Chart'!$J9),'Prepare Gantt Chart'!AF9=0,0)</f>
        <v>0</v>
      </c>
      <c r="T10" s="45">
        <f>_xlfn.IFS('Prepare Gantt Chart'!AG9=2,'Project types'!$O10*('Prepare Gantt Chart'!$I9*'Prepare Gantt Chart'!$J9),'Prepare Gantt Chart'!AG9=1,'Project types'!$Q10*('Prepare Gantt Chart'!$I9*'Prepare Gantt Chart'!$J9),'Prepare Gantt Chart'!AG9=0,0)</f>
        <v>0</v>
      </c>
      <c r="U10" s="45">
        <f>_xlfn.IFS('Prepare Gantt Chart'!AH9=2,'Project types'!$O10*('Prepare Gantt Chart'!$I9*'Prepare Gantt Chart'!$J9),'Prepare Gantt Chart'!AH9=1,'Project types'!$Q10*('Prepare Gantt Chart'!$I9*'Prepare Gantt Chart'!$J9),'Prepare Gantt Chart'!AH9=0,0)</f>
        <v>0</v>
      </c>
      <c r="V10" s="45">
        <f>_xlfn.IFS('Prepare Gantt Chart'!AI9=2,'Project types'!$O10*('Prepare Gantt Chart'!$I9*'Prepare Gantt Chart'!$J9),'Prepare Gantt Chart'!AI9=1,'Project types'!$Q10*('Prepare Gantt Chart'!$I9*'Prepare Gantt Chart'!$J9),'Prepare Gantt Chart'!AI9=0,0)</f>
        <v>0</v>
      </c>
      <c r="W10" s="45">
        <f>_xlfn.IFS('Prepare Gantt Chart'!AJ9=2,'Project types'!$O10*('Prepare Gantt Chart'!$I9*'Prepare Gantt Chart'!$J9),'Prepare Gantt Chart'!AJ9=1,'Project types'!$Q10*('Prepare Gantt Chart'!$I9*'Prepare Gantt Chart'!$J9),'Prepare Gantt Chart'!AJ9=0,0)</f>
        <v>0</v>
      </c>
      <c r="X10" s="45">
        <f>_xlfn.IFS('Prepare Gantt Chart'!AK9=2,'Project types'!$O10*('Prepare Gantt Chart'!$I9*'Prepare Gantt Chart'!$J9),'Prepare Gantt Chart'!AK9=1,'Project types'!$Q10*('Prepare Gantt Chart'!$I9*'Prepare Gantt Chart'!$J9),'Prepare Gantt Chart'!AK9=0,0)</f>
        <v>0</v>
      </c>
      <c r="Y10" s="45">
        <f>_xlfn.IFS('Prepare Gantt Chart'!AL9=2,'Project types'!$O10*('Prepare Gantt Chart'!$I9*'Prepare Gantt Chart'!$J9),'Prepare Gantt Chart'!AL9=1,'Project types'!$Q10*('Prepare Gantt Chart'!$I9*'Prepare Gantt Chart'!$J9),'Prepare Gantt Chart'!AL9=0,0)</f>
        <v>0</v>
      </c>
      <c r="Z10" s="45">
        <f>_xlfn.IFS('Prepare Gantt Chart'!AM9=2,'Project types'!$O10*('Prepare Gantt Chart'!$I9*'Prepare Gantt Chart'!$J9),'Prepare Gantt Chart'!AM9=1,'Project types'!$Q10*('Prepare Gantt Chart'!$I9*'Prepare Gantt Chart'!$J9),'Prepare Gantt Chart'!AM9=0,0)</f>
        <v>0</v>
      </c>
      <c r="AA10" s="45">
        <f>_xlfn.IFS('Prepare Gantt Chart'!AN9=2,'Project types'!$O10*('Prepare Gantt Chart'!$I9*'Prepare Gantt Chart'!$J9),'Prepare Gantt Chart'!AN9=1,'Project types'!$Q10*('Prepare Gantt Chart'!$I9*'Prepare Gantt Chart'!$J9),'Prepare Gantt Chart'!AN9=0,0)</f>
        <v>0</v>
      </c>
      <c r="AB10" s="45">
        <f>_xlfn.IFS('Prepare Gantt Chart'!AO9=2,'Project types'!$O10*('Prepare Gantt Chart'!$I9*'Prepare Gantt Chart'!$J9),'Prepare Gantt Chart'!AO9=1,'Project types'!$Q10*('Prepare Gantt Chart'!$I9*'Prepare Gantt Chart'!$J9),'Prepare Gantt Chart'!AO9=0,0)</f>
        <v>0</v>
      </c>
      <c r="AC10" s="45">
        <f>'Prepare Gantt Chart'!J9*'Prepare Gantt Chart'!I9*(AD10/26)</f>
        <v>0</v>
      </c>
      <c r="AD10" s="46">
        <f t="shared" si="0"/>
        <v>0</v>
      </c>
      <c r="AE10" s="72">
        <f>IF('Prepare Gantt Chart'!$J9=0,0,SUM(C10:H10)/6/'Prepare Gantt Chart'!$J9)</f>
        <v>0</v>
      </c>
      <c r="AF10" s="72">
        <f>IF('Prepare Gantt Chart'!$J9=0,0,SUM(I10:M10)/5/'Prepare Gantt Chart'!$J9)</f>
        <v>0</v>
      </c>
      <c r="AG10" s="72">
        <f>IF('Prepare Gantt Chart'!$J9=0,0,SUM(N10:R10)/5/'Prepare Gantt Chart'!$J9)</f>
        <v>0</v>
      </c>
      <c r="AH10" s="72">
        <f>IF('Prepare Gantt Chart'!$J9=0,0,SUM(S10:W10)/5/'Prepare Gantt Chart'!$J9)</f>
        <v>0</v>
      </c>
      <c r="AI10" s="72">
        <f>IF('Prepare Gantt Chart'!$J9=0,0,SUM(X10:AB10)/5/'Prepare Gantt Chart'!$J9)</f>
        <v>0</v>
      </c>
      <c r="AK10" s="18" t="s">
        <v>9</v>
      </c>
      <c r="AL10" s="45">
        <f>_xlfn.IFS('Prepare Gantt Chart'!P9=2,'Project types'!$L10*('Prepare Gantt Chart'!$I9*'Prepare Gantt Chart'!$J9),'Prepare Gantt Chart'!P9=1,'Project types'!$L10*('Prepare Gantt Chart'!$I9*'Prepare Gantt Chart'!$J9),'Prepare Gantt Chart'!P9=0,0)</f>
        <v>0</v>
      </c>
      <c r="AM10" s="45">
        <f>_xlfn.IFS('Prepare Gantt Chart'!Q9=2,'Project types'!$L10*('Prepare Gantt Chart'!$I9*'Prepare Gantt Chart'!$J9),'Prepare Gantt Chart'!Q9=1,'Project types'!$L10*('Prepare Gantt Chart'!$I9*'Prepare Gantt Chart'!$J9),'Prepare Gantt Chart'!Q9=0,0)</f>
        <v>0</v>
      </c>
      <c r="AN10" s="45">
        <f>_xlfn.IFS('Prepare Gantt Chart'!R9=2,'Project types'!$L10*('Prepare Gantt Chart'!$I9*'Prepare Gantt Chart'!$J9),'Prepare Gantt Chart'!R9=1,'Project types'!$L10*('Prepare Gantt Chart'!$I9*'Prepare Gantt Chart'!$J9),'Prepare Gantt Chart'!R9=0,0)</f>
        <v>0</v>
      </c>
      <c r="AO10" s="45">
        <f>_xlfn.IFS('Prepare Gantt Chart'!S9=2,'Project types'!$L10*('Prepare Gantt Chart'!$I9*'Prepare Gantt Chart'!$J9),'Prepare Gantt Chart'!S9=1,'Project types'!$L10*('Prepare Gantt Chart'!$I9*'Prepare Gantt Chart'!$J9),'Prepare Gantt Chart'!S9=0,0)</f>
        <v>0</v>
      </c>
      <c r="AP10" s="45">
        <f>_xlfn.IFS('Prepare Gantt Chart'!T9=2,'Project types'!$L10*('Prepare Gantt Chart'!$I9*'Prepare Gantt Chart'!$J9),'Prepare Gantt Chart'!T9=1,'Project types'!$L10*('Prepare Gantt Chart'!$I9*'Prepare Gantt Chart'!$J9),'Prepare Gantt Chart'!T9=0,0)</f>
        <v>0</v>
      </c>
      <c r="AQ10" s="45">
        <f>_xlfn.IFS('Prepare Gantt Chart'!U9=2,'Project types'!$L10*('Prepare Gantt Chart'!$I9*'Prepare Gantt Chart'!$J9),'Prepare Gantt Chart'!U9=1,'Project types'!$L10*('Prepare Gantt Chart'!$I9*'Prepare Gantt Chart'!$J9),'Prepare Gantt Chart'!U9=0,0)</f>
        <v>0</v>
      </c>
      <c r="AR10" s="45">
        <f>_xlfn.IFS('Prepare Gantt Chart'!V9=2,'Project types'!$L10*('Prepare Gantt Chart'!$I9*'Prepare Gantt Chart'!$J9),'Prepare Gantt Chart'!V9=1,'Project types'!$L10*('Prepare Gantt Chart'!$I9*'Prepare Gantt Chart'!$J9),'Prepare Gantt Chart'!V9=0,0)</f>
        <v>0</v>
      </c>
      <c r="AS10" s="45">
        <f>_xlfn.IFS('Prepare Gantt Chart'!W9=2,'Project types'!$L10*('Prepare Gantt Chart'!$I9*'Prepare Gantt Chart'!$J9),'Prepare Gantt Chart'!W9=1,'Project types'!$L10*('Prepare Gantt Chart'!$I9*'Prepare Gantt Chart'!$J9),'Prepare Gantt Chart'!W9=0,0)</f>
        <v>0</v>
      </c>
      <c r="AT10" s="45">
        <f>_xlfn.IFS('Prepare Gantt Chart'!X9=2,'Project types'!$L10*('Prepare Gantt Chart'!$I9*'Prepare Gantt Chart'!$J9),'Prepare Gantt Chart'!X9=1,'Project types'!$L10*('Prepare Gantt Chart'!$I9*'Prepare Gantt Chart'!$J9),'Prepare Gantt Chart'!X9=0,0)</f>
        <v>0</v>
      </c>
      <c r="AU10" s="45">
        <f>_xlfn.IFS('Prepare Gantt Chart'!Y9=2,'Project types'!$L10*('Prepare Gantt Chart'!$I9*'Prepare Gantt Chart'!$J9),'Prepare Gantt Chart'!Y9=1,'Project types'!$L10*('Prepare Gantt Chart'!$I9*'Prepare Gantt Chart'!$J9),'Prepare Gantt Chart'!Y9=0,0)</f>
        <v>0</v>
      </c>
      <c r="AV10" s="45">
        <f>_xlfn.IFS('Prepare Gantt Chart'!Z9=2,'Project types'!$L10*('Prepare Gantt Chart'!$I9*'Prepare Gantt Chart'!$J9),'Prepare Gantt Chart'!Z9=1,'Project types'!$L10*('Prepare Gantt Chart'!$I9*'Prepare Gantt Chart'!$J9),'Prepare Gantt Chart'!Z9=0,0)</f>
        <v>0</v>
      </c>
      <c r="AW10" s="45">
        <f>_xlfn.IFS('Prepare Gantt Chart'!AA9=2,'Project types'!$L10*('Prepare Gantt Chart'!$I9*'Prepare Gantt Chart'!$J9),'Prepare Gantt Chart'!AA9=1,'Project types'!$L10*('Prepare Gantt Chart'!$I9*'Prepare Gantt Chart'!$J9),'Prepare Gantt Chart'!AA9=0,0)</f>
        <v>0</v>
      </c>
      <c r="AX10" s="45">
        <f>_xlfn.IFS('Prepare Gantt Chart'!AB9=2,'Project types'!$L10*('Prepare Gantt Chart'!$I9*'Prepare Gantt Chart'!$J9),'Prepare Gantt Chart'!AB9=1,'Project types'!$L10*('Prepare Gantt Chart'!$I9*'Prepare Gantt Chart'!$J9),'Prepare Gantt Chart'!AB9=0,0)</f>
        <v>0</v>
      </c>
      <c r="AY10" s="45">
        <f>_xlfn.IFS('Prepare Gantt Chart'!AC9=2,'Project types'!$L10*('Prepare Gantt Chart'!$I9*'Prepare Gantt Chart'!$J9),'Prepare Gantt Chart'!AC9=1,'Project types'!$L10*('Prepare Gantt Chart'!$I9*'Prepare Gantt Chart'!$J9),'Prepare Gantt Chart'!AC9=0,0)</f>
        <v>0</v>
      </c>
      <c r="AZ10" s="45">
        <f>_xlfn.IFS('Prepare Gantt Chart'!AD9=2,'Project types'!$L10*('Prepare Gantt Chart'!$I9*'Prepare Gantt Chart'!$J9),'Prepare Gantt Chart'!AD9=1,'Project types'!$L10*('Prepare Gantt Chart'!$I9*'Prepare Gantt Chart'!$J9),'Prepare Gantt Chart'!AD9=0,0)</f>
        <v>0</v>
      </c>
      <c r="BA10" s="45">
        <f>_xlfn.IFS('Prepare Gantt Chart'!AE9=2,'Project types'!$L10*('Prepare Gantt Chart'!$I9*'Prepare Gantt Chart'!$J9),'Prepare Gantt Chart'!AE9=1,'Project types'!$L10*('Prepare Gantt Chart'!$I9*'Prepare Gantt Chart'!$J9),'Prepare Gantt Chart'!AE9=0,0)</f>
        <v>0</v>
      </c>
      <c r="BB10" s="45">
        <f>_xlfn.IFS('Prepare Gantt Chart'!AF9=2,'Project types'!$L10*('Prepare Gantt Chart'!$I9*'Prepare Gantt Chart'!$J9),'Prepare Gantt Chart'!AF9=1,'Project types'!$L10*('Prepare Gantt Chart'!$I9*'Prepare Gantt Chart'!$J9),'Prepare Gantt Chart'!AF9=0,0)</f>
        <v>0</v>
      </c>
      <c r="BC10" s="45">
        <f>_xlfn.IFS('Prepare Gantt Chart'!AG9=2,'Project types'!$L10*('Prepare Gantt Chart'!$I9*'Prepare Gantt Chart'!$J9),'Prepare Gantt Chart'!AG9=1,'Project types'!$L10*('Prepare Gantt Chart'!$I9*'Prepare Gantt Chart'!$J9),'Prepare Gantt Chart'!AG9=0,0)</f>
        <v>0</v>
      </c>
      <c r="BD10" s="45">
        <f>_xlfn.IFS('Prepare Gantt Chart'!AH9=2,'Project types'!$L10*('Prepare Gantt Chart'!$I9*'Prepare Gantt Chart'!$J9),'Prepare Gantt Chart'!AH9=1,'Project types'!$L10*('Prepare Gantt Chart'!$I9*'Prepare Gantt Chart'!$J9),'Prepare Gantt Chart'!AH9=0,0)</f>
        <v>0</v>
      </c>
      <c r="BE10" s="45">
        <f>_xlfn.IFS('Prepare Gantt Chart'!AI9=2,'Project types'!$L10*('Prepare Gantt Chart'!$I9*'Prepare Gantt Chart'!$J9),'Prepare Gantt Chart'!AI9=1,'Project types'!$L10*('Prepare Gantt Chart'!$I9*'Prepare Gantt Chart'!$J9),'Prepare Gantt Chart'!AI9=0,0)</f>
        <v>0</v>
      </c>
      <c r="BF10" s="45">
        <f>_xlfn.IFS('Prepare Gantt Chart'!AJ9=2,'Project types'!$L10*('Prepare Gantt Chart'!$I9*'Prepare Gantt Chart'!$J9),'Prepare Gantt Chart'!AJ9=1,'Project types'!$L10*('Prepare Gantt Chart'!$I9*'Prepare Gantt Chart'!$J9),'Prepare Gantt Chart'!AJ9=0,0)</f>
        <v>0</v>
      </c>
      <c r="BG10" s="45">
        <f>_xlfn.IFS('Prepare Gantt Chart'!AK9=2,'Project types'!$L10*('Prepare Gantt Chart'!$I9*'Prepare Gantt Chart'!$J9),'Prepare Gantt Chart'!AK9=1,'Project types'!$L10*('Prepare Gantt Chart'!$I9*'Prepare Gantt Chart'!$J9),'Prepare Gantt Chart'!AK9=0,0)</f>
        <v>0</v>
      </c>
      <c r="BH10" s="45">
        <f>_xlfn.IFS('Prepare Gantt Chart'!AL9=2,'Project types'!$L10*('Prepare Gantt Chart'!$I9*'Prepare Gantt Chart'!$J9),'Prepare Gantt Chart'!AL9=1,'Project types'!$L10*('Prepare Gantt Chart'!$I9*'Prepare Gantt Chart'!$J9),'Prepare Gantt Chart'!AL9=0,0)</f>
        <v>0</v>
      </c>
      <c r="BI10" s="45">
        <f>_xlfn.IFS('Prepare Gantt Chart'!AM9=2,'Project types'!$L10*('Prepare Gantt Chart'!$I9*'Prepare Gantt Chart'!$J9),'Prepare Gantt Chart'!AM9=1,'Project types'!$L10*('Prepare Gantt Chart'!$I9*'Prepare Gantt Chart'!$J9),'Prepare Gantt Chart'!AM9=0,0)</f>
        <v>0</v>
      </c>
      <c r="BJ10" s="45">
        <f>_xlfn.IFS('Prepare Gantt Chart'!AN9=2,'Project types'!$L10*('Prepare Gantt Chart'!$I9*'Prepare Gantt Chart'!$J9),'Prepare Gantt Chart'!AN9=1,'Project types'!$L10*('Prepare Gantt Chart'!$I9*'Prepare Gantt Chart'!$J9),'Prepare Gantt Chart'!AN9=0,0)</f>
        <v>0</v>
      </c>
      <c r="BK10" s="45">
        <f>_xlfn.IFS('Prepare Gantt Chart'!AO9=2,'Project types'!$L10*('Prepare Gantt Chart'!$I9*'Prepare Gantt Chart'!$J9),'Prepare Gantt Chart'!AO9=1,'Project types'!$L10*('Prepare Gantt Chart'!$I9*'Prepare Gantt Chart'!$J9),'Prepare Gantt Chart'!AO9=0,0)</f>
        <v>0</v>
      </c>
      <c r="BL10" s="46">
        <f t="shared" si="1"/>
        <v>0</v>
      </c>
      <c r="BM10" s="75">
        <f>IF('Prepare Gantt Chart'!$J9=0,0,SUM(AL10:AQ10)/6/'Prepare Gantt Chart'!$J9)</f>
        <v>0</v>
      </c>
      <c r="BN10" s="75">
        <f>IF('Prepare Gantt Chart'!$J9=0,0,SUM(AR10:AV10)/5/'Prepare Gantt Chart'!$J9)</f>
        <v>0</v>
      </c>
      <c r="BO10" s="75">
        <f>IF('Prepare Gantt Chart'!$J9=0,0,SUM(AW10:BA10)/5/'Prepare Gantt Chart'!$J9)</f>
        <v>0</v>
      </c>
      <c r="BP10" s="75">
        <f>IF('Prepare Gantt Chart'!$J9=0,0,SUM(BB10:BF10)/5/'Prepare Gantt Chart'!$J9)</f>
        <v>0</v>
      </c>
      <c r="BQ10" s="75">
        <f>IF('Prepare Gantt Chart'!$J9=0,0,SUM(BG10:BK10)/5/'Prepare Gantt Chart'!$J9)</f>
        <v>0</v>
      </c>
    </row>
    <row r="11" spans="1:69" x14ac:dyDescent="0.2">
      <c r="A11" s="18" t="s">
        <v>10</v>
      </c>
      <c r="B11" s="1" t="s">
        <v>112</v>
      </c>
      <c r="C11" s="45">
        <f>_xlfn.IFS('Prepare Gantt Chart'!P10=2,'Project types'!$O11*('Prepare Gantt Chart'!$I10*'Prepare Gantt Chart'!$J10),'Prepare Gantt Chart'!P10=1,'Project types'!$Q11*('Prepare Gantt Chart'!$I10*'Prepare Gantt Chart'!$J10),'Prepare Gantt Chart'!P10=0,0)</f>
        <v>0</v>
      </c>
      <c r="D11" s="45">
        <f>_xlfn.IFS('Prepare Gantt Chart'!Q10=2,'Project types'!$O11*('Prepare Gantt Chart'!$I10*'Prepare Gantt Chart'!$J10),'Prepare Gantt Chart'!Q10=1,'Project types'!$Q11*('Prepare Gantt Chart'!$I10*'Prepare Gantt Chart'!$J10),'Prepare Gantt Chart'!Q10=0,0)</f>
        <v>0</v>
      </c>
      <c r="E11" s="45">
        <f>_xlfn.IFS('Prepare Gantt Chart'!R10=2,'Project types'!$O11*('Prepare Gantt Chart'!$I10*'Prepare Gantt Chart'!$J10),'Prepare Gantt Chart'!R10=1,'Project types'!$Q11*('Prepare Gantt Chart'!$I10*'Prepare Gantt Chart'!$J10),'Prepare Gantt Chart'!R10=0,0)</f>
        <v>0</v>
      </c>
      <c r="F11" s="45">
        <f>_xlfn.IFS('Prepare Gantt Chart'!S10=2,'Project types'!$O11*('Prepare Gantt Chart'!$I10*'Prepare Gantt Chart'!$J10),'Prepare Gantt Chart'!S10=1,'Project types'!$Q11*('Prepare Gantt Chart'!$I10*'Prepare Gantt Chart'!$J10),'Prepare Gantt Chart'!S10=0,0)</f>
        <v>0</v>
      </c>
      <c r="G11" s="45">
        <f>_xlfn.IFS('Prepare Gantt Chart'!T10=2,'Project types'!$O11*('Prepare Gantt Chart'!$I10*'Prepare Gantt Chart'!$J10),'Prepare Gantt Chart'!T10=1,'Project types'!$Q11*('Prepare Gantt Chart'!$I10*'Prepare Gantt Chart'!$J10),'Prepare Gantt Chart'!T10=0,0)</f>
        <v>0</v>
      </c>
      <c r="H11" s="45">
        <f>_xlfn.IFS('Prepare Gantt Chart'!U10=2,'Project types'!$O11*('Prepare Gantt Chart'!$I10*'Prepare Gantt Chart'!$J10),'Prepare Gantt Chart'!U10=1,'Project types'!$Q11*('Prepare Gantt Chart'!$I10*'Prepare Gantt Chart'!$J10),'Prepare Gantt Chart'!U10=0,0)</f>
        <v>0</v>
      </c>
      <c r="I11" s="45">
        <f>_xlfn.IFS('Prepare Gantt Chart'!V10=2,'Project types'!$O11*('Prepare Gantt Chart'!$I10*'Prepare Gantt Chart'!$J10),'Prepare Gantt Chart'!V10=1,'Project types'!$Q11*('Prepare Gantt Chart'!$I10*'Prepare Gantt Chart'!$J10),'Prepare Gantt Chart'!V10=0,0)</f>
        <v>0</v>
      </c>
      <c r="J11" s="45">
        <f>_xlfn.IFS('Prepare Gantt Chart'!W10=2,'Project types'!$O11*('Prepare Gantt Chart'!$I10*'Prepare Gantt Chart'!$J10),'Prepare Gantt Chart'!W10=1,'Project types'!$Q11*('Prepare Gantt Chart'!$I10*'Prepare Gantt Chart'!$J10),'Prepare Gantt Chart'!W10=0,0)</f>
        <v>0</v>
      </c>
      <c r="K11" s="45">
        <f>_xlfn.IFS('Prepare Gantt Chart'!X10=2,'Project types'!$O11*('Prepare Gantt Chart'!$I10*'Prepare Gantt Chart'!$J10),'Prepare Gantt Chart'!X10=1,'Project types'!$Q11*('Prepare Gantt Chart'!$I10*'Prepare Gantt Chart'!$J10),'Prepare Gantt Chart'!X10=0,0)</f>
        <v>0</v>
      </c>
      <c r="L11" s="45">
        <f>_xlfn.IFS('Prepare Gantt Chart'!Y10=2,'Project types'!$O11*('Prepare Gantt Chart'!$I10*'Prepare Gantt Chart'!$J10),'Prepare Gantt Chart'!Y10=1,'Project types'!$Q11*('Prepare Gantt Chart'!$I10*'Prepare Gantt Chart'!$J10),'Prepare Gantt Chart'!Y10=0,0)</f>
        <v>0</v>
      </c>
      <c r="M11" s="45">
        <f>_xlfn.IFS('Prepare Gantt Chart'!Z10=2,'Project types'!$O11*('Prepare Gantt Chart'!$I10*'Prepare Gantt Chart'!$J10),'Prepare Gantt Chart'!Z10=1,'Project types'!$Q11*('Prepare Gantt Chart'!$I10*'Prepare Gantt Chart'!$J10),'Prepare Gantt Chart'!Z10=0,0)</f>
        <v>0</v>
      </c>
      <c r="N11" s="45">
        <f>_xlfn.IFS('Prepare Gantt Chart'!AA10=2,'Project types'!$O11*('Prepare Gantt Chart'!$I10*'Prepare Gantt Chart'!$J10),'Prepare Gantt Chart'!AA10=1,'Project types'!$Q11*('Prepare Gantt Chart'!$I10*'Prepare Gantt Chart'!$J10),'Prepare Gantt Chart'!AA10=0,0)</f>
        <v>0</v>
      </c>
      <c r="O11" s="45">
        <f>_xlfn.IFS('Prepare Gantt Chart'!AB10=2,'Project types'!$O11*('Prepare Gantt Chart'!$I10*'Prepare Gantt Chart'!$J10),'Prepare Gantt Chart'!AB10=1,'Project types'!$Q11*('Prepare Gantt Chart'!$I10*'Prepare Gantt Chart'!$J10),'Prepare Gantt Chart'!AB10=0,0)</f>
        <v>0</v>
      </c>
      <c r="P11" s="45">
        <f>_xlfn.IFS('Prepare Gantt Chart'!AC10=2,'Project types'!$O11*('Prepare Gantt Chart'!$I10*'Prepare Gantt Chart'!$J10),'Prepare Gantt Chart'!AC10=1,'Project types'!$Q11*('Prepare Gantt Chart'!$I10*'Prepare Gantt Chart'!$J10),'Prepare Gantt Chart'!AC10=0,0)</f>
        <v>0</v>
      </c>
      <c r="Q11" s="45">
        <f>_xlfn.IFS('Prepare Gantt Chart'!AD10=2,'Project types'!$O11*('Prepare Gantt Chart'!$I10*'Prepare Gantt Chart'!$J10),'Prepare Gantt Chart'!AD10=1,'Project types'!$Q11*('Prepare Gantt Chart'!$I10*'Prepare Gantt Chart'!$J10),'Prepare Gantt Chart'!AD10=0,0)</f>
        <v>0</v>
      </c>
      <c r="R11" s="45">
        <f>_xlfn.IFS('Prepare Gantt Chart'!AE10=2,'Project types'!$O11*('Prepare Gantt Chart'!$I10*'Prepare Gantt Chart'!$J10),'Prepare Gantt Chart'!AE10=1,'Project types'!$Q11*('Prepare Gantt Chart'!$I10*'Prepare Gantt Chart'!$J10),'Prepare Gantt Chart'!AE10=0,0)</f>
        <v>0</v>
      </c>
      <c r="S11" s="45">
        <f>_xlfn.IFS('Prepare Gantt Chart'!AF10=2,'Project types'!$O11*('Prepare Gantt Chart'!$I10*'Prepare Gantt Chart'!$J10),'Prepare Gantt Chart'!AF10=1,'Project types'!$Q11*('Prepare Gantt Chart'!$I10*'Prepare Gantt Chart'!$J10),'Prepare Gantt Chart'!AF10=0,0)</f>
        <v>0</v>
      </c>
      <c r="T11" s="45">
        <f>_xlfn.IFS('Prepare Gantt Chart'!AG10=2,'Project types'!$O11*('Prepare Gantt Chart'!$I10*'Prepare Gantt Chart'!$J10),'Prepare Gantt Chart'!AG10=1,'Project types'!$Q11*('Prepare Gantt Chart'!$I10*'Prepare Gantt Chart'!$J10),'Prepare Gantt Chart'!AG10=0,0)</f>
        <v>0</v>
      </c>
      <c r="U11" s="45">
        <f>_xlfn.IFS('Prepare Gantt Chart'!AH10=2,'Project types'!$O11*('Prepare Gantt Chart'!$I10*'Prepare Gantt Chart'!$J10),'Prepare Gantt Chart'!AH10=1,'Project types'!$Q11*('Prepare Gantt Chart'!$I10*'Prepare Gantt Chart'!$J10),'Prepare Gantt Chart'!AH10=0,0)</f>
        <v>0</v>
      </c>
      <c r="V11" s="45">
        <f>_xlfn.IFS('Prepare Gantt Chart'!AI10=2,'Project types'!$O11*('Prepare Gantt Chart'!$I10*'Prepare Gantt Chart'!$J10),'Prepare Gantt Chart'!AI10=1,'Project types'!$Q11*('Prepare Gantt Chart'!$I10*'Prepare Gantt Chart'!$J10),'Prepare Gantt Chart'!AI10=0,0)</f>
        <v>0</v>
      </c>
      <c r="W11" s="45">
        <f>_xlfn.IFS('Prepare Gantt Chart'!AJ10=2,'Project types'!$O11*('Prepare Gantt Chart'!$I10*'Prepare Gantt Chart'!$J10),'Prepare Gantt Chart'!AJ10=1,'Project types'!$Q11*('Prepare Gantt Chart'!$I10*'Prepare Gantt Chart'!$J10),'Prepare Gantt Chart'!AJ10=0,0)</f>
        <v>0</v>
      </c>
      <c r="X11" s="45">
        <f>_xlfn.IFS('Prepare Gantt Chart'!AK10=2,'Project types'!$O11*('Prepare Gantt Chart'!$I10*'Prepare Gantt Chart'!$J10),'Prepare Gantt Chart'!AK10=1,'Project types'!$Q11*('Prepare Gantt Chart'!$I10*'Prepare Gantt Chart'!$J10),'Prepare Gantt Chart'!AK10=0,0)</f>
        <v>0</v>
      </c>
      <c r="Y11" s="45">
        <f>_xlfn.IFS('Prepare Gantt Chart'!AL10=2,'Project types'!$O11*('Prepare Gantt Chart'!$I10*'Prepare Gantt Chart'!$J10),'Prepare Gantt Chart'!AL10=1,'Project types'!$Q11*('Prepare Gantt Chart'!$I10*'Prepare Gantt Chart'!$J10),'Prepare Gantt Chart'!AL10=0,0)</f>
        <v>0</v>
      </c>
      <c r="Z11" s="45">
        <f>_xlfn.IFS('Prepare Gantt Chart'!AM10=2,'Project types'!$O11*('Prepare Gantt Chart'!$I10*'Prepare Gantt Chart'!$J10),'Prepare Gantt Chart'!AM10=1,'Project types'!$Q11*('Prepare Gantt Chart'!$I10*'Prepare Gantt Chart'!$J10),'Prepare Gantt Chart'!AM10=0,0)</f>
        <v>0</v>
      </c>
      <c r="AA11" s="45">
        <f>_xlfn.IFS('Prepare Gantt Chart'!AN10=2,'Project types'!$O11*('Prepare Gantt Chart'!$I10*'Prepare Gantt Chart'!$J10),'Prepare Gantt Chart'!AN10=1,'Project types'!$Q11*('Prepare Gantt Chart'!$I10*'Prepare Gantt Chart'!$J10),'Prepare Gantt Chart'!AN10=0,0)</f>
        <v>0</v>
      </c>
      <c r="AB11" s="45">
        <f>_xlfn.IFS('Prepare Gantt Chart'!AO10=2,'Project types'!$O11*('Prepare Gantt Chart'!$I10*'Prepare Gantt Chart'!$J10),'Prepare Gantt Chart'!AO10=1,'Project types'!$Q11*('Prepare Gantt Chart'!$I10*'Prepare Gantt Chart'!$J10),'Prepare Gantt Chart'!AO10=0,0)</f>
        <v>0</v>
      </c>
      <c r="AC11" s="45">
        <f>'Prepare Gantt Chart'!J10*'Prepare Gantt Chart'!I10*(AD11/26)</f>
        <v>0</v>
      </c>
      <c r="AD11" s="46">
        <f t="shared" si="0"/>
        <v>0</v>
      </c>
      <c r="AE11" s="72">
        <f>IF('Prepare Gantt Chart'!$J10=0,0,SUM(C11:H11)/6/'Prepare Gantt Chart'!$J10)</f>
        <v>0</v>
      </c>
      <c r="AF11" s="72">
        <f>IF('Prepare Gantt Chart'!$J10=0,0,SUM(I11:M11)/5/'Prepare Gantt Chart'!$J10)</f>
        <v>0</v>
      </c>
      <c r="AG11" s="72">
        <f>IF('Prepare Gantt Chart'!$J10=0,0,SUM(N11:R11)/5/'Prepare Gantt Chart'!$J10)</f>
        <v>0</v>
      </c>
      <c r="AH11" s="72">
        <f>IF('Prepare Gantt Chart'!$J10=0,0,SUM(S11:W11)/5/'Prepare Gantt Chart'!$J10)</f>
        <v>0</v>
      </c>
      <c r="AI11" s="72">
        <f>IF('Prepare Gantt Chart'!$J10=0,0,SUM(X11:AB11)/5/'Prepare Gantt Chart'!$J10)</f>
        <v>0</v>
      </c>
      <c r="AK11" s="18" t="s">
        <v>10</v>
      </c>
      <c r="AL11" s="45">
        <f>_xlfn.IFS('Prepare Gantt Chart'!P10=2,'Project types'!$L11*('Prepare Gantt Chart'!$I10*'Prepare Gantt Chart'!$J10),'Prepare Gantt Chart'!P10=1,'Project types'!$L11*('Prepare Gantt Chart'!$I10*'Prepare Gantt Chart'!$J10),'Prepare Gantt Chart'!P10=0,0)</f>
        <v>0</v>
      </c>
      <c r="AM11" s="45">
        <f>_xlfn.IFS('Prepare Gantt Chart'!Q10=2,'Project types'!$L11*('Prepare Gantt Chart'!$I10*'Prepare Gantt Chart'!$J10),'Prepare Gantt Chart'!Q10=1,'Project types'!$L11*('Prepare Gantt Chart'!$I10*'Prepare Gantt Chart'!$J10),'Prepare Gantt Chart'!Q10=0,0)</f>
        <v>0</v>
      </c>
      <c r="AN11" s="45">
        <f>_xlfn.IFS('Prepare Gantt Chart'!R10=2,'Project types'!$L11*('Prepare Gantt Chart'!$I10*'Prepare Gantt Chart'!$J10),'Prepare Gantt Chart'!R10=1,'Project types'!$L11*('Prepare Gantt Chart'!$I10*'Prepare Gantt Chart'!$J10),'Prepare Gantt Chart'!R10=0,0)</f>
        <v>0</v>
      </c>
      <c r="AO11" s="45">
        <f>_xlfn.IFS('Prepare Gantt Chart'!S10=2,'Project types'!$L11*('Prepare Gantt Chart'!$I10*'Prepare Gantt Chart'!$J10),'Prepare Gantt Chart'!S10=1,'Project types'!$L11*('Prepare Gantt Chart'!$I10*'Prepare Gantt Chart'!$J10),'Prepare Gantt Chart'!S10=0,0)</f>
        <v>0</v>
      </c>
      <c r="AP11" s="45">
        <f>_xlfn.IFS('Prepare Gantt Chart'!T10=2,'Project types'!$L11*('Prepare Gantt Chart'!$I10*'Prepare Gantt Chart'!$J10),'Prepare Gantt Chart'!T10=1,'Project types'!$L11*('Prepare Gantt Chart'!$I10*'Prepare Gantt Chart'!$J10),'Prepare Gantt Chart'!T10=0,0)</f>
        <v>0</v>
      </c>
      <c r="AQ11" s="45">
        <f>_xlfn.IFS('Prepare Gantt Chart'!U10=2,'Project types'!$L11*('Prepare Gantt Chart'!$I10*'Prepare Gantt Chart'!$J10),'Prepare Gantt Chart'!U10=1,'Project types'!$L11*('Prepare Gantt Chart'!$I10*'Prepare Gantt Chart'!$J10),'Prepare Gantt Chart'!U10=0,0)</f>
        <v>0</v>
      </c>
      <c r="AR11" s="45">
        <f>_xlfn.IFS('Prepare Gantt Chart'!V10=2,'Project types'!$L11*('Prepare Gantt Chart'!$I10*'Prepare Gantt Chart'!$J10),'Prepare Gantt Chart'!V10=1,'Project types'!$L11*('Prepare Gantt Chart'!$I10*'Prepare Gantt Chart'!$J10),'Prepare Gantt Chart'!V10=0,0)</f>
        <v>0</v>
      </c>
      <c r="AS11" s="45">
        <f>_xlfn.IFS('Prepare Gantt Chart'!W10=2,'Project types'!$L11*('Prepare Gantt Chart'!$I10*'Prepare Gantt Chart'!$J10),'Prepare Gantt Chart'!W10=1,'Project types'!$L11*('Prepare Gantt Chart'!$I10*'Prepare Gantt Chart'!$J10),'Prepare Gantt Chart'!W10=0,0)</f>
        <v>0</v>
      </c>
      <c r="AT11" s="45">
        <f>_xlfn.IFS('Prepare Gantt Chart'!X10=2,'Project types'!$L11*('Prepare Gantt Chart'!$I10*'Prepare Gantt Chart'!$J10),'Prepare Gantt Chart'!X10=1,'Project types'!$L11*('Prepare Gantt Chart'!$I10*'Prepare Gantt Chart'!$J10),'Prepare Gantt Chart'!X10=0,0)</f>
        <v>0</v>
      </c>
      <c r="AU11" s="45">
        <f>_xlfn.IFS('Prepare Gantt Chart'!Y10=2,'Project types'!$L11*('Prepare Gantt Chart'!$I10*'Prepare Gantt Chart'!$J10),'Prepare Gantt Chart'!Y10=1,'Project types'!$L11*('Prepare Gantt Chart'!$I10*'Prepare Gantt Chart'!$J10),'Prepare Gantt Chart'!Y10=0,0)</f>
        <v>0</v>
      </c>
      <c r="AV11" s="45">
        <f>_xlfn.IFS('Prepare Gantt Chart'!Z10=2,'Project types'!$L11*('Prepare Gantt Chart'!$I10*'Prepare Gantt Chart'!$J10),'Prepare Gantt Chart'!Z10=1,'Project types'!$L11*('Prepare Gantt Chart'!$I10*'Prepare Gantt Chart'!$J10),'Prepare Gantt Chart'!Z10=0,0)</f>
        <v>0</v>
      </c>
      <c r="AW11" s="45">
        <f>_xlfn.IFS('Prepare Gantt Chart'!AA10=2,'Project types'!$L11*('Prepare Gantt Chart'!$I10*'Prepare Gantt Chart'!$J10),'Prepare Gantt Chart'!AA10=1,'Project types'!$L11*('Prepare Gantt Chart'!$I10*'Prepare Gantt Chart'!$J10),'Prepare Gantt Chart'!AA10=0,0)</f>
        <v>0</v>
      </c>
      <c r="AX11" s="45">
        <f>_xlfn.IFS('Prepare Gantt Chart'!AB10=2,'Project types'!$L11*('Prepare Gantt Chart'!$I10*'Prepare Gantt Chart'!$J10),'Prepare Gantt Chart'!AB10=1,'Project types'!$L11*('Prepare Gantt Chart'!$I10*'Prepare Gantt Chart'!$J10),'Prepare Gantt Chart'!AB10=0,0)</f>
        <v>0</v>
      </c>
      <c r="AY11" s="45">
        <f>_xlfn.IFS('Prepare Gantt Chart'!AC10=2,'Project types'!$L11*('Prepare Gantt Chart'!$I10*'Prepare Gantt Chart'!$J10),'Prepare Gantt Chart'!AC10=1,'Project types'!$L11*('Prepare Gantt Chart'!$I10*'Prepare Gantt Chart'!$J10),'Prepare Gantt Chart'!AC10=0,0)</f>
        <v>0</v>
      </c>
      <c r="AZ11" s="45">
        <f>_xlfn.IFS('Prepare Gantt Chart'!AD10=2,'Project types'!$L11*('Prepare Gantt Chart'!$I10*'Prepare Gantt Chart'!$J10),'Prepare Gantt Chart'!AD10=1,'Project types'!$L11*('Prepare Gantt Chart'!$I10*'Prepare Gantt Chart'!$J10),'Prepare Gantt Chart'!AD10=0,0)</f>
        <v>0</v>
      </c>
      <c r="BA11" s="45">
        <f>_xlfn.IFS('Prepare Gantt Chart'!AE10=2,'Project types'!$L11*('Prepare Gantt Chart'!$I10*'Prepare Gantt Chart'!$J10),'Prepare Gantt Chart'!AE10=1,'Project types'!$L11*('Prepare Gantt Chart'!$I10*'Prepare Gantt Chart'!$J10),'Prepare Gantt Chart'!AE10=0,0)</f>
        <v>0</v>
      </c>
      <c r="BB11" s="45">
        <f>_xlfn.IFS('Prepare Gantt Chart'!AF10=2,'Project types'!$L11*('Prepare Gantt Chart'!$I10*'Prepare Gantt Chart'!$J10),'Prepare Gantt Chart'!AF10=1,'Project types'!$L11*('Prepare Gantt Chart'!$I10*'Prepare Gantt Chart'!$J10),'Prepare Gantt Chart'!AF10=0,0)</f>
        <v>0</v>
      </c>
      <c r="BC11" s="45">
        <f>_xlfn.IFS('Prepare Gantt Chart'!AG10=2,'Project types'!$L11*('Prepare Gantt Chart'!$I10*'Prepare Gantt Chart'!$J10),'Prepare Gantt Chart'!AG10=1,'Project types'!$L11*('Prepare Gantt Chart'!$I10*'Prepare Gantt Chart'!$J10),'Prepare Gantt Chart'!AG10=0,0)</f>
        <v>0</v>
      </c>
      <c r="BD11" s="45">
        <f>_xlfn.IFS('Prepare Gantt Chart'!AH10=2,'Project types'!$L11*('Prepare Gantt Chart'!$I10*'Prepare Gantt Chart'!$J10),'Prepare Gantt Chart'!AH10=1,'Project types'!$L11*('Prepare Gantt Chart'!$I10*'Prepare Gantt Chart'!$J10),'Prepare Gantt Chart'!AH10=0,0)</f>
        <v>0</v>
      </c>
      <c r="BE11" s="45">
        <f>_xlfn.IFS('Prepare Gantt Chart'!AI10=2,'Project types'!$L11*('Prepare Gantt Chart'!$I10*'Prepare Gantt Chart'!$J10),'Prepare Gantt Chart'!AI10=1,'Project types'!$L11*('Prepare Gantt Chart'!$I10*'Prepare Gantt Chart'!$J10),'Prepare Gantt Chart'!AI10=0,0)</f>
        <v>0</v>
      </c>
      <c r="BF11" s="45">
        <f>_xlfn.IFS('Prepare Gantt Chart'!AJ10=2,'Project types'!$L11*('Prepare Gantt Chart'!$I10*'Prepare Gantt Chart'!$J10),'Prepare Gantt Chart'!AJ10=1,'Project types'!$L11*('Prepare Gantt Chart'!$I10*'Prepare Gantt Chart'!$J10),'Prepare Gantt Chart'!AJ10=0,0)</f>
        <v>0</v>
      </c>
      <c r="BG11" s="45">
        <f>_xlfn.IFS('Prepare Gantt Chart'!AK10=2,'Project types'!$L11*('Prepare Gantt Chart'!$I10*'Prepare Gantt Chart'!$J10),'Prepare Gantt Chart'!AK10=1,'Project types'!$L11*('Prepare Gantt Chart'!$I10*'Prepare Gantt Chart'!$J10),'Prepare Gantt Chart'!AK10=0,0)</f>
        <v>0</v>
      </c>
      <c r="BH11" s="45">
        <f>_xlfn.IFS('Prepare Gantt Chart'!AL10=2,'Project types'!$L11*('Prepare Gantt Chart'!$I10*'Prepare Gantt Chart'!$J10),'Prepare Gantt Chart'!AL10=1,'Project types'!$L11*('Prepare Gantt Chart'!$I10*'Prepare Gantt Chart'!$J10),'Prepare Gantt Chart'!AL10=0,0)</f>
        <v>0</v>
      </c>
      <c r="BI11" s="45">
        <f>_xlfn.IFS('Prepare Gantt Chart'!AM10=2,'Project types'!$L11*('Prepare Gantt Chart'!$I10*'Prepare Gantt Chart'!$J10),'Prepare Gantt Chart'!AM10=1,'Project types'!$L11*('Prepare Gantt Chart'!$I10*'Prepare Gantt Chart'!$J10),'Prepare Gantt Chart'!AM10=0,0)</f>
        <v>0</v>
      </c>
      <c r="BJ11" s="45">
        <f>_xlfn.IFS('Prepare Gantt Chart'!AN10=2,'Project types'!$L11*('Prepare Gantt Chart'!$I10*'Prepare Gantt Chart'!$J10),'Prepare Gantt Chart'!AN10=1,'Project types'!$L11*('Prepare Gantt Chart'!$I10*'Prepare Gantt Chart'!$J10),'Prepare Gantt Chart'!AN10=0,0)</f>
        <v>0</v>
      </c>
      <c r="BK11" s="45">
        <f>_xlfn.IFS('Prepare Gantt Chart'!AO10=2,'Project types'!$L11*('Prepare Gantt Chart'!$I10*'Prepare Gantt Chart'!$J10),'Prepare Gantt Chart'!AO10=1,'Project types'!$L11*('Prepare Gantt Chart'!$I10*'Prepare Gantt Chart'!$J10),'Prepare Gantt Chart'!AO10=0,0)</f>
        <v>0</v>
      </c>
      <c r="BL11" s="46">
        <f t="shared" si="1"/>
        <v>0</v>
      </c>
      <c r="BM11" s="75">
        <f>IF('Prepare Gantt Chart'!$J10=0,0,SUM(AL11:AQ11)/6/'Prepare Gantt Chart'!$J10)</f>
        <v>0</v>
      </c>
      <c r="BN11" s="75">
        <f>IF('Prepare Gantt Chart'!$J10=0,0,SUM(AR11:AV11)/5/'Prepare Gantt Chart'!$J10)</f>
        <v>0</v>
      </c>
      <c r="BO11" s="75">
        <f>IF('Prepare Gantt Chart'!$J10=0,0,SUM(AW11:BA11)/5/'Prepare Gantt Chart'!$J10)</f>
        <v>0</v>
      </c>
      <c r="BP11" s="75">
        <f>IF('Prepare Gantt Chart'!$J10=0,0,SUM(BB11:BF11)/5/'Prepare Gantt Chart'!$J10)</f>
        <v>0</v>
      </c>
      <c r="BQ11" s="75">
        <f>IF('Prepare Gantt Chart'!$J10=0,0,SUM(BG11:BK11)/5/'Prepare Gantt Chart'!$J10)</f>
        <v>0</v>
      </c>
    </row>
    <row r="12" spans="1:69" x14ac:dyDescent="0.2">
      <c r="A12" s="18" t="s">
        <v>11</v>
      </c>
      <c r="B12" s="1" t="s">
        <v>113</v>
      </c>
      <c r="C12" s="45">
        <f>_xlfn.IFS('Prepare Gantt Chart'!P11=2,'Project types'!$O12*('Prepare Gantt Chart'!$I11*'Prepare Gantt Chart'!$J11),'Prepare Gantt Chart'!P11=1,'Project types'!$Q12*('Prepare Gantt Chart'!$I11*'Prepare Gantt Chart'!$J11),'Prepare Gantt Chart'!P11=0,0)</f>
        <v>0</v>
      </c>
      <c r="D12" s="45">
        <f>_xlfn.IFS('Prepare Gantt Chart'!Q11=2,'Project types'!$O12*('Prepare Gantt Chart'!$I11*'Prepare Gantt Chart'!$J11),'Prepare Gantt Chart'!Q11=1,'Project types'!$Q12*('Prepare Gantt Chart'!$I11*'Prepare Gantt Chart'!$J11),'Prepare Gantt Chart'!Q11=0,0)</f>
        <v>0</v>
      </c>
      <c r="E12" s="45">
        <f>_xlfn.IFS('Prepare Gantt Chart'!R11=2,'Project types'!$O12*('Prepare Gantt Chart'!$I11*'Prepare Gantt Chart'!$J11),'Prepare Gantt Chart'!R11=1,'Project types'!$Q12*('Prepare Gantt Chart'!$I11*'Prepare Gantt Chart'!$J11),'Prepare Gantt Chart'!R11=0,0)</f>
        <v>0</v>
      </c>
      <c r="F12" s="45">
        <f>_xlfn.IFS('Prepare Gantt Chart'!S11=2,'Project types'!$O12*('Prepare Gantt Chart'!$I11*'Prepare Gantt Chart'!$J11),'Prepare Gantt Chart'!S11=1,'Project types'!$Q12*('Prepare Gantt Chart'!$I11*'Prepare Gantt Chart'!$J11),'Prepare Gantt Chart'!S11=0,0)</f>
        <v>0</v>
      </c>
      <c r="G12" s="45">
        <f>_xlfn.IFS('Prepare Gantt Chart'!T11=2,'Project types'!$O12*('Prepare Gantt Chart'!$I11*'Prepare Gantt Chart'!$J11),'Prepare Gantt Chart'!T11=1,'Project types'!$Q12*('Prepare Gantt Chart'!$I11*'Prepare Gantt Chart'!$J11),'Prepare Gantt Chart'!T11=0,0)</f>
        <v>0</v>
      </c>
      <c r="H12" s="45">
        <f>_xlfn.IFS('Prepare Gantt Chart'!U11=2,'Project types'!$O12*('Prepare Gantt Chart'!$I11*'Prepare Gantt Chart'!$J11),'Prepare Gantt Chart'!U11=1,'Project types'!$Q12*('Prepare Gantt Chart'!$I11*'Prepare Gantt Chart'!$J11),'Prepare Gantt Chart'!U11=0,0)</f>
        <v>0</v>
      </c>
      <c r="I12" s="45">
        <f>_xlfn.IFS('Prepare Gantt Chart'!V11=2,'Project types'!$O12*('Prepare Gantt Chart'!$I11*'Prepare Gantt Chart'!$J11),'Prepare Gantt Chart'!V11=1,'Project types'!$Q12*('Prepare Gantt Chart'!$I11*'Prepare Gantt Chart'!$J11),'Prepare Gantt Chart'!V11=0,0)</f>
        <v>0</v>
      </c>
      <c r="J12" s="45">
        <f>_xlfn.IFS('Prepare Gantt Chart'!W11=2,'Project types'!$O12*('Prepare Gantt Chart'!$I11*'Prepare Gantt Chart'!$J11),'Prepare Gantt Chart'!W11=1,'Project types'!$Q12*('Prepare Gantt Chart'!$I11*'Prepare Gantt Chart'!$J11),'Prepare Gantt Chart'!W11=0,0)</f>
        <v>0</v>
      </c>
      <c r="K12" s="45">
        <f>_xlfn.IFS('Prepare Gantt Chart'!X11=2,'Project types'!$O12*('Prepare Gantt Chart'!$I11*'Prepare Gantt Chart'!$J11),'Prepare Gantt Chart'!X11=1,'Project types'!$Q12*('Prepare Gantt Chart'!$I11*'Prepare Gantt Chart'!$J11),'Prepare Gantt Chart'!X11=0,0)</f>
        <v>0</v>
      </c>
      <c r="L12" s="45">
        <f>_xlfn.IFS('Prepare Gantt Chart'!Y11=2,'Project types'!$O12*('Prepare Gantt Chart'!$I11*'Prepare Gantt Chart'!$J11),'Prepare Gantt Chart'!Y11=1,'Project types'!$Q12*('Prepare Gantt Chart'!$I11*'Prepare Gantt Chart'!$J11),'Prepare Gantt Chart'!Y11=0,0)</f>
        <v>0</v>
      </c>
      <c r="M12" s="45">
        <f>_xlfn.IFS('Prepare Gantt Chart'!Z11=2,'Project types'!$O12*('Prepare Gantt Chart'!$I11*'Prepare Gantt Chart'!$J11),'Prepare Gantt Chart'!Z11=1,'Project types'!$Q12*('Prepare Gantt Chart'!$I11*'Prepare Gantt Chart'!$J11),'Prepare Gantt Chart'!Z11=0,0)</f>
        <v>0</v>
      </c>
      <c r="N12" s="45">
        <f>_xlfn.IFS('Prepare Gantt Chart'!AA11=2,'Project types'!$O12*('Prepare Gantt Chart'!$I11*'Prepare Gantt Chart'!$J11),'Prepare Gantt Chart'!AA11=1,'Project types'!$Q12*('Prepare Gantt Chart'!$I11*'Prepare Gantt Chart'!$J11),'Prepare Gantt Chart'!AA11=0,0)</f>
        <v>0</v>
      </c>
      <c r="O12" s="45">
        <f>_xlfn.IFS('Prepare Gantt Chart'!AB11=2,'Project types'!$O12*('Prepare Gantt Chart'!$I11*'Prepare Gantt Chart'!$J11),'Prepare Gantt Chart'!AB11=1,'Project types'!$Q12*('Prepare Gantt Chart'!$I11*'Prepare Gantt Chart'!$J11),'Prepare Gantt Chart'!AB11=0,0)</f>
        <v>0</v>
      </c>
      <c r="P12" s="45">
        <f>_xlfn.IFS('Prepare Gantt Chart'!AC11=2,'Project types'!$O12*('Prepare Gantt Chart'!$I11*'Prepare Gantt Chart'!$J11),'Prepare Gantt Chart'!AC11=1,'Project types'!$Q12*('Prepare Gantt Chart'!$I11*'Prepare Gantt Chart'!$J11),'Prepare Gantt Chart'!AC11=0,0)</f>
        <v>0</v>
      </c>
      <c r="Q12" s="45">
        <f>_xlfn.IFS('Prepare Gantt Chart'!AD11=2,'Project types'!$O12*('Prepare Gantt Chart'!$I11*'Prepare Gantt Chart'!$J11),'Prepare Gantt Chart'!AD11=1,'Project types'!$Q12*('Prepare Gantt Chart'!$I11*'Prepare Gantt Chart'!$J11),'Prepare Gantt Chart'!AD11=0,0)</f>
        <v>0</v>
      </c>
      <c r="R12" s="45">
        <f>_xlfn.IFS('Prepare Gantt Chart'!AE11=2,'Project types'!$O12*('Prepare Gantt Chart'!$I11*'Prepare Gantt Chart'!$J11),'Prepare Gantt Chart'!AE11=1,'Project types'!$Q12*('Prepare Gantt Chart'!$I11*'Prepare Gantt Chart'!$J11),'Prepare Gantt Chart'!AE11=0,0)</f>
        <v>0</v>
      </c>
      <c r="S12" s="45">
        <f>_xlfn.IFS('Prepare Gantt Chart'!AF11=2,'Project types'!$O12*('Prepare Gantt Chart'!$I11*'Prepare Gantt Chart'!$J11),'Prepare Gantt Chart'!AF11=1,'Project types'!$Q12*('Prepare Gantt Chart'!$I11*'Prepare Gantt Chart'!$J11),'Prepare Gantt Chart'!AF11=0,0)</f>
        <v>0</v>
      </c>
      <c r="T12" s="45">
        <f>_xlfn.IFS('Prepare Gantt Chart'!AG11=2,'Project types'!$O12*('Prepare Gantt Chart'!$I11*'Prepare Gantt Chart'!$J11),'Prepare Gantt Chart'!AG11=1,'Project types'!$Q12*('Prepare Gantt Chart'!$I11*'Prepare Gantt Chart'!$J11),'Prepare Gantt Chart'!AG11=0,0)</f>
        <v>0</v>
      </c>
      <c r="U12" s="45">
        <f>_xlfn.IFS('Prepare Gantt Chart'!AH11=2,'Project types'!$O12*('Prepare Gantt Chart'!$I11*'Prepare Gantt Chart'!$J11),'Prepare Gantt Chart'!AH11=1,'Project types'!$Q12*('Prepare Gantt Chart'!$I11*'Prepare Gantt Chart'!$J11),'Prepare Gantt Chart'!AH11=0,0)</f>
        <v>0</v>
      </c>
      <c r="V12" s="45">
        <f>_xlfn.IFS('Prepare Gantt Chart'!AI11=2,'Project types'!$O12*('Prepare Gantt Chart'!$I11*'Prepare Gantt Chart'!$J11),'Prepare Gantt Chart'!AI11=1,'Project types'!$Q12*('Prepare Gantt Chart'!$I11*'Prepare Gantt Chart'!$J11),'Prepare Gantt Chart'!AI11=0,0)</f>
        <v>0</v>
      </c>
      <c r="W12" s="45">
        <f>_xlfn.IFS('Prepare Gantt Chart'!AJ11=2,'Project types'!$O12*('Prepare Gantt Chart'!$I11*'Prepare Gantt Chart'!$J11),'Prepare Gantt Chart'!AJ11=1,'Project types'!$Q12*('Prepare Gantt Chart'!$I11*'Prepare Gantt Chart'!$J11),'Prepare Gantt Chart'!AJ11=0,0)</f>
        <v>0</v>
      </c>
      <c r="X12" s="45">
        <f>_xlfn.IFS('Prepare Gantt Chart'!AK11=2,'Project types'!$O12*('Prepare Gantt Chart'!$I11*'Prepare Gantt Chart'!$J11),'Prepare Gantt Chart'!AK11=1,'Project types'!$Q12*('Prepare Gantt Chart'!$I11*'Prepare Gantt Chart'!$J11),'Prepare Gantt Chart'!AK11=0,0)</f>
        <v>0</v>
      </c>
      <c r="Y12" s="45">
        <f>_xlfn.IFS('Prepare Gantt Chart'!AL11=2,'Project types'!$O12*('Prepare Gantt Chart'!$I11*'Prepare Gantt Chart'!$J11),'Prepare Gantt Chart'!AL11=1,'Project types'!$Q12*('Prepare Gantt Chart'!$I11*'Prepare Gantt Chart'!$J11),'Prepare Gantt Chart'!AL11=0,0)</f>
        <v>0</v>
      </c>
      <c r="Z12" s="45">
        <f>_xlfn.IFS('Prepare Gantt Chart'!AM11=2,'Project types'!$O12*('Prepare Gantt Chart'!$I11*'Prepare Gantt Chart'!$J11),'Prepare Gantt Chart'!AM11=1,'Project types'!$Q12*('Prepare Gantt Chart'!$I11*'Prepare Gantt Chart'!$J11),'Prepare Gantt Chart'!AM11=0,0)</f>
        <v>0</v>
      </c>
      <c r="AA12" s="45">
        <f>_xlfn.IFS('Prepare Gantt Chart'!AN11=2,'Project types'!$O12*('Prepare Gantt Chart'!$I11*'Prepare Gantt Chart'!$J11),'Prepare Gantt Chart'!AN11=1,'Project types'!$Q12*('Prepare Gantt Chart'!$I11*'Prepare Gantt Chart'!$J11),'Prepare Gantt Chart'!AN11=0,0)</f>
        <v>0</v>
      </c>
      <c r="AB12" s="45">
        <f>_xlfn.IFS('Prepare Gantt Chart'!AO11=2,'Project types'!$O12*('Prepare Gantt Chart'!$I11*'Prepare Gantt Chart'!$J11),'Prepare Gantt Chart'!AO11=1,'Project types'!$Q12*('Prepare Gantt Chart'!$I11*'Prepare Gantt Chart'!$J11),'Prepare Gantt Chart'!AO11=0,0)</f>
        <v>0</v>
      </c>
      <c r="AC12" s="45">
        <f>'Prepare Gantt Chart'!J11*'Prepare Gantt Chart'!I11*(AD12/26)</f>
        <v>0</v>
      </c>
      <c r="AD12" s="46">
        <f t="shared" si="0"/>
        <v>0</v>
      </c>
      <c r="AE12" s="72">
        <f>IF('Prepare Gantt Chart'!$J11=0,0,SUM(C12:H12)/6/'Prepare Gantt Chart'!$J11)</f>
        <v>0</v>
      </c>
      <c r="AF12" s="72">
        <f>IF('Prepare Gantt Chart'!$J11=0,0,SUM(I12:M12)/5/'Prepare Gantt Chart'!$J11)</f>
        <v>0</v>
      </c>
      <c r="AG12" s="72">
        <f>IF('Prepare Gantt Chart'!$J11=0,0,SUM(N12:R12)/5/'Prepare Gantt Chart'!$J11)</f>
        <v>0</v>
      </c>
      <c r="AH12" s="72">
        <f>IF('Prepare Gantt Chart'!$J11=0,0,SUM(S12:W12)/5/'Prepare Gantt Chart'!$J11)</f>
        <v>0</v>
      </c>
      <c r="AI12" s="72">
        <f>IF('Prepare Gantt Chart'!$J11=0,0,SUM(X12:AB12)/5/'Prepare Gantt Chart'!$J11)</f>
        <v>0</v>
      </c>
      <c r="AK12" s="18" t="s">
        <v>11</v>
      </c>
      <c r="AL12" s="45">
        <f>_xlfn.IFS('Prepare Gantt Chart'!P11=2,'Project types'!$L12*('Prepare Gantt Chart'!$I11*'Prepare Gantt Chart'!$J11),'Prepare Gantt Chart'!P11=1,'Project types'!$L12*('Prepare Gantt Chart'!$I11*'Prepare Gantt Chart'!$J11),'Prepare Gantt Chart'!P11=0,0)</f>
        <v>0</v>
      </c>
      <c r="AM12" s="45">
        <f>_xlfn.IFS('Prepare Gantt Chart'!Q11=2,'Project types'!$L12*('Prepare Gantt Chart'!$I11*'Prepare Gantt Chart'!$J11),'Prepare Gantt Chart'!Q11=1,'Project types'!$L12*('Prepare Gantt Chart'!$I11*'Prepare Gantt Chart'!$J11),'Prepare Gantt Chart'!Q11=0,0)</f>
        <v>0</v>
      </c>
      <c r="AN12" s="45">
        <f>_xlfn.IFS('Prepare Gantt Chart'!R11=2,'Project types'!$L12*('Prepare Gantt Chart'!$I11*'Prepare Gantt Chart'!$J11),'Prepare Gantt Chart'!R11=1,'Project types'!$L12*('Prepare Gantt Chart'!$I11*'Prepare Gantt Chart'!$J11),'Prepare Gantt Chart'!R11=0,0)</f>
        <v>0</v>
      </c>
      <c r="AO12" s="45">
        <f>_xlfn.IFS('Prepare Gantt Chart'!S11=2,'Project types'!$L12*('Prepare Gantt Chart'!$I11*'Prepare Gantt Chart'!$J11),'Prepare Gantt Chart'!S11=1,'Project types'!$L12*('Prepare Gantt Chart'!$I11*'Prepare Gantt Chart'!$J11),'Prepare Gantt Chart'!S11=0,0)</f>
        <v>0</v>
      </c>
      <c r="AP12" s="45">
        <f>_xlfn.IFS('Prepare Gantt Chart'!T11=2,'Project types'!$L12*('Prepare Gantt Chart'!$I11*'Prepare Gantt Chart'!$J11),'Prepare Gantt Chart'!T11=1,'Project types'!$L12*('Prepare Gantt Chart'!$I11*'Prepare Gantt Chart'!$J11),'Prepare Gantt Chart'!T11=0,0)</f>
        <v>0</v>
      </c>
      <c r="AQ12" s="45">
        <f>_xlfn.IFS('Prepare Gantt Chart'!U11=2,'Project types'!$L12*('Prepare Gantt Chart'!$I11*'Prepare Gantt Chart'!$J11),'Prepare Gantt Chart'!U11=1,'Project types'!$L12*('Prepare Gantt Chart'!$I11*'Prepare Gantt Chart'!$J11),'Prepare Gantt Chart'!U11=0,0)</f>
        <v>0</v>
      </c>
      <c r="AR12" s="45">
        <f>_xlfn.IFS('Prepare Gantt Chart'!V11=2,'Project types'!$L12*('Prepare Gantt Chart'!$I11*'Prepare Gantt Chart'!$J11),'Prepare Gantt Chart'!V11=1,'Project types'!$L12*('Prepare Gantt Chart'!$I11*'Prepare Gantt Chart'!$J11),'Prepare Gantt Chart'!V11=0,0)</f>
        <v>0</v>
      </c>
      <c r="AS12" s="45">
        <f>_xlfn.IFS('Prepare Gantt Chart'!W11=2,'Project types'!$L12*('Prepare Gantt Chart'!$I11*'Prepare Gantt Chart'!$J11),'Prepare Gantt Chart'!W11=1,'Project types'!$L12*('Prepare Gantt Chart'!$I11*'Prepare Gantt Chart'!$J11),'Prepare Gantt Chart'!W11=0,0)</f>
        <v>0</v>
      </c>
      <c r="AT12" s="45">
        <f>_xlfn.IFS('Prepare Gantt Chart'!X11=2,'Project types'!$L12*('Prepare Gantt Chart'!$I11*'Prepare Gantt Chart'!$J11),'Prepare Gantt Chart'!X11=1,'Project types'!$L12*('Prepare Gantt Chart'!$I11*'Prepare Gantt Chart'!$J11),'Prepare Gantt Chart'!X11=0,0)</f>
        <v>0</v>
      </c>
      <c r="AU12" s="45">
        <f>_xlfn.IFS('Prepare Gantt Chart'!Y11=2,'Project types'!$L12*('Prepare Gantt Chart'!$I11*'Prepare Gantt Chart'!$J11),'Prepare Gantt Chart'!Y11=1,'Project types'!$L12*('Prepare Gantt Chart'!$I11*'Prepare Gantt Chart'!$J11),'Prepare Gantt Chart'!Y11=0,0)</f>
        <v>0</v>
      </c>
      <c r="AV12" s="45">
        <f>_xlfn.IFS('Prepare Gantt Chart'!Z11=2,'Project types'!$L12*('Prepare Gantt Chart'!$I11*'Prepare Gantt Chart'!$J11),'Prepare Gantt Chart'!Z11=1,'Project types'!$L12*('Prepare Gantt Chart'!$I11*'Prepare Gantt Chart'!$J11),'Prepare Gantt Chart'!Z11=0,0)</f>
        <v>0</v>
      </c>
      <c r="AW12" s="45">
        <f>_xlfn.IFS('Prepare Gantt Chart'!AA11=2,'Project types'!$L12*('Prepare Gantt Chart'!$I11*'Prepare Gantt Chart'!$J11),'Prepare Gantt Chart'!AA11=1,'Project types'!$L12*('Prepare Gantt Chart'!$I11*'Prepare Gantt Chart'!$J11),'Prepare Gantt Chart'!AA11=0,0)</f>
        <v>0</v>
      </c>
      <c r="AX12" s="45">
        <f>_xlfn.IFS('Prepare Gantt Chart'!AB11=2,'Project types'!$L12*('Prepare Gantt Chart'!$I11*'Prepare Gantt Chart'!$J11),'Prepare Gantt Chart'!AB11=1,'Project types'!$L12*('Prepare Gantt Chart'!$I11*'Prepare Gantt Chart'!$J11),'Prepare Gantt Chart'!AB11=0,0)</f>
        <v>0</v>
      </c>
      <c r="AY12" s="45">
        <f>_xlfn.IFS('Prepare Gantt Chart'!AC11=2,'Project types'!$L12*('Prepare Gantt Chart'!$I11*'Prepare Gantt Chart'!$J11),'Prepare Gantt Chart'!AC11=1,'Project types'!$L12*('Prepare Gantt Chart'!$I11*'Prepare Gantt Chart'!$J11),'Prepare Gantt Chart'!AC11=0,0)</f>
        <v>0</v>
      </c>
      <c r="AZ12" s="45">
        <f>_xlfn.IFS('Prepare Gantt Chart'!AD11=2,'Project types'!$L12*('Prepare Gantt Chart'!$I11*'Prepare Gantt Chart'!$J11),'Prepare Gantt Chart'!AD11=1,'Project types'!$L12*('Prepare Gantt Chart'!$I11*'Prepare Gantt Chart'!$J11),'Prepare Gantt Chart'!AD11=0,0)</f>
        <v>0</v>
      </c>
      <c r="BA12" s="45">
        <f>_xlfn.IFS('Prepare Gantt Chart'!AE11=2,'Project types'!$L12*('Prepare Gantt Chart'!$I11*'Prepare Gantt Chart'!$J11),'Prepare Gantt Chart'!AE11=1,'Project types'!$L12*('Prepare Gantt Chart'!$I11*'Prepare Gantt Chart'!$J11),'Prepare Gantt Chart'!AE11=0,0)</f>
        <v>0</v>
      </c>
      <c r="BB12" s="45">
        <f>_xlfn.IFS('Prepare Gantt Chart'!AF11=2,'Project types'!$L12*('Prepare Gantt Chart'!$I11*'Prepare Gantt Chart'!$J11),'Prepare Gantt Chart'!AF11=1,'Project types'!$L12*('Prepare Gantt Chart'!$I11*'Prepare Gantt Chart'!$J11),'Prepare Gantt Chart'!AF11=0,0)</f>
        <v>0</v>
      </c>
      <c r="BC12" s="45">
        <f>_xlfn.IFS('Prepare Gantt Chart'!AG11=2,'Project types'!$L12*('Prepare Gantt Chart'!$I11*'Prepare Gantt Chart'!$J11),'Prepare Gantt Chart'!AG11=1,'Project types'!$L12*('Prepare Gantt Chart'!$I11*'Prepare Gantt Chart'!$J11),'Prepare Gantt Chart'!AG11=0,0)</f>
        <v>0</v>
      </c>
      <c r="BD12" s="45">
        <f>_xlfn.IFS('Prepare Gantt Chart'!AH11=2,'Project types'!$L12*('Prepare Gantt Chart'!$I11*'Prepare Gantt Chart'!$J11),'Prepare Gantt Chart'!AH11=1,'Project types'!$L12*('Prepare Gantt Chart'!$I11*'Prepare Gantt Chart'!$J11),'Prepare Gantt Chart'!AH11=0,0)</f>
        <v>0</v>
      </c>
      <c r="BE12" s="45">
        <f>_xlfn.IFS('Prepare Gantt Chart'!AI11=2,'Project types'!$L12*('Prepare Gantt Chart'!$I11*'Prepare Gantt Chart'!$J11),'Prepare Gantt Chart'!AI11=1,'Project types'!$L12*('Prepare Gantt Chart'!$I11*'Prepare Gantt Chart'!$J11),'Prepare Gantt Chart'!AI11=0,0)</f>
        <v>0</v>
      </c>
      <c r="BF12" s="45">
        <f>_xlfn.IFS('Prepare Gantt Chart'!AJ11=2,'Project types'!$L12*('Prepare Gantt Chart'!$I11*'Prepare Gantt Chart'!$J11),'Prepare Gantt Chart'!AJ11=1,'Project types'!$L12*('Prepare Gantt Chart'!$I11*'Prepare Gantt Chart'!$J11),'Prepare Gantt Chart'!AJ11=0,0)</f>
        <v>0</v>
      </c>
      <c r="BG12" s="45">
        <f>_xlfn.IFS('Prepare Gantt Chart'!AK11=2,'Project types'!$L12*('Prepare Gantt Chart'!$I11*'Prepare Gantt Chart'!$J11),'Prepare Gantt Chart'!AK11=1,'Project types'!$L12*('Prepare Gantt Chart'!$I11*'Prepare Gantt Chart'!$J11),'Prepare Gantt Chart'!AK11=0,0)</f>
        <v>0</v>
      </c>
      <c r="BH12" s="45">
        <f>_xlfn.IFS('Prepare Gantt Chart'!AL11=2,'Project types'!$L12*('Prepare Gantt Chart'!$I11*'Prepare Gantt Chart'!$J11),'Prepare Gantt Chart'!AL11=1,'Project types'!$L12*('Prepare Gantt Chart'!$I11*'Prepare Gantt Chart'!$J11),'Prepare Gantt Chart'!AL11=0,0)</f>
        <v>0</v>
      </c>
      <c r="BI12" s="45">
        <f>_xlfn.IFS('Prepare Gantt Chart'!AM11=2,'Project types'!$L12*('Prepare Gantt Chart'!$I11*'Prepare Gantt Chart'!$J11),'Prepare Gantt Chart'!AM11=1,'Project types'!$L12*('Prepare Gantt Chart'!$I11*'Prepare Gantt Chart'!$J11),'Prepare Gantt Chart'!AM11=0,0)</f>
        <v>0</v>
      </c>
      <c r="BJ12" s="45">
        <f>_xlfn.IFS('Prepare Gantt Chart'!AN11=2,'Project types'!$L12*('Prepare Gantt Chart'!$I11*'Prepare Gantt Chart'!$J11),'Prepare Gantt Chart'!AN11=1,'Project types'!$L12*('Prepare Gantt Chart'!$I11*'Prepare Gantt Chart'!$J11),'Prepare Gantt Chart'!AN11=0,0)</f>
        <v>0</v>
      </c>
      <c r="BK12" s="45">
        <f>_xlfn.IFS('Prepare Gantt Chart'!AO11=2,'Project types'!$L12*('Prepare Gantt Chart'!$I11*'Prepare Gantt Chart'!$J11),'Prepare Gantt Chart'!AO11=1,'Project types'!$L12*('Prepare Gantt Chart'!$I11*'Prepare Gantt Chart'!$J11),'Prepare Gantt Chart'!AO11=0,0)</f>
        <v>0</v>
      </c>
      <c r="BL12" s="46">
        <f t="shared" si="1"/>
        <v>0</v>
      </c>
      <c r="BM12" s="75">
        <f>IF('Prepare Gantt Chart'!$J11=0,0,SUM(AL12:AQ12)/6/'Prepare Gantt Chart'!$J11)</f>
        <v>0</v>
      </c>
      <c r="BN12" s="75">
        <f>IF('Prepare Gantt Chart'!$J11=0,0,SUM(AR12:AV12)/5/'Prepare Gantt Chart'!$J11)</f>
        <v>0</v>
      </c>
      <c r="BO12" s="75">
        <f>IF('Prepare Gantt Chart'!$J11=0,0,SUM(AW12:BA12)/5/'Prepare Gantt Chart'!$J11)</f>
        <v>0</v>
      </c>
      <c r="BP12" s="75">
        <f>IF('Prepare Gantt Chart'!$J11=0,0,SUM(BB12:BF12)/5/'Prepare Gantt Chart'!$J11)</f>
        <v>0</v>
      </c>
      <c r="BQ12" s="75">
        <f>IF('Prepare Gantt Chart'!$J11=0,0,SUM(BG12:BK12)/5/'Prepare Gantt Chart'!$J11)</f>
        <v>0</v>
      </c>
    </row>
    <row r="13" spans="1:69" x14ac:dyDescent="0.2">
      <c r="A13" s="18" t="s">
        <v>12</v>
      </c>
      <c r="B13" s="1" t="s">
        <v>114</v>
      </c>
      <c r="C13" s="45">
        <f>_xlfn.IFS('Prepare Gantt Chart'!P12=2,'Project types'!$O13*('Prepare Gantt Chart'!$I12*'Prepare Gantt Chart'!$J12),'Prepare Gantt Chart'!P12=1,'Project types'!$Q13*('Prepare Gantt Chart'!$I12*'Prepare Gantt Chart'!$J12),'Prepare Gantt Chart'!P12=0,0)</f>
        <v>0</v>
      </c>
      <c r="D13" s="45">
        <f>_xlfn.IFS('Prepare Gantt Chart'!Q12=2,'Project types'!$O13*('Prepare Gantt Chart'!$I12*'Prepare Gantt Chart'!$J12),'Prepare Gantt Chart'!Q12=1,'Project types'!$Q13*('Prepare Gantt Chart'!$I12*'Prepare Gantt Chart'!$J12),'Prepare Gantt Chart'!Q12=0,0)</f>
        <v>0</v>
      </c>
      <c r="E13" s="45">
        <f>_xlfn.IFS('Prepare Gantt Chart'!R12=2,'Project types'!$O13*('Prepare Gantt Chart'!$I12*'Prepare Gantt Chart'!$J12),'Prepare Gantt Chart'!R12=1,'Project types'!$Q13*('Prepare Gantt Chart'!$I12*'Prepare Gantt Chart'!$J12),'Prepare Gantt Chart'!R12=0,0)</f>
        <v>0</v>
      </c>
      <c r="F13" s="45">
        <f>_xlfn.IFS('Prepare Gantt Chart'!S12=2,'Project types'!$O13*('Prepare Gantt Chart'!$I12*'Prepare Gantt Chart'!$J12),'Prepare Gantt Chart'!S12=1,'Project types'!$Q13*('Prepare Gantt Chart'!$I12*'Prepare Gantt Chart'!$J12),'Prepare Gantt Chart'!S12=0,0)</f>
        <v>0</v>
      </c>
      <c r="G13" s="45">
        <f>_xlfn.IFS('Prepare Gantt Chart'!T12=2,'Project types'!$O13*('Prepare Gantt Chart'!$I12*'Prepare Gantt Chart'!$J12),'Prepare Gantt Chart'!T12=1,'Project types'!$Q13*('Prepare Gantt Chart'!$I12*'Prepare Gantt Chart'!$J12),'Prepare Gantt Chart'!T12=0,0)</f>
        <v>0</v>
      </c>
      <c r="H13" s="45">
        <f>_xlfn.IFS('Prepare Gantt Chart'!U12=2,'Project types'!$O13*('Prepare Gantt Chart'!$I12*'Prepare Gantt Chart'!$J12),'Prepare Gantt Chart'!U12=1,'Project types'!$Q13*('Prepare Gantt Chart'!$I12*'Prepare Gantt Chart'!$J12),'Prepare Gantt Chart'!U12=0,0)</f>
        <v>0</v>
      </c>
      <c r="I13" s="45">
        <f>_xlfn.IFS('Prepare Gantt Chart'!V12=2,'Project types'!$O13*('Prepare Gantt Chart'!$I12*'Prepare Gantt Chart'!$J12),'Prepare Gantt Chart'!V12=1,'Project types'!$Q13*('Prepare Gantt Chart'!$I12*'Prepare Gantt Chart'!$J12),'Prepare Gantt Chart'!V12=0,0)</f>
        <v>0</v>
      </c>
      <c r="J13" s="45">
        <f>_xlfn.IFS('Prepare Gantt Chart'!W12=2,'Project types'!$O13*('Prepare Gantt Chart'!$I12*'Prepare Gantt Chart'!$J12),'Prepare Gantt Chart'!W12=1,'Project types'!$Q13*('Prepare Gantt Chart'!$I12*'Prepare Gantt Chart'!$J12),'Prepare Gantt Chart'!W12=0,0)</f>
        <v>0</v>
      </c>
      <c r="K13" s="45">
        <f>_xlfn.IFS('Prepare Gantt Chart'!X12=2,'Project types'!$O13*('Prepare Gantt Chart'!$I12*'Prepare Gantt Chart'!$J12),'Prepare Gantt Chart'!X12=1,'Project types'!$Q13*('Prepare Gantt Chart'!$I12*'Prepare Gantt Chart'!$J12),'Prepare Gantt Chart'!X12=0,0)</f>
        <v>0</v>
      </c>
      <c r="L13" s="45">
        <f>_xlfn.IFS('Prepare Gantt Chart'!Y12=2,'Project types'!$O13*('Prepare Gantt Chart'!$I12*'Prepare Gantt Chart'!$J12),'Prepare Gantt Chart'!Y12=1,'Project types'!$Q13*('Prepare Gantt Chart'!$I12*'Prepare Gantt Chart'!$J12),'Prepare Gantt Chart'!Y12=0,0)</f>
        <v>0</v>
      </c>
      <c r="M13" s="45">
        <f>_xlfn.IFS('Prepare Gantt Chart'!Z12=2,'Project types'!$O13*('Prepare Gantt Chart'!$I12*'Prepare Gantt Chart'!$J12),'Prepare Gantt Chart'!Z12=1,'Project types'!$Q13*('Prepare Gantt Chart'!$I12*'Prepare Gantt Chart'!$J12),'Prepare Gantt Chart'!Z12=0,0)</f>
        <v>0</v>
      </c>
      <c r="N13" s="45">
        <f>_xlfn.IFS('Prepare Gantt Chart'!AA12=2,'Project types'!$O13*('Prepare Gantt Chart'!$I12*'Prepare Gantt Chart'!$J12),'Prepare Gantt Chart'!AA12=1,'Project types'!$Q13*('Prepare Gantt Chart'!$I12*'Prepare Gantt Chart'!$J12),'Prepare Gantt Chart'!AA12=0,0)</f>
        <v>0</v>
      </c>
      <c r="O13" s="45">
        <f>_xlfn.IFS('Prepare Gantt Chart'!AB12=2,'Project types'!$O13*('Prepare Gantt Chart'!$I12*'Prepare Gantt Chart'!$J12),'Prepare Gantt Chart'!AB12=1,'Project types'!$Q13*('Prepare Gantt Chart'!$I12*'Prepare Gantt Chart'!$J12),'Prepare Gantt Chart'!AB12=0,0)</f>
        <v>0</v>
      </c>
      <c r="P13" s="45">
        <f>_xlfn.IFS('Prepare Gantt Chart'!AC12=2,'Project types'!$O13*('Prepare Gantt Chart'!$I12*'Prepare Gantt Chart'!$J12),'Prepare Gantt Chart'!AC12=1,'Project types'!$Q13*('Prepare Gantt Chart'!$I12*'Prepare Gantt Chart'!$J12),'Prepare Gantt Chart'!AC12=0,0)</f>
        <v>0</v>
      </c>
      <c r="Q13" s="45">
        <f>_xlfn.IFS('Prepare Gantt Chart'!AD12=2,'Project types'!$O13*('Prepare Gantt Chart'!$I12*'Prepare Gantt Chart'!$J12),'Prepare Gantt Chart'!AD12=1,'Project types'!$Q13*('Prepare Gantt Chart'!$I12*'Prepare Gantt Chart'!$J12),'Prepare Gantt Chart'!AD12=0,0)</f>
        <v>0</v>
      </c>
      <c r="R13" s="45">
        <f>_xlfn.IFS('Prepare Gantt Chart'!AE12=2,'Project types'!$O13*('Prepare Gantt Chart'!$I12*'Prepare Gantt Chart'!$J12),'Prepare Gantt Chart'!AE12=1,'Project types'!$Q13*('Prepare Gantt Chart'!$I12*'Prepare Gantt Chart'!$J12),'Prepare Gantt Chart'!AE12=0,0)</f>
        <v>0</v>
      </c>
      <c r="S13" s="45">
        <f>_xlfn.IFS('Prepare Gantt Chart'!AF12=2,'Project types'!$O13*('Prepare Gantt Chart'!$I12*'Prepare Gantt Chart'!$J12),'Prepare Gantt Chart'!AF12=1,'Project types'!$Q13*('Prepare Gantt Chart'!$I12*'Prepare Gantt Chart'!$J12),'Prepare Gantt Chart'!AF12=0,0)</f>
        <v>0</v>
      </c>
      <c r="T13" s="45">
        <f>_xlfn.IFS('Prepare Gantt Chart'!AG12=2,'Project types'!$O13*('Prepare Gantt Chart'!$I12*'Prepare Gantt Chart'!$J12),'Prepare Gantt Chart'!AG12=1,'Project types'!$Q13*('Prepare Gantt Chart'!$I12*'Prepare Gantt Chart'!$J12),'Prepare Gantt Chart'!AG12=0,0)</f>
        <v>0</v>
      </c>
      <c r="U13" s="45">
        <f>_xlfn.IFS('Prepare Gantt Chart'!AH12=2,'Project types'!$O13*('Prepare Gantt Chart'!$I12*'Prepare Gantt Chart'!$J12),'Prepare Gantt Chart'!AH12=1,'Project types'!$Q13*('Prepare Gantt Chart'!$I12*'Prepare Gantt Chart'!$J12),'Prepare Gantt Chart'!AH12=0,0)</f>
        <v>0</v>
      </c>
      <c r="V13" s="45">
        <f>_xlfn.IFS('Prepare Gantt Chart'!AI12=2,'Project types'!$O13*('Prepare Gantt Chart'!$I12*'Prepare Gantt Chart'!$J12),'Prepare Gantt Chart'!AI12=1,'Project types'!$Q13*('Prepare Gantt Chart'!$I12*'Prepare Gantt Chart'!$J12),'Prepare Gantt Chart'!AI12=0,0)</f>
        <v>0</v>
      </c>
      <c r="W13" s="45">
        <f>_xlfn.IFS('Prepare Gantt Chart'!AJ12=2,'Project types'!$O13*('Prepare Gantt Chart'!$I12*'Prepare Gantt Chart'!$J12),'Prepare Gantt Chart'!AJ12=1,'Project types'!$Q13*('Prepare Gantt Chart'!$I12*'Prepare Gantt Chart'!$J12),'Prepare Gantt Chart'!AJ12=0,0)</f>
        <v>0</v>
      </c>
      <c r="X13" s="45">
        <f>_xlfn.IFS('Prepare Gantt Chart'!AK12=2,'Project types'!$O13*('Prepare Gantt Chart'!$I12*'Prepare Gantt Chart'!$J12),'Prepare Gantt Chart'!AK12=1,'Project types'!$Q13*('Prepare Gantt Chart'!$I12*'Prepare Gantt Chart'!$J12),'Prepare Gantt Chart'!AK12=0,0)</f>
        <v>0</v>
      </c>
      <c r="Y13" s="45">
        <f>_xlfn.IFS('Prepare Gantt Chart'!AL12=2,'Project types'!$O13*('Prepare Gantt Chart'!$I12*'Prepare Gantt Chart'!$J12),'Prepare Gantt Chart'!AL12=1,'Project types'!$Q13*('Prepare Gantt Chart'!$I12*'Prepare Gantt Chart'!$J12),'Prepare Gantt Chart'!AL12=0,0)</f>
        <v>0</v>
      </c>
      <c r="Z13" s="45">
        <f>_xlfn.IFS('Prepare Gantt Chart'!AM12=2,'Project types'!$O13*('Prepare Gantt Chart'!$I12*'Prepare Gantt Chart'!$J12),'Prepare Gantt Chart'!AM12=1,'Project types'!$Q13*('Prepare Gantt Chart'!$I12*'Prepare Gantt Chart'!$J12),'Prepare Gantt Chart'!AM12=0,0)</f>
        <v>0</v>
      </c>
      <c r="AA13" s="45">
        <f>_xlfn.IFS('Prepare Gantt Chart'!AN12=2,'Project types'!$O13*('Prepare Gantt Chart'!$I12*'Prepare Gantt Chart'!$J12),'Prepare Gantt Chart'!AN12=1,'Project types'!$Q13*('Prepare Gantt Chart'!$I12*'Prepare Gantt Chart'!$J12),'Prepare Gantt Chart'!AN12=0,0)</f>
        <v>0</v>
      </c>
      <c r="AB13" s="45">
        <f>_xlfn.IFS('Prepare Gantt Chart'!AO12=2,'Project types'!$O13*('Prepare Gantt Chart'!$I12*'Prepare Gantt Chart'!$J12),'Prepare Gantt Chart'!AO12=1,'Project types'!$Q13*('Prepare Gantt Chart'!$I12*'Prepare Gantt Chart'!$J12),'Prepare Gantt Chart'!AO12=0,0)</f>
        <v>0</v>
      </c>
      <c r="AC13" s="45">
        <f>'Prepare Gantt Chart'!J12*'Prepare Gantt Chart'!I12*(AD13/26)</f>
        <v>0</v>
      </c>
      <c r="AD13" s="46">
        <f t="shared" si="0"/>
        <v>0</v>
      </c>
      <c r="AE13" s="72">
        <f>IF('Prepare Gantt Chart'!$J12=0,0,SUM(C13:H13)/6/'Prepare Gantt Chart'!$J12)</f>
        <v>0</v>
      </c>
      <c r="AF13" s="72">
        <f>IF('Prepare Gantt Chart'!$J12=0,0,SUM(I13:M13)/5/'Prepare Gantt Chart'!$J12)</f>
        <v>0</v>
      </c>
      <c r="AG13" s="72">
        <f>IF('Prepare Gantt Chart'!$J12=0,0,SUM(N13:R13)/5/'Prepare Gantt Chart'!$J12)</f>
        <v>0</v>
      </c>
      <c r="AH13" s="72">
        <f>IF('Prepare Gantt Chart'!$J12=0,0,SUM(S13:W13)/5/'Prepare Gantt Chart'!$J12)</f>
        <v>0</v>
      </c>
      <c r="AI13" s="72">
        <f>IF('Prepare Gantt Chart'!$J12=0,0,SUM(X13:AB13)/5/'Prepare Gantt Chart'!$J12)</f>
        <v>0</v>
      </c>
      <c r="AK13" s="18" t="s">
        <v>12</v>
      </c>
      <c r="AL13" s="45">
        <f>_xlfn.IFS('Prepare Gantt Chart'!P12=2,'Project types'!$L13*('Prepare Gantt Chart'!$I12*'Prepare Gantt Chart'!$J12),'Prepare Gantt Chart'!P12=1,'Project types'!$L13*('Prepare Gantt Chart'!$I12*'Prepare Gantt Chart'!$J12),'Prepare Gantt Chart'!P12=0,0)</f>
        <v>0</v>
      </c>
      <c r="AM13" s="45">
        <f>_xlfn.IFS('Prepare Gantt Chart'!Q12=2,'Project types'!$L13*('Prepare Gantt Chart'!$I12*'Prepare Gantt Chart'!$J12),'Prepare Gantt Chart'!Q12=1,'Project types'!$L13*('Prepare Gantt Chart'!$I12*'Prepare Gantt Chart'!$J12),'Prepare Gantt Chart'!Q12=0,0)</f>
        <v>0</v>
      </c>
      <c r="AN13" s="45">
        <f>_xlfn.IFS('Prepare Gantt Chart'!R12=2,'Project types'!$L13*('Prepare Gantt Chart'!$I12*'Prepare Gantt Chart'!$J12),'Prepare Gantt Chart'!R12=1,'Project types'!$L13*('Prepare Gantt Chart'!$I12*'Prepare Gantt Chart'!$J12),'Prepare Gantt Chart'!R12=0,0)</f>
        <v>0</v>
      </c>
      <c r="AO13" s="45">
        <f>_xlfn.IFS('Prepare Gantt Chart'!S12=2,'Project types'!$L13*('Prepare Gantt Chart'!$I12*'Prepare Gantt Chart'!$J12),'Prepare Gantt Chart'!S12=1,'Project types'!$L13*('Prepare Gantt Chart'!$I12*'Prepare Gantt Chart'!$J12),'Prepare Gantt Chart'!S12=0,0)</f>
        <v>0</v>
      </c>
      <c r="AP13" s="45">
        <f>_xlfn.IFS('Prepare Gantt Chart'!T12=2,'Project types'!$L13*('Prepare Gantt Chart'!$I12*'Prepare Gantt Chart'!$J12),'Prepare Gantt Chart'!T12=1,'Project types'!$L13*('Prepare Gantt Chart'!$I12*'Prepare Gantt Chart'!$J12),'Prepare Gantt Chart'!T12=0,0)</f>
        <v>0</v>
      </c>
      <c r="AQ13" s="45">
        <f>_xlfn.IFS('Prepare Gantt Chart'!U12=2,'Project types'!$L13*('Prepare Gantt Chart'!$I12*'Prepare Gantt Chart'!$J12),'Prepare Gantt Chart'!U12=1,'Project types'!$L13*('Prepare Gantt Chart'!$I12*'Prepare Gantt Chart'!$J12),'Prepare Gantt Chart'!U12=0,0)</f>
        <v>0</v>
      </c>
      <c r="AR13" s="45">
        <f>_xlfn.IFS('Prepare Gantt Chart'!V12=2,'Project types'!$L13*('Prepare Gantt Chart'!$I12*'Prepare Gantt Chart'!$J12),'Prepare Gantt Chart'!V12=1,'Project types'!$L13*('Prepare Gantt Chart'!$I12*'Prepare Gantt Chart'!$J12),'Prepare Gantt Chart'!V12=0,0)</f>
        <v>0</v>
      </c>
      <c r="AS13" s="45">
        <f>_xlfn.IFS('Prepare Gantt Chart'!W12=2,'Project types'!$L13*('Prepare Gantt Chart'!$I12*'Prepare Gantt Chart'!$J12),'Prepare Gantt Chart'!W12=1,'Project types'!$L13*('Prepare Gantt Chart'!$I12*'Prepare Gantt Chart'!$J12),'Prepare Gantt Chart'!W12=0,0)</f>
        <v>0</v>
      </c>
      <c r="AT13" s="45">
        <f>_xlfn.IFS('Prepare Gantt Chart'!X12=2,'Project types'!$L13*('Prepare Gantt Chart'!$I12*'Prepare Gantt Chart'!$J12),'Prepare Gantt Chart'!X12=1,'Project types'!$L13*('Prepare Gantt Chart'!$I12*'Prepare Gantt Chart'!$J12),'Prepare Gantt Chart'!X12=0,0)</f>
        <v>0</v>
      </c>
      <c r="AU13" s="45">
        <f>_xlfn.IFS('Prepare Gantt Chart'!Y12=2,'Project types'!$L13*('Prepare Gantt Chart'!$I12*'Prepare Gantt Chart'!$J12),'Prepare Gantt Chart'!Y12=1,'Project types'!$L13*('Prepare Gantt Chart'!$I12*'Prepare Gantt Chart'!$J12),'Prepare Gantt Chart'!Y12=0,0)</f>
        <v>0</v>
      </c>
      <c r="AV13" s="45">
        <f>_xlfn.IFS('Prepare Gantt Chart'!Z12=2,'Project types'!$L13*('Prepare Gantt Chart'!$I12*'Prepare Gantt Chart'!$J12),'Prepare Gantt Chart'!Z12=1,'Project types'!$L13*('Prepare Gantt Chart'!$I12*'Prepare Gantt Chart'!$J12),'Prepare Gantt Chart'!Z12=0,0)</f>
        <v>0</v>
      </c>
      <c r="AW13" s="45">
        <f>_xlfn.IFS('Prepare Gantt Chart'!AA12=2,'Project types'!$L13*('Prepare Gantt Chart'!$I12*'Prepare Gantt Chart'!$J12),'Prepare Gantt Chart'!AA12=1,'Project types'!$L13*('Prepare Gantt Chart'!$I12*'Prepare Gantt Chart'!$J12),'Prepare Gantt Chart'!AA12=0,0)</f>
        <v>0</v>
      </c>
      <c r="AX13" s="45">
        <f>_xlfn.IFS('Prepare Gantt Chart'!AB12=2,'Project types'!$L13*('Prepare Gantt Chart'!$I12*'Prepare Gantt Chart'!$J12),'Prepare Gantt Chart'!AB12=1,'Project types'!$L13*('Prepare Gantt Chart'!$I12*'Prepare Gantt Chart'!$J12),'Prepare Gantt Chart'!AB12=0,0)</f>
        <v>0</v>
      </c>
      <c r="AY13" s="45">
        <f>_xlfn.IFS('Prepare Gantt Chart'!AC12=2,'Project types'!$L13*('Prepare Gantt Chart'!$I12*'Prepare Gantt Chart'!$J12),'Prepare Gantt Chart'!AC12=1,'Project types'!$L13*('Prepare Gantt Chart'!$I12*'Prepare Gantt Chart'!$J12),'Prepare Gantt Chart'!AC12=0,0)</f>
        <v>0</v>
      </c>
      <c r="AZ13" s="45">
        <f>_xlfn.IFS('Prepare Gantt Chart'!AD12=2,'Project types'!$L13*('Prepare Gantt Chart'!$I12*'Prepare Gantt Chart'!$J12),'Prepare Gantt Chart'!AD12=1,'Project types'!$L13*('Prepare Gantt Chart'!$I12*'Prepare Gantt Chart'!$J12),'Prepare Gantt Chart'!AD12=0,0)</f>
        <v>0</v>
      </c>
      <c r="BA13" s="45">
        <f>_xlfn.IFS('Prepare Gantt Chart'!AE12=2,'Project types'!$L13*('Prepare Gantt Chart'!$I12*'Prepare Gantt Chart'!$J12),'Prepare Gantt Chart'!AE12=1,'Project types'!$L13*('Prepare Gantt Chart'!$I12*'Prepare Gantt Chart'!$J12),'Prepare Gantt Chart'!AE12=0,0)</f>
        <v>0</v>
      </c>
      <c r="BB13" s="45">
        <f>_xlfn.IFS('Prepare Gantt Chart'!AF12=2,'Project types'!$L13*('Prepare Gantt Chart'!$I12*'Prepare Gantt Chart'!$J12),'Prepare Gantt Chart'!AF12=1,'Project types'!$L13*('Prepare Gantt Chart'!$I12*'Prepare Gantt Chart'!$J12),'Prepare Gantt Chart'!AF12=0,0)</f>
        <v>0</v>
      </c>
      <c r="BC13" s="45">
        <f>_xlfn.IFS('Prepare Gantt Chart'!AG12=2,'Project types'!$L13*('Prepare Gantt Chart'!$I12*'Prepare Gantt Chart'!$J12),'Prepare Gantt Chart'!AG12=1,'Project types'!$L13*('Prepare Gantt Chart'!$I12*'Prepare Gantt Chart'!$J12),'Prepare Gantt Chart'!AG12=0,0)</f>
        <v>0</v>
      </c>
      <c r="BD13" s="45">
        <f>_xlfn.IFS('Prepare Gantt Chart'!AH12=2,'Project types'!$L13*('Prepare Gantt Chart'!$I12*'Prepare Gantt Chart'!$J12),'Prepare Gantt Chart'!AH12=1,'Project types'!$L13*('Prepare Gantt Chart'!$I12*'Prepare Gantt Chart'!$J12),'Prepare Gantt Chart'!AH12=0,0)</f>
        <v>0</v>
      </c>
      <c r="BE13" s="45">
        <f>_xlfn.IFS('Prepare Gantt Chart'!AI12=2,'Project types'!$L13*('Prepare Gantt Chart'!$I12*'Prepare Gantt Chart'!$J12),'Prepare Gantt Chart'!AI12=1,'Project types'!$L13*('Prepare Gantt Chart'!$I12*'Prepare Gantt Chart'!$J12),'Prepare Gantt Chart'!AI12=0,0)</f>
        <v>0</v>
      </c>
      <c r="BF13" s="45">
        <f>_xlfn.IFS('Prepare Gantt Chart'!AJ12=2,'Project types'!$L13*('Prepare Gantt Chart'!$I12*'Prepare Gantt Chart'!$J12),'Prepare Gantt Chart'!AJ12=1,'Project types'!$L13*('Prepare Gantt Chart'!$I12*'Prepare Gantt Chart'!$J12),'Prepare Gantt Chart'!AJ12=0,0)</f>
        <v>0</v>
      </c>
      <c r="BG13" s="45">
        <f>_xlfn.IFS('Prepare Gantt Chart'!AK12=2,'Project types'!$L13*('Prepare Gantt Chart'!$I12*'Prepare Gantt Chart'!$J12),'Prepare Gantt Chart'!AK12=1,'Project types'!$L13*('Prepare Gantt Chart'!$I12*'Prepare Gantt Chart'!$J12),'Prepare Gantt Chart'!AK12=0,0)</f>
        <v>0</v>
      </c>
      <c r="BH13" s="45">
        <f>_xlfn.IFS('Prepare Gantt Chart'!AL12=2,'Project types'!$L13*('Prepare Gantt Chart'!$I12*'Prepare Gantt Chart'!$J12),'Prepare Gantt Chart'!AL12=1,'Project types'!$L13*('Prepare Gantt Chart'!$I12*'Prepare Gantt Chart'!$J12),'Prepare Gantt Chart'!AL12=0,0)</f>
        <v>0</v>
      </c>
      <c r="BI13" s="45">
        <f>_xlfn.IFS('Prepare Gantt Chart'!AM12=2,'Project types'!$L13*('Prepare Gantt Chart'!$I12*'Prepare Gantt Chart'!$J12),'Prepare Gantt Chart'!AM12=1,'Project types'!$L13*('Prepare Gantt Chart'!$I12*'Prepare Gantt Chart'!$J12),'Prepare Gantt Chart'!AM12=0,0)</f>
        <v>0</v>
      </c>
      <c r="BJ13" s="45">
        <f>_xlfn.IFS('Prepare Gantt Chart'!AN12=2,'Project types'!$L13*('Prepare Gantt Chart'!$I12*'Prepare Gantt Chart'!$J12),'Prepare Gantt Chart'!AN12=1,'Project types'!$L13*('Prepare Gantt Chart'!$I12*'Prepare Gantt Chart'!$J12),'Prepare Gantt Chart'!AN12=0,0)</f>
        <v>0</v>
      </c>
      <c r="BK13" s="45">
        <f>_xlfn.IFS('Prepare Gantt Chart'!AO12=2,'Project types'!$L13*('Prepare Gantt Chart'!$I12*'Prepare Gantt Chart'!$J12),'Prepare Gantt Chart'!AO12=1,'Project types'!$L13*('Prepare Gantt Chart'!$I12*'Prepare Gantt Chart'!$J12),'Prepare Gantt Chart'!AO12=0,0)</f>
        <v>0</v>
      </c>
      <c r="BL13" s="46">
        <f t="shared" si="1"/>
        <v>0</v>
      </c>
      <c r="BM13" s="75">
        <f>IF('Prepare Gantt Chart'!$J12=0,0,SUM(AL13:AQ13)/6/'Prepare Gantt Chart'!$J12)</f>
        <v>0</v>
      </c>
      <c r="BN13" s="75">
        <f>IF('Prepare Gantt Chart'!$J12=0,0,SUM(AR13:AV13)/5/'Prepare Gantt Chart'!$J12)</f>
        <v>0</v>
      </c>
      <c r="BO13" s="75">
        <f>IF('Prepare Gantt Chart'!$J12=0,0,SUM(AW13:BA13)/5/'Prepare Gantt Chart'!$J12)</f>
        <v>0</v>
      </c>
      <c r="BP13" s="75">
        <f>IF('Prepare Gantt Chart'!$J12=0,0,SUM(BB13:BF13)/5/'Prepare Gantt Chart'!$J12)</f>
        <v>0</v>
      </c>
      <c r="BQ13" s="75">
        <f>IF('Prepare Gantt Chart'!$J12=0,0,SUM(BG13:BK13)/5/'Prepare Gantt Chart'!$J12)</f>
        <v>0</v>
      </c>
    </row>
    <row r="14" spans="1:69" x14ac:dyDescent="0.2">
      <c r="A14" s="18" t="s">
        <v>13</v>
      </c>
      <c r="B14" s="1" t="s">
        <v>116</v>
      </c>
      <c r="C14" s="45">
        <f>_xlfn.IFS('Prepare Gantt Chart'!P13=2,'Project types'!$O14*('Prepare Gantt Chart'!$I13*'Prepare Gantt Chart'!$J13),'Prepare Gantt Chart'!P13=1,'Project types'!$Q14*('Prepare Gantt Chart'!$I13*'Prepare Gantt Chart'!$J13),'Prepare Gantt Chart'!P13=0,0)</f>
        <v>0</v>
      </c>
      <c r="D14" s="45">
        <f>_xlfn.IFS('Prepare Gantt Chart'!Q13=2,'Project types'!$O14*('Prepare Gantt Chart'!$I13*'Prepare Gantt Chart'!$J13),'Prepare Gantt Chart'!Q13=1,'Project types'!$Q14*('Prepare Gantt Chart'!$I13*'Prepare Gantt Chart'!$J13),'Prepare Gantt Chart'!Q13=0,0)</f>
        <v>0</v>
      </c>
      <c r="E14" s="45">
        <f>_xlfn.IFS('Prepare Gantt Chart'!R13=2,'Project types'!$O14*('Prepare Gantt Chart'!$I13*'Prepare Gantt Chart'!$J13),'Prepare Gantt Chart'!R13=1,'Project types'!$Q14*('Prepare Gantt Chart'!$I13*'Prepare Gantt Chart'!$J13),'Prepare Gantt Chart'!R13=0,0)</f>
        <v>0</v>
      </c>
      <c r="F14" s="45">
        <f>_xlfn.IFS('Prepare Gantt Chart'!S13=2,'Project types'!$O14*('Prepare Gantt Chart'!$I13*'Prepare Gantt Chart'!$J13),'Prepare Gantt Chart'!S13=1,'Project types'!$Q14*('Prepare Gantt Chart'!$I13*'Prepare Gantt Chart'!$J13),'Prepare Gantt Chart'!S13=0,0)</f>
        <v>0</v>
      </c>
      <c r="G14" s="45">
        <f>_xlfn.IFS('Prepare Gantt Chart'!T13=2,'Project types'!$O14*('Prepare Gantt Chart'!$I13*'Prepare Gantt Chart'!$J13),'Prepare Gantt Chart'!T13=1,'Project types'!$Q14*('Prepare Gantt Chart'!$I13*'Prepare Gantt Chart'!$J13),'Prepare Gantt Chart'!T13=0,0)</f>
        <v>0</v>
      </c>
      <c r="H14" s="45">
        <f>_xlfn.IFS('Prepare Gantt Chart'!U13=2,'Project types'!$O14*('Prepare Gantt Chart'!$I13*'Prepare Gantt Chart'!$J13),'Prepare Gantt Chart'!U13=1,'Project types'!$Q14*('Prepare Gantt Chart'!$I13*'Prepare Gantt Chart'!$J13),'Prepare Gantt Chart'!U13=0,0)</f>
        <v>0</v>
      </c>
      <c r="I14" s="45">
        <f>_xlfn.IFS('Prepare Gantt Chart'!V13=2,'Project types'!$O14*('Prepare Gantt Chart'!$I13*'Prepare Gantt Chart'!$J13),'Prepare Gantt Chart'!V13=1,'Project types'!$Q14*('Prepare Gantt Chart'!$I13*'Prepare Gantt Chart'!$J13),'Prepare Gantt Chart'!V13=0,0)</f>
        <v>0</v>
      </c>
      <c r="J14" s="45">
        <f>_xlfn.IFS('Prepare Gantt Chart'!W13=2,'Project types'!$O14*('Prepare Gantt Chart'!$I13*'Prepare Gantt Chart'!$J13),'Prepare Gantt Chart'!W13=1,'Project types'!$Q14*('Prepare Gantt Chart'!$I13*'Prepare Gantt Chart'!$J13),'Prepare Gantt Chart'!W13=0,0)</f>
        <v>0</v>
      </c>
      <c r="K14" s="45">
        <f>_xlfn.IFS('Prepare Gantt Chart'!X13=2,'Project types'!$O14*('Prepare Gantt Chart'!$I13*'Prepare Gantt Chart'!$J13),'Prepare Gantt Chart'!X13=1,'Project types'!$Q14*('Prepare Gantt Chart'!$I13*'Prepare Gantt Chart'!$J13),'Prepare Gantt Chart'!X13=0,0)</f>
        <v>0</v>
      </c>
      <c r="L14" s="45">
        <f>_xlfn.IFS('Prepare Gantt Chart'!Y13=2,'Project types'!$O14*('Prepare Gantt Chart'!$I13*'Prepare Gantt Chart'!$J13),'Prepare Gantt Chart'!Y13=1,'Project types'!$Q14*('Prepare Gantt Chart'!$I13*'Prepare Gantt Chart'!$J13),'Prepare Gantt Chart'!Y13=0,0)</f>
        <v>0</v>
      </c>
      <c r="M14" s="45">
        <f>_xlfn.IFS('Prepare Gantt Chart'!Z13=2,'Project types'!$O14*('Prepare Gantt Chart'!$I13*'Prepare Gantt Chart'!$J13),'Prepare Gantt Chart'!Z13=1,'Project types'!$Q14*('Prepare Gantt Chart'!$I13*'Prepare Gantt Chart'!$J13),'Prepare Gantt Chart'!Z13=0,0)</f>
        <v>0</v>
      </c>
      <c r="N14" s="45">
        <f>_xlfn.IFS('Prepare Gantt Chart'!AA13=2,'Project types'!$O14*('Prepare Gantt Chart'!$I13*'Prepare Gantt Chart'!$J13),'Prepare Gantt Chart'!AA13=1,'Project types'!$Q14*('Prepare Gantt Chart'!$I13*'Prepare Gantt Chart'!$J13),'Prepare Gantt Chart'!AA13=0,0)</f>
        <v>0</v>
      </c>
      <c r="O14" s="45">
        <f>_xlfn.IFS('Prepare Gantt Chart'!AB13=2,'Project types'!$O14*('Prepare Gantt Chart'!$I13*'Prepare Gantt Chart'!$J13),'Prepare Gantt Chart'!AB13=1,'Project types'!$Q14*('Prepare Gantt Chart'!$I13*'Prepare Gantt Chart'!$J13),'Prepare Gantt Chart'!AB13=0,0)</f>
        <v>0</v>
      </c>
      <c r="P14" s="45">
        <f>_xlfn.IFS('Prepare Gantt Chart'!AC13=2,'Project types'!$O14*('Prepare Gantt Chart'!$I13*'Prepare Gantt Chart'!$J13),'Prepare Gantt Chart'!AC13=1,'Project types'!$Q14*('Prepare Gantt Chart'!$I13*'Prepare Gantt Chart'!$J13),'Prepare Gantt Chart'!AC13=0,0)</f>
        <v>0</v>
      </c>
      <c r="Q14" s="45">
        <f>_xlfn.IFS('Prepare Gantt Chart'!AD13=2,'Project types'!$O14*('Prepare Gantt Chart'!$I13*'Prepare Gantt Chart'!$J13),'Prepare Gantt Chart'!AD13=1,'Project types'!$Q14*('Prepare Gantt Chart'!$I13*'Prepare Gantt Chart'!$J13),'Prepare Gantt Chart'!AD13=0,0)</f>
        <v>0</v>
      </c>
      <c r="R14" s="45">
        <f>_xlfn.IFS('Prepare Gantt Chart'!AE13=2,'Project types'!$O14*('Prepare Gantt Chart'!$I13*'Prepare Gantt Chart'!$J13),'Prepare Gantt Chart'!AE13=1,'Project types'!$Q14*('Prepare Gantt Chart'!$I13*'Prepare Gantt Chart'!$J13),'Prepare Gantt Chart'!AE13=0,0)</f>
        <v>0</v>
      </c>
      <c r="S14" s="45">
        <f>_xlfn.IFS('Prepare Gantt Chart'!AF13=2,'Project types'!$O14*('Prepare Gantt Chart'!$I13*'Prepare Gantt Chart'!$J13),'Prepare Gantt Chart'!AF13=1,'Project types'!$Q14*('Prepare Gantt Chart'!$I13*'Prepare Gantt Chart'!$J13),'Prepare Gantt Chart'!AF13=0,0)</f>
        <v>0</v>
      </c>
      <c r="T14" s="45">
        <f>_xlfn.IFS('Prepare Gantt Chart'!AG13=2,'Project types'!$O14*('Prepare Gantt Chart'!$I13*'Prepare Gantt Chart'!$J13),'Prepare Gantt Chart'!AG13=1,'Project types'!$Q14*('Prepare Gantt Chart'!$I13*'Prepare Gantt Chart'!$J13),'Prepare Gantt Chart'!AG13=0,0)</f>
        <v>0</v>
      </c>
      <c r="U14" s="45">
        <f>_xlfn.IFS('Prepare Gantt Chart'!AH13=2,'Project types'!$O14*('Prepare Gantt Chart'!$I13*'Prepare Gantt Chart'!$J13),'Prepare Gantt Chart'!AH13=1,'Project types'!$Q14*('Prepare Gantt Chart'!$I13*'Prepare Gantt Chart'!$J13),'Prepare Gantt Chart'!AH13=0,0)</f>
        <v>0</v>
      </c>
      <c r="V14" s="45">
        <f>_xlfn.IFS('Prepare Gantt Chart'!AI13=2,'Project types'!$O14*('Prepare Gantt Chart'!$I13*'Prepare Gantt Chart'!$J13),'Prepare Gantt Chart'!AI13=1,'Project types'!$Q14*('Prepare Gantt Chart'!$I13*'Prepare Gantt Chart'!$J13),'Prepare Gantt Chart'!AI13=0,0)</f>
        <v>0</v>
      </c>
      <c r="W14" s="45">
        <f>_xlfn.IFS('Prepare Gantt Chart'!AJ13=2,'Project types'!$O14*('Prepare Gantt Chart'!$I13*'Prepare Gantt Chart'!$J13),'Prepare Gantt Chart'!AJ13=1,'Project types'!$Q14*('Prepare Gantt Chart'!$I13*'Prepare Gantt Chart'!$J13),'Prepare Gantt Chart'!AJ13=0,0)</f>
        <v>0</v>
      </c>
      <c r="X14" s="45">
        <f>_xlfn.IFS('Prepare Gantt Chart'!AK13=2,'Project types'!$O14*('Prepare Gantt Chart'!$I13*'Prepare Gantt Chart'!$J13),'Prepare Gantt Chart'!AK13=1,'Project types'!$Q14*('Prepare Gantt Chart'!$I13*'Prepare Gantt Chart'!$J13),'Prepare Gantt Chart'!AK13=0,0)</f>
        <v>0</v>
      </c>
      <c r="Y14" s="45">
        <f>_xlfn.IFS('Prepare Gantt Chart'!AL13=2,'Project types'!$O14*('Prepare Gantt Chart'!$I13*'Prepare Gantt Chart'!$J13),'Prepare Gantt Chart'!AL13=1,'Project types'!$Q14*('Prepare Gantt Chart'!$I13*'Prepare Gantt Chart'!$J13),'Prepare Gantt Chart'!AL13=0,0)</f>
        <v>0</v>
      </c>
      <c r="Z14" s="45">
        <f>_xlfn.IFS('Prepare Gantt Chart'!AM13=2,'Project types'!$O14*('Prepare Gantt Chart'!$I13*'Prepare Gantt Chart'!$J13),'Prepare Gantt Chart'!AM13=1,'Project types'!$Q14*('Prepare Gantt Chart'!$I13*'Prepare Gantt Chart'!$J13),'Prepare Gantt Chart'!AM13=0,0)</f>
        <v>0</v>
      </c>
      <c r="AA14" s="45">
        <f>_xlfn.IFS('Prepare Gantt Chart'!AN13=2,'Project types'!$O14*('Prepare Gantt Chart'!$I13*'Prepare Gantt Chart'!$J13),'Prepare Gantt Chart'!AN13=1,'Project types'!$Q14*('Prepare Gantt Chart'!$I13*'Prepare Gantt Chart'!$J13),'Prepare Gantt Chart'!AN13=0,0)</f>
        <v>0</v>
      </c>
      <c r="AB14" s="45">
        <f>_xlfn.IFS('Prepare Gantt Chart'!AO13=2,'Project types'!$O14*('Prepare Gantt Chart'!$I13*'Prepare Gantt Chart'!$J13),'Prepare Gantt Chart'!AO13=1,'Project types'!$Q14*('Prepare Gantt Chart'!$I13*'Prepare Gantt Chart'!$J13),'Prepare Gantt Chart'!AO13=0,0)</f>
        <v>0</v>
      </c>
      <c r="AC14" s="45">
        <f>'Prepare Gantt Chart'!J13*'Prepare Gantt Chart'!I13*(AD14/26)</f>
        <v>0</v>
      </c>
      <c r="AD14" s="46">
        <f t="shared" si="0"/>
        <v>0</v>
      </c>
      <c r="AE14" s="72">
        <f>IF('Prepare Gantt Chart'!$J13=0,0,SUM(C14:H14)/6/'Prepare Gantt Chart'!$J13)</f>
        <v>0</v>
      </c>
      <c r="AF14" s="72">
        <f>IF('Prepare Gantt Chart'!$J13=0,0,SUM(I14:M14)/5/'Prepare Gantt Chart'!$J13)</f>
        <v>0</v>
      </c>
      <c r="AG14" s="72">
        <f>IF('Prepare Gantt Chart'!$J13=0,0,SUM(N14:R14)/5/'Prepare Gantt Chart'!$J13)</f>
        <v>0</v>
      </c>
      <c r="AH14" s="72">
        <f>IF('Prepare Gantt Chart'!$J13=0,0,SUM(S14:W14)/5/'Prepare Gantt Chart'!$J13)</f>
        <v>0</v>
      </c>
      <c r="AI14" s="72">
        <f>IF('Prepare Gantt Chart'!$J13=0,0,SUM(X14:AB14)/5/'Prepare Gantt Chart'!$J13)</f>
        <v>0</v>
      </c>
      <c r="AK14" s="18" t="s">
        <v>13</v>
      </c>
      <c r="AL14" s="45">
        <f>_xlfn.IFS('Prepare Gantt Chart'!P13=2,'Project types'!$L14*('Prepare Gantt Chart'!$I13*'Prepare Gantt Chart'!$J13),'Prepare Gantt Chart'!P13=1,'Project types'!$L14*('Prepare Gantt Chart'!$I13*'Prepare Gantt Chart'!$J13),'Prepare Gantt Chart'!P13=0,0)</f>
        <v>0</v>
      </c>
      <c r="AM14" s="45">
        <f>_xlfn.IFS('Prepare Gantt Chart'!Q13=2,'Project types'!$L14*('Prepare Gantt Chart'!$I13*'Prepare Gantt Chart'!$J13),'Prepare Gantt Chart'!Q13=1,'Project types'!$L14*('Prepare Gantt Chart'!$I13*'Prepare Gantt Chart'!$J13),'Prepare Gantt Chart'!Q13=0,0)</f>
        <v>0</v>
      </c>
      <c r="AN14" s="45">
        <f>_xlfn.IFS('Prepare Gantt Chart'!R13=2,'Project types'!$L14*('Prepare Gantt Chart'!$I13*'Prepare Gantt Chart'!$J13),'Prepare Gantt Chart'!R13=1,'Project types'!$L14*('Prepare Gantt Chart'!$I13*'Prepare Gantt Chart'!$J13),'Prepare Gantt Chart'!R13=0,0)</f>
        <v>0</v>
      </c>
      <c r="AO14" s="45">
        <f>_xlfn.IFS('Prepare Gantt Chart'!S13=2,'Project types'!$L14*('Prepare Gantt Chart'!$I13*'Prepare Gantt Chart'!$J13),'Prepare Gantt Chart'!S13=1,'Project types'!$L14*('Prepare Gantt Chart'!$I13*'Prepare Gantt Chart'!$J13),'Prepare Gantt Chart'!S13=0,0)</f>
        <v>0</v>
      </c>
      <c r="AP14" s="45">
        <f>_xlfn.IFS('Prepare Gantt Chart'!T13=2,'Project types'!$L14*('Prepare Gantt Chart'!$I13*'Prepare Gantt Chart'!$J13),'Prepare Gantt Chart'!T13=1,'Project types'!$L14*('Prepare Gantt Chart'!$I13*'Prepare Gantt Chart'!$J13),'Prepare Gantt Chart'!T13=0,0)</f>
        <v>0</v>
      </c>
      <c r="AQ14" s="45">
        <f>_xlfn.IFS('Prepare Gantt Chart'!U13=2,'Project types'!$L14*('Prepare Gantt Chart'!$I13*'Prepare Gantt Chart'!$J13),'Prepare Gantt Chart'!U13=1,'Project types'!$L14*('Prepare Gantt Chart'!$I13*'Prepare Gantt Chart'!$J13),'Prepare Gantt Chart'!U13=0,0)</f>
        <v>0</v>
      </c>
      <c r="AR14" s="45">
        <f>_xlfn.IFS('Prepare Gantt Chart'!V13=2,'Project types'!$L14*('Prepare Gantt Chart'!$I13*'Prepare Gantt Chart'!$J13),'Prepare Gantt Chart'!V13=1,'Project types'!$L14*('Prepare Gantt Chart'!$I13*'Prepare Gantt Chart'!$J13),'Prepare Gantt Chart'!V13=0,0)</f>
        <v>0</v>
      </c>
      <c r="AS14" s="45">
        <f>_xlfn.IFS('Prepare Gantt Chart'!W13=2,'Project types'!$L14*('Prepare Gantt Chart'!$I13*'Prepare Gantt Chart'!$J13),'Prepare Gantt Chart'!W13=1,'Project types'!$L14*('Prepare Gantt Chart'!$I13*'Prepare Gantt Chart'!$J13),'Prepare Gantt Chart'!W13=0,0)</f>
        <v>0</v>
      </c>
      <c r="AT14" s="45">
        <f>_xlfn.IFS('Prepare Gantt Chart'!X13=2,'Project types'!$L14*('Prepare Gantt Chart'!$I13*'Prepare Gantt Chart'!$J13),'Prepare Gantt Chart'!X13=1,'Project types'!$L14*('Prepare Gantt Chart'!$I13*'Prepare Gantt Chart'!$J13),'Prepare Gantt Chart'!X13=0,0)</f>
        <v>0</v>
      </c>
      <c r="AU14" s="45">
        <f>_xlfn.IFS('Prepare Gantt Chart'!Y13=2,'Project types'!$L14*('Prepare Gantt Chart'!$I13*'Prepare Gantt Chart'!$J13),'Prepare Gantt Chart'!Y13=1,'Project types'!$L14*('Prepare Gantt Chart'!$I13*'Prepare Gantt Chart'!$J13),'Prepare Gantt Chart'!Y13=0,0)</f>
        <v>0</v>
      </c>
      <c r="AV14" s="45">
        <f>_xlfn.IFS('Prepare Gantt Chart'!Z13=2,'Project types'!$L14*('Prepare Gantt Chart'!$I13*'Prepare Gantt Chart'!$J13),'Prepare Gantt Chart'!Z13=1,'Project types'!$L14*('Prepare Gantt Chart'!$I13*'Prepare Gantt Chart'!$J13),'Prepare Gantt Chart'!Z13=0,0)</f>
        <v>0</v>
      </c>
      <c r="AW14" s="45">
        <f>_xlfn.IFS('Prepare Gantt Chart'!AA13=2,'Project types'!$L14*('Prepare Gantt Chart'!$I13*'Prepare Gantt Chart'!$J13),'Prepare Gantt Chart'!AA13=1,'Project types'!$L14*('Prepare Gantt Chart'!$I13*'Prepare Gantt Chart'!$J13),'Prepare Gantt Chart'!AA13=0,0)</f>
        <v>0</v>
      </c>
      <c r="AX14" s="45">
        <f>_xlfn.IFS('Prepare Gantt Chart'!AB13=2,'Project types'!$L14*('Prepare Gantt Chart'!$I13*'Prepare Gantt Chart'!$J13),'Prepare Gantt Chart'!AB13=1,'Project types'!$L14*('Prepare Gantt Chart'!$I13*'Prepare Gantt Chart'!$J13),'Prepare Gantt Chart'!AB13=0,0)</f>
        <v>0</v>
      </c>
      <c r="AY14" s="45">
        <f>_xlfn.IFS('Prepare Gantt Chart'!AC13=2,'Project types'!$L14*('Prepare Gantt Chart'!$I13*'Prepare Gantt Chart'!$J13),'Prepare Gantt Chart'!AC13=1,'Project types'!$L14*('Prepare Gantt Chart'!$I13*'Prepare Gantt Chart'!$J13),'Prepare Gantt Chart'!AC13=0,0)</f>
        <v>0</v>
      </c>
      <c r="AZ14" s="45">
        <f>_xlfn.IFS('Prepare Gantt Chart'!AD13=2,'Project types'!$L14*('Prepare Gantt Chart'!$I13*'Prepare Gantt Chart'!$J13),'Prepare Gantt Chart'!AD13=1,'Project types'!$L14*('Prepare Gantt Chart'!$I13*'Prepare Gantt Chart'!$J13),'Prepare Gantt Chart'!AD13=0,0)</f>
        <v>0</v>
      </c>
      <c r="BA14" s="45">
        <f>_xlfn.IFS('Prepare Gantt Chart'!AE13=2,'Project types'!$L14*('Prepare Gantt Chart'!$I13*'Prepare Gantt Chart'!$J13),'Prepare Gantt Chart'!AE13=1,'Project types'!$L14*('Prepare Gantt Chart'!$I13*'Prepare Gantt Chart'!$J13),'Prepare Gantt Chart'!AE13=0,0)</f>
        <v>0</v>
      </c>
      <c r="BB14" s="45">
        <f>_xlfn.IFS('Prepare Gantt Chart'!AF13=2,'Project types'!$L14*('Prepare Gantt Chart'!$I13*'Prepare Gantt Chart'!$J13),'Prepare Gantt Chart'!AF13=1,'Project types'!$L14*('Prepare Gantt Chart'!$I13*'Prepare Gantt Chart'!$J13),'Prepare Gantt Chart'!AF13=0,0)</f>
        <v>0</v>
      </c>
      <c r="BC14" s="45">
        <f>_xlfn.IFS('Prepare Gantt Chart'!AG13=2,'Project types'!$L14*('Prepare Gantt Chart'!$I13*'Prepare Gantt Chart'!$J13),'Prepare Gantt Chart'!AG13=1,'Project types'!$L14*('Prepare Gantt Chart'!$I13*'Prepare Gantt Chart'!$J13),'Prepare Gantt Chart'!AG13=0,0)</f>
        <v>0</v>
      </c>
      <c r="BD14" s="45">
        <f>_xlfn.IFS('Prepare Gantt Chart'!AH13=2,'Project types'!$L14*('Prepare Gantt Chart'!$I13*'Prepare Gantt Chart'!$J13),'Prepare Gantt Chart'!AH13=1,'Project types'!$L14*('Prepare Gantt Chart'!$I13*'Prepare Gantt Chart'!$J13),'Prepare Gantt Chart'!AH13=0,0)</f>
        <v>0</v>
      </c>
      <c r="BE14" s="45">
        <f>_xlfn.IFS('Prepare Gantt Chart'!AI13=2,'Project types'!$L14*('Prepare Gantt Chart'!$I13*'Prepare Gantt Chart'!$J13),'Prepare Gantt Chart'!AI13=1,'Project types'!$L14*('Prepare Gantt Chart'!$I13*'Prepare Gantt Chart'!$J13),'Prepare Gantt Chart'!AI13=0,0)</f>
        <v>0</v>
      </c>
      <c r="BF14" s="45">
        <f>_xlfn.IFS('Prepare Gantt Chart'!AJ13=2,'Project types'!$L14*('Prepare Gantt Chart'!$I13*'Prepare Gantt Chart'!$J13),'Prepare Gantt Chart'!AJ13=1,'Project types'!$L14*('Prepare Gantt Chart'!$I13*'Prepare Gantt Chart'!$J13),'Prepare Gantt Chart'!AJ13=0,0)</f>
        <v>0</v>
      </c>
      <c r="BG14" s="45">
        <f>_xlfn.IFS('Prepare Gantt Chart'!AK13=2,'Project types'!$L14*('Prepare Gantt Chart'!$I13*'Prepare Gantt Chart'!$J13),'Prepare Gantt Chart'!AK13=1,'Project types'!$L14*('Prepare Gantt Chart'!$I13*'Prepare Gantt Chart'!$J13),'Prepare Gantt Chart'!AK13=0,0)</f>
        <v>0</v>
      </c>
      <c r="BH14" s="45">
        <f>_xlfn.IFS('Prepare Gantt Chart'!AL13=2,'Project types'!$L14*('Prepare Gantt Chart'!$I13*'Prepare Gantt Chart'!$J13),'Prepare Gantt Chart'!AL13=1,'Project types'!$L14*('Prepare Gantt Chart'!$I13*'Prepare Gantt Chart'!$J13),'Prepare Gantt Chart'!AL13=0,0)</f>
        <v>0</v>
      </c>
      <c r="BI14" s="45">
        <f>_xlfn.IFS('Prepare Gantt Chart'!AM13=2,'Project types'!$L14*('Prepare Gantt Chart'!$I13*'Prepare Gantt Chart'!$J13),'Prepare Gantt Chart'!AM13=1,'Project types'!$L14*('Prepare Gantt Chart'!$I13*'Prepare Gantt Chart'!$J13),'Prepare Gantt Chart'!AM13=0,0)</f>
        <v>0</v>
      </c>
      <c r="BJ14" s="45">
        <f>_xlfn.IFS('Prepare Gantt Chart'!AN13=2,'Project types'!$L14*('Prepare Gantt Chart'!$I13*'Prepare Gantt Chart'!$J13),'Prepare Gantt Chart'!AN13=1,'Project types'!$L14*('Prepare Gantt Chart'!$I13*'Prepare Gantt Chart'!$J13),'Prepare Gantt Chart'!AN13=0,0)</f>
        <v>0</v>
      </c>
      <c r="BK14" s="45">
        <f>_xlfn.IFS('Prepare Gantt Chart'!AO13=2,'Project types'!$L14*('Prepare Gantt Chart'!$I13*'Prepare Gantt Chart'!$J13),'Prepare Gantt Chart'!AO13=1,'Project types'!$L14*('Prepare Gantt Chart'!$I13*'Prepare Gantt Chart'!$J13),'Prepare Gantt Chart'!AO13=0,0)</f>
        <v>0</v>
      </c>
      <c r="BL14" s="46">
        <f t="shared" si="1"/>
        <v>0</v>
      </c>
      <c r="BM14" s="75">
        <f>IF('Prepare Gantt Chart'!$J13=0,0,SUM(AL14:AQ14)/6/'Prepare Gantt Chart'!$J13)</f>
        <v>0</v>
      </c>
      <c r="BN14" s="75">
        <f>IF('Prepare Gantt Chart'!$J13=0,0,SUM(AR14:AV14)/5/'Prepare Gantt Chart'!$J13)</f>
        <v>0</v>
      </c>
      <c r="BO14" s="75">
        <f>IF('Prepare Gantt Chart'!$J13=0,0,SUM(AW14:BA14)/5/'Prepare Gantt Chart'!$J13)</f>
        <v>0</v>
      </c>
      <c r="BP14" s="75">
        <f>IF('Prepare Gantt Chart'!$J13=0,0,SUM(BB14:BF14)/5/'Prepare Gantt Chart'!$J13)</f>
        <v>0</v>
      </c>
      <c r="BQ14" s="75">
        <f>IF('Prepare Gantt Chart'!$J13=0,0,SUM(BG14:BK14)/5/'Prepare Gantt Chart'!$J13)</f>
        <v>0</v>
      </c>
    </row>
    <row r="15" spans="1:69" x14ac:dyDescent="0.2">
      <c r="A15" s="18" t="s">
        <v>14</v>
      </c>
      <c r="B15" s="1" t="s">
        <v>117</v>
      </c>
      <c r="C15" s="45">
        <f>_xlfn.IFS('Prepare Gantt Chart'!P14=2,'Project types'!$O15*('Prepare Gantt Chart'!$I14*'Prepare Gantt Chart'!$J14),'Prepare Gantt Chart'!P14=1,'Project types'!$Q15*('Prepare Gantt Chart'!$I14*'Prepare Gantt Chart'!$J14),'Prepare Gantt Chart'!P14=0,0)</f>
        <v>0</v>
      </c>
      <c r="D15" s="45">
        <f>_xlfn.IFS('Prepare Gantt Chart'!Q14=2,'Project types'!$O15*('Prepare Gantt Chart'!$I14*'Prepare Gantt Chart'!$J14),'Prepare Gantt Chart'!Q14=1,'Project types'!$Q15*('Prepare Gantt Chart'!$I14*'Prepare Gantt Chart'!$J14),'Prepare Gantt Chart'!Q14=0,0)</f>
        <v>0</v>
      </c>
      <c r="E15" s="45">
        <f>_xlfn.IFS('Prepare Gantt Chart'!R14=2,'Project types'!$O15*('Prepare Gantt Chart'!$I14*'Prepare Gantt Chart'!$J14),'Prepare Gantt Chart'!R14=1,'Project types'!$Q15*('Prepare Gantt Chart'!$I14*'Prepare Gantt Chart'!$J14),'Prepare Gantt Chart'!R14=0,0)</f>
        <v>0</v>
      </c>
      <c r="F15" s="45">
        <f>_xlfn.IFS('Prepare Gantt Chart'!S14=2,'Project types'!$O15*('Prepare Gantt Chart'!$I14*'Prepare Gantt Chart'!$J14),'Prepare Gantt Chart'!S14=1,'Project types'!$Q15*('Prepare Gantt Chart'!$I14*'Prepare Gantt Chart'!$J14),'Prepare Gantt Chart'!S14=0,0)</f>
        <v>0</v>
      </c>
      <c r="G15" s="45">
        <f>_xlfn.IFS('Prepare Gantt Chart'!T14=2,'Project types'!$O15*('Prepare Gantt Chart'!$I14*'Prepare Gantt Chart'!$J14),'Prepare Gantt Chart'!T14=1,'Project types'!$Q15*('Prepare Gantt Chart'!$I14*'Prepare Gantt Chart'!$J14),'Prepare Gantt Chart'!T14=0,0)</f>
        <v>0</v>
      </c>
      <c r="H15" s="45">
        <f>_xlfn.IFS('Prepare Gantt Chart'!U14=2,'Project types'!$O15*('Prepare Gantt Chart'!$I14*'Prepare Gantt Chart'!$J14),'Prepare Gantt Chart'!U14=1,'Project types'!$Q15*('Prepare Gantt Chart'!$I14*'Prepare Gantt Chart'!$J14),'Prepare Gantt Chart'!U14=0,0)</f>
        <v>0</v>
      </c>
      <c r="I15" s="45">
        <f>_xlfn.IFS('Prepare Gantt Chart'!V14=2,'Project types'!$O15*('Prepare Gantt Chart'!$I14*'Prepare Gantt Chart'!$J14),'Prepare Gantt Chart'!V14=1,'Project types'!$Q15*('Prepare Gantt Chart'!$I14*'Prepare Gantt Chart'!$J14),'Prepare Gantt Chart'!V14=0,0)</f>
        <v>0</v>
      </c>
      <c r="J15" s="45">
        <f>_xlfn.IFS('Prepare Gantt Chart'!W14=2,'Project types'!$O15*('Prepare Gantt Chart'!$I14*'Prepare Gantt Chart'!$J14),'Prepare Gantt Chart'!W14=1,'Project types'!$Q15*('Prepare Gantt Chart'!$I14*'Prepare Gantt Chart'!$J14),'Prepare Gantt Chart'!W14=0,0)</f>
        <v>0</v>
      </c>
      <c r="K15" s="45">
        <f>_xlfn.IFS('Prepare Gantt Chart'!X14=2,'Project types'!$O15*('Prepare Gantt Chart'!$I14*'Prepare Gantt Chart'!$J14),'Prepare Gantt Chart'!X14=1,'Project types'!$Q15*('Prepare Gantt Chart'!$I14*'Prepare Gantt Chart'!$J14),'Prepare Gantt Chart'!X14=0,0)</f>
        <v>0</v>
      </c>
      <c r="L15" s="45">
        <f>_xlfn.IFS('Prepare Gantt Chart'!Y14=2,'Project types'!$O15*('Prepare Gantt Chart'!$I14*'Prepare Gantt Chart'!$J14),'Prepare Gantt Chart'!Y14=1,'Project types'!$Q15*('Prepare Gantt Chart'!$I14*'Prepare Gantt Chart'!$J14),'Prepare Gantt Chart'!Y14=0,0)</f>
        <v>0</v>
      </c>
      <c r="M15" s="45">
        <f>_xlfn.IFS('Prepare Gantt Chart'!Z14=2,'Project types'!$O15*('Prepare Gantt Chart'!$I14*'Prepare Gantt Chart'!$J14),'Prepare Gantt Chart'!Z14=1,'Project types'!$Q15*('Prepare Gantt Chart'!$I14*'Prepare Gantt Chart'!$J14),'Prepare Gantt Chart'!Z14=0,0)</f>
        <v>0</v>
      </c>
      <c r="N15" s="45">
        <f>_xlfn.IFS('Prepare Gantt Chart'!AA14=2,'Project types'!$O15*('Prepare Gantt Chart'!$I14*'Prepare Gantt Chart'!$J14),'Prepare Gantt Chart'!AA14=1,'Project types'!$Q15*('Prepare Gantt Chart'!$I14*'Prepare Gantt Chart'!$J14),'Prepare Gantt Chart'!AA14=0,0)</f>
        <v>0</v>
      </c>
      <c r="O15" s="45">
        <f>_xlfn.IFS('Prepare Gantt Chart'!AB14=2,'Project types'!$O15*('Prepare Gantt Chart'!$I14*'Prepare Gantt Chart'!$J14),'Prepare Gantt Chart'!AB14=1,'Project types'!$Q15*('Prepare Gantt Chart'!$I14*'Prepare Gantt Chart'!$J14),'Prepare Gantt Chart'!AB14=0,0)</f>
        <v>0</v>
      </c>
      <c r="P15" s="45">
        <f>_xlfn.IFS('Prepare Gantt Chart'!AC14=2,'Project types'!$O15*('Prepare Gantt Chart'!$I14*'Prepare Gantt Chart'!$J14),'Prepare Gantt Chart'!AC14=1,'Project types'!$Q15*('Prepare Gantt Chart'!$I14*'Prepare Gantt Chart'!$J14),'Prepare Gantt Chart'!AC14=0,0)</f>
        <v>0</v>
      </c>
      <c r="Q15" s="45">
        <f>_xlfn.IFS('Prepare Gantt Chart'!AD14=2,'Project types'!$O15*('Prepare Gantt Chart'!$I14*'Prepare Gantt Chart'!$J14),'Prepare Gantt Chart'!AD14=1,'Project types'!$Q15*('Prepare Gantt Chart'!$I14*'Prepare Gantt Chart'!$J14),'Prepare Gantt Chart'!AD14=0,0)</f>
        <v>0</v>
      </c>
      <c r="R15" s="45">
        <f>_xlfn.IFS('Prepare Gantt Chart'!AE14=2,'Project types'!$O15*('Prepare Gantt Chart'!$I14*'Prepare Gantt Chart'!$J14),'Prepare Gantt Chart'!AE14=1,'Project types'!$Q15*('Prepare Gantt Chart'!$I14*'Prepare Gantt Chart'!$J14),'Prepare Gantt Chart'!AE14=0,0)</f>
        <v>0</v>
      </c>
      <c r="S15" s="45">
        <f>_xlfn.IFS('Prepare Gantt Chart'!AF14=2,'Project types'!$O15*('Prepare Gantt Chart'!$I14*'Prepare Gantt Chart'!$J14),'Prepare Gantt Chart'!AF14=1,'Project types'!$Q15*('Prepare Gantt Chart'!$I14*'Prepare Gantt Chart'!$J14),'Prepare Gantt Chart'!AF14=0,0)</f>
        <v>0</v>
      </c>
      <c r="T15" s="45">
        <f>_xlfn.IFS('Prepare Gantt Chart'!AG14=2,'Project types'!$O15*('Prepare Gantt Chart'!$I14*'Prepare Gantt Chart'!$J14),'Prepare Gantt Chart'!AG14=1,'Project types'!$Q15*('Prepare Gantt Chart'!$I14*'Prepare Gantt Chart'!$J14),'Prepare Gantt Chart'!AG14=0,0)</f>
        <v>0</v>
      </c>
      <c r="U15" s="45">
        <f>_xlfn.IFS('Prepare Gantt Chart'!AH14=2,'Project types'!$O15*('Prepare Gantt Chart'!$I14*'Prepare Gantt Chart'!$J14),'Prepare Gantt Chart'!AH14=1,'Project types'!$Q15*('Prepare Gantt Chart'!$I14*'Prepare Gantt Chart'!$J14),'Prepare Gantt Chart'!AH14=0,0)</f>
        <v>0</v>
      </c>
      <c r="V15" s="45">
        <f>_xlfn.IFS('Prepare Gantt Chart'!AI14=2,'Project types'!$O15*('Prepare Gantt Chart'!$I14*'Prepare Gantt Chart'!$J14),'Prepare Gantt Chart'!AI14=1,'Project types'!$Q15*('Prepare Gantt Chart'!$I14*'Prepare Gantt Chart'!$J14),'Prepare Gantt Chart'!AI14=0,0)</f>
        <v>0</v>
      </c>
      <c r="W15" s="45">
        <f>_xlfn.IFS('Prepare Gantt Chart'!AJ14=2,'Project types'!$O15*('Prepare Gantt Chart'!$I14*'Prepare Gantt Chart'!$J14),'Prepare Gantt Chart'!AJ14=1,'Project types'!$Q15*('Prepare Gantt Chart'!$I14*'Prepare Gantt Chart'!$J14),'Prepare Gantt Chart'!AJ14=0,0)</f>
        <v>0</v>
      </c>
      <c r="X15" s="45">
        <f>_xlfn.IFS('Prepare Gantt Chart'!AK14=2,'Project types'!$O15*('Prepare Gantt Chart'!$I14*'Prepare Gantt Chart'!$J14),'Prepare Gantt Chart'!AK14=1,'Project types'!$Q15*('Prepare Gantt Chart'!$I14*'Prepare Gantt Chart'!$J14),'Prepare Gantt Chart'!AK14=0,0)</f>
        <v>0</v>
      </c>
      <c r="Y15" s="45">
        <f>_xlfn.IFS('Prepare Gantt Chart'!AL14=2,'Project types'!$O15*('Prepare Gantt Chart'!$I14*'Prepare Gantt Chart'!$J14),'Prepare Gantt Chart'!AL14=1,'Project types'!$Q15*('Prepare Gantt Chart'!$I14*'Prepare Gantt Chart'!$J14),'Prepare Gantt Chart'!AL14=0,0)</f>
        <v>0</v>
      </c>
      <c r="Z15" s="45">
        <f>_xlfn.IFS('Prepare Gantt Chart'!AM14=2,'Project types'!$O15*('Prepare Gantt Chart'!$I14*'Prepare Gantt Chart'!$J14),'Prepare Gantt Chart'!AM14=1,'Project types'!$Q15*('Prepare Gantt Chart'!$I14*'Prepare Gantt Chart'!$J14),'Prepare Gantt Chart'!AM14=0,0)</f>
        <v>0</v>
      </c>
      <c r="AA15" s="45">
        <f>_xlfn.IFS('Prepare Gantt Chart'!AN14=2,'Project types'!$O15*('Prepare Gantt Chart'!$I14*'Prepare Gantt Chart'!$J14),'Prepare Gantt Chart'!AN14=1,'Project types'!$Q15*('Prepare Gantt Chart'!$I14*'Prepare Gantt Chart'!$J14),'Prepare Gantt Chart'!AN14=0,0)</f>
        <v>0</v>
      </c>
      <c r="AB15" s="45">
        <f>_xlfn.IFS('Prepare Gantt Chart'!AO14=2,'Project types'!$O15*('Prepare Gantt Chart'!$I14*'Prepare Gantt Chart'!$J14),'Prepare Gantt Chart'!AO14=1,'Project types'!$Q15*('Prepare Gantt Chart'!$I14*'Prepare Gantt Chart'!$J14),'Prepare Gantt Chart'!AO14=0,0)</f>
        <v>0</v>
      </c>
      <c r="AC15" s="45">
        <f>'Prepare Gantt Chart'!J14*'Prepare Gantt Chart'!I14*(AD15/26)</f>
        <v>0</v>
      </c>
      <c r="AD15" s="46">
        <f t="shared" si="0"/>
        <v>0</v>
      </c>
      <c r="AE15" s="72">
        <f>IF('Prepare Gantt Chart'!$J14=0,0,SUM(C15:H15)/6/'Prepare Gantt Chart'!$J14)</f>
        <v>0</v>
      </c>
      <c r="AF15" s="72">
        <f>IF('Prepare Gantt Chart'!$J14=0,0,SUM(I15:M15)/5/'Prepare Gantt Chart'!$J14)</f>
        <v>0</v>
      </c>
      <c r="AG15" s="72">
        <f>IF('Prepare Gantt Chart'!$J14=0,0,SUM(N15:R15)/5/'Prepare Gantt Chart'!$J14)</f>
        <v>0</v>
      </c>
      <c r="AH15" s="72">
        <f>IF('Prepare Gantt Chart'!$J14=0,0,SUM(S15:W15)/5/'Prepare Gantt Chart'!$J14)</f>
        <v>0</v>
      </c>
      <c r="AI15" s="72">
        <f>IF('Prepare Gantt Chart'!$J14=0,0,SUM(X15:AB15)/5/'Prepare Gantt Chart'!$J14)</f>
        <v>0</v>
      </c>
      <c r="AK15" s="18" t="s">
        <v>14</v>
      </c>
      <c r="AL15" s="45">
        <f>_xlfn.IFS('Prepare Gantt Chart'!P14=2,'Project types'!$L15*('Prepare Gantt Chart'!$I14*'Prepare Gantt Chart'!$J14),'Prepare Gantt Chart'!P14=1,'Project types'!$L15*('Prepare Gantt Chart'!$I14*'Prepare Gantt Chart'!$J14),'Prepare Gantt Chart'!P14=0,0)</f>
        <v>0</v>
      </c>
      <c r="AM15" s="45">
        <f>_xlfn.IFS('Prepare Gantt Chart'!Q14=2,'Project types'!$L15*('Prepare Gantt Chart'!$I14*'Prepare Gantt Chart'!$J14),'Prepare Gantt Chart'!Q14=1,'Project types'!$L15*('Prepare Gantt Chart'!$I14*'Prepare Gantt Chart'!$J14),'Prepare Gantt Chart'!Q14=0,0)</f>
        <v>0</v>
      </c>
      <c r="AN15" s="45">
        <f>_xlfn.IFS('Prepare Gantt Chart'!R14=2,'Project types'!$L15*('Prepare Gantt Chart'!$I14*'Prepare Gantt Chart'!$J14),'Prepare Gantt Chart'!R14=1,'Project types'!$L15*('Prepare Gantt Chart'!$I14*'Prepare Gantt Chart'!$J14),'Prepare Gantt Chart'!R14=0,0)</f>
        <v>0</v>
      </c>
      <c r="AO15" s="45">
        <f>_xlfn.IFS('Prepare Gantt Chart'!S14=2,'Project types'!$L15*('Prepare Gantt Chart'!$I14*'Prepare Gantt Chart'!$J14),'Prepare Gantt Chart'!S14=1,'Project types'!$L15*('Prepare Gantt Chart'!$I14*'Prepare Gantt Chart'!$J14),'Prepare Gantt Chart'!S14=0,0)</f>
        <v>0</v>
      </c>
      <c r="AP15" s="45">
        <f>_xlfn.IFS('Prepare Gantt Chart'!T14=2,'Project types'!$L15*('Prepare Gantt Chart'!$I14*'Prepare Gantt Chart'!$J14),'Prepare Gantt Chart'!T14=1,'Project types'!$L15*('Prepare Gantt Chart'!$I14*'Prepare Gantt Chart'!$J14),'Prepare Gantt Chart'!T14=0,0)</f>
        <v>0</v>
      </c>
      <c r="AQ15" s="45">
        <f>_xlfn.IFS('Prepare Gantt Chart'!U14=2,'Project types'!$L15*('Prepare Gantt Chart'!$I14*'Prepare Gantt Chart'!$J14),'Prepare Gantt Chart'!U14=1,'Project types'!$L15*('Prepare Gantt Chart'!$I14*'Prepare Gantt Chart'!$J14),'Prepare Gantt Chart'!U14=0,0)</f>
        <v>0</v>
      </c>
      <c r="AR15" s="45">
        <f>_xlfn.IFS('Prepare Gantt Chart'!V14=2,'Project types'!$L15*('Prepare Gantt Chart'!$I14*'Prepare Gantt Chart'!$J14),'Prepare Gantt Chart'!V14=1,'Project types'!$L15*('Prepare Gantt Chart'!$I14*'Prepare Gantt Chart'!$J14),'Prepare Gantt Chart'!V14=0,0)</f>
        <v>0</v>
      </c>
      <c r="AS15" s="45">
        <f>_xlfn.IFS('Prepare Gantt Chart'!W14=2,'Project types'!$L15*('Prepare Gantt Chart'!$I14*'Prepare Gantt Chart'!$J14),'Prepare Gantt Chart'!W14=1,'Project types'!$L15*('Prepare Gantt Chart'!$I14*'Prepare Gantt Chart'!$J14),'Prepare Gantt Chart'!W14=0,0)</f>
        <v>0</v>
      </c>
      <c r="AT15" s="45">
        <f>_xlfn.IFS('Prepare Gantt Chart'!X14=2,'Project types'!$L15*('Prepare Gantt Chart'!$I14*'Prepare Gantt Chart'!$J14),'Prepare Gantt Chart'!X14=1,'Project types'!$L15*('Prepare Gantt Chart'!$I14*'Prepare Gantt Chart'!$J14),'Prepare Gantt Chart'!X14=0,0)</f>
        <v>0</v>
      </c>
      <c r="AU15" s="45">
        <f>_xlfn.IFS('Prepare Gantt Chart'!Y14=2,'Project types'!$L15*('Prepare Gantt Chart'!$I14*'Prepare Gantt Chart'!$J14),'Prepare Gantt Chart'!Y14=1,'Project types'!$L15*('Prepare Gantt Chart'!$I14*'Prepare Gantt Chart'!$J14),'Prepare Gantt Chart'!Y14=0,0)</f>
        <v>0</v>
      </c>
      <c r="AV15" s="45">
        <f>_xlfn.IFS('Prepare Gantt Chart'!Z14=2,'Project types'!$L15*('Prepare Gantt Chart'!$I14*'Prepare Gantt Chart'!$J14),'Prepare Gantt Chart'!Z14=1,'Project types'!$L15*('Prepare Gantt Chart'!$I14*'Prepare Gantt Chart'!$J14),'Prepare Gantt Chart'!Z14=0,0)</f>
        <v>0</v>
      </c>
      <c r="AW15" s="45">
        <f>_xlfn.IFS('Prepare Gantt Chart'!AA14=2,'Project types'!$L15*('Prepare Gantt Chart'!$I14*'Prepare Gantt Chart'!$J14),'Prepare Gantt Chart'!AA14=1,'Project types'!$L15*('Prepare Gantt Chart'!$I14*'Prepare Gantt Chart'!$J14),'Prepare Gantt Chart'!AA14=0,0)</f>
        <v>0</v>
      </c>
      <c r="AX15" s="45">
        <f>_xlfn.IFS('Prepare Gantt Chart'!AB14=2,'Project types'!$L15*('Prepare Gantt Chart'!$I14*'Prepare Gantt Chart'!$J14),'Prepare Gantt Chart'!AB14=1,'Project types'!$L15*('Prepare Gantt Chart'!$I14*'Prepare Gantt Chart'!$J14),'Prepare Gantt Chart'!AB14=0,0)</f>
        <v>0</v>
      </c>
      <c r="AY15" s="45">
        <f>_xlfn.IFS('Prepare Gantt Chart'!AC14=2,'Project types'!$L15*('Prepare Gantt Chart'!$I14*'Prepare Gantt Chart'!$J14),'Prepare Gantt Chart'!AC14=1,'Project types'!$L15*('Prepare Gantt Chart'!$I14*'Prepare Gantt Chart'!$J14),'Prepare Gantt Chart'!AC14=0,0)</f>
        <v>0</v>
      </c>
      <c r="AZ15" s="45">
        <f>_xlfn.IFS('Prepare Gantt Chart'!AD14=2,'Project types'!$L15*('Prepare Gantt Chart'!$I14*'Prepare Gantt Chart'!$J14),'Prepare Gantt Chart'!AD14=1,'Project types'!$L15*('Prepare Gantt Chart'!$I14*'Prepare Gantt Chart'!$J14),'Prepare Gantt Chart'!AD14=0,0)</f>
        <v>0</v>
      </c>
      <c r="BA15" s="45">
        <f>_xlfn.IFS('Prepare Gantt Chart'!AE14=2,'Project types'!$L15*('Prepare Gantt Chart'!$I14*'Prepare Gantt Chart'!$J14),'Prepare Gantt Chart'!AE14=1,'Project types'!$L15*('Prepare Gantt Chart'!$I14*'Prepare Gantt Chart'!$J14),'Prepare Gantt Chart'!AE14=0,0)</f>
        <v>0</v>
      </c>
      <c r="BB15" s="45">
        <f>_xlfn.IFS('Prepare Gantt Chart'!AF14=2,'Project types'!$L15*('Prepare Gantt Chart'!$I14*'Prepare Gantt Chart'!$J14),'Prepare Gantt Chart'!AF14=1,'Project types'!$L15*('Prepare Gantt Chart'!$I14*'Prepare Gantt Chart'!$J14),'Prepare Gantt Chart'!AF14=0,0)</f>
        <v>0</v>
      </c>
      <c r="BC15" s="45">
        <f>_xlfn.IFS('Prepare Gantt Chart'!AG14=2,'Project types'!$L15*('Prepare Gantt Chart'!$I14*'Prepare Gantt Chart'!$J14),'Prepare Gantt Chart'!AG14=1,'Project types'!$L15*('Prepare Gantt Chart'!$I14*'Prepare Gantt Chart'!$J14),'Prepare Gantt Chart'!AG14=0,0)</f>
        <v>0</v>
      </c>
      <c r="BD15" s="45">
        <f>_xlfn.IFS('Prepare Gantt Chart'!AH14=2,'Project types'!$L15*('Prepare Gantt Chart'!$I14*'Prepare Gantt Chart'!$J14),'Prepare Gantt Chart'!AH14=1,'Project types'!$L15*('Prepare Gantt Chart'!$I14*'Prepare Gantt Chart'!$J14),'Prepare Gantt Chart'!AH14=0,0)</f>
        <v>0</v>
      </c>
      <c r="BE15" s="45">
        <f>_xlfn.IFS('Prepare Gantt Chart'!AI14=2,'Project types'!$L15*('Prepare Gantt Chart'!$I14*'Prepare Gantt Chart'!$J14),'Prepare Gantt Chart'!AI14=1,'Project types'!$L15*('Prepare Gantt Chart'!$I14*'Prepare Gantt Chart'!$J14),'Prepare Gantt Chart'!AI14=0,0)</f>
        <v>0</v>
      </c>
      <c r="BF15" s="45">
        <f>_xlfn.IFS('Prepare Gantt Chart'!AJ14=2,'Project types'!$L15*('Prepare Gantt Chart'!$I14*'Prepare Gantt Chart'!$J14),'Prepare Gantt Chart'!AJ14=1,'Project types'!$L15*('Prepare Gantt Chart'!$I14*'Prepare Gantt Chart'!$J14),'Prepare Gantt Chart'!AJ14=0,0)</f>
        <v>0</v>
      </c>
      <c r="BG15" s="45">
        <f>_xlfn.IFS('Prepare Gantt Chart'!AK14=2,'Project types'!$L15*('Prepare Gantt Chart'!$I14*'Prepare Gantt Chart'!$J14),'Prepare Gantt Chart'!AK14=1,'Project types'!$L15*('Prepare Gantt Chart'!$I14*'Prepare Gantt Chart'!$J14),'Prepare Gantt Chart'!AK14=0,0)</f>
        <v>0</v>
      </c>
      <c r="BH15" s="45">
        <f>_xlfn.IFS('Prepare Gantt Chart'!AL14=2,'Project types'!$L15*('Prepare Gantt Chart'!$I14*'Prepare Gantt Chart'!$J14),'Prepare Gantt Chart'!AL14=1,'Project types'!$L15*('Prepare Gantt Chart'!$I14*'Prepare Gantt Chart'!$J14),'Prepare Gantt Chart'!AL14=0,0)</f>
        <v>0</v>
      </c>
      <c r="BI15" s="45">
        <f>_xlfn.IFS('Prepare Gantt Chart'!AM14=2,'Project types'!$L15*('Prepare Gantt Chart'!$I14*'Prepare Gantt Chart'!$J14),'Prepare Gantt Chart'!AM14=1,'Project types'!$L15*('Prepare Gantt Chart'!$I14*'Prepare Gantt Chart'!$J14),'Prepare Gantt Chart'!AM14=0,0)</f>
        <v>0</v>
      </c>
      <c r="BJ15" s="45">
        <f>_xlfn.IFS('Prepare Gantt Chart'!AN14=2,'Project types'!$L15*('Prepare Gantt Chart'!$I14*'Prepare Gantt Chart'!$J14),'Prepare Gantt Chart'!AN14=1,'Project types'!$L15*('Prepare Gantt Chart'!$I14*'Prepare Gantt Chart'!$J14),'Prepare Gantt Chart'!AN14=0,0)</f>
        <v>0</v>
      </c>
      <c r="BK15" s="45">
        <f>_xlfn.IFS('Prepare Gantt Chart'!AO14=2,'Project types'!$L15*('Prepare Gantt Chart'!$I14*'Prepare Gantt Chart'!$J14),'Prepare Gantt Chart'!AO14=1,'Project types'!$L15*('Prepare Gantt Chart'!$I14*'Prepare Gantt Chart'!$J14),'Prepare Gantt Chart'!AO14=0,0)</f>
        <v>0</v>
      </c>
      <c r="BL15" s="46">
        <f t="shared" si="1"/>
        <v>0</v>
      </c>
      <c r="BM15" s="75">
        <f>IF('Prepare Gantt Chart'!$J14=0,0,SUM(AL15:AQ15)/6/'Prepare Gantt Chart'!$J14)</f>
        <v>0</v>
      </c>
      <c r="BN15" s="75">
        <f>IF('Prepare Gantt Chart'!$J14=0,0,SUM(AR15:AV15)/5/'Prepare Gantt Chart'!$J14)</f>
        <v>0</v>
      </c>
      <c r="BO15" s="75">
        <f>IF('Prepare Gantt Chart'!$J14=0,0,SUM(AW15:BA15)/5/'Prepare Gantt Chart'!$J14)</f>
        <v>0</v>
      </c>
      <c r="BP15" s="75">
        <f>IF('Prepare Gantt Chart'!$J14=0,0,SUM(BB15:BF15)/5/'Prepare Gantt Chart'!$J14)</f>
        <v>0</v>
      </c>
      <c r="BQ15" s="75">
        <f>IF('Prepare Gantt Chart'!$J14=0,0,SUM(BG15:BK15)/5/'Prepare Gantt Chart'!$J14)</f>
        <v>0</v>
      </c>
    </row>
    <row r="16" spans="1:69" x14ac:dyDescent="0.2">
      <c r="A16" s="18" t="s">
        <v>15</v>
      </c>
      <c r="B16" s="1" t="s">
        <v>115</v>
      </c>
      <c r="C16" s="45">
        <f>_xlfn.IFS('Prepare Gantt Chart'!P15=2,'Project types'!$O16*('Prepare Gantt Chart'!$I15*'Prepare Gantt Chart'!$J15),'Prepare Gantt Chart'!P15=1,'Project types'!$Q16*('Prepare Gantt Chart'!$I15*'Prepare Gantt Chart'!$J15),'Prepare Gantt Chart'!P15=0,0)</f>
        <v>0</v>
      </c>
      <c r="D16" s="45">
        <f>_xlfn.IFS('Prepare Gantt Chart'!Q15=2,'Project types'!$O16*('Prepare Gantt Chart'!$I15*'Prepare Gantt Chart'!$J15),'Prepare Gantt Chart'!Q15=1,'Project types'!$Q16*('Prepare Gantt Chart'!$I15*'Prepare Gantt Chart'!$J15),'Prepare Gantt Chart'!Q15=0,0)</f>
        <v>0</v>
      </c>
      <c r="E16" s="45">
        <f>_xlfn.IFS('Prepare Gantt Chart'!R15=2,'Project types'!$O16*('Prepare Gantt Chart'!$I15*'Prepare Gantt Chart'!$J15),'Prepare Gantt Chart'!R15=1,'Project types'!$Q16*('Prepare Gantt Chart'!$I15*'Prepare Gantt Chart'!$J15),'Prepare Gantt Chart'!R15=0,0)</f>
        <v>0</v>
      </c>
      <c r="F16" s="45">
        <f>_xlfn.IFS('Prepare Gantt Chart'!S15=2,'Project types'!$O16*('Prepare Gantt Chart'!$I15*'Prepare Gantt Chart'!$J15),'Prepare Gantt Chart'!S15=1,'Project types'!$Q16*('Prepare Gantt Chart'!$I15*'Prepare Gantt Chart'!$J15),'Prepare Gantt Chart'!S15=0,0)</f>
        <v>0</v>
      </c>
      <c r="G16" s="45">
        <f>_xlfn.IFS('Prepare Gantt Chart'!T15=2,'Project types'!$O16*('Prepare Gantt Chart'!$I15*'Prepare Gantt Chart'!$J15),'Prepare Gantt Chart'!T15=1,'Project types'!$Q16*('Prepare Gantt Chart'!$I15*'Prepare Gantt Chart'!$J15),'Prepare Gantt Chart'!T15=0,0)</f>
        <v>0</v>
      </c>
      <c r="H16" s="45">
        <f>_xlfn.IFS('Prepare Gantt Chart'!U15=2,'Project types'!$O16*('Prepare Gantt Chart'!$I15*'Prepare Gantt Chart'!$J15),'Prepare Gantt Chart'!U15=1,'Project types'!$Q16*('Prepare Gantt Chart'!$I15*'Prepare Gantt Chart'!$J15),'Prepare Gantt Chart'!U15=0,0)</f>
        <v>0</v>
      </c>
      <c r="I16" s="45">
        <f>_xlfn.IFS('Prepare Gantt Chart'!V15=2,'Project types'!$O16*('Prepare Gantt Chart'!$I15*'Prepare Gantt Chart'!$J15),'Prepare Gantt Chart'!V15=1,'Project types'!$Q16*('Prepare Gantt Chart'!$I15*'Prepare Gantt Chart'!$J15),'Prepare Gantt Chart'!V15=0,0)</f>
        <v>0</v>
      </c>
      <c r="J16" s="45">
        <f>_xlfn.IFS('Prepare Gantt Chart'!W15=2,'Project types'!$O16*('Prepare Gantt Chart'!$I15*'Prepare Gantt Chart'!$J15),'Prepare Gantt Chart'!W15=1,'Project types'!$Q16*('Prepare Gantt Chart'!$I15*'Prepare Gantt Chart'!$J15),'Prepare Gantt Chart'!W15=0,0)</f>
        <v>0</v>
      </c>
      <c r="K16" s="45">
        <f>_xlfn.IFS('Prepare Gantt Chart'!X15=2,'Project types'!$O16*('Prepare Gantt Chart'!$I15*'Prepare Gantt Chart'!$J15),'Prepare Gantt Chart'!X15=1,'Project types'!$Q16*('Prepare Gantt Chart'!$I15*'Prepare Gantt Chart'!$J15),'Prepare Gantt Chart'!X15=0,0)</f>
        <v>0</v>
      </c>
      <c r="L16" s="45">
        <f>_xlfn.IFS('Prepare Gantt Chart'!Y15=2,'Project types'!$O16*('Prepare Gantt Chart'!$I15*'Prepare Gantt Chart'!$J15),'Prepare Gantt Chart'!Y15=1,'Project types'!$Q16*('Prepare Gantt Chart'!$I15*'Prepare Gantt Chart'!$J15),'Prepare Gantt Chart'!Y15=0,0)</f>
        <v>0</v>
      </c>
      <c r="M16" s="45">
        <f>_xlfn.IFS('Prepare Gantt Chart'!Z15=2,'Project types'!$O16*('Prepare Gantt Chart'!$I15*'Prepare Gantt Chart'!$J15),'Prepare Gantt Chart'!Z15=1,'Project types'!$Q16*('Prepare Gantt Chart'!$I15*'Prepare Gantt Chart'!$J15),'Prepare Gantt Chart'!Z15=0,0)</f>
        <v>0</v>
      </c>
      <c r="N16" s="45">
        <f>_xlfn.IFS('Prepare Gantt Chart'!AA15=2,'Project types'!$O16*('Prepare Gantt Chart'!$I15*'Prepare Gantt Chart'!$J15),'Prepare Gantt Chart'!AA15=1,'Project types'!$Q16*('Prepare Gantt Chart'!$I15*'Prepare Gantt Chart'!$J15),'Prepare Gantt Chart'!AA15=0,0)</f>
        <v>0</v>
      </c>
      <c r="O16" s="45">
        <f>_xlfn.IFS('Prepare Gantt Chart'!AB15=2,'Project types'!$O16*('Prepare Gantt Chart'!$I15*'Prepare Gantt Chart'!$J15),'Prepare Gantt Chart'!AB15=1,'Project types'!$Q16*('Prepare Gantt Chart'!$I15*'Prepare Gantt Chart'!$J15),'Prepare Gantt Chart'!AB15=0,0)</f>
        <v>0</v>
      </c>
      <c r="P16" s="45">
        <f>_xlfn.IFS('Prepare Gantt Chart'!AC15=2,'Project types'!$O16*('Prepare Gantt Chart'!$I15*'Prepare Gantt Chart'!$J15),'Prepare Gantt Chart'!AC15=1,'Project types'!$Q16*('Prepare Gantt Chart'!$I15*'Prepare Gantt Chart'!$J15),'Prepare Gantt Chart'!AC15=0,0)</f>
        <v>0</v>
      </c>
      <c r="Q16" s="45">
        <f>_xlfn.IFS('Prepare Gantt Chart'!AD15=2,'Project types'!$O16*('Prepare Gantt Chart'!$I15*'Prepare Gantt Chart'!$J15),'Prepare Gantt Chart'!AD15=1,'Project types'!$Q16*('Prepare Gantt Chart'!$I15*'Prepare Gantt Chart'!$J15),'Prepare Gantt Chart'!AD15=0,0)</f>
        <v>0</v>
      </c>
      <c r="R16" s="45">
        <f>_xlfn.IFS('Prepare Gantt Chart'!AE15=2,'Project types'!$O16*('Prepare Gantt Chart'!$I15*'Prepare Gantt Chart'!$J15),'Prepare Gantt Chart'!AE15=1,'Project types'!$Q16*('Prepare Gantt Chart'!$I15*'Prepare Gantt Chart'!$J15),'Prepare Gantt Chart'!AE15=0,0)</f>
        <v>0</v>
      </c>
      <c r="S16" s="45">
        <f>_xlfn.IFS('Prepare Gantt Chart'!AF15=2,'Project types'!$O16*('Prepare Gantt Chart'!$I15*'Prepare Gantt Chart'!$J15),'Prepare Gantt Chart'!AF15=1,'Project types'!$Q16*('Prepare Gantt Chart'!$I15*'Prepare Gantt Chart'!$J15),'Prepare Gantt Chart'!AF15=0,0)</f>
        <v>0</v>
      </c>
      <c r="T16" s="45">
        <f>_xlfn.IFS('Prepare Gantt Chart'!AG15=2,'Project types'!$O16*('Prepare Gantt Chart'!$I15*'Prepare Gantt Chart'!$J15),'Prepare Gantt Chart'!AG15=1,'Project types'!$Q16*('Prepare Gantt Chart'!$I15*'Prepare Gantt Chart'!$J15),'Prepare Gantt Chart'!AG15=0,0)</f>
        <v>0</v>
      </c>
      <c r="U16" s="45">
        <f>_xlfn.IFS('Prepare Gantt Chart'!AH15=2,'Project types'!$O16*('Prepare Gantt Chart'!$I15*'Prepare Gantt Chart'!$J15),'Prepare Gantt Chart'!AH15=1,'Project types'!$Q16*('Prepare Gantt Chart'!$I15*'Prepare Gantt Chart'!$J15),'Prepare Gantt Chart'!AH15=0,0)</f>
        <v>0</v>
      </c>
      <c r="V16" s="45">
        <f>_xlfn.IFS('Prepare Gantt Chart'!AI15=2,'Project types'!$O16*('Prepare Gantt Chart'!$I15*'Prepare Gantt Chart'!$J15),'Prepare Gantt Chart'!AI15=1,'Project types'!$Q16*('Prepare Gantt Chart'!$I15*'Prepare Gantt Chart'!$J15),'Prepare Gantt Chart'!AI15=0,0)</f>
        <v>0</v>
      </c>
      <c r="W16" s="45">
        <f>_xlfn.IFS('Prepare Gantt Chart'!AJ15=2,'Project types'!$O16*('Prepare Gantt Chart'!$I15*'Prepare Gantt Chart'!$J15),'Prepare Gantt Chart'!AJ15=1,'Project types'!$Q16*('Prepare Gantt Chart'!$I15*'Prepare Gantt Chart'!$J15),'Prepare Gantt Chart'!AJ15=0,0)</f>
        <v>0</v>
      </c>
      <c r="X16" s="45">
        <f>_xlfn.IFS('Prepare Gantt Chart'!AK15=2,'Project types'!$O16*('Prepare Gantt Chart'!$I15*'Prepare Gantt Chart'!$J15),'Prepare Gantt Chart'!AK15=1,'Project types'!$Q16*('Prepare Gantt Chart'!$I15*'Prepare Gantt Chart'!$J15),'Prepare Gantt Chart'!AK15=0,0)</f>
        <v>0</v>
      </c>
      <c r="Y16" s="45">
        <f>_xlfn.IFS('Prepare Gantt Chart'!AL15=2,'Project types'!$O16*('Prepare Gantt Chart'!$I15*'Prepare Gantt Chart'!$J15),'Prepare Gantt Chart'!AL15=1,'Project types'!$Q16*('Prepare Gantt Chart'!$I15*'Prepare Gantt Chart'!$J15),'Prepare Gantt Chart'!AL15=0,0)</f>
        <v>0</v>
      </c>
      <c r="Z16" s="45">
        <f>_xlfn.IFS('Prepare Gantt Chart'!AM15=2,'Project types'!$O16*('Prepare Gantt Chart'!$I15*'Prepare Gantt Chart'!$J15),'Prepare Gantt Chart'!AM15=1,'Project types'!$Q16*('Prepare Gantt Chart'!$I15*'Prepare Gantt Chart'!$J15),'Prepare Gantt Chart'!AM15=0,0)</f>
        <v>0</v>
      </c>
      <c r="AA16" s="45">
        <f>_xlfn.IFS('Prepare Gantt Chart'!AN15=2,'Project types'!$O16*('Prepare Gantt Chart'!$I15*'Prepare Gantt Chart'!$J15),'Prepare Gantt Chart'!AN15=1,'Project types'!$Q16*('Prepare Gantt Chart'!$I15*'Prepare Gantt Chart'!$J15),'Prepare Gantt Chart'!AN15=0,0)</f>
        <v>0</v>
      </c>
      <c r="AB16" s="45">
        <f>_xlfn.IFS('Prepare Gantt Chart'!AO15=2,'Project types'!$O16*('Prepare Gantt Chart'!$I15*'Prepare Gantt Chart'!$J15),'Prepare Gantt Chart'!AO15=1,'Project types'!$Q16*('Prepare Gantt Chart'!$I15*'Prepare Gantt Chart'!$J15),'Prepare Gantt Chart'!AO15=0,0)</f>
        <v>0</v>
      </c>
      <c r="AC16" s="45">
        <f>'Prepare Gantt Chart'!J15*'Prepare Gantt Chart'!I15*(AD16/26)</f>
        <v>0</v>
      </c>
      <c r="AD16" s="46">
        <f t="shared" si="0"/>
        <v>0</v>
      </c>
      <c r="AE16" s="72">
        <f>IF('Prepare Gantt Chart'!$J15=0,0,SUM(C16:H16)/6/'Prepare Gantt Chart'!$J15)</f>
        <v>0</v>
      </c>
      <c r="AF16" s="72">
        <f>IF('Prepare Gantt Chart'!$J15=0,0,SUM(I16:M16)/5/'Prepare Gantt Chart'!$J15)</f>
        <v>0</v>
      </c>
      <c r="AG16" s="72">
        <f>IF('Prepare Gantt Chart'!$J15=0,0,SUM(N16:R16)/5/'Prepare Gantt Chart'!$J15)</f>
        <v>0</v>
      </c>
      <c r="AH16" s="72">
        <f>IF('Prepare Gantt Chart'!$J15=0,0,SUM(S16:W16)/5/'Prepare Gantt Chart'!$J15)</f>
        <v>0</v>
      </c>
      <c r="AI16" s="72">
        <f>IF('Prepare Gantt Chart'!$J15=0,0,SUM(X16:AB16)/5/'Prepare Gantt Chart'!$J15)</f>
        <v>0</v>
      </c>
      <c r="AK16" s="18" t="s">
        <v>15</v>
      </c>
      <c r="AL16" s="45">
        <f>_xlfn.IFS('Prepare Gantt Chart'!P15=2,'Project types'!$L16*('Prepare Gantt Chart'!$I15*'Prepare Gantt Chart'!$J15),'Prepare Gantt Chart'!P15=1,'Project types'!$L16*('Prepare Gantt Chart'!$I15*'Prepare Gantt Chart'!$J15),'Prepare Gantt Chart'!P15=0,0)</f>
        <v>0</v>
      </c>
      <c r="AM16" s="45">
        <f>_xlfn.IFS('Prepare Gantt Chart'!Q15=2,'Project types'!$L16*('Prepare Gantt Chart'!$I15*'Prepare Gantt Chart'!$J15),'Prepare Gantt Chart'!Q15=1,'Project types'!$L16*('Prepare Gantt Chart'!$I15*'Prepare Gantt Chart'!$J15),'Prepare Gantt Chart'!Q15=0,0)</f>
        <v>0</v>
      </c>
      <c r="AN16" s="45">
        <f>_xlfn.IFS('Prepare Gantt Chart'!R15=2,'Project types'!$L16*('Prepare Gantt Chart'!$I15*'Prepare Gantt Chart'!$J15),'Prepare Gantt Chart'!R15=1,'Project types'!$L16*('Prepare Gantt Chart'!$I15*'Prepare Gantt Chart'!$J15),'Prepare Gantt Chart'!R15=0,0)</f>
        <v>0</v>
      </c>
      <c r="AO16" s="45">
        <f>_xlfn.IFS('Prepare Gantt Chart'!S15=2,'Project types'!$L16*('Prepare Gantt Chart'!$I15*'Prepare Gantt Chart'!$J15),'Prepare Gantt Chart'!S15=1,'Project types'!$L16*('Prepare Gantt Chart'!$I15*'Prepare Gantt Chart'!$J15),'Prepare Gantt Chart'!S15=0,0)</f>
        <v>0</v>
      </c>
      <c r="AP16" s="45">
        <f>_xlfn.IFS('Prepare Gantt Chart'!T15=2,'Project types'!$L16*('Prepare Gantt Chart'!$I15*'Prepare Gantt Chart'!$J15),'Prepare Gantt Chart'!T15=1,'Project types'!$L16*('Prepare Gantt Chart'!$I15*'Prepare Gantt Chart'!$J15),'Prepare Gantt Chart'!T15=0,0)</f>
        <v>0</v>
      </c>
      <c r="AQ16" s="45">
        <f>_xlfn.IFS('Prepare Gantt Chart'!U15=2,'Project types'!$L16*('Prepare Gantt Chart'!$I15*'Prepare Gantt Chart'!$J15),'Prepare Gantt Chart'!U15=1,'Project types'!$L16*('Prepare Gantt Chart'!$I15*'Prepare Gantt Chart'!$J15),'Prepare Gantt Chart'!U15=0,0)</f>
        <v>0</v>
      </c>
      <c r="AR16" s="45">
        <f>_xlfn.IFS('Prepare Gantt Chart'!V15=2,'Project types'!$L16*('Prepare Gantt Chart'!$I15*'Prepare Gantt Chart'!$J15),'Prepare Gantt Chart'!V15=1,'Project types'!$L16*('Prepare Gantt Chart'!$I15*'Prepare Gantt Chart'!$J15),'Prepare Gantt Chart'!V15=0,0)</f>
        <v>0</v>
      </c>
      <c r="AS16" s="45">
        <f>_xlfn.IFS('Prepare Gantt Chart'!W15=2,'Project types'!$L16*('Prepare Gantt Chart'!$I15*'Prepare Gantt Chart'!$J15),'Prepare Gantt Chart'!W15=1,'Project types'!$L16*('Prepare Gantt Chart'!$I15*'Prepare Gantt Chart'!$J15),'Prepare Gantt Chart'!W15=0,0)</f>
        <v>0</v>
      </c>
      <c r="AT16" s="45">
        <f>_xlfn.IFS('Prepare Gantt Chart'!X15=2,'Project types'!$L16*('Prepare Gantt Chart'!$I15*'Prepare Gantt Chart'!$J15),'Prepare Gantt Chart'!X15=1,'Project types'!$L16*('Prepare Gantt Chart'!$I15*'Prepare Gantt Chart'!$J15),'Prepare Gantt Chart'!X15=0,0)</f>
        <v>0</v>
      </c>
      <c r="AU16" s="45">
        <f>_xlfn.IFS('Prepare Gantt Chart'!Y15=2,'Project types'!$L16*('Prepare Gantt Chart'!$I15*'Prepare Gantt Chart'!$J15),'Prepare Gantt Chart'!Y15=1,'Project types'!$L16*('Prepare Gantt Chart'!$I15*'Prepare Gantt Chart'!$J15),'Prepare Gantt Chart'!Y15=0,0)</f>
        <v>0</v>
      </c>
      <c r="AV16" s="45">
        <f>_xlfn.IFS('Prepare Gantt Chart'!Z15=2,'Project types'!$L16*('Prepare Gantt Chart'!$I15*'Prepare Gantt Chart'!$J15),'Prepare Gantt Chart'!Z15=1,'Project types'!$L16*('Prepare Gantt Chart'!$I15*'Prepare Gantt Chart'!$J15),'Prepare Gantt Chart'!Z15=0,0)</f>
        <v>0</v>
      </c>
      <c r="AW16" s="45">
        <f>_xlfn.IFS('Prepare Gantt Chart'!AA15=2,'Project types'!$L16*('Prepare Gantt Chart'!$I15*'Prepare Gantt Chart'!$J15),'Prepare Gantt Chart'!AA15=1,'Project types'!$L16*('Prepare Gantt Chart'!$I15*'Prepare Gantt Chart'!$J15),'Prepare Gantt Chart'!AA15=0,0)</f>
        <v>0</v>
      </c>
      <c r="AX16" s="45">
        <f>_xlfn.IFS('Prepare Gantt Chart'!AB15=2,'Project types'!$L16*('Prepare Gantt Chart'!$I15*'Prepare Gantt Chart'!$J15),'Prepare Gantt Chart'!AB15=1,'Project types'!$L16*('Prepare Gantt Chart'!$I15*'Prepare Gantt Chart'!$J15),'Prepare Gantt Chart'!AB15=0,0)</f>
        <v>0</v>
      </c>
      <c r="AY16" s="45">
        <f>_xlfn.IFS('Prepare Gantt Chart'!AC15=2,'Project types'!$L16*('Prepare Gantt Chart'!$I15*'Prepare Gantt Chart'!$J15),'Prepare Gantt Chart'!AC15=1,'Project types'!$L16*('Prepare Gantt Chart'!$I15*'Prepare Gantt Chart'!$J15),'Prepare Gantt Chart'!AC15=0,0)</f>
        <v>0</v>
      </c>
      <c r="AZ16" s="45">
        <f>_xlfn.IFS('Prepare Gantt Chart'!AD15=2,'Project types'!$L16*('Prepare Gantt Chart'!$I15*'Prepare Gantt Chart'!$J15),'Prepare Gantt Chart'!AD15=1,'Project types'!$L16*('Prepare Gantt Chart'!$I15*'Prepare Gantt Chart'!$J15),'Prepare Gantt Chart'!AD15=0,0)</f>
        <v>0</v>
      </c>
      <c r="BA16" s="45">
        <f>_xlfn.IFS('Prepare Gantt Chart'!AE15=2,'Project types'!$L16*('Prepare Gantt Chart'!$I15*'Prepare Gantt Chart'!$J15),'Prepare Gantt Chart'!AE15=1,'Project types'!$L16*('Prepare Gantt Chart'!$I15*'Prepare Gantt Chart'!$J15),'Prepare Gantt Chart'!AE15=0,0)</f>
        <v>0</v>
      </c>
      <c r="BB16" s="45">
        <f>_xlfn.IFS('Prepare Gantt Chart'!AF15=2,'Project types'!$L16*('Prepare Gantt Chart'!$I15*'Prepare Gantt Chart'!$J15),'Prepare Gantt Chart'!AF15=1,'Project types'!$L16*('Prepare Gantt Chart'!$I15*'Prepare Gantt Chart'!$J15),'Prepare Gantt Chart'!AF15=0,0)</f>
        <v>0</v>
      </c>
      <c r="BC16" s="45">
        <f>_xlfn.IFS('Prepare Gantt Chart'!AG15=2,'Project types'!$L16*('Prepare Gantt Chart'!$I15*'Prepare Gantt Chart'!$J15),'Prepare Gantt Chart'!AG15=1,'Project types'!$L16*('Prepare Gantt Chart'!$I15*'Prepare Gantt Chart'!$J15),'Prepare Gantt Chart'!AG15=0,0)</f>
        <v>0</v>
      </c>
      <c r="BD16" s="45">
        <f>_xlfn.IFS('Prepare Gantt Chart'!AH15=2,'Project types'!$L16*('Prepare Gantt Chart'!$I15*'Prepare Gantt Chart'!$J15),'Prepare Gantt Chart'!AH15=1,'Project types'!$L16*('Prepare Gantt Chart'!$I15*'Prepare Gantt Chart'!$J15),'Prepare Gantt Chart'!AH15=0,0)</f>
        <v>0</v>
      </c>
      <c r="BE16" s="45">
        <f>_xlfn.IFS('Prepare Gantt Chart'!AI15=2,'Project types'!$L16*('Prepare Gantt Chart'!$I15*'Prepare Gantt Chart'!$J15),'Prepare Gantt Chart'!AI15=1,'Project types'!$L16*('Prepare Gantt Chart'!$I15*'Prepare Gantt Chart'!$J15),'Prepare Gantt Chart'!AI15=0,0)</f>
        <v>0</v>
      </c>
      <c r="BF16" s="45">
        <f>_xlfn.IFS('Prepare Gantt Chart'!AJ15=2,'Project types'!$L16*('Prepare Gantt Chart'!$I15*'Prepare Gantt Chart'!$J15),'Prepare Gantt Chart'!AJ15=1,'Project types'!$L16*('Prepare Gantt Chart'!$I15*'Prepare Gantt Chart'!$J15),'Prepare Gantt Chart'!AJ15=0,0)</f>
        <v>0</v>
      </c>
      <c r="BG16" s="45">
        <f>_xlfn.IFS('Prepare Gantt Chart'!AK15=2,'Project types'!$L16*('Prepare Gantt Chart'!$I15*'Prepare Gantt Chart'!$J15),'Prepare Gantt Chart'!AK15=1,'Project types'!$L16*('Prepare Gantt Chart'!$I15*'Prepare Gantt Chart'!$J15),'Prepare Gantt Chart'!AK15=0,0)</f>
        <v>0</v>
      </c>
      <c r="BH16" s="45">
        <f>_xlfn.IFS('Prepare Gantt Chart'!AL15=2,'Project types'!$L16*('Prepare Gantt Chart'!$I15*'Prepare Gantt Chart'!$J15),'Prepare Gantt Chart'!AL15=1,'Project types'!$L16*('Prepare Gantt Chart'!$I15*'Prepare Gantt Chart'!$J15),'Prepare Gantt Chart'!AL15=0,0)</f>
        <v>0</v>
      </c>
      <c r="BI16" s="45">
        <f>_xlfn.IFS('Prepare Gantt Chart'!AM15=2,'Project types'!$L16*('Prepare Gantt Chart'!$I15*'Prepare Gantt Chart'!$J15),'Prepare Gantt Chart'!AM15=1,'Project types'!$L16*('Prepare Gantt Chart'!$I15*'Prepare Gantt Chart'!$J15),'Prepare Gantt Chart'!AM15=0,0)</f>
        <v>0</v>
      </c>
      <c r="BJ16" s="45">
        <f>_xlfn.IFS('Prepare Gantt Chart'!AN15=2,'Project types'!$L16*('Prepare Gantt Chart'!$I15*'Prepare Gantt Chart'!$J15),'Prepare Gantt Chart'!AN15=1,'Project types'!$L16*('Prepare Gantt Chart'!$I15*'Prepare Gantt Chart'!$J15),'Prepare Gantt Chart'!AN15=0,0)</f>
        <v>0</v>
      </c>
      <c r="BK16" s="45">
        <f>_xlfn.IFS('Prepare Gantt Chart'!AO15=2,'Project types'!$L16*('Prepare Gantt Chart'!$I15*'Prepare Gantt Chart'!$J15),'Prepare Gantt Chart'!AO15=1,'Project types'!$L16*('Prepare Gantt Chart'!$I15*'Prepare Gantt Chart'!$J15),'Prepare Gantt Chart'!AO15=0,0)</f>
        <v>0</v>
      </c>
      <c r="BL16" s="46">
        <f t="shared" si="1"/>
        <v>0</v>
      </c>
      <c r="BM16" s="75">
        <f>IF('Prepare Gantt Chart'!$J15=0,0,SUM(AL16:AQ16)/6/'Prepare Gantt Chart'!$J15)</f>
        <v>0</v>
      </c>
      <c r="BN16" s="75">
        <f>IF('Prepare Gantt Chart'!$J15=0,0,SUM(AR16:AV16)/5/'Prepare Gantt Chart'!$J15)</f>
        <v>0</v>
      </c>
      <c r="BO16" s="75">
        <f>IF('Prepare Gantt Chart'!$J15=0,0,SUM(AW16:BA16)/5/'Prepare Gantt Chart'!$J15)</f>
        <v>0</v>
      </c>
      <c r="BP16" s="75">
        <f>IF('Prepare Gantt Chart'!$J15=0,0,SUM(BB16:BF16)/5/'Prepare Gantt Chart'!$J15)</f>
        <v>0</v>
      </c>
      <c r="BQ16" s="75">
        <f>IF('Prepare Gantt Chart'!$J15=0,0,SUM(BG16:BK16)/5/'Prepare Gantt Chart'!$J15)</f>
        <v>0</v>
      </c>
    </row>
    <row r="17" spans="1:69" ht="16" thickBot="1" x14ac:dyDescent="0.25">
      <c r="A17" s="19" t="s">
        <v>16</v>
      </c>
      <c r="B17" s="8" t="s">
        <v>118</v>
      </c>
      <c r="C17" s="50">
        <f>_xlfn.IFS('Prepare Gantt Chart'!P16=2,'Project types'!$O17*('Prepare Gantt Chart'!$I16*'Prepare Gantt Chart'!$J16),'Prepare Gantt Chart'!P16=1,'Project types'!$Q17*('Prepare Gantt Chart'!$I16*'Prepare Gantt Chart'!$J16),'Prepare Gantt Chart'!P16=0,0)</f>
        <v>0</v>
      </c>
      <c r="D17" s="50">
        <f>_xlfn.IFS('Prepare Gantt Chart'!Q16=2,'Project types'!$O17*('Prepare Gantt Chart'!$I16*'Prepare Gantt Chart'!$J16),'Prepare Gantt Chart'!Q16=1,'Project types'!$Q17*('Prepare Gantt Chart'!$I16*'Prepare Gantt Chart'!$J16),'Prepare Gantt Chart'!Q16=0,0)</f>
        <v>0</v>
      </c>
      <c r="E17" s="50">
        <f>_xlfn.IFS('Prepare Gantt Chart'!R16=2,'Project types'!$O17*('Prepare Gantt Chart'!$I16*'Prepare Gantt Chart'!$J16),'Prepare Gantt Chart'!R16=1,'Project types'!$Q17*('Prepare Gantt Chart'!$I16*'Prepare Gantt Chart'!$J16),'Prepare Gantt Chart'!R16=0,0)</f>
        <v>0</v>
      </c>
      <c r="F17" s="50">
        <f>_xlfn.IFS('Prepare Gantt Chart'!S16=2,'Project types'!$O17*('Prepare Gantt Chart'!$I16*'Prepare Gantt Chart'!$J16),'Prepare Gantt Chart'!S16=1,'Project types'!$Q17*('Prepare Gantt Chart'!$I16*'Prepare Gantt Chart'!$J16),'Prepare Gantt Chart'!S16=0,0)</f>
        <v>0</v>
      </c>
      <c r="G17" s="50">
        <f>_xlfn.IFS('Prepare Gantt Chart'!T16=2,'Project types'!$O17*('Prepare Gantt Chart'!$I16*'Prepare Gantt Chart'!$J16),'Prepare Gantt Chart'!T16=1,'Project types'!$Q17*('Prepare Gantt Chart'!$I16*'Prepare Gantt Chart'!$J16),'Prepare Gantt Chart'!T16=0,0)</f>
        <v>0</v>
      </c>
      <c r="H17" s="50">
        <f>_xlfn.IFS('Prepare Gantt Chart'!U16=2,'Project types'!$O17*('Prepare Gantt Chart'!$I16*'Prepare Gantt Chart'!$J16),'Prepare Gantt Chart'!U16=1,'Project types'!$Q17*('Prepare Gantt Chart'!$I16*'Prepare Gantt Chart'!$J16),'Prepare Gantt Chart'!U16=0,0)</f>
        <v>0</v>
      </c>
      <c r="I17" s="50">
        <f>_xlfn.IFS('Prepare Gantt Chart'!V16=2,'Project types'!$O17*('Prepare Gantt Chart'!$I16*'Prepare Gantt Chart'!$J16),'Prepare Gantt Chart'!V16=1,'Project types'!$Q17*('Prepare Gantt Chart'!$I16*'Prepare Gantt Chart'!$J16),'Prepare Gantt Chart'!V16=0,0)</f>
        <v>0</v>
      </c>
      <c r="J17" s="50">
        <f>_xlfn.IFS('Prepare Gantt Chart'!W16=2,'Project types'!$O17*('Prepare Gantt Chart'!$I16*'Prepare Gantt Chart'!$J16),'Prepare Gantt Chart'!W16=1,'Project types'!$Q17*('Prepare Gantt Chart'!$I16*'Prepare Gantt Chart'!$J16),'Prepare Gantt Chart'!W16=0,0)</f>
        <v>0</v>
      </c>
      <c r="K17" s="50">
        <f>_xlfn.IFS('Prepare Gantt Chart'!X16=2,'Project types'!$O17*('Prepare Gantt Chart'!$I16*'Prepare Gantt Chart'!$J16),'Prepare Gantt Chart'!X16=1,'Project types'!$Q17*('Prepare Gantt Chart'!$I16*'Prepare Gantt Chart'!$J16),'Prepare Gantt Chart'!X16=0,0)</f>
        <v>0</v>
      </c>
      <c r="L17" s="50">
        <f>_xlfn.IFS('Prepare Gantt Chart'!Y16=2,'Project types'!$O17*('Prepare Gantt Chart'!$I16*'Prepare Gantt Chart'!$J16),'Prepare Gantt Chart'!Y16=1,'Project types'!$Q17*('Prepare Gantt Chart'!$I16*'Prepare Gantt Chart'!$J16),'Prepare Gantt Chart'!Y16=0,0)</f>
        <v>0</v>
      </c>
      <c r="M17" s="50">
        <f>_xlfn.IFS('Prepare Gantt Chart'!Z16=2,'Project types'!$O17*('Prepare Gantt Chart'!$I16*'Prepare Gantt Chart'!$J16),'Prepare Gantt Chart'!Z16=1,'Project types'!$Q17*('Prepare Gantt Chart'!$I16*'Prepare Gantt Chart'!$J16),'Prepare Gantt Chart'!Z16=0,0)</f>
        <v>0</v>
      </c>
      <c r="N17" s="50">
        <f>_xlfn.IFS('Prepare Gantt Chart'!AA16=2,'Project types'!$O17*('Prepare Gantt Chart'!$I16*'Prepare Gantt Chart'!$J16),'Prepare Gantt Chart'!AA16=1,'Project types'!$Q17*('Prepare Gantt Chart'!$I16*'Prepare Gantt Chart'!$J16),'Prepare Gantt Chart'!AA16=0,0)</f>
        <v>0</v>
      </c>
      <c r="O17" s="50">
        <f>_xlfn.IFS('Prepare Gantt Chart'!AB16=2,'Project types'!$O17*('Prepare Gantt Chart'!$I16*'Prepare Gantt Chart'!$J16),'Prepare Gantt Chart'!AB16=1,'Project types'!$Q17*('Prepare Gantt Chart'!$I16*'Prepare Gantt Chart'!$J16),'Prepare Gantt Chart'!AB16=0,0)</f>
        <v>0</v>
      </c>
      <c r="P17" s="50">
        <f>_xlfn.IFS('Prepare Gantt Chart'!AC16=2,'Project types'!$O17*('Prepare Gantt Chart'!$I16*'Prepare Gantt Chart'!$J16),'Prepare Gantt Chart'!AC16=1,'Project types'!$Q17*('Prepare Gantt Chart'!$I16*'Prepare Gantt Chart'!$J16),'Prepare Gantt Chart'!AC16=0,0)</f>
        <v>0</v>
      </c>
      <c r="Q17" s="50">
        <f>_xlfn.IFS('Prepare Gantt Chart'!AD16=2,'Project types'!$O17*('Prepare Gantt Chart'!$I16*'Prepare Gantt Chart'!$J16),'Prepare Gantt Chart'!AD16=1,'Project types'!$Q17*('Prepare Gantt Chart'!$I16*'Prepare Gantt Chart'!$J16),'Prepare Gantt Chart'!AD16=0,0)</f>
        <v>0</v>
      </c>
      <c r="R17" s="50">
        <f>_xlfn.IFS('Prepare Gantt Chart'!AE16=2,'Project types'!$O17*('Prepare Gantt Chart'!$I16*'Prepare Gantt Chart'!$J16),'Prepare Gantt Chart'!AE16=1,'Project types'!$Q17*('Prepare Gantt Chart'!$I16*'Prepare Gantt Chart'!$J16),'Prepare Gantt Chart'!AE16=0,0)</f>
        <v>0</v>
      </c>
      <c r="S17" s="50">
        <f>_xlfn.IFS('Prepare Gantt Chart'!AF16=2,'Project types'!$O17*('Prepare Gantt Chart'!$I16*'Prepare Gantt Chart'!$J16),'Prepare Gantt Chart'!AF16=1,'Project types'!$Q17*('Prepare Gantt Chart'!$I16*'Prepare Gantt Chart'!$J16),'Prepare Gantt Chart'!AF16=0,0)</f>
        <v>0</v>
      </c>
      <c r="T17" s="50">
        <f>_xlfn.IFS('Prepare Gantt Chart'!AG16=2,'Project types'!$O17*('Prepare Gantt Chart'!$I16*'Prepare Gantt Chart'!$J16),'Prepare Gantt Chart'!AG16=1,'Project types'!$Q17*('Prepare Gantt Chart'!$I16*'Prepare Gantt Chart'!$J16),'Prepare Gantt Chart'!AG16=0,0)</f>
        <v>0</v>
      </c>
      <c r="U17" s="50">
        <f>_xlfn.IFS('Prepare Gantt Chart'!AH16=2,'Project types'!$O17*('Prepare Gantt Chart'!$I16*'Prepare Gantt Chart'!$J16),'Prepare Gantt Chart'!AH16=1,'Project types'!$Q17*('Prepare Gantt Chart'!$I16*'Prepare Gantt Chart'!$J16),'Prepare Gantt Chart'!AH16=0,0)</f>
        <v>0</v>
      </c>
      <c r="V17" s="50">
        <f>_xlfn.IFS('Prepare Gantt Chart'!AI16=2,'Project types'!$O17*('Prepare Gantt Chart'!$I16*'Prepare Gantt Chart'!$J16),'Prepare Gantt Chart'!AI16=1,'Project types'!$Q17*('Prepare Gantt Chart'!$I16*'Prepare Gantt Chart'!$J16),'Prepare Gantt Chart'!AI16=0,0)</f>
        <v>0</v>
      </c>
      <c r="W17" s="50">
        <f>_xlfn.IFS('Prepare Gantt Chart'!AJ16=2,'Project types'!$O17*('Prepare Gantt Chart'!$I16*'Prepare Gantt Chart'!$J16),'Prepare Gantt Chart'!AJ16=1,'Project types'!$Q17*('Prepare Gantt Chart'!$I16*'Prepare Gantt Chart'!$J16),'Prepare Gantt Chart'!AJ16=0,0)</f>
        <v>0</v>
      </c>
      <c r="X17" s="50">
        <f>_xlfn.IFS('Prepare Gantt Chart'!AK16=2,'Project types'!$O17*('Prepare Gantt Chart'!$I16*'Prepare Gantt Chart'!$J16),'Prepare Gantt Chart'!AK16=1,'Project types'!$Q17*('Prepare Gantt Chart'!$I16*'Prepare Gantt Chart'!$J16),'Prepare Gantt Chart'!AK16=0,0)</f>
        <v>0</v>
      </c>
      <c r="Y17" s="50">
        <f>_xlfn.IFS('Prepare Gantt Chart'!AL16=2,'Project types'!$O17*('Prepare Gantt Chart'!$I16*'Prepare Gantt Chart'!$J16),'Prepare Gantt Chart'!AL16=1,'Project types'!$Q17*('Prepare Gantt Chart'!$I16*'Prepare Gantt Chart'!$J16),'Prepare Gantt Chart'!AL16=0,0)</f>
        <v>0</v>
      </c>
      <c r="Z17" s="50">
        <f>_xlfn.IFS('Prepare Gantt Chart'!AM16=2,'Project types'!$O17*('Prepare Gantt Chart'!$I16*'Prepare Gantt Chart'!$J16),'Prepare Gantt Chart'!AM16=1,'Project types'!$Q17*('Prepare Gantt Chart'!$I16*'Prepare Gantt Chart'!$J16),'Prepare Gantt Chart'!AM16=0,0)</f>
        <v>0</v>
      </c>
      <c r="AA17" s="50">
        <f>_xlfn.IFS('Prepare Gantt Chart'!AN16=2,'Project types'!$O17*('Prepare Gantt Chart'!$I16*'Prepare Gantt Chart'!$J16),'Prepare Gantt Chart'!AN16=1,'Project types'!$Q17*('Prepare Gantt Chart'!$I16*'Prepare Gantt Chart'!$J16),'Prepare Gantt Chart'!AN16=0,0)</f>
        <v>0</v>
      </c>
      <c r="AB17" s="50">
        <f>_xlfn.IFS('Prepare Gantt Chart'!AO16=2,'Project types'!$O17*('Prepare Gantt Chart'!$I16*'Prepare Gantt Chart'!$J16),'Prepare Gantt Chart'!AO16=1,'Project types'!$Q17*('Prepare Gantt Chart'!$I16*'Prepare Gantt Chart'!$J16),'Prepare Gantt Chart'!AO16=0,0)</f>
        <v>0</v>
      </c>
      <c r="AC17" s="50">
        <f>'Prepare Gantt Chart'!J16*'Prepare Gantt Chart'!I16*(AD17/26)</f>
        <v>0</v>
      </c>
      <c r="AD17" s="51">
        <f t="shared" si="0"/>
        <v>0</v>
      </c>
      <c r="AE17" s="73">
        <f>IF('Prepare Gantt Chart'!$J16=0,0,SUM(C17:H17)/6/'Prepare Gantt Chart'!$J16)</f>
        <v>0</v>
      </c>
      <c r="AF17" s="73">
        <f>IF('Prepare Gantt Chart'!$J16=0,0,SUM(I17:M17)/5/'Prepare Gantt Chart'!$J16)</f>
        <v>0</v>
      </c>
      <c r="AG17" s="73">
        <f>IF('Prepare Gantt Chart'!$J16=0,0,SUM(N17:R17)/5/'Prepare Gantt Chart'!$J16)</f>
        <v>0</v>
      </c>
      <c r="AH17" s="73">
        <f>IF('Prepare Gantt Chart'!$J16=0,0,SUM(S17:W17)/5/'Prepare Gantt Chart'!$J16)</f>
        <v>0</v>
      </c>
      <c r="AI17" s="73">
        <f>IF('Prepare Gantt Chart'!$J16=0,0,SUM(X17:AB17)/5/'Prepare Gantt Chart'!$J16)</f>
        <v>0</v>
      </c>
      <c r="AK17" s="19" t="s">
        <v>16</v>
      </c>
      <c r="AL17" s="50">
        <f>_xlfn.IFS('Prepare Gantt Chart'!P16=2,'Project types'!$L17*('Prepare Gantt Chart'!$I16*'Prepare Gantt Chart'!$J16),'Prepare Gantt Chart'!P16=1,'Project types'!$L17*('Prepare Gantt Chart'!$I16*'Prepare Gantt Chart'!$J16),'Prepare Gantt Chart'!P16=0,0)</f>
        <v>0</v>
      </c>
      <c r="AM17" s="50">
        <f>_xlfn.IFS('Prepare Gantt Chart'!Q16=2,'Project types'!$L17*('Prepare Gantt Chart'!$I16*'Prepare Gantt Chart'!$J16),'Prepare Gantt Chart'!Q16=1,'Project types'!$L17*('Prepare Gantt Chart'!$I16*'Prepare Gantt Chart'!$J16),'Prepare Gantt Chart'!Q16=0,0)</f>
        <v>0</v>
      </c>
      <c r="AN17" s="50">
        <f>_xlfn.IFS('Prepare Gantt Chart'!R16=2,'Project types'!$L17*('Prepare Gantt Chart'!$I16*'Prepare Gantt Chart'!$J16),'Prepare Gantt Chart'!R16=1,'Project types'!$L17*('Prepare Gantt Chart'!$I16*'Prepare Gantt Chart'!$J16),'Prepare Gantt Chart'!R16=0,0)</f>
        <v>0</v>
      </c>
      <c r="AO17" s="50">
        <f>_xlfn.IFS('Prepare Gantt Chart'!S16=2,'Project types'!$L17*('Prepare Gantt Chart'!$I16*'Prepare Gantt Chart'!$J16),'Prepare Gantt Chart'!S16=1,'Project types'!$L17*('Prepare Gantt Chart'!$I16*'Prepare Gantt Chart'!$J16),'Prepare Gantt Chart'!S16=0,0)</f>
        <v>0</v>
      </c>
      <c r="AP17" s="50">
        <f>_xlfn.IFS('Prepare Gantt Chart'!T16=2,'Project types'!$L17*('Prepare Gantt Chart'!$I16*'Prepare Gantt Chart'!$J16),'Prepare Gantt Chart'!T16=1,'Project types'!$L17*('Prepare Gantt Chart'!$I16*'Prepare Gantt Chart'!$J16),'Prepare Gantt Chart'!T16=0,0)</f>
        <v>0</v>
      </c>
      <c r="AQ17" s="50">
        <f>_xlfn.IFS('Prepare Gantt Chart'!U16=2,'Project types'!$L17*('Prepare Gantt Chart'!$I16*'Prepare Gantt Chart'!$J16),'Prepare Gantt Chart'!U16=1,'Project types'!$L17*('Prepare Gantt Chart'!$I16*'Prepare Gantt Chart'!$J16),'Prepare Gantt Chart'!U16=0,0)</f>
        <v>0</v>
      </c>
      <c r="AR17" s="50">
        <f>_xlfn.IFS('Prepare Gantt Chart'!V16=2,'Project types'!$L17*('Prepare Gantt Chart'!$I16*'Prepare Gantt Chart'!$J16),'Prepare Gantt Chart'!V16=1,'Project types'!$L17*('Prepare Gantt Chart'!$I16*'Prepare Gantt Chart'!$J16),'Prepare Gantt Chart'!V16=0,0)</f>
        <v>0</v>
      </c>
      <c r="AS17" s="50">
        <f>_xlfn.IFS('Prepare Gantt Chart'!W16=2,'Project types'!$L17*('Prepare Gantt Chart'!$I16*'Prepare Gantt Chart'!$J16),'Prepare Gantt Chart'!W16=1,'Project types'!$L17*('Prepare Gantt Chart'!$I16*'Prepare Gantt Chart'!$J16),'Prepare Gantt Chart'!W16=0,0)</f>
        <v>0</v>
      </c>
      <c r="AT17" s="50">
        <f>_xlfn.IFS('Prepare Gantt Chart'!X16=2,'Project types'!$L17*('Prepare Gantt Chart'!$I16*'Prepare Gantt Chart'!$J16),'Prepare Gantt Chart'!X16=1,'Project types'!$L17*('Prepare Gantt Chart'!$I16*'Prepare Gantt Chart'!$J16),'Prepare Gantt Chart'!X16=0,0)</f>
        <v>0</v>
      </c>
      <c r="AU17" s="50">
        <f>_xlfn.IFS('Prepare Gantt Chart'!Y16=2,'Project types'!$L17*('Prepare Gantt Chart'!$I16*'Prepare Gantt Chart'!$J16),'Prepare Gantt Chart'!Y16=1,'Project types'!$L17*('Prepare Gantt Chart'!$I16*'Prepare Gantt Chart'!$J16),'Prepare Gantt Chart'!Y16=0,0)</f>
        <v>0</v>
      </c>
      <c r="AV17" s="50">
        <f>_xlfn.IFS('Prepare Gantt Chart'!Z16=2,'Project types'!$L17*('Prepare Gantt Chart'!$I16*'Prepare Gantt Chart'!$J16),'Prepare Gantt Chart'!Z16=1,'Project types'!$L17*('Prepare Gantt Chart'!$I16*'Prepare Gantt Chart'!$J16),'Prepare Gantt Chart'!Z16=0,0)</f>
        <v>0</v>
      </c>
      <c r="AW17" s="50">
        <f>_xlfn.IFS('Prepare Gantt Chart'!AA16=2,'Project types'!$L17*('Prepare Gantt Chart'!$I16*'Prepare Gantt Chart'!$J16),'Prepare Gantt Chart'!AA16=1,'Project types'!$L17*('Prepare Gantt Chart'!$I16*'Prepare Gantt Chart'!$J16),'Prepare Gantt Chart'!AA16=0,0)</f>
        <v>0</v>
      </c>
      <c r="AX17" s="50">
        <f>_xlfn.IFS('Prepare Gantt Chart'!AB16=2,'Project types'!$L17*('Prepare Gantt Chart'!$I16*'Prepare Gantt Chart'!$J16),'Prepare Gantt Chart'!AB16=1,'Project types'!$L17*('Prepare Gantt Chart'!$I16*'Prepare Gantt Chart'!$J16),'Prepare Gantt Chart'!AB16=0,0)</f>
        <v>0</v>
      </c>
      <c r="AY17" s="50">
        <f>_xlfn.IFS('Prepare Gantt Chart'!AC16=2,'Project types'!$L17*('Prepare Gantt Chart'!$I16*'Prepare Gantt Chart'!$J16),'Prepare Gantt Chart'!AC16=1,'Project types'!$L17*('Prepare Gantt Chart'!$I16*'Prepare Gantt Chart'!$J16),'Prepare Gantt Chart'!AC16=0,0)</f>
        <v>0</v>
      </c>
      <c r="AZ17" s="50">
        <f>_xlfn.IFS('Prepare Gantt Chart'!AD16=2,'Project types'!$L17*('Prepare Gantt Chart'!$I16*'Prepare Gantt Chart'!$J16),'Prepare Gantt Chart'!AD16=1,'Project types'!$L17*('Prepare Gantt Chart'!$I16*'Prepare Gantt Chart'!$J16),'Prepare Gantt Chart'!AD16=0,0)</f>
        <v>0</v>
      </c>
      <c r="BA17" s="50">
        <f>_xlfn.IFS('Prepare Gantt Chart'!AE16=2,'Project types'!$L17*('Prepare Gantt Chart'!$I16*'Prepare Gantt Chart'!$J16),'Prepare Gantt Chart'!AE16=1,'Project types'!$L17*('Prepare Gantt Chart'!$I16*'Prepare Gantt Chart'!$J16),'Prepare Gantt Chart'!AE16=0,0)</f>
        <v>0</v>
      </c>
      <c r="BB17" s="50">
        <f>_xlfn.IFS('Prepare Gantt Chart'!AF16=2,'Project types'!$L17*('Prepare Gantt Chart'!$I16*'Prepare Gantt Chart'!$J16),'Prepare Gantt Chart'!AF16=1,'Project types'!$L17*('Prepare Gantt Chart'!$I16*'Prepare Gantt Chart'!$J16),'Prepare Gantt Chart'!AF16=0,0)</f>
        <v>0</v>
      </c>
      <c r="BC17" s="50">
        <f>_xlfn.IFS('Prepare Gantt Chart'!AG16=2,'Project types'!$L17*('Prepare Gantt Chart'!$I16*'Prepare Gantt Chart'!$J16),'Prepare Gantt Chart'!AG16=1,'Project types'!$L17*('Prepare Gantt Chart'!$I16*'Prepare Gantt Chart'!$J16),'Prepare Gantt Chart'!AG16=0,0)</f>
        <v>0</v>
      </c>
      <c r="BD17" s="50">
        <f>_xlfn.IFS('Prepare Gantt Chart'!AH16=2,'Project types'!$L17*('Prepare Gantt Chart'!$I16*'Prepare Gantt Chart'!$J16),'Prepare Gantt Chart'!AH16=1,'Project types'!$L17*('Prepare Gantt Chart'!$I16*'Prepare Gantt Chart'!$J16),'Prepare Gantt Chart'!AH16=0,0)</f>
        <v>0</v>
      </c>
      <c r="BE17" s="50">
        <f>_xlfn.IFS('Prepare Gantt Chart'!AI16=2,'Project types'!$L17*('Prepare Gantt Chart'!$I16*'Prepare Gantt Chart'!$J16),'Prepare Gantt Chart'!AI16=1,'Project types'!$L17*('Prepare Gantt Chart'!$I16*'Prepare Gantt Chart'!$J16),'Prepare Gantt Chart'!AI16=0,0)</f>
        <v>0</v>
      </c>
      <c r="BF17" s="50">
        <f>_xlfn.IFS('Prepare Gantt Chart'!AJ16=2,'Project types'!$L17*('Prepare Gantt Chart'!$I16*'Prepare Gantt Chart'!$J16),'Prepare Gantt Chart'!AJ16=1,'Project types'!$L17*('Prepare Gantt Chart'!$I16*'Prepare Gantt Chart'!$J16),'Prepare Gantt Chart'!AJ16=0,0)</f>
        <v>0</v>
      </c>
      <c r="BG17" s="50">
        <f>_xlfn.IFS('Prepare Gantt Chart'!AK16=2,'Project types'!$L17*('Prepare Gantt Chart'!$I16*'Prepare Gantt Chart'!$J16),'Prepare Gantt Chart'!AK16=1,'Project types'!$L17*('Prepare Gantt Chart'!$I16*'Prepare Gantt Chart'!$J16),'Prepare Gantt Chart'!AK16=0,0)</f>
        <v>0</v>
      </c>
      <c r="BH17" s="50">
        <f>_xlfn.IFS('Prepare Gantt Chart'!AL16=2,'Project types'!$L17*('Prepare Gantt Chart'!$I16*'Prepare Gantt Chart'!$J16),'Prepare Gantt Chart'!AL16=1,'Project types'!$L17*('Prepare Gantt Chart'!$I16*'Prepare Gantt Chart'!$J16),'Prepare Gantt Chart'!AL16=0,0)</f>
        <v>0</v>
      </c>
      <c r="BI17" s="50">
        <f>_xlfn.IFS('Prepare Gantt Chart'!AM16=2,'Project types'!$L17*('Prepare Gantt Chart'!$I16*'Prepare Gantt Chart'!$J16),'Prepare Gantt Chart'!AM16=1,'Project types'!$L17*('Prepare Gantt Chart'!$I16*'Prepare Gantt Chart'!$J16),'Prepare Gantt Chart'!AM16=0,0)</f>
        <v>0</v>
      </c>
      <c r="BJ17" s="50">
        <f>_xlfn.IFS('Prepare Gantt Chart'!AN16=2,'Project types'!$L17*('Prepare Gantt Chart'!$I16*'Prepare Gantt Chart'!$J16),'Prepare Gantt Chart'!AN16=1,'Project types'!$L17*('Prepare Gantt Chart'!$I16*'Prepare Gantt Chart'!$J16),'Prepare Gantt Chart'!AN16=0,0)</f>
        <v>0</v>
      </c>
      <c r="BK17" s="50">
        <f>_xlfn.IFS('Prepare Gantt Chart'!AO16=2,'Project types'!$L17*('Prepare Gantt Chart'!$I16*'Prepare Gantt Chart'!$J16),'Prepare Gantt Chart'!AO16=1,'Project types'!$L17*('Prepare Gantt Chart'!$I16*'Prepare Gantt Chart'!$J16),'Prepare Gantt Chart'!AO16=0,0)</f>
        <v>0</v>
      </c>
      <c r="BL17" s="51">
        <f t="shared" si="1"/>
        <v>0</v>
      </c>
      <c r="BM17" s="76">
        <f>IF('Prepare Gantt Chart'!$J16=0,0,SUM(AL17:AQ17)/6/'Prepare Gantt Chart'!$J16)</f>
        <v>0</v>
      </c>
      <c r="BN17" s="76">
        <f>IF('Prepare Gantt Chart'!$J16=0,0,SUM(AR17:AV17)/5/'Prepare Gantt Chart'!$J16)</f>
        <v>0</v>
      </c>
      <c r="BO17" s="76">
        <f>IF('Prepare Gantt Chart'!$J16=0,0,SUM(AW17:BA17)/5/'Prepare Gantt Chart'!$J16)</f>
        <v>0</v>
      </c>
      <c r="BP17" s="76">
        <f>IF('Prepare Gantt Chart'!$J16=0,0,SUM(BB17:BF17)/5/'Prepare Gantt Chart'!$J16)</f>
        <v>0</v>
      </c>
      <c r="BQ17" s="76">
        <f>IF('Prepare Gantt Chart'!$J16=0,0,SUM(BG17:BK17)/5/'Prepare Gantt Chart'!$J16)</f>
        <v>0</v>
      </c>
    </row>
    <row r="18" spans="1:69" x14ac:dyDescent="0.2">
      <c r="A18" s="20" t="s">
        <v>17</v>
      </c>
      <c r="B18" s="1" t="s">
        <v>387</v>
      </c>
      <c r="C18" s="45">
        <f>_xlfn.IFS('Prepare Gantt Chart'!P17=4,'Project types'!$O18*('Prepare Gantt Chart'!$I17*'Prepare Gantt Chart'!$J17),'Prepare Gantt Chart'!P17=3,'Project types'!$Q18*('Prepare Gantt Chart'!$I17*'Prepare Gantt Chart'!$J17),'Prepare Gantt Chart'!P17=0,0)</f>
        <v>0</v>
      </c>
      <c r="D18" s="45">
        <f>_xlfn.IFS('Prepare Gantt Chart'!Q17=4,'Project types'!$O18*('Prepare Gantt Chart'!$I17*'Prepare Gantt Chart'!$J17),'Prepare Gantt Chart'!Q17=3,'Project types'!$Q18*('Prepare Gantt Chart'!$I17*'Prepare Gantt Chart'!$J17),'Prepare Gantt Chart'!Q17=0,0)</f>
        <v>0</v>
      </c>
      <c r="E18" s="45">
        <f>_xlfn.IFS('Prepare Gantt Chart'!R17=4,'Project types'!$O18*('Prepare Gantt Chart'!$I17*'Prepare Gantt Chart'!$J17),'Prepare Gantt Chart'!R17=3,'Project types'!$Q18*('Prepare Gantt Chart'!$I17*'Prepare Gantt Chart'!$J17),'Prepare Gantt Chart'!R17=0,0)</f>
        <v>0</v>
      </c>
      <c r="F18" s="45">
        <f>_xlfn.IFS('Prepare Gantt Chart'!S17=4,'Project types'!$O18*('Prepare Gantt Chart'!$I17*'Prepare Gantt Chart'!$J17),'Prepare Gantt Chart'!S17=3,'Project types'!$Q18*('Prepare Gantt Chart'!$I17*'Prepare Gantt Chart'!$J17),'Prepare Gantt Chart'!S17=0,0)</f>
        <v>0</v>
      </c>
      <c r="G18" s="45">
        <f>_xlfn.IFS('Prepare Gantt Chart'!T17=4,'Project types'!$O18*('Prepare Gantt Chart'!$I17*'Prepare Gantt Chart'!$J17),'Prepare Gantt Chart'!T17=3,'Project types'!$Q18*('Prepare Gantt Chart'!$I17*'Prepare Gantt Chart'!$J17),'Prepare Gantt Chart'!T17=0,0)</f>
        <v>0</v>
      </c>
      <c r="H18" s="45">
        <f>_xlfn.IFS('Prepare Gantt Chart'!U17=4,'Project types'!$O18*('Prepare Gantt Chart'!$I17*'Prepare Gantt Chart'!$J17),'Prepare Gantt Chart'!U17=3,'Project types'!$Q18*('Prepare Gantt Chart'!$I17*'Prepare Gantt Chart'!$J17),'Prepare Gantt Chart'!U17=0,0)</f>
        <v>0</v>
      </c>
      <c r="I18" s="45">
        <f>_xlfn.IFS('Prepare Gantt Chart'!V17=4,'Project types'!$O18*('Prepare Gantt Chart'!$I17*'Prepare Gantt Chart'!$J17),'Prepare Gantt Chart'!V17=3,'Project types'!$Q18*('Prepare Gantt Chart'!$I17*'Prepare Gantt Chart'!$J17),'Prepare Gantt Chart'!V17=0,0)</f>
        <v>0</v>
      </c>
      <c r="J18" s="45">
        <f>_xlfn.IFS('Prepare Gantt Chart'!W17=4,'Project types'!$O18*('Prepare Gantt Chart'!$I17*'Prepare Gantt Chart'!$J17),'Prepare Gantt Chart'!W17=3,'Project types'!$Q18*('Prepare Gantt Chart'!$I17*'Prepare Gantt Chart'!$J17),'Prepare Gantt Chart'!W17=0,0)</f>
        <v>0</v>
      </c>
      <c r="K18" s="45">
        <f>_xlfn.IFS('Prepare Gantt Chart'!X17=4,'Project types'!$O18*('Prepare Gantt Chart'!$I17*'Prepare Gantt Chart'!$J17),'Prepare Gantt Chart'!X17=3,'Project types'!$Q18*('Prepare Gantt Chart'!$I17*'Prepare Gantt Chart'!$J17),'Prepare Gantt Chart'!X17=0,0)</f>
        <v>0</v>
      </c>
      <c r="L18" s="45">
        <f>_xlfn.IFS('Prepare Gantt Chart'!Y17=4,'Project types'!$O18*('Prepare Gantt Chart'!$I17*'Prepare Gantt Chart'!$J17),'Prepare Gantt Chart'!Y17=3,'Project types'!$Q18*('Prepare Gantt Chart'!$I17*'Prepare Gantt Chart'!$J17),'Prepare Gantt Chart'!Y17=0,0)</f>
        <v>0</v>
      </c>
      <c r="M18" s="45">
        <f>_xlfn.IFS('Prepare Gantt Chart'!Z17=4,'Project types'!$O18*('Prepare Gantt Chart'!$I17*'Prepare Gantt Chart'!$J17),'Prepare Gantt Chart'!Z17=3,'Project types'!$Q18*('Prepare Gantt Chart'!$I17*'Prepare Gantt Chart'!$J17),'Prepare Gantt Chart'!Z17=0,0)</f>
        <v>0</v>
      </c>
      <c r="N18" s="45">
        <f>_xlfn.IFS('Prepare Gantt Chart'!AA17=4,'Project types'!$O18*('Prepare Gantt Chart'!$I17*'Prepare Gantt Chart'!$J17),'Prepare Gantt Chart'!AA17=3,'Project types'!$Q18*('Prepare Gantt Chart'!$I17*'Prepare Gantt Chart'!$J17),'Prepare Gantt Chart'!AA17=0,0)</f>
        <v>0</v>
      </c>
      <c r="O18" s="45">
        <f>_xlfn.IFS('Prepare Gantt Chart'!AB17=4,'Project types'!$O18*('Prepare Gantt Chart'!$I17*'Prepare Gantt Chart'!$J17),'Prepare Gantt Chart'!AB17=3,'Project types'!$Q18*('Prepare Gantt Chart'!$I17*'Prepare Gantt Chart'!$J17),'Prepare Gantt Chart'!AB17=0,0)</f>
        <v>0</v>
      </c>
      <c r="P18" s="45">
        <f>_xlfn.IFS('Prepare Gantt Chart'!AC17=4,'Project types'!$O18*('Prepare Gantt Chart'!$I17*'Prepare Gantt Chart'!$J17),'Prepare Gantt Chart'!AC17=3,'Project types'!$Q18*('Prepare Gantt Chart'!$I17*'Prepare Gantt Chart'!$J17),'Prepare Gantt Chart'!AC17=0,0)</f>
        <v>0</v>
      </c>
      <c r="Q18" s="45">
        <f>_xlfn.IFS('Prepare Gantt Chart'!AD17=4,'Project types'!$O18*('Prepare Gantt Chart'!$I17*'Prepare Gantt Chart'!$J17),'Prepare Gantt Chart'!AD17=3,'Project types'!$Q18*('Prepare Gantt Chart'!$I17*'Prepare Gantt Chart'!$J17),'Prepare Gantt Chart'!AD17=0,0)</f>
        <v>0</v>
      </c>
      <c r="R18" s="45">
        <f>_xlfn.IFS('Prepare Gantt Chart'!AE17=4,'Project types'!$O18*('Prepare Gantt Chart'!$I17*'Prepare Gantt Chart'!$J17),'Prepare Gantt Chart'!AE17=3,'Project types'!$Q18*('Prepare Gantt Chart'!$I17*'Prepare Gantt Chart'!$J17),'Prepare Gantt Chart'!AE17=0,0)</f>
        <v>0</v>
      </c>
      <c r="S18" s="45">
        <f>_xlfn.IFS('Prepare Gantt Chart'!AF17=4,'Project types'!$O18*('Prepare Gantt Chart'!$I17*'Prepare Gantt Chart'!$J17),'Prepare Gantt Chart'!AF17=3,'Project types'!$Q18*('Prepare Gantt Chart'!$I17*'Prepare Gantt Chart'!$J17),'Prepare Gantt Chart'!AF17=0,0)</f>
        <v>0</v>
      </c>
      <c r="T18" s="45">
        <f>_xlfn.IFS('Prepare Gantt Chart'!AG17=4,'Project types'!$O18*('Prepare Gantt Chart'!$I17*'Prepare Gantt Chart'!$J17),'Prepare Gantt Chart'!AG17=3,'Project types'!$Q18*('Prepare Gantt Chart'!$I17*'Prepare Gantt Chart'!$J17),'Prepare Gantt Chart'!AG17=0,0)</f>
        <v>0</v>
      </c>
      <c r="U18" s="45">
        <f>_xlfn.IFS('Prepare Gantt Chart'!AH17=4,'Project types'!$O18*('Prepare Gantt Chart'!$I17*'Prepare Gantt Chart'!$J17),'Prepare Gantt Chart'!AH17=3,'Project types'!$Q18*('Prepare Gantt Chart'!$I17*'Prepare Gantt Chart'!$J17),'Prepare Gantt Chart'!AH17=0,0)</f>
        <v>0</v>
      </c>
      <c r="V18" s="45">
        <f>_xlfn.IFS('Prepare Gantt Chart'!AI17=4,'Project types'!$O18*('Prepare Gantt Chart'!$I17*'Prepare Gantt Chart'!$J17),'Prepare Gantt Chart'!AI17=3,'Project types'!$Q18*('Prepare Gantt Chart'!$I17*'Prepare Gantt Chart'!$J17),'Prepare Gantt Chart'!AI17=0,0)</f>
        <v>0</v>
      </c>
      <c r="W18" s="45">
        <f>_xlfn.IFS('Prepare Gantt Chart'!AJ17=4,'Project types'!$O18*('Prepare Gantt Chart'!$I17*'Prepare Gantt Chart'!$J17),'Prepare Gantt Chart'!AJ17=3,'Project types'!$Q18*('Prepare Gantt Chart'!$I17*'Prepare Gantt Chart'!$J17),'Prepare Gantt Chart'!AJ17=0,0)</f>
        <v>0</v>
      </c>
      <c r="X18" s="45">
        <f>_xlfn.IFS('Prepare Gantt Chart'!AK17=4,'Project types'!$O18*('Prepare Gantt Chart'!$I17*'Prepare Gantt Chart'!$J17),'Prepare Gantt Chart'!AK17=3,'Project types'!$Q18*('Prepare Gantt Chart'!$I17*'Prepare Gantt Chart'!$J17),'Prepare Gantt Chart'!AK17=0,0)</f>
        <v>0</v>
      </c>
      <c r="Y18" s="45">
        <f>_xlfn.IFS('Prepare Gantt Chart'!AL17=4,'Project types'!$O18*('Prepare Gantt Chart'!$I17*'Prepare Gantt Chart'!$J17),'Prepare Gantt Chart'!AL17=3,'Project types'!$Q18*('Prepare Gantt Chart'!$I17*'Prepare Gantt Chart'!$J17),'Prepare Gantt Chart'!AL17=0,0)</f>
        <v>0</v>
      </c>
      <c r="Z18" s="45">
        <f>_xlfn.IFS('Prepare Gantt Chart'!AM17=4,'Project types'!$O18*('Prepare Gantt Chart'!$I17*'Prepare Gantt Chart'!$J17),'Prepare Gantt Chart'!AM17=3,'Project types'!$Q18*('Prepare Gantt Chart'!$I17*'Prepare Gantt Chart'!$J17),'Prepare Gantt Chart'!AM17=0,0)</f>
        <v>0</v>
      </c>
      <c r="AA18" s="45">
        <f>_xlfn.IFS('Prepare Gantt Chart'!AN17=4,'Project types'!$O18*('Prepare Gantt Chart'!$I17*'Prepare Gantt Chart'!$J17),'Prepare Gantt Chart'!AN17=3,'Project types'!$Q18*('Prepare Gantt Chart'!$I17*'Prepare Gantt Chart'!$J17),'Prepare Gantt Chart'!AN17=0,0)</f>
        <v>0</v>
      </c>
      <c r="AB18" s="45">
        <f>_xlfn.IFS('Prepare Gantt Chart'!AO17=4,'Project types'!$O18*('Prepare Gantt Chart'!$I17*'Prepare Gantt Chart'!$J17),'Prepare Gantt Chart'!AO17=3,'Project types'!$Q18*('Prepare Gantt Chart'!$I17*'Prepare Gantt Chart'!$J17),'Prepare Gantt Chart'!AO17=0,0)</f>
        <v>0</v>
      </c>
      <c r="AC18" s="45">
        <f>'Prepare Gantt Chart'!J17*'Prepare Gantt Chart'!I17*(AD18/26)</f>
        <v>0</v>
      </c>
      <c r="AD18" s="46">
        <f t="shared" si="0"/>
        <v>0</v>
      </c>
      <c r="AE18" s="72">
        <f>IF('Prepare Gantt Chart'!$J17=0,0,SUM(C18:H18)/6/'Prepare Gantt Chart'!$J17)</f>
        <v>0</v>
      </c>
      <c r="AF18" s="72">
        <f>IF('Prepare Gantt Chart'!$J17=0,0,SUM(I18:M18)/5/'Prepare Gantt Chart'!$J17)</f>
        <v>0</v>
      </c>
      <c r="AG18" s="72">
        <f>IF('Prepare Gantt Chart'!$J17=0,0,SUM(N18:R18)/5/'Prepare Gantt Chart'!$J17)</f>
        <v>0</v>
      </c>
      <c r="AH18" s="72">
        <f>IF('Prepare Gantt Chart'!$J17=0,0,SUM(S18:W18)/5/'Prepare Gantt Chart'!$J17)</f>
        <v>0</v>
      </c>
      <c r="AI18" s="72">
        <f>IF('Prepare Gantt Chart'!$J17=0,0,SUM(X18:AB18)/5/'Prepare Gantt Chart'!$J17)</f>
        <v>0</v>
      </c>
      <c r="AK18" s="20" t="s">
        <v>17</v>
      </c>
      <c r="AL18" s="45">
        <f>_xlfn.IFS('Prepare Gantt Chart'!P17=4,'Project types'!$L18*('Prepare Gantt Chart'!$I17*'Prepare Gantt Chart'!$J17),'Prepare Gantt Chart'!P17=3,'Project types'!$L18*('Prepare Gantt Chart'!$I17*'Prepare Gantt Chart'!$J17),'Prepare Gantt Chart'!P17=0,0)</f>
        <v>0</v>
      </c>
      <c r="AM18" s="45">
        <f>_xlfn.IFS('Prepare Gantt Chart'!Q17=4,'Project types'!$L18*('Prepare Gantt Chart'!$I17*'Prepare Gantt Chart'!$J17),'Prepare Gantt Chart'!Q17=3,'Project types'!$L18*('Prepare Gantt Chart'!$I17*'Prepare Gantt Chart'!$J17),'Prepare Gantt Chart'!Q17=0,0)</f>
        <v>0</v>
      </c>
      <c r="AN18" s="45">
        <f>_xlfn.IFS('Prepare Gantt Chart'!R17=4,'Project types'!$L18*('Prepare Gantt Chart'!$I17*'Prepare Gantt Chart'!$J17),'Prepare Gantt Chart'!R17=3,'Project types'!$L18*('Prepare Gantt Chart'!$I17*'Prepare Gantt Chart'!$J17),'Prepare Gantt Chart'!R17=0,0)</f>
        <v>0</v>
      </c>
      <c r="AO18" s="45">
        <f>_xlfn.IFS('Prepare Gantt Chart'!S17=4,'Project types'!$L18*('Prepare Gantt Chart'!$I17*'Prepare Gantt Chart'!$J17),'Prepare Gantt Chart'!S17=3,'Project types'!$L18*('Prepare Gantt Chart'!$I17*'Prepare Gantt Chart'!$J17),'Prepare Gantt Chart'!S17=0,0)</f>
        <v>0</v>
      </c>
      <c r="AP18" s="45">
        <f>_xlfn.IFS('Prepare Gantt Chart'!T17=4,'Project types'!$L18*('Prepare Gantt Chart'!$I17*'Prepare Gantt Chart'!$J17),'Prepare Gantt Chart'!T17=3,'Project types'!$L18*('Prepare Gantt Chart'!$I17*'Prepare Gantt Chart'!$J17),'Prepare Gantt Chart'!T17=0,0)</f>
        <v>0</v>
      </c>
      <c r="AQ18" s="45">
        <f>_xlfn.IFS('Prepare Gantt Chart'!U17=4,'Project types'!$L18*('Prepare Gantt Chart'!$I17*'Prepare Gantt Chart'!$J17),'Prepare Gantt Chart'!U17=3,'Project types'!$L18*('Prepare Gantt Chart'!$I17*'Prepare Gantt Chart'!$J17),'Prepare Gantt Chart'!U17=0,0)</f>
        <v>0</v>
      </c>
      <c r="AR18" s="45">
        <f>_xlfn.IFS('Prepare Gantt Chart'!V17=4,'Project types'!$L18*('Prepare Gantt Chart'!$I17*'Prepare Gantt Chart'!$J17),'Prepare Gantt Chart'!V17=3,'Project types'!$L18*('Prepare Gantt Chart'!$I17*'Prepare Gantt Chart'!$J17),'Prepare Gantt Chart'!V17=0,0)</f>
        <v>0</v>
      </c>
      <c r="AS18" s="45">
        <f>_xlfn.IFS('Prepare Gantt Chart'!W17=4,'Project types'!$L18*('Prepare Gantt Chart'!$I17*'Prepare Gantt Chart'!$J17),'Prepare Gantt Chart'!W17=3,'Project types'!$L18*('Prepare Gantt Chart'!$I17*'Prepare Gantt Chart'!$J17),'Prepare Gantt Chart'!W17=0,0)</f>
        <v>0</v>
      </c>
      <c r="AT18" s="45">
        <f>_xlfn.IFS('Prepare Gantt Chart'!X17=4,'Project types'!$L18*('Prepare Gantt Chart'!$I17*'Prepare Gantt Chart'!$J17),'Prepare Gantt Chart'!X17=3,'Project types'!$L18*('Prepare Gantt Chart'!$I17*'Prepare Gantt Chart'!$J17),'Prepare Gantt Chart'!X17=0,0)</f>
        <v>0</v>
      </c>
      <c r="AU18" s="45">
        <f>_xlfn.IFS('Prepare Gantt Chart'!Y17=4,'Project types'!$L18*('Prepare Gantt Chart'!$I17*'Prepare Gantt Chart'!$J17),'Prepare Gantt Chart'!Y17=3,'Project types'!$L18*('Prepare Gantt Chart'!$I17*'Prepare Gantt Chart'!$J17),'Prepare Gantt Chart'!Y17=0,0)</f>
        <v>0</v>
      </c>
      <c r="AV18" s="45">
        <f>_xlfn.IFS('Prepare Gantt Chart'!Z17=4,'Project types'!$L18*('Prepare Gantt Chart'!$I17*'Prepare Gantt Chart'!$J17),'Prepare Gantt Chart'!Z17=3,'Project types'!$L18*('Prepare Gantt Chart'!$I17*'Prepare Gantt Chart'!$J17),'Prepare Gantt Chart'!Z17=0,0)</f>
        <v>0</v>
      </c>
      <c r="AW18" s="45">
        <f>_xlfn.IFS('Prepare Gantt Chart'!AA17=4,'Project types'!$L18*('Prepare Gantt Chart'!$I17*'Prepare Gantt Chart'!$J17),'Prepare Gantt Chart'!AA17=3,'Project types'!$L18*('Prepare Gantt Chart'!$I17*'Prepare Gantt Chart'!$J17),'Prepare Gantt Chart'!AA17=0,0)</f>
        <v>0</v>
      </c>
      <c r="AX18" s="45">
        <f>_xlfn.IFS('Prepare Gantt Chart'!AB17=4,'Project types'!$L18*('Prepare Gantt Chart'!$I17*'Prepare Gantt Chart'!$J17),'Prepare Gantt Chart'!AB17=3,'Project types'!$L18*('Prepare Gantt Chart'!$I17*'Prepare Gantt Chart'!$J17),'Prepare Gantt Chart'!AB17=0,0)</f>
        <v>0</v>
      </c>
      <c r="AY18" s="45">
        <f>_xlfn.IFS('Prepare Gantt Chart'!AC17=4,'Project types'!$L18*('Prepare Gantt Chart'!$I17*'Prepare Gantt Chart'!$J17),'Prepare Gantt Chart'!AC17=3,'Project types'!$L18*('Prepare Gantt Chart'!$I17*'Prepare Gantt Chart'!$J17),'Prepare Gantt Chart'!AC17=0,0)</f>
        <v>0</v>
      </c>
      <c r="AZ18" s="45">
        <f>_xlfn.IFS('Prepare Gantt Chart'!AD17=4,'Project types'!$L18*('Prepare Gantt Chart'!$I17*'Prepare Gantt Chart'!$J17),'Prepare Gantt Chart'!AD17=3,'Project types'!$L18*('Prepare Gantt Chart'!$I17*'Prepare Gantt Chart'!$J17),'Prepare Gantt Chart'!AD17=0,0)</f>
        <v>0</v>
      </c>
      <c r="BA18" s="45">
        <f>_xlfn.IFS('Prepare Gantt Chart'!AE17=4,'Project types'!$L18*('Prepare Gantt Chart'!$I17*'Prepare Gantt Chart'!$J17),'Prepare Gantt Chart'!AE17=3,'Project types'!$L18*('Prepare Gantt Chart'!$I17*'Prepare Gantt Chart'!$J17),'Prepare Gantt Chart'!AE17=0,0)</f>
        <v>0</v>
      </c>
      <c r="BB18" s="45">
        <f>_xlfn.IFS('Prepare Gantt Chart'!AF17=4,'Project types'!$L18*('Prepare Gantt Chart'!$I17*'Prepare Gantt Chart'!$J17),'Prepare Gantt Chart'!AF17=3,'Project types'!$L18*('Prepare Gantt Chart'!$I17*'Prepare Gantt Chart'!$J17),'Prepare Gantt Chart'!AF17=0,0)</f>
        <v>0</v>
      </c>
      <c r="BC18" s="45">
        <f>_xlfn.IFS('Prepare Gantt Chart'!AG17=4,'Project types'!$L18*('Prepare Gantt Chart'!$I17*'Prepare Gantt Chart'!$J17),'Prepare Gantt Chart'!AG17=3,'Project types'!$L18*('Prepare Gantt Chart'!$I17*'Prepare Gantt Chart'!$J17),'Prepare Gantt Chart'!AG17=0,0)</f>
        <v>0</v>
      </c>
      <c r="BD18" s="45">
        <f>_xlfn.IFS('Prepare Gantt Chart'!AH17=4,'Project types'!$L18*('Prepare Gantt Chart'!$I17*'Prepare Gantt Chart'!$J17),'Prepare Gantt Chart'!AH17=3,'Project types'!$L18*('Prepare Gantt Chart'!$I17*'Prepare Gantt Chart'!$J17),'Prepare Gantt Chart'!AH17=0,0)</f>
        <v>0</v>
      </c>
      <c r="BE18" s="45">
        <f>_xlfn.IFS('Prepare Gantt Chart'!AI17=4,'Project types'!$L18*('Prepare Gantt Chart'!$I17*'Prepare Gantt Chart'!$J17),'Prepare Gantt Chart'!AI17=3,'Project types'!$L18*('Prepare Gantt Chart'!$I17*'Prepare Gantt Chart'!$J17),'Prepare Gantt Chart'!AI17=0,0)</f>
        <v>0</v>
      </c>
      <c r="BF18" s="45">
        <f>_xlfn.IFS('Prepare Gantt Chart'!AJ17=4,'Project types'!$L18*('Prepare Gantt Chart'!$I17*'Prepare Gantt Chart'!$J17),'Prepare Gantt Chart'!AJ17=3,'Project types'!$L18*('Prepare Gantt Chart'!$I17*'Prepare Gantt Chart'!$J17),'Prepare Gantt Chart'!AJ17=0,0)</f>
        <v>0</v>
      </c>
      <c r="BG18" s="45">
        <f>_xlfn.IFS('Prepare Gantt Chart'!AK17=4,'Project types'!$L18*('Prepare Gantt Chart'!$I17*'Prepare Gantt Chart'!$J17),'Prepare Gantt Chart'!AK17=3,'Project types'!$L18*('Prepare Gantt Chart'!$I17*'Prepare Gantt Chart'!$J17),'Prepare Gantt Chart'!AK17=0,0)</f>
        <v>0</v>
      </c>
      <c r="BH18" s="45">
        <f>_xlfn.IFS('Prepare Gantt Chart'!AL17=4,'Project types'!$L18*('Prepare Gantt Chart'!$I17*'Prepare Gantt Chart'!$J17),'Prepare Gantt Chart'!AL17=3,'Project types'!$L18*('Prepare Gantt Chart'!$I17*'Prepare Gantt Chart'!$J17),'Prepare Gantt Chart'!AL17=0,0)</f>
        <v>0</v>
      </c>
      <c r="BI18" s="45">
        <f>_xlfn.IFS('Prepare Gantt Chart'!AM17=4,'Project types'!$L18*('Prepare Gantt Chart'!$I17*'Prepare Gantt Chart'!$J17),'Prepare Gantt Chart'!AM17=3,'Project types'!$L18*('Prepare Gantt Chart'!$I17*'Prepare Gantt Chart'!$J17),'Prepare Gantt Chart'!AM17=0,0)</f>
        <v>0</v>
      </c>
      <c r="BJ18" s="45">
        <f>_xlfn.IFS('Prepare Gantt Chart'!AN17=4,'Project types'!$L18*('Prepare Gantt Chart'!$I17*'Prepare Gantt Chart'!$J17),'Prepare Gantt Chart'!AN17=3,'Project types'!$L18*('Prepare Gantt Chart'!$I17*'Prepare Gantt Chart'!$J17),'Prepare Gantt Chart'!AN17=0,0)</f>
        <v>0</v>
      </c>
      <c r="BK18" s="45">
        <f>_xlfn.IFS('Prepare Gantt Chart'!AO17=4,'Project types'!$L18*('Prepare Gantt Chart'!$I17*'Prepare Gantt Chart'!$J17),'Prepare Gantt Chart'!AO17=3,'Project types'!$L18*('Prepare Gantt Chart'!$I17*'Prepare Gantt Chart'!$J17),'Prepare Gantt Chart'!AO17=0,0)</f>
        <v>0</v>
      </c>
      <c r="BL18" s="46">
        <f t="shared" si="1"/>
        <v>0</v>
      </c>
      <c r="BM18" s="75">
        <f>IF('Prepare Gantt Chart'!$J17=0,0,SUM(AL18:AQ18)/6/'Prepare Gantt Chart'!$J17)</f>
        <v>0</v>
      </c>
      <c r="BN18" s="75">
        <f>IF('Prepare Gantt Chart'!$J17=0,0,SUM(AR18:AV18)/5/'Prepare Gantt Chart'!$J17)</f>
        <v>0</v>
      </c>
      <c r="BO18" s="75">
        <f>IF('Prepare Gantt Chart'!$J17=0,0,SUM(AW18:BA18)/5/'Prepare Gantt Chart'!$J17)</f>
        <v>0</v>
      </c>
      <c r="BP18" s="75">
        <f>IF('Prepare Gantt Chart'!$J17=0,0,SUM(BB18:BF18)/5/'Prepare Gantt Chart'!$J17)</f>
        <v>0</v>
      </c>
      <c r="BQ18" s="75">
        <f>IF('Prepare Gantt Chart'!$J17=0,0,SUM(BG18:BK18)/5/'Prepare Gantt Chart'!$J17)</f>
        <v>0</v>
      </c>
    </row>
    <row r="19" spans="1:69" x14ac:dyDescent="0.2">
      <c r="A19" s="21" t="s">
        <v>18</v>
      </c>
      <c r="B19" s="1" t="s">
        <v>388</v>
      </c>
      <c r="C19" s="45">
        <f>_xlfn.IFS('Prepare Gantt Chart'!P18=4,'Project types'!$O19*('Prepare Gantt Chart'!$I18*'Prepare Gantt Chart'!$J18),'Prepare Gantt Chart'!P18=3,'Project types'!$Q19*('Prepare Gantt Chart'!$I18*'Prepare Gantt Chart'!$J18),'Prepare Gantt Chart'!P18=0,0)</f>
        <v>0</v>
      </c>
      <c r="D19" s="45">
        <f>_xlfn.IFS('Prepare Gantt Chart'!Q18=4,'Project types'!$O19*('Prepare Gantt Chart'!$I18*'Prepare Gantt Chart'!$J18),'Prepare Gantt Chart'!Q18=3,'Project types'!$Q19*('Prepare Gantt Chart'!$I18*'Prepare Gantt Chart'!$J18),'Prepare Gantt Chart'!Q18=0,0)</f>
        <v>0</v>
      </c>
      <c r="E19" s="45">
        <f>_xlfn.IFS('Prepare Gantt Chart'!R18=4,'Project types'!$O19*('Prepare Gantt Chart'!$I18*'Prepare Gantt Chart'!$J18),'Prepare Gantt Chart'!R18=3,'Project types'!$Q19*('Prepare Gantt Chart'!$I18*'Prepare Gantt Chart'!$J18),'Prepare Gantt Chart'!R18=0,0)</f>
        <v>0</v>
      </c>
      <c r="F19" s="45">
        <f>_xlfn.IFS('Prepare Gantt Chart'!S18=4,'Project types'!$O19*('Prepare Gantt Chart'!$I18*'Prepare Gantt Chart'!$J18),'Prepare Gantt Chart'!S18=3,'Project types'!$Q19*('Prepare Gantt Chart'!$I18*'Prepare Gantt Chart'!$J18),'Prepare Gantt Chart'!S18=0,0)</f>
        <v>0</v>
      </c>
      <c r="G19" s="45">
        <f>_xlfn.IFS('Prepare Gantt Chart'!T18=4,'Project types'!$O19*('Prepare Gantt Chart'!$I18*'Prepare Gantt Chart'!$J18),'Prepare Gantt Chart'!T18=3,'Project types'!$Q19*('Prepare Gantt Chart'!$I18*'Prepare Gantt Chart'!$J18),'Prepare Gantt Chart'!T18=0,0)</f>
        <v>0</v>
      </c>
      <c r="H19" s="45">
        <f>_xlfn.IFS('Prepare Gantt Chart'!U18=4,'Project types'!$O19*('Prepare Gantt Chart'!$I18*'Prepare Gantt Chart'!$J18),'Prepare Gantt Chart'!U18=3,'Project types'!$Q19*('Prepare Gantt Chart'!$I18*'Prepare Gantt Chart'!$J18),'Prepare Gantt Chart'!U18=0,0)</f>
        <v>0</v>
      </c>
      <c r="I19" s="45">
        <f>_xlfn.IFS('Prepare Gantt Chart'!V18=4,'Project types'!$O19*('Prepare Gantt Chart'!$I18*'Prepare Gantt Chart'!$J18),'Prepare Gantt Chart'!V18=3,'Project types'!$Q19*('Prepare Gantt Chart'!$I18*'Prepare Gantt Chart'!$J18),'Prepare Gantt Chart'!V18=0,0)</f>
        <v>0</v>
      </c>
      <c r="J19" s="45">
        <f>_xlfn.IFS('Prepare Gantt Chart'!W18=4,'Project types'!$O19*('Prepare Gantt Chart'!$I18*'Prepare Gantt Chart'!$J18),'Prepare Gantt Chart'!W18=3,'Project types'!$Q19*('Prepare Gantt Chart'!$I18*'Prepare Gantt Chart'!$J18),'Prepare Gantt Chart'!W18=0,0)</f>
        <v>0</v>
      </c>
      <c r="K19" s="45">
        <f>_xlfn.IFS('Prepare Gantt Chart'!X18=4,'Project types'!$O19*('Prepare Gantt Chart'!$I18*'Prepare Gantt Chart'!$J18),'Prepare Gantt Chart'!X18=3,'Project types'!$Q19*('Prepare Gantt Chart'!$I18*'Prepare Gantt Chart'!$J18),'Prepare Gantt Chart'!X18=0,0)</f>
        <v>0</v>
      </c>
      <c r="L19" s="45">
        <f>_xlfn.IFS('Prepare Gantt Chart'!Y18=4,'Project types'!$O19*('Prepare Gantt Chart'!$I18*'Prepare Gantt Chart'!$J18),'Prepare Gantt Chart'!Y18=3,'Project types'!$Q19*('Prepare Gantt Chart'!$I18*'Prepare Gantt Chart'!$J18),'Prepare Gantt Chart'!Y18=0,0)</f>
        <v>0</v>
      </c>
      <c r="M19" s="45">
        <f>_xlfn.IFS('Prepare Gantt Chart'!Z18=4,'Project types'!$O19*('Prepare Gantt Chart'!$I18*'Prepare Gantt Chart'!$J18),'Prepare Gantt Chart'!Z18=3,'Project types'!$Q19*('Prepare Gantt Chart'!$I18*'Prepare Gantt Chart'!$J18),'Prepare Gantt Chart'!Z18=0,0)</f>
        <v>0</v>
      </c>
      <c r="N19" s="45">
        <f>_xlfn.IFS('Prepare Gantt Chart'!AA18=4,'Project types'!$O19*('Prepare Gantt Chart'!$I18*'Prepare Gantt Chart'!$J18),'Prepare Gantt Chart'!AA18=3,'Project types'!$Q19*('Prepare Gantt Chart'!$I18*'Prepare Gantt Chart'!$J18),'Prepare Gantt Chart'!AA18=0,0)</f>
        <v>0</v>
      </c>
      <c r="O19" s="45">
        <f>_xlfn.IFS('Prepare Gantt Chart'!AB18=4,'Project types'!$O19*('Prepare Gantt Chart'!$I18*'Prepare Gantt Chart'!$J18),'Prepare Gantt Chart'!AB18=3,'Project types'!$Q19*('Prepare Gantt Chart'!$I18*'Prepare Gantt Chart'!$J18),'Prepare Gantt Chart'!AB18=0,0)</f>
        <v>0</v>
      </c>
      <c r="P19" s="45">
        <f>_xlfn.IFS('Prepare Gantt Chart'!AC18=4,'Project types'!$O19*('Prepare Gantt Chart'!$I18*'Prepare Gantt Chart'!$J18),'Prepare Gantt Chart'!AC18=3,'Project types'!$Q19*('Prepare Gantt Chart'!$I18*'Prepare Gantt Chart'!$J18),'Prepare Gantt Chart'!AC18=0,0)</f>
        <v>0</v>
      </c>
      <c r="Q19" s="45">
        <f>_xlfn.IFS('Prepare Gantt Chart'!AD18=4,'Project types'!$O19*('Prepare Gantt Chart'!$I18*'Prepare Gantt Chart'!$J18),'Prepare Gantt Chart'!AD18=3,'Project types'!$Q19*('Prepare Gantt Chart'!$I18*'Prepare Gantt Chart'!$J18),'Prepare Gantt Chart'!AD18=0,0)</f>
        <v>0</v>
      </c>
      <c r="R19" s="45">
        <f>_xlfn.IFS('Prepare Gantt Chart'!AE18=4,'Project types'!$O19*('Prepare Gantt Chart'!$I18*'Prepare Gantt Chart'!$J18),'Prepare Gantt Chart'!AE18=3,'Project types'!$Q19*('Prepare Gantt Chart'!$I18*'Prepare Gantt Chart'!$J18),'Prepare Gantt Chart'!AE18=0,0)</f>
        <v>0</v>
      </c>
      <c r="S19" s="45">
        <f>_xlfn.IFS('Prepare Gantt Chart'!AF18=4,'Project types'!$O19*('Prepare Gantt Chart'!$I18*'Prepare Gantt Chart'!$J18),'Prepare Gantt Chart'!AF18=3,'Project types'!$Q19*('Prepare Gantt Chart'!$I18*'Prepare Gantt Chart'!$J18),'Prepare Gantt Chart'!AF18=0,0)</f>
        <v>0</v>
      </c>
      <c r="T19" s="45">
        <f>_xlfn.IFS('Prepare Gantt Chart'!AG18=4,'Project types'!$O19*('Prepare Gantt Chart'!$I18*'Prepare Gantt Chart'!$J18),'Prepare Gantt Chart'!AG18=3,'Project types'!$Q19*('Prepare Gantt Chart'!$I18*'Prepare Gantt Chart'!$J18),'Prepare Gantt Chart'!AG18=0,0)</f>
        <v>0</v>
      </c>
      <c r="U19" s="45">
        <f>_xlfn.IFS('Prepare Gantt Chart'!AH18=4,'Project types'!$O19*('Prepare Gantt Chart'!$I18*'Prepare Gantt Chart'!$J18),'Prepare Gantt Chart'!AH18=3,'Project types'!$Q19*('Prepare Gantt Chart'!$I18*'Prepare Gantt Chart'!$J18),'Prepare Gantt Chart'!AH18=0,0)</f>
        <v>0</v>
      </c>
      <c r="V19" s="45">
        <f>_xlfn.IFS('Prepare Gantt Chart'!AI18=4,'Project types'!$O19*('Prepare Gantt Chart'!$I18*'Prepare Gantt Chart'!$J18),'Prepare Gantt Chart'!AI18=3,'Project types'!$Q19*('Prepare Gantt Chart'!$I18*'Prepare Gantt Chart'!$J18),'Prepare Gantt Chart'!AI18=0,0)</f>
        <v>0</v>
      </c>
      <c r="W19" s="45">
        <f>_xlfn.IFS('Prepare Gantt Chart'!AJ18=4,'Project types'!$O19*('Prepare Gantt Chart'!$I18*'Prepare Gantt Chart'!$J18),'Prepare Gantt Chart'!AJ18=3,'Project types'!$Q19*('Prepare Gantt Chart'!$I18*'Prepare Gantt Chart'!$J18),'Prepare Gantt Chart'!AJ18=0,0)</f>
        <v>0</v>
      </c>
      <c r="X19" s="45">
        <f>_xlfn.IFS('Prepare Gantt Chart'!AK18=4,'Project types'!$O19*('Prepare Gantt Chart'!$I18*'Prepare Gantt Chart'!$J18),'Prepare Gantt Chart'!AK18=3,'Project types'!$Q19*('Prepare Gantt Chart'!$I18*'Prepare Gantt Chart'!$J18),'Prepare Gantt Chart'!AK18=0,0)</f>
        <v>0</v>
      </c>
      <c r="Y19" s="45">
        <f>_xlfn.IFS('Prepare Gantt Chart'!AL18=4,'Project types'!$O19*('Prepare Gantt Chart'!$I18*'Prepare Gantt Chart'!$J18),'Prepare Gantt Chart'!AL18=3,'Project types'!$Q19*('Prepare Gantt Chart'!$I18*'Prepare Gantt Chart'!$J18),'Prepare Gantt Chart'!AL18=0,0)</f>
        <v>0</v>
      </c>
      <c r="Z19" s="45">
        <f>_xlfn.IFS('Prepare Gantt Chart'!AM18=4,'Project types'!$O19*('Prepare Gantt Chart'!$I18*'Prepare Gantt Chart'!$J18),'Prepare Gantt Chart'!AM18=3,'Project types'!$Q19*('Prepare Gantt Chart'!$I18*'Prepare Gantt Chart'!$J18),'Prepare Gantt Chart'!AM18=0,0)</f>
        <v>0</v>
      </c>
      <c r="AA19" s="45">
        <f>_xlfn.IFS('Prepare Gantt Chart'!AN18=4,'Project types'!$O19*('Prepare Gantt Chart'!$I18*'Prepare Gantt Chart'!$J18),'Prepare Gantt Chart'!AN18=3,'Project types'!$Q19*('Prepare Gantt Chart'!$I18*'Prepare Gantt Chart'!$J18),'Prepare Gantt Chart'!AN18=0,0)</f>
        <v>0</v>
      </c>
      <c r="AB19" s="45">
        <f>_xlfn.IFS('Prepare Gantt Chart'!AO18=4,'Project types'!$O19*('Prepare Gantt Chart'!$I18*'Prepare Gantt Chart'!$J18),'Prepare Gantt Chart'!AO18=3,'Project types'!$Q19*('Prepare Gantt Chart'!$I18*'Prepare Gantt Chart'!$J18),'Prepare Gantt Chart'!AO18=0,0)</f>
        <v>0</v>
      </c>
      <c r="AC19" s="45">
        <f>'Prepare Gantt Chart'!J18*'Prepare Gantt Chart'!I18*(AD19/26)</f>
        <v>0</v>
      </c>
      <c r="AD19" s="46">
        <f t="shared" si="0"/>
        <v>0</v>
      </c>
      <c r="AE19" s="72">
        <f>IF('Prepare Gantt Chart'!$J18=0,0,SUM(C19:H19)/6/'Prepare Gantt Chart'!$J18)</f>
        <v>0</v>
      </c>
      <c r="AF19" s="72">
        <f>IF('Prepare Gantt Chart'!$J18=0,0,SUM(I19:M19)/5/'Prepare Gantt Chart'!$J18)</f>
        <v>0</v>
      </c>
      <c r="AG19" s="72">
        <f>IF('Prepare Gantt Chart'!$J18=0,0,SUM(N19:R19)/5/'Prepare Gantt Chart'!$J18)</f>
        <v>0</v>
      </c>
      <c r="AH19" s="72">
        <f>IF('Prepare Gantt Chart'!$J18=0,0,SUM(S19:W19)/5/'Prepare Gantt Chart'!$J18)</f>
        <v>0</v>
      </c>
      <c r="AI19" s="72">
        <f>IF('Prepare Gantt Chart'!$J18=0,0,SUM(X19:AB19)/5/'Prepare Gantt Chart'!$J18)</f>
        <v>0</v>
      </c>
      <c r="AK19" s="21" t="s">
        <v>18</v>
      </c>
      <c r="AL19" s="45">
        <f>_xlfn.IFS('Prepare Gantt Chart'!P18=4,'Project types'!$L19*('Prepare Gantt Chart'!$I18*'Prepare Gantt Chart'!$J18),'Prepare Gantt Chart'!P18=3,'Project types'!$L19*('Prepare Gantt Chart'!$I18*'Prepare Gantt Chart'!$J18),'Prepare Gantt Chart'!P18=0,0)</f>
        <v>0</v>
      </c>
      <c r="AM19" s="45">
        <f>_xlfn.IFS('Prepare Gantt Chart'!Q18=4,'Project types'!$L19*('Prepare Gantt Chart'!$I18*'Prepare Gantt Chart'!$J18),'Prepare Gantt Chart'!Q18=3,'Project types'!$L19*('Prepare Gantt Chart'!$I18*'Prepare Gantt Chart'!$J18),'Prepare Gantt Chart'!Q18=0,0)</f>
        <v>0</v>
      </c>
      <c r="AN19" s="45">
        <f>_xlfn.IFS('Prepare Gantt Chart'!R18=4,'Project types'!$L19*('Prepare Gantt Chart'!$I18*'Prepare Gantt Chart'!$J18),'Prepare Gantt Chart'!R18=3,'Project types'!$L19*('Prepare Gantt Chart'!$I18*'Prepare Gantt Chart'!$J18),'Prepare Gantt Chart'!R18=0,0)</f>
        <v>0</v>
      </c>
      <c r="AO19" s="45">
        <f>_xlfn.IFS('Prepare Gantt Chart'!S18=4,'Project types'!$L19*('Prepare Gantt Chart'!$I18*'Prepare Gantt Chart'!$J18),'Prepare Gantt Chart'!S18=3,'Project types'!$L19*('Prepare Gantt Chart'!$I18*'Prepare Gantt Chart'!$J18),'Prepare Gantt Chart'!S18=0,0)</f>
        <v>0</v>
      </c>
      <c r="AP19" s="45">
        <f>_xlfn.IFS('Prepare Gantt Chart'!T18=4,'Project types'!$L19*('Prepare Gantt Chart'!$I18*'Prepare Gantt Chart'!$J18),'Prepare Gantt Chart'!T18=3,'Project types'!$L19*('Prepare Gantt Chart'!$I18*'Prepare Gantt Chart'!$J18),'Prepare Gantt Chart'!T18=0,0)</f>
        <v>0</v>
      </c>
      <c r="AQ19" s="45">
        <f>_xlfn.IFS('Prepare Gantt Chart'!U18=4,'Project types'!$L19*('Prepare Gantt Chart'!$I18*'Prepare Gantt Chart'!$J18),'Prepare Gantt Chart'!U18=3,'Project types'!$L19*('Prepare Gantt Chart'!$I18*'Prepare Gantt Chart'!$J18),'Prepare Gantt Chart'!U18=0,0)</f>
        <v>0</v>
      </c>
      <c r="AR19" s="45">
        <f>_xlfn.IFS('Prepare Gantt Chart'!V18=4,'Project types'!$L19*('Prepare Gantt Chart'!$I18*'Prepare Gantt Chart'!$J18),'Prepare Gantt Chart'!V18=3,'Project types'!$L19*('Prepare Gantt Chart'!$I18*'Prepare Gantt Chart'!$J18),'Prepare Gantt Chart'!V18=0,0)</f>
        <v>0</v>
      </c>
      <c r="AS19" s="45">
        <f>_xlfn.IFS('Prepare Gantt Chart'!W18=4,'Project types'!$L19*('Prepare Gantt Chart'!$I18*'Prepare Gantt Chart'!$J18),'Prepare Gantt Chart'!W18=3,'Project types'!$L19*('Prepare Gantt Chart'!$I18*'Prepare Gantt Chart'!$J18),'Prepare Gantt Chart'!W18=0,0)</f>
        <v>0</v>
      </c>
      <c r="AT19" s="45">
        <f>_xlfn.IFS('Prepare Gantt Chart'!X18=4,'Project types'!$L19*('Prepare Gantt Chart'!$I18*'Prepare Gantt Chart'!$J18),'Prepare Gantt Chart'!X18=3,'Project types'!$L19*('Prepare Gantt Chart'!$I18*'Prepare Gantt Chart'!$J18),'Prepare Gantt Chart'!X18=0,0)</f>
        <v>0</v>
      </c>
      <c r="AU19" s="45">
        <f>_xlfn.IFS('Prepare Gantt Chart'!Y18=4,'Project types'!$L19*('Prepare Gantt Chart'!$I18*'Prepare Gantt Chart'!$J18),'Prepare Gantt Chart'!Y18=3,'Project types'!$L19*('Prepare Gantt Chart'!$I18*'Prepare Gantt Chart'!$J18),'Prepare Gantt Chart'!Y18=0,0)</f>
        <v>0</v>
      </c>
      <c r="AV19" s="45">
        <f>_xlfn.IFS('Prepare Gantt Chart'!Z18=4,'Project types'!$L19*('Prepare Gantt Chart'!$I18*'Prepare Gantt Chart'!$J18),'Prepare Gantt Chart'!Z18=3,'Project types'!$L19*('Prepare Gantt Chart'!$I18*'Prepare Gantt Chart'!$J18),'Prepare Gantt Chart'!Z18=0,0)</f>
        <v>0</v>
      </c>
      <c r="AW19" s="45">
        <f>_xlfn.IFS('Prepare Gantt Chart'!AA18=4,'Project types'!$L19*('Prepare Gantt Chart'!$I18*'Prepare Gantt Chart'!$J18),'Prepare Gantt Chart'!AA18=3,'Project types'!$L19*('Prepare Gantt Chart'!$I18*'Prepare Gantt Chart'!$J18),'Prepare Gantt Chart'!AA18=0,0)</f>
        <v>0</v>
      </c>
      <c r="AX19" s="45">
        <f>_xlfn.IFS('Prepare Gantt Chart'!AB18=4,'Project types'!$L19*('Prepare Gantt Chart'!$I18*'Prepare Gantt Chart'!$J18),'Prepare Gantt Chart'!AB18=3,'Project types'!$L19*('Prepare Gantt Chart'!$I18*'Prepare Gantt Chart'!$J18),'Prepare Gantt Chart'!AB18=0,0)</f>
        <v>0</v>
      </c>
      <c r="AY19" s="45">
        <f>_xlfn.IFS('Prepare Gantt Chart'!AC18=4,'Project types'!$L19*('Prepare Gantt Chart'!$I18*'Prepare Gantt Chart'!$J18),'Prepare Gantt Chart'!AC18=3,'Project types'!$L19*('Prepare Gantt Chart'!$I18*'Prepare Gantt Chart'!$J18),'Prepare Gantt Chart'!AC18=0,0)</f>
        <v>0</v>
      </c>
      <c r="AZ19" s="45">
        <f>_xlfn.IFS('Prepare Gantt Chart'!AD18=4,'Project types'!$L19*('Prepare Gantt Chart'!$I18*'Prepare Gantt Chart'!$J18),'Prepare Gantt Chart'!AD18=3,'Project types'!$L19*('Prepare Gantt Chart'!$I18*'Prepare Gantt Chart'!$J18),'Prepare Gantt Chart'!AD18=0,0)</f>
        <v>0</v>
      </c>
      <c r="BA19" s="45">
        <f>_xlfn.IFS('Prepare Gantt Chart'!AE18=4,'Project types'!$L19*('Prepare Gantt Chart'!$I18*'Prepare Gantt Chart'!$J18),'Prepare Gantt Chart'!AE18=3,'Project types'!$L19*('Prepare Gantt Chart'!$I18*'Prepare Gantt Chart'!$J18),'Prepare Gantt Chart'!AE18=0,0)</f>
        <v>0</v>
      </c>
      <c r="BB19" s="45">
        <f>_xlfn.IFS('Prepare Gantt Chart'!AF18=4,'Project types'!$L19*('Prepare Gantt Chart'!$I18*'Prepare Gantt Chart'!$J18),'Prepare Gantt Chart'!AF18=3,'Project types'!$L19*('Prepare Gantt Chart'!$I18*'Prepare Gantt Chart'!$J18),'Prepare Gantt Chart'!AF18=0,0)</f>
        <v>0</v>
      </c>
      <c r="BC19" s="45">
        <f>_xlfn.IFS('Prepare Gantt Chart'!AG18=4,'Project types'!$L19*('Prepare Gantt Chart'!$I18*'Prepare Gantt Chart'!$J18),'Prepare Gantt Chart'!AG18=3,'Project types'!$L19*('Prepare Gantt Chart'!$I18*'Prepare Gantt Chart'!$J18),'Prepare Gantt Chart'!AG18=0,0)</f>
        <v>0</v>
      </c>
      <c r="BD19" s="45">
        <f>_xlfn.IFS('Prepare Gantt Chart'!AH18=4,'Project types'!$L19*('Prepare Gantt Chart'!$I18*'Prepare Gantt Chart'!$J18),'Prepare Gantt Chart'!AH18=3,'Project types'!$L19*('Prepare Gantt Chart'!$I18*'Prepare Gantt Chart'!$J18),'Prepare Gantt Chart'!AH18=0,0)</f>
        <v>0</v>
      </c>
      <c r="BE19" s="45">
        <f>_xlfn.IFS('Prepare Gantt Chart'!AI18=4,'Project types'!$L19*('Prepare Gantt Chart'!$I18*'Prepare Gantt Chart'!$J18),'Prepare Gantt Chart'!AI18=3,'Project types'!$L19*('Prepare Gantt Chart'!$I18*'Prepare Gantt Chart'!$J18),'Prepare Gantt Chart'!AI18=0,0)</f>
        <v>0</v>
      </c>
      <c r="BF19" s="45">
        <f>_xlfn.IFS('Prepare Gantt Chart'!AJ18=4,'Project types'!$L19*('Prepare Gantt Chart'!$I18*'Prepare Gantt Chart'!$J18),'Prepare Gantt Chart'!AJ18=3,'Project types'!$L19*('Prepare Gantt Chart'!$I18*'Prepare Gantt Chart'!$J18),'Prepare Gantt Chart'!AJ18=0,0)</f>
        <v>0</v>
      </c>
      <c r="BG19" s="45">
        <f>_xlfn.IFS('Prepare Gantt Chart'!AK18=4,'Project types'!$L19*('Prepare Gantt Chart'!$I18*'Prepare Gantt Chart'!$J18),'Prepare Gantt Chart'!AK18=3,'Project types'!$L19*('Prepare Gantt Chart'!$I18*'Prepare Gantt Chart'!$J18),'Prepare Gantt Chart'!AK18=0,0)</f>
        <v>0</v>
      </c>
      <c r="BH19" s="45">
        <f>_xlfn.IFS('Prepare Gantt Chart'!AL18=4,'Project types'!$L19*('Prepare Gantt Chart'!$I18*'Prepare Gantt Chart'!$J18),'Prepare Gantt Chart'!AL18=3,'Project types'!$L19*('Prepare Gantt Chart'!$I18*'Prepare Gantt Chart'!$J18),'Prepare Gantt Chart'!AL18=0,0)</f>
        <v>0</v>
      </c>
      <c r="BI19" s="45">
        <f>_xlfn.IFS('Prepare Gantt Chart'!AM18=4,'Project types'!$L19*('Prepare Gantt Chart'!$I18*'Prepare Gantt Chart'!$J18),'Prepare Gantt Chart'!AM18=3,'Project types'!$L19*('Prepare Gantt Chart'!$I18*'Prepare Gantt Chart'!$J18),'Prepare Gantt Chart'!AM18=0,0)</f>
        <v>0</v>
      </c>
      <c r="BJ19" s="45">
        <f>_xlfn.IFS('Prepare Gantt Chart'!AN18=4,'Project types'!$L19*('Prepare Gantt Chart'!$I18*'Prepare Gantt Chart'!$J18),'Prepare Gantt Chart'!AN18=3,'Project types'!$L19*('Prepare Gantt Chart'!$I18*'Prepare Gantt Chart'!$J18),'Prepare Gantt Chart'!AN18=0,0)</f>
        <v>0</v>
      </c>
      <c r="BK19" s="45">
        <f>_xlfn.IFS('Prepare Gantt Chart'!AO18=4,'Project types'!$L19*('Prepare Gantt Chart'!$I18*'Prepare Gantt Chart'!$J18),'Prepare Gantt Chart'!AO18=3,'Project types'!$L19*('Prepare Gantt Chart'!$I18*'Prepare Gantt Chart'!$J18),'Prepare Gantt Chart'!AO18=0,0)</f>
        <v>0</v>
      </c>
      <c r="BL19" s="46">
        <f t="shared" si="1"/>
        <v>0</v>
      </c>
      <c r="BM19" s="75">
        <f>IF('Prepare Gantt Chart'!$J18=0,0,SUM(AL19:AQ19)/6/'Prepare Gantt Chart'!$J18)</f>
        <v>0</v>
      </c>
      <c r="BN19" s="75">
        <f>IF('Prepare Gantt Chart'!$J18=0,0,SUM(AR19:AV19)/5/'Prepare Gantt Chart'!$J18)</f>
        <v>0</v>
      </c>
      <c r="BO19" s="75">
        <f>IF('Prepare Gantt Chart'!$J18=0,0,SUM(AW19:BA19)/5/'Prepare Gantt Chart'!$J18)</f>
        <v>0</v>
      </c>
      <c r="BP19" s="75">
        <f>IF('Prepare Gantt Chart'!$J18=0,0,SUM(BB19:BF19)/5/'Prepare Gantt Chart'!$J18)</f>
        <v>0</v>
      </c>
      <c r="BQ19" s="75">
        <f>IF('Prepare Gantt Chart'!$J18=0,0,SUM(BG19:BK19)/5/'Prepare Gantt Chart'!$J18)</f>
        <v>0</v>
      </c>
    </row>
    <row r="20" spans="1:69" x14ac:dyDescent="0.2">
      <c r="A20" s="21" t="s">
        <v>19</v>
      </c>
      <c r="B20" s="1" t="s">
        <v>389</v>
      </c>
      <c r="C20" s="45">
        <f>_xlfn.IFS('Prepare Gantt Chart'!P19=4,'Project types'!$O20*('Prepare Gantt Chart'!$I19*'Prepare Gantt Chart'!$J19),'Prepare Gantt Chart'!P19=3,'Project types'!$Q20*('Prepare Gantt Chart'!$I19*'Prepare Gantt Chart'!$J19),'Prepare Gantt Chart'!P19=0,0)</f>
        <v>0</v>
      </c>
      <c r="D20" s="45">
        <f>_xlfn.IFS('Prepare Gantt Chart'!Q19=4,'Project types'!$O20*('Prepare Gantt Chart'!$I19*'Prepare Gantt Chart'!$J19),'Prepare Gantt Chart'!Q19=3,'Project types'!$Q20*('Prepare Gantt Chart'!$I19*'Prepare Gantt Chart'!$J19),'Prepare Gantt Chart'!Q19=0,0)</f>
        <v>0</v>
      </c>
      <c r="E20" s="45">
        <f>_xlfn.IFS('Prepare Gantt Chart'!R19=4,'Project types'!$O20*('Prepare Gantt Chart'!$I19*'Prepare Gantt Chart'!$J19),'Prepare Gantt Chart'!R19=3,'Project types'!$Q20*('Prepare Gantt Chart'!$I19*'Prepare Gantt Chart'!$J19),'Prepare Gantt Chart'!R19=0,0)</f>
        <v>0</v>
      </c>
      <c r="F20" s="45">
        <f>_xlfn.IFS('Prepare Gantt Chart'!S19=4,'Project types'!$O20*('Prepare Gantt Chart'!$I19*'Prepare Gantt Chart'!$J19),'Prepare Gantt Chart'!S19=3,'Project types'!$Q20*('Prepare Gantt Chart'!$I19*'Prepare Gantt Chart'!$J19),'Prepare Gantt Chart'!S19=0,0)</f>
        <v>0</v>
      </c>
      <c r="G20" s="45">
        <f>_xlfn.IFS('Prepare Gantt Chart'!T19=4,'Project types'!$O20*('Prepare Gantt Chart'!$I19*'Prepare Gantt Chart'!$J19),'Prepare Gantt Chart'!T19=3,'Project types'!$Q20*('Prepare Gantt Chart'!$I19*'Prepare Gantt Chart'!$J19),'Prepare Gantt Chart'!T19=0,0)</f>
        <v>0</v>
      </c>
      <c r="H20" s="45">
        <f>_xlfn.IFS('Prepare Gantt Chart'!U19=4,'Project types'!$O20*('Prepare Gantt Chart'!$I19*'Prepare Gantt Chart'!$J19),'Prepare Gantt Chart'!U19=3,'Project types'!$Q20*('Prepare Gantt Chart'!$I19*'Prepare Gantt Chart'!$J19),'Prepare Gantt Chart'!U19=0,0)</f>
        <v>0</v>
      </c>
      <c r="I20" s="45">
        <f>_xlfn.IFS('Prepare Gantt Chart'!V19=4,'Project types'!$O20*('Prepare Gantt Chart'!$I19*'Prepare Gantt Chart'!$J19),'Prepare Gantt Chart'!V19=3,'Project types'!$Q20*('Prepare Gantt Chart'!$I19*'Prepare Gantt Chart'!$J19),'Prepare Gantt Chart'!V19=0,0)</f>
        <v>0</v>
      </c>
      <c r="J20" s="45">
        <f>_xlfn.IFS('Prepare Gantt Chart'!W19=4,'Project types'!$O20*('Prepare Gantt Chart'!$I19*'Prepare Gantt Chart'!$J19),'Prepare Gantt Chart'!W19=3,'Project types'!$Q20*('Prepare Gantt Chart'!$I19*'Prepare Gantt Chart'!$J19),'Prepare Gantt Chart'!W19=0,0)</f>
        <v>0</v>
      </c>
      <c r="K20" s="45">
        <f>_xlfn.IFS('Prepare Gantt Chart'!X19=4,'Project types'!$O20*('Prepare Gantt Chart'!$I19*'Prepare Gantt Chart'!$J19),'Prepare Gantt Chart'!X19=3,'Project types'!$Q20*('Prepare Gantt Chart'!$I19*'Prepare Gantt Chart'!$J19),'Prepare Gantt Chart'!X19=0,0)</f>
        <v>0</v>
      </c>
      <c r="L20" s="45">
        <f>_xlfn.IFS('Prepare Gantt Chart'!Y19=4,'Project types'!$O20*('Prepare Gantt Chart'!$I19*'Prepare Gantt Chart'!$J19),'Prepare Gantt Chart'!Y19=3,'Project types'!$Q20*('Prepare Gantt Chart'!$I19*'Prepare Gantt Chart'!$J19),'Prepare Gantt Chart'!Y19=0,0)</f>
        <v>0</v>
      </c>
      <c r="M20" s="45">
        <f>_xlfn.IFS('Prepare Gantt Chart'!Z19=4,'Project types'!$O20*('Prepare Gantt Chart'!$I19*'Prepare Gantt Chart'!$J19),'Prepare Gantt Chart'!Z19=3,'Project types'!$Q20*('Prepare Gantt Chart'!$I19*'Prepare Gantt Chart'!$J19),'Prepare Gantt Chart'!Z19=0,0)</f>
        <v>0</v>
      </c>
      <c r="N20" s="45">
        <f>_xlfn.IFS('Prepare Gantt Chart'!AA19=4,'Project types'!$O20*('Prepare Gantt Chart'!$I19*'Prepare Gantt Chart'!$J19),'Prepare Gantt Chart'!AA19=3,'Project types'!$Q20*('Prepare Gantt Chart'!$I19*'Prepare Gantt Chart'!$J19),'Prepare Gantt Chart'!AA19=0,0)</f>
        <v>0</v>
      </c>
      <c r="O20" s="45">
        <f>_xlfn.IFS('Prepare Gantt Chart'!AB19=4,'Project types'!$O20*('Prepare Gantt Chart'!$I19*'Prepare Gantt Chart'!$J19),'Prepare Gantt Chart'!AB19=3,'Project types'!$Q20*('Prepare Gantt Chart'!$I19*'Prepare Gantt Chart'!$J19),'Prepare Gantt Chart'!AB19=0,0)</f>
        <v>0</v>
      </c>
      <c r="P20" s="45">
        <f>_xlfn.IFS('Prepare Gantt Chart'!AC19=4,'Project types'!$O20*('Prepare Gantt Chart'!$I19*'Prepare Gantt Chart'!$J19),'Prepare Gantt Chart'!AC19=3,'Project types'!$Q20*('Prepare Gantt Chart'!$I19*'Prepare Gantt Chart'!$J19),'Prepare Gantt Chart'!AC19=0,0)</f>
        <v>0</v>
      </c>
      <c r="Q20" s="45">
        <f>_xlfn.IFS('Prepare Gantt Chart'!AD19=4,'Project types'!$O20*('Prepare Gantt Chart'!$I19*'Prepare Gantt Chart'!$J19),'Prepare Gantt Chart'!AD19=3,'Project types'!$Q20*('Prepare Gantt Chart'!$I19*'Prepare Gantt Chart'!$J19),'Prepare Gantt Chart'!AD19=0,0)</f>
        <v>0</v>
      </c>
      <c r="R20" s="45">
        <f>_xlfn.IFS('Prepare Gantt Chart'!AE19=4,'Project types'!$O20*('Prepare Gantt Chart'!$I19*'Prepare Gantt Chart'!$J19),'Prepare Gantt Chart'!AE19=3,'Project types'!$Q20*('Prepare Gantt Chart'!$I19*'Prepare Gantt Chart'!$J19),'Prepare Gantt Chart'!AE19=0,0)</f>
        <v>0</v>
      </c>
      <c r="S20" s="45">
        <f>_xlfn.IFS('Prepare Gantt Chart'!AF19=4,'Project types'!$O20*('Prepare Gantt Chart'!$I19*'Prepare Gantt Chart'!$J19),'Prepare Gantt Chart'!AF19=3,'Project types'!$Q20*('Prepare Gantt Chart'!$I19*'Prepare Gantt Chart'!$J19),'Prepare Gantt Chart'!AF19=0,0)</f>
        <v>0</v>
      </c>
      <c r="T20" s="45">
        <f>_xlfn.IFS('Prepare Gantt Chart'!AG19=4,'Project types'!$O20*('Prepare Gantt Chart'!$I19*'Prepare Gantt Chart'!$J19),'Prepare Gantt Chart'!AG19=3,'Project types'!$Q20*('Prepare Gantt Chart'!$I19*'Prepare Gantt Chart'!$J19),'Prepare Gantt Chart'!AG19=0,0)</f>
        <v>0</v>
      </c>
      <c r="U20" s="45">
        <f>_xlfn.IFS('Prepare Gantt Chart'!AH19=4,'Project types'!$O20*('Prepare Gantt Chart'!$I19*'Prepare Gantt Chart'!$J19),'Prepare Gantt Chart'!AH19=3,'Project types'!$Q20*('Prepare Gantt Chart'!$I19*'Prepare Gantt Chart'!$J19),'Prepare Gantt Chart'!AH19=0,0)</f>
        <v>0</v>
      </c>
      <c r="V20" s="45">
        <f>_xlfn.IFS('Prepare Gantt Chart'!AI19=4,'Project types'!$O20*('Prepare Gantt Chart'!$I19*'Prepare Gantt Chart'!$J19),'Prepare Gantt Chart'!AI19=3,'Project types'!$Q20*('Prepare Gantt Chart'!$I19*'Prepare Gantt Chart'!$J19),'Prepare Gantt Chart'!AI19=0,0)</f>
        <v>0</v>
      </c>
      <c r="W20" s="45">
        <f>_xlfn.IFS('Prepare Gantt Chart'!AJ19=4,'Project types'!$O20*('Prepare Gantt Chart'!$I19*'Prepare Gantt Chart'!$J19),'Prepare Gantt Chart'!AJ19=3,'Project types'!$Q20*('Prepare Gantt Chart'!$I19*'Prepare Gantt Chart'!$J19),'Prepare Gantt Chart'!AJ19=0,0)</f>
        <v>0</v>
      </c>
      <c r="X20" s="45">
        <f>_xlfn.IFS('Prepare Gantt Chart'!AK19=4,'Project types'!$O20*('Prepare Gantt Chart'!$I19*'Prepare Gantt Chart'!$J19),'Prepare Gantt Chart'!AK19=3,'Project types'!$Q20*('Prepare Gantt Chart'!$I19*'Prepare Gantt Chart'!$J19),'Prepare Gantt Chart'!AK19=0,0)</f>
        <v>0</v>
      </c>
      <c r="Y20" s="45">
        <f>_xlfn.IFS('Prepare Gantt Chart'!AL19=4,'Project types'!$O20*('Prepare Gantt Chart'!$I19*'Prepare Gantt Chart'!$J19),'Prepare Gantt Chart'!AL19=3,'Project types'!$Q20*('Prepare Gantt Chart'!$I19*'Prepare Gantt Chart'!$J19),'Prepare Gantt Chart'!AL19=0,0)</f>
        <v>0</v>
      </c>
      <c r="Z20" s="45">
        <f>_xlfn.IFS('Prepare Gantt Chart'!AM19=4,'Project types'!$O20*('Prepare Gantt Chart'!$I19*'Prepare Gantt Chart'!$J19),'Prepare Gantt Chart'!AM19=3,'Project types'!$Q20*('Prepare Gantt Chart'!$I19*'Prepare Gantt Chart'!$J19),'Prepare Gantt Chart'!AM19=0,0)</f>
        <v>0</v>
      </c>
      <c r="AA20" s="45">
        <f>_xlfn.IFS('Prepare Gantt Chart'!AN19=4,'Project types'!$O20*('Prepare Gantt Chart'!$I19*'Prepare Gantt Chart'!$J19),'Prepare Gantt Chart'!AN19=3,'Project types'!$Q20*('Prepare Gantt Chart'!$I19*'Prepare Gantt Chart'!$J19),'Prepare Gantt Chart'!AN19=0,0)</f>
        <v>0</v>
      </c>
      <c r="AB20" s="45">
        <f>_xlfn.IFS('Prepare Gantt Chart'!AO19=4,'Project types'!$O20*('Prepare Gantt Chart'!$I19*'Prepare Gantt Chart'!$J19),'Prepare Gantt Chart'!AO19=3,'Project types'!$Q20*('Prepare Gantt Chart'!$I19*'Prepare Gantt Chart'!$J19),'Prepare Gantt Chart'!AO19=0,0)</f>
        <v>0</v>
      </c>
      <c r="AC20" s="45">
        <f>'Prepare Gantt Chart'!J19*'Prepare Gantt Chart'!I19*(AD20/26)</f>
        <v>0</v>
      </c>
      <c r="AD20" s="46">
        <f t="shared" si="0"/>
        <v>0</v>
      </c>
      <c r="AE20" s="72">
        <f>IF('Prepare Gantt Chart'!$J19=0,0,SUM(C20:H20)/6/'Prepare Gantt Chart'!$J19)</f>
        <v>0</v>
      </c>
      <c r="AF20" s="72">
        <f>IF('Prepare Gantt Chart'!$J19=0,0,SUM(I20:M20)/5/'Prepare Gantt Chart'!$J19)</f>
        <v>0</v>
      </c>
      <c r="AG20" s="72">
        <f>IF('Prepare Gantt Chart'!$J19=0,0,SUM(N20:R20)/5/'Prepare Gantt Chart'!$J19)</f>
        <v>0</v>
      </c>
      <c r="AH20" s="72">
        <f>IF('Prepare Gantt Chart'!$J19=0,0,SUM(S20:W20)/5/'Prepare Gantt Chart'!$J19)</f>
        <v>0</v>
      </c>
      <c r="AI20" s="72">
        <f>IF('Prepare Gantt Chart'!$J19=0,0,SUM(X20:AB20)/5/'Prepare Gantt Chart'!$J19)</f>
        <v>0</v>
      </c>
      <c r="AK20" s="21" t="s">
        <v>19</v>
      </c>
      <c r="AL20" s="45">
        <f>_xlfn.IFS('Prepare Gantt Chart'!P19=4,'Project types'!$L20*('Prepare Gantt Chart'!$I19*'Prepare Gantt Chart'!$J19),'Prepare Gantt Chart'!P19=3,'Project types'!$L20*('Prepare Gantt Chart'!$I19*'Prepare Gantt Chart'!$J19),'Prepare Gantt Chart'!P19=0,0)</f>
        <v>0</v>
      </c>
      <c r="AM20" s="45">
        <f>_xlfn.IFS('Prepare Gantt Chart'!Q19=4,'Project types'!$L20*('Prepare Gantt Chart'!$I19*'Prepare Gantt Chart'!$J19),'Prepare Gantt Chart'!Q19=3,'Project types'!$L20*('Prepare Gantt Chart'!$I19*'Prepare Gantt Chart'!$J19),'Prepare Gantt Chart'!Q19=0,0)</f>
        <v>0</v>
      </c>
      <c r="AN20" s="45">
        <f>_xlfn.IFS('Prepare Gantt Chart'!R19=4,'Project types'!$L20*('Prepare Gantt Chart'!$I19*'Prepare Gantt Chart'!$J19),'Prepare Gantt Chart'!R19=3,'Project types'!$L20*('Prepare Gantt Chart'!$I19*'Prepare Gantt Chart'!$J19),'Prepare Gantt Chart'!R19=0,0)</f>
        <v>0</v>
      </c>
      <c r="AO20" s="45">
        <f>_xlfn.IFS('Prepare Gantt Chart'!S19=4,'Project types'!$L20*('Prepare Gantt Chart'!$I19*'Prepare Gantt Chart'!$J19),'Prepare Gantt Chart'!S19=3,'Project types'!$L20*('Prepare Gantt Chart'!$I19*'Prepare Gantt Chart'!$J19),'Prepare Gantt Chart'!S19=0,0)</f>
        <v>0</v>
      </c>
      <c r="AP20" s="45">
        <f>_xlfn.IFS('Prepare Gantt Chart'!T19=4,'Project types'!$L20*('Prepare Gantt Chart'!$I19*'Prepare Gantt Chart'!$J19),'Prepare Gantt Chart'!T19=3,'Project types'!$L20*('Prepare Gantt Chart'!$I19*'Prepare Gantt Chart'!$J19),'Prepare Gantt Chart'!T19=0,0)</f>
        <v>0</v>
      </c>
      <c r="AQ20" s="45">
        <f>_xlfn.IFS('Prepare Gantt Chart'!U19=4,'Project types'!$L20*('Prepare Gantt Chart'!$I19*'Prepare Gantt Chart'!$J19),'Prepare Gantt Chart'!U19=3,'Project types'!$L20*('Prepare Gantt Chart'!$I19*'Prepare Gantt Chart'!$J19),'Prepare Gantt Chart'!U19=0,0)</f>
        <v>0</v>
      </c>
      <c r="AR20" s="45">
        <f>_xlfn.IFS('Prepare Gantt Chart'!V19=4,'Project types'!$L20*('Prepare Gantt Chart'!$I19*'Prepare Gantt Chart'!$J19),'Prepare Gantt Chart'!V19=3,'Project types'!$L20*('Prepare Gantt Chart'!$I19*'Prepare Gantt Chart'!$J19),'Prepare Gantt Chart'!V19=0,0)</f>
        <v>0</v>
      </c>
      <c r="AS20" s="45">
        <f>_xlfn.IFS('Prepare Gantt Chart'!W19=4,'Project types'!$L20*('Prepare Gantt Chart'!$I19*'Prepare Gantt Chart'!$J19),'Prepare Gantt Chart'!W19=3,'Project types'!$L20*('Prepare Gantt Chart'!$I19*'Prepare Gantt Chart'!$J19),'Prepare Gantt Chart'!W19=0,0)</f>
        <v>0</v>
      </c>
      <c r="AT20" s="45">
        <f>_xlfn.IFS('Prepare Gantt Chart'!X19=4,'Project types'!$L20*('Prepare Gantt Chart'!$I19*'Prepare Gantt Chart'!$J19),'Prepare Gantt Chart'!X19=3,'Project types'!$L20*('Prepare Gantt Chart'!$I19*'Prepare Gantt Chart'!$J19),'Prepare Gantt Chart'!X19=0,0)</f>
        <v>0</v>
      </c>
      <c r="AU20" s="45">
        <f>_xlfn.IFS('Prepare Gantt Chart'!Y19=4,'Project types'!$L20*('Prepare Gantt Chart'!$I19*'Prepare Gantt Chart'!$J19),'Prepare Gantt Chart'!Y19=3,'Project types'!$L20*('Prepare Gantt Chart'!$I19*'Prepare Gantt Chart'!$J19),'Prepare Gantt Chart'!Y19=0,0)</f>
        <v>0</v>
      </c>
      <c r="AV20" s="45">
        <f>_xlfn.IFS('Prepare Gantt Chart'!Z19=4,'Project types'!$L20*('Prepare Gantt Chart'!$I19*'Prepare Gantt Chart'!$J19),'Prepare Gantt Chart'!Z19=3,'Project types'!$L20*('Prepare Gantt Chart'!$I19*'Prepare Gantt Chart'!$J19),'Prepare Gantt Chart'!Z19=0,0)</f>
        <v>0</v>
      </c>
      <c r="AW20" s="45">
        <f>_xlfn.IFS('Prepare Gantt Chart'!AA19=4,'Project types'!$L20*('Prepare Gantt Chart'!$I19*'Prepare Gantt Chart'!$J19),'Prepare Gantt Chart'!AA19=3,'Project types'!$L20*('Prepare Gantt Chart'!$I19*'Prepare Gantt Chart'!$J19),'Prepare Gantt Chart'!AA19=0,0)</f>
        <v>0</v>
      </c>
      <c r="AX20" s="45">
        <f>_xlfn.IFS('Prepare Gantt Chart'!AB19=4,'Project types'!$L20*('Prepare Gantt Chart'!$I19*'Prepare Gantt Chart'!$J19),'Prepare Gantt Chart'!AB19=3,'Project types'!$L20*('Prepare Gantt Chart'!$I19*'Prepare Gantt Chart'!$J19),'Prepare Gantt Chart'!AB19=0,0)</f>
        <v>0</v>
      </c>
      <c r="AY20" s="45">
        <f>_xlfn.IFS('Prepare Gantt Chart'!AC19=4,'Project types'!$L20*('Prepare Gantt Chart'!$I19*'Prepare Gantt Chart'!$J19),'Prepare Gantt Chart'!AC19=3,'Project types'!$L20*('Prepare Gantt Chart'!$I19*'Prepare Gantt Chart'!$J19),'Prepare Gantt Chart'!AC19=0,0)</f>
        <v>0</v>
      </c>
      <c r="AZ20" s="45">
        <f>_xlfn.IFS('Prepare Gantt Chart'!AD19=4,'Project types'!$L20*('Prepare Gantt Chart'!$I19*'Prepare Gantt Chart'!$J19),'Prepare Gantt Chart'!AD19=3,'Project types'!$L20*('Prepare Gantt Chart'!$I19*'Prepare Gantt Chart'!$J19),'Prepare Gantt Chart'!AD19=0,0)</f>
        <v>0</v>
      </c>
      <c r="BA20" s="45">
        <f>_xlfn.IFS('Prepare Gantt Chart'!AE19=4,'Project types'!$L20*('Prepare Gantt Chart'!$I19*'Prepare Gantt Chart'!$J19),'Prepare Gantt Chart'!AE19=3,'Project types'!$L20*('Prepare Gantt Chart'!$I19*'Prepare Gantt Chart'!$J19),'Prepare Gantt Chart'!AE19=0,0)</f>
        <v>0</v>
      </c>
      <c r="BB20" s="45">
        <f>_xlfn.IFS('Prepare Gantt Chart'!AF19=4,'Project types'!$L20*('Prepare Gantt Chart'!$I19*'Prepare Gantt Chart'!$J19),'Prepare Gantt Chart'!AF19=3,'Project types'!$L20*('Prepare Gantt Chart'!$I19*'Prepare Gantt Chart'!$J19),'Prepare Gantt Chart'!AF19=0,0)</f>
        <v>0</v>
      </c>
      <c r="BC20" s="45">
        <f>_xlfn.IFS('Prepare Gantt Chart'!AG19=4,'Project types'!$L20*('Prepare Gantt Chart'!$I19*'Prepare Gantt Chart'!$J19),'Prepare Gantt Chart'!AG19=3,'Project types'!$L20*('Prepare Gantt Chart'!$I19*'Prepare Gantt Chart'!$J19),'Prepare Gantt Chart'!AG19=0,0)</f>
        <v>0</v>
      </c>
      <c r="BD20" s="45">
        <f>_xlfn.IFS('Prepare Gantt Chart'!AH19=4,'Project types'!$L20*('Prepare Gantt Chart'!$I19*'Prepare Gantt Chart'!$J19),'Prepare Gantt Chart'!AH19=3,'Project types'!$L20*('Prepare Gantt Chart'!$I19*'Prepare Gantt Chart'!$J19),'Prepare Gantt Chart'!AH19=0,0)</f>
        <v>0</v>
      </c>
      <c r="BE20" s="45">
        <f>_xlfn.IFS('Prepare Gantt Chart'!AI19=4,'Project types'!$L20*('Prepare Gantt Chart'!$I19*'Prepare Gantt Chart'!$J19),'Prepare Gantt Chart'!AI19=3,'Project types'!$L20*('Prepare Gantt Chart'!$I19*'Prepare Gantt Chart'!$J19),'Prepare Gantt Chart'!AI19=0,0)</f>
        <v>0</v>
      </c>
      <c r="BF20" s="45">
        <f>_xlfn.IFS('Prepare Gantt Chart'!AJ19=4,'Project types'!$L20*('Prepare Gantt Chart'!$I19*'Prepare Gantt Chart'!$J19),'Prepare Gantt Chart'!AJ19=3,'Project types'!$L20*('Prepare Gantt Chart'!$I19*'Prepare Gantt Chart'!$J19),'Prepare Gantt Chart'!AJ19=0,0)</f>
        <v>0</v>
      </c>
      <c r="BG20" s="45">
        <f>_xlfn.IFS('Prepare Gantt Chart'!AK19=4,'Project types'!$L20*('Prepare Gantt Chart'!$I19*'Prepare Gantt Chart'!$J19),'Prepare Gantt Chart'!AK19=3,'Project types'!$L20*('Prepare Gantt Chart'!$I19*'Prepare Gantt Chart'!$J19),'Prepare Gantt Chart'!AK19=0,0)</f>
        <v>0</v>
      </c>
      <c r="BH20" s="45">
        <f>_xlfn.IFS('Prepare Gantt Chart'!AL19=4,'Project types'!$L20*('Prepare Gantt Chart'!$I19*'Prepare Gantt Chart'!$J19),'Prepare Gantt Chart'!AL19=3,'Project types'!$L20*('Prepare Gantt Chart'!$I19*'Prepare Gantt Chart'!$J19),'Prepare Gantt Chart'!AL19=0,0)</f>
        <v>0</v>
      </c>
      <c r="BI20" s="45">
        <f>_xlfn.IFS('Prepare Gantt Chart'!AM19=4,'Project types'!$L20*('Prepare Gantt Chart'!$I19*'Prepare Gantt Chart'!$J19),'Prepare Gantt Chart'!AM19=3,'Project types'!$L20*('Prepare Gantt Chart'!$I19*'Prepare Gantt Chart'!$J19),'Prepare Gantt Chart'!AM19=0,0)</f>
        <v>0</v>
      </c>
      <c r="BJ20" s="45">
        <f>_xlfn.IFS('Prepare Gantt Chart'!AN19=4,'Project types'!$L20*('Prepare Gantt Chart'!$I19*'Prepare Gantt Chart'!$J19),'Prepare Gantt Chart'!AN19=3,'Project types'!$L20*('Prepare Gantt Chart'!$I19*'Prepare Gantt Chart'!$J19),'Prepare Gantt Chart'!AN19=0,0)</f>
        <v>0</v>
      </c>
      <c r="BK20" s="45">
        <f>_xlfn.IFS('Prepare Gantt Chart'!AO19=4,'Project types'!$L20*('Prepare Gantt Chart'!$I19*'Prepare Gantt Chart'!$J19),'Prepare Gantt Chart'!AO19=3,'Project types'!$L20*('Prepare Gantt Chart'!$I19*'Prepare Gantt Chart'!$J19),'Prepare Gantt Chart'!AO19=0,0)</f>
        <v>0</v>
      </c>
      <c r="BL20" s="46">
        <f t="shared" si="1"/>
        <v>0</v>
      </c>
      <c r="BM20" s="75">
        <f>IF('Prepare Gantt Chart'!$J19=0,0,SUM(AL20:AQ20)/6/'Prepare Gantt Chart'!$J19)</f>
        <v>0</v>
      </c>
      <c r="BN20" s="75">
        <f>IF('Prepare Gantt Chart'!$J19=0,0,SUM(AR20:AV20)/5/'Prepare Gantt Chart'!$J19)</f>
        <v>0</v>
      </c>
      <c r="BO20" s="75">
        <f>IF('Prepare Gantt Chart'!$J19=0,0,SUM(AW20:BA20)/5/'Prepare Gantt Chart'!$J19)</f>
        <v>0</v>
      </c>
      <c r="BP20" s="75">
        <f>IF('Prepare Gantt Chart'!$J19=0,0,SUM(BB20:BF20)/5/'Prepare Gantt Chart'!$J19)</f>
        <v>0</v>
      </c>
      <c r="BQ20" s="75">
        <f>IF('Prepare Gantt Chart'!$J19=0,0,SUM(BG20:BK20)/5/'Prepare Gantt Chart'!$J19)</f>
        <v>0</v>
      </c>
    </row>
    <row r="21" spans="1:69" x14ac:dyDescent="0.2">
      <c r="A21" s="21" t="s">
        <v>20</v>
      </c>
      <c r="B21" s="1" t="s">
        <v>469</v>
      </c>
      <c r="C21" s="45">
        <f>_xlfn.IFS('Prepare Gantt Chart'!P20=4,'Project types'!$O21*('Prepare Gantt Chart'!$I20*'Prepare Gantt Chart'!$J20),'Prepare Gantt Chart'!P20=3,'Project types'!$Q21*('Prepare Gantt Chart'!$I20*'Prepare Gantt Chart'!$J20),'Prepare Gantt Chart'!P20=0,0)</f>
        <v>0</v>
      </c>
      <c r="D21" s="45">
        <f>_xlfn.IFS('Prepare Gantt Chart'!Q20=4,'Project types'!$O21*('Prepare Gantt Chart'!$I20*'Prepare Gantt Chart'!$J20),'Prepare Gantt Chart'!Q20=3,'Project types'!$Q21*('Prepare Gantt Chart'!$I20*'Prepare Gantt Chart'!$J20),'Prepare Gantt Chart'!Q20=0,0)</f>
        <v>0</v>
      </c>
      <c r="E21" s="45">
        <f>_xlfn.IFS('Prepare Gantt Chart'!R20=4,'Project types'!$O21*('Prepare Gantt Chart'!$I20*'Prepare Gantt Chart'!$J20),'Prepare Gantt Chart'!R20=3,'Project types'!$Q21*('Prepare Gantt Chart'!$I20*'Prepare Gantt Chart'!$J20),'Prepare Gantt Chart'!R20=0,0)</f>
        <v>0</v>
      </c>
      <c r="F21" s="45">
        <f>_xlfn.IFS('Prepare Gantt Chart'!S20=4,'Project types'!$O21*('Prepare Gantt Chart'!$I20*'Prepare Gantt Chart'!$J20),'Prepare Gantt Chart'!S20=3,'Project types'!$Q21*('Prepare Gantt Chart'!$I20*'Prepare Gantt Chart'!$J20),'Prepare Gantt Chart'!S20=0,0)</f>
        <v>0</v>
      </c>
      <c r="G21" s="45">
        <f>_xlfn.IFS('Prepare Gantt Chart'!T20=4,'Project types'!$O21*('Prepare Gantt Chart'!$I20*'Prepare Gantt Chart'!$J20),'Prepare Gantt Chart'!T20=3,'Project types'!$Q21*('Prepare Gantt Chart'!$I20*'Prepare Gantt Chart'!$J20),'Prepare Gantt Chart'!T20=0,0)</f>
        <v>0</v>
      </c>
      <c r="H21" s="45">
        <f>_xlfn.IFS('Prepare Gantt Chart'!U20=4,'Project types'!$O21*('Prepare Gantt Chart'!$I20*'Prepare Gantt Chart'!$J20),'Prepare Gantt Chart'!U20=3,'Project types'!$Q21*('Prepare Gantt Chart'!$I20*'Prepare Gantt Chart'!$J20),'Prepare Gantt Chart'!U20=0,0)</f>
        <v>0</v>
      </c>
      <c r="I21" s="45">
        <f>_xlfn.IFS('Prepare Gantt Chart'!V20=4,'Project types'!$O21*('Prepare Gantt Chart'!$I20*'Prepare Gantt Chart'!$J20),'Prepare Gantt Chart'!V20=3,'Project types'!$Q21*('Prepare Gantt Chart'!$I20*'Prepare Gantt Chart'!$J20),'Prepare Gantt Chart'!V20=0,0)</f>
        <v>0</v>
      </c>
      <c r="J21" s="45">
        <f>_xlfn.IFS('Prepare Gantt Chart'!W20=4,'Project types'!$O21*('Prepare Gantt Chart'!$I20*'Prepare Gantt Chart'!$J20),'Prepare Gantt Chart'!W20=3,'Project types'!$Q21*('Prepare Gantt Chart'!$I20*'Prepare Gantt Chart'!$J20),'Prepare Gantt Chart'!W20=0,0)</f>
        <v>0</v>
      </c>
      <c r="K21" s="45">
        <f>_xlfn.IFS('Prepare Gantt Chart'!X20=4,'Project types'!$O21*('Prepare Gantt Chart'!$I20*'Prepare Gantt Chart'!$J20),'Prepare Gantt Chart'!X20=3,'Project types'!$Q21*('Prepare Gantt Chart'!$I20*'Prepare Gantt Chart'!$J20),'Prepare Gantt Chart'!X20=0,0)</f>
        <v>0</v>
      </c>
      <c r="L21" s="45">
        <f>_xlfn.IFS('Prepare Gantt Chart'!Y20=4,'Project types'!$O21*('Prepare Gantt Chart'!$I20*'Prepare Gantt Chart'!$J20),'Prepare Gantt Chart'!Y20=3,'Project types'!$Q21*('Prepare Gantt Chart'!$I20*'Prepare Gantt Chart'!$J20),'Prepare Gantt Chart'!Y20=0,0)</f>
        <v>0</v>
      </c>
      <c r="M21" s="45">
        <f>_xlfn.IFS('Prepare Gantt Chart'!Z20=4,'Project types'!$O21*('Prepare Gantt Chart'!$I20*'Prepare Gantt Chart'!$J20),'Prepare Gantt Chart'!Z20=3,'Project types'!$Q21*('Prepare Gantt Chart'!$I20*'Prepare Gantt Chart'!$J20),'Prepare Gantt Chart'!Z20=0,0)</f>
        <v>0</v>
      </c>
      <c r="N21" s="45">
        <f>_xlfn.IFS('Prepare Gantt Chart'!AA20=4,'Project types'!$O21*('Prepare Gantt Chart'!$I20*'Prepare Gantt Chart'!$J20),'Prepare Gantt Chart'!AA20=3,'Project types'!$Q21*('Prepare Gantt Chart'!$I20*'Prepare Gantt Chart'!$J20),'Prepare Gantt Chart'!AA20=0,0)</f>
        <v>0</v>
      </c>
      <c r="O21" s="45">
        <f>_xlfn.IFS('Prepare Gantt Chart'!AB20=4,'Project types'!$O21*('Prepare Gantt Chart'!$I20*'Prepare Gantt Chart'!$J20),'Prepare Gantt Chart'!AB20=3,'Project types'!$Q21*('Prepare Gantt Chart'!$I20*'Prepare Gantt Chart'!$J20),'Prepare Gantt Chart'!AB20=0,0)</f>
        <v>0</v>
      </c>
      <c r="P21" s="45">
        <f>_xlfn.IFS('Prepare Gantt Chart'!AC20=4,'Project types'!$O21*('Prepare Gantt Chart'!$I20*'Prepare Gantt Chart'!$J20),'Prepare Gantt Chart'!AC20=3,'Project types'!$Q21*('Prepare Gantt Chart'!$I20*'Prepare Gantt Chart'!$J20),'Prepare Gantt Chart'!AC20=0,0)</f>
        <v>0</v>
      </c>
      <c r="Q21" s="45">
        <f>_xlfn.IFS('Prepare Gantt Chart'!AD20=4,'Project types'!$O21*('Prepare Gantt Chart'!$I20*'Prepare Gantt Chart'!$J20),'Prepare Gantt Chart'!AD20=3,'Project types'!$Q21*('Prepare Gantt Chart'!$I20*'Prepare Gantt Chart'!$J20),'Prepare Gantt Chart'!AD20=0,0)</f>
        <v>0</v>
      </c>
      <c r="R21" s="45">
        <f>_xlfn.IFS('Prepare Gantt Chart'!AE20=4,'Project types'!$O21*('Prepare Gantt Chart'!$I20*'Prepare Gantt Chart'!$J20),'Prepare Gantt Chart'!AE20=3,'Project types'!$Q21*('Prepare Gantt Chart'!$I20*'Prepare Gantt Chart'!$J20),'Prepare Gantt Chart'!AE20=0,0)</f>
        <v>0</v>
      </c>
      <c r="S21" s="45">
        <f>_xlfn.IFS('Prepare Gantt Chart'!AF20=4,'Project types'!$O21*('Prepare Gantt Chart'!$I20*'Prepare Gantt Chart'!$J20),'Prepare Gantt Chart'!AF20=3,'Project types'!$Q21*('Prepare Gantt Chart'!$I20*'Prepare Gantt Chart'!$J20),'Prepare Gantt Chart'!AF20=0,0)</f>
        <v>0</v>
      </c>
      <c r="T21" s="45">
        <f>_xlfn.IFS('Prepare Gantt Chart'!AG20=4,'Project types'!$O21*('Prepare Gantt Chart'!$I20*'Prepare Gantt Chart'!$J20),'Prepare Gantt Chart'!AG20=3,'Project types'!$Q21*('Prepare Gantt Chart'!$I20*'Prepare Gantt Chart'!$J20),'Prepare Gantt Chart'!AG20=0,0)</f>
        <v>0</v>
      </c>
      <c r="U21" s="45">
        <f>_xlfn.IFS('Prepare Gantt Chart'!AH20=4,'Project types'!$O21*('Prepare Gantt Chart'!$I20*'Prepare Gantt Chart'!$J20),'Prepare Gantt Chart'!AH20=3,'Project types'!$Q21*('Prepare Gantt Chart'!$I20*'Prepare Gantt Chart'!$J20),'Prepare Gantt Chart'!AH20=0,0)</f>
        <v>0</v>
      </c>
      <c r="V21" s="45">
        <f>_xlfn.IFS('Prepare Gantt Chart'!AI20=4,'Project types'!$O21*('Prepare Gantt Chart'!$I20*'Prepare Gantt Chart'!$J20),'Prepare Gantt Chart'!AI20=3,'Project types'!$Q21*('Prepare Gantt Chart'!$I20*'Prepare Gantt Chart'!$J20),'Prepare Gantt Chart'!AI20=0,0)</f>
        <v>0</v>
      </c>
      <c r="W21" s="45">
        <f>_xlfn.IFS('Prepare Gantt Chart'!AJ20=4,'Project types'!$O21*('Prepare Gantt Chart'!$I20*'Prepare Gantt Chart'!$J20),'Prepare Gantt Chart'!AJ20=3,'Project types'!$Q21*('Prepare Gantt Chart'!$I20*'Prepare Gantt Chart'!$J20),'Prepare Gantt Chart'!AJ20=0,0)</f>
        <v>0</v>
      </c>
      <c r="X21" s="45">
        <f>_xlfn.IFS('Prepare Gantt Chart'!AK20=4,'Project types'!$O21*('Prepare Gantt Chart'!$I20*'Prepare Gantt Chart'!$J20),'Prepare Gantt Chart'!AK20=3,'Project types'!$Q21*('Prepare Gantt Chart'!$I20*'Prepare Gantt Chart'!$J20),'Prepare Gantt Chart'!AK20=0,0)</f>
        <v>0</v>
      </c>
      <c r="Y21" s="45">
        <f>_xlfn.IFS('Prepare Gantt Chart'!AL20=4,'Project types'!$O21*('Prepare Gantt Chart'!$I20*'Prepare Gantt Chart'!$J20),'Prepare Gantt Chart'!AL20=3,'Project types'!$Q21*('Prepare Gantt Chart'!$I20*'Prepare Gantt Chart'!$J20),'Prepare Gantt Chart'!AL20=0,0)</f>
        <v>0</v>
      </c>
      <c r="Z21" s="45">
        <f>_xlfn.IFS('Prepare Gantt Chart'!AM20=4,'Project types'!$O21*('Prepare Gantt Chart'!$I20*'Prepare Gantt Chart'!$J20),'Prepare Gantt Chart'!AM20=3,'Project types'!$Q21*('Prepare Gantt Chart'!$I20*'Prepare Gantt Chart'!$J20),'Prepare Gantt Chart'!AM20=0,0)</f>
        <v>0</v>
      </c>
      <c r="AA21" s="45">
        <f>_xlfn.IFS('Prepare Gantt Chart'!AN20=4,'Project types'!$O21*('Prepare Gantt Chart'!$I20*'Prepare Gantt Chart'!$J20),'Prepare Gantt Chart'!AN20=3,'Project types'!$Q21*('Prepare Gantt Chart'!$I20*'Prepare Gantt Chart'!$J20),'Prepare Gantt Chart'!AN20=0,0)</f>
        <v>0</v>
      </c>
      <c r="AB21" s="45">
        <f>_xlfn.IFS('Prepare Gantt Chart'!AO20=4,'Project types'!$O21*('Prepare Gantt Chart'!$I20*'Prepare Gantt Chart'!$J20),'Prepare Gantt Chart'!AO20=3,'Project types'!$Q21*('Prepare Gantt Chart'!$I20*'Prepare Gantt Chart'!$J20),'Prepare Gantt Chart'!AO20=0,0)</f>
        <v>0</v>
      </c>
      <c r="AC21" s="45">
        <f>'Prepare Gantt Chart'!J20*'Prepare Gantt Chart'!I20*(AD21/26)</f>
        <v>0</v>
      </c>
      <c r="AD21" s="46">
        <f t="shared" si="0"/>
        <v>0</v>
      </c>
      <c r="AE21" s="72">
        <f>IF('Prepare Gantt Chart'!$J20=0,0,SUM(C21:H21)/6/'Prepare Gantt Chart'!$J20)</f>
        <v>0</v>
      </c>
      <c r="AF21" s="72">
        <f>IF('Prepare Gantt Chart'!$J20=0,0,SUM(I21:M21)/5/'Prepare Gantt Chart'!$J20)</f>
        <v>0</v>
      </c>
      <c r="AG21" s="72">
        <f>IF('Prepare Gantt Chart'!$J20=0,0,SUM(N21:R21)/5/'Prepare Gantt Chart'!$J20)</f>
        <v>0</v>
      </c>
      <c r="AH21" s="72">
        <f>IF('Prepare Gantt Chart'!$J20=0,0,SUM(S21:W21)/5/'Prepare Gantt Chart'!$J20)</f>
        <v>0</v>
      </c>
      <c r="AI21" s="72">
        <f>IF('Prepare Gantt Chart'!$J20=0,0,SUM(X21:AB21)/5/'Prepare Gantt Chart'!$J20)</f>
        <v>0</v>
      </c>
      <c r="AK21" s="21" t="s">
        <v>20</v>
      </c>
      <c r="AL21" s="45">
        <f>_xlfn.IFS('Prepare Gantt Chart'!P20=4,'Project types'!$L21*('Prepare Gantt Chart'!$I20*'Prepare Gantt Chart'!$J20),'Prepare Gantt Chart'!P20=3,'Project types'!$L21*('Prepare Gantt Chart'!$I20*'Prepare Gantt Chart'!$J20),'Prepare Gantt Chart'!P20=0,0)</f>
        <v>0</v>
      </c>
      <c r="AM21" s="45">
        <f>_xlfn.IFS('Prepare Gantt Chart'!Q20=4,'Project types'!$L21*('Prepare Gantt Chart'!$I20*'Prepare Gantt Chart'!$J20),'Prepare Gantt Chart'!Q20=3,'Project types'!$L21*('Prepare Gantt Chart'!$I20*'Prepare Gantt Chart'!$J20),'Prepare Gantt Chart'!Q20=0,0)</f>
        <v>0</v>
      </c>
      <c r="AN21" s="45">
        <f>_xlfn.IFS('Prepare Gantt Chart'!R20=4,'Project types'!$L21*('Prepare Gantt Chart'!$I20*'Prepare Gantt Chart'!$J20),'Prepare Gantt Chart'!R20=3,'Project types'!$L21*('Prepare Gantt Chart'!$I20*'Prepare Gantt Chart'!$J20),'Prepare Gantt Chart'!R20=0,0)</f>
        <v>0</v>
      </c>
      <c r="AO21" s="45">
        <f>_xlfn.IFS('Prepare Gantt Chart'!S20=4,'Project types'!$L21*('Prepare Gantt Chart'!$I20*'Prepare Gantt Chart'!$J20),'Prepare Gantt Chart'!S20=3,'Project types'!$L21*('Prepare Gantt Chart'!$I20*'Prepare Gantt Chart'!$J20),'Prepare Gantt Chart'!S20=0,0)</f>
        <v>0</v>
      </c>
      <c r="AP21" s="45">
        <f>_xlfn.IFS('Prepare Gantt Chart'!T20=4,'Project types'!$L21*('Prepare Gantt Chart'!$I20*'Prepare Gantt Chart'!$J20),'Prepare Gantt Chart'!T20=3,'Project types'!$L21*('Prepare Gantt Chart'!$I20*'Prepare Gantt Chart'!$J20),'Prepare Gantt Chart'!T20=0,0)</f>
        <v>0</v>
      </c>
      <c r="AQ21" s="45">
        <f>_xlfn.IFS('Prepare Gantt Chart'!U20=4,'Project types'!$L21*('Prepare Gantt Chart'!$I20*'Prepare Gantt Chart'!$J20),'Prepare Gantt Chart'!U20=3,'Project types'!$L21*('Prepare Gantt Chart'!$I20*'Prepare Gantt Chart'!$J20),'Prepare Gantt Chart'!U20=0,0)</f>
        <v>0</v>
      </c>
      <c r="AR21" s="45">
        <f>_xlfn.IFS('Prepare Gantt Chart'!V20=4,'Project types'!$L21*('Prepare Gantt Chart'!$I20*'Prepare Gantt Chart'!$J20),'Prepare Gantt Chart'!V20=3,'Project types'!$L21*('Prepare Gantt Chart'!$I20*'Prepare Gantt Chart'!$J20),'Prepare Gantt Chart'!V20=0,0)</f>
        <v>0</v>
      </c>
      <c r="AS21" s="45">
        <f>_xlfn.IFS('Prepare Gantt Chart'!W20=4,'Project types'!$L21*('Prepare Gantt Chart'!$I20*'Prepare Gantt Chart'!$J20),'Prepare Gantt Chart'!W20=3,'Project types'!$L21*('Prepare Gantt Chart'!$I20*'Prepare Gantt Chart'!$J20),'Prepare Gantt Chart'!W20=0,0)</f>
        <v>0</v>
      </c>
      <c r="AT21" s="45">
        <f>_xlfn.IFS('Prepare Gantt Chart'!X20=4,'Project types'!$L21*('Prepare Gantt Chart'!$I20*'Prepare Gantt Chart'!$J20),'Prepare Gantt Chart'!X20=3,'Project types'!$L21*('Prepare Gantt Chart'!$I20*'Prepare Gantt Chart'!$J20),'Prepare Gantt Chart'!X20=0,0)</f>
        <v>0</v>
      </c>
      <c r="AU21" s="45">
        <f>_xlfn.IFS('Prepare Gantt Chart'!Y20=4,'Project types'!$L21*('Prepare Gantt Chart'!$I20*'Prepare Gantt Chart'!$J20),'Prepare Gantt Chart'!Y20=3,'Project types'!$L21*('Prepare Gantt Chart'!$I20*'Prepare Gantt Chart'!$J20),'Prepare Gantt Chart'!Y20=0,0)</f>
        <v>0</v>
      </c>
      <c r="AV21" s="45">
        <f>_xlfn.IFS('Prepare Gantt Chart'!Z20=4,'Project types'!$L21*('Prepare Gantt Chart'!$I20*'Prepare Gantt Chart'!$J20),'Prepare Gantt Chart'!Z20=3,'Project types'!$L21*('Prepare Gantt Chart'!$I20*'Prepare Gantt Chart'!$J20),'Prepare Gantt Chart'!Z20=0,0)</f>
        <v>0</v>
      </c>
      <c r="AW21" s="45">
        <f>_xlfn.IFS('Prepare Gantt Chart'!AA20=4,'Project types'!$L21*('Prepare Gantt Chart'!$I20*'Prepare Gantt Chart'!$J20),'Prepare Gantt Chart'!AA20=3,'Project types'!$L21*('Prepare Gantt Chart'!$I20*'Prepare Gantt Chart'!$J20),'Prepare Gantt Chart'!AA20=0,0)</f>
        <v>0</v>
      </c>
      <c r="AX21" s="45">
        <f>_xlfn.IFS('Prepare Gantt Chart'!AB20=4,'Project types'!$L21*('Prepare Gantt Chart'!$I20*'Prepare Gantt Chart'!$J20),'Prepare Gantt Chart'!AB20=3,'Project types'!$L21*('Prepare Gantt Chart'!$I20*'Prepare Gantt Chart'!$J20),'Prepare Gantt Chart'!AB20=0,0)</f>
        <v>0</v>
      </c>
      <c r="AY21" s="45">
        <f>_xlfn.IFS('Prepare Gantt Chart'!AC20=4,'Project types'!$L21*('Prepare Gantt Chart'!$I20*'Prepare Gantt Chart'!$J20),'Prepare Gantt Chart'!AC20=3,'Project types'!$L21*('Prepare Gantt Chart'!$I20*'Prepare Gantt Chart'!$J20),'Prepare Gantt Chart'!AC20=0,0)</f>
        <v>0</v>
      </c>
      <c r="AZ21" s="45">
        <f>_xlfn.IFS('Prepare Gantt Chart'!AD20=4,'Project types'!$L21*('Prepare Gantt Chart'!$I20*'Prepare Gantt Chart'!$J20),'Prepare Gantt Chart'!AD20=3,'Project types'!$L21*('Prepare Gantt Chart'!$I20*'Prepare Gantt Chart'!$J20),'Prepare Gantt Chart'!AD20=0,0)</f>
        <v>0</v>
      </c>
      <c r="BA21" s="45">
        <f>_xlfn.IFS('Prepare Gantt Chart'!AE20=4,'Project types'!$L21*('Prepare Gantt Chart'!$I20*'Prepare Gantt Chart'!$J20),'Prepare Gantt Chart'!AE20=3,'Project types'!$L21*('Prepare Gantt Chart'!$I20*'Prepare Gantt Chart'!$J20),'Prepare Gantt Chart'!AE20=0,0)</f>
        <v>0</v>
      </c>
      <c r="BB21" s="45">
        <f>_xlfn.IFS('Prepare Gantt Chart'!AF20=4,'Project types'!$L21*('Prepare Gantt Chart'!$I20*'Prepare Gantt Chart'!$J20),'Prepare Gantt Chart'!AF20=3,'Project types'!$L21*('Prepare Gantt Chart'!$I20*'Prepare Gantt Chart'!$J20),'Prepare Gantt Chart'!AF20=0,0)</f>
        <v>0</v>
      </c>
      <c r="BC21" s="45">
        <f>_xlfn.IFS('Prepare Gantt Chart'!AG20=4,'Project types'!$L21*('Prepare Gantt Chart'!$I20*'Prepare Gantt Chart'!$J20),'Prepare Gantt Chart'!AG20=3,'Project types'!$L21*('Prepare Gantt Chart'!$I20*'Prepare Gantt Chart'!$J20),'Prepare Gantt Chart'!AG20=0,0)</f>
        <v>0</v>
      </c>
      <c r="BD21" s="45">
        <f>_xlfn.IFS('Prepare Gantt Chart'!AH20=4,'Project types'!$L21*('Prepare Gantt Chart'!$I20*'Prepare Gantt Chart'!$J20),'Prepare Gantt Chart'!AH20=3,'Project types'!$L21*('Prepare Gantt Chart'!$I20*'Prepare Gantt Chart'!$J20),'Prepare Gantt Chart'!AH20=0,0)</f>
        <v>0</v>
      </c>
      <c r="BE21" s="45">
        <f>_xlfn.IFS('Prepare Gantt Chart'!AI20=4,'Project types'!$L21*('Prepare Gantt Chart'!$I20*'Prepare Gantt Chart'!$J20),'Prepare Gantt Chart'!AI20=3,'Project types'!$L21*('Prepare Gantt Chart'!$I20*'Prepare Gantt Chart'!$J20),'Prepare Gantt Chart'!AI20=0,0)</f>
        <v>0</v>
      </c>
      <c r="BF21" s="45">
        <f>_xlfn.IFS('Prepare Gantt Chart'!AJ20=4,'Project types'!$L21*('Prepare Gantt Chart'!$I20*'Prepare Gantt Chart'!$J20),'Prepare Gantt Chart'!AJ20=3,'Project types'!$L21*('Prepare Gantt Chart'!$I20*'Prepare Gantt Chart'!$J20),'Prepare Gantt Chart'!AJ20=0,0)</f>
        <v>0</v>
      </c>
      <c r="BG21" s="45">
        <f>_xlfn.IFS('Prepare Gantt Chart'!AK20=4,'Project types'!$L21*('Prepare Gantt Chart'!$I20*'Prepare Gantt Chart'!$J20),'Prepare Gantt Chart'!AK20=3,'Project types'!$L21*('Prepare Gantt Chart'!$I20*'Prepare Gantt Chart'!$J20),'Prepare Gantt Chart'!AK20=0,0)</f>
        <v>0</v>
      </c>
      <c r="BH21" s="45">
        <f>_xlfn.IFS('Prepare Gantt Chart'!AL20=4,'Project types'!$L21*('Prepare Gantt Chart'!$I20*'Prepare Gantt Chart'!$J20),'Prepare Gantt Chart'!AL20=3,'Project types'!$L21*('Prepare Gantt Chart'!$I20*'Prepare Gantt Chart'!$J20),'Prepare Gantt Chart'!AL20=0,0)</f>
        <v>0</v>
      </c>
      <c r="BI21" s="45">
        <f>_xlfn.IFS('Prepare Gantt Chart'!AM20=4,'Project types'!$L21*('Prepare Gantt Chart'!$I20*'Prepare Gantt Chart'!$J20),'Prepare Gantt Chart'!AM20=3,'Project types'!$L21*('Prepare Gantt Chart'!$I20*'Prepare Gantt Chart'!$J20),'Prepare Gantt Chart'!AM20=0,0)</f>
        <v>0</v>
      </c>
      <c r="BJ21" s="45">
        <f>_xlfn.IFS('Prepare Gantt Chart'!AN20=4,'Project types'!$L21*('Prepare Gantt Chart'!$I20*'Prepare Gantt Chart'!$J20),'Prepare Gantt Chart'!AN20=3,'Project types'!$L21*('Prepare Gantt Chart'!$I20*'Prepare Gantt Chart'!$J20),'Prepare Gantt Chart'!AN20=0,0)</f>
        <v>0</v>
      </c>
      <c r="BK21" s="45">
        <f>_xlfn.IFS('Prepare Gantt Chart'!AO20=4,'Project types'!$L21*('Prepare Gantt Chart'!$I20*'Prepare Gantt Chart'!$J20),'Prepare Gantt Chart'!AO20=3,'Project types'!$L21*('Prepare Gantt Chart'!$I20*'Prepare Gantt Chart'!$J20),'Prepare Gantt Chart'!AO20=0,0)</f>
        <v>0</v>
      </c>
      <c r="BL21" s="46">
        <f t="shared" si="1"/>
        <v>0</v>
      </c>
      <c r="BM21" s="75">
        <f>IF('Prepare Gantt Chart'!$J20=0,0,SUM(AL21:AQ21)/6/'Prepare Gantt Chart'!$J20)</f>
        <v>0</v>
      </c>
      <c r="BN21" s="75">
        <f>IF('Prepare Gantt Chart'!$J20=0,0,SUM(AR21:AV21)/5/'Prepare Gantt Chart'!$J20)</f>
        <v>0</v>
      </c>
      <c r="BO21" s="75">
        <f>IF('Prepare Gantt Chart'!$J20=0,0,SUM(AW21:BA21)/5/'Prepare Gantt Chart'!$J20)</f>
        <v>0</v>
      </c>
      <c r="BP21" s="75">
        <f>IF('Prepare Gantt Chart'!$J20=0,0,SUM(BB21:BF21)/5/'Prepare Gantt Chart'!$J20)</f>
        <v>0</v>
      </c>
      <c r="BQ21" s="75">
        <f>IF('Prepare Gantt Chart'!$J20=0,0,SUM(BG21:BK21)/5/'Prepare Gantt Chart'!$J20)</f>
        <v>0</v>
      </c>
    </row>
    <row r="22" spans="1:69" x14ac:dyDescent="0.2">
      <c r="A22" s="21" t="s">
        <v>21</v>
      </c>
      <c r="B22" s="1" t="s">
        <v>119</v>
      </c>
      <c r="C22" s="45">
        <f>_xlfn.IFS('Prepare Gantt Chart'!P21=4,'Project types'!$O22*('Prepare Gantt Chart'!$I21*'Prepare Gantt Chart'!$J21),'Prepare Gantt Chart'!P21=3,'Project types'!$Q22*('Prepare Gantt Chart'!$I21*'Prepare Gantt Chart'!$J21),'Prepare Gantt Chart'!P21=0,0)</f>
        <v>0</v>
      </c>
      <c r="D22" s="45">
        <f>_xlfn.IFS('Prepare Gantt Chart'!Q21=4,'Project types'!$O22*('Prepare Gantt Chart'!$I21*'Prepare Gantt Chart'!$J21),'Prepare Gantt Chart'!Q21=3,'Project types'!$Q22*('Prepare Gantt Chart'!$I21*'Prepare Gantt Chart'!$J21),'Prepare Gantt Chart'!Q21=0,0)</f>
        <v>0</v>
      </c>
      <c r="E22" s="45">
        <f>_xlfn.IFS('Prepare Gantt Chart'!R21=4,'Project types'!$O22*('Prepare Gantt Chart'!$I21*'Prepare Gantt Chart'!$J21),'Prepare Gantt Chart'!R21=3,'Project types'!$Q22*('Prepare Gantt Chart'!$I21*'Prepare Gantt Chart'!$J21),'Prepare Gantt Chart'!R21=0,0)</f>
        <v>0</v>
      </c>
      <c r="F22" s="45">
        <f>_xlfn.IFS('Prepare Gantt Chart'!S21=4,'Project types'!$O22*('Prepare Gantt Chart'!$I21*'Prepare Gantt Chart'!$J21),'Prepare Gantt Chart'!S21=3,'Project types'!$Q22*('Prepare Gantt Chart'!$I21*'Prepare Gantt Chart'!$J21),'Prepare Gantt Chart'!S21=0,0)</f>
        <v>0</v>
      </c>
      <c r="G22" s="45">
        <f>_xlfn.IFS('Prepare Gantt Chart'!T21=4,'Project types'!$O22*('Prepare Gantt Chart'!$I21*'Prepare Gantt Chart'!$J21),'Prepare Gantt Chart'!T21=3,'Project types'!$Q22*('Prepare Gantt Chart'!$I21*'Prepare Gantt Chart'!$J21),'Prepare Gantt Chart'!T21=0,0)</f>
        <v>0</v>
      </c>
      <c r="H22" s="45">
        <f>_xlfn.IFS('Prepare Gantt Chart'!U21=4,'Project types'!$O22*('Prepare Gantt Chart'!$I21*'Prepare Gantt Chart'!$J21),'Prepare Gantt Chart'!U21=3,'Project types'!$Q22*('Prepare Gantt Chart'!$I21*'Prepare Gantt Chart'!$J21),'Prepare Gantt Chart'!U21=0,0)</f>
        <v>0</v>
      </c>
      <c r="I22" s="45">
        <f>_xlfn.IFS('Prepare Gantt Chart'!V21=4,'Project types'!$O22*('Prepare Gantt Chart'!$I21*'Prepare Gantt Chart'!$J21),'Prepare Gantt Chart'!V21=3,'Project types'!$Q22*('Prepare Gantt Chart'!$I21*'Prepare Gantt Chart'!$J21),'Prepare Gantt Chart'!V21=0,0)</f>
        <v>0</v>
      </c>
      <c r="J22" s="45">
        <f>_xlfn.IFS('Prepare Gantt Chart'!W21=4,'Project types'!$O22*('Prepare Gantt Chart'!$I21*'Prepare Gantt Chart'!$J21),'Prepare Gantt Chart'!W21=3,'Project types'!$Q22*('Prepare Gantt Chart'!$I21*'Prepare Gantt Chart'!$J21),'Prepare Gantt Chart'!W21=0,0)</f>
        <v>0</v>
      </c>
      <c r="K22" s="45">
        <f>_xlfn.IFS('Prepare Gantt Chart'!X21=4,'Project types'!$O22*('Prepare Gantt Chart'!$I21*'Prepare Gantt Chart'!$J21),'Prepare Gantt Chart'!X21=3,'Project types'!$Q22*('Prepare Gantt Chart'!$I21*'Prepare Gantt Chart'!$J21),'Prepare Gantt Chart'!X21=0,0)</f>
        <v>0</v>
      </c>
      <c r="L22" s="45">
        <f>_xlfn.IFS('Prepare Gantt Chart'!Y21=4,'Project types'!$O22*('Prepare Gantt Chart'!$I21*'Prepare Gantt Chart'!$J21),'Prepare Gantt Chart'!Y21=3,'Project types'!$Q22*('Prepare Gantt Chart'!$I21*'Prepare Gantt Chart'!$J21),'Prepare Gantt Chart'!Y21=0,0)</f>
        <v>0</v>
      </c>
      <c r="M22" s="45">
        <f>_xlfn.IFS('Prepare Gantt Chart'!Z21=4,'Project types'!$O22*('Prepare Gantt Chart'!$I21*'Prepare Gantt Chart'!$J21),'Prepare Gantt Chart'!Z21=3,'Project types'!$Q22*('Prepare Gantt Chart'!$I21*'Prepare Gantt Chart'!$J21),'Prepare Gantt Chart'!Z21=0,0)</f>
        <v>0</v>
      </c>
      <c r="N22" s="45">
        <f>_xlfn.IFS('Prepare Gantt Chart'!AA21=4,'Project types'!$O22*('Prepare Gantt Chart'!$I21*'Prepare Gantt Chart'!$J21),'Prepare Gantt Chart'!AA21=3,'Project types'!$Q22*('Prepare Gantt Chart'!$I21*'Prepare Gantt Chart'!$J21),'Prepare Gantt Chart'!AA21=0,0)</f>
        <v>0</v>
      </c>
      <c r="O22" s="45">
        <f>_xlfn.IFS('Prepare Gantt Chart'!AB21=4,'Project types'!$O22*('Prepare Gantt Chart'!$I21*'Prepare Gantt Chart'!$J21),'Prepare Gantt Chart'!AB21=3,'Project types'!$Q22*('Prepare Gantt Chart'!$I21*'Prepare Gantt Chart'!$J21),'Prepare Gantt Chart'!AB21=0,0)</f>
        <v>0</v>
      </c>
      <c r="P22" s="45">
        <f>_xlfn.IFS('Prepare Gantt Chart'!AC21=4,'Project types'!$O22*('Prepare Gantt Chart'!$I21*'Prepare Gantt Chart'!$J21),'Prepare Gantt Chart'!AC21=3,'Project types'!$Q22*('Prepare Gantt Chart'!$I21*'Prepare Gantt Chart'!$J21),'Prepare Gantt Chart'!AC21=0,0)</f>
        <v>0</v>
      </c>
      <c r="Q22" s="45">
        <f>_xlfn.IFS('Prepare Gantt Chart'!AD21=4,'Project types'!$O22*('Prepare Gantt Chart'!$I21*'Prepare Gantt Chart'!$J21),'Prepare Gantt Chart'!AD21=3,'Project types'!$Q22*('Prepare Gantt Chart'!$I21*'Prepare Gantt Chart'!$J21),'Prepare Gantt Chart'!AD21=0,0)</f>
        <v>0</v>
      </c>
      <c r="R22" s="45">
        <f>_xlfn.IFS('Prepare Gantt Chart'!AE21=4,'Project types'!$O22*('Prepare Gantt Chart'!$I21*'Prepare Gantt Chart'!$J21),'Prepare Gantt Chart'!AE21=3,'Project types'!$Q22*('Prepare Gantt Chart'!$I21*'Prepare Gantt Chart'!$J21),'Prepare Gantt Chart'!AE21=0,0)</f>
        <v>0</v>
      </c>
      <c r="S22" s="45">
        <f>_xlfn.IFS('Prepare Gantt Chart'!AF21=4,'Project types'!$O22*('Prepare Gantt Chart'!$I21*'Prepare Gantt Chart'!$J21),'Prepare Gantt Chart'!AF21=3,'Project types'!$Q22*('Prepare Gantt Chart'!$I21*'Prepare Gantt Chart'!$J21),'Prepare Gantt Chart'!AF21=0,0)</f>
        <v>0</v>
      </c>
      <c r="T22" s="45">
        <f>_xlfn.IFS('Prepare Gantt Chart'!AG21=4,'Project types'!$O22*('Prepare Gantt Chart'!$I21*'Prepare Gantt Chart'!$J21),'Prepare Gantt Chart'!AG21=3,'Project types'!$Q22*('Prepare Gantt Chart'!$I21*'Prepare Gantt Chart'!$J21),'Prepare Gantt Chart'!AG21=0,0)</f>
        <v>0</v>
      </c>
      <c r="U22" s="45">
        <f>_xlfn.IFS('Prepare Gantt Chart'!AH21=4,'Project types'!$O22*('Prepare Gantt Chart'!$I21*'Prepare Gantt Chart'!$J21),'Prepare Gantt Chart'!AH21=3,'Project types'!$Q22*('Prepare Gantt Chart'!$I21*'Prepare Gantt Chart'!$J21),'Prepare Gantt Chart'!AH21=0,0)</f>
        <v>0</v>
      </c>
      <c r="V22" s="45">
        <f>_xlfn.IFS('Prepare Gantt Chart'!AI21=4,'Project types'!$O22*('Prepare Gantt Chart'!$I21*'Prepare Gantt Chart'!$J21),'Prepare Gantt Chart'!AI21=3,'Project types'!$Q22*('Prepare Gantt Chart'!$I21*'Prepare Gantt Chart'!$J21),'Prepare Gantt Chart'!AI21=0,0)</f>
        <v>0</v>
      </c>
      <c r="W22" s="45">
        <f>_xlfn.IFS('Prepare Gantt Chart'!AJ21=4,'Project types'!$O22*('Prepare Gantt Chart'!$I21*'Prepare Gantt Chart'!$J21),'Prepare Gantt Chart'!AJ21=3,'Project types'!$Q22*('Prepare Gantt Chart'!$I21*'Prepare Gantt Chart'!$J21),'Prepare Gantt Chart'!AJ21=0,0)</f>
        <v>0</v>
      </c>
      <c r="X22" s="45">
        <f>_xlfn.IFS('Prepare Gantt Chart'!AK21=4,'Project types'!$O22*('Prepare Gantt Chart'!$I21*'Prepare Gantt Chart'!$J21),'Prepare Gantt Chart'!AK21=3,'Project types'!$Q22*('Prepare Gantt Chart'!$I21*'Prepare Gantt Chart'!$J21),'Prepare Gantt Chart'!AK21=0,0)</f>
        <v>0</v>
      </c>
      <c r="Y22" s="45">
        <f>_xlfn.IFS('Prepare Gantt Chart'!AL21=4,'Project types'!$O22*('Prepare Gantt Chart'!$I21*'Prepare Gantt Chart'!$J21),'Prepare Gantt Chart'!AL21=3,'Project types'!$Q22*('Prepare Gantt Chart'!$I21*'Prepare Gantt Chart'!$J21),'Prepare Gantt Chart'!AL21=0,0)</f>
        <v>0</v>
      </c>
      <c r="Z22" s="45">
        <f>_xlfn.IFS('Prepare Gantt Chart'!AM21=4,'Project types'!$O22*('Prepare Gantt Chart'!$I21*'Prepare Gantt Chart'!$J21),'Prepare Gantt Chart'!AM21=3,'Project types'!$Q22*('Prepare Gantt Chart'!$I21*'Prepare Gantt Chart'!$J21),'Prepare Gantt Chart'!AM21=0,0)</f>
        <v>0</v>
      </c>
      <c r="AA22" s="45">
        <f>_xlfn.IFS('Prepare Gantt Chart'!AN21=4,'Project types'!$O22*('Prepare Gantt Chart'!$I21*'Prepare Gantt Chart'!$J21),'Prepare Gantt Chart'!AN21=3,'Project types'!$Q22*('Prepare Gantt Chart'!$I21*'Prepare Gantt Chart'!$J21),'Prepare Gantt Chart'!AN21=0,0)</f>
        <v>0</v>
      </c>
      <c r="AB22" s="45">
        <f>_xlfn.IFS('Prepare Gantt Chart'!AO21=4,'Project types'!$O22*('Prepare Gantt Chart'!$I21*'Prepare Gantt Chart'!$J21),'Prepare Gantt Chart'!AO21=3,'Project types'!$Q22*('Prepare Gantt Chart'!$I21*'Prepare Gantt Chart'!$J21),'Prepare Gantt Chart'!AO21=0,0)</f>
        <v>0</v>
      </c>
      <c r="AC22" s="45">
        <f>'Prepare Gantt Chart'!J21*'Prepare Gantt Chart'!I21*(AD22/26)</f>
        <v>0</v>
      </c>
      <c r="AD22" s="46">
        <f t="shared" si="0"/>
        <v>0</v>
      </c>
      <c r="AE22" s="72">
        <f>IF('Prepare Gantt Chart'!$J21=0,0,SUM(C22:H22)/6/'Prepare Gantt Chart'!$J21)</f>
        <v>0</v>
      </c>
      <c r="AF22" s="72">
        <f>IF('Prepare Gantt Chart'!$J21=0,0,SUM(I22:M22)/5/'Prepare Gantt Chart'!$J21)</f>
        <v>0</v>
      </c>
      <c r="AG22" s="72">
        <f>IF('Prepare Gantt Chart'!$J21=0,0,SUM(N22:R22)/5/'Prepare Gantt Chart'!$J21)</f>
        <v>0</v>
      </c>
      <c r="AH22" s="72">
        <f>IF('Prepare Gantt Chart'!$J21=0,0,SUM(S22:W22)/5/'Prepare Gantt Chart'!$J21)</f>
        <v>0</v>
      </c>
      <c r="AI22" s="72">
        <f>IF('Prepare Gantt Chart'!$J21=0,0,SUM(X22:AB22)/5/'Prepare Gantt Chart'!$J21)</f>
        <v>0</v>
      </c>
      <c r="AK22" s="21" t="s">
        <v>21</v>
      </c>
      <c r="AL22" s="45">
        <f>_xlfn.IFS('Prepare Gantt Chart'!P21=4,'Project types'!$L22*('Prepare Gantt Chart'!$I21*'Prepare Gantt Chart'!$J21),'Prepare Gantt Chart'!P21=3,'Project types'!$L22*('Prepare Gantt Chart'!$I21*'Prepare Gantt Chart'!$J21),'Prepare Gantt Chart'!P21=0,0)</f>
        <v>0</v>
      </c>
      <c r="AM22" s="45">
        <f>_xlfn.IFS('Prepare Gantt Chart'!Q21=4,'Project types'!$L22*('Prepare Gantt Chart'!$I21*'Prepare Gantt Chart'!$J21),'Prepare Gantt Chart'!Q21=3,'Project types'!$L22*('Prepare Gantt Chart'!$I21*'Prepare Gantt Chart'!$J21),'Prepare Gantt Chart'!Q21=0,0)</f>
        <v>0</v>
      </c>
      <c r="AN22" s="45">
        <f>_xlfn.IFS('Prepare Gantt Chart'!R21=4,'Project types'!$L22*('Prepare Gantt Chart'!$I21*'Prepare Gantt Chart'!$J21),'Prepare Gantt Chart'!R21=3,'Project types'!$L22*('Prepare Gantt Chart'!$I21*'Prepare Gantt Chart'!$J21),'Prepare Gantt Chart'!R21=0,0)</f>
        <v>0</v>
      </c>
      <c r="AO22" s="45">
        <f>_xlfn.IFS('Prepare Gantt Chart'!S21=4,'Project types'!$L22*('Prepare Gantt Chart'!$I21*'Prepare Gantt Chart'!$J21),'Prepare Gantt Chart'!S21=3,'Project types'!$L22*('Prepare Gantt Chart'!$I21*'Prepare Gantt Chart'!$J21),'Prepare Gantt Chart'!S21=0,0)</f>
        <v>0</v>
      </c>
      <c r="AP22" s="45">
        <f>_xlfn.IFS('Prepare Gantt Chart'!T21=4,'Project types'!$L22*('Prepare Gantt Chart'!$I21*'Prepare Gantt Chart'!$J21),'Prepare Gantt Chart'!T21=3,'Project types'!$L22*('Prepare Gantt Chart'!$I21*'Prepare Gantt Chart'!$J21),'Prepare Gantt Chart'!T21=0,0)</f>
        <v>0</v>
      </c>
      <c r="AQ22" s="45">
        <f>_xlfn.IFS('Prepare Gantt Chart'!U21=4,'Project types'!$L22*('Prepare Gantt Chart'!$I21*'Prepare Gantt Chart'!$J21),'Prepare Gantt Chart'!U21=3,'Project types'!$L22*('Prepare Gantt Chart'!$I21*'Prepare Gantt Chart'!$J21),'Prepare Gantt Chart'!U21=0,0)</f>
        <v>0</v>
      </c>
      <c r="AR22" s="45">
        <f>_xlfn.IFS('Prepare Gantt Chart'!V21=4,'Project types'!$L22*('Prepare Gantt Chart'!$I21*'Prepare Gantt Chart'!$J21),'Prepare Gantt Chart'!V21=3,'Project types'!$L22*('Prepare Gantt Chart'!$I21*'Prepare Gantt Chart'!$J21),'Prepare Gantt Chart'!V21=0,0)</f>
        <v>0</v>
      </c>
      <c r="AS22" s="45">
        <f>_xlfn.IFS('Prepare Gantt Chart'!W21=4,'Project types'!$L22*('Prepare Gantt Chart'!$I21*'Prepare Gantt Chart'!$J21),'Prepare Gantt Chart'!W21=3,'Project types'!$L22*('Prepare Gantt Chart'!$I21*'Prepare Gantt Chart'!$J21),'Prepare Gantt Chart'!W21=0,0)</f>
        <v>0</v>
      </c>
      <c r="AT22" s="45">
        <f>_xlfn.IFS('Prepare Gantt Chart'!X21=4,'Project types'!$L22*('Prepare Gantt Chart'!$I21*'Prepare Gantt Chart'!$J21),'Prepare Gantt Chart'!X21=3,'Project types'!$L22*('Prepare Gantt Chart'!$I21*'Prepare Gantt Chart'!$J21),'Prepare Gantt Chart'!X21=0,0)</f>
        <v>0</v>
      </c>
      <c r="AU22" s="45">
        <f>_xlfn.IFS('Prepare Gantt Chart'!Y21=4,'Project types'!$L22*('Prepare Gantt Chart'!$I21*'Prepare Gantt Chart'!$J21),'Prepare Gantt Chart'!Y21=3,'Project types'!$L22*('Prepare Gantt Chart'!$I21*'Prepare Gantt Chart'!$J21),'Prepare Gantt Chart'!Y21=0,0)</f>
        <v>0</v>
      </c>
      <c r="AV22" s="45">
        <f>_xlfn.IFS('Prepare Gantt Chart'!Z21=4,'Project types'!$L22*('Prepare Gantt Chart'!$I21*'Prepare Gantt Chart'!$J21),'Prepare Gantt Chart'!Z21=3,'Project types'!$L22*('Prepare Gantt Chart'!$I21*'Prepare Gantt Chart'!$J21),'Prepare Gantt Chart'!Z21=0,0)</f>
        <v>0</v>
      </c>
      <c r="AW22" s="45">
        <f>_xlfn.IFS('Prepare Gantt Chart'!AA21=4,'Project types'!$L22*('Prepare Gantt Chart'!$I21*'Prepare Gantt Chart'!$J21),'Prepare Gantt Chart'!AA21=3,'Project types'!$L22*('Prepare Gantt Chart'!$I21*'Prepare Gantt Chart'!$J21),'Prepare Gantt Chart'!AA21=0,0)</f>
        <v>0</v>
      </c>
      <c r="AX22" s="45">
        <f>_xlfn.IFS('Prepare Gantt Chart'!AB21=4,'Project types'!$L22*('Prepare Gantt Chart'!$I21*'Prepare Gantt Chart'!$J21),'Prepare Gantt Chart'!AB21=3,'Project types'!$L22*('Prepare Gantt Chart'!$I21*'Prepare Gantt Chart'!$J21),'Prepare Gantt Chart'!AB21=0,0)</f>
        <v>0</v>
      </c>
      <c r="AY22" s="45">
        <f>_xlfn.IFS('Prepare Gantt Chart'!AC21=4,'Project types'!$L22*('Prepare Gantt Chart'!$I21*'Prepare Gantt Chart'!$J21),'Prepare Gantt Chart'!AC21=3,'Project types'!$L22*('Prepare Gantt Chart'!$I21*'Prepare Gantt Chart'!$J21),'Prepare Gantt Chart'!AC21=0,0)</f>
        <v>0</v>
      </c>
      <c r="AZ22" s="45">
        <f>_xlfn.IFS('Prepare Gantt Chart'!AD21=4,'Project types'!$L22*('Prepare Gantt Chart'!$I21*'Prepare Gantt Chart'!$J21),'Prepare Gantt Chart'!AD21=3,'Project types'!$L22*('Prepare Gantt Chart'!$I21*'Prepare Gantt Chart'!$J21),'Prepare Gantt Chart'!AD21=0,0)</f>
        <v>0</v>
      </c>
      <c r="BA22" s="45">
        <f>_xlfn.IFS('Prepare Gantt Chart'!AE21=4,'Project types'!$L22*('Prepare Gantt Chart'!$I21*'Prepare Gantt Chart'!$J21),'Prepare Gantt Chart'!AE21=3,'Project types'!$L22*('Prepare Gantt Chart'!$I21*'Prepare Gantt Chart'!$J21),'Prepare Gantt Chart'!AE21=0,0)</f>
        <v>0</v>
      </c>
      <c r="BB22" s="45">
        <f>_xlfn.IFS('Prepare Gantt Chart'!AF21=4,'Project types'!$L22*('Prepare Gantt Chart'!$I21*'Prepare Gantt Chart'!$J21),'Prepare Gantt Chart'!AF21=3,'Project types'!$L22*('Prepare Gantt Chart'!$I21*'Prepare Gantt Chart'!$J21),'Prepare Gantt Chart'!AF21=0,0)</f>
        <v>0</v>
      </c>
      <c r="BC22" s="45">
        <f>_xlfn.IFS('Prepare Gantt Chart'!AG21=4,'Project types'!$L22*('Prepare Gantt Chart'!$I21*'Prepare Gantt Chart'!$J21),'Prepare Gantt Chart'!AG21=3,'Project types'!$L22*('Prepare Gantt Chart'!$I21*'Prepare Gantt Chart'!$J21),'Prepare Gantt Chart'!AG21=0,0)</f>
        <v>0</v>
      </c>
      <c r="BD22" s="45">
        <f>_xlfn.IFS('Prepare Gantt Chart'!AH21=4,'Project types'!$L22*('Prepare Gantt Chart'!$I21*'Prepare Gantt Chart'!$J21),'Prepare Gantt Chart'!AH21=3,'Project types'!$L22*('Prepare Gantt Chart'!$I21*'Prepare Gantt Chart'!$J21),'Prepare Gantt Chart'!AH21=0,0)</f>
        <v>0</v>
      </c>
      <c r="BE22" s="45">
        <f>_xlfn.IFS('Prepare Gantt Chart'!AI21=4,'Project types'!$L22*('Prepare Gantt Chart'!$I21*'Prepare Gantt Chart'!$J21),'Prepare Gantt Chart'!AI21=3,'Project types'!$L22*('Prepare Gantt Chart'!$I21*'Prepare Gantt Chart'!$J21),'Prepare Gantt Chart'!AI21=0,0)</f>
        <v>0</v>
      </c>
      <c r="BF22" s="45">
        <f>_xlfn.IFS('Prepare Gantt Chart'!AJ21=4,'Project types'!$L22*('Prepare Gantt Chart'!$I21*'Prepare Gantt Chart'!$J21),'Prepare Gantt Chart'!AJ21=3,'Project types'!$L22*('Prepare Gantt Chart'!$I21*'Prepare Gantt Chart'!$J21),'Prepare Gantt Chart'!AJ21=0,0)</f>
        <v>0</v>
      </c>
      <c r="BG22" s="45">
        <f>_xlfn.IFS('Prepare Gantt Chart'!AK21=4,'Project types'!$L22*('Prepare Gantt Chart'!$I21*'Prepare Gantt Chart'!$J21),'Prepare Gantt Chart'!AK21=3,'Project types'!$L22*('Prepare Gantt Chart'!$I21*'Prepare Gantt Chart'!$J21),'Prepare Gantt Chart'!AK21=0,0)</f>
        <v>0</v>
      </c>
      <c r="BH22" s="45">
        <f>_xlfn.IFS('Prepare Gantt Chart'!AL21=4,'Project types'!$L22*('Prepare Gantt Chart'!$I21*'Prepare Gantt Chart'!$J21),'Prepare Gantt Chart'!AL21=3,'Project types'!$L22*('Prepare Gantt Chart'!$I21*'Prepare Gantt Chart'!$J21),'Prepare Gantt Chart'!AL21=0,0)</f>
        <v>0</v>
      </c>
      <c r="BI22" s="45">
        <f>_xlfn.IFS('Prepare Gantt Chart'!AM21=4,'Project types'!$L22*('Prepare Gantt Chart'!$I21*'Prepare Gantt Chart'!$J21),'Prepare Gantt Chart'!AM21=3,'Project types'!$L22*('Prepare Gantt Chart'!$I21*'Prepare Gantt Chart'!$J21),'Prepare Gantt Chart'!AM21=0,0)</f>
        <v>0</v>
      </c>
      <c r="BJ22" s="45">
        <f>_xlfn.IFS('Prepare Gantt Chart'!AN21=4,'Project types'!$L22*('Prepare Gantt Chart'!$I21*'Prepare Gantt Chart'!$J21),'Prepare Gantt Chart'!AN21=3,'Project types'!$L22*('Prepare Gantt Chart'!$I21*'Prepare Gantt Chart'!$J21),'Prepare Gantt Chart'!AN21=0,0)</f>
        <v>0</v>
      </c>
      <c r="BK22" s="45">
        <f>_xlfn.IFS('Prepare Gantt Chart'!AO21=4,'Project types'!$L22*('Prepare Gantt Chart'!$I21*'Prepare Gantt Chart'!$J21),'Prepare Gantt Chart'!AO21=3,'Project types'!$L22*('Prepare Gantt Chart'!$I21*'Prepare Gantt Chart'!$J21),'Prepare Gantt Chart'!AO21=0,0)</f>
        <v>0</v>
      </c>
      <c r="BL22" s="46">
        <f t="shared" si="1"/>
        <v>0</v>
      </c>
      <c r="BM22" s="75">
        <f>IF('Prepare Gantt Chart'!$J21=0,0,SUM(AL22:AQ22)/6/'Prepare Gantt Chart'!$J21)</f>
        <v>0</v>
      </c>
      <c r="BN22" s="75">
        <f>IF('Prepare Gantt Chart'!$J21=0,0,SUM(AR22:AV22)/5/'Prepare Gantt Chart'!$J21)</f>
        <v>0</v>
      </c>
      <c r="BO22" s="75">
        <f>IF('Prepare Gantt Chart'!$J21=0,0,SUM(AW22:BA22)/5/'Prepare Gantt Chart'!$J21)</f>
        <v>0</v>
      </c>
      <c r="BP22" s="75">
        <f>IF('Prepare Gantt Chart'!$J21=0,0,SUM(BB22:BF22)/5/'Prepare Gantt Chart'!$J21)</f>
        <v>0</v>
      </c>
      <c r="BQ22" s="75">
        <f>IF('Prepare Gantt Chart'!$J21=0,0,SUM(BG22:BK22)/5/'Prepare Gantt Chart'!$J21)</f>
        <v>0</v>
      </c>
    </row>
    <row r="23" spans="1:69" x14ac:dyDescent="0.2">
      <c r="A23" s="21" t="s">
        <v>22</v>
      </c>
      <c r="B23" s="1" t="s">
        <v>120</v>
      </c>
      <c r="C23" s="45">
        <f>_xlfn.IFS('Prepare Gantt Chart'!P22=4,'Project types'!$O23*('Prepare Gantt Chart'!$I22*'Prepare Gantt Chart'!$J22),'Prepare Gantt Chart'!P22=3,'Project types'!$Q23*('Prepare Gantt Chart'!$I22*'Prepare Gantt Chart'!$J22),'Prepare Gantt Chart'!P22=0,0)</f>
        <v>0</v>
      </c>
      <c r="D23" s="45">
        <f>_xlfn.IFS('Prepare Gantt Chart'!Q22=4,'Project types'!$O23*('Prepare Gantt Chart'!$I22*'Prepare Gantt Chart'!$J22),'Prepare Gantt Chart'!Q22=3,'Project types'!$Q23*('Prepare Gantt Chart'!$I22*'Prepare Gantt Chart'!$J22),'Prepare Gantt Chart'!Q22=0,0)</f>
        <v>0</v>
      </c>
      <c r="E23" s="45">
        <f>_xlfn.IFS('Prepare Gantt Chart'!R22=4,'Project types'!$O23*('Prepare Gantt Chart'!$I22*'Prepare Gantt Chart'!$J22),'Prepare Gantt Chart'!R22=3,'Project types'!$Q23*('Prepare Gantt Chart'!$I22*'Prepare Gantt Chart'!$J22),'Prepare Gantt Chart'!R22=0,0)</f>
        <v>0</v>
      </c>
      <c r="F23" s="45">
        <f>_xlfn.IFS('Prepare Gantt Chart'!S22=4,'Project types'!$O23*('Prepare Gantt Chart'!$I22*'Prepare Gantt Chart'!$J22),'Prepare Gantt Chart'!S22=3,'Project types'!$Q23*('Prepare Gantt Chart'!$I22*'Prepare Gantt Chart'!$J22),'Prepare Gantt Chart'!S22=0,0)</f>
        <v>0</v>
      </c>
      <c r="G23" s="45">
        <f>_xlfn.IFS('Prepare Gantt Chart'!T22=4,'Project types'!$O23*('Prepare Gantt Chart'!$I22*'Prepare Gantt Chart'!$J22),'Prepare Gantt Chart'!T22=3,'Project types'!$Q23*('Prepare Gantt Chart'!$I22*'Prepare Gantt Chart'!$J22),'Prepare Gantt Chart'!T22=0,0)</f>
        <v>0</v>
      </c>
      <c r="H23" s="45">
        <f>_xlfn.IFS('Prepare Gantt Chart'!U22=4,'Project types'!$O23*('Prepare Gantt Chart'!$I22*'Prepare Gantt Chart'!$J22),'Prepare Gantt Chart'!U22=3,'Project types'!$Q23*('Prepare Gantt Chart'!$I22*'Prepare Gantt Chart'!$J22),'Prepare Gantt Chart'!U22=0,0)</f>
        <v>0</v>
      </c>
      <c r="I23" s="45">
        <f>_xlfn.IFS('Prepare Gantt Chart'!V22=4,'Project types'!$O23*('Prepare Gantt Chart'!$I22*'Prepare Gantt Chart'!$J22),'Prepare Gantt Chart'!V22=3,'Project types'!$Q23*('Prepare Gantt Chart'!$I22*'Prepare Gantt Chart'!$J22),'Prepare Gantt Chart'!V22=0,0)</f>
        <v>0</v>
      </c>
      <c r="J23" s="45">
        <f>_xlfn.IFS('Prepare Gantt Chart'!W22=4,'Project types'!$O23*('Prepare Gantt Chart'!$I22*'Prepare Gantt Chart'!$J22),'Prepare Gantt Chart'!W22=3,'Project types'!$Q23*('Prepare Gantt Chart'!$I22*'Prepare Gantt Chart'!$J22),'Prepare Gantt Chart'!W22=0,0)</f>
        <v>0</v>
      </c>
      <c r="K23" s="45">
        <f>_xlfn.IFS('Prepare Gantt Chart'!X22=4,'Project types'!$O23*('Prepare Gantt Chart'!$I22*'Prepare Gantt Chart'!$J22),'Prepare Gantt Chart'!X22=3,'Project types'!$Q23*('Prepare Gantt Chart'!$I22*'Prepare Gantt Chart'!$J22),'Prepare Gantt Chart'!X22=0,0)</f>
        <v>0</v>
      </c>
      <c r="L23" s="45">
        <f>_xlfn.IFS('Prepare Gantt Chart'!Y22=4,'Project types'!$O23*('Prepare Gantt Chart'!$I22*'Prepare Gantt Chart'!$J22),'Prepare Gantt Chart'!Y22=3,'Project types'!$Q23*('Prepare Gantt Chart'!$I22*'Prepare Gantt Chart'!$J22),'Prepare Gantt Chart'!Y22=0,0)</f>
        <v>0</v>
      </c>
      <c r="M23" s="45">
        <f>_xlfn.IFS('Prepare Gantt Chart'!Z22=4,'Project types'!$O23*('Prepare Gantt Chart'!$I22*'Prepare Gantt Chart'!$J22),'Prepare Gantt Chart'!Z22=3,'Project types'!$Q23*('Prepare Gantt Chart'!$I22*'Prepare Gantt Chart'!$J22),'Prepare Gantt Chart'!Z22=0,0)</f>
        <v>0</v>
      </c>
      <c r="N23" s="45">
        <f>_xlfn.IFS('Prepare Gantt Chart'!AA22=4,'Project types'!$O23*('Prepare Gantt Chart'!$I22*'Prepare Gantt Chart'!$J22),'Prepare Gantt Chart'!AA22=3,'Project types'!$Q23*('Prepare Gantt Chart'!$I22*'Prepare Gantt Chart'!$J22),'Prepare Gantt Chart'!AA22=0,0)</f>
        <v>0</v>
      </c>
      <c r="O23" s="45">
        <f>_xlfn.IFS('Prepare Gantt Chart'!AB22=4,'Project types'!$O23*('Prepare Gantt Chart'!$I22*'Prepare Gantt Chart'!$J22),'Prepare Gantt Chart'!AB22=3,'Project types'!$Q23*('Prepare Gantt Chart'!$I22*'Prepare Gantt Chart'!$J22),'Prepare Gantt Chart'!AB22=0,0)</f>
        <v>0</v>
      </c>
      <c r="P23" s="45">
        <f>_xlfn.IFS('Prepare Gantt Chart'!AC22=4,'Project types'!$O23*('Prepare Gantt Chart'!$I22*'Prepare Gantt Chart'!$J22),'Prepare Gantt Chart'!AC22=3,'Project types'!$Q23*('Prepare Gantt Chart'!$I22*'Prepare Gantt Chart'!$J22),'Prepare Gantt Chart'!AC22=0,0)</f>
        <v>0</v>
      </c>
      <c r="Q23" s="45">
        <f>_xlfn.IFS('Prepare Gantt Chart'!AD22=4,'Project types'!$O23*('Prepare Gantt Chart'!$I22*'Prepare Gantt Chart'!$J22),'Prepare Gantt Chart'!AD22=3,'Project types'!$Q23*('Prepare Gantt Chart'!$I22*'Prepare Gantt Chart'!$J22),'Prepare Gantt Chart'!AD22=0,0)</f>
        <v>0</v>
      </c>
      <c r="R23" s="45">
        <f>_xlfn.IFS('Prepare Gantt Chart'!AE22=4,'Project types'!$O23*('Prepare Gantt Chart'!$I22*'Prepare Gantt Chart'!$J22),'Prepare Gantt Chart'!AE22=3,'Project types'!$Q23*('Prepare Gantt Chart'!$I22*'Prepare Gantt Chart'!$J22),'Prepare Gantt Chart'!AE22=0,0)</f>
        <v>0</v>
      </c>
      <c r="S23" s="45">
        <f>_xlfn.IFS('Prepare Gantt Chart'!AF22=4,'Project types'!$O23*('Prepare Gantt Chart'!$I22*'Prepare Gantt Chart'!$J22),'Prepare Gantt Chart'!AF22=3,'Project types'!$Q23*('Prepare Gantt Chart'!$I22*'Prepare Gantt Chart'!$J22),'Prepare Gantt Chart'!AF22=0,0)</f>
        <v>0</v>
      </c>
      <c r="T23" s="45">
        <f>_xlfn.IFS('Prepare Gantt Chart'!AG22=4,'Project types'!$O23*('Prepare Gantt Chart'!$I22*'Prepare Gantt Chart'!$J22),'Prepare Gantt Chart'!AG22=3,'Project types'!$Q23*('Prepare Gantt Chart'!$I22*'Prepare Gantt Chart'!$J22),'Prepare Gantt Chart'!AG22=0,0)</f>
        <v>0</v>
      </c>
      <c r="U23" s="45">
        <f>_xlfn.IFS('Prepare Gantt Chart'!AH22=4,'Project types'!$O23*('Prepare Gantt Chart'!$I22*'Prepare Gantt Chart'!$J22),'Prepare Gantt Chart'!AH22=3,'Project types'!$Q23*('Prepare Gantt Chart'!$I22*'Prepare Gantt Chart'!$J22),'Prepare Gantt Chart'!AH22=0,0)</f>
        <v>0</v>
      </c>
      <c r="V23" s="45">
        <f>_xlfn.IFS('Prepare Gantt Chart'!AI22=4,'Project types'!$O23*('Prepare Gantt Chart'!$I22*'Prepare Gantt Chart'!$J22),'Prepare Gantt Chart'!AI22=3,'Project types'!$Q23*('Prepare Gantt Chart'!$I22*'Prepare Gantt Chart'!$J22),'Prepare Gantt Chart'!AI22=0,0)</f>
        <v>0</v>
      </c>
      <c r="W23" s="45">
        <f>_xlfn.IFS('Prepare Gantt Chart'!AJ22=4,'Project types'!$O23*('Prepare Gantt Chart'!$I22*'Prepare Gantt Chart'!$J22),'Prepare Gantt Chart'!AJ22=3,'Project types'!$Q23*('Prepare Gantt Chart'!$I22*'Prepare Gantt Chart'!$J22),'Prepare Gantt Chart'!AJ22=0,0)</f>
        <v>0</v>
      </c>
      <c r="X23" s="45">
        <f>_xlfn.IFS('Prepare Gantt Chart'!AK22=4,'Project types'!$O23*('Prepare Gantt Chart'!$I22*'Prepare Gantt Chart'!$J22),'Prepare Gantt Chart'!AK22=3,'Project types'!$Q23*('Prepare Gantt Chart'!$I22*'Prepare Gantt Chart'!$J22),'Prepare Gantt Chart'!AK22=0,0)</f>
        <v>0</v>
      </c>
      <c r="Y23" s="45">
        <f>_xlfn.IFS('Prepare Gantt Chart'!AL22=4,'Project types'!$O23*('Prepare Gantt Chart'!$I22*'Prepare Gantt Chart'!$J22),'Prepare Gantt Chart'!AL22=3,'Project types'!$Q23*('Prepare Gantt Chart'!$I22*'Prepare Gantt Chart'!$J22),'Prepare Gantt Chart'!AL22=0,0)</f>
        <v>0</v>
      </c>
      <c r="Z23" s="45">
        <f>_xlfn.IFS('Prepare Gantt Chart'!AM22=4,'Project types'!$O23*('Prepare Gantt Chart'!$I22*'Prepare Gantt Chart'!$J22),'Prepare Gantt Chart'!AM22=3,'Project types'!$Q23*('Prepare Gantt Chart'!$I22*'Prepare Gantt Chart'!$J22),'Prepare Gantt Chart'!AM22=0,0)</f>
        <v>0</v>
      </c>
      <c r="AA23" s="45">
        <f>_xlfn.IFS('Prepare Gantt Chart'!AN22=4,'Project types'!$O23*('Prepare Gantt Chart'!$I22*'Prepare Gantt Chart'!$J22),'Prepare Gantt Chart'!AN22=3,'Project types'!$Q23*('Prepare Gantt Chart'!$I22*'Prepare Gantt Chart'!$J22),'Prepare Gantt Chart'!AN22=0,0)</f>
        <v>0</v>
      </c>
      <c r="AB23" s="45">
        <f>_xlfn.IFS('Prepare Gantt Chart'!AO22=4,'Project types'!$O23*('Prepare Gantt Chart'!$I22*'Prepare Gantt Chart'!$J22),'Prepare Gantt Chart'!AO22=3,'Project types'!$Q23*('Prepare Gantt Chart'!$I22*'Prepare Gantt Chart'!$J22),'Prepare Gantt Chart'!AO22=0,0)</f>
        <v>0</v>
      </c>
      <c r="AC23" s="45">
        <f>'Prepare Gantt Chart'!J22*'Prepare Gantt Chart'!I22*(AD23/26)</f>
        <v>0</v>
      </c>
      <c r="AD23" s="46">
        <f t="shared" si="0"/>
        <v>0</v>
      </c>
      <c r="AE23" s="72">
        <f>IF('Prepare Gantt Chart'!$J22=0,0,SUM(C23:H23)/6/'Prepare Gantt Chart'!$J22)</f>
        <v>0</v>
      </c>
      <c r="AF23" s="72">
        <f>IF('Prepare Gantt Chart'!$J22=0,0,SUM(I23:M23)/5/'Prepare Gantt Chart'!$J22)</f>
        <v>0</v>
      </c>
      <c r="AG23" s="72">
        <f>IF('Prepare Gantt Chart'!$J22=0,0,SUM(N23:R23)/5/'Prepare Gantt Chart'!$J22)</f>
        <v>0</v>
      </c>
      <c r="AH23" s="72">
        <f>IF('Prepare Gantt Chart'!$J22=0,0,SUM(S23:W23)/5/'Prepare Gantt Chart'!$J22)</f>
        <v>0</v>
      </c>
      <c r="AI23" s="72">
        <f>IF('Prepare Gantt Chart'!$J22=0,0,SUM(X23:AB23)/5/'Prepare Gantt Chart'!$J22)</f>
        <v>0</v>
      </c>
      <c r="AK23" s="21" t="s">
        <v>22</v>
      </c>
      <c r="AL23" s="45">
        <f>_xlfn.IFS('Prepare Gantt Chart'!P22=4,'Project types'!$L23*('Prepare Gantt Chart'!$I22*'Prepare Gantt Chart'!$J22),'Prepare Gantt Chart'!P22=3,'Project types'!$L23*('Prepare Gantt Chart'!$I22*'Prepare Gantt Chart'!$J22),'Prepare Gantt Chart'!P22=0,0)</f>
        <v>0</v>
      </c>
      <c r="AM23" s="45">
        <f>_xlfn.IFS('Prepare Gantt Chart'!Q22=4,'Project types'!$L23*('Prepare Gantt Chart'!$I22*'Prepare Gantt Chart'!$J22),'Prepare Gantt Chart'!Q22=3,'Project types'!$L23*('Prepare Gantt Chart'!$I22*'Prepare Gantt Chart'!$J22),'Prepare Gantt Chart'!Q22=0,0)</f>
        <v>0</v>
      </c>
      <c r="AN23" s="45">
        <f>_xlfn.IFS('Prepare Gantt Chart'!R22=4,'Project types'!$L23*('Prepare Gantt Chart'!$I22*'Prepare Gantt Chart'!$J22),'Prepare Gantt Chart'!R22=3,'Project types'!$L23*('Prepare Gantt Chart'!$I22*'Prepare Gantt Chart'!$J22),'Prepare Gantt Chart'!R22=0,0)</f>
        <v>0</v>
      </c>
      <c r="AO23" s="45">
        <f>_xlfn.IFS('Prepare Gantt Chart'!S22=4,'Project types'!$L23*('Prepare Gantt Chart'!$I22*'Prepare Gantt Chart'!$J22),'Prepare Gantt Chart'!S22=3,'Project types'!$L23*('Prepare Gantt Chart'!$I22*'Prepare Gantt Chart'!$J22),'Prepare Gantt Chart'!S22=0,0)</f>
        <v>0</v>
      </c>
      <c r="AP23" s="45">
        <f>_xlfn.IFS('Prepare Gantt Chart'!T22=4,'Project types'!$L23*('Prepare Gantt Chart'!$I22*'Prepare Gantt Chart'!$J22),'Prepare Gantt Chart'!T22=3,'Project types'!$L23*('Prepare Gantt Chart'!$I22*'Prepare Gantt Chart'!$J22),'Prepare Gantt Chart'!T22=0,0)</f>
        <v>0</v>
      </c>
      <c r="AQ23" s="45">
        <f>_xlfn.IFS('Prepare Gantt Chart'!U22=4,'Project types'!$L23*('Prepare Gantt Chart'!$I22*'Prepare Gantt Chart'!$J22),'Prepare Gantt Chart'!U22=3,'Project types'!$L23*('Prepare Gantt Chart'!$I22*'Prepare Gantt Chart'!$J22),'Prepare Gantt Chart'!U22=0,0)</f>
        <v>0</v>
      </c>
      <c r="AR23" s="45">
        <f>_xlfn.IFS('Prepare Gantt Chart'!V22=4,'Project types'!$L23*('Prepare Gantt Chart'!$I22*'Prepare Gantt Chart'!$J22),'Prepare Gantt Chart'!V22=3,'Project types'!$L23*('Prepare Gantt Chart'!$I22*'Prepare Gantt Chart'!$J22),'Prepare Gantt Chart'!V22=0,0)</f>
        <v>0</v>
      </c>
      <c r="AS23" s="45">
        <f>_xlfn.IFS('Prepare Gantt Chart'!W22=4,'Project types'!$L23*('Prepare Gantt Chart'!$I22*'Prepare Gantt Chart'!$J22),'Prepare Gantt Chart'!W22=3,'Project types'!$L23*('Prepare Gantt Chart'!$I22*'Prepare Gantt Chart'!$J22),'Prepare Gantt Chart'!W22=0,0)</f>
        <v>0</v>
      </c>
      <c r="AT23" s="45">
        <f>_xlfn.IFS('Prepare Gantt Chart'!X22=4,'Project types'!$L23*('Prepare Gantt Chart'!$I22*'Prepare Gantt Chart'!$J22),'Prepare Gantt Chart'!X22=3,'Project types'!$L23*('Prepare Gantt Chart'!$I22*'Prepare Gantt Chart'!$J22),'Prepare Gantt Chart'!X22=0,0)</f>
        <v>0</v>
      </c>
      <c r="AU23" s="45">
        <f>_xlfn.IFS('Prepare Gantt Chart'!Y22=4,'Project types'!$L23*('Prepare Gantt Chart'!$I22*'Prepare Gantt Chart'!$J22),'Prepare Gantt Chart'!Y22=3,'Project types'!$L23*('Prepare Gantt Chart'!$I22*'Prepare Gantt Chart'!$J22),'Prepare Gantt Chart'!Y22=0,0)</f>
        <v>0</v>
      </c>
      <c r="AV23" s="45">
        <f>_xlfn.IFS('Prepare Gantt Chart'!Z22=4,'Project types'!$L23*('Prepare Gantt Chart'!$I22*'Prepare Gantt Chart'!$J22),'Prepare Gantt Chart'!Z22=3,'Project types'!$L23*('Prepare Gantt Chart'!$I22*'Prepare Gantt Chart'!$J22),'Prepare Gantt Chart'!Z22=0,0)</f>
        <v>0</v>
      </c>
      <c r="AW23" s="45">
        <f>_xlfn.IFS('Prepare Gantt Chart'!AA22=4,'Project types'!$L23*('Prepare Gantt Chart'!$I22*'Prepare Gantt Chart'!$J22),'Prepare Gantt Chart'!AA22=3,'Project types'!$L23*('Prepare Gantt Chart'!$I22*'Prepare Gantt Chart'!$J22),'Prepare Gantt Chart'!AA22=0,0)</f>
        <v>0</v>
      </c>
      <c r="AX23" s="45">
        <f>_xlfn.IFS('Prepare Gantt Chart'!AB22=4,'Project types'!$L23*('Prepare Gantt Chart'!$I22*'Prepare Gantt Chart'!$J22),'Prepare Gantt Chart'!AB22=3,'Project types'!$L23*('Prepare Gantt Chart'!$I22*'Prepare Gantt Chart'!$J22),'Prepare Gantt Chart'!AB22=0,0)</f>
        <v>0</v>
      </c>
      <c r="AY23" s="45">
        <f>_xlfn.IFS('Prepare Gantt Chart'!AC22=4,'Project types'!$L23*('Prepare Gantt Chart'!$I22*'Prepare Gantt Chart'!$J22),'Prepare Gantt Chart'!AC22=3,'Project types'!$L23*('Prepare Gantt Chart'!$I22*'Prepare Gantt Chart'!$J22),'Prepare Gantt Chart'!AC22=0,0)</f>
        <v>0</v>
      </c>
      <c r="AZ23" s="45">
        <f>_xlfn.IFS('Prepare Gantt Chart'!AD22=4,'Project types'!$L23*('Prepare Gantt Chart'!$I22*'Prepare Gantt Chart'!$J22),'Prepare Gantt Chart'!AD22=3,'Project types'!$L23*('Prepare Gantt Chart'!$I22*'Prepare Gantt Chart'!$J22),'Prepare Gantt Chart'!AD22=0,0)</f>
        <v>0</v>
      </c>
      <c r="BA23" s="45">
        <f>_xlfn.IFS('Prepare Gantt Chart'!AE22=4,'Project types'!$L23*('Prepare Gantt Chart'!$I22*'Prepare Gantt Chart'!$J22),'Prepare Gantt Chart'!AE22=3,'Project types'!$L23*('Prepare Gantt Chart'!$I22*'Prepare Gantt Chart'!$J22),'Prepare Gantt Chart'!AE22=0,0)</f>
        <v>0</v>
      </c>
      <c r="BB23" s="45">
        <f>_xlfn.IFS('Prepare Gantt Chart'!AF22=4,'Project types'!$L23*('Prepare Gantt Chart'!$I22*'Prepare Gantt Chart'!$J22),'Prepare Gantt Chart'!AF22=3,'Project types'!$L23*('Prepare Gantt Chart'!$I22*'Prepare Gantt Chart'!$J22),'Prepare Gantt Chart'!AF22=0,0)</f>
        <v>0</v>
      </c>
      <c r="BC23" s="45">
        <f>_xlfn.IFS('Prepare Gantt Chart'!AG22=4,'Project types'!$L23*('Prepare Gantt Chart'!$I22*'Prepare Gantt Chart'!$J22),'Prepare Gantt Chart'!AG22=3,'Project types'!$L23*('Prepare Gantt Chart'!$I22*'Prepare Gantt Chart'!$J22),'Prepare Gantt Chart'!AG22=0,0)</f>
        <v>0</v>
      </c>
      <c r="BD23" s="45">
        <f>_xlfn.IFS('Prepare Gantt Chart'!AH22=4,'Project types'!$L23*('Prepare Gantt Chart'!$I22*'Prepare Gantt Chart'!$J22),'Prepare Gantt Chart'!AH22=3,'Project types'!$L23*('Prepare Gantt Chart'!$I22*'Prepare Gantt Chart'!$J22),'Prepare Gantt Chart'!AH22=0,0)</f>
        <v>0</v>
      </c>
      <c r="BE23" s="45">
        <f>_xlfn.IFS('Prepare Gantt Chart'!AI22=4,'Project types'!$L23*('Prepare Gantt Chart'!$I22*'Prepare Gantt Chart'!$J22),'Prepare Gantt Chart'!AI22=3,'Project types'!$L23*('Prepare Gantt Chart'!$I22*'Prepare Gantt Chart'!$J22),'Prepare Gantt Chart'!AI22=0,0)</f>
        <v>0</v>
      </c>
      <c r="BF23" s="45">
        <f>_xlfn.IFS('Prepare Gantt Chart'!AJ22=4,'Project types'!$L23*('Prepare Gantt Chart'!$I22*'Prepare Gantt Chart'!$J22),'Prepare Gantt Chart'!AJ22=3,'Project types'!$L23*('Prepare Gantt Chart'!$I22*'Prepare Gantt Chart'!$J22),'Prepare Gantt Chart'!AJ22=0,0)</f>
        <v>0</v>
      </c>
      <c r="BG23" s="45">
        <f>_xlfn.IFS('Prepare Gantt Chart'!AK22=4,'Project types'!$L23*('Prepare Gantt Chart'!$I22*'Prepare Gantt Chart'!$J22),'Prepare Gantt Chart'!AK22=3,'Project types'!$L23*('Prepare Gantt Chart'!$I22*'Prepare Gantt Chart'!$J22),'Prepare Gantt Chart'!AK22=0,0)</f>
        <v>0</v>
      </c>
      <c r="BH23" s="45">
        <f>_xlfn.IFS('Prepare Gantt Chart'!AL22=4,'Project types'!$L23*('Prepare Gantt Chart'!$I22*'Prepare Gantt Chart'!$J22),'Prepare Gantt Chart'!AL22=3,'Project types'!$L23*('Prepare Gantt Chart'!$I22*'Prepare Gantt Chart'!$J22),'Prepare Gantt Chart'!AL22=0,0)</f>
        <v>0</v>
      </c>
      <c r="BI23" s="45">
        <f>_xlfn.IFS('Prepare Gantt Chart'!AM22=4,'Project types'!$L23*('Prepare Gantt Chart'!$I22*'Prepare Gantt Chart'!$J22),'Prepare Gantt Chart'!AM22=3,'Project types'!$L23*('Prepare Gantt Chart'!$I22*'Prepare Gantt Chart'!$J22),'Prepare Gantt Chart'!AM22=0,0)</f>
        <v>0</v>
      </c>
      <c r="BJ23" s="45">
        <f>_xlfn.IFS('Prepare Gantt Chart'!AN22=4,'Project types'!$L23*('Prepare Gantt Chart'!$I22*'Prepare Gantt Chart'!$J22),'Prepare Gantt Chart'!AN22=3,'Project types'!$L23*('Prepare Gantt Chart'!$I22*'Prepare Gantt Chart'!$J22),'Prepare Gantt Chart'!AN22=0,0)</f>
        <v>0</v>
      </c>
      <c r="BK23" s="45">
        <f>_xlfn.IFS('Prepare Gantt Chart'!AO22=4,'Project types'!$L23*('Prepare Gantt Chart'!$I22*'Prepare Gantt Chart'!$J22),'Prepare Gantt Chart'!AO22=3,'Project types'!$L23*('Prepare Gantt Chart'!$I22*'Prepare Gantt Chart'!$J22),'Prepare Gantt Chart'!AO22=0,0)</f>
        <v>0</v>
      </c>
      <c r="BL23" s="46">
        <f t="shared" si="1"/>
        <v>0</v>
      </c>
      <c r="BM23" s="75">
        <f>IF('Prepare Gantt Chart'!$J22=0,0,SUM(AL23:AQ23)/6/'Prepare Gantt Chart'!$J22)</f>
        <v>0</v>
      </c>
      <c r="BN23" s="75">
        <f>IF('Prepare Gantt Chart'!$J22=0,0,SUM(AR23:AV23)/5/'Prepare Gantt Chart'!$J22)</f>
        <v>0</v>
      </c>
      <c r="BO23" s="75">
        <f>IF('Prepare Gantt Chart'!$J22=0,0,SUM(AW23:BA23)/5/'Prepare Gantt Chart'!$J22)</f>
        <v>0</v>
      </c>
      <c r="BP23" s="75">
        <f>IF('Prepare Gantt Chart'!$J22=0,0,SUM(BB23:BF23)/5/'Prepare Gantt Chart'!$J22)</f>
        <v>0</v>
      </c>
      <c r="BQ23" s="75">
        <f>IF('Prepare Gantt Chart'!$J22=0,0,SUM(BG23:BK23)/5/'Prepare Gantt Chart'!$J22)</f>
        <v>0</v>
      </c>
    </row>
    <row r="24" spans="1:69" x14ac:dyDescent="0.2">
      <c r="A24" s="21" t="s">
        <v>23</v>
      </c>
      <c r="B24" s="1" t="s">
        <v>121</v>
      </c>
      <c r="C24" s="45">
        <f>_xlfn.IFS('Prepare Gantt Chart'!P23=4,'Project types'!$O24*('Prepare Gantt Chart'!$I23*'Prepare Gantt Chart'!$J23),'Prepare Gantt Chart'!P23=3,'Project types'!$Q24*('Prepare Gantt Chart'!$I23*'Prepare Gantt Chart'!$J23),'Prepare Gantt Chart'!P23=0,0)</f>
        <v>0</v>
      </c>
      <c r="D24" s="45">
        <f>_xlfn.IFS('Prepare Gantt Chart'!Q23=4,'Project types'!$O24*('Prepare Gantt Chart'!$I23*'Prepare Gantt Chart'!$J23),'Prepare Gantt Chart'!Q23=3,'Project types'!$Q24*('Prepare Gantt Chart'!$I23*'Prepare Gantt Chart'!$J23),'Prepare Gantt Chart'!Q23=0,0)</f>
        <v>0</v>
      </c>
      <c r="E24" s="45">
        <f>_xlfn.IFS('Prepare Gantt Chart'!R23=4,'Project types'!$O24*('Prepare Gantt Chart'!$I23*'Prepare Gantt Chart'!$J23),'Prepare Gantt Chart'!R23=3,'Project types'!$Q24*('Prepare Gantt Chart'!$I23*'Prepare Gantt Chart'!$J23),'Prepare Gantt Chart'!R23=0,0)</f>
        <v>0</v>
      </c>
      <c r="F24" s="45">
        <f>_xlfn.IFS('Prepare Gantt Chart'!S23=4,'Project types'!$O24*('Prepare Gantt Chart'!$I23*'Prepare Gantt Chart'!$J23),'Prepare Gantt Chart'!S23=3,'Project types'!$Q24*('Prepare Gantt Chart'!$I23*'Prepare Gantt Chart'!$J23),'Prepare Gantt Chart'!S23=0,0)</f>
        <v>0</v>
      </c>
      <c r="G24" s="45">
        <f>_xlfn.IFS('Prepare Gantt Chart'!T23=4,'Project types'!$O24*('Prepare Gantt Chart'!$I23*'Prepare Gantt Chart'!$J23),'Prepare Gantt Chart'!T23=3,'Project types'!$Q24*('Prepare Gantt Chart'!$I23*'Prepare Gantt Chart'!$J23),'Prepare Gantt Chart'!T23=0,0)</f>
        <v>0</v>
      </c>
      <c r="H24" s="45">
        <f>_xlfn.IFS('Prepare Gantt Chart'!U23=4,'Project types'!$O24*('Prepare Gantt Chart'!$I23*'Prepare Gantt Chart'!$J23),'Prepare Gantt Chart'!U23=3,'Project types'!$Q24*('Prepare Gantt Chart'!$I23*'Prepare Gantt Chart'!$J23),'Prepare Gantt Chart'!U23=0,0)</f>
        <v>0</v>
      </c>
      <c r="I24" s="45">
        <f>_xlfn.IFS('Prepare Gantt Chart'!V23=4,'Project types'!$O24*('Prepare Gantt Chart'!$I23*'Prepare Gantt Chart'!$J23),'Prepare Gantt Chart'!V23=3,'Project types'!$Q24*('Prepare Gantt Chart'!$I23*'Prepare Gantt Chart'!$J23),'Prepare Gantt Chart'!V23=0,0)</f>
        <v>0</v>
      </c>
      <c r="J24" s="45">
        <f>_xlfn.IFS('Prepare Gantt Chart'!W23=4,'Project types'!$O24*('Prepare Gantt Chart'!$I23*'Prepare Gantt Chart'!$J23),'Prepare Gantt Chart'!W23=3,'Project types'!$Q24*('Prepare Gantt Chart'!$I23*'Prepare Gantt Chart'!$J23),'Prepare Gantt Chart'!W23=0,0)</f>
        <v>0</v>
      </c>
      <c r="K24" s="45">
        <f>_xlfn.IFS('Prepare Gantt Chart'!X23=4,'Project types'!$O24*('Prepare Gantt Chart'!$I23*'Prepare Gantt Chart'!$J23),'Prepare Gantt Chart'!X23=3,'Project types'!$Q24*('Prepare Gantt Chart'!$I23*'Prepare Gantt Chart'!$J23),'Prepare Gantt Chart'!X23=0,0)</f>
        <v>0</v>
      </c>
      <c r="L24" s="45">
        <f>_xlfn.IFS('Prepare Gantt Chart'!Y23=4,'Project types'!$O24*('Prepare Gantt Chart'!$I23*'Prepare Gantt Chart'!$J23),'Prepare Gantt Chart'!Y23=3,'Project types'!$Q24*('Prepare Gantt Chart'!$I23*'Prepare Gantt Chart'!$J23),'Prepare Gantt Chart'!Y23=0,0)</f>
        <v>0</v>
      </c>
      <c r="M24" s="45">
        <f>_xlfn.IFS('Prepare Gantt Chart'!Z23=4,'Project types'!$O24*('Prepare Gantt Chart'!$I23*'Prepare Gantt Chart'!$J23),'Prepare Gantt Chart'!Z23=3,'Project types'!$Q24*('Prepare Gantt Chart'!$I23*'Prepare Gantt Chart'!$J23),'Prepare Gantt Chart'!Z23=0,0)</f>
        <v>0</v>
      </c>
      <c r="N24" s="45">
        <f>_xlfn.IFS('Prepare Gantt Chart'!AA23=4,'Project types'!$O24*('Prepare Gantt Chart'!$I23*'Prepare Gantt Chart'!$J23),'Prepare Gantt Chart'!AA23=3,'Project types'!$Q24*('Prepare Gantt Chart'!$I23*'Prepare Gantt Chart'!$J23),'Prepare Gantt Chart'!AA23=0,0)</f>
        <v>0</v>
      </c>
      <c r="O24" s="45">
        <f>_xlfn.IFS('Prepare Gantt Chart'!AB23=4,'Project types'!$O24*('Prepare Gantt Chart'!$I23*'Prepare Gantt Chart'!$J23),'Prepare Gantt Chart'!AB23=3,'Project types'!$Q24*('Prepare Gantt Chart'!$I23*'Prepare Gantt Chart'!$J23),'Prepare Gantt Chart'!AB23=0,0)</f>
        <v>0</v>
      </c>
      <c r="P24" s="45">
        <f>_xlfn.IFS('Prepare Gantt Chart'!AC23=4,'Project types'!$O24*('Prepare Gantt Chart'!$I23*'Prepare Gantt Chart'!$J23),'Prepare Gantt Chart'!AC23=3,'Project types'!$Q24*('Prepare Gantt Chart'!$I23*'Prepare Gantt Chart'!$J23),'Prepare Gantt Chart'!AC23=0,0)</f>
        <v>0</v>
      </c>
      <c r="Q24" s="45">
        <f>_xlfn.IFS('Prepare Gantt Chart'!AD23=4,'Project types'!$O24*('Prepare Gantt Chart'!$I23*'Prepare Gantt Chart'!$J23),'Prepare Gantt Chart'!AD23=3,'Project types'!$Q24*('Prepare Gantt Chart'!$I23*'Prepare Gantt Chart'!$J23),'Prepare Gantt Chart'!AD23=0,0)</f>
        <v>0</v>
      </c>
      <c r="R24" s="45">
        <f>_xlfn.IFS('Prepare Gantt Chart'!AE23=4,'Project types'!$O24*('Prepare Gantt Chart'!$I23*'Prepare Gantt Chart'!$J23),'Prepare Gantt Chart'!AE23=3,'Project types'!$Q24*('Prepare Gantt Chart'!$I23*'Prepare Gantt Chart'!$J23),'Prepare Gantt Chart'!AE23=0,0)</f>
        <v>0</v>
      </c>
      <c r="S24" s="45">
        <f>_xlfn.IFS('Prepare Gantt Chart'!AF23=4,'Project types'!$O24*('Prepare Gantt Chart'!$I23*'Prepare Gantt Chart'!$J23),'Prepare Gantt Chart'!AF23=3,'Project types'!$Q24*('Prepare Gantt Chart'!$I23*'Prepare Gantt Chart'!$J23),'Prepare Gantt Chart'!AF23=0,0)</f>
        <v>0</v>
      </c>
      <c r="T24" s="45">
        <f>_xlfn.IFS('Prepare Gantt Chart'!AG23=4,'Project types'!$O24*('Prepare Gantt Chart'!$I23*'Prepare Gantt Chart'!$J23),'Prepare Gantt Chart'!AG23=3,'Project types'!$Q24*('Prepare Gantt Chart'!$I23*'Prepare Gantt Chart'!$J23),'Prepare Gantt Chart'!AG23=0,0)</f>
        <v>0</v>
      </c>
      <c r="U24" s="45">
        <f>_xlfn.IFS('Prepare Gantt Chart'!AH23=4,'Project types'!$O24*('Prepare Gantt Chart'!$I23*'Prepare Gantt Chart'!$J23),'Prepare Gantt Chart'!AH23=3,'Project types'!$Q24*('Prepare Gantt Chart'!$I23*'Prepare Gantt Chart'!$J23),'Prepare Gantt Chart'!AH23=0,0)</f>
        <v>0</v>
      </c>
      <c r="V24" s="45">
        <f>_xlfn.IFS('Prepare Gantt Chart'!AI23=4,'Project types'!$O24*('Prepare Gantt Chart'!$I23*'Prepare Gantt Chart'!$J23),'Prepare Gantt Chart'!AI23=3,'Project types'!$Q24*('Prepare Gantt Chart'!$I23*'Prepare Gantt Chart'!$J23),'Prepare Gantt Chart'!AI23=0,0)</f>
        <v>0</v>
      </c>
      <c r="W24" s="45">
        <f>_xlfn.IFS('Prepare Gantt Chart'!AJ23=4,'Project types'!$O24*('Prepare Gantt Chart'!$I23*'Prepare Gantt Chart'!$J23),'Prepare Gantt Chart'!AJ23=3,'Project types'!$Q24*('Prepare Gantt Chart'!$I23*'Prepare Gantt Chart'!$J23),'Prepare Gantt Chart'!AJ23=0,0)</f>
        <v>0</v>
      </c>
      <c r="X24" s="45">
        <f>_xlfn.IFS('Prepare Gantt Chart'!AK23=4,'Project types'!$O24*('Prepare Gantt Chart'!$I23*'Prepare Gantt Chart'!$J23),'Prepare Gantt Chart'!AK23=3,'Project types'!$Q24*('Prepare Gantt Chart'!$I23*'Prepare Gantt Chart'!$J23),'Prepare Gantt Chart'!AK23=0,0)</f>
        <v>0</v>
      </c>
      <c r="Y24" s="45">
        <f>_xlfn.IFS('Prepare Gantt Chart'!AL23=4,'Project types'!$O24*('Prepare Gantt Chart'!$I23*'Prepare Gantt Chart'!$J23),'Prepare Gantt Chart'!AL23=3,'Project types'!$Q24*('Prepare Gantt Chart'!$I23*'Prepare Gantt Chart'!$J23),'Prepare Gantt Chart'!AL23=0,0)</f>
        <v>0</v>
      </c>
      <c r="Z24" s="45">
        <f>_xlfn.IFS('Prepare Gantt Chart'!AM23=4,'Project types'!$O24*('Prepare Gantt Chart'!$I23*'Prepare Gantt Chart'!$J23),'Prepare Gantt Chart'!AM23=3,'Project types'!$Q24*('Prepare Gantt Chart'!$I23*'Prepare Gantt Chart'!$J23),'Prepare Gantt Chart'!AM23=0,0)</f>
        <v>0</v>
      </c>
      <c r="AA24" s="45">
        <f>_xlfn.IFS('Prepare Gantt Chart'!AN23=4,'Project types'!$O24*('Prepare Gantt Chart'!$I23*'Prepare Gantt Chart'!$J23),'Prepare Gantt Chart'!AN23=3,'Project types'!$Q24*('Prepare Gantt Chart'!$I23*'Prepare Gantt Chart'!$J23),'Prepare Gantt Chart'!AN23=0,0)</f>
        <v>0</v>
      </c>
      <c r="AB24" s="45">
        <f>_xlfn.IFS('Prepare Gantt Chart'!AO23=4,'Project types'!$O24*('Prepare Gantt Chart'!$I23*'Prepare Gantt Chart'!$J23),'Prepare Gantt Chart'!AO23=3,'Project types'!$Q24*('Prepare Gantt Chart'!$I23*'Prepare Gantt Chart'!$J23),'Prepare Gantt Chart'!AO23=0,0)</f>
        <v>0</v>
      </c>
      <c r="AC24" s="45">
        <f>'Prepare Gantt Chart'!J23*'Prepare Gantt Chart'!I23*(AD24/26)</f>
        <v>0</v>
      </c>
      <c r="AD24" s="46">
        <f t="shared" si="0"/>
        <v>0</v>
      </c>
      <c r="AE24" s="72">
        <f>IF('Prepare Gantt Chart'!$J23=0,0,SUM(C24:H24)/6/'Prepare Gantt Chart'!$J23)</f>
        <v>0</v>
      </c>
      <c r="AF24" s="72">
        <f>IF('Prepare Gantt Chart'!$J23=0,0,SUM(I24:M24)/5/'Prepare Gantt Chart'!$J23)</f>
        <v>0</v>
      </c>
      <c r="AG24" s="72">
        <f>IF('Prepare Gantt Chart'!$J23=0,0,SUM(N24:R24)/5/'Prepare Gantt Chart'!$J23)</f>
        <v>0</v>
      </c>
      <c r="AH24" s="72">
        <f>IF('Prepare Gantt Chart'!$J23=0,0,SUM(S24:W24)/5/'Prepare Gantt Chart'!$J23)</f>
        <v>0</v>
      </c>
      <c r="AI24" s="72">
        <f>IF('Prepare Gantt Chart'!$J23=0,0,SUM(X24:AB24)/5/'Prepare Gantt Chart'!$J23)</f>
        <v>0</v>
      </c>
      <c r="AK24" s="21" t="s">
        <v>23</v>
      </c>
      <c r="AL24" s="45">
        <f>_xlfn.IFS('Prepare Gantt Chart'!P23=4,'Project types'!$L24*('Prepare Gantt Chart'!$I23*'Prepare Gantt Chart'!$J23),'Prepare Gantt Chart'!P23=3,'Project types'!$L24*('Prepare Gantt Chart'!$I23*'Prepare Gantt Chart'!$J23),'Prepare Gantt Chart'!P23=0,0)</f>
        <v>0</v>
      </c>
      <c r="AM24" s="45">
        <f>_xlfn.IFS('Prepare Gantt Chart'!Q23=4,'Project types'!$L24*('Prepare Gantt Chart'!$I23*'Prepare Gantt Chart'!$J23),'Prepare Gantt Chart'!Q23=3,'Project types'!$L24*('Prepare Gantt Chart'!$I23*'Prepare Gantt Chart'!$J23),'Prepare Gantt Chart'!Q23=0,0)</f>
        <v>0</v>
      </c>
      <c r="AN24" s="45">
        <f>_xlfn.IFS('Prepare Gantt Chart'!R23=4,'Project types'!$L24*('Prepare Gantt Chart'!$I23*'Prepare Gantt Chart'!$J23),'Prepare Gantt Chart'!R23=3,'Project types'!$L24*('Prepare Gantt Chart'!$I23*'Prepare Gantt Chart'!$J23),'Prepare Gantt Chart'!R23=0,0)</f>
        <v>0</v>
      </c>
      <c r="AO24" s="45">
        <f>_xlfn.IFS('Prepare Gantt Chart'!S23=4,'Project types'!$L24*('Prepare Gantt Chart'!$I23*'Prepare Gantt Chart'!$J23),'Prepare Gantt Chart'!S23=3,'Project types'!$L24*('Prepare Gantt Chart'!$I23*'Prepare Gantt Chart'!$J23),'Prepare Gantt Chart'!S23=0,0)</f>
        <v>0</v>
      </c>
      <c r="AP24" s="45">
        <f>_xlfn.IFS('Prepare Gantt Chart'!T23=4,'Project types'!$L24*('Prepare Gantt Chart'!$I23*'Prepare Gantt Chart'!$J23),'Prepare Gantt Chart'!T23=3,'Project types'!$L24*('Prepare Gantt Chart'!$I23*'Prepare Gantt Chart'!$J23),'Prepare Gantt Chart'!T23=0,0)</f>
        <v>0</v>
      </c>
      <c r="AQ24" s="45">
        <f>_xlfn.IFS('Prepare Gantt Chart'!U23=4,'Project types'!$L24*('Prepare Gantt Chart'!$I23*'Prepare Gantt Chart'!$J23),'Prepare Gantt Chart'!U23=3,'Project types'!$L24*('Prepare Gantt Chart'!$I23*'Prepare Gantt Chart'!$J23),'Prepare Gantt Chart'!U23=0,0)</f>
        <v>0</v>
      </c>
      <c r="AR24" s="45">
        <f>_xlfn.IFS('Prepare Gantt Chart'!V23=4,'Project types'!$L24*('Prepare Gantt Chart'!$I23*'Prepare Gantt Chart'!$J23),'Prepare Gantt Chart'!V23=3,'Project types'!$L24*('Prepare Gantt Chart'!$I23*'Prepare Gantt Chart'!$J23),'Prepare Gantt Chart'!V23=0,0)</f>
        <v>0</v>
      </c>
      <c r="AS24" s="45">
        <f>_xlfn.IFS('Prepare Gantt Chart'!W23=4,'Project types'!$L24*('Prepare Gantt Chart'!$I23*'Prepare Gantt Chart'!$J23),'Prepare Gantt Chart'!W23=3,'Project types'!$L24*('Prepare Gantt Chart'!$I23*'Prepare Gantt Chart'!$J23),'Prepare Gantt Chart'!W23=0,0)</f>
        <v>0</v>
      </c>
      <c r="AT24" s="45">
        <f>_xlfn.IFS('Prepare Gantt Chart'!X23=4,'Project types'!$L24*('Prepare Gantt Chart'!$I23*'Prepare Gantt Chart'!$J23),'Prepare Gantt Chart'!X23=3,'Project types'!$L24*('Prepare Gantt Chart'!$I23*'Prepare Gantt Chart'!$J23),'Prepare Gantt Chart'!X23=0,0)</f>
        <v>0</v>
      </c>
      <c r="AU24" s="45">
        <f>_xlfn.IFS('Prepare Gantt Chart'!Y23=4,'Project types'!$L24*('Prepare Gantt Chart'!$I23*'Prepare Gantt Chart'!$J23),'Prepare Gantt Chart'!Y23=3,'Project types'!$L24*('Prepare Gantt Chart'!$I23*'Prepare Gantt Chart'!$J23),'Prepare Gantt Chart'!Y23=0,0)</f>
        <v>0</v>
      </c>
      <c r="AV24" s="45">
        <f>_xlfn.IFS('Prepare Gantt Chart'!Z23=4,'Project types'!$L24*('Prepare Gantt Chart'!$I23*'Prepare Gantt Chart'!$J23),'Prepare Gantt Chart'!Z23=3,'Project types'!$L24*('Prepare Gantt Chart'!$I23*'Prepare Gantt Chart'!$J23),'Prepare Gantt Chart'!Z23=0,0)</f>
        <v>0</v>
      </c>
      <c r="AW24" s="45">
        <f>_xlfn.IFS('Prepare Gantt Chart'!AA23=4,'Project types'!$L24*('Prepare Gantt Chart'!$I23*'Prepare Gantt Chart'!$J23),'Prepare Gantt Chart'!AA23=3,'Project types'!$L24*('Prepare Gantt Chart'!$I23*'Prepare Gantt Chart'!$J23),'Prepare Gantt Chart'!AA23=0,0)</f>
        <v>0</v>
      </c>
      <c r="AX24" s="45">
        <f>_xlfn.IFS('Prepare Gantt Chart'!AB23=4,'Project types'!$L24*('Prepare Gantt Chart'!$I23*'Prepare Gantt Chart'!$J23),'Prepare Gantt Chart'!AB23=3,'Project types'!$L24*('Prepare Gantt Chart'!$I23*'Prepare Gantt Chart'!$J23),'Prepare Gantt Chart'!AB23=0,0)</f>
        <v>0</v>
      </c>
      <c r="AY24" s="45">
        <f>_xlfn.IFS('Prepare Gantt Chart'!AC23=4,'Project types'!$L24*('Prepare Gantt Chart'!$I23*'Prepare Gantt Chart'!$J23),'Prepare Gantt Chart'!AC23=3,'Project types'!$L24*('Prepare Gantt Chart'!$I23*'Prepare Gantt Chart'!$J23),'Prepare Gantt Chart'!AC23=0,0)</f>
        <v>0</v>
      </c>
      <c r="AZ24" s="45">
        <f>_xlfn.IFS('Prepare Gantt Chart'!AD23=4,'Project types'!$L24*('Prepare Gantt Chart'!$I23*'Prepare Gantt Chart'!$J23),'Prepare Gantt Chart'!AD23=3,'Project types'!$L24*('Prepare Gantt Chart'!$I23*'Prepare Gantt Chart'!$J23),'Prepare Gantt Chart'!AD23=0,0)</f>
        <v>0</v>
      </c>
      <c r="BA24" s="45">
        <f>_xlfn.IFS('Prepare Gantt Chart'!AE23=4,'Project types'!$L24*('Prepare Gantt Chart'!$I23*'Prepare Gantt Chart'!$J23),'Prepare Gantt Chart'!AE23=3,'Project types'!$L24*('Prepare Gantt Chart'!$I23*'Prepare Gantt Chart'!$J23),'Prepare Gantt Chart'!AE23=0,0)</f>
        <v>0</v>
      </c>
      <c r="BB24" s="45">
        <f>_xlfn.IFS('Prepare Gantt Chart'!AF23=4,'Project types'!$L24*('Prepare Gantt Chart'!$I23*'Prepare Gantt Chart'!$J23),'Prepare Gantt Chart'!AF23=3,'Project types'!$L24*('Prepare Gantt Chart'!$I23*'Prepare Gantt Chart'!$J23),'Prepare Gantt Chart'!AF23=0,0)</f>
        <v>0</v>
      </c>
      <c r="BC24" s="45">
        <f>_xlfn.IFS('Prepare Gantt Chart'!AG23=4,'Project types'!$L24*('Prepare Gantt Chart'!$I23*'Prepare Gantt Chart'!$J23),'Prepare Gantt Chart'!AG23=3,'Project types'!$L24*('Prepare Gantt Chart'!$I23*'Prepare Gantt Chart'!$J23),'Prepare Gantt Chart'!AG23=0,0)</f>
        <v>0</v>
      </c>
      <c r="BD24" s="45">
        <f>_xlfn.IFS('Prepare Gantt Chart'!AH23=4,'Project types'!$L24*('Prepare Gantt Chart'!$I23*'Prepare Gantt Chart'!$J23),'Prepare Gantt Chart'!AH23=3,'Project types'!$L24*('Prepare Gantt Chart'!$I23*'Prepare Gantt Chart'!$J23),'Prepare Gantt Chart'!AH23=0,0)</f>
        <v>0</v>
      </c>
      <c r="BE24" s="45">
        <f>_xlfn.IFS('Prepare Gantt Chart'!AI23=4,'Project types'!$L24*('Prepare Gantt Chart'!$I23*'Prepare Gantt Chart'!$J23),'Prepare Gantt Chart'!AI23=3,'Project types'!$L24*('Prepare Gantt Chart'!$I23*'Prepare Gantt Chart'!$J23),'Prepare Gantt Chart'!AI23=0,0)</f>
        <v>0</v>
      </c>
      <c r="BF24" s="45">
        <f>_xlfn.IFS('Prepare Gantt Chart'!AJ23=4,'Project types'!$L24*('Prepare Gantt Chart'!$I23*'Prepare Gantt Chart'!$J23),'Prepare Gantt Chart'!AJ23=3,'Project types'!$L24*('Prepare Gantt Chart'!$I23*'Prepare Gantt Chart'!$J23),'Prepare Gantt Chart'!AJ23=0,0)</f>
        <v>0</v>
      </c>
      <c r="BG24" s="45">
        <f>_xlfn.IFS('Prepare Gantt Chart'!AK23=4,'Project types'!$L24*('Prepare Gantt Chart'!$I23*'Prepare Gantt Chart'!$J23),'Prepare Gantt Chart'!AK23=3,'Project types'!$L24*('Prepare Gantt Chart'!$I23*'Prepare Gantt Chart'!$J23),'Prepare Gantt Chart'!AK23=0,0)</f>
        <v>0</v>
      </c>
      <c r="BH24" s="45">
        <f>_xlfn.IFS('Prepare Gantt Chart'!AL23=4,'Project types'!$L24*('Prepare Gantt Chart'!$I23*'Prepare Gantt Chart'!$J23),'Prepare Gantt Chart'!AL23=3,'Project types'!$L24*('Prepare Gantt Chart'!$I23*'Prepare Gantt Chart'!$J23),'Prepare Gantt Chart'!AL23=0,0)</f>
        <v>0</v>
      </c>
      <c r="BI24" s="45">
        <f>_xlfn.IFS('Prepare Gantt Chart'!AM23=4,'Project types'!$L24*('Prepare Gantt Chart'!$I23*'Prepare Gantt Chart'!$J23),'Prepare Gantt Chart'!AM23=3,'Project types'!$L24*('Prepare Gantt Chart'!$I23*'Prepare Gantt Chart'!$J23),'Prepare Gantt Chart'!AM23=0,0)</f>
        <v>0</v>
      </c>
      <c r="BJ24" s="45">
        <f>_xlfn.IFS('Prepare Gantt Chart'!AN23=4,'Project types'!$L24*('Prepare Gantt Chart'!$I23*'Prepare Gantt Chart'!$J23),'Prepare Gantt Chart'!AN23=3,'Project types'!$L24*('Prepare Gantt Chart'!$I23*'Prepare Gantt Chart'!$J23),'Prepare Gantt Chart'!AN23=0,0)</f>
        <v>0</v>
      </c>
      <c r="BK24" s="45">
        <f>_xlfn.IFS('Prepare Gantt Chart'!AO23=4,'Project types'!$L24*('Prepare Gantt Chart'!$I23*'Prepare Gantt Chart'!$J23),'Prepare Gantt Chart'!AO23=3,'Project types'!$L24*('Prepare Gantt Chart'!$I23*'Prepare Gantt Chart'!$J23),'Prepare Gantt Chart'!AO23=0,0)</f>
        <v>0</v>
      </c>
      <c r="BL24" s="46">
        <f t="shared" si="1"/>
        <v>0</v>
      </c>
      <c r="BM24" s="75">
        <f>IF('Prepare Gantt Chart'!$J23=0,0,SUM(AL24:AQ24)/6/'Prepare Gantt Chart'!$J23)</f>
        <v>0</v>
      </c>
      <c r="BN24" s="75">
        <f>IF('Prepare Gantt Chart'!$J23=0,0,SUM(AR24:AV24)/5/'Prepare Gantt Chart'!$J23)</f>
        <v>0</v>
      </c>
      <c r="BO24" s="75">
        <f>IF('Prepare Gantt Chart'!$J23=0,0,SUM(AW24:BA24)/5/'Prepare Gantt Chart'!$J23)</f>
        <v>0</v>
      </c>
      <c r="BP24" s="75">
        <f>IF('Prepare Gantt Chart'!$J23=0,0,SUM(BB24:BF24)/5/'Prepare Gantt Chart'!$J23)</f>
        <v>0</v>
      </c>
      <c r="BQ24" s="75">
        <f>IF('Prepare Gantt Chart'!$J23=0,0,SUM(BG24:BK24)/5/'Prepare Gantt Chart'!$J23)</f>
        <v>0</v>
      </c>
    </row>
    <row r="25" spans="1:69" x14ac:dyDescent="0.2">
      <c r="A25" s="21" t="s">
        <v>24</v>
      </c>
      <c r="B25" s="1" t="s">
        <v>390</v>
      </c>
      <c r="C25" s="45">
        <f>_xlfn.IFS('Prepare Gantt Chart'!P24=4,'Project types'!$O25*('Prepare Gantt Chart'!$I24*'Prepare Gantt Chart'!$J24),'Prepare Gantt Chart'!P24=3,'Project types'!$Q25*('Prepare Gantt Chart'!$I24*'Prepare Gantt Chart'!$J24),'Prepare Gantt Chart'!P24=0,0)</f>
        <v>0</v>
      </c>
      <c r="D25" s="45">
        <f>_xlfn.IFS('Prepare Gantt Chart'!Q24=4,'Project types'!$O25*('Prepare Gantt Chart'!$I24*'Prepare Gantt Chart'!$J24),'Prepare Gantt Chart'!Q24=3,'Project types'!$Q25*('Prepare Gantt Chart'!$I24*'Prepare Gantt Chart'!$J24),'Prepare Gantt Chart'!Q24=0,0)</f>
        <v>0</v>
      </c>
      <c r="E25" s="45">
        <f>_xlfn.IFS('Prepare Gantt Chart'!R24=4,'Project types'!$O25*('Prepare Gantt Chart'!$I24*'Prepare Gantt Chart'!$J24),'Prepare Gantt Chart'!R24=3,'Project types'!$Q25*('Prepare Gantt Chart'!$I24*'Prepare Gantt Chart'!$J24),'Prepare Gantt Chart'!R24=0,0)</f>
        <v>0</v>
      </c>
      <c r="F25" s="45">
        <f>_xlfn.IFS('Prepare Gantt Chart'!S24=4,'Project types'!$O25*('Prepare Gantt Chart'!$I24*'Prepare Gantt Chart'!$J24),'Prepare Gantt Chart'!S24=3,'Project types'!$Q25*('Prepare Gantt Chart'!$I24*'Prepare Gantt Chart'!$J24),'Prepare Gantt Chart'!S24=0,0)</f>
        <v>0</v>
      </c>
      <c r="G25" s="45">
        <f>_xlfn.IFS('Prepare Gantt Chart'!T24=4,'Project types'!$O25*('Prepare Gantt Chart'!$I24*'Prepare Gantt Chart'!$J24),'Prepare Gantt Chart'!T24=3,'Project types'!$Q25*('Prepare Gantt Chart'!$I24*'Prepare Gantt Chart'!$J24),'Prepare Gantt Chart'!T24=0,0)</f>
        <v>0</v>
      </c>
      <c r="H25" s="45">
        <f>_xlfn.IFS('Prepare Gantt Chart'!U24=4,'Project types'!$O25*('Prepare Gantt Chart'!$I24*'Prepare Gantt Chart'!$J24),'Prepare Gantt Chart'!U24=3,'Project types'!$Q25*('Prepare Gantt Chart'!$I24*'Prepare Gantt Chart'!$J24),'Prepare Gantt Chart'!U24=0,0)</f>
        <v>0</v>
      </c>
      <c r="I25" s="45">
        <f>_xlfn.IFS('Prepare Gantt Chart'!V24=4,'Project types'!$O25*('Prepare Gantt Chart'!$I24*'Prepare Gantt Chart'!$J24),'Prepare Gantt Chart'!V24=3,'Project types'!$Q25*('Prepare Gantt Chart'!$I24*'Prepare Gantt Chart'!$J24),'Prepare Gantt Chart'!V24=0,0)</f>
        <v>0</v>
      </c>
      <c r="J25" s="45">
        <f>_xlfn.IFS('Prepare Gantt Chart'!W24=4,'Project types'!$O25*('Prepare Gantt Chart'!$I24*'Prepare Gantt Chart'!$J24),'Prepare Gantt Chart'!W24=3,'Project types'!$Q25*('Prepare Gantt Chart'!$I24*'Prepare Gantt Chart'!$J24),'Prepare Gantt Chart'!W24=0,0)</f>
        <v>0</v>
      </c>
      <c r="K25" s="45">
        <f>_xlfn.IFS('Prepare Gantt Chart'!X24=4,'Project types'!$O25*('Prepare Gantt Chart'!$I24*'Prepare Gantt Chart'!$J24),'Prepare Gantt Chart'!X24=3,'Project types'!$Q25*('Prepare Gantt Chart'!$I24*'Prepare Gantt Chart'!$J24),'Prepare Gantt Chart'!X24=0,0)</f>
        <v>0</v>
      </c>
      <c r="L25" s="45">
        <f>_xlfn.IFS('Prepare Gantt Chart'!Y24=4,'Project types'!$O25*('Prepare Gantt Chart'!$I24*'Prepare Gantt Chart'!$J24),'Prepare Gantt Chart'!Y24=3,'Project types'!$Q25*('Prepare Gantt Chart'!$I24*'Prepare Gantt Chart'!$J24),'Prepare Gantt Chart'!Y24=0,0)</f>
        <v>0</v>
      </c>
      <c r="M25" s="45">
        <f>_xlfn.IFS('Prepare Gantt Chart'!Z24=4,'Project types'!$O25*('Prepare Gantt Chart'!$I24*'Prepare Gantt Chart'!$J24),'Prepare Gantt Chart'!Z24=3,'Project types'!$Q25*('Prepare Gantt Chart'!$I24*'Prepare Gantt Chart'!$J24),'Prepare Gantt Chart'!Z24=0,0)</f>
        <v>0</v>
      </c>
      <c r="N25" s="45">
        <f>_xlfn.IFS('Prepare Gantt Chart'!AA24=4,'Project types'!$O25*('Prepare Gantt Chart'!$I24*'Prepare Gantt Chart'!$J24),'Prepare Gantt Chart'!AA24=3,'Project types'!$Q25*('Prepare Gantt Chart'!$I24*'Prepare Gantt Chart'!$J24),'Prepare Gantt Chart'!AA24=0,0)</f>
        <v>0</v>
      </c>
      <c r="O25" s="45">
        <f>_xlfn.IFS('Prepare Gantt Chart'!AB24=4,'Project types'!$O25*('Prepare Gantt Chart'!$I24*'Prepare Gantt Chart'!$J24),'Prepare Gantt Chart'!AB24=3,'Project types'!$Q25*('Prepare Gantt Chart'!$I24*'Prepare Gantt Chart'!$J24),'Prepare Gantt Chart'!AB24=0,0)</f>
        <v>0</v>
      </c>
      <c r="P25" s="45">
        <f>_xlfn.IFS('Prepare Gantt Chart'!AC24=4,'Project types'!$O25*('Prepare Gantt Chart'!$I24*'Prepare Gantt Chart'!$J24),'Prepare Gantt Chart'!AC24=3,'Project types'!$Q25*('Prepare Gantt Chart'!$I24*'Prepare Gantt Chart'!$J24),'Prepare Gantt Chart'!AC24=0,0)</f>
        <v>0</v>
      </c>
      <c r="Q25" s="45">
        <f>_xlfn.IFS('Prepare Gantt Chart'!AD24=4,'Project types'!$O25*('Prepare Gantt Chart'!$I24*'Prepare Gantt Chart'!$J24),'Prepare Gantt Chart'!AD24=3,'Project types'!$Q25*('Prepare Gantt Chart'!$I24*'Prepare Gantt Chart'!$J24),'Prepare Gantt Chart'!AD24=0,0)</f>
        <v>0</v>
      </c>
      <c r="R25" s="45">
        <f>_xlfn.IFS('Prepare Gantt Chart'!AE24=4,'Project types'!$O25*('Prepare Gantt Chart'!$I24*'Prepare Gantt Chart'!$J24),'Prepare Gantt Chart'!AE24=3,'Project types'!$Q25*('Prepare Gantt Chart'!$I24*'Prepare Gantt Chart'!$J24),'Prepare Gantt Chart'!AE24=0,0)</f>
        <v>0</v>
      </c>
      <c r="S25" s="45">
        <f>_xlfn.IFS('Prepare Gantt Chart'!AF24=4,'Project types'!$O25*('Prepare Gantt Chart'!$I24*'Prepare Gantt Chart'!$J24),'Prepare Gantt Chart'!AF24=3,'Project types'!$Q25*('Prepare Gantt Chart'!$I24*'Prepare Gantt Chart'!$J24),'Prepare Gantt Chart'!AF24=0,0)</f>
        <v>0</v>
      </c>
      <c r="T25" s="45">
        <f>_xlfn.IFS('Prepare Gantt Chart'!AG24=4,'Project types'!$O25*('Prepare Gantt Chart'!$I24*'Prepare Gantt Chart'!$J24),'Prepare Gantt Chart'!AG24=3,'Project types'!$Q25*('Prepare Gantt Chart'!$I24*'Prepare Gantt Chart'!$J24),'Prepare Gantt Chart'!AG24=0,0)</f>
        <v>0</v>
      </c>
      <c r="U25" s="45">
        <f>_xlfn.IFS('Prepare Gantt Chart'!AH24=4,'Project types'!$O25*('Prepare Gantt Chart'!$I24*'Prepare Gantt Chart'!$J24),'Prepare Gantt Chart'!AH24=3,'Project types'!$Q25*('Prepare Gantt Chart'!$I24*'Prepare Gantt Chart'!$J24),'Prepare Gantt Chart'!AH24=0,0)</f>
        <v>0</v>
      </c>
      <c r="V25" s="45">
        <f>_xlfn.IFS('Prepare Gantt Chart'!AI24=4,'Project types'!$O25*('Prepare Gantt Chart'!$I24*'Prepare Gantt Chart'!$J24),'Prepare Gantt Chart'!AI24=3,'Project types'!$Q25*('Prepare Gantt Chart'!$I24*'Prepare Gantt Chart'!$J24),'Prepare Gantt Chart'!AI24=0,0)</f>
        <v>0</v>
      </c>
      <c r="W25" s="45">
        <f>_xlfn.IFS('Prepare Gantt Chart'!AJ24=4,'Project types'!$O25*('Prepare Gantt Chart'!$I24*'Prepare Gantt Chart'!$J24),'Prepare Gantt Chart'!AJ24=3,'Project types'!$Q25*('Prepare Gantt Chart'!$I24*'Prepare Gantt Chart'!$J24),'Prepare Gantt Chart'!AJ24=0,0)</f>
        <v>0</v>
      </c>
      <c r="X25" s="45">
        <f>_xlfn.IFS('Prepare Gantt Chart'!AK24=4,'Project types'!$O25*('Prepare Gantt Chart'!$I24*'Prepare Gantt Chart'!$J24),'Prepare Gantt Chart'!AK24=3,'Project types'!$Q25*('Prepare Gantt Chart'!$I24*'Prepare Gantt Chart'!$J24),'Prepare Gantt Chart'!AK24=0,0)</f>
        <v>0</v>
      </c>
      <c r="Y25" s="45">
        <f>_xlfn.IFS('Prepare Gantt Chart'!AL24=4,'Project types'!$O25*('Prepare Gantt Chart'!$I24*'Prepare Gantt Chart'!$J24),'Prepare Gantt Chart'!AL24=3,'Project types'!$Q25*('Prepare Gantt Chart'!$I24*'Prepare Gantt Chart'!$J24),'Prepare Gantt Chart'!AL24=0,0)</f>
        <v>0</v>
      </c>
      <c r="Z25" s="45">
        <f>_xlfn.IFS('Prepare Gantt Chart'!AM24=4,'Project types'!$O25*('Prepare Gantt Chart'!$I24*'Prepare Gantt Chart'!$J24),'Prepare Gantt Chart'!AM24=3,'Project types'!$Q25*('Prepare Gantt Chart'!$I24*'Prepare Gantt Chart'!$J24),'Prepare Gantt Chart'!AM24=0,0)</f>
        <v>0</v>
      </c>
      <c r="AA25" s="45">
        <f>_xlfn.IFS('Prepare Gantt Chart'!AN24=4,'Project types'!$O25*('Prepare Gantt Chart'!$I24*'Prepare Gantt Chart'!$J24),'Prepare Gantt Chart'!AN24=3,'Project types'!$Q25*('Prepare Gantt Chart'!$I24*'Prepare Gantt Chart'!$J24),'Prepare Gantt Chart'!AN24=0,0)</f>
        <v>0</v>
      </c>
      <c r="AB25" s="45">
        <f>_xlfn.IFS('Prepare Gantt Chart'!AO24=4,'Project types'!$O25*('Prepare Gantt Chart'!$I24*'Prepare Gantt Chart'!$J24),'Prepare Gantt Chart'!AO24=3,'Project types'!$Q25*('Prepare Gantt Chart'!$I24*'Prepare Gantt Chart'!$J24),'Prepare Gantt Chart'!AO24=0,0)</f>
        <v>0</v>
      </c>
      <c r="AC25" s="45">
        <f>'Prepare Gantt Chart'!J24*'Prepare Gantt Chart'!I24*(AD25/26)</f>
        <v>0</v>
      </c>
      <c r="AD25" s="46">
        <f t="shared" si="0"/>
        <v>0</v>
      </c>
      <c r="AE25" s="72">
        <f>IF('Prepare Gantt Chart'!$J24=0,0,SUM(C25:H25)/6/'Prepare Gantt Chart'!$J24)</f>
        <v>0</v>
      </c>
      <c r="AF25" s="72">
        <f>IF('Prepare Gantt Chart'!$J24=0,0,SUM(I25:M25)/5/'Prepare Gantt Chart'!$J24)</f>
        <v>0</v>
      </c>
      <c r="AG25" s="72">
        <f>IF('Prepare Gantt Chart'!$J24=0,0,SUM(N25:R25)/5/'Prepare Gantt Chart'!$J24)</f>
        <v>0</v>
      </c>
      <c r="AH25" s="72">
        <f>IF('Prepare Gantt Chart'!$J24=0,0,SUM(S25:W25)/5/'Prepare Gantt Chart'!$J24)</f>
        <v>0</v>
      </c>
      <c r="AI25" s="72">
        <f>IF('Prepare Gantt Chart'!$J24=0,0,SUM(X25:AB25)/5/'Prepare Gantt Chart'!$J24)</f>
        <v>0</v>
      </c>
      <c r="AK25" s="21" t="s">
        <v>24</v>
      </c>
      <c r="AL25" s="45">
        <f>_xlfn.IFS('Prepare Gantt Chart'!P24=4,'Project types'!$L25*('Prepare Gantt Chart'!$I24*'Prepare Gantt Chart'!$J24),'Prepare Gantt Chart'!P24=3,'Project types'!$L25*('Prepare Gantt Chart'!$I24*'Prepare Gantt Chart'!$J24),'Prepare Gantt Chart'!P24=0,0)</f>
        <v>0</v>
      </c>
      <c r="AM25" s="45">
        <f>_xlfn.IFS('Prepare Gantt Chart'!Q24=4,'Project types'!$L25*('Prepare Gantt Chart'!$I24*'Prepare Gantt Chart'!$J24),'Prepare Gantt Chart'!Q24=3,'Project types'!$L25*('Prepare Gantt Chart'!$I24*'Prepare Gantt Chart'!$J24),'Prepare Gantt Chart'!Q24=0,0)</f>
        <v>0</v>
      </c>
      <c r="AN25" s="45">
        <f>_xlfn.IFS('Prepare Gantt Chart'!R24=4,'Project types'!$L25*('Prepare Gantt Chart'!$I24*'Prepare Gantt Chart'!$J24),'Prepare Gantt Chart'!R24=3,'Project types'!$L25*('Prepare Gantt Chart'!$I24*'Prepare Gantt Chart'!$J24),'Prepare Gantt Chart'!R24=0,0)</f>
        <v>0</v>
      </c>
      <c r="AO25" s="45">
        <f>_xlfn.IFS('Prepare Gantt Chart'!S24=4,'Project types'!$L25*('Prepare Gantt Chart'!$I24*'Prepare Gantt Chart'!$J24),'Prepare Gantt Chart'!S24=3,'Project types'!$L25*('Prepare Gantt Chart'!$I24*'Prepare Gantt Chart'!$J24),'Prepare Gantt Chart'!S24=0,0)</f>
        <v>0</v>
      </c>
      <c r="AP25" s="45">
        <f>_xlfn.IFS('Prepare Gantt Chart'!T24=4,'Project types'!$L25*('Prepare Gantt Chart'!$I24*'Prepare Gantt Chart'!$J24),'Prepare Gantt Chart'!T24=3,'Project types'!$L25*('Prepare Gantt Chart'!$I24*'Prepare Gantt Chart'!$J24),'Prepare Gantt Chart'!T24=0,0)</f>
        <v>0</v>
      </c>
      <c r="AQ25" s="45">
        <f>_xlfn.IFS('Prepare Gantt Chart'!U24=4,'Project types'!$L25*('Prepare Gantt Chart'!$I24*'Prepare Gantt Chart'!$J24),'Prepare Gantt Chart'!U24=3,'Project types'!$L25*('Prepare Gantt Chart'!$I24*'Prepare Gantt Chart'!$J24),'Prepare Gantt Chart'!U24=0,0)</f>
        <v>0</v>
      </c>
      <c r="AR25" s="45">
        <f>_xlfn.IFS('Prepare Gantt Chart'!V24=4,'Project types'!$L25*('Prepare Gantt Chart'!$I24*'Prepare Gantt Chart'!$J24),'Prepare Gantt Chart'!V24=3,'Project types'!$L25*('Prepare Gantt Chart'!$I24*'Prepare Gantt Chart'!$J24),'Prepare Gantt Chart'!V24=0,0)</f>
        <v>0</v>
      </c>
      <c r="AS25" s="45">
        <f>_xlfn.IFS('Prepare Gantt Chart'!W24=4,'Project types'!$L25*('Prepare Gantt Chart'!$I24*'Prepare Gantt Chart'!$J24),'Prepare Gantt Chart'!W24=3,'Project types'!$L25*('Prepare Gantt Chart'!$I24*'Prepare Gantt Chart'!$J24),'Prepare Gantt Chart'!W24=0,0)</f>
        <v>0</v>
      </c>
      <c r="AT25" s="45">
        <f>_xlfn.IFS('Prepare Gantt Chart'!X24=4,'Project types'!$L25*('Prepare Gantt Chart'!$I24*'Prepare Gantt Chart'!$J24),'Prepare Gantt Chart'!X24=3,'Project types'!$L25*('Prepare Gantt Chart'!$I24*'Prepare Gantt Chart'!$J24),'Prepare Gantt Chart'!X24=0,0)</f>
        <v>0</v>
      </c>
      <c r="AU25" s="45">
        <f>_xlfn.IFS('Prepare Gantt Chart'!Y24=4,'Project types'!$L25*('Prepare Gantt Chart'!$I24*'Prepare Gantt Chart'!$J24),'Prepare Gantt Chart'!Y24=3,'Project types'!$L25*('Prepare Gantt Chart'!$I24*'Prepare Gantt Chart'!$J24),'Prepare Gantt Chart'!Y24=0,0)</f>
        <v>0</v>
      </c>
      <c r="AV25" s="45">
        <f>_xlfn.IFS('Prepare Gantt Chart'!Z24=4,'Project types'!$L25*('Prepare Gantt Chart'!$I24*'Prepare Gantt Chart'!$J24),'Prepare Gantt Chart'!Z24=3,'Project types'!$L25*('Prepare Gantt Chart'!$I24*'Prepare Gantt Chart'!$J24),'Prepare Gantt Chart'!Z24=0,0)</f>
        <v>0</v>
      </c>
      <c r="AW25" s="45">
        <f>_xlfn.IFS('Prepare Gantt Chart'!AA24=4,'Project types'!$L25*('Prepare Gantt Chart'!$I24*'Prepare Gantt Chart'!$J24),'Prepare Gantt Chart'!AA24=3,'Project types'!$L25*('Prepare Gantt Chart'!$I24*'Prepare Gantt Chart'!$J24),'Prepare Gantt Chart'!AA24=0,0)</f>
        <v>0</v>
      </c>
      <c r="AX25" s="45">
        <f>_xlfn.IFS('Prepare Gantt Chart'!AB24=4,'Project types'!$L25*('Prepare Gantt Chart'!$I24*'Prepare Gantt Chart'!$J24),'Prepare Gantt Chart'!AB24=3,'Project types'!$L25*('Prepare Gantt Chart'!$I24*'Prepare Gantt Chart'!$J24),'Prepare Gantt Chart'!AB24=0,0)</f>
        <v>0</v>
      </c>
      <c r="AY25" s="45">
        <f>_xlfn.IFS('Prepare Gantt Chart'!AC24=4,'Project types'!$L25*('Prepare Gantt Chart'!$I24*'Prepare Gantt Chart'!$J24),'Prepare Gantt Chart'!AC24=3,'Project types'!$L25*('Prepare Gantt Chart'!$I24*'Prepare Gantt Chart'!$J24),'Prepare Gantt Chart'!AC24=0,0)</f>
        <v>0</v>
      </c>
      <c r="AZ25" s="45">
        <f>_xlfn.IFS('Prepare Gantt Chart'!AD24=4,'Project types'!$L25*('Prepare Gantt Chart'!$I24*'Prepare Gantt Chart'!$J24),'Prepare Gantt Chart'!AD24=3,'Project types'!$L25*('Prepare Gantt Chart'!$I24*'Prepare Gantt Chart'!$J24),'Prepare Gantt Chart'!AD24=0,0)</f>
        <v>0</v>
      </c>
      <c r="BA25" s="45">
        <f>_xlfn.IFS('Prepare Gantt Chart'!AE24=4,'Project types'!$L25*('Prepare Gantt Chart'!$I24*'Prepare Gantt Chart'!$J24),'Prepare Gantt Chart'!AE24=3,'Project types'!$L25*('Prepare Gantt Chart'!$I24*'Prepare Gantt Chart'!$J24),'Prepare Gantt Chart'!AE24=0,0)</f>
        <v>0</v>
      </c>
      <c r="BB25" s="45">
        <f>_xlfn.IFS('Prepare Gantt Chart'!AF24=4,'Project types'!$L25*('Prepare Gantt Chart'!$I24*'Prepare Gantt Chart'!$J24),'Prepare Gantt Chart'!AF24=3,'Project types'!$L25*('Prepare Gantt Chart'!$I24*'Prepare Gantt Chart'!$J24),'Prepare Gantt Chart'!AF24=0,0)</f>
        <v>0</v>
      </c>
      <c r="BC25" s="45">
        <f>_xlfn.IFS('Prepare Gantt Chart'!AG24=4,'Project types'!$L25*('Prepare Gantt Chart'!$I24*'Prepare Gantt Chart'!$J24),'Prepare Gantt Chart'!AG24=3,'Project types'!$L25*('Prepare Gantt Chart'!$I24*'Prepare Gantt Chart'!$J24),'Prepare Gantt Chart'!AG24=0,0)</f>
        <v>0</v>
      </c>
      <c r="BD25" s="45">
        <f>_xlfn.IFS('Prepare Gantt Chart'!AH24=4,'Project types'!$L25*('Prepare Gantt Chart'!$I24*'Prepare Gantt Chart'!$J24),'Prepare Gantt Chart'!AH24=3,'Project types'!$L25*('Prepare Gantt Chart'!$I24*'Prepare Gantt Chart'!$J24),'Prepare Gantt Chart'!AH24=0,0)</f>
        <v>0</v>
      </c>
      <c r="BE25" s="45">
        <f>_xlfn.IFS('Prepare Gantt Chart'!AI24=4,'Project types'!$L25*('Prepare Gantt Chart'!$I24*'Prepare Gantt Chart'!$J24),'Prepare Gantt Chart'!AI24=3,'Project types'!$L25*('Prepare Gantt Chart'!$I24*'Prepare Gantt Chart'!$J24),'Prepare Gantt Chart'!AI24=0,0)</f>
        <v>0</v>
      </c>
      <c r="BF25" s="45">
        <f>_xlfn.IFS('Prepare Gantt Chart'!AJ24=4,'Project types'!$L25*('Prepare Gantt Chart'!$I24*'Prepare Gantt Chart'!$J24),'Prepare Gantt Chart'!AJ24=3,'Project types'!$L25*('Prepare Gantt Chart'!$I24*'Prepare Gantt Chart'!$J24),'Prepare Gantt Chart'!AJ24=0,0)</f>
        <v>0</v>
      </c>
      <c r="BG25" s="45">
        <f>_xlfn.IFS('Prepare Gantt Chart'!AK24=4,'Project types'!$L25*('Prepare Gantt Chart'!$I24*'Prepare Gantt Chart'!$J24),'Prepare Gantt Chart'!AK24=3,'Project types'!$L25*('Prepare Gantt Chart'!$I24*'Prepare Gantt Chart'!$J24),'Prepare Gantt Chart'!AK24=0,0)</f>
        <v>0</v>
      </c>
      <c r="BH25" s="45">
        <f>_xlfn.IFS('Prepare Gantt Chart'!AL24=4,'Project types'!$L25*('Prepare Gantt Chart'!$I24*'Prepare Gantt Chart'!$J24),'Prepare Gantt Chart'!AL24=3,'Project types'!$L25*('Prepare Gantt Chart'!$I24*'Prepare Gantt Chart'!$J24),'Prepare Gantt Chart'!AL24=0,0)</f>
        <v>0</v>
      </c>
      <c r="BI25" s="45">
        <f>_xlfn.IFS('Prepare Gantt Chart'!AM24=4,'Project types'!$L25*('Prepare Gantt Chart'!$I24*'Prepare Gantt Chart'!$J24),'Prepare Gantt Chart'!AM24=3,'Project types'!$L25*('Prepare Gantt Chart'!$I24*'Prepare Gantt Chart'!$J24),'Prepare Gantt Chart'!AM24=0,0)</f>
        <v>0</v>
      </c>
      <c r="BJ25" s="45">
        <f>_xlfn.IFS('Prepare Gantt Chart'!AN24=4,'Project types'!$L25*('Prepare Gantt Chart'!$I24*'Prepare Gantt Chart'!$J24),'Prepare Gantt Chart'!AN24=3,'Project types'!$L25*('Prepare Gantt Chart'!$I24*'Prepare Gantt Chart'!$J24),'Prepare Gantt Chart'!AN24=0,0)</f>
        <v>0</v>
      </c>
      <c r="BK25" s="45">
        <f>_xlfn.IFS('Prepare Gantt Chart'!AO24=4,'Project types'!$L25*('Prepare Gantt Chart'!$I24*'Prepare Gantt Chart'!$J24),'Prepare Gantt Chart'!AO24=3,'Project types'!$L25*('Prepare Gantt Chart'!$I24*'Prepare Gantt Chart'!$J24),'Prepare Gantt Chart'!AO24=0,0)</f>
        <v>0</v>
      </c>
      <c r="BL25" s="46">
        <f t="shared" si="1"/>
        <v>0</v>
      </c>
      <c r="BM25" s="75">
        <f>IF('Prepare Gantt Chart'!$J24=0,0,SUM(AL25:AQ25)/6/'Prepare Gantt Chart'!$J24)</f>
        <v>0</v>
      </c>
      <c r="BN25" s="75">
        <f>IF('Prepare Gantt Chart'!$J24=0,0,SUM(AR25:AV25)/5/'Prepare Gantt Chart'!$J24)</f>
        <v>0</v>
      </c>
      <c r="BO25" s="75">
        <f>IF('Prepare Gantt Chart'!$J24=0,0,SUM(AW25:BA25)/5/'Prepare Gantt Chart'!$J24)</f>
        <v>0</v>
      </c>
      <c r="BP25" s="75">
        <f>IF('Prepare Gantt Chart'!$J24=0,0,SUM(BB25:BF25)/5/'Prepare Gantt Chart'!$J24)</f>
        <v>0</v>
      </c>
      <c r="BQ25" s="75">
        <f>IF('Prepare Gantt Chart'!$J24=0,0,SUM(BG25:BK25)/5/'Prepare Gantt Chart'!$J24)</f>
        <v>0</v>
      </c>
    </row>
    <row r="26" spans="1:69" x14ac:dyDescent="0.2">
      <c r="A26" s="21" t="s">
        <v>25</v>
      </c>
      <c r="B26" s="1" t="s">
        <v>123</v>
      </c>
      <c r="C26" s="45">
        <f>_xlfn.IFS('Prepare Gantt Chart'!P25=4,'Project types'!$O26*('Prepare Gantt Chart'!$I25*'Prepare Gantt Chart'!$J25),'Prepare Gantt Chart'!P25=3,'Project types'!$Q26*('Prepare Gantt Chart'!$I25*'Prepare Gantt Chart'!$J25),'Prepare Gantt Chart'!P25=0,0)</f>
        <v>0</v>
      </c>
      <c r="D26" s="45">
        <f>_xlfn.IFS('Prepare Gantt Chart'!Q25=4,'Project types'!$O26*('Prepare Gantt Chart'!$I25*'Prepare Gantt Chart'!$J25),'Prepare Gantt Chart'!Q25=3,'Project types'!$Q26*('Prepare Gantt Chart'!$I25*'Prepare Gantt Chart'!$J25),'Prepare Gantt Chart'!Q25=0,0)</f>
        <v>0</v>
      </c>
      <c r="E26" s="45">
        <f>_xlfn.IFS('Prepare Gantt Chart'!R25=4,'Project types'!$O26*('Prepare Gantt Chart'!$I25*'Prepare Gantt Chart'!$J25),'Prepare Gantt Chart'!R25=3,'Project types'!$Q26*('Prepare Gantt Chart'!$I25*'Prepare Gantt Chart'!$J25),'Prepare Gantt Chart'!R25=0,0)</f>
        <v>0</v>
      </c>
      <c r="F26" s="45">
        <f>_xlfn.IFS('Prepare Gantt Chart'!S25=4,'Project types'!$O26*('Prepare Gantt Chart'!$I25*'Prepare Gantt Chart'!$J25),'Prepare Gantt Chart'!S25=3,'Project types'!$Q26*('Prepare Gantt Chart'!$I25*'Prepare Gantt Chart'!$J25),'Prepare Gantt Chart'!S25=0,0)</f>
        <v>0</v>
      </c>
      <c r="G26" s="45">
        <f>_xlfn.IFS('Prepare Gantt Chart'!T25=4,'Project types'!$O26*('Prepare Gantt Chart'!$I25*'Prepare Gantt Chart'!$J25),'Prepare Gantt Chart'!T25=3,'Project types'!$Q26*('Prepare Gantt Chart'!$I25*'Prepare Gantt Chart'!$J25),'Prepare Gantt Chart'!T25=0,0)</f>
        <v>0</v>
      </c>
      <c r="H26" s="45">
        <f>_xlfn.IFS('Prepare Gantt Chart'!U25=4,'Project types'!$O26*('Prepare Gantt Chart'!$I25*'Prepare Gantt Chart'!$J25),'Prepare Gantt Chart'!U25=3,'Project types'!$Q26*('Prepare Gantt Chart'!$I25*'Prepare Gantt Chart'!$J25),'Prepare Gantt Chart'!U25=0,0)</f>
        <v>0</v>
      </c>
      <c r="I26" s="45">
        <f>_xlfn.IFS('Prepare Gantt Chart'!V25=4,'Project types'!$O26*('Prepare Gantt Chart'!$I25*'Prepare Gantt Chart'!$J25),'Prepare Gantt Chart'!V25=3,'Project types'!$Q26*('Prepare Gantt Chart'!$I25*'Prepare Gantt Chart'!$J25),'Prepare Gantt Chart'!V25=0,0)</f>
        <v>0</v>
      </c>
      <c r="J26" s="45">
        <f>_xlfn.IFS('Prepare Gantt Chart'!W25=4,'Project types'!$O26*('Prepare Gantt Chart'!$I25*'Prepare Gantt Chart'!$J25),'Prepare Gantt Chart'!W25=3,'Project types'!$Q26*('Prepare Gantt Chart'!$I25*'Prepare Gantt Chart'!$J25),'Prepare Gantt Chart'!W25=0,0)</f>
        <v>0</v>
      </c>
      <c r="K26" s="45">
        <f>_xlfn.IFS('Prepare Gantt Chart'!X25=4,'Project types'!$O26*('Prepare Gantt Chart'!$I25*'Prepare Gantt Chart'!$J25),'Prepare Gantt Chart'!X25=3,'Project types'!$Q26*('Prepare Gantt Chart'!$I25*'Prepare Gantt Chart'!$J25),'Prepare Gantt Chart'!X25=0,0)</f>
        <v>0</v>
      </c>
      <c r="L26" s="45">
        <f>_xlfn.IFS('Prepare Gantt Chart'!Y25=4,'Project types'!$O26*('Prepare Gantt Chart'!$I25*'Prepare Gantt Chart'!$J25),'Prepare Gantt Chart'!Y25=3,'Project types'!$Q26*('Prepare Gantt Chart'!$I25*'Prepare Gantt Chart'!$J25),'Prepare Gantt Chart'!Y25=0,0)</f>
        <v>0</v>
      </c>
      <c r="M26" s="45">
        <f>_xlfn.IFS('Prepare Gantt Chart'!Z25=4,'Project types'!$O26*('Prepare Gantt Chart'!$I25*'Prepare Gantt Chart'!$J25),'Prepare Gantt Chart'!Z25=3,'Project types'!$Q26*('Prepare Gantt Chart'!$I25*'Prepare Gantt Chart'!$J25),'Prepare Gantt Chart'!Z25=0,0)</f>
        <v>0</v>
      </c>
      <c r="N26" s="45">
        <f>_xlfn.IFS('Prepare Gantt Chart'!AA25=4,'Project types'!$O26*('Prepare Gantt Chart'!$I25*'Prepare Gantt Chart'!$J25),'Prepare Gantt Chart'!AA25=3,'Project types'!$Q26*('Prepare Gantt Chart'!$I25*'Prepare Gantt Chart'!$J25),'Prepare Gantt Chart'!AA25=0,0)</f>
        <v>0</v>
      </c>
      <c r="O26" s="45">
        <f>_xlfn.IFS('Prepare Gantt Chart'!AB25=4,'Project types'!$O26*('Prepare Gantt Chart'!$I25*'Prepare Gantt Chart'!$J25),'Prepare Gantt Chart'!AB25=3,'Project types'!$Q26*('Prepare Gantt Chart'!$I25*'Prepare Gantt Chart'!$J25),'Prepare Gantt Chart'!AB25=0,0)</f>
        <v>0</v>
      </c>
      <c r="P26" s="45">
        <f>_xlfn.IFS('Prepare Gantt Chart'!AC25=4,'Project types'!$O26*('Prepare Gantt Chart'!$I25*'Prepare Gantt Chart'!$J25),'Prepare Gantt Chart'!AC25=3,'Project types'!$Q26*('Prepare Gantt Chart'!$I25*'Prepare Gantt Chart'!$J25),'Prepare Gantt Chart'!AC25=0,0)</f>
        <v>0</v>
      </c>
      <c r="Q26" s="45">
        <f>_xlfn.IFS('Prepare Gantt Chart'!AD25=4,'Project types'!$O26*('Prepare Gantt Chart'!$I25*'Prepare Gantt Chart'!$J25),'Prepare Gantt Chart'!AD25=3,'Project types'!$Q26*('Prepare Gantt Chart'!$I25*'Prepare Gantt Chart'!$J25),'Prepare Gantt Chart'!AD25=0,0)</f>
        <v>0</v>
      </c>
      <c r="R26" s="45">
        <f>_xlfn.IFS('Prepare Gantt Chart'!AE25=4,'Project types'!$O26*('Prepare Gantt Chart'!$I25*'Prepare Gantt Chart'!$J25),'Prepare Gantt Chart'!AE25=3,'Project types'!$Q26*('Prepare Gantt Chart'!$I25*'Prepare Gantt Chart'!$J25),'Prepare Gantt Chart'!AE25=0,0)</f>
        <v>0</v>
      </c>
      <c r="S26" s="45">
        <f>_xlfn.IFS('Prepare Gantt Chart'!AF25=4,'Project types'!$O26*('Prepare Gantt Chart'!$I25*'Prepare Gantt Chart'!$J25),'Prepare Gantt Chart'!AF25=3,'Project types'!$Q26*('Prepare Gantt Chart'!$I25*'Prepare Gantt Chart'!$J25),'Prepare Gantt Chart'!AF25=0,0)</f>
        <v>0</v>
      </c>
      <c r="T26" s="45">
        <f>_xlfn.IFS('Prepare Gantt Chart'!AG25=4,'Project types'!$O26*('Prepare Gantt Chart'!$I25*'Prepare Gantt Chart'!$J25),'Prepare Gantt Chart'!AG25=3,'Project types'!$Q26*('Prepare Gantt Chart'!$I25*'Prepare Gantt Chart'!$J25),'Prepare Gantt Chart'!AG25=0,0)</f>
        <v>0</v>
      </c>
      <c r="U26" s="45">
        <f>_xlfn.IFS('Prepare Gantt Chart'!AH25=4,'Project types'!$O26*('Prepare Gantt Chart'!$I25*'Prepare Gantt Chart'!$J25),'Prepare Gantt Chart'!AH25=3,'Project types'!$Q26*('Prepare Gantt Chart'!$I25*'Prepare Gantt Chart'!$J25),'Prepare Gantt Chart'!AH25=0,0)</f>
        <v>0</v>
      </c>
      <c r="V26" s="45">
        <f>_xlfn.IFS('Prepare Gantt Chart'!AI25=4,'Project types'!$O26*('Prepare Gantt Chart'!$I25*'Prepare Gantt Chart'!$J25),'Prepare Gantt Chart'!AI25=3,'Project types'!$Q26*('Prepare Gantt Chart'!$I25*'Prepare Gantt Chart'!$J25),'Prepare Gantt Chart'!AI25=0,0)</f>
        <v>0</v>
      </c>
      <c r="W26" s="45">
        <f>_xlfn.IFS('Prepare Gantt Chart'!AJ25=4,'Project types'!$O26*('Prepare Gantt Chart'!$I25*'Prepare Gantt Chart'!$J25),'Prepare Gantt Chart'!AJ25=3,'Project types'!$Q26*('Prepare Gantt Chart'!$I25*'Prepare Gantt Chart'!$J25),'Prepare Gantt Chart'!AJ25=0,0)</f>
        <v>0</v>
      </c>
      <c r="X26" s="45">
        <f>_xlfn.IFS('Prepare Gantt Chart'!AK25=4,'Project types'!$O26*('Prepare Gantt Chart'!$I25*'Prepare Gantt Chart'!$J25),'Prepare Gantt Chart'!AK25=3,'Project types'!$Q26*('Prepare Gantt Chart'!$I25*'Prepare Gantt Chart'!$J25),'Prepare Gantt Chart'!AK25=0,0)</f>
        <v>0</v>
      </c>
      <c r="Y26" s="45">
        <f>_xlfn.IFS('Prepare Gantt Chart'!AL25=4,'Project types'!$O26*('Prepare Gantt Chart'!$I25*'Prepare Gantt Chart'!$J25),'Prepare Gantt Chart'!AL25=3,'Project types'!$Q26*('Prepare Gantt Chart'!$I25*'Prepare Gantt Chart'!$J25),'Prepare Gantt Chart'!AL25=0,0)</f>
        <v>0</v>
      </c>
      <c r="Z26" s="45">
        <f>_xlfn.IFS('Prepare Gantt Chart'!AM25=4,'Project types'!$O26*('Prepare Gantt Chart'!$I25*'Prepare Gantt Chart'!$J25),'Prepare Gantt Chart'!AM25=3,'Project types'!$Q26*('Prepare Gantt Chart'!$I25*'Prepare Gantt Chart'!$J25),'Prepare Gantt Chart'!AM25=0,0)</f>
        <v>0</v>
      </c>
      <c r="AA26" s="45">
        <f>_xlfn.IFS('Prepare Gantt Chart'!AN25=4,'Project types'!$O26*('Prepare Gantt Chart'!$I25*'Prepare Gantt Chart'!$J25),'Prepare Gantt Chart'!AN25=3,'Project types'!$Q26*('Prepare Gantt Chart'!$I25*'Prepare Gantt Chart'!$J25),'Prepare Gantt Chart'!AN25=0,0)</f>
        <v>0</v>
      </c>
      <c r="AB26" s="45">
        <f>_xlfn.IFS('Prepare Gantt Chart'!AO25=4,'Project types'!$O26*('Prepare Gantt Chart'!$I25*'Prepare Gantt Chart'!$J25),'Prepare Gantt Chart'!AO25=3,'Project types'!$Q26*('Prepare Gantt Chart'!$I25*'Prepare Gantt Chart'!$J25),'Prepare Gantt Chart'!AO25=0,0)</f>
        <v>0</v>
      </c>
      <c r="AC26" s="45">
        <f>'Prepare Gantt Chart'!J25*'Prepare Gantt Chart'!I25*(AD26/26)</f>
        <v>0</v>
      </c>
      <c r="AD26" s="46">
        <f t="shared" si="0"/>
        <v>0</v>
      </c>
      <c r="AE26" s="72">
        <f>IF('Prepare Gantt Chart'!$J25=0,0,SUM(C26:H26)/6/'Prepare Gantt Chart'!$J25)</f>
        <v>0</v>
      </c>
      <c r="AF26" s="72">
        <f>IF('Prepare Gantt Chart'!$J25=0,0,SUM(I26:M26)/5/'Prepare Gantt Chart'!$J25)</f>
        <v>0</v>
      </c>
      <c r="AG26" s="72">
        <f>IF('Prepare Gantt Chart'!$J25=0,0,SUM(N26:R26)/5/'Prepare Gantt Chart'!$J25)</f>
        <v>0</v>
      </c>
      <c r="AH26" s="72">
        <f>IF('Prepare Gantt Chart'!$J25=0,0,SUM(S26:W26)/5/'Prepare Gantt Chart'!$J25)</f>
        <v>0</v>
      </c>
      <c r="AI26" s="72">
        <f>IF('Prepare Gantt Chart'!$J25=0,0,SUM(X26:AB26)/5/'Prepare Gantt Chart'!$J25)</f>
        <v>0</v>
      </c>
      <c r="AK26" s="21" t="s">
        <v>25</v>
      </c>
      <c r="AL26" s="45">
        <f>_xlfn.IFS('Prepare Gantt Chart'!P25=4,'Project types'!$L26*('Prepare Gantt Chart'!$I25*'Prepare Gantt Chart'!$J25),'Prepare Gantt Chart'!P25=3,'Project types'!$L26*('Prepare Gantt Chart'!$I25*'Prepare Gantt Chart'!$J25),'Prepare Gantt Chart'!P25=0,0)</f>
        <v>0</v>
      </c>
      <c r="AM26" s="45">
        <f>_xlfn.IFS('Prepare Gantt Chart'!Q25=4,'Project types'!$L26*('Prepare Gantt Chart'!$I25*'Prepare Gantt Chart'!$J25),'Prepare Gantt Chart'!Q25=3,'Project types'!$L26*('Prepare Gantt Chart'!$I25*'Prepare Gantt Chart'!$J25),'Prepare Gantt Chart'!Q25=0,0)</f>
        <v>0</v>
      </c>
      <c r="AN26" s="45">
        <f>_xlfn.IFS('Prepare Gantt Chart'!R25=4,'Project types'!$L26*('Prepare Gantt Chart'!$I25*'Prepare Gantt Chart'!$J25),'Prepare Gantt Chart'!R25=3,'Project types'!$L26*('Prepare Gantt Chart'!$I25*'Prepare Gantt Chart'!$J25),'Prepare Gantt Chart'!R25=0,0)</f>
        <v>0</v>
      </c>
      <c r="AO26" s="45">
        <f>_xlfn.IFS('Prepare Gantt Chart'!S25=4,'Project types'!$L26*('Prepare Gantt Chart'!$I25*'Prepare Gantt Chart'!$J25),'Prepare Gantt Chart'!S25=3,'Project types'!$L26*('Prepare Gantt Chart'!$I25*'Prepare Gantt Chart'!$J25),'Prepare Gantt Chart'!S25=0,0)</f>
        <v>0</v>
      </c>
      <c r="AP26" s="45">
        <f>_xlfn.IFS('Prepare Gantt Chart'!T25=4,'Project types'!$L26*('Prepare Gantt Chart'!$I25*'Prepare Gantt Chart'!$J25),'Prepare Gantt Chart'!T25=3,'Project types'!$L26*('Prepare Gantt Chart'!$I25*'Prepare Gantt Chart'!$J25),'Prepare Gantt Chart'!T25=0,0)</f>
        <v>0</v>
      </c>
      <c r="AQ26" s="45">
        <f>_xlfn.IFS('Prepare Gantt Chart'!U25=4,'Project types'!$L26*('Prepare Gantt Chart'!$I25*'Prepare Gantt Chart'!$J25),'Prepare Gantt Chart'!U25=3,'Project types'!$L26*('Prepare Gantt Chart'!$I25*'Prepare Gantt Chart'!$J25),'Prepare Gantt Chart'!U25=0,0)</f>
        <v>0</v>
      </c>
      <c r="AR26" s="45">
        <f>_xlfn.IFS('Prepare Gantt Chart'!V25=4,'Project types'!$L26*('Prepare Gantt Chart'!$I25*'Prepare Gantt Chart'!$J25),'Prepare Gantt Chart'!V25=3,'Project types'!$L26*('Prepare Gantt Chart'!$I25*'Prepare Gantt Chart'!$J25),'Prepare Gantt Chart'!V25=0,0)</f>
        <v>0</v>
      </c>
      <c r="AS26" s="45">
        <f>_xlfn.IFS('Prepare Gantt Chart'!W25=4,'Project types'!$L26*('Prepare Gantt Chart'!$I25*'Prepare Gantt Chart'!$J25),'Prepare Gantt Chart'!W25=3,'Project types'!$L26*('Prepare Gantt Chart'!$I25*'Prepare Gantt Chart'!$J25),'Prepare Gantt Chart'!W25=0,0)</f>
        <v>0</v>
      </c>
      <c r="AT26" s="45">
        <f>_xlfn.IFS('Prepare Gantt Chart'!X25=4,'Project types'!$L26*('Prepare Gantt Chart'!$I25*'Prepare Gantt Chart'!$J25),'Prepare Gantt Chart'!X25=3,'Project types'!$L26*('Prepare Gantt Chart'!$I25*'Prepare Gantt Chart'!$J25),'Prepare Gantt Chart'!X25=0,0)</f>
        <v>0</v>
      </c>
      <c r="AU26" s="45">
        <f>_xlfn.IFS('Prepare Gantt Chart'!Y25=4,'Project types'!$L26*('Prepare Gantt Chart'!$I25*'Prepare Gantt Chart'!$J25),'Prepare Gantt Chart'!Y25=3,'Project types'!$L26*('Prepare Gantt Chart'!$I25*'Prepare Gantt Chart'!$J25),'Prepare Gantt Chart'!Y25=0,0)</f>
        <v>0</v>
      </c>
      <c r="AV26" s="45">
        <f>_xlfn.IFS('Prepare Gantt Chart'!Z25=4,'Project types'!$L26*('Prepare Gantt Chart'!$I25*'Prepare Gantt Chart'!$J25),'Prepare Gantt Chart'!Z25=3,'Project types'!$L26*('Prepare Gantt Chart'!$I25*'Prepare Gantt Chart'!$J25),'Prepare Gantt Chart'!Z25=0,0)</f>
        <v>0</v>
      </c>
      <c r="AW26" s="45">
        <f>_xlfn.IFS('Prepare Gantt Chart'!AA25=4,'Project types'!$L26*('Prepare Gantt Chart'!$I25*'Prepare Gantt Chart'!$J25),'Prepare Gantt Chart'!AA25=3,'Project types'!$L26*('Prepare Gantt Chart'!$I25*'Prepare Gantt Chart'!$J25),'Prepare Gantt Chart'!AA25=0,0)</f>
        <v>0</v>
      </c>
      <c r="AX26" s="45">
        <f>_xlfn.IFS('Prepare Gantt Chart'!AB25=4,'Project types'!$L26*('Prepare Gantt Chart'!$I25*'Prepare Gantt Chart'!$J25),'Prepare Gantt Chart'!AB25=3,'Project types'!$L26*('Prepare Gantt Chart'!$I25*'Prepare Gantt Chart'!$J25),'Prepare Gantt Chart'!AB25=0,0)</f>
        <v>0</v>
      </c>
      <c r="AY26" s="45">
        <f>_xlfn.IFS('Prepare Gantt Chart'!AC25=4,'Project types'!$L26*('Prepare Gantt Chart'!$I25*'Prepare Gantt Chart'!$J25),'Prepare Gantt Chart'!AC25=3,'Project types'!$L26*('Prepare Gantt Chart'!$I25*'Prepare Gantt Chart'!$J25),'Prepare Gantt Chart'!AC25=0,0)</f>
        <v>0</v>
      </c>
      <c r="AZ26" s="45">
        <f>_xlfn.IFS('Prepare Gantt Chart'!AD25=4,'Project types'!$L26*('Prepare Gantt Chart'!$I25*'Prepare Gantt Chart'!$J25),'Prepare Gantt Chart'!AD25=3,'Project types'!$L26*('Prepare Gantt Chart'!$I25*'Prepare Gantt Chart'!$J25),'Prepare Gantt Chart'!AD25=0,0)</f>
        <v>0</v>
      </c>
      <c r="BA26" s="45">
        <f>_xlfn.IFS('Prepare Gantt Chart'!AE25=4,'Project types'!$L26*('Prepare Gantt Chart'!$I25*'Prepare Gantt Chart'!$J25),'Prepare Gantt Chart'!AE25=3,'Project types'!$L26*('Prepare Gantt Chart'!$I25*'Prepare Gantt Chart'!$J25),'Prepare Gantt Chart'!AE25=0,0)</f>
        <v>0</v>
      </c>
      <c r="BB26" s="45">
        <f>_xlfn.IFS('Prepare Gantt Chart'!AF25=4,'Project types'!$L26*('Prepare Gantt Chart'!$I25*'Prepare Gantt Chart'!$J25),'Prepare Gantt Chart'!AF25=3,'Project types'!$L26*('Prepare Gantt Chart'!$I25*'Prepare Gantt Chart'!$J25),'Prepare Gantt Chart'!AF25=0,0)</f>
        <v>0</v>
      </c>
      <c r="BC26" s="45">
        <f>_xlfn.IFS('Prepare Gantt Chart'!AG25=4,'Project types'!$L26*('Prepare Gantt Chart'!$I25*'Prepare Gantt Chart'!$J25),'Prepare Gantt Chart'!AG25=3,'Project types'!$L26*('Prepare Gantt Chart'!$I25*'Prepare Gantt Chart'!$J25),'Prepare Gantt Chart'!AG25=0,0)</f>
        <v>0</v>
      </c>
      <c r="BD26" s="45">
        <f>_xlfn.IFS('Prepare Gantt Chart'!AH25=4,'Project types'!$L26*('Prepare Gantt Chart'!$I25*'Prepare Gantt Chart'!$J25),'Prepare Gantt Chart'!AH25=3,'Project types'!$L26*('Prepare Gantt Chart'!$I25*'Prepare Gantt Chart'!$J25),'Prepare Gantt Chart'!AH25=0,0)</f>
        <v>0</v>
      </c>
      <c r="BE26" s="45">
        <f>_xlfn.IFS('Prepare Gantt Chart'!AI25=4,'Project types'!$L26*('Prepare Gantt Chart'!$I25*'Prepare Gantt Chart'!$J25),'Prepare Gantt Chart'!AI25=3,'Project types'!$L26*('Prepare Gantt Chart'!$I25*'Prepare Gantt Chart'!$J25),'Prepare Gantt Chart'!AI25=0,0)</f>
        <v>0</v>
      </c>
      <c r="BF26" s="45">
        <f>_xlfn.IFS('Prepare Gantt Chart'!AJ25=4,'Project types'!$L26*('Prepare Gantt Chart'!$I25*'Prepare Gantt Chart'!$J25),'Prepare Gantt Chart'!AJ25=3,'Project types'!$L26*('Prepare Gantt Chart'!$I25*'Prepare Gantt Chart'!$J25),'Prepare Gantt Chart'!AJ25=0,0)</f>
        <v>0</v>
      </c>
      <c r="BG26" s="45">
        <f>_xlfn.IFS('Prepare Gantt Chart'!AK25=4,'Project types'!$L26*('Prepare Gantt Chart'!$I25*'Prepare Gantt Chart'!$J25),'Prepare Gantt Chart'!AK25=3,'Project types'!$L26*('Prepare Gantt Chart'!$I25*'Prepare Gantt Chart'!$J25),'Prepare Gantt Chart'!AK25=0,0)</f>
        <v>0</v>
      </c>
      <c r="BH26" s="45">
        <f>_xlfn.IFS('Prepare Gantt Chart'!AL25=4,'Project types'!$L26*('Prepare Gantt Chart'!$I25*'Prepare Gantt Chart'!$J25),'Prepare Gantt Chart'!AL25=3,'Project types'!$L26*('Prepare Gantt Chart'!$I25*'Prepare Gantt Chart'!$J25),'Prepare Gantt Chart'!AL25=0,0)</f>
        <v>0</v>
      </c>
      <c r="BI26" s="45">
        <f>_xlfn.IFS('Prepare Gantt Chart'!AM25=4,'Project types'!$L26*('Prepare Gantt Chart'!$I25*'Prepare Gantt Chart'!$J25),'Prepare Gantt Chart'!AM25=3,'Project types'!$L26*('Prepare Gantt Chart'!$I25*'Prepare Gantt Chart'!$J25),'Prepare Gantt Chart'!AM25=0,0)</f>
        <v>0</v>
      </c>
      <c r="BJ26" s="45">
        <f>_xlfn.IFS('Prepare Gantt Chart'!AN25=4,'Project types'!$L26*('Prepare Gantt Chart'!$I25*'Prepare Gantt Chart'!$J25),'Prepare Gantt Chart'!AN25=3,'Project types'!$L26*('Prepare Gantt Chart'!$I25*'Prepare Gantt Chart'!$J25),'Prepare Gantt Chart'!AN25=0,0)</f>
        <v>0</v>
      </c>
      <c r="BK26" s="45">
        <f>_xlfn.IFS('Prepare Gantt Chart'!AO25=4,'Project types'!$L26*('Prepare Gantt Chart'!$I25*'Prepare Gantt Chart'!$J25),'Prepare Gantt Chart'!AO25=3,'Project types'!$L26*('Prepare Gantt Chart'!$I25*'Prepare Gantt Chart'!$J25),'Prepare Gantt Chart'!AO25=0,0)</f>
        <v>0</v>
      </c>
      <c r="BL26" s="46">
        <f t="shared" si="1"/>
        <v>0</v>
      </c>
      <c r="BM26" s="75">
        <f>IF('Prepare Gantt Chart'!$J25=0,0,SUM(AL26:AQ26)/6/'Prepare Gantt Chart'!$J25)</f>
        <v>0</v>
      </c>
      <c r="BN26" s="75">
        <f>IF('Prepare Gantt Chart'!$J25=0,0,SUM(AR26:AV26)/5/'Prepare Gantt Chart'!$J25)</f>
        <v>0</v>
      </c>
      <c r="BO26" s="75">
        <f>IF('Prepare Gantt Chart'!$J25=0,0,SUM(AW26:BA26)/5/'Prepare Gantt Chart'!$J25)</f>
        <v>0</v>
      </c>
      <c r="BP26" s="75">
        <f>IF('Prepare Gantt Chart'!$J25=0,0,SUM(BB26:BF26)/5/'Prepare Gantt Chart'!$J25)</f>
        <v>0</v>
      </c>
      <c r="BQ26" s="75">
        <f>IF('Prepare Gantt Chart'!$J25=0,0,SUM(BG26:BK26)/5/'Prepare Gantt Chart'!$J25)</f>
        <v>0</v>
      </c>
    </row>
    <row r="27" spans="1:69" x14ac:dyDescent="0.2">
      <c r="A27" s="21" t="s">
        <v>26</v>
      </c>
      <c r="B27" s="1" t="s">
        <v>122</v>
      </c>
      <c r="C27" s="45">
        <f>_xlfn.IFS('Prepare Gantt Chart'!P26=4,'Project types'!$O27*('Prepare Gantt Chart'!$I26*'Prepare Gantt Chart'!$J26),'Prepare Gantt Chart'!P26=3,'Project types'!$Q27*('Prepare Gantt Chart'!$I26*'Prepare Gantt Chart'!$J26),'Prepare Gantt Chart'!P26=0,0)</f>
        <v>0</v>
      </c>
      <c r="D27" s="45">
        <f>_xlfn.IFS('Prepare Gantt Chart'!Q26=4,'Project types'!$O27*('Prepare Gantt Chart'!$I26*'Prepare Gantt Chart'!$J26),'Prepare Gantt Chart'!Q26=3,'Project types'!$Q27*('Prepare Gantt Chart'!$I26*'Prepare Gantt Chart'!$J26),'Prepare Gantt Chart'!Q26=0,0)</f>
        <v>0</v>
      </c>
      <c r="E27" s="45">
        <f>_xlfn.IFS('Prepare Gantt Chart'!R26=4,'Project types'!$O27*('Prepare Gantt Chart'!$I26*'Prepare Gantt Chart'!$J26),'Prepare Gantt Chart'!R26=3,'Project types'!$Q27*('Prepare Gantt Chart'!$I26*'Prepare Gantt Chart'!$J26),'Prepare Gantt Chart'!R26=0,0)</f>
        <v>0</v>
      </c>
      <c r="F27" s="45">
        <f>_xlfn.IFS('Prepare Gantt Chart'!S26=4,'Project types'!$O27*('Prepare Gantt Chart'!$I26*'Prepare Gantt Chart'!$J26),'Prepare Gantt Chart'!S26=3,'Project types'!$Q27*('Prepare Gantt Chart'!$I26*'Prepare Gantt Chart'!$J26),'Prepare Gantt Chart'!S26=0,0)</f>
        <v>0</v>
      </c>
      <c r="G27" s="45">
        <f>_xlfn.IFS('Prepare Gantt Chart'!T26=4,'Project types'!$O27*('Prepare Gantt Chart'!$I26*'Prepare Gantt Chart'!$J26),'Prepare Gantt Chart'!T26=3,'Project types'!$Q27*('Prepare Gantt Chart'!$I26*'Prepare Gantt Chart'!$J26),'Prepare Gantt Chart'!T26=0,0)</f>
        <v>0</v>
      </c>
      <c r="H27" s="45">
        <f>_xlfn.IFS('Prepare Gantt Chart'!U26=4,'Project types'!$O27*('Prepare Gantt Chart'!$I26*'Prepare Gantt Chart'!$J26),'Prepare Gantt Chart'!U26=3,'Project types'!$Q27*('Prepare Gantt Chart'!$I26*'Prepare Gantt Chart'!$J26),'Prepare Gantt Chart'!U26=0,0)</f>
        <v>0</v>
      </c>
      <c r="I27" s="45">
        <f>_xlfn.IFS('Prepare Gantt Chart'!V26=4,'Project types'!$O27*('Prepare Gantt Chart'!$I26*'Prepare Gantt Chart'!$J26),'Prepare Gantt Chart'!V26=3,'Project types'!$Q27*('Prepare Gantt Chart'!$I26*'Prepare Gantt Chart'!$J26),'Prepare Gantt Chart'!V26=0,0)</f>
        <v>0</v>
      </c>
      <c r="J27" s="45">
        <f>_xlfn.IFS('Prepare Gantt Chart'!W26=4,'Project types'!$O27*('Prepare Gantt Chart'!$I26*'Prepare Gantt Chart'!$J26),'Prepare Gantt Chart'!W26=3,'Project types'!$Q27*('Prepare Gantt Chart'!$I26*'Prepare Gantt Chart'!$J26),'Prepare Gantt Chart'!W26=0,0)</f>
        <v>0</v>
      </c>
      <c r="K27" s="45">
        <f>_xlfn.IFS('Prepare Gantt Chart'!X26=4,'Project types'!$O27*('Prepare Gantt Chart'!$I26*'Prepare Gantt Chart'!$J26),'Prepare Gantt Chart'!X26=3,'Project types'!$Q27*('Prepare Gantt Chart'!$I26*'Prepare Gantt Chart'!$J26),'Prepare Gantt Chart'!X26=0,0)</f>
        <v>0</v>
      </c>
      <c r="L27" s="45">
        <f>_xlfn.IFS('Prepare Gantt Chart'!Y26=4,'Project types'!$O27*('Prepare Gantt Chart'!$I26*'Prepare Gantt Chart'!$J26),'Prepare Gantt Chart'!Y26=3,'Project types'!$Q27*('Prepare Gantt Chart'!$I26*'Prepare Gantt Chart'!$J26),'Prepare Gantt Chart'!Y26=0,0)</f>
        <v>0</v>
      </c>
      <c r="M27" s="45">
        <f>_xlfn.IFS('Prepare Gantt Chart'!Z26=4,'Project types'!$O27*('Prepare Gantt Chart'!$I26*'Prepare Gantt Chart'!$J26),'Prepare Gantt Chart'!Z26=3,'Project types'!$Q27*('Prepare Gantt Chart'!$I26*'Prepare Gantt Chart'!$J26),'Prepare Gantt Chart'!Z26=0,0)</f>
        <v>0</v>
      </c>
      <c r="N27" s="45">
        <f>_xlfn.IFS('Prepare Gantt Chart'!AA26=4,'Project types'!$O27*('Prepare Gantt Chart'!$I26*'Prepare Gantt Chart'!$J26),'Prepare Gantt Chart'!AA26=3,'Project types'!$Q27*('Prepare Gantt Chart'!$I26*'Prepare Gantt Chart'!$J26),'Prepare Gantt Chart'!AA26=0,0)</f>
        <v>0</v>
      </c>
      <c r="O27" s="45">
        <f>_xlfn.IFS('Prepare Gantt Chart'!AB26=4,'Project types'!$O27*('Prepare Gantt Chart'!$I26*'Prepare Gantt Chart'!$J26),'Prepare Gantt Chart'!AB26=3,'Project types'!$Q27*('Prepare Gantt Chart'!$I26*'Prepare Gantt Chart'!$J26),'Prepare Gantt Chart'!AB26=0,0)</f>
        <v>0</v>
      </c>
      <c r="P27" s="45">
        <f>_xlfn.IFS('Prepare Gantt Chart'!AC26=4,'Project types'!$O27*('Prepare Gantt Chart'!$I26*'Prepare Gantt Chart'!$J26),'Prepare Gantt Chart'!AC26=3,'Project types'!$Q27*('Prepare Gantt Chart'!$I26*'Prepare Gantt Chart'!$J26),'Prepare Gantt Chart'!AC26=0,0)</f>
        <v>0</v>
      </c>
      <c r="Q27" s="45">
        <f>_xlfn.IFS('Prepare Gantt Chart'!AD26=4,'Project types'!$O27*('Prepare Gantt Chart'!$I26*'Prepare Gantt Chart'!$J26),'Prepare Gantt Chart'!AD26=3,'Project types'!$Q27*('Prepare Gantt Chart'!$I26*'Prepare Gantt Chart'!$J26),'Prepare Gantt Chart'!AD26=0,0)</f>
        <v>0</v>
      </c>
      <c r="R27" s="45">
        <f>_xlfn.IFS('Prepare Gantt Chart'!AE26=4,'Project types'!$O27*('Prepare Gantt Chart'!$I26*'Prepare Gantt Chart'!$J26),'Prepare Gantt Chart'!AE26=3,'Project types'!$Q27*('Prepare Gantt Chart'!$I26*'Prepare Gantt Chart'!$J26),'Prepare Gantt Chart'!AE26=0,0)</f>
        <v>0</v>
      </c>
      <c r="S27" s="45">
        <f>_xlfn.IFS('Prepare Gantt Chart'!AF26=4,'Project types'!$O27*('Prepare Gantt Chart'!$I26*'Prepare Gantt Chart'!$J26),'Prepare Gantt Chart'!AF26=3,'Project types'!$Q27*('Prepare Gantt Chart'!$I26*'Prepare Gantt Chart'!$J26),'Prepare Gantt Chart'!AF26=0,0)</f>
        <v>0</v>
      </c>
      <c r="T27" s="45">
        <f>_xlfn.IFS('Prepare Gantt Chart'!AG26=4,'Project types'!$O27*('Prepare Gantt Chart'!$I26*'Prepare Gantt Chart'!$J26),'Prepare Gantt Chart'!AG26=3,'Project types'!$Q27*('Prepare Gantt Chart'!$I26*'Prepare Gantt Chart'!$J26),'Prepare Gantt Chart'!AG26=0,0)</f>
        <v>0</v>
      </c>
      <c r="U27" s="45">
        <f>_xlfn.IFS('Prepare Gantt Chart'!AH26=4,'Project types'!$O27*('Prepare Gantt Chart'!$I26*'Prepare Gantt Chart'!$J26),'Prepare Gantt Chart'!AH26=3,'Project types'!$Q27*('Prepare Gantt Chart'!$I26*'Prepare Gantt Chart'!$J26),'Prepare Gantt Chart'!AH26=0,0)</f>
        <v>0</v>
      </c>
      <c r="V27" s="45">
        <f>_xlfn.IFS('Prepare Gantt Chart'!AI26=4,'Project types'!$O27*('Prepare Gantt Chart'!$I26*'Prepare Gantt Chart'!$J26),'Prepare Gantt Chart'!AI26=3,'Project types'!$Q27*('Prepare Gantt Chart'!$I26*'Prepare Gantt Chart'!$J26),'Prepare Gantt Chart'!AI26=0,0)</f>
        <v>0</v>
      </c>
      <c r="W27" s="45">
        <f>_xlfn.IFS('Prepare Gantt Chart'!AJ26=4,'Project types'!$O27*('Prepare Gantt Chart'!$I26*'Prepare Gantt Chart'!$J26),'Prepare Gantt Chart'!AJ26=3,'Project types'!$Q27*('Prepare Gantt Chart'!$I26*'Prepare Gantt Chart'!$J26),'Prepare Gantt Chart'!AJ26=0,0)</f>
        <v>0</v>
      </c>
      <c r="X27" s="45">
        <f>_xlfn.IFS('Prepare Gantt Chart'!AK26=4,'Project types'!$O27*('Prepare Gantt Chart'!$I26*'Prepare Gantt Chart'!$J26),'Prepare Gantt Chart'!AK26=3,'Project types'!$Q27*('Prepare Gantt Chart'!$I26*'Prepare Gantt Chart'!$J26),'Prepare Gantt Chart'!AK26=0,0)</f>
        <v>0</v>
      </c>
      <c r="Y27" s="45">
        <f>_xlfn.IFS('Prepare Gantt Chart'!AL26=4,'Project types'!$O27*('Prepare Gantt Chart'!$I26*'Prepare Gantt Chart'!$J26),'Prepare Gantt Chart'!AL26=3,'Project types'!$Q27*('Prepare Gantt Chart'!$I26*'Prepare Gantt Chart'!$J26),'Prepare Gantt Chart'!AL26=0,0)</f>
        <v>0</v>
      </c>
      <c r="Z27" s="45">
        <f>_xlfn.IFS('Prepare Gantt Chart'!AM26=4,'Project types'!$O27*('Prepare Gantt Chart'!$I26*'Prepare Gantt Chart'!$J26),'Prepare Gantt Chart'!AM26=3,'Project types'!$Q27*('Prepare Gantt Chart'!$I26*'Prepare Gantt Chart'!$J26),'Prepare Gantt Chart'!AM26=0,0)</f>
        <v>0</v>
      </c>
      <c r="AA27" s="45">
        <f>_xlfn.IFS('Prepare Gantt Chart'!AN26=4,'Project types'!$O27*('Prepare Gantt Chart'!$I26*'Prepare Gantt Chart'!$J26),'Prepare Gantt Chart'!AN26=3,'Project types'!$Q27*('Prepare Gantt Chart'!$I26*'Prepare Gantt Chart'!$J26),'Prepare Gantt Chart'!AN26=0,0)</f>
        <v>0</v>
      </c>
      <c r="AB27" s="45">
        <f>_xlfn.IFS('Prepare Gantt Chart'!AO26=4,'Project types'!$O27*('Prepare Gantt Chart'!$I26*'Prepare Gantt Chart'!$J26),'Prepare Gantt Chart'!AO26=3,'Project types'!$Q27*('Prepare Gantt Chart'!$I26*'Prepare Gantt Chart'!$J26),'Prepare Gantt Chart'!AO26=0,0)</f>
        <v>0</v>
      </c>
      <c r="AC27" s="45">
        <f>'Prepare Gantt Chart'!J26*'Prepare Gantt Chart'!I26*(AD27/26)</f>
        <v>0</v>
      </c>
      <c r="AD27" s="46">
        <f t="shared" si="0"/>
        <v>0</v>
      </c>
      <c r="AE27" s="72">
        <f>IF('Prepare Gantt Chart'!$J26=0,0,SUM(C27:H27)/6/'Prepare Gantt Chart'!$J26)</f>
        <v>0</v>
      </c>
      <c r="AF27" s="72">
        <f>IF('Prepare Gantt Chart'!$J26=0,0,SUM(I27:M27)/5/'Prepare Gantt Chart'!$J26)</f>
        <v>0</v>
      </c>
      <c r="AG27" s="72">
        <f>IF('Prepare Gantt Chart'!$J26=0,0,SUM(N27:R27)/5/'Prepare Gantt Chart'!$J26)</f>
        <v>0</v>
      </c>
      <c r="AH27" s="72">
        <f>IF('Prepare Gantt Chart'!$J26=0,0,SUM(S27:W27)/5/'Prepare Gantt Chart'!$J26)</f>
        <v>0</v>
      </c>
      <c r="AI27" s="72">
        <f>IF('Prepare Gantt Chart'!$J26=0,0,SUM(X27:AB27)/5/'Prepare Gantt Chart'!$J26)</f>
        <v>0</v>
      </c>
      <c r="AK27" s="21" t="s">
        <v>26</v>
      </c>
      <c r="AL27" s="45">
        <f>_xlfn.IFS('Prepare Gantt Chart'!P26=4,'Project types'!$L27*('Prepare Gantt Chart'!$I26*'Prepare Gantt Chart'!$J26),'Prepare Gantt Chart'!P26=3,'Project types'!$L27*('Prepare Gantt Chart'!$I26*'Prepare Gantt Chart'!$J26),'Prepare Gantt Chart'!P26=0,0)</f>
        <v>0</v>
      </c>
      <c r="AM27" s="45">
        <f>_xlfn.IFS('Prepare Gantt Chart'!Q26=4,'Project types'!$L27*('Prepare Gantt Chart'!$I26*'Prepare Gantt Chart'!$J26),'Prepare Gantt Chart'!Q26=3,'Project types'!$L27*('Prepare Gantt Chart'!$I26*'Prepare Gantt Chart'!$J26),'Prepare Gantt Chart'!Q26=0,0)</f>
        <v>0</v>
      </c>
      <c r="AN27" s="45">
        <f>_xlfn.IFS('Prepare Gantt Chart'!R26=4,'Project types'!$L27*('Prepare Gantt Chart'!$I26*'Prepare Gantt Chart'!$J26),'Prepare Gantt Chart'!R26=3,'Project types'!$L27*('Prepare Gantt Chart'!$I26*'Prepare Gantt Chart'!$J26),'Prepare Gantt Chart'!R26=0,0)</f>
        <v>0</v>
      </c>
      <c r="AO27" s="45">
        <f>_xlfn.IFS('Prepare Gantt Chart'!S26=4,'Project types'!$L27*('Prepare Gantt Chart'!$I26*'Prepare Gantt Chart'!$J26),'Prepare Gantt Chart'!S26=3,'Project types'!$L27*('Prepare Gantt Chart'!$I26*'Prepare Gantt Chart'!$J26),'Prepare Gantt Chart'!S26=0,0)</f>
        <v>0</v>
      </c>
      <c r="AP27" s="45">
        <f>_xlfn.IFS('Prepare Gantt Chart'!T26=4,'Project types'!$L27*('Prepare Gantt Chart'!$I26*'Prepare Gantt Chart'!$J26),'Prepare Gantt Chart'!T26=3,'Project types'!$L27*('Prepare Gantt Chart'!$I26*'Prepare Gantt Chart'!$J26),'Prepare Gantt Chart'!T26=0,0)</f>
        <v>0</v>
      </c>
      <c r="AQ27" s="45">
        <f>_xlfn.IFS('Prepare Gantt Chart'!U26=4,'Project types'!$L27*('Prepare Gantt Chart'!$I26*'Prepare Gantt Chart'!$J26),'Prepare Gantt Chart'!U26=3,'Project types'!$L27*('Prepare Gantt Chart'!$I26*'Prepare Gantt Chart'!$J26),'Prepare Gantt Chart'!U26=0,0)</f>
        <v>0</v>
      </c>
      <c r="AR27" s="45">
        <f>_xlfn.IFS('Prepare Gantt Chart'!V26=4,'Project types'!$L27*('Prepare Gantt Chart'!$I26*'Prepare Gantt Chart'!$J26),'Prepare Gantt Chart'!V26=3,'Project types'!$L27*('Prepare Gantt Chart'!$I26*'Prepare Gantt Chart'!$J26),'Prepare Gantt Chart'!V26=0,0)</f>
        <v>0</v>
      </c>
      <c r="AS27" s="45">
        <f>_xlfn.IFS('Prepare Gantt Chart'!W26=4,'Project types'!$L27*('Prepare Gantt Chart'!$I26*'Prepare Gantt Chart'!$J26),'Prepare Gantt Chart'!W26=3,'Project types'!$L27*('Prepare Gantt Chart'!$I26*'Prepare Gantt Chart'!$J26),'Prepare Gantt Chart'!W26=0,0)</f>
        <v>0</v>
      </c>
      <c r="AT27" s="45">
        <f>_xlfn.IFS('Prepare Gantt Chart'!X26=4,'Project types'!$L27*('Prepare Gantt Chart'!$I26*'Prepare Gantt Chart'!$J26),'Prepare Gantt Chart'!X26=3,'Project types'!$L27*('Prepare Gantt Chart'!$I26*'Prepare Gantt Chart'!$J26),'Prepare Gantt Chart'!X26=0,0)</f>
        <v>0</v>
      </c>
      <c r="AU27" s="45">
        <f>_xlfn.IFS('Prepare Gantt Chart'!Y26=4,'Project types'!$L27*('Prepare Gantt Chart'!$I26*'Prepare Gantt Chart'!$J26),'Prepare Gantt Chart'!Y26=3,'Project types'!$L27*('Prepare Gantt Chart'!$I26*'Prepare Gantt Chart'!$J26),'Prepare Gantt Chart'!Y26=0,0)</f>
        <v>0</v>
      </c>
      <c r="AV27" s="45">
        <f>_xlfn.IFS('Prepare Gantt Chart'!Z26=4,'Project types'!$L27*('Prepare Gantt Chart'!$I26*'Prepare Gantt Chart'!$J26),'Prepare Gantt Chart'!Z26=3,'Project types'!$L27*('Prepare Gantt Chart'!$I26*'Prepare Gantt Chart'!$J26),'Prepare Gantt Chart'!Z26=0,0)</f>
        <v>0</v>
      </c>
      <c r="AW27" s="45">
        <f>_xlfn.IFS('Prepare Gantt Chart'!AA26=4,'Project types'!$L27*('Prepare Gantt Chart'!$I26*'Prepare Gantt Chart'!$J26),'Prepare Gantt Chart'!AA26=3,'Project types'!$L27*('Prepare Gantt Chart'!$I26*'Prepare Gantt Chart'!$J26),'Prepare Gantt Chart'!AA26=0,0)</f>
        <v>0</v>
      </c>
      <c r="AX27" s="45">
        <f>_xlfn.IFS('Prepare Gantt Chart'!AB26=4,'Project types'!$L27*('Prepare Gantt Chart'!$I26*'Prepare Gantt Chart'!$J26),'Prepare Gantt Chart'!AB26=3,'Project types'!$L27*('Prepare Gantt Chart'!$I26*'Prepare Gantt Chart'!$J26),'Prepare Gantt Chart'!AB26=0,0)</f>
        <v>0</v>
      </c>
      <c r="AY27" s="45">
        <f>_xlfn.IFS('Prepare Gantt Chart'!AC26=4,'Project types'!$L27*('Prepare Gantt Chart'!$I26*'Prepare Gantt Chart'!$J26),'Prepare Gantt Chart'!AC26=3,'Project types'!$L27*('Prepare Gantt Chart'!$I26*'Prepare Gantt Chart'!$J26),'Prepare Gantt Chart'!AC26=0,0)</f>
        <v>0</v>
      </c>
      <c r="AZ27" s="45">
        <f>_xlfn.IFS('Prepare Gantt Chart'!AD26=4,'Project types'!$L27*('Prepare Gantt Chart'!$I26*'Prepare Gantt Chart'!$J26),'Prepare Gantt Chart'!AD26=3,'Project types'!$L27*('Prepare Gantt Chart'!$I26*'Prepare Gantt Chart'!$J26),'Prepare Gantt Chart'!AD26=0,0)</f>
        <v>0</v>
      </c>
      <c r="BA27" s="45">
        <f>_xlfn.IFS('Prepare Gantt Chart'!AE26=4,'Project types'!$L27*('Prepare Gantt Chart'!$I26*'Prepare Gantt Chart'!$J26),'Prepare Gantt Chart'!AE26=3,'Project types'!$L27*('Prepare Gantt Chart'!$I26*'Prepare Gantt Chart'!$J26),'Prepare Gantt Chart'!AE26=0,0)</f>
        <v>0</v>
      </c>
      <c r="BB27" s="45">
        <f>_xlfn.IFS('Prepare Gantt Chart'!AF26=4,'Project types'!$L27*('Prepare Gantt Chart'!$I26*'Prepare Gantt Chart'!$J26),'Prepare Gantt Chart'!AF26=3,'Project types'!$L27*('Prepare Gantt Chart'!$I26*'Prepare Gantt Chart'!$J26),'Prepare Gantt Chart'!AF26=0,0)</f>
        <v>0</v>
      </c>
      <c r="BC27" s="45">
        <f>_xlfn.IFS('Prepare Gantt Chart'!AG26=4,'Project types'!$L27*('Prepare Gantt Chart'!$I26*'Prepare Gantt Chart'!$J26),'Prepare Gantt Chart'!AG26=3,'Project types'!$L27*('Prepare Gantt Chart'!$I26*'Prepare Gantt Chart'!$J26),'Prepare Gantt Chart'!AG26=0,0)</f>
        <v>0</v>
      </c>
      <c r="BD27" s="45">
        <f>_xlfn.IFS('Prepare Gantt Chart'!AH26=4,'Project types'!$L27*('Prepare Gantt Chart'!$I26*'Prepare Gantt Chart'!$J26),'Prepare Gantt Chart'!AH26=3,'Project types'!$L27*('Prepare Gantt Chart'!$I26*'Prepare Gantt Chart'!$J26),'Prepare Gantt Chart'!AH26=0,0)</f>
        <v>0</v>
      </c>
      <c r="BE27" s="45">
        <f>_xlfn.IFS('Prepare Gantt Chart'!AI26=4,'Project types'!$L27*('Prepare Gantt Chart'!$I26*'Prepare Gantt Chart'!$J26),'Prepare Gantt Chart'!AI26=3,'Project types'!$L27*('Prepare Gantt Chart'!$I26*'Prepare Gantt Chart'!$J26),'Prepare Gantt Chart'!AI26=0,0)</f>
        <v>0</v>
      </c>
      <c r="BF27" s="45">
        <f>_xlfn.IFS('Prepare Gantt Chart'!AJ26=4,'Project types'!$L27*('Prepare Gantt Chart'!$I26*'Prepare Gantt Chart'!$J26),'Prepare Gantt Chart'!AJ26=3,'Project types'!$L27*('Prepare Gantt Chart'!$I26*'Prepare Gantt Chart'!$J26),'Prepare Gantt Chart'!AJ26=0,0)</f>
        <v>0</v>
      </c>
      <c r="BG27" s="45">
        <f>_xlfn.IFS('Prepare Gantt Chart'!AK26=4,'Project types'!$L27*('Prepare Gantt Chart'!$I26*'Prepare Gantt Chart'!$J26),'Prepare Gantt Chart'!AK26=3,'Project types'!$L27*('Prepare Gantt Chart'!$I26*'Prepare Gantt Chart'!$J26),'Prepare Gantt Chart'!AK26=0,0)</f>
        <v>0</v>
      </c>
      <c r="BH27" s="45">
        <f>_xlfn.IFS('Prepare Gantt Chart'!AL26=4,'Project types'!$L27*('Prepare Gantt Chart'!$I26*'Prepare Gantt Chart'!$J26),'Prepare Gantt Chart'!AL26=3,'Project types'!$L27*('Prepare Gantt Chart'!$I26*'Prepare Gantt Chart'!$J26),'Prepare Gantt Chart'!AL26=0,0)</f>
        <v>0</v>
      </c>
      <c r="BI27" s="45">
        <f>_xlfn.IFS('Prepare Gantt Chart'!AM26=4,'Project types'!$L27*('Prepare Gantt Chart'!$I26*'Prepare Gantt Chart'!$J26),'Prepare Gantt Chart'!AM26=3,'Project types'!$L27*('Prepare Gantt Chart'!$I26*'Prepare Gantt Chart'!$J26),'Prepare Gantt Chart'!AM26=0,0)</f>
        <v>0</v>
      </c>
      <c r="BJ27" s="45">
        <f>_xlfn.IFS('Prepare Gantt Chart'!AN26=4,'Project types'!$L27*('Prepare Gantt Chart'!$I26*'Prepare Gantt Chart'!$J26),'Prepare Gantt Chart'!AN26=3,'Project types'!$L27*('Prepare Gantt Chart'!$I26*'Prepare Gantt Chart'!$J26),'Prepare Gantt Chart'!AN26=0,0)</f>
        <v>0</v>
      </c>
      <c r="BK27" s="45">
        <f>_xlfn.IFS('Prepare Gantt Chart'!AO26=4,'Project types'!$L27*('Prepare Gantt Chart'!$I26*'Prepare Gantt Chart'!$J26),'Prepare Gantt Chart'!AO26=3,'Project types'!$L27*('Prepare Gantt Chart'!$I26*'Prepare Gantt Chart'!$J26),'Prepare Gantt Chart'!AO26=0,0)</f>
        <v>0</v>
      </c>
      <c r="BL27" s="46">
        <f t="shared" si="1"/>
        <v>0</v>
      </c>
      <c r="BM27" s="75">
        <f>IF('Prepare Gantt Chart'!$J26=0,0,SUM(AL27:AQ27)/6/'Prepare Gantt Chart'!$J26)</f>
        <v>0</v>
      </c>
      <c r="BN27" s="75">
        <f>IF('Prepare Gantt Chart'!$J26=0,0,SUM(AR27:AV27)/5/'Prepare Gantt Chart'!$J26)</f>
        <v>0</v>
      </c>
      <c r="BO27" s="75">
        <f>IF('Prepare Gantt Chart'!$J26=0,0,SUM(AW27:BA27)/5/'Prepare Gantt Chart'!$J26)</f>
        <v>0</v>
      </c>
      <c r="BP27" s="75">
        <f>IF('Prepare Gantt Chart'!$J26=0,0,SUM(BB27:BF27)/5/'Prepare Gantt Chart'!$J26)</f>
        <v>0</v>
      </c>
      <c r="BQ27" s="75">
        <f>IF('Prepare Gantt Chart'!$J26=0,0,SUM(BG27:BK27)/5/'Prepare Gantt Chart'!$J26)</f>
        <v>0</v>
      </c>
    </row>
    <row r="28" spans="1:69" ht="16" thickBot="1" x14ac:dyDescent="0.25">
      <c r="A28" s="22" t="s">
        <v>27</v>
      </c>
      <c r="B28" s="8" t="s">
        <v>118</v>
      </c>
      <c r="C28" s="50">
        <f>_xlfn.IFS('Prepare Gantt Chart'!P27=4,'Project types'!$O28*('Prepare Gantt Chart'!$I27*'Prepare Gantt Chart'!$J27),'Prepare Gantt Chart'!P27=3,'Project types'!$Q28*('Prepare Gantt Chart'!$I27*'Prepare Gantt Chart'!$J27),'Prepare Gantt Chart'!P27=0,0)</f>
        <v>0</v>
      </c>
      <c r="D28" s="50">
        <f>_xlfn.IFS('Prepare Gantt Chart'!Q27=4,'Project types'!$O28*('Prepare Gantt Chart'!$I27*'Prepare Gantt Chart'!$J27),'Prepare Gantt Chart'!Q27=3,'Project types'!$Q28*('Prepare Gantt Chart'!$I27*'Prepare Gantt Chart'!$J27),'Prepare Gantt Chart'!Q27=0,0)</f>
        <v>0</v>
      </c>
      <c r="E28" s="50">
        <f>_xlfn.IFS('Prepare Gantt Chart'!R27=4,'Project types'!$O28*('Prepare Gantt Chart'!$I27*'Prepare Gantt Chart'!$J27),'Prepare Gantt Chart'!R27=3,'Project types'!$Q28*('Prepare Gantt Chart'!$I27*'Prepare Gantt Chart'!$J27),'Prepare Gantt Chart'!R27=0,0)</f>
        <v>0</v>
      </c>
      <c r="F28" s="50">
        <f>_xlfn.IFS('Prepare Gantt Chart'!S27=4,'Project types'!$O28*('Prepare Gantt Chart'!$I27*'Prepare Gantt Chart'!$J27),'Prepare Gantt Chart'!S27=3,'Project types'!$Q28*('Prepare Gantt Chart'!$I27*'Prepare Gantt Chart'!$J27),'Prepare Gantt Chart'!S27=0,0)</f>
        <v>0</v>
      </c>
      <c r="G28" s="50">
        <f>_xlfn.IFS('Prepare Gantt Chart'!T27=4,'Project types'!$O28*('Prepare Gantt Chart'!$I27*'Prepare Gantt Chart'!$J27),'Prepare Gantt Chart'!T27=3,'Project types'!$Q28*('Prepare Gantt Chart'!$I27*'Prepare Gantt Chart'!$J27),'Prepare Gantt Chart'!T27=0,0)</f>
        <v>0</v>
      </c>
      <c r="H28" s="50">
        <f>_xlfn.IFS('Prepare Gantt Chart'!U27=4,'Project types'!$O28*('Prepare Gantt Chart'!$I27*'Prepare Gantt Chart'!$J27),'Prepare Gantt Chart'!U27=3,'Project types'!$Q28*('Prepare Gantt Chart'!$I27*'Prepare Gantt Chart'!$J27),'Prepare Gantt Chart'!U27=0,0)</f>
        <v>0</v>
      </c>
      <c r="I28" s="50">
        <f>_xlfn.IFS('Prepare Gantt Chart'!V27=4,'Project types'!$O28*('Prepare Gantt Chart'!$I27*'Prepare Gantt Chart'!$J27),'Prepare Gantt Chart'!V27=3,'Project types'!$Q28*('Prepare Gantt Chart'!$I27*'Prepare Gantt Chart'!$J27),'Prepare Gantt Chart'!V27=0,0)</f>
        <v>0</v>
      </c>
      <c r="J28" s="50">
        <f>_xlfn.IFS('Prepare Gantt Chart'!W27=4,'Project types'!$O28*('Prepare Gantt Chart'!$I27*'Prepare Gantt Chart'!$J27),'Prepare Gantt Chart'!W27=3,'Project types'!$Q28*('Prepare Gantt Chart'!$I27*'Prepare Gantt Chart'!$J27),'Prepare Gantt Chart'!W27=0,0)</f>
        <v>0</v>
      </c>
      <c r="K28" s="50">
        <f>_xlfn.IFS('Prepare Gantt Chart'!X27=4,'Project types'!$O28*('Prepare Gantt Chart'!$I27*'Prepare Gantt Chart'!$J27),'Prepare Gantt Chart'!X27=3,'Project types'!$Q28*('Prepare Gantt Chart'!$I27*'Prepare Gantt Chart'!$J27),'Prepare Gantt Chart'!X27=0,0)</f>
        <v>0</v>
      </c>
      <c r="L28" s="50">
        <f>_xlfn.IFS('Prepare Gantt Chart'!Y27=4,'Project types'!$O28*('Prepare Gantt Chart'!$I27*'Prepare Gantt Chart'!$J27),'Prepare Gantt Chart'!Y27=3,'Project types'!$Q28*('Prepare Gantt Chart'!$I27*'Prepare Gantt Chart'!$J27),'Prepare Gantt Chart'!Y27=0,0)</f>
        <v>0</v>
      </c>
      <c r="M28" s="50">
        <f>_xlfn.IFS('Prepare Gantt Chart'!Z27=4,'Project types'!$O28*('Prepare Gantt Chart'!$I27*'Prepare Gantt Chart'!$J27),'Prepare Gantt Chart'!Z27=3,'Project types'!$Q28*('Prepare Gantt Chart'!$I27*'Prepare Gantt Chart'!$J27),'Prepare Gantt Chart'!Z27=0,0)</f>
        <v>0</v>
      </c>
      <c r="N28" s="50">
        <f>_xlfn.IFS('Prepare Gantt Chart'!AA27=4,'Project types'!$O28*('Prepare Gantt Chart'!$I27*'Prepare Gantt Chart'!$J27),'Prepare Gantt Chart'!AA27=3,'Project types'!$Q28*('Prepare Gantt Chart'!$I27*'Prepare Gantt Chart'!$J27),'Prepare Gantt Chart'!AA27=0,0)</f>
        <v>0</v>
      </c>
      <c r="O28" s="50">
        <f>_xlfn.IFS('Prepare Gantt Chart'!AB27=4,'Project types'!$O28*('Prepare Gantt Chart'!$I27*'Prepare Gantt Chart'!$J27),'Prepare Gantt Chart'!AB27=3,'Project types'!$Q28*('Prepare Gantt Chart'!$I27*'Prepare Gantt Chart'!$J27),'Prepare Gantt Chart'!AB27=0,0)</f>
        <v>0</v>
      </c>
      <c r="P28" s="50">
        <f>_xlfn.IFS('Prepare Gantt Chart'!AC27=4,'Project types'!$O28*('Prepare Gantt Chart'!$I27*'Prepare Gantt Chart'!$J27),'Prepare Gantt Chart'!AC27=3,'Project types'!$Q28*('Prepare Gantt Chart'!$I27*'Prepare Gantt Chart'!$J27),'Prepare Gantt Chart'!AC27=0,0)</f>
        <v>0</v>
      </c>
      <c r="Q28" s="50">
        <f>_xlfn.IFS('Prepare Gantt Chart'!AD27=4,'Project types'!$O28*('Prepare Gantt Chart'!$I27*'Prepare Gantt Chart'!$J27),'Prepare Gantt Chart'!AD27=3,'Project types'!$Q28*('Prepare Gantt Chart'!$I27*'Prepare Gantt Chart'!$J27),'Prepare Gantt Chart'!AD27=0,0)</f>
        <v>0</v>
      </c>
      <c r="R28" s="50">
        <f>_xlfn.IFS('Prepare Gantt Chart'!AE27=4,'Project types'!$O28*('Prepare Gantt Chart'!$I27*'Prepare Gantt Chart'!$J27),'Prepare Gantt Chart'!AE27=3,'Project types'!$Q28*('Prepare Gantt Chart'!$I27*'Prepare Gantt Chart'!$J27),'Prepare Gantt Chart'!AE27=0,0)</f>
        <v>0</v>
      </c>
      <c r="S28" s="50">
        <f>_xlfn.IFS('Prepare Gantt Chart'!AF27=4,'Project types'!$O28*('Prepare Gantt Chart'!$I27*'Prepare Gantt Chart'!$J27),'Prepare Gantt Chart'!AF27=3,'Project types'!$Q28*('Prepare Gantt Chart'!$I27*'Prepare Gantt Chart'!$J27),'Prepare Gantt Chart'!AF27=0,0)</f>
        <v>0</v>
      </c>
      <c r="T28" s="50">
        <f>_xlfn.IFS('Prepare Gantt Chart'!AG27=4,'Project types'!$O28*('Prepare Gantt Chart'!$I27*'Prepare Gantt Chart'!$J27),'Prepare Gantt Chart'!AG27=3,'Project types'!$Q28*('Prepare Gantt Chart'!$I27*'Prepare Gantt Chart'!$J27),'Prepare Gantt Chart'!AG27=0,0)</f>
        <v>0</v>
      </c>
      <c r="U28" s="50">
        <f>_xlfn.IFS('Prepare Gantt Chart'!AH27=4,'Project types'!$O28*('Prepare Gantt Chart'!$I27*'Prepare Gantt Chart'!$J27),'Prepare Gantt Chart'!AH27=3,'Project types'!$Q28*('Prepare Gantt Chart'!$I27*'Prepare Gantt Chart'!$J27),'Prepare Gantt Chart'!AH27=0,0)</f>
        <v>0</v>
      </c>
      <c r="V28" s="50">
        <f>_xlfn.IFS('Prepare Gantt Chart'!AI27=4,'Project types'!$O28*('Prepare Gantt Chart'!$I27*'Prepare Gantt Chart'!$J27),'Prepare Gantt Chart'!AI27=3,'Project types'!$Q28*('Prepare Gantt Chart'!$I27*'Prepare Gantt Chart'!$J27),'Prepare Gantt Chart'!AI27=0,0)</f>
        <v>0</v>
      </c>
      <c r="W28" s="50">
        <f>_xlfn.IFS('Prepare Gantt Chart'!AJ27=4,'Project types'!$O28*('Prepare Gantt Chart'!$I27*'Prepare Gantt Chart'!$J27),'Prepare Gantt Chart'!AJ27=3,'Project types'!$Q28*('Prepare Gantt Chart'!$I27*'Prepare Gantt Chart'!$J27),'Prepare Gantt Chart'!AJ27=0,0)</f>
        <v>0</v>
      </c>
      <c r="X28" s="50">
        <f>_xlfn.IFS('Prepare Gantt Chart'!AK27=4,'Project types'!$O28*('Prepare Gantt Chart'!$I27*'Prepare Gantt Chart'!$J27),'Prepare Gantt Chart'!AK27=3,'Project types'!$Q28*('Prepare Gantt Chart'!$I27*'Prepare Gantt Chart'!$J27),'Prepare Gantt Chart'!AK27=0,0)</f>
        <v>0</v>
      </c>
      <c r="Y28" s="50">
        <f>_xlfn.IFS('Prepare Gantt Chart'!AL27=4,'Project types'!$O28*('Prepare Gantt Chart'!$I27*'Prepare Gantt Chart'!$J27),'Prepare Gantt Chart'!AL27=3,'Project types'!$Q28*('Prepare Gantt Chart'!$I27*'Prepare Gantt Chart'!$J27),'Prepare Gantt Chart'!AL27=0,0)</f>
        <v>0</v>
      </c>
      <c r="Z28" s="50">
        <f>_xlfn.IFS('Prepare Gantt Chart'!AM27=4,'Project types'!$O28*('Prepare Gantt Chart'!$I27*'Prepare Gantt Chart'!$J27),'Prepare Gantt Chart'!AM27=3,'Project types'!$Q28*('Prepare Gantt Chart'!$I27*'Prepare Gantt Chart'!$J27),'Prepare Gantt Chart'!AM27=0,0)</f>
        <v>0</v>
      </c>
      <c r="AA28" s="50">
        <f>_xlfn.IFS('Prepare Gantt Chart'!AN27=4,'Project types'!$O28*('Prepare Gantt Chart'!$I27*'Prepare Gantt Chart'!$J27),'Prepare Gantt Chart'!AN27=3,'Project types'!$Q28*('Prepare Gantt Chart'!$I27*'Prepare Gantt Chart'!$J27),'Prepare Gantt Chart'!AN27=0,0)</f>
        <v>0</v>
      </c>
      <c r="AB28" s="50">
        <f>_xlfn.IFS('Prepare Gantt Chart'!AO27=4,'Project types'!$O28*('Prepare Gantt Chart'!$I27*'Prepare Gantt Chart'!$J27),'Prepare Gantt Chart'!AO27=3,'Project types'!$Q28*('Prepare Gantt Chart'!$I27*'Prepare Gantt Chart'!$J27),'Prepare Gantt Chart'!AO27=0,0)</f>
        <v>0</v>
      </c>
      <c r="AC28" s="50">
        <f>'Prepare Gantt Chart'!J27*'Prepare Gantt Chart'!I27*(AD28/26)</f>
        <v>0</v>
      </c>
      <c r="AD28" s="51">
        <f t="shared" si="0"/>
        <v>0</v>
      </c>
      <c r="AE28" s="73">
        <f>IF('Prepare Gantt Chart'!$J27=0,0,SUM(C28:H28)/6/'Prepare Gantt Chart'!$J27)</f>
        <v>0</v>
      </c>
      <c r="AF28" s="73">
        <f>IF('Prepare Gantt Chart'!$J27=0,0,SUM(I28:M28)/5/'Prepare Gantt Chart'!$J27)</f>
        <v>0</v>
      </c>
      <c r="AG28" s="73">
        <f>IF('Prepare Gantt Chart'!$J27=0,0,SUM(N28:R28)/5/'Prepare Gantt Chart'!$J27)</f>
        <v>0</v>
      </c>
      <c r="AH28" s="73">
        <f>IF('Prepare Gantt Chart'!$J27=0,0,SUM(S28:W28)/5/'Prepare Gantt Chart'!$J27)</f>
        <v>0</v>
      </c>
      <c r="AI28" s="73">
        <f>IF('Prepare Gantt Chart'!$J27=0,0,SUM(X28:AB28)/5/'Prepare Gantt Chart'!$J27)</f>
        <v>0</v>
      </c>
      <c r="AK28" s="22" t="s">
        <v>27</v>
      </c>
      <c r="AL28" s="50">
        <f>_xlfn.IFS('Prepare Gantt Chart'!P27=4,'Project types'!$L28*('Prepare Gantt Chart'!$I27*'Prepare Gantt Chart'!$J27),'Prepare Gantt Chart'!P27=3,'Project types'!$L28*('Prepare Gantt Chart'!$I27*'Prepare Gantt Chart'!$J27),'Prepare Gantt Chart'!P27=0,0)</f>
        <v>0</v>
      </c>
      <c r="AM28" s="50">
        <f>_xlfn.IFS('Prepare Gantt Chart'!Q27=4,'Project types'!$L28*('Prepare Gantt Chart'!$I27*'Prepare Gantt Chart'!$J27),'Prepare Gantt Chart'!Q27=3,'Project types'!$L28*('Prepare Gantt Chart'!$I27*'Prepare Gantt Chart'!$J27),'Prepare Gantt Chart'!Q27=0,0)</f>
        <v>0</v>
      </c>
      <c r="AN28" s="50">
        <f>_xlfn.IFS('Prepare Gantt Chart'!R27=4,'Project types'!$L28*('Prepare Gantt Chart'!$I27*'Prepare Gantt Chart'!$J27),'Prepare Gantt Chart'!R27=3,'Project types'!$L28*('Prepare Gantt Chart'!$I27*'Prepare Gantt Chart'!$J27),'Prepare Gantt Chart'!R27=0,0)</f>
        <v>0</v>
      </c>
      <c r="AO28" s="50">
        <f>_xlfn.IFS('Prepare Gantt Chart'!S27=4,'Project types'!$L28*('Prepare Gantt Chart'!$I27*'Prepare Gantt Chart'!$J27),'Prepare Gantt Chart'!S27=3,'Project types'!$L28*('Prepare Gantt Chart'!$I27*'Prepare Gantt Chart'!$J27),'Prepare Gantt Chart'!S27=0,0)</f>
        <v>0</v>
      </c>
      <c r="AP28" s="50">
        <f>_xlfn.IFS('Prepare Gantt Chart'!T27=4,'Project types'!$L28*('Prepare Gantt Chart'!$I27*'Prepare Gantt Chart'!$J27),'Prepare Gantt Chart'!T27=3,'Project types'!$L28*('Prepare Gantt Chart'!$I27*'Prepare Gantt Chart'!$J27),'Prepare Gantt Chart'!T27=0,0)</f>
        <v>0</v>
      </c>
      <c r="AQ28" s="50">
        <f>_xlfn.IFS('Prepare Gantt Chart'!U27=4,'Project types'!$L28*('Prepare Gantt Chart'!$I27*'Prepare Gantt Chart'!$J27),'Prepare Gantt Chart'!U27=3,'Project types'!$L28*('Prepare Gantt Chart'!$I27*'Prepare Gantt Chart'!$J27),'Prepare Gantt Chart'!U27=0,0)</f>
        <v>0</v>
      </c>
      <c r="AR28" s="50">
        <f>_xlfn.IFS('Prepare Gantt Chart'!V27=4,'Project types'!$L28*('Prepare Gantt Chart'!$I27*'Prepare Gantt Chart'!$J27),'Prepare Gantt Chart'!V27=3,'Project types'!$L28*('Prepare Gantt Chart'!$I27*'Prepare Gantt Chart'!$J27),'Prepare Gantt Chart'!V27=0,0)</f>
        <v>0</v>
      </c>
      <c r="AS28" s="50">
        <f>_xlfn.IFS('Prepare Gantt Chart'!W27=4,'Project types'!$L28*('Prepare Gantt Chart'!$I27*'Prepare Gantt Chart'!$J27),'Prepare Gantt Chart'!W27=3,'Project types'!$L28*('Prepare Gantt Chart'!$I27*'Prepare Gantt Chart'!$J27),'Prepare Gantt Chart'!W27=0,0)</f>
        <v>0</v>
      </c>
      <c r="AT28" s="50">
        <f>_xlfn.IFS('Prepare Gantt Chart'!X27=4,'Project types'!$L28*('Prepare Gantt Chart'!$I27*'Prepare Gantt Chart'!$J27),'Prepare Gantt Chart'!X27=3,'Project types'!$L28*('Prepare Gantt Chart'!$I27*'Prepare Gantt Chart'!$J27),'Prepare Gantt Chart'!X27=0,0)</f>
        <v>0</v>
      </c>
      <c r="AU28" s="50">
        <f>_xlfn.IFS('Prepare Gantt Chart'!Y27=4,'Project types'!$L28*('Prepare Gantt Chart'!$I27*'Prepare Gantt Chart'!$J27),'Prepare Gantt Chart'!Y27=3,'Project types'!$L28*('Prepare Gantt Chart'!$I27*'Prepare Gantt Chart'!$J27),'Prepare Gantt Chart'!Y27=0,0)</f>
        <v>0</v>
      </c>
      <c r="AV28" s="50">
        <f>_xlfn.IFS('Prepare Gantt Chart'!Z27=4,'Project types'!$L28*('Prepare Gantt Chart'!$I27*'Prepare Gantt Chart'!$J27),'Prepare Gantt Chart'!Z27=3,'Project types'!$L28*('Prepare Gantt Chart'!$I27*'Prepare Gantt Chart'!$J27),'Prepare Gantt Chart'!Z27=0,0)</f>
        <v>0</v>
      </c>
      <c r="AW28" s="50">
        <f>_xlfn.IFS('Prepare Gantt Chart'!AA27=4,'Project types'!$L28*('Prepare Gantt Chart'!$I27*'Prepare Gantt Chart'!$J27),'Prepare Gantt Chart'!AA27=3,'Project types'!$L28*('Prepare Gantt Chart'!$I27*'Prepare Gantt Chart'!$J27),'Prepare Gantt Chart'!AA27=0,0)</f>
        <v>0</v>
      </c>
      <c r="AX28" s="50">
        <f>_xlfn.IFS('Prepare Gantt Chart'!AB27=4,'Project types'!$L28*('Prepare Gantt Chart'!$I27*'Prepare Gantt Chart'!$J27),'Prepare Gantt Chart'!AB27=3,'Project types'!$L28*('Prepare Gantt Chart'!$I27*'Prepare Gantt Chart'!$J27),'Prepare Gantt Chart'!AB27=0,0)</f>
        <v>0</v>
      </c>
      <c r="AY28" s="50">
        <f>_xlfn.IFS('Prepare Gantt Chart'!AC27=4,'Project types'!$L28*('Prepare Gantt Chart'!$I27*'Prepare Gantt Chart'!$J27),'Prepare Gantt Chart'!AC27=3,'Project types'!$L28*('Prepare Gantt Chart'!$I27*'Prepare Gantt Chart'!$J27),'Prepare Gantt Chart'!AC27=0,0)</f>
        <v>0</v>
      </c>
      <c r="AZ28" s="50">
        <f>_xlfn.IFS('Prepare Gantt Chart'!AD27=4,'Project types'!$L28*('Prepare Gantt Chart'!$I27*'Prepare Gantt Chart'!$J27),'Prepare Gantt Chart'!AD27=3,'Project types'!$L28*('Prepare Gantt Chart'!$I27*'Prepare Gantt Chart'!$J27),'Prepare Gantt Chart'!AD27=0,0)</f>
        <v>0</v>
      </c>
      <c r="BA28" s="50">
        <f>_xlfn.IFS('Prepare Gantt Chart'!AE27=4,'Project types'!$L28*('Prepare Gantt Chart'!$I27*'Prepare Gantt Chart'!$J27),'Prepare Gantt Chart'!AE27=3,'Project types'!$L28*('Prepare Gantt Chart'!$I27*'Prepare Gantt Chart'!$J27),'Prepare Gantt Chart'!AE27=0,0)</f>
        <v>0</v>
      </c>
      <c r="BB28" s="50">
        <f>_xlfn.IFS('Prepare Gantt Chart'!AF27=4,'Project types'!$L28*('Prepare Gantt Chart'!$I27*'Prepare Gantt Chart'!$J27),'Prepare Gantt Chart'!AF27=3,'Project types'!$L28*('Prepare Gantt Chart'!$I27*'Prepare Gantt Chart'!$J27),'Prepare Gantt Chart'!AF27=0,0)</f>
        <v>0</v>
      </c>
      <c r="BC28" s="50">
        <f>_xlfn.IFS('Prepare Gantt Chart'!AG27=4,'Project types'!$L28*('Prepare Gantt Chart'!$I27*'Prepare Gantt Chart'!$J27),'Prepare Gantt Chart'!AG27=3,'Project types'!$L28*('Prepare Gantt Chart'!$I27*'Prepare Gantt Chart'!$J27),'Prepare Gantt Chart'!AG27=0,0)</f>
        <v>0</v>
      </c>
      <c r="BD28" s="50">
        <f>_xlfn.IFS('Prepare Gantt Chart'!AH27=4,'Project types'!$L28*('Prepare Gantt Chart'!$I27*'Prepare Gantt Chart'!$J27),'Prepare Gantt Chart'!AH27=3,'Project types'!$L28*('Prepare Gantt Chart'!$I27*'Prepare Gantt Chart'!$J27),'Prepare Gantt Chart'!AH27=0,0)</f>
        <v>0</v>
      </c>
      <c r="BE28" s="50">
        <f>_xlfn.IFS('Prepare Gantt Chart'!AI27=4,'Project types'!$L28*('Prepare Gantt Chart'!$I27*'Prepare Gantt Chart'!$J27),'Prepare Gantt Chart'!AI27=3,'Project types'!$L28*('Prepare Gantt Chart'!$I27*'Prepare Gantt Chart'!$J27),'Prepare Gantt Chart'!AI27=0,0)</f>
        <v>0</v>
      </c>
      <c r="BF28" s="50">
        <f>_xlfn.IFS('Prepare Gantt Chart'!AJ27=4,'Project types'!$L28*('Prepare Gantt Chart'!$I27*'Prepare Gantt Chart'!$J27),'Prepare Gantt Chart'!AJ27=3,'Project types'!$L28*('Prepare Gantt Chart'!$I27*'Prepare Gantt Chart'!$J27),'Prepare Gantt Chart'!AJ27=0,0)</f>
        <v>0</v>
      </c>
      <c r="BG28" s="50">
        <f>_xlfn.IFS('Prepare Gantt Chart'!AK27=4,'Project types'!$L28*('Prepare Gantt Chart'!$I27*'Prepare Gantt Chart'!$J27),'Prepare Gantt Chart'!AK27=3,'Project types'!$L28*('Prepare Gantt Chart'!$I27*'Prepare Gantt Chart'!$J27),'Prepare Gantt Chart'!AK27=0,0)</f>
        <v>0</v>
      </c>
      <c r="BH28" s="50">
        <f>_xlfn.IFS('Prepare Gantt Chart'!AL27=4,'Project types'!$L28*('Prepare Gantt Chart'!$I27*'Prepare Gantt Chart'!$J27),'Prepare Gantt Chart'!AL27=3,'Project types'!$L28*('Prepare Gantt Chart'!$I27*'Prepare Gantt Chart'!$J27),'Prepare Gantt Chart'!AL27=0,0)</f>
        <v>0</v>
      </c>
      <c r="BI28" s="50">
        <f>_xlfn.IFS('Prepare Gantt Chart'!AM27=4,'Project types'!$L28*('Prepare Gantt Chart'!$I27*'Prepare Gantt Chart'!$J27),'Prepare Gantt Chart'!AM27=3,'Project types'!$L28*('Prepare Gantt Chart'!$I27*'Prepare Gantt Chart'!$J27),'Prepare Gantt Chart'!AM27=0,0)</f>
        <v>0</v>
      </c>
      <c r="BJ28" s="50">
        <f>_xlfn.IFS('Prepare Gantt Chart'!AN27=4,'Project types'!$L28*('Prepare Gantt Chart'!$I27*'Prepare Gantt Chart'!$J27),'Prepare Gantt Chart'!AN27=3,'Project types'!$L28*('Prepare Gantt Chart'!$I27*'Prepare Gantt Chart'!$J27),'Prepare Gantt Chart'!AN27=0,0)</f>
        <v>0</v>
      </c>
      <c r="BK28" s="50">
        <f>_xlfn.IFS('Prepare Gantt Chart'!AO27=4,'Project types'!$L28*('Prepare Gantt Chart'!$I27*'Prepare Gantt Chart'!$J27),'Prepare Gantt Chart'!AO27=3,'Project types'!$L28*('Prepare Gantt Chart'!$I27*'Prepare Gantt Chart'!$J27),'Prepare Gantt Chart'!AO27=0,0)</f>
        <v>0</v>
      </c>
      <c r="BL28" s="51">
        <f t="shared" si="1"/>
        <v>0</v>
      </c>
      <c r="BM28" s="76">
        <f>IF('Prepare Gantt Chart'!$J27=0,0,SUM(AL28:AQ28)/6/'Prepare Gantt Chart'!$J27)</f>
        <v>0</v>
      </c>
      <c r="BN28" s="76">
        <f>IF('Prepare Gantt Chart'!$J27=0,0,SUM(AR28:AV28)/5/'Prepare Gantt Chart'!$J27)</f>
        <v>0</v>
      </c>
      <c r="BO28" s="76">
        <f>IF('Prepare Gantt Chart'!$J27=0,0,SUM(AW28:BA28)/5/'Prepare Gantt Chart'!$J27)</f>
        <v>0</v>
      </c>
      <c r="BP28" s="76">
        <f>IF('Prepare Gantt Chart'!$J27=0,0,SUM(BB28:BF28)/5/'Prepare Gantt Chart'!$J27)</f>
        <v>0</v>
      </c>
      <c r="BQ28" s="76">
        <f>IF('Prepare Gantt Chart'!$J27=0,0,SUM(BG28:BK28)/5/'Prepare Gantt Chart'!$J27)</f>
        <v>0</v>
      </c>
    </row>
    <row r="29" spans="1:69" x14ac:dyDescent="0.2">
      <c r="A29" s="23" t="s">
        <v>28</v>
      </c>
      <c r="B29" s="1" t="s">
        <v>391</v>
      </c>
      <c r="C29" s="45">
        <f>_xlfn.IFS('Prepare Gantt Chart'!P28=6,'Project types'!$O29*('Prepare Gantt Chart'!$I28*'Prepare Gantt Chart'!$J28),'Prepare Gantt Chart'!P28=5,'Project types'!$Q29*('Prepare Gantt Chart'!$I28*'Prepare Gantt Chart'!$J28),'Prepare Gantt Chart'!P28=0,0)</f>
        <v>0</v>
      </c>
      <c r="D29" s="45">
        <f>_xlfn.IFS('Prepare Gantt Chart'!Q28=6,'Project types'!$O29*('Prepare Gantt Chart'!$I28*'Prepare Gantt Chart'!$J28),'Prepare Gantt Chart'!Q28=5,'Project types'!$Q29*('Prepare Gantt Chart'!$I28*'Prepare Gantt Chart'!$J28),'Prepare Gantt Chart'!Q28=0,0)</f>
        <v>0</v>
      </c>
      <c r="E29" s="45">
        <f>_xlfn.IFS('Prepare Gantt Chart'!R28=6,'Project types'!$O29*('Prepare Gantt Chart'!$I28*'Prepare Gantt Chart'!$J28),'Prepare Gantt Chart'!R28=5,'Project types'!$Q29*('Prepare Gantt Chart'!$I28*'Prepare Gantt Chart'!$J28),'Prepare Gantt Chart'!R28=0,0)</f>
        <v>0</v>
      </c>
      <c r="F29" s="45">
        <f>_xlfn.IFS('Prepare Gantt Chart'!S28=6,'Project types'!$O29*('Prepare Gantt Chart'!$I28*'Prepare Gantt Chart'!$J28),'Prepare Gantt Chart'!S28=5,'Project types'!$Q29*('Prepare Gantt Chart'!$I28*'Prepare Gantt Chart'!$J28),'Prepare Gantt Chart'!S28=0,0)</f>
        <v>0</v>
      </c>
      <c r="G29" s="45">
        <f>_xlfn.IFS('Prepare Gantt Chart'!T28=6,'Project types'!$O29*('Prepare Gantt Chart'!$I28*'Prepare Gantt Chart'!$J28),'Prepare Gantt Chart'!T28=5,'Project types'!$Q29*('Prepare Gantt Chart'!$I28*'Prepare Gantt Chart'!$J28),'Prepare Gantt Chart'!T28=0,0)</f>
        <v>0</v>
      </c>
      <c r="H29" s="45">
        <f>_xlfn.IFS('Prepare Gantt Chart'!U28=6,'Project types'!$O29*('Prepare Gantt Chart'!$I28*'Prepare Gantt Chart'!$J28),'Prepare Gantt Chart'!U28=5,'Project types'!$Q29*('Prepare Gantt Chart'!$I28*'Prepare Gantt Chart'!$J28),'Prepare Gantt Chart'!U28=0,0)</f>
        <v>0</v>
      </c>
      <c r="I29" s="45">
        <f>_xlfn.IFS('Prepare Gantt Chart'!V28=6,'Project types'!$O29*('Prepare Gantt Chart'!$I28*'Prepare Gantt Chart'!$J28),'Prepare Gantt Chart'!V28=5,'Project types'!$Q29*('Prepare Gantt Chart'!$I28*'Prepare Gantt Chart'!$J28),'Prepare Gantt Chart'!V28=0,0)</f>
        <v>0</v>
      </c>
      <c r="J29" s="45">
        <f>_xlfn.IFS('Prepare Gantt Chart'!W28=6,'Project types'!$O29*('Prepare Gantt Chart'!$I28*'Prepare Gantt Chart'!$J28),'Prepare Gantt Chart'!W28=5,'Project types'!$Q29*('Prepare Gantt Chart'!$I28*'Prepare Gantt Chart'!$J28),'Prepare Gantt Chart'!W28=0,0)</f>
        <v>0</v>
      </c>
      <c r="K29" s="45">
        <f>_xlfn.IFS('Prepare Gantt Chart'!X28=6,'Project types'!$O29*('Prepare Gantt Chart'!$I28*'Prepare Gantt Chart'!$J28),'Prepare Gantt Chart'!X28=5,'Project types'!$Q29*('Prepare Gantt Chart'!$I28*'Prepare Gantt Chart'!$J28),'Prepare Gantt Chart'!X28=0,0)</f>
        <v>0</v>
      </c>
      <c r="L29" s="45">
        <f>_xlfn.IFS('Prepare Gantt Chart'!Y28=6,'Project types'!$O29*('Prepare Gantt Chart'!$I28*'Prepare Gantt Chart'!$J28),'Prepare Gantt Chart'!Y28=5,'Project types'!$Q29*('Prepare Gantt Chart'!$I28*'Prepare Gantt Chart'!$J28),'Prepare Gantt Chart'!Y28=0,0)</f>
        <v>0</v>
      </c>
      <c r="M29" s="45">
        <f>_xlfn.IFS('Prepare Gantt Chart'!Z28=6,'Project types'!$O29*('Prepare Gantt Chart'!$I28*'Prepare Gantt Chart'!$J28),'Prepare Gantt Chart'!Z28=5,'Project types'!$Q29*('Prepare Gantt Chart'!$I28*'Prepare Gantt Chart'!$J28),'Prepare Gantt Chart'!Z28=0,0)</f>
        <v>0</v>
      </c>
      <c r="N29" s="45">
        <f>_xlfn.IFS('Prepare Gantt Chart'!AA28=6,'Project types'!$O29*('Prepare Gantt Chart'!$I28*'Prepare Gantt Chart'!$J28),'Prepare Gantt Chart'!AA28=5,'Project types'!$Q29*('Prepare Gantt Chart'!$I28*'Prepare Gantt Chart'!$J28),'Prepare Gantt Chart'!AA28=0,0)</f>
        <v>0</v>
      </c>
      <c r="O29" s="45">
        <f>_xlfn.IFS('Prepare Gantt Chart'!AB28=6,'Project types'!$O29*('Prepare Gantt Chart'!$I28*'Prepare Gantt Chart'!$J28),'Prepare Gantt Chart'!AB28=5,'Project types'!$Q29*('Prepare Gantt Chart'!$I28*'Prepare Gantt Chart'!$J28),'Prepare Gantt Chart'!AB28=0,0)</f>
        <v>0</v>
      </c>
      <c r="P29" s="45">
        <f>_xlfn.IFS('Prepare Gantt Chart'!AC28=6,'Project types'!$O29*('Prepare Gantt Chart'!$I28*'Prepare Gantt Chart'!$J28),'Prepare Gantt Chart'!AC28=5,'Project types'!$Q29*('Prepare Gantt Chart'!$I28*'Prepare Gantt Chart'!$J28),'Prepare Gantt Chart'!AC28=0,0)</f>
        <v>0</v>
      </c>
      <c r="Q29" s="45">
        <f>_xlfn.IFS('Prepare Gantt Chart'!AD28=6,'Project types'!$O29*('Prepare Gantt Chart'!$I28*'Prepare Gantt Chart'!$J28),'Prepare Gantt Chart'!AD28=5,'Project types'!$Q29*('Prepare Gantt Chart'!$I28*'Prepare Gantt Chart'!$J28),'Prepare Gantt Chart'!AD28=0,0)</f>
        <v>0</v>
      </c>
      <c r="R29" s="45">
        <f>_xlfn.IFS('Prepare Gantt Chart'!AE28=6,'Project types'!$O29*('Prepare Gantt Chart'!$I28*'Prepare Gantt Chart'!$J28),'Prepare Gantt Chart'!AE28=5,'Project types'!$Q29*('Prepare Gantt Chart'!$I28*'Prepare Gantt Chart'!$J28),'Prepare Gantt Chart'!AE28=0,0)</f>
        <v>0</v>
      </c>
      <c r="S29" s="45">
        <f>_xlfn.IFS('Prepare Gantt Chart'!AF28=6,'Project types'!$O29*('Prepare Gantt Chart'!$I28*'Prepare Gantt Chart'!$J28),'Prepare Gantt Chart'!AF28=5,'Project types'!$Q29*('Prepare Gantt Chart'!$I28*'Prepare Gantt Chart'!$J28),'Prepare Gantt Chart'!AF28=0,0)</f>
        <v>0</v>
      </c>
      <c r="T29" s="45">
        <f>_xlfn.IFS('Prepare Gantt Chart'!AG28=6,'Project types'!$O29*('Prepare Gantt Chart'!$I28*'Prepare Gantt Chart'!$J28),'Prepare Gantt Chart'!AG28=5,'Project types'!$Q29*('Prepare Gantt Chart'!$I28*'Prepare Gantt Chart'!$J28),'Prepare Gantt Chart'!AG28=0,0)</f>
        <v>0</v>
      </c>
      <c r="U29" s="45">
        <f>_xlfn.IFS('Prepare Gantt Chart'!AH28=6,'Project types'!$O29*('Prepare Gantt Chart'!$I28*'Prepare Gantt Chart'!$J28),'Prepare Gantt Chart'!AH28=5,'Project types'!$Q29*('Prepare Gantt Chart'!$I28*'Prepare Gantt Chart'!$J28),'Prepare Gantt Chart'!AH28=0,0)</f>
        <v>0</v>
      </c>
      <c r="V29" s="45">
        <f>_xlfn.IFS('Prepare Gantt Chart'!AI28=6,'Project types'!$O29*('Prepare Gantt Chart'!$I28*'Prepare Gantt Chart'!$J28),'Prepare Gantt Chart'!AI28=5,'Project types'!$Q29*('Prepare Gantt Chart'!$I28*'Prepare Gantt Chart'!$J28),'Prepare Gantt Chart'!AI28=0,0)</f>
        <v>0</v>
      </c>
      <c r="W29" s="45">
        <f>_xlfn.IFS('Prepare Gantt Chart'!AJ28=6,'Project types'!$O29*('Prepare Gantt Chart'!$I28*'Prepare Gantt Chart'!$J28),'Prepare Gantt Chart'!AJ28=5,'Project types'!$Q29*('Prepare Gantt Chart'!$I28*'Prepare Gantt Chart'!$J28),'Prepare Gantt Chart'!AJ28=0,0)</f>
        <v>0</v>
      </c>
      <c r="X29" s="45">
        <f>_xlfn.IFS('Prepare Gantt Chart'!AK28=6,'Project types'!$O29*('Prepare Gantt Chart'!$I28*'Prepare Gantt Chart'!$J28),'Prepare Gantt Chart'!AK28=5,'Project types'!$Q29*('Prepare Gantt Chart'!$I28*'Prepare Gantt Chart'!$J28),'Prepare Gantt Chart'!AK28=0,0)</f>
        <v>0</v>
      </c>
      <c r="Y29" s="45">
        <f>_xlfn.IFS('Prepare Gantt Chart'!AL28=6,'Project types'!$O29*('Prepare Gantt Chart'!$I28*'Prepare Gantt Chart'!$J28),'Prepare Gantt Chart'!AL28=5,'Project types'!$Q29*('Prepare Gantt Chart'!$I28*'Prepare Gantt Chart'!$J28),'Prepare Gantt Chart'!AL28=0,0)</f>
        <v>0</v>
      </c>
      <c r="Z29" s="45">
        <f>_xlfn.IFS('Prepare Gantt Chart'!AM28=6,'Project types'!$O29*('Prepare Gantt Chart'!$I28*'Prepare Gantt Chart'!$J28),'Prepare Gantt Chart'!AM28=5,'Project types'!$Q29*('Prepare Gantt Chart'!$I28*'Prepare Gantt Chart'!$J28),'Prepare Gantt Chart'!AM28=0,0)</f>
        <v>0</v>
      </c>
      <c r="AA29" s="45">
        <f>_xlfn.IFS('Prepare Gantt Chart'!AN28=6,'Project types'!$O29*('Prepare Gantt Chart'!$I28*'Prepare Gantt Chart'!$J28),'Prepare Gantt Chart'!AN28=5,'Project types'!$Q29*('Prepare Gantt Chart'!$I28*'Prepare Gantt Chart'!$J28),'Prepare Gantt Chart'!AN28=0,0)</f>
        <v>0</v>
      </c>
      <c r="AB29" s="45">
        <f>_xlfn.IFS('Prepare Gantt Chart'!AO28=6,'Project types'!$O29*('Prepare Gantt Chart'!$I28*'Prepare Gantt Chart'!$J28),'Prepare Gantt Chart'!AO28=5,'Project types'!$Q29*('Prepare Gantt Chart'!$I28*'Prepare Gantt Chart'!$J28),'Prepare Gantt Chart'!AO28=0,0)</f>
        <v>0</v>
      </c>
      <c r="AC29" s="45">
        <f>'Prepare Gantt Chart'!J28*'Prepare Gantt Chart'!I28*(AD29/26)</f>
        <v>0</v>
      </c>
      <c r="AD29" s="46">
        <f t="shared" si="0"/>
        <v>0</v>
      </c>
      <c r="AE29" s="72">
        <f>IF('Prepare Gantt Chart'!$J28=0,0,SUM(C29:H29)/6/'Prepare Gantt Chart'!$J28)</f>
        <v>0</v>
      </c>
      <c r="AF29" s="72">
        <f>IF('Prepare Gantt Chart'!$J28=0,0,SUM(I29:M29)/5/'Prepare Gantt Chart'!$J28)</f>
        <v>0</v>
      </c>
      <c r="AG29" s="72">
        <f>IF('Prepare Gantt Chart'!$J28=0,0,SUM(N29:R29)/5/'Prepare Gantt Chart'!$J28)</f>
        <v>0</v>
      </c>
      <c r="AH29" s="72">
        <f>IF('Prepare Gantt Chart'!$J28=0,0,SUM(S29:W29)/5/'Prepare Gantt Chart'!$J28)</f>
        <v>0</v>
      </c>
      <c r="AI29" s="72">
        <f>IF('Prepare Gantt Chart'!$J28=0,0,SUM(X29:AB29)/5/'Prepare Gantt Chart'!$J28)</f>
        <v>0</v>
      </c>
      <c r="AK29" s="23" t="s">
        <v>28</v>
      </c>
      <c r="AL29" s="45">
        <f>_xlfn.IFS('Prepare Gantt Chart'!P28=6,'Project types'!$L29*('Prepare Gantt Chart'!$I28*'Prepare Gantt Chart'!$J28),'Prepare Gantt Chart'!P28=5,'Project types'!$L29*('Prepare Gantt Chart'!$I28*'Prepare Gantt Chart'!$J28),'Prepare Gantt Chart'!P28=0,0)</f>
        <v>0</v>
      </c>
      <c r="AM29" s="45">
        <f>_xlfn.IFS('Prepare Gantt Chart'!Q28=6,'Project types'!$L29*('Prepare Gantt Chart'!$I28*'Prepare Gantt Chart'!$J28),'Prepare Gantt Chart'!Q28=5,'Project types'!$L29*('Prepare Gantt Chart'!$I28*'Prepare Gantt Chart'!$J28),'Prepare Gantt Chart'!Q28=0,0)</f>
        <v>0</v>
      </c>
      <c r="AN29" s="45">
        <f>_xlfn.IFS('Prepare Gantt Chart'!R28=6,'Project types'!$L29*('Prepare Gantt Chart'!$I28*'Prepare Gantt Chart'!$J28),'Prepare Gantt Chart'!R28=5,'Project types'!$L29*('Prepare Gantt Chart'!$I28*'Prepare Gantt Chart'!$J28),'Prepare Gantt Chart'!R28=0,0)</f>
        <v>0</v>
      </c>
      <c r="AO29" s="45">
        <f>_xlfn.IFS('Prepare Gantt Chart'!S28=6,'Project types'!$L29*('Prepare Gantt Chart'!$I28*'Prepare Gantt Chart'!$J28),'Prepare Gantt Chart'!S28=5,'Project types'!$L29*('Prepare Gantt Chart'!$I28*'Prepare Gantt Chart'!$J28),'Prepare Gantt Chart'!S28=0,0)</f>
        <v>0</v>
      </c>
      <c r="AP29" s="45">
        <f>_xlfn.IFS('Prepare Gantt Chart'!T28=6,'Project types'!$L29*('Prepare Gantt Chart'!$I28*'Prepare Gantt Chart'!$J28),'Prepare Gantt Chart'!T28=5,'Project types'!$L29*('Prepare Gantt Chart'!$I28*'Prepare Gantt Chart'!$J28),'Prepare Gantt Chart'!T28=0,0)</f>
        <v>0</v>
      </c>
      <c r="AQ29" s="45">
        <f>_xlfn.IFS('Prepare Gantt Chart'!U28=6,'Project types'!$L29*('Prepare Gantt Chart'!$I28*'Prepare Gantt Chart'!$J28),'Prepare Gantt Chart'!U28=5,'Project types'!$L29*('Prepare Gantt Chart'!$I28*'Prepare Gantt Chart'!$J28),'Prepare Gantt Chart'!U28=0,0)</f>
        <v>0</v>
      </c>
      <c r="AR29" s="45">
        <f>_xlfn.IFS('Prepare Gantt Chart'!V28=6,'Project types'!$L29*('Prepare Gantt Chart'!$I28*'Prepare Gantt Chart'!$J28),'Prepare Gantt Chart'!V28=5,'Project types'!$L29*('Prepare Gantt Chart'!$I28*'Prepare Gantt Chart'!$J28),'Prepare Gantt Chart'!V28=0,0)</f>
        <v>0</v>
      </c>
      <c r="AS29" s="45">
        <f>_xlfn.IFS('Prepare Gantt Chart'!W28=6,'Project types'!$L29*('Prepare Gantt Chart'!$I28*'Prepare Gantt Chart'!$J28),'Prepare Gantt Chart'!W28=5,'Project types'!$L29*('Prepare Gantt Chart'!$I28*'Prepare Gantt Chart'!$J28),'Prepare Gantt Chart'!W28=0,0)</f>
        <v>0</v>
      </c>
      <c r="AT29" s="45">
        <f>_xlfn.IFS('Prepare Gantt Chart'!X28=6,'Project types'!$L29*('Prepare Gantt Chart'!$I28*'Prepare Gantt Chart'!$J28),'Prepare Gantt Chart'!X28=5,'Project types'!$L29*('Prepare Gantt Chart'!$I28*'Prepare Gantt Chart'!$J28),'Prepare Gantt Chart'!X28=0,0)</f>
        <v>0</v>
      </c>
      <c r="AU29" s="45">
        <f>_xlfn.IFS('Prepare Gantt Chart'!Y28=6,'Project types'!$L29*('Prepare Gantt Chart'!$I28*'Prepare Gantt Chart'!$J28),'Prepare Gantt Chart'!Y28=5,'Project types'!$L29*('Prepare Gantt Chart'!$I28*'Prepare Gantt Chart'!$J28),'Prepare Gantt Chart'!Y28=0,0)</f>
        <v>0</v>
      </c>
      <c r="AV29" s="45">
        <f>_xlfn.IFS('Prepare Gantt Chart'!Z28=6,'Project types'!$L29*('Prepare Gantt Chart'!$I28*'Prepare Gantt Chart'!$J28),'Prepare Gantt Chart'!Z28=5,'Project types'!$L29*('Prepare Gantt Chart'!$I28*'Prepare Gantt Chart'!$J28),'Prepare Gantt Chart'!Z28=0,0)</f>
        <v>0</v>
      </c>
      <c r="AW29" s="45">
        <f>_xlfn.IFS('Prepare Gantt Chart'!AA28=6,'Project types'!$L29*('Prepare Gantt Chart'!$I28*'Prepare Gantt Chart'!$J28),'Prepare Gantt Chart'!AA28=5,'Project types'!$L29*('Prepare Gantt Chart'!$I28*'Prepare Gantt Chart'!$J28),'Prepare Gantt Chart'!AA28=0,0)</f>
        <v>0</v>
      </c>
      <c r="AX29" s="45">
        <f>_xlfn.IFS('Prepare Gantt Chart'!AB28=6,'Project types'!$L29*('Prepare Gantt Chart'!$I28*'Prepare Gantt Chart'!$J28),'Prepare Gantt Chart'!AB28=5,'Project types'!$L29*('Prepare Gantt Chart'!$I28*'Prepare Gantt Chart'!$J28),'Prepare Gantt Chart'!AB28=0,0)</f>
        <v>0</v>
      </c>
      <c r="AY29" s="45">
        <f>_xlfn.IFS('Prepare Gantt Chart'!AC28=6,'Project types'!$L29*('Prepare Gantt Chart'!$I28*'Prepare Gantt Chart'!$J28),'Prepare Gantt Chart'!AC28=5,'Project types'!$L29*('Prepare Gantt Chart'!$I28*'Prepare Gantt Chart'!$J28),'Prepare Gantt Chart'!AC28=0,0)</f>
        <v>0</v>
      </c>
      <c r="AZ29" s="45">
        <f>_xlfn.IFS('Prepare Gantt Chart'!AD28=6,'Project types'!$L29*('Prepare Gantt Chart'!$I28*'Prepare Gantt Chart'!$J28),'Prepare Gantt Chart'!AD28=5,'Project types'!$L29*('Prepare Gantt Chart'!$I28*'Prepare Gantt Chart'!$J28),'Prepare Gantt Chart'!AD28=0,0)</f>
        <v>0</v>
      </c>
      <c r="BA29" s="45">
        <f>_xlfn.IFS('Prepare Gantt Chart'!AE28=6,'Project types'!$L29*('Prepare Gantt Chart'!$I28*'Prepare Gantt Chart'!$J28),'Prepare Gantt Chart'!AE28=5,'Project types'!$L29*('Prepare Gantt Chart'!$I28*'Prepare Gantt Chart'!$J28),'Prepare Gantt Chart'!AE28=0,0)</f>
        <v>0</v>
      </c>
      <c r="BB29" s="45">
        <f>_xlfn.IFS('Prepare Gantt Chart'!AF28=6,'Project types'!$L29*('Prepare Gantt Chart'!$I28*'Prepare Gantt Chart'!$J28),'Prepare Gantt Chart'!AF28=5,'Project types'!$L29*('Prepare Gantt Chart'!$I28*'Prepare Gantt Chart'!$J28),'Prepare Gantt Chart'!AF28=0,0)</f>
        <v>0</v>
      </c>
      <c r="BC29" s="45">
        <f>_xlfn.IFS('Prepare Gantt Chart'!AG28=6,'Project types'!$L29*('Prepare Gantt Chart'!$I28*'Prepare Gantt Chart'!$J28),'Prepare Gantt Chart'!AG28=5,'Project types'!$L29*('Prepare Gantt Chart'!$I28*'Prepare Gantt Chart'!$J28),'Prepare Gantt Chart'!AG28=0,0)</f>
        <v>0</v>
      </c>
      <c r="BD29" s="45">
        <f>_xlfn.IFS('Prepare Gantt Chart'!AH28=6,'Project types'!$L29*('Prepare Gantt Chart'!$I28*'Prepare Gantt Chart'!$J28),'Prepare Gantt Chart'!AH28=5,'Project types'!$L29*('Prepare Gantt Chart'!$I28*'Prepare Gantt Chart'!$J28),'Prepare Gantt Chart'!AH28=0,0)</f>
        <v>0</v>
      </c>
      <c r="BE29" s="45">
        <f>_xlfn.IFS('Prepare Gantt Chart'!AI28=6,'Project types'!$L29*('Prepare Gantt Chart'!$I28*'Prepare Gantt Chart'!$J28),'Prepare Gantt Chart'!AI28=5,'Project types'!$L29*('Prepare Gantt Chart'!$I28*'Prepare Gantt Chart'!$J28),'Prepare Gantt Chart'!AI28=0,0)</f>
        <v>0</v>
      </c>
      <c r="BF29" s="45">
        <f>_xlfn.IFS('Prepare Gantt Chart'!AJ28=6,'Project types'!$L29*('Prepare Gantt Chart'!$I28*'Prepare Gantt Chart'!$J28),'Prepare Gantt Chart'!AJ28=5,'Project types'!$L29*('Prepare Gantt Chart'!$I28*'Prepare Gantt Chart'!$J28),'Prepare Gantt Chart'!AJ28=0,0)</f>
        <v>0</v>
      </c>
      <c r="BG29" s="45">
        <f>_xlfn.IFS('Prepare Gantt Chart'!AK28=6,'Project types'!$L29*('Prepare Gantt Chart'!$I28*'Prepare Gantt Chart'!$J28),'Prepare Gantt Chart'!AK28=5,'Project types'!$L29*('Prepare Gantt Chart'!$I28*'Prepare Gantt Chart'!$J28),'Prepare Gantt Chart'!AK28=0,0)</f>
        <v>0</v>
      </c>
      <c r="BH29" s="45">
        <f>_xlfn.IFS('Prepare Gantt Chart'!AL28=6,'Project types'!$L29*('Prepare Gantt Chart'!$I28*'Prepare Gantt Chart'!$J28),'Prepare Gantt Chart'!AL28=5,'Project types'!$L29*('Prepare Gantt Chart'!$I28*'Prepare Gantt Chart'!$J28),'Prepare Gantt Chart'!AL28=0,0)</f>
        <v>0</v>
      </c>
      <c r="BI29" s="45">
        <f>_xlfn.IFS('Prepare Gantt Chart'!AM28=6,'Project types'!$L29*('Prepare Gantt Chart'!$I28*'Prepare Gantt Chart'!$J28),'Prepare Gantt Chart'!AM28=5,'Project types'!$L29*('Prepare Gantt Chart'!$I28*'Prepare Gantt Chart'!$J28),'Prepare Gantt Chart'!AM28=0,0)</f>
        <v>0</v>
      </c>
      <c r="BJ29" s="45">
        <f>_xlfn.IFS('Prepare Gantt Chart'!AN28=6,'Project types'!$L29*('Prepare Gantt Chart'!$I28*'Prepare Gantt Chart'!$J28),'Prepare Gantt Chart'!AN28=5,'Project types'!$L29*('Prepare Gantt Chart'!$I28*'Prepare Gantt Chart'!$J28),'Prepare Gantt Chart'!AN28=0,0)</f>
        <v>0</v>
      </c>
      <c r="BK29" s="45">
        <f>_xlfn.IFS('Prepare Gantt Chart'!AO28=6,'Project types'!$L29*('Prepare Gantt Chart'!$I28*'Prepare Gantt Chart'!$J28),'Prepare Gantt Chart'!AO28=5,'Project types'!$L29*('Prepare Gantt Chart'!$I28*'Prepare Gantt Chart'!$J28),'Prepare Gantt Chart'!AO28=0,0)</f>
        <v>0</v>
      </c>
      <c r="BL29" s="46">
        <f t="shared" si="1"/>
        <v>0</v>
      </c>
      <c r="BM29" s="75">
        <f>IF('Prepare Gantt Chart'!$J28=0,0,SUM(AL29:AQ29)/6/'Prepare Gantt Chart'!$J28)</f>
        <v>0</v>
      </c>
      <c r="BN29" s="75">
        <f>IF('Prepare Gantt Chart'!$J28=0,0,SUM(AR29:AV29)/5/'Prepare Gantt Chart'!$J28)</f>
        <v>0</v>
      </c>
      <c r="BO29" s="75">
        <f>IF('Prepare Gantt Chart'!$J28=0,0,SUM(AW29:BA29)/5/'Prepare Gantt Chart'!$J28)</f>
        <v>0</v>
      </c>
      <c r="BP29" s="75">
        <f>IF('Prepare Gantt Chart'!$J28=0,0,SUM(BB29:BF29)/5/'Prepare Gantt Chart'!$J28)</f>
        <v>0</v>
      </c>
      <c r="BQ29" s="75">
        <f>IF('Prepare Gantt Chart'!$J28=0,0,SUM(BG29:BK29)/5/'Prepare Gantt Chart'!$J28)</f>
        <v>0</v>
      </c>
    </row>
    <row r="30" spans="1:69" x14ac:dyDescent="0.2">
      <c r="A30" s="24" t="s">
        <v>29</v>
      </c>
      <c r="B30" s="1" t="s">
        <v>157</v>
      </c>
      <c r="C30" s="45">
        <f>_xlfn.IFS('Prepare Gantt Chart'!P29=6,'Project types'!$O30*('Prepare Gantt Chart'!$I29*'Prepare Gantt Chart'!$J29),'Prepare Gantt Chart'!P29=5,'Project types'!$Q30*('Prepare Gantt Chart'!$I29*'Prepare Gantt Chart'!$J29),'Prepare Gantt Chart'!P29=0,0)</f>
        <v>0</v>
      </c>
      <c r="D30" s="45">
        <f>_xlfn.IFS('Prepare Gantt Chart'!Q29=6,'Project types'!$O30*('Prepare Gantt Chart'!$I29*'Prepare Gantt Chart'!$J29),'Prepare Gantt Chart'!Q29=5,'Project types'!$Q30*('Prepare Gantt Chart'!$I29*'Prepare Gantt Chart'!$J29),'Prepare Gantt Chart'!Q29=0,0)</f>
        <v>0</v>
      </c>
      <c r="E30" s="45">
        <f>_xlfn.IFS('Prepare Gantt Chart'!R29=6,'Project types'!$O30*('Prepare Gantt Chart'!$I29*'Prepare Gantt Chart'!$J29),'Prepare Gantt Chart'!R29=5,'Project types'!$Q30*('Prepare Gantt Chart'!$I29*'Prepare Gantt Chart'!$J29),'Prepare Gantt Chart'!R29=0,0)</f>
        <v>0</v>
      </c>
      <c r="F30" s="45">
        <f>_xlfn.IFS('Prepare Gantt Chart'!S29=6,'Project types'!$O30*('Prepare Gantt Chart'!$I29*'Prepare Gantt Chart'!$J29),'Prepare Gantt Chart'!S29=5,'Project types'!$Q30*('Prepare Gantt Chart'!$I29*'Prepare Gantt Chart'!$J29),'Prepare Gantt Chart'!S29=0,0)</f>
        <v>0</v>
      </c>
      <c r="G30" s="45">
        <f>_xlfn.IFS('Prepare Gantt Chart'!T29=6,'Project types'!$O30*('Prepare Gantt Chart'!$I29*'Prepare Gantt Chart'!$J29),'Prepare Gantt Chart'!T29=5,'Project types'!$Q30*('Prepare Gantt Chart'!$I29*'Prepare Gantt Chart'!$J29),'Prepare Gantt Chart'!T29=0,0)</f>
        <v>0</v>
      </c>
      <c r="H30" s="45">
        <f>_xlfn.IFS('Prepare Gantt Chart'!U29=6,'Project types'!$O30*('Prepare Gantt Chart'!$I29*'Prepare Gantt Chart'!$J29),'Prepare Gantt Chart'!U29=5,'Project types'!$Q30*('Prepare Gantt Chart'!$I29*'Prepare Gantt Chart'!$J29),'Prepare Gantt Chart'!U29=0,0)</f>
        <v>0</v>
      </c>
      <c r="I30" s="45">
        <f>_xlfn.IFS('Prepare Gantt Chart'!V29=6,'Project types'!$O30*('Prepare Gantt Chart'!$I29*'Prepare Gantt Chart'!$J29),'Prepare Gantt Chart'!V29=5,'Project types'!$Q30*('Prepare Gantt Chart'!$I29*'Prepare Gantt Chart'!$J29),'Prepare Gantt Chart'!V29=0,0)</f>
        <v>0</v>
      </c>
      <c r="J30" s="45">
        <f>_xlfn.IFS('Prepare Gantt Chart'!W29=6,'Project types'!$O30*('Prepare Gantt Chart'!$I29*'Prepare Gantt Chart'!$J29),'Prepare Gantt Chart'!W29=5,'Project types'!$Q30*('Prepare Gantt Chart'!$I29*'Prepare Gantt Chart'!$J29),'Prepare Gantt Chart'!W29=0,0)</f>
        <v>0</v>
      </c>
      <c r="K30" s="45">
        <f>_xlfn.IFS('Prepare Gantt Chart'!X29=6,'Project types'!$O30*('Prepare Gantt Chart'!$I29*'Prepare Gantt Chart'!$J29),'Prepare Gantt Chart'!X29=5,'Project types'!$Q30*('Prepare Gantt Chart'!$I29*'Prepare Gantt Chart'!$J29),'Prepare Gantt Chart'!X29=0,0)</f>
        <v>0</v>
      </c>
      <c r="L30" s="45">
        <f>_xlfn.IFS('Prepare Gantt Chart'!Y29=6,'Project types'!$O30*('Prepare Gantt Chart'!$I29*'Prepare Gantt Chart'!$J29),'Prepare Gantt Chart'!Y29=5,'Project types'!$Q30*('Prepare Gantt Chart'!$I29*'Prepare Gantt Chart'!$J29),'Prepare Gantt Chart'!Y29=0,0)</f>
        <v>0</v>
      </c>
      <c r="M30" s="45">
        <f>_xlfn.IFS('Prepare Gantt Chart'!Z29=6,'Project types'!$O30*('Prepare Gantt Chart'!$I29*'Prepare Gantt Chart'!$J29),'Prepare Gantt Chart'!Z29=5,'Project types'!$Q30*('Prepare Gantt Chart'!$I29*'Prepare Gantt Chart'!$J29),'Prepare Gantt Chart'!Z29=0,0)</f>
        <v>0</v>
      </c>
      <c r="N30" s="45">
        <f>_xlfn.IFS('Prepare Gantt Chart'!AA29=6,'Project types'!$O30*('Prepare Gantt Chart'!$I29*'Prepare Gantt Chart'!$J29),'Prepare Gantt Chart'!AA29=5,'Project types'!$Q30*('Prepare Gantt Chart'!$I29*'Prepare Gantt Chart'!$J29),'Prepare Gantt Chart'!AA29=0,0)</f>
        <v>0</v>
      </c>
      <c r="O30" s="45">
        <f>_xlfn.IFS('Prepare Gantt Chart'!AB29=6,'Project types'!$O30*('Prepare Gantt Chart'!$I29*'Prepare Gantt Chart'!$J29),'Prepare Gantt Chart'!AB29=5,'Project types'!$Q30*('Prepare Gantt Chart'!$I29*'Prepare Gantt Chart'!$J29),'Prepare Gantt Chart'!AB29=0,0)</f>
        <v>0</v>
      </c>
      <c r="P30" s="45">
        <f>_xlfn.IFS('Prepare Gantt Chart'!AC29=6,'Project types'!$O30*('Prepare Gantt Chart'!$I29*'Prepare Gantt Chart'!$J29),'Prepare Gantt Chart'!AC29=5,'Project types'!$Q30*('Prepare Gantt Chart'!$I29*'Prepare Gantt Chart'!$J29),'Prepare Gantt Chart'!AC29=0,0)</f>
        <v>0</v>
      </c>
      <c r="Q30" s="45">
        <f>_xlfn.IFS('Prepare Gantt Chart'!AD29=6,'Project types'!$O30*('Prepare Gantt Chart'!$I29*'Prepare Gantt Chart'!$J29),'Prepare Gantt Chart'!AD29=5,'Project types'!$Q30*('Prepare Gantt Chart'!$I29*'Prepare Gantt Chart'!$J29),'Prepare Gantt Chart'!AD29=0,0)</f>
        <v>0</v>
      </c>
      <c r="R30" s="45">
        <f>_xlfn.IFS('Prepare Gantt Chart'!AE29=6,'Project types'!$O30*('Prepare Gantt Chart'!$I29*'Prepare Gantt Chart'!$J29),'Prepare Gantt Chart'!AE29=5,'Project types'!$Q30*('Prepare Gantt Chart'!$I29*'Prepare Gantt Chart'!$J29),'Prepare Gantt Chart'!AE29=0,0)</f>
        <v>0</v>
      </c>
      <c r="S30" s="45">
        <f>_xlfn.IFS('Prepare Gantt Chart'!AF29=6,'Project types'!$O30*('Prepare Gantt Chart'!$I29*'Prepare Gantt Chart'!$J29),'Prepare Gantt Chart'!AF29=5,'Project types'!$Q30*('Prepare Gantt Chart'!$I29*'Prepare Gantt Chart'!$J29),'Prepare Gantt Chart'!AF29=0,0)</f>
        <v>0</v>
      </c>
      <c r="T30" s="45">
        <f>_xlfn.IFS('Prepare Gantt Chart'!AG29=6,'Project types'!$O30*('Prepare Gantt Chart'!$I29*'Prepare Gantt Chart'!$J29),'Prepare Gantt Chart'!AG29=5,'Project types'!$Q30*('Prepare Gantt Chart'!$I29*'Prepare Gantt Chart'!$J29),'Prepare Gantt Chart'!AG29=0,0)</f>
        <v>0</v>
      </c>
      <c r="U30" s="45">
        <f>_xlfn.IFS('Prepare Gantt Chart'!AH29=6,'Project types'!$O30*('Prepare Gantt Chart'!$I29*'Prepare Gantt Chart'!$J29),'Prepare Gantt Chart'!AH29=5,'Project types'!$Q30*('Prepare Gantt Chart'!$I29*'Prepare Gantt Chart'!$J29),'Prepare Gantt Chart'!AH29=0,0)</f>
        <v>0</v>
      </c>
      <c r="V30" s="45">
        <f>_xlfn.IFS('Prepare Gantt Chart'!AI29=6,'Project types'!$O30*('Prepare Gantt Chart'!$I29*'Prepare Gantt Chart'!$J29),'Prepare Gantt Chart'!AI29=5,'Project types'!$Q30*('Prepare Gantt Chart'!$I29*'Prepare Gantt Chart'!$J29),'Prepare Gantt Chart'!AI29=0,0)</f>
        <v>0</v>
      </c>
      <c r="W30" s="45">
        <f>_xlfn.IFS('Prepare Gantt Chart'!AJ29=6,'Project types'!$O30*('Prepare Gantt Chart'!$I29*'Prepare Gantt Chart'!$J29),'Prepare Gantt Chart'!AJ29=5,'Project types'!$Q30*('Prepare Gantt Chart'!$I29*'Prepare Gantt Chart'!$J29),'Prepare Gantt Chart'!AJ29=0,0)</f>
        <v>0</v>
      </c>
      <c r="X30" s="45">
        <f>_xlfn.IFS('Prepare Gantt Chart'!AK29=6,'Project types'!$O30*('Prepare Gantt Chart'!$I29*'Prepare Gantt Chart'!$J29),'Prepare Gantt Chart'!AK29=5,'Project types'!$Q30*('Prepare Gantt Chart'!$I29*'Prepare Gantt Chart'!$J29),'Prepare Gantt Chart'!AK29=0,0)</f>
        <v>0</v>
      </c>
      <c r="Y30" s="45">
        <f>_xlfn.IFS('Prepare Gantt Chart'!AL29=6,'Project types'!$O30*('Prepare Gantt Chart'!$I29*'Prepare Gantt Chart'!$J29),'Prepare Gantt Chart'!AL29=5,'Project types'!$Q30*('Prepare Gantt Chart'!$I29*'Prepare Gantt Chart'!$J29),'Prepare Gantt Chart'!AL29=0,0)</f>
        <v>0</v>
      </c>
      <c r="Z30" s="45">
        <f>_xlfn.IFS('Prepare Gantt Chart'!AM29=6,'Project types'!$O30*('Prepare Gantt Chart'!$I29*'Prepare Gantt Chart'!$J29),'Prepare Gantt Chart'!AM29=5,'Project types'!$Q30*('Prepare Gantt Chart'!$I29*'Prepare Gantt Chart'!$J29),'Prepare Gantt Chart'!AM29=0,0)</f>
        <v>0</v>
      </c>
      <c r="AA30" s="45">
        <f>_xlfn.IFS('Prepare Gantt Chart'!AN29=6,'Project types'!$O30*('Prepare Gantt Chart'!$I29*'Prepare Gantt Chart'!$J29),'Prepare Gantt Chart'!AN29=5,'Project types'!$Q30*('Prepare Gantt Chart'!$I29*'Prepare Gantt Chart'!$J29),'Prepare Gantt Chart'!AN29=0,0)</f>
        <v>0</v>
      </c>
      <c r="AB30" s="45">
        <f>_xlfn.IFS('Prepare Gantt Chart'!AO29=6,'Project types'!$O30*('Prepare Gantt Chart'!$I29*'Prepare Gantt Chart'!$J29),'Prepare Gantt Chart'!AO29=5,'Project types'!$Q30*('Prepare Gantt Chart'!$I29*'Prepare Gantt Chart'!$J29),'Prepare Gantt Chart'!AO29=0,0)</f>
        <v>0</v>
      </c>
      <c r="AC30" s="45">
        <f>'Prepare Gantt Chart'!J29*'Prepare Gantt Chart'!I29*(AD30/26)</f>
        <v>0</v>
      </c>
      <c r="AD30" s="46">
        <f t="shared" si="0"/>
        <v>0</v>
      </c>
      <c r="AE30" s="72">
        <f>IF('Prepare Gantt Chart'!$J29=0,0,SUM(C30:H30)/6/'Prepare Gantt Chart'!$J29)</f>
        <v>0</v>
      </c>
      <c r="AF30" s="72">
        <f>IF('Prepare Gantt Chart'!$J29=0,0,SUM(I30:M30)/5/'Prepare Gantt Chart'!$J29)</f>
        <v>0</v>
      </c>
      <c r="AG30" s="72">
        <f>IF('Prepare Gantt Chart'!$J29=0,0,SUM(N30:R30)/5/'Prepare Gantt Chart'!$J29)</f>
        <v>0</v>
      </c>
      <c r="AH30" s="72">
        <f>IF('Prepare Gantt Chart'!$J29=0,0,SUM(S30:W30)/5/'Prepare Gantt Chart'!$J29)</f>
        <v>0</v>
      </c>
      <c r="AI30" s="72">
        <f>IF('Prepare Gantt Chart'!$J29=0,0,SUM(X30:AB30)/5/'Prepare Gantt Chart'!$J29)</f>
        <v>0</v>
      </c>
      <c r="AK30" s="24" t="s">
        <v>29</v>
      </c>
      <c r="AL30" s="45">
        <f>_xlfn.IFS('Prepare Gantt Chart'!P29=6,'Project types'!$L30*('Prepare Gantt Chart'!$I29*'Prepare Gantt Chart'!$J29),'Prepare Gantt Chart'!P29=5,'Project types'!$L30*('Prepare Gantt Chart'!$I29*'Prepare Gantt Chart'!$J29),'Prepare Gantt Chart'!P29=0,0)</f>
        <v>0</v>
      </c>
      <c r="AM30" s="45">
        <f>_xlfn.IFS('Prepare Gantt Chart'!Q29=6,'Project types'!$L30*('Prepare Gantt Chart'!$I29*'Prepare Gantt Chart'!$J29),'Prepare Gantt Chart'!Q29=5,'Project types'!$L30*('Prepare Gantt Chart'!$I29*'Prepare Gantt Chart'!$J29),'Prepare Gantt Chart'!Q29=0,0)</f>
        <v>0</v>
      </c>
      <c r="AN30" s="45">
        <f>_xlfn.IFS('Prepare Gantt Chart'!R29=6,'Project types'!$L30*('Prepare Gantt Chart'!$I29*'Prepare Gantt Chart'!$J29),'Prepare Gantt Chart'!R29=5,'Project types'!$L30*('Prepare Gantt Chart'!$I29*'Prepare Gantt Chart'!$J29),'Prepare Gantt Chart'!R29=0,0)</f>
        <v>0</v>
      </c>
      <c r="AO30" s="45">
        <f>_xlfn.IFS('Prepare Gantt Chart'!S29=6,'Project types'!$L30*('Prepare Gantt Chart'!$I29*'Prepare Gantt Chart'!$J29),'Prepare Gantt Chart'!S29=5,'Project types'!$L30*('Prepare Gantt Chart'!$I29*'Prepare Gantt Chart'!$J29),'Prepare Gantt Chart'!S29=0,0)</f>
        <v>0</v>
      </c>
      <c r="AP30" s="45">
        <f>_xlfn.IFS('Prepare Gantt Chart'!T29=6,'Project types'!$L30*('Prepare Gantt Chart'!$I29*'Prepare Gantt Chart'!$J29),'Prepare Gantt Chart'!T29=5,'Project types'!$L30*('Prepare Gantt Chart'!$I29*'Prepare Gantt Chart'!$J29),'Prepare Gantt Chart'!T29=0,0)</f>
        <v>0</v>
      </c>
      <c r="AQ30" s="45">
        <f>_xlfn.IFS('Prepare Gantt Chart'!U29=6,'Project types'!$L30*('Prepare Gantt Chart'!$I29*'Prepare Gantt Chart'!$J29),'Prepare Gantt Chart'!U29=5,'Project types'!$L30*('Prepare Gantt Chart'!$I29*'Prepare Gantt Chart'!$J29),'Prepare Gantt Chart'!U29=0,0)</f>
        <v>0</v>
      </c>
      <c r="AR30" s="45">
        <f>_xlfn.IFS('Prepare Gantt Chart'!V29=6,'Project types'!$L30*('Prepare Gantt Chart'!$I29*'Prepare Gantt Chart'!$J29),'Prepare Gantt Chart'!V29=5,'Project types'!$L30*('Prepare Gantt Chart'!$I29*'Prepare Gantt Chart'!$J29),'Prepare Gantt Chart'!V29=0,0)</f>
        <v>0</v>
      </c>
      <c r="AS30" s="45">
        <f>_xlfn.IFS('Prepare Gantt Chart'!W29=6,'Project types'!$L30*('Prepare Gantt Chart'!$I29*'Prepare Gantt Chart'!$J29),'Prepare Gantt Chart'!W29=5,'Project types'!$L30*('Prepare Gantt Chart'!$I29*'Prepare Gantt Chart'!$J29),'Prepare Gantt Chart'!W29=0,0)</f>
        <v>0</v>
      </c>
      <c r="AT30" s="45">
        <f>_xlfn.IFS('Prepare Gantt Chart'!X29=6,'Project types'!$L30*('Prepare Gantt Chart'!$I29*'Prepare Gantt Chart'!$J29),'Prepare Gantt Chart'!X29=5,'Project types'!$L30*('Prepare Gantt Chart'!$I29*'Prepare Gantt Chart'!$J29),'Prepare Gantt Chart'!X29=0,0)</f>
        <v>0</v>
      </c>
      <c r="AU30" s="45">
        <f>_xlfn.IFS('Prepare Gantt Chart'!Y29=6,'Project types'!$L30*('Prepare Gantt Chart'!$I29*'Prepare Gantt Chart'!$J29),'Prepare Gantt Chart'!Y29=5,'Project types'!$L30*('Prepare Gantt Chart'!$I29*'Prepare Gantt Chart'!$J29),'Prepare Gantt Chart'!Y29=0,0)</f>
        <v>0</v>
      </c>
      <c r="AV30" s="45">
        <f>_xlfn.IFS('Prepare Gantt Chart'!Z29=6,'Project types'!$L30*('Prepare Gantt Chart'!$I29*'Prepare Gantt Chart'!$J29),'Prepare Gantt Chart'!Z29=5,'Project types'!$L30*('Prepare Gantt Chart'!$I29*'Prepare Gantt Chart'!$J29),'Prepare Gantt Chart'!Z29=0,0)</f>
        <v>0</v>
      </c>
      <c r="AW30" s="45">
        <f>_xlfn.IFS('Prepare Gantt Chart'!AA29=6,'Project types'!$L30*('Prepare Gantt Chart'!$I29*'Prepare Gantt Chart'!$J29),'Prepare Gantt Chart'!AA29=5,'Project types'!$L30*('Prepare Gantt Chart'!$I29*'Prepare Gantt Chart'!$J29),'Prepare Gantt Chart'!AA29=0,0)</f>
        <v>0</v>
      </c>
      <c r="AX30" s="45">
        <f>_xlfn.IFS('Prepare Gantt Chart'!AB29=6,'Project types'!$L30*('Prepare Gantt Chart'!$I29*'Prepare Gantt Chart'!$J29),'Prepare Gantt Chart'!AB29=5,'Project types'!$L30*('Prepare Gantt Chart'!$I29*'Prepare Gantt Chart'!$J29),'Prepare Gantt Chart'!AB29=0,0)</f>
        <v>0</v>
      </c>
      <c r="AY30" s="45">
        <f>_xlfn.IFS('Prepare Gantt Chart'!AC29=6,'Project types'!$L30*('Prepare Gantt Chart'!$I29*'Prepare Gantt Chart'!$J29),'Prepare Gantt Chart'!AC29=5,'Project types'!$L30*('Prepare Gantt Chart'!$I29*'Prepare Gantt Chart'!$J29),'Prepare Gantt Chart'!AC29=0,0)</f>
        <v>0</v>
      </c>
      <c r="AZ30" s="45">
        <f>_xlfn.IFS('Prepare Gantt Chart'!AD29=6,'Project types'!$L30*('Prepare Gantt Chart'!$I29*'Prepare Gantt Chart'!$J29),'Prepare Gantt Chart'!AD29=5,'Project types'!$L30*('Prepare Gantt Chart'!$I29*'Prepare Gantt Chart'!$J29),'Prepare Gantt Chart'!AD29=0,0)</f>
        <v>0</v>
      </c>
      <c r="BA30" s="45">
        <f>_xlfn.IFS('Prepare Gantt Chart'!AE29=6,'Project types'!$L30*('Prepare Gantt Chart'!$I29*'Prepare Gantt Chart'!$J29),'Prepare Gantt Chart'!AE29=5,'Project types'!$L30*('Prepare Gantt Chart'!$I29*'Prepare Gantt Chart'!$J29),'Prepare Gantt Chart'!AE29=0,0)</f>
        <v>0</v>
      </c>
      <c r="BB30" s="45">
        <f>_xlfn.IFS('Prepare Gantt Chart'!AF29=6,'Project types'!$L30*('Prepare Gantt Chart'!$I29*'Prepare Gantt Chart'!$J29),'Prepare Gantt Chart'!AF29=5,'Project types'!$L30*('Prepare Gantt Chart'!$I29*'Prepare Gantt Chart'!$J29),'Prepare Gantt Chart'!AF29=0,0)</f>
        <v>0</v>
      </c>
      <c r="BC30" s="45">
        <f>_xlfn.IFS('Prepare Gantt Chart'!AG29=6,'Project types'!$L30*('Prepare Gantt Chart'!$I29*'Prepare Gantt Chart'!$J29),'Prepare Gantt Chart'!AG29=5,'Project types'!$L30*('Prepare Gantt Chart'!$I29*'Prepare Gantt Chart'!$J29),'Prepare Gantt Chart'!AG29=0,0)</f>
        <v>0</v>
      </c>
      <c r="BD30" s="45">
        <f>_xlfn.IFS('Prepare Gantt Chart'!AH29=6,'Project types'!$L30*('Prepare Gantt Chart'!$I29*'Prepare Gantt Chart'!$J29),'Prepare Gantt Chart'!AH29=5,'Project types'!$L30*('Prepare Gantt Chart'!$I29*'Prepare Gantt Chart'!$J29),'Prepare Gantt Chart'!AH29=0,0)</f>
        <v>0</v>
      </c>
      <c r="BE30" s="45">
        <f>_xlfn.IFS('Prepare Gantt Chart'!AI29=6,'Project types'!$L30*('Prepare Gantt Chart'!$I29*'Prepare Gantt Chart'!$J29),'Prepare Gantt Chart'!AI29=5,'Project types'!$L30*('Prepare Gantt Chart'!$I29*'Prepare Gantt Chart'!$J29),'Prepare Gantt Chart'!AI29=0,0)</f>
        <v>0</v>
      </c>
      <c r="BF30" s="45">
        <f>_xlfn.IFS('Prepare Gantt Chart'!AJ29=6,'Project types'!$L30*('Prepare Gantt Chart'!$I29*'Prepare Gantt Chart'!$J29),'Prepare Gantt Chart'!AJ29=5,'Project types'!$L30*('Prepare Gantt Chart'!$I29*'Prepare Gantt Chart'!$J29),'Prepare Gantt Chart'!AJ29=0,0)</f>
        <v>0</v>
      </c>
      <c r="BG30" s="45">
        <f>_xlfn.IFS('Prepare Gantt Chart'!AK29=6,'Project types'!$L30*('Prepare Gantt Chart'!$I29*'Prepare Gantt Chart'!$J29),'Prepare Gantt Chart'!AK29=5,'Project types'!$L30*('Prepare Gantt Chart'!$I29*'Prepare Gantt Chart'!$J29),'Prepare Gantt Chart'!AK29=0,0)</f>
        <v>0</v>
      </c>
      <c r="BH30" s="45">
        <f>_xlfn.IFS('Prepare Gantt Chart'!AL29=6,'Project types'!$L30*('Prepare Gantt Chart'!$I29*'Prepare Gantt Chart'!$J29),'Prepare Gantt Chart'!AL29=5,'Project types'!$L30*('Prepare Gantt Chart'!$I29*'Prepare Gantt Chart'!$J29),'Prepare Gantt Chart'!AL29=0,0)</f>
        <v>0</v>
      </c>
      <c r="BI30" s="45">
        <f>_xlfn.IFS('Prepare Gantt Chart'!AM29=6,'Project types'!$L30*('Prepare Gantt Chart'!$I29*'Prepare Gantt Chart'!$J29),'Prepare Gantt Chart'!AM29=5,'Project types'!$L30*('Prepare Gantt Chart'!$I29*'Prepare Gantt Chart'!$J29),'Prepare Gantt Chart'!AM29=0,0)</f>
        <v>0</v>
      </c>
      <c r="BJ30" s="45">
        <f>_xlfn.IFS('Prepare Gantt Chart'!AN29=6,'Project types'!$L30*('Prepare Gantt Chart'!$I29*'Prepare Gantt Chart'!$J29),'Prepare Gantt Chart'!AN29=5,'Project types'!$L30*('Prepare Gantt Chart'!$I29*'Prepare Gantt Chart'!$J29),'Prepare Gantt Chart'!AN29=0,0)</f>
        <v>0</v>
      </c>
      <c r="BK30" s="45">
        <f>_xlfn.IFS('Prepare Gantt Chart'!AO29=6,'Project types'!$L30*('Prepare Gantt Chart'!$I29*'Prepare Gantt Chart'!$J29),'Prepare Gantt Chart'!AO29=5,'Project types'!$L30*('Prepare Gantt Chart'!$I29*'Prepare Gantt Chart'!$J29),'Prepare Gantt Chart'!AO29=0,0)</f>
        <v>0</v>
      </c>
      <c r="BL30" s="46">
        <f t="shared" si="1"/>
        <v>0</v>
      </c>
      <c r="BM30" s="75">
        <f>IF('Prepare Gantt Chart'!$J29=0,0,SUM(AL30:AQ30)/6/'Prepare Gantt Chart'!$J29)</f>
        <v>0</v>
      </c>
      <c r="BN30" s="75">
        <f>IF('Prepare Gantt Chart'!$J29=0,0,SUM(AR30:AV30)/5/'Prepare Gantt Chart'!$J29)</f>
        <v>0</v>
      </c>
      <c r="BO30" s="75">
        <f>IF('Prepare Gantt Chart'!$J29=0,0,SUM(AW30:BA30)/5/'Prepare Gantt Chart'!$J29)</f>
        <v>0</v>
      </c>
      <c r="BP30" s="75">
        <f>IF('Prepare Gantt Chart'!$J29=0,0,SUM(BB30:BF30)/5/'Prepare Gantt Chart'!$J29)</f>
        <v>0</v>
      </c>
      <c r="BQ30" s="75">
        <f>IF('Prepare Gantt Chart'!$J29=0,0,SUM(BG30:BK30)/5/'Prepare Gantt Chart'!$J29)</f>
        <v>0</v>
      </c>
    </row>
    <row r="31" spans="1:69" x14ac:dyDescent="0.2">
      <c r="A31" s="24" t="s">
        <v>30</v>
      </c>
      <c r="B31" s="1" t="s">
        <v>392</v>
      </c>
      <c r="C31" s="45">
        <f>_xlfn.IFS('Prepare Gantt Chart'!P30=6,'Project types'!$O31*('Prepare Gantt Chart'!$I30*'Prepare Gantt Chart'!$J30),'Prepare Gantt Chart'!P30=5,'Project types'!$Q31*('Prepare Gantt Chart'!$I30*'Prepare Gantt Chart'!$J30),'Prepare Gantt Chart'!P30=0,0)</f>
        <v>0</v>
      </c>
      <c r="D31" s="45">
        <f>_xlfn.IFS('Prepare Gantt Chart'!Q30=6,'Project types'!$O31*('Prepare Gantt Chart'!$I30*'Prepare Gantt Chart'!$J30),'Prepare Gantt Chart'!Q30=5,'Project types'!$Q31*('Prepare Gantt Chart'!$I30*'Prepare Gantt Chart'!$J30),'Prepare Gantt Chart'!Q30=0,0)</f>
        <v>0</v>
      </c>
      <c r="E31" s="45">
        <f>_xlfn.IFS('Prepare Gantt Chart'!R30=6,'Project types'!$O31*('Prepare Gantt Chart'!$I30*'Prepare Gantt Chart'!$J30),'Prepare Gantt Chart'!R30=5,'Project types'!$Q31*('Prepare Gantt Chart'!$I30*'Prepare Gantt Chart'!$J30),'Prepare Gantt Chart'!R30=0,0)</f>
        <v>0</v>
      </c>
      <c r="F31" s="45">
        <f>_xlfn.IFS('Prepare Gantt Chart'!S30=6,'Project types'!$O31*('Prepare Gantt Chart'!$I30*'Prepare Gantt Chart'!$J30),'Prepare Gantt Chart'!S30=5,'Project types'!$Q31*('Prepare Gantt Chart'!$I30*'Prepare Gantt Chart'!$J30),'Prepare Gantt Chart'!S30=0,0)</f>
        <v>0</v>
      </c>
      <c r="G31" s="45">
        <f>_xlfn.IFS('Prepare Gantt Chart'!T30=6,'Project types'!$O31*('Prepare Gantt Chart'!$I30*'Prepare Gantt Chart'!$J30),'Prepare Gantt Chart'!T30=5,'Project types'!$Q31*('Prepare Gantt Chart'!$I30*'Prepare Gantt Chart'!$J30),'Prepare Gantt Chart'!T30=0,0)</f>
        <v>0</v>
      </c>
      <c r="H31" s="45">
        <f>_xlfn.IFS('Prepare Gantt Chart'!U30=6,'Project types'!$O31*('Prepare Gantt Chart'!$I30*'Prepare Gantt Chart'!$J30),'Prepare Gantt Chart'!U30=5,'Project types'!$Q31*('Prepare Gantt Chart'!$I30*'Prepare Gantt Chart'!$J30),'Prepare Gantt Chart'!U30=0,0)</f>
        <v>0</v>
      </c>
      <c r="I31" s="45">
        <f>_xlfn.IFS('Prepare Gantt Chart'!V30=6,'Project types'!$O31*('Prepare Gantt Chart'!$I30*'Prepare Gantt Chart'!$J30),'Prepare Gantt Chart'!V30=5,'Project types'!$Q31*('Prepare Gantt Chart'!$I30*'Prepare Gantt Chart'!$J30),'Prepare Gantt Chart'!V30=0,0)</f>
        <v>0</v>
      </c>
      <c r="J31" s="45">
        <f>_xlfn.IFS('Prepare Gantt Chart'!W30=6,'Project types'!$O31*('Prepare Gantt Chart'!$I30*'Prepare Gantt Chart'!$J30),'Prepare Gantt Chart'!W30=5,'Project types'!$Q31*('Prepare Gantt Chart'!$I30*'Prepare Gantt Chart'!$J30),'Prepare Gantt Chart'!W30=0,0)</f>
        <v>0</v>
      </c>
      <c r="K31" s="45">
        <f>_xlfn.IFS('Prepare Gantt Chart'!X30=6,'Project types'!$O31*('Prepare Gantt Chart'!$I30*'Prepare Gantt Chart'!$J30),'Prepare Gantt Chart'!X30=5,'Project types'!$Q31*('Prepare Gantt Chart'!$I30*'Prepare Gantt Chart'!$J30),'Prepare Gantt Chart'!X30=0,0)</f>
        <v>0</v>
      </c>
      <c r="L31" s="45">
        <f>_xlfn.IFS('Prepare Gantt Chart'!Y30=6,'Project types'!$O31*('Prepare Gantt Chart'!$I30*'Prepare Gantt Chart'!$J30),'Prepare Gantt Chart'!Y30=5,'Project types'!$Q31*('Prepare Gantt Chart'!$I30*'Prepare Gantt Chart'!$J30),'Prepare Gantt Chart'!Y30=0,0)</f>
        <v>0</v>
      </c>
      <c r="M31" s="45">
        <f>_xlfn.IFS('Prepare Gantt Chart'!Z30=6,'Project types'!$O31*('Prepare Gantt Chart'!$I30*'Prepare Gantt Chart'!$J30),'Prepare Gantt Chart'!Z30=5,'Project types'!$Q31*('Prepare Gantt Chart'!$I30*'Prepare Gantt Chart'!$J30),'Prepare Gantt Chart'!Z30=0,0)</f>
        <v>0</v>
      </c>
      <c r="N31" s="45">
        <f>_xlfn.IFS('Prepare Gantt Chart'!AA30=6,'Project types'!$O31*('Prepare Gantt Chart'!$I30*'Prepare Gantt Chart'!$J30),'Prepare Gantt Chart'!AA30=5,'Project types'!$Q31*('Prepare Gantt Chart'!$I30*'Prepare Gantt Chart'!$J30),'Prepare Gantt Chart'!AA30=0,0)</f>
        <v>0</v>
      </c>
      <c r="O31" s="45">
        <f>_xlfn.IFS('Prepare Gantt Chart'!AB30=6,'Project types'!$O31*('Prepare Gantt Chart'!$I30*'Prepare Gantt Chart'!$J30),'Prepare Gantt Chart'!AB30=5,'Project types'!$Q31*('Prepare Gantt Chart'!$I30*'Prepare Gantt Chart'!$J30),'Prepare Gantt Chart'!AB30=0,0)</f>
        <v>0</v>
      </c>
      <c r="P31" s="45">
        <f>_xlfn.IFS('Prepare Gantt Chart'!AC30=6,'Project types'!$O31*('Prepare Gantt Chart'!$I30*'Prepare Gantt Chart'!$J30),'Prepare Gantt Chart'!AC30=5,'Project types'!$Q31*('Prepare Gantt Chart'!$I30*'Prepare Gantt Chart'!$J30),'Prepare Gantt Chart'!AC30=0,0)</f>
        <v>0</v>
      </c>
      <c r="Q31" s="45">
        <f>_xlfn.IFS('Prepare Gantt Chart'!AD30=6,'Project types'!$O31*('Prepare Gantt Chart'!$I30*'Prepare Gantt Chart'!$J30),'Prepare Gantt Chart'!AD30=5,'Project types'!$Q31*('Prepare Gantt Chart'!$I30*'Prepare Gantt Chart'!$J30),'Prepare Gantt Chart'!AD30=0,0)</f>
        <v>0</v>
      </c>
      <c r="R31" s="45">
        <f>_xlfn.IFS('Prepare Gantt Chart'!AE30=6,'Project types'!$O31*('Prepare Gantt Chart'!$I30*'Prepare Gantt Chart'!$J30),'Prepare Gantt Chart'!AE30=5,'Project types'!$Q31*('Prepare Gantt Chart'!$I30*'Prepare Gantt Chart'!$J30),'Prepare Gantt Chart'!AE30=0,0)</f>
        <v>0</v>
      </c>
      <c r="S31" s="45">
        <f>_xlfn.IFS('Prepare Gantt Chart'!AF30=6,'Project types'!$O31*('Prepare Gantt Chart'!$I30*'Prepare Gantt Chart'!$J30),'Prepare Gantt Chart'!AF30=5,'Project types'!$Q31*('Prepare Gantt Chart'!$I30*'Prepare Gantt Chart'!$J30),'Prepare Gantt Chart'!AF30=0,0)</f>
        <v>0</v>
      </c>
      <c r="T31" s="45">
        <f>_xlfn.IFS('Prepare Gantt Chart'!AG30=6,'Project types'!$O31*('Prepare Gantt Chart'!$I30*'Prepare Gantt Chart'!$J30),'Prepare Gantt Chart'!AG30=5,'Project types'!$Q31*('Prepare Gantt Chart'!$I30*'Prepare Gantt Chart'!$J30),'Prepare Gantt Chart'!AG30=0,0)</f>
        <v>0</v>
      </c>
      <c r="U31" s="45">
        <f>_xlfn.IFS('Prepare Gantt Chart'!AH30=6,'Project types'!$O31*('Prepare Gantt Chart'!$I30*'Prepare Gantt Chart'!$J30),'Prepare Gantt Chart'!AH30=5,'Project types'!$Q31*('Prepare Gantt Chart'!$I30*'Prepare Gantt Chart'!$J30),'Prepare Gantt Chart'!AH30=0,0)</f>
        <v>0</v>
      </c>
      <c r="V31" s="45">
        <f>_xlfn.IFS('Prepare Gantt Chart'!AI30=6,'Project types'!$O31*('Prepare Gantt Chart'!$I30*'Prepare Gantt Chart'!$J30),'Prepare Gantt Chart'!AI30=5,'Project types'!$Q31*('Prepare Gantt Chart'!$I30*'Prepare Gantt Chart'!$J30),'Prepare Gantt Chart'!AI30=0,0)</f>
        <v>0</v>
      </c>
      <c r="W31" s="45">
        <f>_xlfn.IFS('Prepare Gantt Chart'!AJ30=6,'Project types'!$O31*('Prepare Gantt Chart'!$I30*'Prepare Gantt Chart'!$J30),'Prepare Gantt Chart'!AJ30=5,'Project types'!$Q31*('Prepare Gantt Chart'!$I30*'Prepare Gantt Chart'!$J30),'Prepare Gantt Chart'!AJ30=0,0)</f>
        <v>0</v>
      </c>
      <c r="X31" s="45">
        <f>_xlfn.IFS('Prepare Gantt Chart'!AK30=6,'Project types'!$O31*('Prepare Gantt Chart'!$I30*'Prepare Gantt Chart'!$J30),'Prepare Gantt Chart'!AK30=5,'Project types'!$Q31*('Prepare Gantt Chart'!$I30*'Prepare Gantt Chart'!$J30),'Prepare Gantt Chart'!AK30=0,0)</f>
        <v>0</v>
      </c>
      <c r="Y31" s="45">
        <f>_xlfn.IFS('Prepare Gantt Chart'!AL30=6,'Project types'!$O31*('Prepare Gantt Chart'!$I30*'Prepare Gantt Chart'!$J30),'Prepare Gantt Chart'!AL30=5,'Project types'!$Q31*('Prepare Gantt Chart'!$I30*'Prepare Gantt Chart'!$J30),'Prepare Gantt Chart'!AL30=0,0)</f>
        <v>0</v>
      </c>
      <c r="Z31" s="45">
        <f>_xlfn.IFS('Prepare Gantt Chart'!AM30=6,'Project types'!$O31*('Prepare Gantt Chart'!$I30*'Prepare Gantt Chart'!$J30),'Prepare Gantt Chart'!AM30=5,'Project types'!$Q31*('Prepare Gantt Chart'!$I30*'Prepare Gantt Chart'!$J30),'Prepare Gantt Chart'!AM30=0,0)</f>
        <v>0</v>
      </c>
      <c r="AA31" s="45">
        <f>_xlfn.IFS('Prepare Gantt Chart'!AN30=6,'Project types'!$O31*('Prepare Gantt Chart'!$I30*'Prepare Gantt Chart'!$J30),'Prepare Gantt Chart'!AN30=5,'Project types'!$Q31*('Prepare Gantt Chart'!$I30*'Prepare Gantt Chart'!$J30),'Prepare Gantt Chart'!AN30=0,0)</f>
        <v>0</v>
      </c>
      <c r="AB31" s="45">
        <f>_xlfn.IFS('Prepare Gantt Chart'!AO30=6,'Project types'!$O31*('Prepare Gantt Chart'!$I30*'Prepare Gantt Chart'!$J30),'Prepare Gantt Chart'!AO30=5,'Project types'!$Q31*('Prepare Gantt Chart'!$I30*'Prepare Gantt Chart'!$J30),'Prepare Gantt Chart'!AO30=0,0)</f>
        <v>0</v>
      </c>
      <c r="AC31" s="45">
        <f>'Prepare Gantt Chart'!J30*'Prepare Gantt Chart'!I30*(AD31/26)</f>
        <v>0</v>
      </c>
      <c r="AD31" s="46">
        <f t="shared" si="0"/>
        <v>0</v>
      </c>
      <c r="AE31" s="72">
        <f>IF('Prepare Gantt Chart'!$J30=0,0,SUM(C31:H31)/6/'Prepare Gantt Chart'!$J30)</f>
        <v>0</v>
      </c>
      <c r="AF31" s="72">
        <f>IF('Prepare Gantt Chart'!$J30=0,0,SUM(I31:M31)/5/'Prepare Gantt Chart'!$J30)</f>
        <v>0</v>
      </c>
      <c r="AG31" s="72">
        <f>IF('Prepare Gantt Chart'!$J30=0,0,SUM(N31:R31)/5/'Prepare Gantt Chart'!$J30)</f>
        <v>0</v>
      </c>
      <c r="AH31" s="72">
        <f>IF('Prepare Gantt Chart'!$J30=0,0,SUM(S31:W31)/5/'Prepare Gantt Chart'!$J30)</f>
        <v>0</v>
      </c>
      <c r="AI31" s="72">
        <f>IF('Prepare Gantt Chart'!$J30=0,0,SUM(X31:AB31)/5/'Prepare Gantt Chart'!$J30)</f>
        <v>0</v>
      </c>
      <c r="AK31" s="24" t="s">
        <v>30</v>
      </c>
      <c r="AL31" s="45">
        <f>_xlfn.IFS('Prepare Gantt Chart'!P30=6,'Project types'!$L31*('Prepare Gantt Chart'!$I30*'Prepare Gantt Chart'!$J30),'Prepare Gantt Chart'!P30=5,'Project types'!$L31*('Prepare Gantt Chart'!$I30*'Prepare Gantt Chart'!$J30),'Prepare Gantt Chart'!P30=0,0)</f>
        <v>0</v>
      </c>
      <c r="AM31" s="45">
        <f>_xlfn.IFS('Prepare Gantt Chart'!Q30=6,'Project types'!$L31*('Prepare Gantt Chart'!$I30*'Prepare Gantt Chart'!$J30),'Prepare Gantt Chart'!Q30=5,'Project types'!$L31*('Prepare Gantt Chart'!$I30*'Prepare Gantt Chart'!$J30),'Prepare Gantt Chart'!Q30=0,0)</f>
        <v>0</v>
      </c>
      <c r="AN31" s="45">
        <f>_xlfn.IFS('Prepare Gantt Chart'!R30=6,'Project types'!$L31*('Prepare Gantt Chart'!$I30*'Prepare Gantt Chart'!$J30),'Prepare Gantt Chart'!R30=5,'Project types'!$L31*('Prepare Gantt Chart'!$I30*'Prepare Gantt Chart'!$J30),'Prepare Gantt Chart'!R30=0,0)</f>
        <v>0</v>
      </c>
      <c r="AO31" s="45">
        <f>_xlfn.IFS('Prepare Gantt Chart'!S30=6,'Project types'!$L31*('Prepare Gantt Chart'!$I30*'Prepare Gantt Chart'!$J30),'Prepare Gantt Chart'!S30=5,'Project types'!$L31*('Prepare Gantt Chart'!$I30*'Prepare Gantt Chart'!$J30),'Prepare Gantt Chart'!S30=0,0)</f>
        <v>0</v>
      </c>
      <c r="AP31" s="45">
        <f>_xlfn.IFS('Prepare Gantt Chart'!T30=6,'Project types'!$L31*('Prepare Gantt Chart'!$I30*'Prepare Gantt Chart'!$J30),'Prepare Gantt Chart'!T30=5,'Project types'!$L31*('Prepare Gantt Chart'!$I30*'Prepare Gantt Chart'!$J30),'Prepare Gantt Chart'!T30=0,0)</f>
        <v>0</v>
      </c>
      <c r="AQ31" s="45">
        <f>_xlfn.IFS('Prepare Gantt Chart'!U30=6,'Project types'!$L31*('Prepare Gantt Chart'!$I30*'Prepare Gantt Chart'!$J30),'Prepare Gantt Chart'!U30=5,'Project types'!$L31*('Prepare Gantt Chart'!$I30*'Prepare Gantt Chart'!$J30),'Prepare Gantt Chart'!U30=0,0)</f>
        <v>0</v>
      </c>
      <c r="AR31" s="45">
        <f>_xlfn.IFS('Prepare Gantt Chart'!V30=6,'Project types'!$L31*('Prepare Gantt Chart'!$I30*'Prepare Gantt Chart'!$J30),'Prepare Gantt Chart'!V30=5,'Project types'!$L31*('Prepare Gantt Chart'!$I30*'Prepare Gantt Chart'!$J30),'Prepare Gantt Chart'!V30=0,0)</f>
        <v>0</v>
      </c>
      <c r="AS31" s="45">
        <f>_xlfn.IFS('Prepare Gantt Chart'!W30=6,'Project types'!$L31*('Prepare Gantt Chart'!$I30*'Prepare Gantt Chart'!$J30),'Prepare Gantt Chart'!W30=5,'Project types'!$L31*('Prepare Gantt Chart'!$I30*'Prepare Gantt Chart'!$J30),'Prepare Gantt Chart'!W30=0,0)</f>
        <v>0</v>
      </c>
      <c r="AT31" s="45">
        <f>_xlfn.IFS('Prepare Gantt Chart'!X30=6,'Project types'!$L31*('Prepare Gantt Chart'!$I30*'Prepare Gantt Chart'!$J30),'Prepare Gantt Chart'!X30=5,'Project types'!$L31*('Prepare Gantt Chart'!$I30*'Prepare Gantt Chart'!$J30),'Prepare Gantt Chart'!X30=0,0)</f>
        <v>0</v>
      </c>
      <c r="AU31" s="45">
        <f>_xlfn.IFS('Prepare Gantt Chart'!Y30=6,'Project types'!$L31*('Prepare Gantt Chart'!$I30*'Prepare Gantt Chart'!$J30),'Prepare Gantt Chart'!Y30=5,'Project types'!$L31*('Prepare Gantt Chart'!$I30*'Prepare Gantt Chart'!$J30),'Prepare Gantt Chart'!Y30=0,0)</f>
        <v>0</v>
      </c>
      <c r="AV31" s="45">
        <f>_xlfn.IFS('Prepare Gantt Chart'!Z30=6,'Project types'!$L31*('Prepare Gantt Chart'!$I30*'Prepare Gantt Chart'!$J30),'Prepare Gantt Chart'!Z30=5,'Project types'!$L31*('Prepare Gantt Chart'!$I30*'Prepare Gantt Chart'!$J30),'Prepare Gantt Chart'!Z30=0,0)</f>
        <v>0</v>
      </c>
      <c r="AW31" s="45">
        <f>_xlfn.IFS('Prepare Gantt Chart'!AA30=6,'Project types'!$L31*('Prepare Gantt Chart'!$I30*'Prepare Gantt Chart'!$J30),'Prepare Gantt Chart'!AA30=5,'Project types'!$L31*('Prepare Gantt Chart'!$I30*'Prepare Gantt Chart'!$J30),'Prepare Gantt Chart'!AA30=0,0)</f>
        <v>0</v>
      </c>
      <c r="AX31" s="45">
        <f>_xlfn.IFS('Prepare Gantt Chart'!AB30=6,'Project types'!$L31*('Prepare Gantt Chart'!$I30*'Prepare Gantt Chart'!$J30),'Prepare Gantt Chart'!AB30=5,'Project types'!$L31*('Prepare Gantt Chart'!$I30*'Prepare Gantt Chart'!$J30),'Prepare Gantt Chart'!AB30=0,0)</f>
        <v>0</v>
      </c>
      <c r="AY31" s="45">
        <f>_xlfn.IFS('Prepare Gantt Chart'!AC30=6,'Project types'!$L31*('Prepare Gantt Chart'!$I30*'Prepare Gantt Chart'!$J30),'Prepare Gantt Chart'!AC30=5,'Project types'!$L31*('Prepare Gantt Chart'!$I30*'Prepare Gantt Chart'!$J30),'Prepare Gantt Chart'!AC30=0,0)</f>
        <v>0</v>
      </c>
      <c r="AZ31" s="45">
        <f>_xlfn.IFS('Prepare Gantt Chart'!AD30=6,'Project types'!$L31*('Prepare Gantt Chart'!$I30*'Prepare Gantt Chart'!$J30),'Prepare Gantt Chart'!AD30=5,'Project types'!$L31*('Prepare Gantt Chart'!$I30*'Prepare Gantt Chart'!$J30),'Prepare Gantt Chart'!AD30=0,0)</f>
        <v>0</v>
      </c>
      <c r="BA31" s="45">
        <f>_xlfn.IFS('Prepare Gantt Chart'!AE30=6,'Project types'!$L31*('Prepare Gantt Chart'!$I30*'Prepare Gantt Chart'!$J30),'Prepare Gantt Chart'!AE30=5,'Project types'!$L31*('Prepare Gantt Chart'!$I30*'Prepare Gantt Chart'!$J30),'Prepare Gantt Chart'!AE30=0,0)</f>
        <v>0</v>
      </c>
      <c r="BB31" s="45">
        <f>_xlfn.IFS('Prepare Gantt Chart'!AF30=6,'Project types'!$L31*('Prepare Gantt Chart'!$I30*'Prepare Gantt Chart'!$J30),'Prepare Gantt Chart'!AF30=5,'Project types'!$L31*('Prepare Gantt Chart'!$I30*'Prepare Gantt Chart'!$J30),'Prepare Gantt Chart'!AF30=0,0)</f>
        <v>0</v>
      </c>
      <c r="BC31" s="45">
        <f>_xlfn.IFS('Prepare Gantt Chart'!AG30=6,'Project types'!$L31*('Prepare Gantt Chart'!$I30*'Prepare Gantt Chart'!$J30),'Prepare Gantt Chart'!AG30=5,'Project types'!$L31*('Prepare Gantt Chart'!$I30*'Prepare Gantt Chart'!$J30),'Prepare Gantt Chart'!AG30=0,0)</f>
        <v>0</v>
      </c>
      <c r="BD31" s="45">
        <f>_xlfn.IFS('Prepare Gantt Chart'!AH30=6,'Project types'!$L31*('Prepare Gantt Chart'!$I30*'Prepare Gantt Chart'!$J30),'Prepare Gantt Chart'!AH30=5,'Project types'!$L31*('Prepare Gantt Chart'!$I30*'Prepare Gantt Chart'!$J30),'Prepare Gantt Chart'!AH30=0,0)</f>
        <v>0</v>
      </c>
      <c r="BE31" s="45">
        <f>_xlfn.IFS('Prepare Gantt Chart'!AI30=6,'Project types'!$L31*('Prepare Gantt Chart'!$I30*'Prepare Gantt Chart'!$J30),'Prepare Gantt Chart'!AI30=5,'Project types'!$L31*('Prepare Gantt Chart'!$I30*'Prepare Gantt Chart'!$J30),'Prepare Gantt Chart'!AI30=0,0)</f>
        <v>0</v>
      </c>
      <c r="BF31" s="45">
        <f>_xlfn.IFS('Prepare Gantt Chart'!AJ30=6,'Project types'!$L31*('Prepare Gantt Chart'!$I30*'Prepare Gantt Chart'!$J30),'Prepare Gantt Chart'!AJ30=5,'Project types'!$L31*('Prepare Gantt Chart'!$I30*'Prepare Gantt Chart'!$J30),'Prepare Gantt Chart'!AJ30=0,0)</f>
        <v>0</v>
      </c>
      <c r="BG31" s="45">
        <f>_xlfn.IFS('Prepare Gantt Chart'!AK30=6,'Project types'!$L31*('Prepare Gantt Chart'!$I30*'Prepare Gantt Chart'!$J30),'Prepare Gantt Chart'!AK30=5,'Project types'!$L31*('Prepare Gantt Chart'!$I30*'Prepare Gantt Chart'!$J30),'Prepare Gantt Chart'!AK30=0,0)</f>
        <v>0</v>
      </c>
      <c r="BH31" s="45">
        <f>_xlfn.IFS('Prepare Gantt Chart'!AL30=6,'Project types'!$L31*('Prepare Gantt Chart'!$I30*'Prepare Gantt Chart'!$J30),'Prepare Gantt Chart'!AL30=5,'Project types'!$L31*('Prepare Gantt Chart'!$I30*'Prepare Gantt Chart'!$J30),'Prepare Gantt Chart'!AL30=0,0)</f>
        <v>0</v>
      </c>
      <c r="BI31" s="45">
        <f>_xlfn.IFS('Prepare Gantt Chart'!AM30=6,'Project types'!$L31*('Prepare Gantt Chart'!$I30*'Prepare Gantt Chart'!$J30),'Prepare Gantt Chart'!AM30=5,'Project types'!$L31*('Prepare Gantt Chart'!$I30*'Prepare Gantt Chart'!$J30),'Prepare Gantt Chart'!AM30=0,0)</f>
        <v>0</v>
      </c>
      <c r="BJ31" s="45">
        <f>_xlfn.IFS('Prepare Gantt Chart'!AN30=6,'Project types'!$L31*('Prepare Gantt Chart'!$I30*'Prepare Gantt Chart'!$J30),'Prepare Gantt Chart'!AN30=5,'Project types'!$L31*('Prepare Gantt Chart'!$I30*'Prepare Gantt Chart'!$J30),'Prepare Gantt Chart'!AN30=0,0)</f>
        <v>0</v>
      </c>
      <c r="BK31" s="45">
        <f>_xlfn.IFS('Prepare Gantt Chart'!AO30=6,'Project types'!$L31*('Prepare Gantt Chart'!$I30*'Prepare Gantt Chart'!$J30),'Prepare Gantt Chart'!AO30=5,'Project types'!$L31*('Prepare Gantt Chart'!$I30*'Prepare Gantt Chart'!$J30),'Prepare Gantt Chart'!AO30=0,0)</f>
        <v>0</v>
      </c>
      <c r="BL31" s="46">
        <f t="shared" si="1"/>
        <v>0</v>
      </c>
      <c r="BM31" s="75">
        <f>IF('Prepare Gantt Chart'!$J30=0,0,SUM(AL31:AQ31)/6/'Prepare Gantt Chart'!$J30)</f>
        <v>0</v>
      </c>
      <c r="BN31" s="75">
        <f>IF('Prepare Gantt Chart'!$J30=0,0,SUM(AR31:AV31)/5/'Prepare Gantt Chart'!$J30)</f>
        <v>0</v>
      </c>
      <c r="BO31" s="75">
        <f>IF('Prepare Gantt Chart'!$J30=0,0,SUM(AW31:BA31)/5/'Prepare Gantt Chart'!$J30)</f>
        <v>0</v>
      </c>
      <c r="BP31" s="75">
        <f>IF('Prepare Gantt Chart'!$J30=0,0,SUM(BB31:BF31)/5/'Prepare Gantt Chart'!$J30)</f>
        <v>0</v>
      </c>
      <c r="BQ31" s="75">
        <f>IF('Prepare Gantt Chart'!$J30=0,0,SUM(BG31:BK31)/5/'Prepare Gantt Chart'!$J30)</f>
        <v>0</v>
      </c>
    </row>
    <row r="32" spans="1:69" x14ac:dyDescent="0.2">
      <c r="A32" s="24" t="s">
        <v>31</v>
      </c>
      <c r="B32" s="1" t="s">
        <v>393</v>
      </c>
      <c r="C32" s="45">
        <f>_xlfn.IFS('Prepare Gantt Chart'!P31=6,'Project types'!$O32*('Prepare Gantt Chart'!$I31*'Prepare Gantt Chart'!$J31),'Prepare Gantt Chart'!P31=5,'Project types'!$Q32*('Prepare Gantt Chart'!$I31*'Prepare Gantt Chart'!$J31),'Prepare Gantt Chart'!P31=0,0)</f>
        <v>0</v>
      </c>
      <c r="D32" s="45">
        <f>_xlfn.IFS('Prepare Gantt Chart'!Q31=6,'Project types'!$O32*('Prepare Gantt Chart'!$I31*'Prepare Gantt Chart'!$J31),'Prepare Gantt Chart'!Q31=5,'Project types'!$Q32*('Prepare Gantt Chart'!$I31*'Prepare Gantt Chart'!$J31),'Prepare Gantt Chart'!Q31=0,0)</f>
        <v>0</v>
      </c>
      <c r="E32" s="45">
        <f>_xlfn.IFS('Prepare Gantt Chart'!R31=6,'Project types'!$O32*('Prepare Gantt Chart'!$I31*'Prepare Gantt Chart'!$J31),'Prepare Gantt Chart'!R31=5,'Project types'!$Q32*('Prepare Gantt Chart'!$I31*'Prepare Gantt Chart'!$J31),'Prepare Gantt Chart'!R31=0,0)</f>
        <v>0</v>
      </c>
      <c r="F32" s="45">
        <f>_xlfn.IFS('Prepare Gantt Chart'!S31=6,'Project types'!$O32*('Prepare Gantt Chart'!$I31*'Prepare Gantt Chart'!$J31),'Prepare Gantt Chart'!S31=5,'Project types'!$Q32*('Prepare Gantt Chart'!$I31*'Prepare Gantt Chart'!$J31),'Prepare Gantt Chart'!S31=0,0)</f>
        <v>0</v>
      </c>
      <c r="G32" s="45">
        <f>_xlfn.IFS('Prepare Gantt Chart'!T31=6,'Project types'!$O32*('Prepare Gantt Chart'!$I31*'Prepare Gantt Chart'!$J31),'Prepare Gantt Chart'!T31=5,'Project types'!$Q32*('Prepare Gantt Chart'!$I31*'Prepare Gantt Chart'!$J31),'Prepare Gantt Chart'!T31=0,0)</f>
        <v>0</v>
      </c>
      <c r="H32" s="45">
        <f>_xlfn.IFS('Prepare Gantt Chart'!U31=6,'Project types'!$O32*('Prepare Gantt Chart'!$I31*'Prepare Gantt Chart'!$J31),'Prepare Gantt Chart'!U31=5,'Project types'!$Q32*('Prepare Gantt Chart'!$I31*'Prepare Gantt Chart'!$J31),'Prepare Gantt Chart'!U31=0,0)</f>
        <v>0</v>
      </c>
      <c r="I32" s="45">
        <f>_xlfn.IFS('Prepare Gantt Chart'!V31=6,'Project types'!$O32*('Prepare Gantt Chart'!$I31*'Prepare Gantt Chart'!$J31),'Prepare Gantt Chart'!V31=5,'Project types'!$Q32*('Prepare Gantt Chart'!$I31*'Prepare Gantt Chart'!$J31),'Prepare Gantt Chart'!V31=0,0)</f>
        <v>0</v>
      </c>
      <c r="J32" s="45">
        <f>_xlfn.IFS('Prepare Gantt Chart'!W31=6,'Project types'!$O32*('Prepare Gantt Chart'!$I31*'Prepare Gantt Chart'!$J31),'Prepare Gantt Chart'!W31=5,'Project types'!$Q32*('Prepare Gantt Chart'!$I31*'Prepare Gantt Chart'!$J31),'Prepare Gantt Chart'!W31=0,0)</f>
        <v>0</v>
      </c>
      <c r="K32" s="45">
        <f>_xlfn.IFS('Prepare Gantt Chart'!X31=6,'Project types'!$O32*('Prepare Gantt Chart'!$I31*'Prepare Gantt Chart'!$J31),'Prepare Gantt Chart'!X31=5,'Project types'!$Q32*('Prepare Gantt Chart'!$I31*'Prepare Gantt Chart'!$J31),'Prepare Gantt Chart'!X31=0,0)</f>
        <v>0</v>
      </c>
      <c r="L32" s="45">
        <f>_xlfn.IFS('Prepare Gantt Chart'!Y31=6,'Project types'!$O32*('Prepare Gantt Chart'!$I31*'Prepare Gantt Chart'!$J31),'Prepare Gantt Chart'!Y31=5,'Project types'!$Q32*('Prepare Gantt Chart'!$I31*'Prepare Gantt Chart'!$J31),'Prepare Gantt Chart'!Y31=0,0)</f>
        <v>0</v>
      </c>
      <c r="M32" s="45">
        <f>_xlfn.IFS('Prepare Gantt Chart'!Z31=6,'Project types'!$O32*('Prepare Gantt Chart'!$I31*'Prepare Gantt Chart'!$J31),'Prepare Gantt Chart'!Z31=5,'Project types'!$Q32*('Prepare Gantt Chart'!$I31*'Prepare Gantt Chart'!$J31),'Prepare Gantt Chart'!Z31=0,0)</f>
        <v>0</v>
      </c>
      <c r="N32" s="45">
        <f>_xlfn.IFS('Prepare Gantt Chart'!AA31=6,'Project types'!$O32*('Prepare Gantt Chart'!$I31*'Prepare Gantt Chart'!$J31),'Prepare Gantt Chart'!AA31=5,'Project types'!$Q32*('Prepare Gantt Chart'!$I31*'Prepare Gantt Chart'!$J31),'Prepare Gantt Chart'!AA31=0,0)</f>
        <v>0</v>
      </c>
      <c r="O32" s="45">
        <f>_xlfn.IFS('Prepare Gantt Chart'!AB31=6,'Project types'!$O32*('Prepare Gantt Chart'!$I31*'Prepare Gantt Chart'!$J31),'Prepare Gantt Chart'!AB31=5,'Project types'!$Q32*('Prepare Gantt Chart'!$I31*'Prepare Gantt Chart'!$J31),'Prepare Gantt Chart'!AB31=0,0)</f>
        <v>0</v>
      </c>
      <c r="P32" s="45">
        <f>_xlfn.IFS('Prepare Gantt Chart'!AC31=6,'Project types'!$O32*('Prepare Gantt Chart'!$I31*'Prepare Gantt Chart'!$J31),'Prepare Gantt Chart'!AC31=5,'Project types'!$Q32*('Prepare Gantt Chart'!$I31*'Prepare Gantt Chart'!$J31),'Prepare Gantt Chart'!AC31=0,0)</f>
        <v>0</v>
      </c>
      <c r="Q32" s="45">
        <f>_xlfn.IFS('Prepare Gantt Chart'!AD31=6,'Project types'!$O32*('Prepare Gantt Chart'!$I31*'Prepare Gantt Chart'!$J31),'Prepare Gantt Chart'!AD31=5,'Project types'!$Q32*('Prepare Gantt Chart'!$I31*'Prepare Gantt Chart'!$J31),'Prepare Gantt Chart'!AD31=0,0)</f>
        <v>0</v>
      </c>
      <c r="R32" s="45">
        <f>_xlfn.IFS('Prepare Gantt Chart'!AE31=6,'Project types'!$O32*('Prepare Gantt Chart'!$I31*'Prepare Gantt Chart'!$J31),'Prepare Gantt Chart'!AE31=5,'Project types'!$Q32*('Prepare Gantt Chart'!$I31*'Prepare Gantt Chart'!$J31),'Prepare Gantt Chart'!AE31=0,0)</f>
        <v>0</v>
      </c>
      <c r="S32" s="45">
        <f>_xlfn.IFS('Prepare Gantt Chart'!AF31=6,'Project types'!$O32*('Prepare Gantt Chart'!$I31*'Prepare Gantt Chart'!$J31),'Prepare Gantt Chart'!AF31=5,'Project types'!$Q32*('Prepare Gantt Chart'!$I31*'Prepare Gantt Chart'!$J31),'Prepare Gantt Chart'!AF31=0,0)</f>
        <v>0</v>
      </c>
      <c r="T32" s="45">
        <f>_xlfn.IFS('Prepare Gantt Chart'!AG31=6,'Project types'!$O32*('Prepare Gantt Chart'!$I31*'Prepare Gantt Chart'!$J31),'Prepare Gantt Chart'!AG31=5,'Project types'!$Q32*('Prepare Gantt Chart'!$I31*'Prepare Gantt Chart'!$J31),'Prepare Gantt Chart'!AG31=0,0)</f>
        <v>0</v>
      </c>
      <c r="U32" s="45">
        <f>_xlfn.IFS('Prepare Gantt Chart'!AH31=6,'Project types'!$O32*('Prepare Gantt Chart'!$I31*'Prepare Gantt Chart'!$J31),'Prepare Gantt Chart'!AH31=5,'Project types'!$Q32*('Prepare Gantt Chart'!$I31*'Prepare Gantt Chart'!$J31),'Prepare Gantt Chart'!AH31=0,0)</f>
        <v>0</v>
      </c>
      <c r="V32" s="45">
        <f>_xlfn.IFS('Prepare Gantt Chart'!AI31=6,'Project types'!$O32*('Prepare Gantt Chart'!$I31*'Prepare Gantt Chart'!$J31),'Prepare Gantt Chart'!AI31=5,'Project types'!$Q32*('Prepare Gantt Chart'!$I31*'Prepare Gantt Chart'!$J31),'Prepare Gantt Chart'!AI31=0,0)</f>
        <v>0</v>
      </c>
      <c r="W32" s="45">
        <f>_xlfn.IFS('Prepare Gantt Chart'!AJ31=6,'Project types'!$O32*('Prepare Gantt Chart'!$I31*'Prepare Gantt Chart'!$J31),'Prepare Gantt Chart'!AJ31=5,'Project types'!$Q32*('Prepare Gantt Chart'!$I31*'Prepare Gantt Chart'!$J31),'Prepare Gantt Chart'!AJ31=0,0)</f>
        <v>0</v>
      </c>
      <c r="X32" s="45">
        <f>_xlfn.IFS('Prepare Gantt Chart'!AK31=6,'Project types'!$O32*('Prepare Gantt Chart'!$I31*'Prepare Gantt Chart'!$J31),'Prepare Gantt Chart'!AK31=5,'Project types'!$Q32*('Prepare Gantt Chart'!$I31*'Prepare Gantt Chart'!$J31),'Prepare Gantt Chart'!AK31=0,0)</f>
        <v>0</v>
      </c>
      <c r="Y32" s="45">
        <f>_xlfn.IFS('Prepare Gantt Chart'!AL31=6,'Project types'!$O32*('Prepare Gantt Chart'!$I31*'Prepare Gantt Chart'!$J31),'Prepare Gantt Chart'!AL31=5,'Project types'!$Q32*('Prepare Gantt Chart'!$I31*'Prepare Gantt Chart'!$J31),'Prepare Gantt Chart'!AL31=0,0)</f>
        <v>0</v>
      </c>
      <c r="Z32" s="45">
        <f>_xlfn.IFS('Prepare Gantt Chart'!AM31=6,'Project types'!$O32*('Prepare Gantt Chart'!$I31*'Prepare Gantt Chart'!$J31),'Prepare Gantt Chart'!AM31=5,'Project types'!$Q32*('Prepare Gantt Chart'!$I31*'Prepare Gantt Chart'!$J31),'Prepare Gantt Chart'!AM31=0,0)</f>
        <v>0</v>
      </c>
      <c r="AA32" s="45">
        <f>_xlfn.IFS('Prepare Gantt Chart'!AN31=6,'Project types'!$O32*('Prepare Gantt Chart'!$I31*'Prepare Gantt Chart'!$J31),'Prepare Gantt Chart'!AN31=5,'Project types'!$Q32*('Prepare Gantt Chart'!$I31*'Prepare Gantt Chart'!$J31),'Prepare Gantt Chart'!AN31=0,0)</f>
        <v>0</v>
      </c>
      <c r="AB32" s="45">
        <f>_xlfn.IFS('Prepare Gantt Chart'!AO31=6,'Project types'!$O32*('Prepare Gantt Chart'!$I31*'Prepare Gantt Chart'!$J31),'Prepare Gantt Chart'!AO31=5,'Project types'!$Q32*('Prepare Gantt Chart'!$I31*'Prepare Gantt Chart'!$J31),'Prepare Gantt Chart'!AO31=0,0)</f>
        <v>0</v>
      </c>
      <c r="AC32" s="45">
        <f>'Prepare Gantt Chart'!J31*'Prepare Gantt Chart'!I31*(AD32/26)</f>
        <v>0</v>
      </c>
      <c r="AD32" s="46">
        <f t="shared" si="0"/>
        <v>0</v>
      </c>
      <c r="AE32" s="72">
        <f>IF('Prepare Gantt Chart'!$J31=0,0,SUM(C32:H32)/6/'Prepare Gantt Chart'!$J31)</f>
        <v>0</v>
      </c>
      <c r="AF32" s="72">
        <f>IF('Prepare Gantt Chart'!$J31=0,0,SUM(I32:M32)/5/'Prepare Gantt Chart'!$J31)</f>
        <v>0</v>
      </c>
      <c r="AG32" s="72">
        <f>IF('Prepare Gantt Chart'!$J31=0,0,SUM(N32:R32)/5/'Prepare Gantt Chart'!$J31)</f>
        <v>0</v>
      </c>
      <c r="AH32" s="72">
        <f>IF('Prepare Gantt Chart'!$J31=0,0,SUM(S32:W32)/5/'Prepare Gantt Chart'!$J31)</f>
        <v>0</v>
      </c>
      <c r="AI32" s="72">
        <f>IF('Prepare Gantt Chart'!$J31=0,0,SUM(X32:AB32)/5/'Prepare Gantt Chart'!$J31)</f>
        <v>0</v>
      </c>
      <c r="AK32" s="24" t="s">
        <v>31</v>
      </c>
      <c r="AL32" s="45">
        <f>_xlfn.IFS('Prepare Gantt Chart'!P31=6,'Project types'!$L32*('Prepare Gantt Chart'!$I31*'Prepare Gantt Chart'!$J31),'Prepare Gantt Chart'!P31=5,'Project types'!$L32*('Prepare Gantt Chart'!$I31*'Prepare Gantt Chart'!$J31),'Prepare Gantt Chart'!P31=0,0)</f>
        <v>0</v>
      </c>
      <c r="AM32" s="45">
        <f>_xlfn.IFS('Prepare Gantt Chart'!Q31=6,'Project types'!$L32*('Prepare Gantt Chart'!$I31*'Prepare Gantt Chart'!$J31),'Prepare Gantt Chart'!Q31=5,'Project types'!$L32*('Prepare Gantt Chart'!$I31*'Prepare Gantt Chart'!$J31),'Prepare Gantt Chart'!Q31=0,0)</f>
        <v>0</v>
      </c>
      <c r="AN32" s="45">
        <f>_xlfn.IFS('Prepare Gantt Chart'!R31=6,'Project types'!$L32*('Prepare Gantt Chart'!$I31*'Prepare Gantt Chart'!$J31),'Prepare Gantt Chart'!R31=5,'Project types'!$L32*('Prepare Gantt Chart'!$I31*'Prepare Gantt Chart'!$J31),'Prepare Gantt Chart'!R31=0,0)</f>
        <v>0</v>
      </c>
      <c r="AO32" s="45">
        <f>_xlfn.IFS('Prepare Gantt Chart'!S31=6,'Project types'!$L32*('Prepare Gantt Chart'!$I31*'Prepare Gantt Chart'!$J31),'Prepare Gantt Chart'!S31=5,'Project types'!$L32*('Prepare Gantt Chart'!$I31*'Prepare Gantt Chart'!$J31),'Prepare Gantt Chart'!S31=0,0)</f>
        <v>0</v>
      </c>
      <c r="AP32" s="45">
        <f>_xlfn.IFS('Prepare Gantt Chart'!T31=6,'Project types'!$L32*('Prepare Gantt Chart'!$I31*'Prepare Gantt Chart'!$J31),'Prepare Gantt Chart'!T31=5,'Project types'!$L32*('Prepare Gantt Chart'!$I31*'Prepare Gantt Chart'!$J31),'Prepare Gantt Chart'!T31=0,0)</f>
        <v>0</v>
      </c>
      <c r="AQ32" s="45">
        <f>_xlfn.IFS('Prepare Gantt Chart'!U31=6,'Project types'!$L32*('Prepare Gantt Chart'!$I31*'Prepare Gantt Chart'!$J31),'Prepare Gantt Chart'!U31=5,'Project types'!$L32*('Prepare Gantt Chart'!$I31*'Prepare Gantt Chart'!$J31),'Prepare Gantt Chart'!U31=0,0)</f>
        <v>0</v>
      </c>
      <c r="AR32" s="45">
        <f>_xlfn.IFS('Prepare Gantt Chart'!V31=6,'Project types'!$L32*('Prepare Gantt Chart'!$I31*'Prepare Gantt Chart'!$J31),'Prepare Gantt Chart'!V31=5,'Project types'!$L32*('Prepare Gantt Chart'!$I31*'Prepare Gantt Chart'!$J31),'Prepare Gantt Chart'!V31=0,0)</f>
        <v>0</v>
      </c>
      <c r="AS32" s="45">
        <f>_xlfn.IFS('Prepare Gantt Chart'!W31=6,'Project types'!$L32*('Prepare Gantt Chart'!$I31*'Prepare Gantt Chart'!$J31),'Prepare Gantt Chart'!W31=5,'Project types'!$L32*('Prepare Gantt Chart'!$I31*'Prepare Gantt Chart'!$J31),'Prepare Gantt Chart'!W31=0,0)</f>
        <v>0</v>
      </c>
      <c r="AT32" s="45">
        <f>_xlfn.IFS('Prepare Gantt Chart'!X31=6,'Project types'!$L32*('Prepare Gantt Chart'!$I31*'Prepare Gantt Chart'!$J31),'Prepare Gantt Chart'!X31=5,'Project types'!$L32*('Prepare Gantt Chart'!$I31*'Prepare Gantt Chart'!$J31),'Prepare Gantt Chart'!X31=0,0)</f>
        <v>0</v>
      </c>
      <c r="AU32" s="45">
        <f>_xlfn.IFS('Prepare Gantt Chart'!Y31=6,'Project types'!$L32*('Prepare Gantt Chart'!$I31*'Prepare Gantt Chart'!$J31),'Prepare Gantt Chart'!Y31=5,'Project types'!$L32*('Prepare Gantt Chart'!$I31*'Prepare Gantt Chart'!$J31),'Prepare Gantt Chart'!Y31=0,0)</f>
        <v>0</v>
      </c>
      <c r="AV32" s="45">
        <f>_xlfn.IFS('Prepare Gantt Chart'!Z31=6,'Project types'!$L32*('Prepare Gantt Chart'!$I31*'Prepare Gantt Chart'!$J31),'Prepare Gantt Chart'!Z31=5,'Project types'!$L32*('Prepare Gantt Chart'!$I31*'Prepare Gantt Chart'!$J31),'Prepare Gantt Chart'!Z31=0,0)</f>
        <v>0</v>
      </c>
      <c r="AW32" s="45">
        <f>_xlfn.IFS('Prepare Gantt Chart'!AA31=6,'Project types'!$L32*('Prepare Gantt Chart'!$I31*'Prepare Gantt Chart'!$J31),'Prepare Gantt Chart'!AA31=5,'Project types'!$L32*('Prepare Gantt Chart'!$I31*'Prepare Gantt Chart'!$J31),'Prepare Gantt Chart'!AA31=0,0)</f>
        <v>0</v>
      </c>
      <c r="AX32" s="45">
        <f>_xlfn.IFS('Prepare Gantt Chart'!AB31=6,'Project types'!$L32*('Prepare Gantt Chart'!$I31*'Prepare Gantt Chart'!$J31),'Prepare Gantt Chart'!AB31=5,'Project types'!$L32*('Prepare Gantt Chart'!$I31*'Prepare Gantt Chart'!$J31),'Prepare Gantt Chart'!AB31=0,0)</f>
        <v>0</v>
      </c>
      <c r="AY32" s="45">
        <f>_xlfn.IFS('Prepare Gantt Chart'!AC31=6,'Project types'!$L32*('Prepare Gantt Chart'!$I31*'Prepare Gantt Chart'!$J31),'Prepare Gantt Chart'!AC31=5,'Project types'!$L32*('Prepare Gantt Chart'!$I31*'Prepare Gantt Chart'!$J31),'Prepare Gantt Chart'!AC31=0,0)</f>
        <v>0</v>
      </c>
      <c r="AZ32" s="45">
        <f>_xlfn.IFS('Prepare Gantt Chart'!AD31=6,'Project types'!$L32*('Prepare Gantt Chart'!$I31*'Prepare Gantt Chart'!$J31),'Prepare Gantt Chart'!AD31=5,'Project types'!$L32*('Prepare Gantt Chart'!$I31*'Prepare Gantt Chart'!$J31),'Prepare Gantt Chart'!AD31=0,0)</f>
        <v>0</v>
      </c>
      <c r="BA32" s="45">
        <f>_xlfn.IFS('Prepare Gantt Chart'!AE31=6,'Project types'!$L32*('Prepare Gantt Chart'!$I31*'Prepare Gantt Chart'!$J31),'Prepare Gantt Chart'!AE31=5,'Project types'!$L32*('Prepare Gantt Chart'!$I31*'Prepare Gantt Chart'!$J31),'Prepare Gantt Chart'!AE31=0,0)</f>
        <v>0</v>
      </c>
      <c r="BB32" s="45">
        <f>_xlfn.IFS('Prepare Gantt Chart'!AF31=6,'Project types'!$L32*('Prepare Gantt Chart'!$I31*'Prepare Gantt Chart'!$J31),'Prepare Gantt Chart'!AF31=5,'Project types'!$L32*('Prepare Gantt Chart'!$I31*'Prepare Gantt Chart'!$J31),'Prepare Gantt Chart'!AF31=0,0)</f>
        <v>0</v>
      </c>
      <c r="BC32" s="45">
        <f>_xlfn.IFS('Prepare Gantt Chart'!AG31=6,'Project types'!$L32*('Prepare Gantt Chart'!$I31*'Prepare Gantt Chart'!$J31),'Prepare Gantt Chart'!AG31=5,'Project types'!$L32*('Prepare Gantt Chart'!$I31*'Prepare Gantt Chart'!$J31),'Prepare Gantt Chart'!AG31=0,0)</f>
        <v>0</v>
      </c>
      <c r="BD32" s="45">
        <f>_xlfn.IFS('Prepare Gantt Chart'!AH31=6,'Project types'!$L32*('Prepare Gantt Chart'!$I31*'Prepare Gantt Chart'!$J31),'Prepare Gantt Chart'!AH31=5,'Project types'!$L32*('Prepare Gantt Chart'!$I31*'Prepare Gantt Chart'!$J31),'Prepare Gantt Chart'!AH31=0,0)</f>
        <v>0</v>
      </c>
      <c r="BE32" s="45">
        <f>_xlfn.IFS('Prepare Gantt Chart'!AI31=6,'Project types'!$L32*('Prepare Gantt Chart'!$I31*'Prepare Gantt Chart'!$J31),'Prepare Gantt Chart'!AI31=5,'Project types'!$L32*('Prepare Gantt Chart'!$I31*'Prepare Gantt Chart'!$J31),'Prepare Gantt Chart'!AI31=0,0)</f>
        <v>0</v>
      </c>
      <c r="BF32" s="45">
        <f>_xlfn.IFS('Prepare Gantt Chart'!AJ31=6,'Project types'!$L32*('Prepare Gantt Chart'!$I31*'Prepare Gantt Chart'!$J31),'Prepare Gantt Chart'!AJ31=5,'Project types'!$L32*('Prepare Gantt Chart'!$I31*'Prepare Gantt Chart'!$J31),'Prepare Gantt Chart'!AJ31=0,0)</f>
        <v>0</v>
      </c>
      <c r="BG32" s="45">
        <f>_xlfn.IFS('Prepare Gantt Chart'!AK31=6,'Project types'!$L32*('Prepare Gantt Chart'!$I31*'Prepare Gantt Chart'!$J31),'Prepare Gantt Chart'!AK31=5,'Project types'!$L32*('Prepare Gantt Chart'!$I31*'Prepare Gantt Chart'!$J31),'Prepare Gantt Chart'!AK31=0,0)</f>
        <v>0</v>
      </c>
      <c r="BH32" s="45">
        <f>_xlfn.IFS('Prepare Gantt Chart'!AL31=6,'Project types'!$L32*('Prepare Gantt Chart'!$I31*'Prepare Gantt Chart'!$J31),'Prepare Gantt Chart'!AL31=5,'Project types'!$L32*('Prepare Gantt Chart'!$I31*'Prepare Gantt Chart'!$J31),'Prepare Gantt Chart'!AL31=0,0)</f>
        <v>0</v>
      </c>
      <c r="BI32" s="45">
        <f>_xlfn.IFS('Prepare Gantt Chart'!AM31=6,'Project types'!$L32*('Prepare Gantt Chart'!$I31*'Prepare Gantt Chart'!$J31),'Prepare Gantt Chart'!AM31=5,'Project types'!$L32*('Prepare Gantt Chart'!$I31*'Prepare Gantt Chart'!$J31),'Prepare Gantt Chart'!AM31=0,0)</f>
        <v>0</v>
      </c>
      <c r="BJ32" s="45">
        <f>_xlfn.IFS('Prepare Gantt Chart'!AN31=6,'Project types'!$L32*('Prepare Gantt Chart'!$I31*'Prepare Gantt Chart'!$J31),'Prepare Gantt Chart'!AN31=5,'Project types'!$L32*('Prepare Gantt Chart'!$I31*'Prepare Gantt Chart'!$J31),'Prepare Gantt Chart'!AN31=0,0)</f>
        <v>0</v>
      </c>
      <c r="BK32" s="45">
        <f>_xlfn.IFS('Prepare Gantt Chart'!AO31=6,'Project types'!$L32*('Prepare Gantt Chart'!$I31*'Prepare Gantt Chart'!$J31),'Prepare Gantt Chart'!AO31=5,'Project types'!$L32*('Prepare Gantt Chart'!$I31*'Prepare Gantt Chart'!$J31),'Prepare Gantt Chart'!AO31=0,0)</f>
        <v>0</v>
      </c>
      <c r="BL32" s="46">
        <f t="shared" si="1"/>
        <v>0</v>
      </c>
      <c r="BM32" s="75">
        <f>IF('Prepare Gantt Chart'!$J31=0,0,SUM(AL32:AQ32)/6/'Prepare Gantt Chart'!$J31)</f>
        <v>0</v>
      </c>
      <c r="BN32" s="75">
        <f>IF('Prepare Gantt Chart'!$J31=0,0,SUM(AR32:AV32)/5/'Prepare Gantt Chart'!$J31)</f>
        <v>0</v>
      </c>
      <c r="BO32" s="75">
        <f>IF('Prepare Gantt Chart'!$J31=0,0,SUM(AW32:BA32)/5/'Prepare Gantt Chart'!$J31)</f>
        <v>0</v>
      </c>
      <c r="BP32" s="75">
        <f>IF('Prepare Gantt Chart'!$J31=0,0,SUM(BB32:BF32)/5/'Prepare Gantt Chart'!$J31)</f>
        <v>0</v>
      </c>
      <c r="BQ32" s="75">
        <f>IF('Prepare Gantt Chart'!$J31=0,0,SUM(BG32:BK32)/5/'Prepare Gantt Chart'!$J31)</f>
        <v>0</v>
      </c>
    </row>
    <row r="33" spans="1:69" x14ac:dyDescent="0.2">
      <c r="A33" s="24" t="s">
        <v>32</v>
      </c>
      <c r="B33" s="1" t="s">
        <v>394</v>
      </c>
      <c r="C33" s="45">
        <f>_xlfn.IFS('Prepare Gantt Chart'!P32=6,'Project types'!$O33*('Prepare Gantt Chart'!$I32*'Prepare Gantt Chart'!$J32),'Prepare Gantt Chart'!P32=5,'Project types'!$Q33*('Prepare Gantt Chart'!$I32*'Prepare Gantt Chart'!$J32),'Prepare Gantt Chart'!P32=0,0)</f>
        <v>0</v>
      </c>
      <c r="D33" s="45">
        <f>_xlfn.IFS('Prepare Gantt Chart'!Q32=6,'Project types'!$O33*('Prepare Gantt Chart'!$I32*'Prepare Gantt Chart'!$J32),'Prepare Gantt Chart'!Q32=5,'Project types'!$Q33*('Prepare Gantt Chart'!$I32*'Prepare Gantt Chart'!$J32),'Prepare Gantt Chart'!Q32=0,0)</f>
        <v>0</v>
      </c>
      <c r="E33" s="45">
        <f>_xlfn.IFS('Prepare Gantt Chart'!R32=6,'Project types'!$O33*('Prepare Gantt Chart'!$I32*'Prepare Gantt Chart'!$J32),'Prepare Gantt Chart'!R32=5,'Project types'!$Q33*('Prepare Gantt Chart'!$I32*'Prepare Gantt Chart'!$J32),'Prepare Gantt Chart'!R32=0,0)</f>
        <v>0</v>
      </c>
      <c r="F33" s="45">
        <f>_xlfn.IFS('Prepare Gantt Chart'!S32=6,'Project types'!$O33*('Prepare Gantt Chart'!$I32*'Prepare Gantt Chart'!$J32),'Prepare Gantt Chart'!S32=5,'Project types'!$Q33*('Prepare Gantt Chart'!$I32*'Prepare Gantt Chart'!$J32),'Prepare Gantt Chart'!S32=0,0)</f>
        <v>0</v>
      </c>
      <c r="G33" s="45">
        <f>_xlfn.IFS('Prepare Gantt Chart'!T32=6,'Project types'!$O33*('Prepare Gantt Chart'!$I32*'Prepare Gantt Chart'!$J32),'Prepare Gantt Chart'!T32=5,'Project types'!$Q33*('Prepare Gantt Chart'!$I32*'Prepare Gantt Chart'!$J32),'Prepare Gantt Chart'!T32=0,0)</f>
        <v>0</v>
      </c>
      <c r="H33" s="45">
        <f>_xlfn.IFS('Prepare Gantt Chart'!U32=6,'Project types'!$O33*('Prepare Gantt Chart'!$I32*'Prepare Gantt Chart'!$J32),'Prepare Gantt Chart'!U32=5,'Project types'!$Q33*('Prepare Gantt Chart'!$I32*'Prepare Gantt Chart'!$J32),'Prepare Gantt Chart'!U32=0,0)</f>
        <v>0</v>
      </c>
      <c r="I33" s="45">
        <f>_xlfn.IFS('Prepare Gantt Chart'!V32=6,'Project types'!$O33*('Prepare Gantt Chart'!$I32*'Prepare Gantt Chart'!$J32),'Prepare Gantt Chart'!V32=5,'Project types'!$Q33*('Prepare Gantt Chart'!$I32*'Prepare Gantt Chart'!$J32),'Prepare Gantt Chart'!V32=0,0)</f>
        <v>0</v>
      </c>
      <c r="J33" s="45">
        <f>_xlfn.IFS('Prepare Gantt Chart'!W32=6,'Project types'!$O33*('Prepare Gantt Chart'!$I32*'Prepare Gantt Chart'!$J32),'Prepare Gantt Chart'!W32=5,'Project types'!$Q33*('Prepare Gantt Chart'!$I32*'Prepare Gantt Chart'!$J32),'Prepare Gantt Chart'!W32=0,0)</f>
        <v>0</v>
      </c>
      <c r="K33" s="45">
        <f>_xlfn.IFS('Prepare Gantt Chart'!X32=6,'Project types'!$O33*('Prepare Gantt Chart'!$I32*'Prepare Gantt Chart'!$J32),'Prepare Gantt Chart'!X32=5,'Project types'!$Q33*('Prepare Gantt Chart'!$I32*'Prepare Gantt Chart'!$J32),'Prepare Gantt Chart'!X32=0,0)</f>
        <v>0</v>
      </c>
      <c r="L33" s="45">
        <f>_xlfn.IFS('Prepare Gantt Chart'!Y32=6,'Project types'!$O33*('Prepare Gantt Chart'!$I32*'Prepare Gantt Chart'!$J32),'Prepare Gantt Chart'!Y32=5,'Project types'!$Q33*('Prepare Gantt Chart'!$I32*'Prepare Gantt Chart'!$J32),'Prepare Gantt Chart'!Y32=0,0)</f>
        <v>0</v>
      </c>
      <c r="M33" s="45">
        <f>_xlfn.IFS('Prepare Gantt Chart'!Z32=6,'Project types'!$O33*('Prepare Gantt Chart'!$I32*'Prepare Gantt Chart'!$J32),'Prepare Gantt Chart'!Z32=5,'Project types'!$Q33*('Prepare Gantt Chart'!$I32*'Prepare Gantt Chart'!$J32),'Prepare Gantt Chart'!Z32=0,0)</f>
        <v>0</v>
      </c>
      <c r="N33" s="45">
        <f>_xlfn.IFS('Prepare Gantt Chart'!AA32=6,'Project types'!$O33*('Prepare Gantt Chart'!$I32*'Prepare Gantt Chart'!$J32),'Prepare Gantt Chart'!AA32=5,'Project types'!$Q33*('Prepare Gantt Chart'!$I32*'Prepare Gantt Chart'!$J32),'Prepare Gantt Chart'!AA32=0,0)</f>
        <v>0</v>
      </c>
      <c r="O33" s="45">
        <f>_xlfn.IFS('Prepare Gantt Chart'!AB32=6,'Project types'!$O33*('Prepare Gantt Chart'!$I32*'Prepare Gantt Chart'!$J32),'Prepare Gantt Chart'!AB32=5,'Project types'!$Q33*('Prepare Gantt Chart'!$I32*'Prepare Gantt Chart'!$J32),'Prepare Gantt Chart'!AB32=0,0)</f>
        <v>0</v>
      </c>
      <c r="P33" s="45">
        <f>_xlfn.IFS('Prepare Gantt Chart'!AC32=6,'Project types'!$O33*('Prepare Gantt Chart'!$I32*'Prepare Gantt Chart'!$J32),'Prepare Gantt Chart'!AC32=5,'Project types'!$Q33*('Prepare Gantt Chart'!$I32*'Prepare Gantt Chart'!$J32),'Prepare Gantt Chart'!AC32=0,0)</f>
        <v>0</v>
      </c>
      <c r="Q33" s="45">
        <f>_xlfn.IFS('Prepare Gantt Chart'!AD32=6,'Project types'!$O33*('Prepare Gantt Chart'!$I32*'Prepare Gantt Chart'!$J32),'Prepare Gantt Chart'!AD32=5,'Project types'!$Q33*('Prepare Gantt Chart'!$I32*'Prepare Gantt Chart'!$J32),'Prepare Gantt Chart'!AD32=0,0)</f>
        <v>0</v>
      </c>
      <c r="R33" s="45">
        <f>_xlfn.IFS('Prepare Gantt Chart'!AE32=6,'Project types'!$O33*('Prepare Gantt Chart'!$I32*'Prepare Gantt Chart'!$J32),'Prepare Gantt Chart'!AE32=5,'Project types'!$Q33*('Prepare Gantt Chart'!$I32*'Prepare Gantt Chart'!$J32),'Prepare Gantt Chart'!AE32=0,0)</f>
        <v>0</v>
      </c>
      <c r="S33" s="45">
        <f>_xlfn.IFS('Prepare Gantt Chart'!AF32=6,'Project types'!$O33*('Prepare Gantt Chart'!$I32*'Prepare Gantt Chart'!$J32),'Prepare Gantt Chart'!AF32=5,'Project types'!$Q33*('Prepare Gantt Chart'!$I32*'Prepare Gantt Chart'!$J32),'Prepare Gantt Chart'!AF32=0,0)</f>
        <v>0</v>
      </c>
      <c r="T33" s="45">
        <f>_xlfn.IFS('Prepare Gantt Chart'!AG32=6,'Project types'!$O33*('Prepare Gantt Chart'!$I32*'Prepare Gantt Chart'!$J32),'Prepare Gantt Chart'!AG32=5,'Project types'!$Q33*('Prepare Gantt Chart'!$I32*'Prepare Gantt Chart'!$J32),'Prepare Gantt Chart'!AG32=0,0)</f>
        <v>0</v>
      </c>
      <c r="U33" s="45">
        <f>_xlfn.IFS('Prepare Gantt Chart'!AH32=6,'Project types'!$O33*('Prepare Gantt Chart'!$I32*'Prepare Gantt Chart'!$J32),'Prepare Gantt Chart'!AH32=5,'Project types'!$Q33*('Prepare Gantt Chart'!$I32*'Prepare Gantt Chart'!$J32),'Prepare Gantt Chart'!AH32=0,0)</f>
        <v>0</v>
      </c>
      <c r="V33" s="45">
        <f>_xlfn.IFS('Prepare Gantt Chart'!AI32=6,'Project types'!$O33*('Prepare Gantt Chart'!$I32*'Prepare Gantt Chart'!$J32),'Prepare Gantt Chart'!AI32=5,'Project types'!$Q33*('Prepare Gantt Chart'!$I32*'Prepare Gantt Chart'!$J32),'Prepare Gantt Chart'!AI32=0,0)</f>
        <v>0</v>
      </c>
      <c r="W33" s="45">
        <f>_xlfn.IFS('Prepare Gantt Chart'!AJ32=6,'Project types'!$O33*('Prepare Gantt Chart'!$I32*'Prepare Gantt Chart'!$J32),'Prepare Gantt Chart'!AJ32=5,'Project types'!$Q33*('Prepare Gantt Chart'!$I32*'Prepare Gantt Chart'!$J32),'Prepare Gantt Chart'!AJ32=0,0)</f>
        <v>0</v>
      </c>
      <c r="X33" s="45">
        <f>_xlfn.IFS('Prepare Gantt Chart'!AK32=6,'Project types'!$O33*('Prepare Gantt Chart'!$I32*'Prepare Gantt Chart'!$J32),'Prepare Gantt Chart'!AK32=5,'Project types'!$Q33*('Prepare Gantt Chart'!$I32*'Prepare Gantt Chart'!$J32),'Prepare Gantt Chart'!AK32=0,0)</f>
        <v>0</v>
      </c>
      <c r="Y33" s="45">
        <f>_xlfn.IFS('Prepare Gantt Chart'!AL32=6,'Project types'!$O33*('Prepare Gantt Chart'!$I32*'Prepare Gantt Chart'!$J32),'Prepare Gantt Chart'!AL32=5,'Project types'!$Q33*('Prepare Gantt Chart'!$I32*'Prepare Gantt Chart'!$J32),'Prepare Gantt Chart'!AL32=0,0)</f>
        <v>0</v>
      </c>
      <c r="Z33" s="45">
        <f>_xlfn.IFS('Prepare Gantt Chart'!AM32=6,'Project types'!$O33*('Prepare Gantt Chart'!$I32*'Prepare Gantt Chart'!$J32),'Prepare Gantt Chart'!AM32=5,'Project types'!$Q33*('Prepare Gantt Chart'!$I32*'Prepare Gantt Chart'!$J32),'Prepare Gantt Chart'!AM32=0,0)</f>
        <v>0</v>
      </c>
      <c r="AA33" s="45">
        <f>_xlfn.IFS('Prepare Gantt Chart'!AN32=6,'Project types'!$O33*('Prepare Gantt Chart'!$I32*'Prepare Gantt Chart'!$J32),'Prepare Gantt Chart'!AN32=5,'Project types'!$Q33*('Prepare Gantt Chart'!$I32*'Prepare Gantt Chart'!$J32),'Prepare Gantt Chart'!AN32=0,0)</f>
        <v>0</v>
      </c>
      <c r="AB33" s="45">
        <f>_xlfn.IFS('Prepare Gantt Chart'!AO32=6,'Project types'!$O33*('Prepare Gantt Chart'!$I32*'Prepare Gantt Chart'!$J32),'Prepare Gantt Chart'!AO32=5,'Project types'!$Q33*('Prepare Gantt Chart'!$I32*'Prepare Gantt Chart'!$J32),'Prepare Gantt Chart'!AO32=0,0)</f>
        <v>0</v>
      </c>
      <c r="AC33" s="45">
        <f>'Prepare Gantt Chart'!J32*'Prepare Gantt Chart'!I32*(AD33/26)</f>
        <v>0</v>
      </c>
      <c r="AD33" s="46">
        <f t="shared" si="0"/>
        <v>0</v>
      </c>
      <c r="AE33" s="72">
        <f>IF('Prepare Gantt Chart'!$J32=0,0,SUM(C33:H33)/6/'Prepare Gantt Chart'!$J32)</f>
        <v>0</v>
      </c>
      <c r="AF33" s="72">
        <f>IF('Prepare Gantt Chart'!$J32=0,0,SUM(I33:M33)/5/'Prepare Gantt Chart'!$J32)</f>
        <v>0</v>
      </c>
      <c r="AG33" s="72">
        <f>IF('Prepare Gantt Chart'!$J32=0,0,SUM(N33:R33)/5/'Prepare Gantt Chart'!$J32)</f>
        <v>0</v>
      </c>
      <c r="AH33" s="72">
        <f>IF('Prepare Gantt Chart'!$J32=0,0,SUM(S33:W33)/5/'Prepare Gantt Chart'!$J32)</f>
        <v>0</v>
      </c>
      <c r="AI33" s="72">
        <f>IF('Prepare Gantt Chart'!$J32=0,0,SUM(X33:AB33)/5/'Prepare Gantt Chart'!$J32)</f>
        <v>0</v>
      </c>
      <c r="AK33" s="24" t="s">
        <v>32</v>
      </c>
      <c r="AL33" s="45">
        <f>_xlfn.IFS('Prepare Gantt Chart'!P32=6,'Project types'!$L33*('Prepare Gantt Chart'!$I32*'Prepare Gantt Chart'!$J32),'Prepare Gantt Chart'!P32=5,'Project types'!$L33*('Prepare Gantt Chart'!$I32*'Prepare Gantt Chart'!$J32),'Prepare Gantt Chart'!P32=0,0)</f>
        <v>0</v>
      </c>
      <c r="AM33" s="45">
        <f>_xlfn.IFS('Prepare Gantt Chart'!Q32=6,'Project types'!$L33*('Prepare Gantt Chart'!$I32*'Prepare Gantt Chart'!$J32),'Prepare Gantt Chart'!Q32=5,'Project types'!$L33*('Prepare Gantt Chart'!$I32*'Prepare Gantt Chart'!$J32),'Prepare Gantt Chart'!Q32=0,0)</f>
        <v>0</v>
      </c>
      <c r="AN33" s="45">
        <f>_xlfn.IFS('Prepare Gantt Chart'!R32=6,'Project types'!$L33*('Prepare Gantt Chart'!$I32*'Prepare Gantt Chart'!$J32),'Prepare Gantt Chart'!R32=5,'Project types'!$L33*('Prepare Gantt Chart'!$I32*'Prepare Gantt Chart'!$J32),'Prepare Gantt Chart'!R32=0,0)</f>
        <v>0</v>
      </c>
      <c r="AO33" s="45">
        <f>_xlfn.IFS('Prepare Gantt Chart'!S32=6,'Project types'!$L33*('Prepare Gantt Chart'!$I32*'Prepare Gantt Chart'!$J32),'Prepare Gantt Chart'!S32=5,'Project types'!$L33*('Prepare Gantt Chart'!$I32*'Prepare Gantt Chart'!$J32),'Prepare Gantt Chart'!S32=0,0)</f>
        <v>0</v>
      </c>
      <c r="AP33" s="45">
        <f>_xlfn.IFS('Prepare Gantt Chart'!T32=6,'Project types'!$L33*('Prepare Gantt Chart'!$I32*'Prepare Gantt Chart'!$J32),'Prepare Gantt Chart'!T32=5,'Project types'!$L33*('Prepare Gantt Chart'!$I32*'Prepare Gantt Chart'!$J32),'Prepare Gantt Chart'!T32=0,0)</f>
        <v>0</v>
      </c>
      <c r="AQ33" s="45">
        <f>_xlfn.IFS('Prepare Gantt Chart'!U32=6,'Project types'!$L33*('Prepare Gantt Chart'!$I32*'Prepare Gantt Chart'!$J32),'Prepare Gantt Chart'!U32=5,'Project types'!$L33*('Prepare Gantt Chart'!$I32*'Prepare Gantt Chart'!$J32),'Prepare Gantt Chart'!U32=0,0)</f>
        <v>0</v>
      </c>
      <c r="AR33" s="45">
        <f>_xlfn.IFS('Prepare Gantt Chart'!V32=6,'Project types'!$L33*('Prepare Gantt Chart'!$I32*'Prepare Gantt Chart'!$J32),'Prepare Gantt Chart'!V32=5,'Project types'!$L33*('Prepare Gantt Chart'!$I32*'Prepare Gantt Chart'!$J32),'Prepare Gantt Chart'!V32=0,0)</f>
        <v>0</v>
      </c>
      <c r="AS33" s="45">
        <f>_xlfn.IFS('Prepare Gantt Chart'!W32=6,'Project types'!$L33*('Prepare Gantt Chart'!$I32*'Prepare Gantt Chart'!$J32),'Prepare Gantt Chart'!W32=5,'Project types'!$L33*('Prepare Gantt Chart'!$I32*'Prepare Gantt Chart'!$J32),'Prepare Gantt Chart'!W32=0,0)</f>
        <v>0</v>
      </c>
      <c r="AT33" s="45">
        <f>_xlfn.IFS('Prepare Gantt Chart'!X32=6,'Project types'!$L33*('Prepare Gantt Chart'!$I32*'Prepare Gantt Chart'!$J32),'Prepare Gantt Chart'!X32=5,'Project types'!$L33*('Prepare Gantt Chart'!$I32*'Prepare Gantt Chart'!$J32),'Prepare Gantt Chart'!X32=0,0)</f>
        <v>0</v>
      </c>
      <c r="AU33" s="45">
        <f>_xlfn.IFS('Prepare Gantt Chart'!Y32=6,'Project types'!$L33*('Prepare Gantt Chart'!$I32*'Prepare Gantt Chart'!$J32),'Prepare Gantt Chart'!Y32=5,'Project types'!$L33*('Prepare Gantt Chart'!$I32*'Prepare Gantt Chart'!$J32),'Prepare Gantt Chart'!Y32=0,0)</f>
        <v>0</v>
      </c>
      <c r="AV33" s="45">
        <f>_xlfn.IFS('Prepare Gantt Chart'!Z32=6,'Project types'!$L33*('Prepare Gantt Chart'!$I32*'Prepare Gantt Chart'!$J32),'Prepare Gantt Chart'!Z32=5,'Project types'!$L33*('Prepare Gantt Chart'!$I32*'Prepare Gantt Chart'!$J32),'Prepare Gantt Chart'!Z32=0,0)</f>
        <v>0</v>
      </c>
      <c r="AW33" s="45">
        <f>_xlfn.IFS('Prepare Gantt Chart'!AA32=6,'Project types'!$L33*('Prepare Gantt Chart'!$I32*'Prepare Gantt Chart'!$J32),'Prepare Gantt Chart'!AA32=5,'Project types'!$L33*('Prepare Gantt Chart'!$I32*'Prepare Gantt Chart'!$J32),'Prepare Gantt Chart'!AA32=0,0)</f>
        <v>0</v>
      </c>
      <c r="AX33" s="45">
        <f>_xlfn.IFS('Prepare Gantt Chart'!AB32=6,'Project types'!$L33*('Prepare Gantt Chart'!$I32*'Prepare Gantt Chart'!$J32),'Prepare Gantt Chart'!AB32=5,'Project types'!$L33*('Prepare Gantt Chart'!$I32*'Prepare Gantt Chart'!$J32),'Prepare Gantt Chart'!AB32=0,0)</f>
        <v>0</v>
      </c>
      <c r="AY33" s="45">
        <f>_xlfn.IFS('Prepare Gantt Chart'!AC32=6,'Project types'!$L33*('Prepare Gantt Chart'!$I32*'Prepare Gantt Chart'!$J32),'Prepare Gantt Chart'!AC32=5,'Project types'!$L33*('Prepare Gantt Chart'!$I32*'Prepare Gantt Chart'!$J32),'Prepare Gantt Chart'!AC32=0,0)</f>
        <v>0</v>
      </c>
      <c r="AZ33" s="45">
        <f>_xlfn.IFS('Prepare Gantt Chart'!AD32=6,'Project types'!$L33*('Prepare Gantt Chart'!$I32*'Prepare Gantt Chart'!$J32),'Prepare Gantt Chart'!AD32=5,'Project types'!$L33*('Prepare Gantt Chart'!$I32*'Prepare Gantt Chart'!$J32),'Prepare Gantt Chart'!AD32=0,0)</f>
        <v>0</v>
      </c>
      <c r="BA33" s="45">
        <f>_xlfn.IFS('Prepare Gantt Chart'!AE32=6,'Project types'!$L33*('Prepare Gantt Chart'!$I32*'Prepare Gantt Chart'!$J32),'Prepare Gantt Chart'!AE32=5,'Project types'!$L33*('Prepare Gantt Chart'!$I32*'Prepare Gantt Chart'!$J32),'Prepare Gantt Chart'!AE32=0,0)</f>
        <v>0</v>
      </c>
      <c r="BB33" s="45">
        <f>_xlfn.IFS('Prepare Gantt Chart'!AF32=6,'Project types'!$L33*('Prepare Gantt Chart'!$I32*'Prepare Gantt Chart'!$J32),'Prepare Gantt Chart'!AF32=5,'Project types'!$L33*('Prepare Gantt Chart'!$I32*'Prepare Gantt Chart'!$J32),'Prepare Gantt Chart'!AF32=0,0)</f>
        <v>0</v>
      </c>
      <c r="BC33" s="45">
        <f>_xlfn.IFS('Prepare Gantt Chart'!AG32=6,'Project types'!$L33*('Prepare Gantt Chart'!$I32*'Prepare Gantt Chart'!$J32),'Prepare Gantt Chart'!AG32=5,'Project types'!$L33*('Prepare Gantt Chart'!$I32*'Prepare Gantt Chart'!$J32),'Prepare Gantt Chart'!AG32=0,0)</f>
        <v>0</v>
      </c>
      <c r="BD33" s="45">
        <f>_xlfn.IFS('Prepare Gantt Chart'!AH32=6,'Project types'!$L33*('Prepare Gantt Chart'!$I32*'Prepare Gantt Chart'!$J32),'Prepare Gantt Chart'!AH32=5,'Project types'!$L33*('Prepare Gantt Chart'!$I32*'Prepare Gantt Chart'!$J32),'Prepare Gantt Chart'!AH32=0,0)</f>
        <v>0</v>
      </c>
      <c r="BE33" s="45">
        <f>_xlfn.IFS('Prepare Gantt Chart'!AI32=6,'Project types'!$L33*('Prepare Gantt Chart'!$I32*'Prepare Gantt Chart'!$J32),'Prepare Gantt Chart'!AI32=5,'Project types'!$L33*('Prepare Gantt Chart'!$I32*'Prepare Gantt Chart'!$J32),'Prepare Gantt Chart'!AI32=0,0)</f>
        <v>0</v>
      </c>
      <c r="BF33" s="45">
        <f>_xlfn.IFS('Prepare Gantt Chart'!AJ32=6,'Project types'!$L33*('Prepare Gantt Chart'!$I32*'Prepare Gantt Chart'!$J32),'Prepare Gantt Chart'!AJ32=5,'Project types'!$L33*('Prepare Gantt Chart'!$I32*'Prepare Gantt Chart'!$J32),'Prepare Gantt Chart'!AJ32=0,0)</f>
        <v>0</v>
      </c>
      <c r="BG33" s="45">
        <f>_xlfn.IFS('Prepare Gantt Chart'!AK32=6,'Project types'!$L33*('Prepare Gantt Chart'!$I32*'Prepare Gantt Chart'!$J32),'Prepare Gantt Chart'!AK32=5,'Project types'!$L33*('Prepare Gantt Chart'!$I32*'Prepare Gantt Chart'!$J32),'Prepare Gantt Chart'!AK32=0,0)</f>
        <v>0</v>
      </c>
      <c r="BH33" s="45">
        <f>_xlfn.IFS('Prepare Gantt Chart'!AL32=6,'Project types'!$L33*('Prepare Gantt Chart'!$I32*'Prepare Gantt Chart'!$J32),'Prepare Gantt Chart'!AL32=5,'Project types'!$L33*('Prepare Gantt Chart'!$I32*'Prepare Gantt Chart'!$J32),'Prepare Gantt Chart'!AL32=0,0)</f>
        <v>0</v>
      </c>
      <c r="BI33" s="45">
        <f>_xlfn.IFS('Prepare Gantt Chart'!AM32=6,'Project types'!$L33*('Prepare Gantt Chart'!$I32*'Prepare Gantt Chart'!$J32),'Prepare Gantt Chart'!AM32=5,'Project types'!$L33*('Prepare Gantt Chart'!$I32*'Prepare Gantt Chart'!$J32),'Prepare Gantt Chart'!AM32=0,0)</f>
        <v>0</v>
      </c>
      <c r="BJ33" s="45">
        <f>_xlfn.IFS('Prepare Gantt Chart'!AN32=6,'Project types'!$L33*('Prepare Gantt Chart'!$I32*'Prepare Gantt Chart'!$J32),'Prepare Gantt Chart'!AN32=5,'Project types'!$L33*('Prepare Gantt Chart'!$I32*'Prepare Gantt Chart'!$J32),'Prepare Gantt Chart'!AN32=0,0)</f>
        <v>0</v>
      </c>
      <c r="BK33" s="45">
        <f>_xlfn.IFS('Prepare Gantt Chart'!AO32=6,'Project types'!$L33*('Prepare Gantt Chart'!$I32*'Prepare Gantt Chart'!$J32),'Prepare Gantt Chart'!AO32=5,'Project types'!$L33*('Prepare Gantt Chart'!$I32*'Prepare Gantt Chart'!$J32),'Prepare Gantt Chart'!AO32=0,0)</f>
        <v>0</v>
      </c>
      <c r="BL33" s="46">
        <f t="shared" si="1"/>
        <v>0</v>
      </c>
      <c r="BM33" s="75">
        <f>IF('Prepare Gantt Chart'!$J32=0,0,SUM(AL33:AQ33)/6/'Prepare Gantt Chart'!$J32)</f>
        <v>0</v>
      </c>
      <c r="BN33" s="75">
        <f>IF('Prepare Gantt Chart'!$J32=0,0,SUM(AR33:AV33)/5/'Prepare Gantt Chart'!$J32)</f>
        <v>0</v>
      </c>
      <c r="BO33" s="75">
        <f>IF('Prepare Gantt Chart'!$J32=0,0,SUM(AW33:BA33)/5/'Prepare Gantt Chart'!$J32)</f>
        <v>0</v>
      </c>
      <c r="BP33" s="75">
        <f>IF('Prepare Gantt Chart'!$J32=0,0,SUM(BB33:BF33)/5/'Prepare Gantt Chart'!$J32)</f>
        <v>0</v>
      </c>
      <c r="BQ33" s="75">
        <f>IF('Prepare Gantt Chart'!$J32=0,0,SUM(BG33:BK33)/5/'Prepare Gantt Chart'!$J32)</f>
        <v>0</v>
      </c>
    </row>
    <row r="34" spans="1:69" x14ac:dyDescent="0.2">
      <c r="A34" s="24" t="s">
        <v>33</v>
      </c>
      <c r="B34" s="1" t="s">
        <v>125</v>
      </c>
      <c r="C34" s="45">
        <f>_xlfn.IFS('Prepare Gantt Chart'!P33=6,'Project types'!$O34*('Prepare Gantt Chart'!$I33*'Prepare Gantt Chart'!$J33),'Prepare Gantt Chart'!P33=5,'Project types'!$Q34*('Prepare Gantt Chart'!$I33*'Prepare Gantt Chart'!$J33),'Prepare Gantt Chart'!P33=0,0)</f>
        <v>0</v>
      </c>
      <c r="D34" s="45">
        <f>_xlfn.IFS('Prepare Gantt Chart'!Q33=6,'Project types'!$O34*('Prepare Gantt Chart'!$I33*'Prepare Gantt Chart'!$J33),'Prepare Gantt Chart'!Q33=5,'Project types'!$Q34*('Prepare Gantt Chart'!$I33*'Prepare Gantt Chart'!$J33),'Prepare Gantt Chart'!Q33=0,0)</f>
        <v>0</v>
      </c>
      <c r="E34" s="45">
        <f>_xlfn.IFS('Prepare Gantt Chart'!R33=6,'Project types'!$O34*('Prepare Gantt Chart'!$I33*'Prepare Gantt Chart'!$J33),'Prepare Gantt Chart'!R33=5,'Project types'!$Q34*('Prepare Gantt Chart'!$I33*'Prepare Gantt Chart'!$J33),'Prepare Gantt Chart'!R33=0,0)</f>
        <v>0</v>
      </c>
      <c r="F34" s="45">
        <f>_xlfn.IFS('Prepare Gantt Chart'!S33=6,'Project types'!$O34*('Prepare Gantt Chart'!$I33*'Prepare Gantt Chart'!$J33),'Prepare Gantt Chart'!S33=5,'Project types'!$Q34*('Prepare Gantt Chart'!$I33*'Prepare Gantt Chart'!$J33),'Prepare Gantt Chart'!S33=0,0)</f>
        <v>0</v>
      </c>
      <c r="G34" s="45">
        <f>_xlfn.IFS('Prepare Gantt Chart'!T33=6,'Project types'!$O34*('Prepare Gantt Chart'!$I33*'Prepare Gantt Chart'!$J33),'Prepare Gantt Chart'!T33=5,'Project types'!$Q34*('Prepare Gantt Chart'!$I33*'Prepare Gantt Chart'!$J33),'Prepare Gantt Chart'!T33=0,0)</f>
        <v>0</v>
      </c>
      <c r="H34" s="45">
        <f>_xlfn.IFS('Prepare Gantt Chart'!U33=6,'Project types'!$O34*('Prepare Gantt Chart'!$I33*'Prepare Gantt Chart'!$J33),'Prepare Gantt Chart'!U33=5,'Project types'!$Q34*('Prepare Gantt Chart'!$I33*'Prepare Gantt Chart'!$J33),'Prepare Gantt Chart'!U33=0,0)</f>
        <v>0</v>
      </c>
      <c r="I34" s="45">
        <f>_xlfn.IFS('Prepare Gantt Chart'!V33=6,'Project types'!$O34*('Prepare Gantt Chart'!$I33*'Prepare Gantt Chart'!$J33),'Prepare Gantt Chart'!V33=5,'Project types'!$Q34*('Prepare Gantt Chart'!$I33*'Prepare Gantt Chart'!$J33),'Prepare Gantt Chart'!V33=0,0)</f>
        <v>0</v>
      </c>
      <c r="J34" s="45">
        <f>_xlfn.IFS('Prepare Gantt Chart'!W33=6,'Project types'!$O34*('Prepare Gantt Chart'!$I33*'Prepare Gantt Chart'!$J33),'Prepare Gantt Chart'!W33=5,'Project types'!$Q34*('Prepare Gantt Chart'!$I33*'Prepare Gantt Chart'!$J33),'Prepare Gantt Chart'!W33=0,0)</f>
        <v>0</v>
      </c>
      <c r="K34" s="45">
        <f>_xlfn.IFS('Prepare Gantt Chart'!X33=6,'Project types'!$O34*('Prepare Gantt Chart'!$I33*'Prepare Gantt Chart'!$J33),'Prepare Gantt Chart'!X33=5,'Project types'!$Q34*('Prepare Gantt Chart'!$I33*'Prepare Gantt Chart'!$J33),'Prepare Gantt Chart'!X33=0,0)</f>
        <v>0</v>
      </c>
      <c r="L34" s="45">
        <f>_xlfn.IFS('Prepare Gantt Chart'!Y33=6,'Project types'!$O34*('Prepare Gantt Chart'!$I33*'Prepare Gantt Chart'!$J33),'Prepare Gantt Chart'!Y33=5,'Project types'!$Q34*('Prepare Gantt Chart'!$I33*'Prepare Gantt Chart'!$J33),'Prepare Gantt Chart'!Y33=0,0)</f>
        <v>0</v>
      </c>
      <c r="M34" s="45">
        <f>_xlfn.IFS('Prepare Gantt Chart'!Z33=6,'Project types'!$O34*('Prepare Gantt Chart'!$I33*'Prepare Gantt Chart'!$J33),'Prepare Gantt Chart'!Z33=5,'Project types'!$Q34*('Prepare Gantt Chart'!$I33*'Prepare Gantt Chart'!$J33),'Prepare Gantt Chart'!Z33=0,0)</f>
        <v>0</v>
      </c>
      <c r="N34" s="45">
        <f>_xlfn.IFS('Prepare Gantt Chart'!AA33=6,'Project types'!$O34*('Prepare Gantt Chart'!$I33*'Prepare Gantt Chart'!$J33),'Prepare Gantt Chart'!AA33=5,'Project types'!$Q34*('Prepare Gantt Chart'!$I33*'Prepare Gantt Chart'!$J33),'Prepare Gantt Chart'!AA33=0,0)</f>
        <v>0</v>
      </c>
      <c r="O34" s="45">
        <f>_xlfn.IFS('Prepare Gantt Chart'!AB33=6,'Project types'!$O34*('Prepare Gantt Chart'!$I33*'Prepare Gantt Chart'!$J33),'Prepare Gantt Chart'!AB33=5,'Project types'!$Q34*('Prepare Gantt Chart'!$I33*'Prepare Gantt Chart'!$J33),'Prepare Gantt Chart'!AB33=0,0)</f>
        <v>0</v>
      </c>
      <c r="P34" s="45">
        <f>_xlfn.IFS('Prepare Gantt Chart'!AC33=6,'Project types'!$O34*('Prepare Gantt Chart'!$I33*'Prepare Gantt Chart'!$J33),'Prepare Gantt Chart'!AC33=5,'Project types'!$Q34*('Prepare Gantt Chart'!$I33*'Prepare Gantt Chart'!$J33),'Prepare Gantt Chart'!AC33=0,0)</f>
        <v>0</v>
      </c>
      <c r="Q34" s="45">
        <f>_xlfn.IFS('Prepare Gantt Chart'!AD33=6,'Project types'!$O34*('Prepare Gantt Chart'!$I33*'Prepare Gantt Chart'!$J33),'Prepare Gantt Chart'!AD33=5,'Project types'!$Q34*('Prepare Gantt Chart'!$I33*'Prepare Gantt Chart'!$J33),'Prepare Gantt Chart'!AD33=0,0)</f>
        <v>0</v>
      </c>
      <c r="R34" s="45">
        <f>_xlfn.IFS('Prepare Gantt Chart'!AE33=6,'Project types'!$O34*('Prepare Gantt Chart'!$I33*'Prepare Gantt Chart'!$J33),'Prepare Gantt Chart'!AE33=5,'Project types'!$Q34*('Prepare Gantt Chart'!$I33*'Prepare Gantt Chart'!$J33),'Prepare Gantt Chart'!AE33=0,0)</f>
        <v>0</v>
      </c>
      <c r="S34" s="45">
        <f>_xlfn.IFS('Prepare Gantt Chart'!AF33=6,'Project types'!$O34*('Prepare Gantt Chart'!$I33*'Prepare Gantt Chart'!$J33),'Prepare Gantt Chart'!AF33=5,'Project types'!$Q34*('Prepare Gantt Chart'!$I33*'Prepare Gantt Chart'!$J33),'Prepare Gantt Chart'!AF33=0,0)</f>
        <v>0</v>
      </c>
      <c r="T34" s="45">
        <f>_xlfn.IFS('Prepare Gantt Chart'!AG33=6,'Project types'!$O34*('Prepare Gantt Chart'!$I33*'Prepare Gantt Chart'!$J33),'Prepare Gantt Chart'!AG33=5,'Project types'!$Q34*('Prepare Gantt Chart'!$I33*'Prepare Gantt Chart'!$J33),'Prepare Gantt Chart'!AG33=0,0)</f>
        <v>0</v>
      </c>
      <c r="U34" s="45">
        <f>_xlfn.IFS('Prepare Gantt Chart'!AH33=6,'Project types'!$O34*('Prepare Gantt Chart'!$I33*'Prepare Gantt Chart'!$J33),'Prepare Gantt Chart'!AH33=5,'Project types'!$Q34*('Prepare Gantt Chart'!$I33*'Prepare Gantt Chart'!$J33),'Prepare Gantt Chart'!AH33=0,0)</f>
        <v>0</v>
      </c>
      <c r="V34" s="45">
        <f>_xlfn.IFS('Prepare Gantt Chart'!AI33=6,'Project types'!$O34*('Prepare Gantt Chart'!$I33*'Prepare Gantt Chart'!$J33),'Prepare Gantt Chart'!AI33=5,'Project types'!$Q34*('Prepare Gantt Chart'!$I33*'Prepare Gantt Chart'!$J33),'Prepare Gantt Chart'!AI33=0,0)</f>
        <v>0</v>
      </c>
      <c r="W34" s="45">
        <f>_xlfn.IFS('Prepare Gantt Chart'!AJ33=6,'Project types'!$O34*('Prepare Gantt Chart'!$I33*'Prepare Gantt Chart'!$J33),'Prepare Gantt Chart'!AJ33=5,'Project types'!$Q34*('Prepare Gantt Chart'!$I33*'Prepare Gantt Chart'!$J33),'Prepare Gantt Chart'!AJ33=0,0)</f>
        <v>0</v>
      </c>
      <c r="X34" s="45">
        <f>_xlfn.IFS('Prepare Gantt Chart'!AK33=6,'Project types'!$O34*('Prepare Gantt Chart'!$I33*'Prepare Gantt Chart'!$J33),'Prepare Gantt Chart'!AK33=5,'Project types'!$Q34*('Prepare Gantt Chart'!$I33*'Prepare Gantt Chart'!$J33),'Prepare Gantt Chart'!AK33=0,0)</f>
        <v>0</v>
      </c>
      <c r="Y34" s="45">
        <f>_xlfn.IFS('Prepare Gantt Chart'!AL33=6,'Project types'!$O34*('Prepare Gantt Chart'!$I33*'Prepare Gantt Chart'!$J33),'Prepare Gantt Chart'!AL33=5,'Project types'!$Q34*('Prepare Gantt Chart'!$I33*'Prepare Gantt Chart'!$J33),'Prepare Gantt Chart'!AL33=0,0)</f>
        <v>0</v>
      </c>
      <c r="Z34" s="45">
        <f>_xlfn.IFS('Prepare Gantt Chart'!AM33=6,'Project types'!$O34*('Prepare Gantt Chart'!$I33*'Prepare Gantt Chart'!$J33),'Prepare Gantt Chart'!AM33=5,'Project types'!$Q34*('Prepare Gantt Chart'!$I33*'Prepare Gantt Chart'!$J33),'Prepare Gantt Chart'!AM33=0,0)</f>
        <v>0</v>
      </c>
      <c r="AA34" s="45">
        <f>_xlfn.IFS('Prepare Gantt Chart'!AN33=6,'Project types'!$O34*('Prepare Gantt Chart'!$I33*'Prepare Gantt Chart'!$J33),'Prepare Gantt Chart'!AN33=5,'Project types'!$Q34*('Prepare Gantt Chart'!$I33*'Prepare Gantt Chart'!$J33),'Prepare Gantt Chart'!AN33=0,0)</f>
        <v>0</v>
      </c>
      <c r="AB34" s="45">
        <f>_xlfn.IFS('Prepare Gantt Chart'!AO33=6,'Project types'!$O34*('Prepare Gantt Chart'!$I33*'Prepare Gantt Chart'!$J33),'Prepare Gantt Chart'!AO33=5,'Project types'!$Q34*('Prepare Gantt Chart'!$I33*'Prepare Gantt Chart'!$J33),'Prepare Gantt Chart'!AO33=0,0)</f>
        <v>0</v>
      </c>
      <c r="AC34" s="45">
        <f>'Prepare Gantt Chart'!J33*'Prepare Gantt Chart'!I33*(AD34/26)</f>
        <v>0</v>
      </c>
      <c r="AD34" s="46">
        <f t="shared" si="0"/>
        <v>0</v>
      </c>
      <c r="AE34" s="72">
        <f>IF('Prepare Gantt Chart'!$J33=0,0,SUM(C34:H34)/6/'Prepare Gantt Chart'!$J33)</f>
        <v>0</v>
      </c>
      <c r="AF34" s="72">
        <f>IF('Prepare Gantt Chart'!$J33=0,0,SUM(I34:M34)/5/'Prepare Gantt Chart'!$J33)</f>
        <v>0</v>
      </c>
      <c r="AG34" s="72">
        <f>IF('Prepare Gantt Chart'!$J33=0,0,SUM(N34:R34)/5/'Prepare Gantt Chart'!$J33)</f>
        <v>0</v>
      </c>
      <c r="AH34" s="72">
        <f>IF('Prepare Gantt Chart'!$J33=0,0,SUM(S34:W34)/5/'Prepare Gantt Chart'!$J33)</f>
        <v>0</v>
      </c>
      <c r="AI34" s="72">
        <f>IF('Prepare Gantt Chart'!$J33=0,0,SUM(X34:AB34)/5/'Prepare Gantt Chart'!$J33)</f>
        <v>0</v>
      </c>
      <c r="AK34" s="24" t="s">
        <v>33</v>
      </c>
      <c r="AL34" s="45">
        <f>_xlfn.IFS('Prepare Gantt Chart'!P33=6,'Project types'!$L34*('Prepare Gantt Chart'!$I33*'Prepare Gantt Chart'!$J33),'Prepare Gantt Chart'!P33=5,'Project types'!$L34*('Prepare Gantt Chart'!$I33*'Prepare Gantt Chart'!$J33),'Prepare Gantt Chart'!P33=0,0)</f>
        <v>0</v>
      </c>
      <c r="AM34" s="45">
        <f>_xlfn.IFS('Prepare Gantt Chart'!Q33=6,'Project types'!$L34*('Prepare Gantt Chart'!$I33*'Prepare Gantt Chart'!$J33),'Prepare Gantt Chart'!Q33=5,'Project types'!$L34*('Prepare Gantt Chart'!$I33*'Prepare Gantt Chart'!$J33),'Prepare Gantt Chart'!Q33=0,0)</f>
        <v>0</v>
      </c>
      <c r="AN34" s="45">
        <f>_xlfn.IFS('Prepare Gantt Chart'!R33=6,'Project types'!$L34*('Prepare Gantt Chart'!$I33*'Prepare Gantt Chart'!$J33),'Prepare Gantt Chart'!R33=5,'Project types'!$L34*('Prepare Gantt Chart'!$I33*'Prepare Gantt Chart'!$J33),'Prepare Gantt Chart'!R33=0,0)</f>
        <v>0</v>
      </c>
      <c r="AO34" s="45">
        <f>_xlfn.IFS('Prepare Gantt Chart'!S33=6,'Project types'!$L34*('Prepare Gantt Chart'!$I33*'Prepare Gantt Chart'!$J33),'Prepare Gantt Chart'!S33=5,'Project types'!$L34*('Prepare Gantt Chart'!$I33*'Prepare Gantt Chart'!$J33),'Prepare Gantt Chart'!S33=0,0)</f>
        <v>0</v>
      </c>
      <c r="AP34" s="45">
        <f>_xlfn.IFS('Prepare Gantt Chart'!T33=6,'Project types'!$L34*('Prepare Gantt Chart'!$I33*'Prepare Gantt Chart'!$J33),'Prepare Gantt Chart'!T33=5,'Project types'!$L34*('Prepare Gantt Chart'!$I33*'Prepare Gantt Chart'!$J33),'Prepare Gantt Chart'!T33=0,0)</f>
        <v>0</v>
      </c>
      <c r="AQ34" s="45">
        <f>_xlfn.IFS('Prepare Gantt Chart'!U33=6,'Project types'!$L34*('Prepare Gantt Chart'!$I33*'Prepare Gantt Chart'!$J33),'Prepare Gantt Chart'!U33=5,'Project types'!$L34*('Prepare Gantt Chart'!$I33*'Prepare Gantt Chart'!$J33),'Prepare Gantt Chart'!U33=0,0)</f>
        <v>0</v>
      </c>
      <c r="AR34" s="45">
        <f>_xlfn.IFS('Prepare Gantt Chart'!V33=6,'Project types'!$L34*('Prepare Gantt Chart'!$I33*'Prepare Gantt Chart'!$J33),'Prepare Gantt Chart'!V33=5,'Project types'!$L34*('Prepare Gantt Chart'!$I33*'Prepare Gantt Chart'!$J33),'Prepare Gantt Chart'!V33=0,0)</f>
        <v>0</v>
      </c>
      <c r="AS34" s="45">
        <f>_xlfn.IFS('Prepare Gantt Chart'!W33=6,'Project types'!$L34*('Prepare Gantt Chart'!$I33*'Prepare Gantt Chart'!$J33),'Prepare Gantt Chart'!W33=5,'Project types'!$L34*('Prepare Gantt Chart'!$I33*'Prepare Gantt Chart'!$J33),'Prepare Gantt Chart'!W33=0,0)</f>
        <v>0</v>
      </c>
      <c r="AT34" s="45">
        <f>_xlfn.IFS('Prepare Gantt Chart'!X33=6,'Project types'!$L34*('Prepare Gantt Chart'!$I33*'Prepare Gantt Chart'!$J33),'Prepare Gantt Chart'!X33=5,'Project types'!$L34*('Prepare Gantt Chart'!$I33*'Prepare Gantt Chart'!$J33),'Prepare Gantt Chart'!X33=0,0)</f>
        <v>0</v>
      </c>
      <c r="AU34" s="45">
        <f>_xlfn.IFS('Prepare Gantt Chart'!Y33=6,'Project types'!$L34*('Prepare Gantt Chart'!$I33*'Prepare Gantt Chart'!$J33),'Prepare Gantt Chart'!Y33=5,'Project types'!$L34*('Prepare Gantt Chart'!$I33*'Prepare Gantt Chart'!$J33),'Prepare Gantt Chart'!Y33=0,0)</f>
        <v>0</v>
      </c>
      <c r="AV34" s="45">
        <f>_xlfn.IFS('Prepare Gantt Chart'!Z33=6,'Project types'!$L34*('Prepare Gantt Chart'!$I33*'Prepare Gantt Chart'!$J33),'Prepare Gantt Chart'!Z33=5,'Project types'!$L34*('Prepare Gantt Chart'!$I33*'Prepare Gantt Chart'!$J33),'Prepare Gantt Chart'!Z33=0,0)</f>
        <v>0</v>
      </c>
      <c r="AW34" s="45">
        <f>_xlfn.IFS('Prepare Gantt Chart'!AA33=6,'Project types'!$L34*('Prepare Gantt Chart'!$I33*'Prepare Gantt Chart'!$J33),'Prepare Gantt Chart'!AA33=5,'Project types'!$L34*('Prepare Gantt Chart'!$I33*'Prepare Gantt Chart'!$J33),'Prepare Gantt Chart'!AA33=0,0)</f>
        <v>0</v>
      </c>
      <c r="AX34" s="45">
        <f>_xlfn.IFS('Prepare Gantt Chart'!AB33=6,'Project types'!$L34*('Prepare Gantt Chart'!$I33*'Prepare Gantt Chart'!$J33),'Prepare Gantt Chart'!AB33=5,'Project types'!$L34*('Prepare Gantt Chart'!$I33*'Prepare Gantt Chart'!$J33),'Prepare Gantt Chart'!AB33=0,0)</f>
        <v>0</v>
      </c>
      <c r="AY34" s="45">
        <f>_xlfn.IFS('Prepare Gantt Chart'!AC33=6,'Project types'!$L34*('Prepare Gantt Chart'!$I33*'Prepare Gantt Chart'!$J33),'Prepare Gantt Chart'!AC33=5,'Project types'!$L34*('Prepare Gantt Chart'!$I33*'Prepare Gantt Chart'!$J33),'Prepare Gantt Chart'!AC33=0,0)</f>
        <v>0</v>
      </c>
      <c r="AZ34" s="45">
        <f>_xlfn.IFS('Prepare Gantt Chart'!AD33=6,'Project types'!$L34*('Prepare Gantt Chart'!$I33*'Prepare Gantt Chart'!$J33),'Prepare Gantt Chart'!AD33=5,'Project types'!$L34*('Prepare Gantt Chart'!$I33*'Prepare Gantt Chart'!$J33),'Prepare Gantt Chart'!AD33=0,0)</f>
        <v>0</v>
      </c>
      <c r="BA34" s="45">
        <f>_xlfn.IFS('Prepare Gantt Chart'!AE33=6,'Project types'!$L34*('Prepare Gantt Chart'!$I33*'Prepare Gantt Chart'!$J33),'Prepare Gantt Chart'!AE33=5,'Project types'!$L34*('Prepare Gantt Chart'!$I33*'Prepare Gantt Chart'!$J33),'Prepare Gantt Chart'!AE33=0,0)</f>
        <v>0</v>
      </c>
      <c r="BB34" s="45">
        <f>_xlfn.IFS('Prepare Gantt Chart'!AF33=6,'Project types'!$L34*('Prepare Gantt Chart'!$I33*'Prepare Gantt Chart'!$J33),'Prepare Gantt Chart'!AF33=5,'Project types'!$L34*('Prepare Gantt Chart'!$I33*'Prepare Gantt Chart'!$J33),'Prepare Gantt Chart'!AF33=0,0)</f>
        <v>0</v>
      </c>
      <c r="BC34" s="45">
        <f>_xlfn.IFS('Prepare Gantt Chart'!AG33=6,'Project types'!$L34*('Prepare Gantt Chart'!$I33*'Prepare Gantt Chart'!$J33),'Prepare Gantt Chart'!AG33=5,'Project types'!$L34*('Prepare Gantt Chart'!$I33*'Prepare Gantt Chart'!$J33),'Prepare Gantt Chart'!AG33=0,0)</f>
        <v>0</v>
      </c>
      <c r="BD34" s="45">
        <f>_xlfn.IFS('Prepare Gantt Chart'!AH33=6,'Project types'!$L34*('Prepare Gantt Chart'!$I33*'Prepare Gantt Chart'!$J33),'Prepare Gantt Chart'!AH33=5,'Project types'!$L34*('Prepare Gantt Chart'!$I33*'Prepare Gantt Chart'!$J33),'Prepare Gantt Chart'!AH33=0,0)</f>
        <v>0</v>
      </c>
      <c r="BE34" s="45">
        <f>_xlfn.IFS('Prepare Gantt Chart'!AI33=6,'Project types'!$L34*('Prepare Gantt Chart'!$I33*'Prepare Gantt Chart'!$J33),'Prepare Gantt Chart'!AI33=5,'Project types'!$L34*('Prepare Gantt Chart'!$I33*'Prepare Gantt Chart'!$J33),'Prepare Gantt Chart'!AI33=0,0)</f>
        <v>0</v>
      </c>
      <c r="BF34" s="45">
        <f>_xlfn.IFS('Prepare Gantt Chart'!AJ33=6,'Project types'!$L34*('Prepare Gantt Chart'!$I33*'Prepare Gantt Chart'!$J33),'Prepare Gantt Chart'!AJ33=5,'Project types'!$L34*('Prepare Gantt Chart'!$I33*'Prepare Gantt Chart'!$J33),'Prepare Gantt Chart'!AJ33=0,0)</f>
        <v>0</v>
      </c>
      <c r="BG34" s="45">
        <f>_xlfn.IFS('Prepare Gantt Chart'!AK33=6,'Project types'!$L34*('Prepare Gantt Chart'!$I33*'Prepare Gantt Chart'!$J33),'Prepare Gantt Chart'!AK33=5,'Project types'!$L34*('Prepare Gantt Chart'!$I33*'Prepare Gantt Chart'!$J33),'Prepare Gantt Chart'!AK33=0,0)</f>
        <v>0</v>
      </c>
      <c r="BH34" s="45">
        <f>_xlfn.IFS('Prepare Gantt Chart'!AL33=6,'Project types'!$L34*('Prepare Gantt Chart'!$I33*'Prepare Gantt Chart'!$J33),'Prepare Gantt Chart'!AL33=5,'Project types'!$L34*('Prepare Gantt Chart'!$I33*'Prepare Gantt Chart'!$J33),'Prepare Gantt Chart'!AL33=0,0)</f>
        <v>0</v>
      </c>
      <c r="BI34" s="45">
        <f>_xlfn.IFS('Prepare Gantt Chart'!AM33=6,'Project types'!$L34*('Prepare Gantt Chart'!$I33*'Prepare Gantt Chart'!$J33),'Prepare Gantt Chart'!AM33=5,'Project types'!$L34*('Prepare Gantt Chart'!$I33*'Prepare Gantt Chart'!$J33),'Prepare Gantt Chart'!AM33=0,0)</f>
        <v>0</v>
      </c>
      <c r="BJ34" s="45">
        <f>_xlfn.IFS('Prepare Gantt Chart'!AN33=6,'Project types'!$L34*('Prepare Gantt Chart'!$I33*'Prepare Gantt Chart'!$J33),'Prepare Gantt Chart'!AN33=5,'Project types'!$L34*('Prepare Gantt Chart'!$I33*'Prepare Gantt Chart'!$J33),'Prepare Gantt Chart'!AN33=0,0)</f>
        <v>0</v>
      </c>
      <c r="BK34" s="45">
        <f>_xlfn.IFS('Prepare Gantt Chart'!AO33=6,'Project types'!$L34*('Prepare Gantt Chart'!$I33*'Prepare Gantt Chart'!$J33),'Prepare Gantt Chart'!AO33=5,'Project types'!$L34*('Prepare Gantt Chart'!$I33*'Prepare Gantt Chart'!$J33),'Prepare Gantt Chart'!AO33=0,0)</f>
        <v>0</v>
      </c>
      <c r="BL34" s="46">
        <f t="shared" si="1"/>
        <v>0</v>
      </c>
      <c r="BM34" s="75">
        <f>IF('Prepare Gantt Chart'!$J33=0,0,SUM(AL34:AQ34)/6/'Prepare Gantt Chart'!$J33)</f>
        <v>0</v>
      </c>
      <c r="BN34" s="75">
        <f>IF('Prepare Gantt Chart'!$J33=0,0,SUM(AR34:AV34)/5/'Prepare Gantt Chart'!$J33)</f>
        <v>0</v>
      </c>
      <c r="BO34" s="75">
        <f>IF('Prepare Gantt Chart'!$J33=0,0,SUM(AW34:BA34)/5/'Prepare Gantt Chart'!$J33)</f>
        <v>0</v>
      </c>
      <c r="BP34" s="75">
        <f>IF('Prepare Gantt Chart'!$J33=0,0,SUM(BB34:BF34)/5/'Prepare Gantt Chart'!$J33)</f>
        <v>0</v>
      </c>
      <c r="BQ34" s="75">
        <f>IF('Prepare Gantt Chart'!$J33=0,0,SUM(BG34:BK34)/5/'Prepare Gantt Chart'!$J33)</f>
        <v>0</v>
      </c>
    </row>
    <row r="35" spans="1:69" ht="16" thickBot="1" x14ac:dyDescent="0.25">
      <c r="A35" s="25" t="s">
        <v>34</v>
      </c>
      <c r="B35" s="8" t="s">
        <v>118</v>
      </c>
      <c r="C35" s="50">
        <f>_xlfn.IFS('Prepare Gantt Chart'!P34=6,'Project types'!$O35*('Prepare Gantt Chart'!$I34*'Prepare Gantt Chart'!$J34),'Prepare Gantt Chart'!P34=5,'Project types'!$Q35*('Prepare Gantt Chart'!$I34*'Prepare Gantt Chart'!$J34),'Prepare Gantt Chart'!P34=0,0)</f>
        <v>0</v>
      </c>
      <c r="D35" s="50">
        <f>_xlfn.IFS('Prepare Gantt Chart'!Q34=6,'Project types'!$O35*('Prepare Gantt Chart'!$I34*'Prepare Gantt Chart'!$J34),'Prepare Gantt Chart'!Q34=5,'Project types'!$Q35*('Prepare Gantt Chart'!$I34*'Prepare Gantt Chart'!$J34),'Prepare Gantt Chart'!Q34=0,0)</f>
        <v>0</v>
      </c>
      <c r="E35" s="50">
        <f>_xlfn.IFS('Prepare Gantt Chart'!R34=6,'Project types'!$O35*('Prepare Gantt Chart'!$I34*'Prepare Gantt Chart'!$J34),'Prepare Gantt Chart'!R34=5,'Project types'!$Q35*('Prepare Gantt Chart'!$I34*'Prepare Gantt Chart'!$J34),'Prepare Gantt Chart'!R34=0,0)</f>
        <v>0</v>
      </c>
      <c r="F35" s="50">
        <f>_xlfn.IFS('Prepare Gantt Chart'!S34=6,'Project types'!$O35*('Prepare Gantt Chart'!$I34*'Prepare Gantt Chart'!$J34),'Prepare Gantt Chart'!S34=5,'Project types'!$Q35*('Prepare Gantt Chart'!$I34*'Prepare Gantt Chart'!$J34),'Prepare Gantt Chart'!S34=0,0)</f>
        <v>0</v>
      </c>
      <c r="G35" s="50">
        <f>_xlfn.IFS('Prepare Gantt Chart'!T34=6,'Project types'!$O35*('Prepare Gantt Chart'!$I34*'Prepare Gantt Chart'!$J34),'Prepare Gantt Chart'!T34=5,'Project types'!$Q35*('Prepare Gantt Chart'!$I34*'Prepare Gantt Chart'!$J34),'Prepare Gantt Chart'!T34=0,0)</f>
        <v>0</v>
      </c>
      <c r="H35" s="50">
        <f>_xlfn.IFS('Prepare Gantt Chart'!U34=6,'Project types'!$O35*('Prepare Gantt Chart'!$I34*'Prepare Gantt Chart'!$J34),'Prepare Gantt Chart'!U34=5,'Project types'!$Q35*('Prepare Gantt Chart'!$I34*'Prepare Gantt Chart'!$J34),'Prepare Gantt Chart'!U34=0,0)</f>
        <v>0</v>
      </c>
      <c r="I35" s="50">
        <f>_xlfn.IFS('Prepare Gantt Chart'!V34=6,'Project types'!$O35*('Prepare Gantt Chart'!$I34*'Prepare Gantt Chart'!$J34),'Prepare Gantt Chart'!V34=5,'Project types'!$Q35*('Prepare Gantt Chart'!$I34*'Prepare Gantt Chart'!$J34),'Prepare Gantt Chart'!V34=0,0)</f>
        <v>0</v>
      </c>
      <c r="J35" s="50">
        <f>_xlfn.IFS('Prepare Gantt Chart'!W34=6,'Project types'!$O35*('Prepare Gantt Chart'!$I34*'Prepare Gantt Chart'!$J34),'Prepare Gantt Chart'!W34=5,'Project types'!$Q35*('Prepare Gantt Chart'!$I34*'Prepare Gantt Chart'!$J34),'Prepare Gantt Chart'!W34=0,0)</f>
        <v>0</v>
      </c>
      <c r="K35" s="50">
        <f>_xlfn.IFS('Prepare Gantt Chart'!X34=6,'Project types'!$O35*('Prepare Gantt Chart'!$I34*'Prepare Gantt Chart'!$J34),'Prepare Gantt Chart'!X34=5,'Project types'!$Q35*('Prepare Gantt Chart'!$I34*'Prepare Gantt Chart'!$J34),'Prepare Gantt Chart'!X34=0,0)</f>
        <v>0</v>
      </c>
      <c r="L35" s="50">
        <f>_xlfn.IFS('Prepare Gantt Chart'!Y34=6,'Project types'!$O35*('Prepare Gantt Chart'!$I34*'Prepare Gantt Chart'!$J34),'Prepare Gantt Chart'!Y34=5,'Project types'!$Q35*('Prepare Gantt Chart'!$I34*'Prepare Gantt Chart'!$J34),'Prepare Gantt Chart'!Y34=0,0)</f>
        <v>0</v>
      </c>
      <c r="M35" s="50">
        <f>_xlfn.IFS('Prepare Gantt Chart'!Z34=6,'Project types'!$O35*('Prepare Gantt Chart'!$I34*'Prepare Gantt Chart'!$J34),'Prepare Gantt Chart'!Z34=5,'Project types'!$Q35*('Prepare Gantt Chart'!$I34*'Prepare Gantt Chart'!$J34),'Prepare Gantt Chart'!Z34=0,0)</f>
        <v>0</v>
      </c>
      <c r="N35" s="50">
        <f>_xlfn.IFS('Prepare Gantt Chart'!AA34=6,'Project types'!$O35*('Prepare Gantt Chart'!$I34*'Prepare Gantt Chart'!$J34),'Prepare Gantt Chart'!AA34=5,'Project types'!$Q35*('Prepare Gantt Chart'!$I34*'Prepare Gantt Chart'!$J34),'Prepare Gantt Chart'!AA34=0,0)</f>
        <v>0</v>
      </c>
      <c r="O35" s="50">
        <f>_xlfn.IFS('Prepare Gantt Chart'!AB34=6,'Project types'!$O35*('Prepare Gantt Chart'!$I34*'Prepare Gantt Chart'!$J34),'Prepare Gantt Chart'!AB34=5,'Project types'!$Q35*('Prepare Gantt Chart'!$I34*'Prepare Gantt Chart'!$J34),'Prepare Gantt Chart'!AB34=0,0)</f>
        <v>0</v>
      </c>
      <c r="P35" s="50">
        <f>_xlfn.IFS('Prepare Gantt Chart'!AC34=6,'Project types'!$O35*('Prepare Gantt Chart'!$I34*'Prepare Gantt Chart'!$J34),'Prepare Gantt Chart'!AC34=5,'Project types'!$Q35*('Prepare Gantt Chart'!$I34*'Prepare Gantt Chart'!$J34),'Prepare Gantt Chart'!AC34=0,0)</f>
        <v>0</v>
      </c>
      <c r="Q35" s="50">
        <f>_xlfn.IFS('Prepare Gantt Chart'!AD34=6,'Project types'!$O35*('Prepare Gantt Chart'!$I34*'Prepare Gantt Chart'!$J34),'Prepare Gantt Chart'!AD34=5,'Project types'!$Q35*('Prepare Gantt Chart'!$I34*'Prepare Gantt Chart'!$J34),'Prepare Gantt Chart'!AD34=0,0)</f>
        <v>0</v>
      </c>
      <c r="R35" s="50">
        <f>_xlfn.IFS('Prepare Gantt Chart'!AE34=6,'Project types'!$O35*('Prepare Gantt Chart'!$I34*'Prepare Gantt Chart'!$J34),'Prepare Gantt Chart'!AE34=5,'Project types'!$Q35*('Prepare Gantt Chart'!$I34*'Prepare Gantt Chart'!$J34),'Prepare Gantt Chart'!AE34=0,0)</f>
        <v>0</v>
      </c>
      <c r="S35" s="50">
        <f>_xlfn.IFS('Prepare Gantt Chart'!AF34=6,'Project types'!$O35*('Prepare Gantt Chart'!$I34*'Prepare Gantt Chart'!$J34),'Prepare Gantt Chart'!AF34=5,'Project types'!$Q35*('Prepare Gantt Chart'!$I34*'Prepare Gantt Chart'!$J34),'Prepare Gantt Chart'!AF34=0,0)</f>
        <v>0</v>
      </c>
      <c r="T35" s="50">
        <f>_xlfn.IFS('Prepare Gantt Chart'!AG34=6,'Project types'!$O35*('Prepare Gantt Chart'!$I34*'Prepare Gantt Chart'!$J34),'Prepare Gantt Chart'!AG34=5,'Project types'!$Q35*('Prepare Gantt Chart'!$I34*'Prepare Gantt Chart'!$J34),'Prepare Gantt Chart'!AG34=0,0)</f>
        <v>0</v>
      </c>
      <c r="U35" s="50">
        <f>_xlfn.IFS('Prepare Gantt Chart'!AH34=6,'Project types'!$O35*('Prepare Gantt Chart'!$I34*'Prepare Gantt Chart'!$J34),'Prepare Gantt Chart'!AH34=5,'Project types'!$Q35*('Prepare Gantt Chart'!$I34*'Prepare Gantt Chart'!$J34),'Prepare Gantt Chart'!AH34=0,0)</f>
        <v>0</v>
      </c>
      <c r="V35" s="50">
        <f>_xlfn.IFS('Prepare Gantt Chart'!AI34=6,'Project types'!$O35*('Prepare Gantt Chart'!$I34*'Prepare Gantt Chart'!$J34),'Prepare Gantt Chart'!AI34=5,'Project types'!$Q35*('Prepare Gantt Chart'!$I34*'Prepare Gantt Chart'!$J34),'Prepare Gantt Chart'!AI34=0,0)</f>
        <v>0</v>
      </c>
      <c r="W35" s="50">
        <f>_xlfn.IFS('Prepare Gantt Chart'!AJ34=6,'Project types'!$O35*('Prepare Gantt Chart'!$I34*'Prepare Gantt Chart'!$J34),'Prepare Gantt Chart'!AJ34=5,'Project types'!$Q35*('Prepare Gantt Chart'!$I34*'Prepare Gantt Chart'!$J34),'Prepare Gantt Chart'!AJ34=0,0)</f>
        <v>0</v>
      </c>
      <c r="X35" s="50">
        <f>_xlfn.IFS('Prepare Gantt Chart'!AK34=6,'Project types'!$O35*('Prepare Gantt Chart'!$I34*'Prepare Gantt Chart'!$J34),'Prepare Gantt Chart'!AK34=5,'Project types'!$Q35*('Prepare Gantt Chart'!$I34*'Prepare Gantt Chart'!$J34),'Prepare Gantt Chart'!AK34=0,0)</f>
        <v>0</v>
      </c>
      <c r="Y35" s="50">
        <f>_xlfn.IFS('Prepare Gantt Chart'!AL34=6,'Project types'!$O35*('Prepare Gantt Chart'!$I34*'Prepare Gantt Chart'!$J34),'Prepare Gantt Chart'!AL34=5,'Project types'!$Q35*('Prepare Gantt Chart'!$I34*'Prepare Gantt Chart'!$J34),'Prepare Gantt Chart'!AL34=0,0)</f>
        <v>0</v>
      </c>
      <c r="Z35" s="50">
        <f>_xlfn.IFS('Prepare Gantt Chart'!AM34=6,'Project types'!$O35*('Prepare Gantt Chart'!$I34*'Prepare Gantt Chart'!$J34),'Prepare Gantt Chart'!AM34=5,'Project types'!$Q35*('Prepare Gantt Chart'!$I34*'Prepare Gantt Chart'!$J34),'Prepare Gantt Chart'!AM34=0,0)</f>
        <v>0</v>
      </c>
      <c r="AA35" s="50">
        <f>_xlfn.IFS('Prepare Gantt Chart'!AN34=6,'Project types'!$O35*('Prepare Gantt Chart'!$I34*'Prepare Gantt Chart'!$J34),'Prepare Gantt Chart'!AN34=5,'Project types'!$Q35*('Prepare Gantt Chart'!$I34*'Prepare Gantt Chart'!$J34),'Prepare Gantt Chart'!AN34=0,0)</f>
        <v>0</v>
      </c>
      <c r="AB35" s="50">
        <f>_xlfn.IFS('Prepare Gantt Chart'!AO34=6,'Project types'!$O35*('Prepare Gantt Chart'!$I34*'Prepare Gantt Chart'!$J34),'Prepare Gantt Chart'!AO34=5,'Project types'!$Q35*('Prepare Gantt Chart'!$I34*'Prepare Gantt Chart'!$J34),'Prepare Gantt Chart'!AO34=0,0)</f>
        <v>0</v>
      </c>
      <c r="AC35" s="50">
        <f>'Prepare Gantt Chart'!J34*'Prepare Gantt Chart'!I34*(AD35/26)</f>
        <v>0</v>
      </c>
      <c r="AD35" s="51">
        <f t="shared" si="0"/>
        <v>0</v>
      </c>
      <c r="AE35" s="73">
        <f>IF('Prepare Gantt Chart'!$J34=0,0,SUM(C35:H35)/6/'Prepare Gantt Chart'!$J34)</f>
        <v>0</v>
      </c>
      <c r="AF35" s="73">
        <f>IF('Prepare Gantt Chart'!$J34=0,0,SUM(I35:M35)/5/'Prepare Gantt Chart'!$J34)</f>
        <v>0</v>
      </c>
      <c r="AG35" s="73">
        <f>IF('Prepare Gantt Chart'!$J34=0,0,SUM(N35:R35)/5/'Prepare Gantt Chart'!$J34)</f>
        <v>0</v>
      </c>
      <c r="AH35" s="73">
        <f>IF('Prepare Gantt Chart'!$J34=0,0,SUM(S35:W35)/5/'Prepare Gantt Chart'!$J34)</f>
        <v>0</v>
      </c>
      <c r="AI35" s="73">
        <f>IF('Prepare Gantt Chart'!$J34=0,0,SUM(X35:AB35)/5/'Prepare Gantt Chart'!$J34)</f>
        <v>0</v>
      </c>
      <c r="AK35" s="25" t="s">
        <v>34</v>
      </c>
      <c r="AL35" s="50">
        <f>_xlfn.IFS('Prepare Gantt Chart'!P34=6,'Project types'!$L35*('Prepare Gantt Chart'!$I34*'Prepare Gantt Chart'!$J34),'Prepare Gantt Chart'!P34=5,'Project types'!$L35*('Prepare Gantt Chart'!$I34*'Prepare Gantt Chart'!$J34),'Prepare Gantt Chart'!P34=0,0)</f>
        <v>0</v>
      </c>
      <c r="AM35" s="50">
        <f>_xlfn.IFS('Prepare Gantt Chart'!Q34=6,'Project types'!$L35*('Prepare Gantt Chart'!$I34*'Prepare Gantt Chart'!$J34),'Prepare Gantt Chart'!Q34=5,'Project types'!$L35*('Prepare Gantt Chart'!$I34*'Prepare Gantt Chart'!$J34),'Prepare Gantt Chart'!Q34=0,0)</f>
        <v>0</v>
      </c>
      <c r="AN35" s="50">
        <f>_xlfn.IFS('Prepare Gantt Chart'!R34=6,'Project types'!$L35*('Prepare Gantt Chart'!$I34*'Prepare Gantt Chart'!$J34),'Prepare Gantt Chart'!R34=5,'Project types'!$L35*('Prepare Gantt Chart'!$I34*'Prepare Gantt Chart'!$J34),'Prepare Gantt Chart'!R34=0,0)</f>
        <v>0</v>
      </c>
      <c r="AO35" s="50">
        <f>_xlfn.IFS('Prepare Gantt Chart'!S34=6,'Project types'!$L35*('Prepare Gantt Chart'!$I34*'Prepare Gantt Chart'!$J34),'Prepare Gantt Chart'!S34=5,'Project types'!$L35*('Prepare Gantt Chart'!$I34*'Prepare Gantt Chart'!$J34),'Prepare Gantt Chart'!S34=0,0)</f>
        <v>0</v>
      </c>
      <c r="AP35" s="50">
        <f>_xlfn.IFS('Prepare Gantt Chart'!T34=6,'Project types'!$L35*('Prepare Gantt Chart'!$I34*'Prepare Gantt Chart'!$J34),'Prepare Gantt Chart'!T34=5,'Project types'!$L35*('Prepare Gantt Chart'!$I34*'Prepare Gantt Chart'!$J34),'Prepare Gantt Chart'!T34=0,0)</f>
        <v>0</v>
      </c>
      <c r="AQ35" s="50">
        <f>_xlfn.IFS('Prepare Gantt Chart'!U34=6,'Project types'!$L35*('Prepare Gantt Chart'!$I34*'Prepare Gantt Chart'!$J34),'Prepare Gantt Chart'!U34=5,'Project types'!$L35*('Prepare Gantt Chart'!$I34*'Prepare Gantt Chart'!$J34),'Prepare Gantt Chart'!U34=0,0)</f>
        <v>0</v>
      </c>
      <c r="AR35" s="50">
        <f>_xlfn.IFS('Prepare Gantt Chart'!V34=6,'Project types'!$L35*('Prepare Gantt Chart'!$I34*'Prepare Gantt Chart'!$J34),'Prepare Gantt Chart'!V34=5,'Project types'!$L35*('Prepare Gantt Chart'!$I34*'Prepare Gantt Chart'!$J34),'Prepare Gantt Chart'!V34=0,0)</f>
        <v>0</v>
      </c>
      <c r="AS35" s="50">
        <f>_xlfn.IFS('Prepare Gantt Chart'!W34=6,'Project types'!$L35*('Prepare Gantt Chart'!$I34*'Prepare Gantt Chart'!$J34),'Prepare Gantt Chart'!W34=5,'Project types'!$L35*('Prepare Gantt Chart'!$I34*'Prepare Gantt Chart'!$J34),'Prepare Gantt Chart'!W34=0,0)</f>
        <v>0</v>
      </c>
      <c r="AT35" s="50">
        <f>_xlfn.IFS('Prepare Gantt Chart'!X34=6,'Project types'!$L35*('Prepare Gantt Chart'!$I34*'Prepare Gantt Chart'!$J34),'Prepare Gantt Chart'!X34=5,'Project types'!$L35*('Prepare Gantt Chart'!$I34*'Prepare Gantt Chart'!$J34),'Prepare Gantt Chart'!X34=0,0)</f>
        <v>0</v>
      </c>
      <c r="AU35" s="50">
        <f>_xlfn.IFS('Prepare Gantt Chart'!Y34=6,'Project types'!$L35*('Prepare Gantt Chart'!$I34*'Prepare Gantt Chart'!$J34),'Prepare Gantt Chart'!Y34=5,'Project types'!$L35*('Prepare Gantt Chart'!$I34*'Prepare Gantt Chart'!$J34),'Prepare Gantt Chart'!Y34=0,0)</f>
        <v>0</v>
      </c>
      <c r="AV35" s="50">
        <f>_xlfn.IFS('Prepare Gantt Chart'!Z34=6,'Project types'!$L35*('Prepare Gantt Chart'!$I34*'Prepare Gantt Chart'!$J34),'Prepare Gantt Chart'!Z34=5,'Project types'!$L35*('Prepare Gantt Chart'!$I34*'Prepare Gantt Chart'!$J34),'Prepare Gantt Chart'!Z34=0,0)</f>
        <v>0</v>
      </c>
      <c r="AW35" s="50">
        <f>_xlfn.IFS('Prepare Gantt Chart'!AA34=6,'Project types'!$L35*('Prepare Gantt Chart'!$I34*'Prepare Gantt Chart'!$J34),'Prepare Gantt Chart'!AA34=5,'Project types'!$L35*('Prepare Gantt Chart'!$I34*'Prepare Gantt Chart'!$J34),'Prepare Gantt Chart'!AA34=0,0)</f>
        <v>0</v>
      </c>
      <c r="AX35" s="50">
        <f>_xlfn.IFS('Prepare Gantt Chart'!AB34=6,'Project types'!$L35*('Prepare Gantt Chart'!$I34*'Prepare Gantt Chart'!$J34),'Prepare Gantt Chart'!AB34=5,'Project types'!$L35*('Prepare Gantt Chart'!$I34*'Prepare Gantt Chart'!$J34),'Prepare Gantt Chart'!AB34=0,0)</f>
        <v>0</v>
      </c>
      <c r="AY35" s="50">
        <f>_xlfn.IFS('Prepare Gantt Chart'!AC34=6,'Project types'!$L35*('Prepare Gantt Chart'!$I34*'Prepare Gantt Chart'!$J34),'Prepare Gantt Chart'!AC34=5,'Project types'!$L35*('Prepare Gantt Chart'!$I34*'Prepare Gantt Chart'!$J34),'Prepare Gantt Chart'!AC34=0,0)</f>
        <v>0</v>
      </c>
      <c r="AZ35" s="50">
        <f>_xlfn.IFS('Prepare Gantt Chart'!AD34=6,'Project types'!$L35*('Prepare Gantt Chart'!$I34*'Prepare Gantt Chart'!$J34),'Prepare Gantt Chart'!AD34=5,'Project types'!$L35*('Prepare Gantt Chart'!$I34*'Prepare Gantt Chart'!$J34),'Prepare Gantt Chart'!AD34=0,0)</f>
        <v>0</v>
      </c>
      <c r="BA35" s="50">
        <f>_xlfn.IFS('Prepare Gantt Chart'!AE34=6,'Project types'!$L35*('Prepare Gantt Chart'!$I34*'Prepare Gantt Chart'!$J34),'Prepare Gantt Chart'!AE34=5,'Project types'!$L35*('Prepare Gantt Chart'!$I34*'Prepare Gantt Chart'!$J34),'Prepare Gantt Chart'!AE34=0,0)</f>
        <v>0</v>
      </c>
      <c r="BB35" s="50">
        <f>_xlfn.IFS('Prepare Gantt Chart'!AF34=6,'Project types'!$L35*('Prepare Gantt Chart'!$I34*'Prepare Gantt Chart'!$J34),'Prepare Gantt Chart'!AF34=5,'Project types'!$L35*('Prepare Gantt Chart'!$I34*'Prepare Gantt Chart'!$J34),'Prepare Gantt Chart'!AF34=0,0)</f>
        <v>0</v>
      </c>
      <c r="BC35" s="50">
        <f>_xlfn.IFS('Prepare Gantt Chart'!AG34=6,'Project types'!$L35*('Prepare Gantt Chart'!$I34*'Prepare Gantt Chart'!$J34),'Prepare Gantt Chart'!AG34=5,'Project types'!$L35*('Prepare Gantt Chart'!$I34*'Prepare Gantt Chart'!$J34),'Prepare Gantt Chart'!AG34=0,0)</f>
        <v>0</v>
      </c>
      <c r="BD35" s="50">
        <f>_xlfn.IFS('Prepare Gantt Chart'!AH34=6,'Project types'!$L35*('Prepare Gantt Chart'!$I34*'Prepare Gantt Chart'!$J34),'Prepare Gantt Chart'!AH34=5,'Project types'!$L35*('Prepare Gantt Chart'!$I34*'Prepare Gantt Chart'!$J34),'Prepare Gantt Chart'!AH34=0,0)</f>
        <v>0</v>
      </c>
      <c r="BE35" s="50">
        <f>_xlfn.IFS('Prepare Gantt Chart'!AI34=6,'Project types'!$L35*('Prepare Gantt Chart'!$I34*'Prepare Gantt Chart'!$J34),'Prepare Gantt Chart'!AI34=5,'Project types'!$L35*('Prepare Gantt Chart'!$I34*'Prepare Gantt Chart'!$J34),'Prepare Gantt Chart'!AI34=0,0)</f>
        <v>0</v>
      </c>
      <c r="BF35" s="50">
        <f>_xlfn.IFS('Prepare Gantt Chart'!AJ34=6,'Project types'!$L35*('Prepare Gantt Chart'!$I34*'Prepare Gantt Chart'!$J34),'Prepare Gantt Chart'!AJ34=5,'Project types'!$L35*('Prepare Gantt Chart'!$I34*'Prepare Gantt Chart'!$J34),'Prepare Gantt Chart'!AJ34=0,0)</f>
        <v>0</v>
      </c>
      <c r="BG35" s="50">
        <f>_xlfn.IFS('Prepare Gantt Chart'!AK34=6,'Project types'!$L35*('Prepare Gantt Chart'!$I34*'Prepare Gantt Chart'!$J34),'Prepare Gantt Chart'!AK34=5,'Project types'!$L35*('Prepare Gantt Chart'!$I34*'Prepare Gantt Chart'!$J34),'Prepare Gantt Chart'!AK34=0,0)</f>
        <v>0</v>
      </c>
      <c r="BH35" s="50">
        <f>_xlfn.IFS('Prepare Gantt Chart'!AL34=6,'Project types'!$L35*('Prepare Gantt Chart'!$I34*'Prepare Gantt Chart'!$J34),'Prepare Gantt Chart'!AL34=5,'Project types'!$L35*('Prepare Gantt Chart'!$I34*'Prepare Gantt Chart'!$J34),'Prepare Gantt Chart'!AL34=0,0)</f>
        <v>0</v>
      </c>
      <c r="BI35" s="50">
        <f>_xlfn.IFS('Prepare Gantt Chart'!AM34=6,'Project types'!$L35*('Prepare Gantt Chart'!$I34*'Prepare Gantt Chart'!$J34),'Prepare Gantt Chart'!AM34=5,'Project types'!$L35*('Prepare Gantt Chart'!$I34*'Prepare Gantt Chart'!$J34),'Prepare Gantt Chart'!AM34=0,0)</f>
        <v>0</v>
      </c>
      <c r="BJ35" s="50">
        <f>_xlfn.IFS('Prepare Gantt Chart'!AN34=6,'Project types'!$L35*('Prepare Gantt Chart'!$I34*'Prepare Gantt Chart'!$J34),'Prepare Gantt Chart'!AN34=5,'Project types'!$L35*('Prepare Gantt Chart'!$I34*'Prepare Gantt Chart'!$J34),'Prepare Gantt Chart'!AN34=0,0)</f>
        <v>0</v>
      </c>
      <c r="BK35" s="50">
        <f>_xlfn.IFS('Prepare Gantt Chart'!AO34=6,'Project types'!$L35*('Prepare Gantt Chart'!$I34*'Prepare Gantt Chart'!$J34),'Prepare Gantt Chart'!AO34=5,'Project types'!$L35*('Prepare Gantt Chart'!$I34*'Prepare Gantt Chart'!$J34),'Prepare Gantt Chart'!AO34=0,0)</f>
        <v>0</v>
      </c>
      <c r="BL35" s="51">
        <f t="shared" si="1"/>
        <v>0</v>
      </c>
      <c r="BM35" s="76">
        <f>IF('Prepare Gantt Chart'!$J34=0,0,SUM(AL35:AQ35)/6/'Prepare Gantt Chart'!$J34)</f>
        <v>0</v>
      </c>
      <c r="BN35" s="76">
        <f>IF('Prepare Gantt Chart'!$J34=0,0,SUM(AR35:AV35)/5/'Prepare Gantt Chart'!$J34)</f>
        <v>0</v>
      </c>
      <c r="BO35" s="76">
        <f>IF('Prepare Gantt Chart'!$J34=0,0,SUM(AW35:BA35)/5/'Prepare Gantt Chart'!$J34)</f>
        <v>0</v>
      </c>
      <c r="BP35" s="76">
        <f>IF('Prepare Gantt Chart'!$J34=0,0,SUM(BB35:BF35)/5/'Prepare Gantt Chart'!$J34)</f>
        <v>0</v>
      </c>
      <c r="BQ35" s="76">
        <f>IF('Prepare Gantt Chart'!$J34=0,0,SUM(BG35:BK35)/5/'Prepare Gantt Chart'!$J34)</f>
        <v>0</v>
      </c>
    </row>
    <row r="36" spans="1:69" x14ac:dyDescent="0.2">
      <c r="A36" s="26" t="s">
        <v>35</v>
      </c>
      <c r="B36" s="1" t="s">
        <v>395</v>
      </c>
      <c r="C36" s="45">
        <f>_xlfn.IFS('Prepare Gantt Chart'!P35=8,'Project types'!$O36*('Prepare Gantt Chart'!$I35*'Prepare Gantt Chart'!$J35),'Prepare Gantt Chart'!P35=7,'Project types'!$Q36*('Prepare Gantt Chart'!$I35*'Prepare Gantt Chart'!$J35),'Prepare Gantt Chart'!P35=0,0)</f>
        <v>0</v>
      </c>
      <c r="D36" s="45">
        <f>_xlfn.IFS('Prepare Gantt Chart'!Q35=8,'Project types'!$O36*('Prepare Gantt Chart'!$I35*'Prepare Gantt Chart'!$J35),'Prepare Gantt Chart'!Q35=7,'Project types'!$Q36*('Prepare Gantt Chart'!$I35*'Prepare Gantt Chart'!$J35),'Prepare Gantt Chart'!Q35=0,0)</f>
        <v>0</v>
      </c>
      <c r="E36" s="45">
        <f>_xlfn.IFS('Prepare Gantt Chart'!R35=8,'Project types'!$O36*('Prepare Gantt Chart'!$I35*'Prepare Gantt Chart'!$J35),'Prepare Gantt Chart'!R35=7,'Project types'!$Q36*('Prepare Gantt Chart'!$I35*'Prepare Gantt Chart'!$J35),'Prepare Gantt Chart'!R35=0,0)</f>
        <v>0</v>
      </c>
      <c r="F36" s="45">
        <f>_xlfn.IFS('Prepare Gantt Chart'!S35=8,'Project types'!$O36*('Prepare Gantt Chart'!$I35*'Prepare Gantt Chart'!$J35),'Prepare Gantt Chart'!S35=7,'Project types'!$Q36*('Prepare Gantt Chart'!$I35*'Prepare Gantt Chart'!$J35),'Prepare Gantt Chart'!S35=0,0)</f>
        <v>0</v>
      </c>
      <c r="G36" s="45">
        <f>_xlfn.IFS('Prepare Gantt Chart'!T35=8,'Project types'!$O36*('Prepare Gantt Chart'!$I35*'Prepare Gantt Chart'!$J35),'Prepare Gantt Chart'!T35=7,'Project types'!$Q36*('Prepare Gantt Chart'!$I35*'Prepare Gantt Chart'!$J35),'Prepare Gantt Chart'!T35=0,0)</f>
        <v>0</v>
      </c>
      <c r="H36" s="45">
        <f>_xlfn.IFS('Prepare Gantt Chart'!U35=8,'Project types'!$O36*('Prepare Gantt Chart'!$I35*'Prepare Gantt Chart'!$J35),'Prepare Gantt Chart'!U35=7,'Project types'!$Q36*('Prepare Gantt Chart'!$I35*'Prepare Gantt Chart'!$J35),'Prepare Gantt Chart'!U35=0,0)</f>
        <v>0</v>
      </c>
      <c r="I36" s="45">
        <f>_xlfn.IFS('Prepare Gantt Chart'!V35=8,'Project types'!$O36*('Prepare Gantt Chart'!$I35*'Prepare Gantt Chart'!$J35),'Prepare Gantt Chart'!V35=7,'Project types'!$Q36*('Prepare Gantt Chart'!$I35*'Prepare Gantt Chart'!$J35),'Prepare Gantt Chart'!V35=0,0)</f>
        <v>0</v>
      </c>
      <c r="J36" s="45">
        <f>_xlfn.IFS('Prepare Gantt Chart'!W35=8,'Project types'!$O36*('Prepare Gantt Chart'!$I35*'Prepare Gantt Chart'!$J35),'Prepare Gantt Chart'!W35=7,'Project types'!$Q36*('Prepare Gantt Chart'!$I35*'Prepare Gantt Chart'!$J35),'Prepare Gantt Chart'!W35=0,0)</f>
        <v>0</v>
      </c>
      <c r="K36" s="45">
        <f>_xlfn.IFS('Prepare Gantt Chart'!X35=8,'Project types'!$O36*('Prepare Gantt Chart'!$I35*'Prepare Gantt Chart'!$J35),'Prepare Gantt Chart'!X35=7,'Project types'!$Q36*('Prepare Gantt Chart'!$I35*'Prepare Gantt Chart'!$J35),'Prepare Gantt Chart'!X35=0,0)</f>
        <v>0</v>
      </c>
      <c r="L36" s="45">
        <f>_xlfn.IFS('Prepare Gantt Chart'!Y35=8,'Project types'!$O36*('Prepare Gantt Chart'!$I35*'Prepare Gantt Chart'!$J35),'Prepare Gantt Chart'!Y35=7,'Project types'!$Q36*('Prepare Gantt Chart'!$I35*'Prepare Gantt Chart'!$J35),'Prepare Gantt Chart'!Y35=0,0)</f>
        <v>0</v>
      </c>
      <c r="M36" s="45">
        <f>_xlfn.IFS('Prepare Gantt Chart'!Z35=8,'Project types'!$O36*('Prepare Gantt Chart'!$I35*'Prepare Gantt Chart'!$J35),'Prepare Gantt Chart'!Z35=7,'Project types'!$Q36*('Prepare Gantt Chart'!$I35*'Prepare Gantt Chart'!$J35),'Prepare Gantt Chart'!Z35=0,0)</f>
        <v>0</v>
      </c>
      <c r="N36" s="45">
        <f>_xlfn.IFS('Prepare Gantt Chart'!AA35=8,'Project types'!$O36*('Prepare Gantt Chart'!$I35*'Prepare Gantt Chart'!$J35),'Prepare Gantt Chart'!AA35=7,'Project types'!$Q36*('Prepare Gantt Chart'!$I35*'Prepare Gantt Chart'!$J35),'Prepare Gantt Chart'!AA35=0,0)</f>
        <v>0</v>
      </c>
      <c r="O36" s="45">
        <f>_xlfn.IFS('Prepare Gantt Chart'!AB35=8,'Project types'!$O36*('Prepare Gantt Chart'!$I35*'Prepare Gantt Chart'!$J35),'Prepare Gantt Chart'!AB35=7,'Project types'!$Q36*('Prepare Gantt Chart'!$I35*'Prepare Gantt Chart'!$J35),'Prepare Gantt Chart'!AB35=0,0)</f>
        <v>0</v>
      </c>
      <c r="P36" s="45">
        <f>_xlfn.IFS('Prepare Gantt Chart'!AC35=8,'Project types'!$O36*('Prepare Gantt Chart'!$I35*'Prepare Gantt Chart'!$J35),'Prepare Gantt Chart'!AC35=7,'Project types'!$Q36*('Prepare Gantt Chart'!$I35*'Prepare Gantt Chart'!$J35),'Prepare Gantt Chart'!AC35=0,0)</f>
        <v>0</v>
      </c>
      <c r="Q36" s="45">
        <f>_xlfn.IFS('Prepare Gantt Chart'!AD35=8,'Project types'!$O36*('Prepare Gantt Chart'!$I35*'Prepare Gantt Chart'!$J35),'Prepare Gantt Chart'!AD35=7,'Project types'!$Q36*('Prepare Gantt Chart'!$I35*'Prepare Gantt Chart'!$J35),'Prepare Gantt Chart'!AD35=0,0)</f>
        <v>0</v>
      </c>
      <c r="R36" s="45">
        <f>_xlfn.IFS('Prepare Gantt Chart'!AE35=8,'Project types'!$O36*('Prepare Gantt Chart'!$I35*'Prepare Gantt Chart'!$J35),'Prepare Gantt Chart'!AE35=7,'Project types'!$Q36*('Prepare Gantt Chart'!$I35*'Prepare Gantt Chart'!$J35),'Prepare Gantt Chart'!AE35=0,0)</f>
        <v>0</v>
      </c>
      <c r="S36" s="45">
        <f>_xlfn.IFS('Prepare Gantt Chart'!AF35=8,'Project types'!$O36*('Prepare Gantt Chart'!$I35*'Prepare Gantt Chart'!$J35),'Prepare Gantt Chart'!AF35=7,'Project types'!$Q36*('Prepare Gantt Chart'!$I35*'Prepare Gantt Chart'!$J35),'Prepare Gantt Chart'!AF35=0,0)</f>
        <v>0</v>
      </c>
      <c r="T36" s="45">
        <f>_xlfn.IFS('Prepare Gantt Chart'!AG35=8,'Project types'!$O36*('Prepare Gantt Chart'!$I35*'Prepare Gantt Chart'!$J35),'Prepare Gantt Chart'!AG35=7,'Project types'!$Q36*('Prepare Gantt Chart'!$I35*'Prepare Gantt Chart'!$J35),'Prepare Gantt Chart'!AG35=0,0)</f>
        <v>0</v>
      </c>
      <c r="U36" s="45">
        <f>_xlfn.IFS('Prepare Gantt Chart'!AH35=8,'Project types'!$O36*('Prepare Gantt Chart'!$I35*'Prepare Gantt Chart'!$J35),'Prepare Gantt Chart'!AH35=7,'Project types'!$Q36*('Prepare Gantt Chart'!$I35*'Prepare Gantt Chart'!$J35),'Prepare Gantt Chart'!AH35=0,0)</f>
        <v>0</v>
      </c>
      <c r="V36" s="45">
        <f>_xlfn.IFS('Prepare Gantt Chart'!AI35=8,'Project types'!$O36*('Prepare Gantt Chart'!$I35*'Prepare Gantt Chart'!$J35),'Prepare Gantt Chart'!AI35=7,'Project types'!$Q36*('Prepare Gantt Chart'!$I35*'Prepare Gantt Chart'!$J35),'Prepare Gantt Chart'!AI35=0,0)</f>
        <v>0</v>
      </c>
      <c r="W36" s="45">
        <f>_xlfn.IFS('Prepare Gantt Chart'!AJ35=8,'Project types'!$O36*('Prepare Gantt Chart'!$I35*'Prepare Gantt Chart'!$J35),'Prepare Gantt Chart'!AJ35=7,'Project types'!$Q36*('Prepare Gantt Chart'!$I35*'Prepare Gantt Chart'!$J35),'Prepare Gantt Chart'!AJ35=0,0)</f>
        <v>0</v>
      </c>
      <c r="X36" s="45">
        <f>_xlfn.IFS('Prepare Gantt Chart'!AK35=8,'Project types'!$O36*('Prepare Gantt Chart'!$I35*'Prepare Gantt Chart'!$J35),'Prepare Gantt Chart'!AK35=7,'Project types'!$Q36*('Prepare Gantt Chart'!$I35*'Prepare Gantt Chart'!$J35),'Prepare Gantt Chart'!AK35=0,0)</f>
        <v>0</v>
      </c>
      <c r="Y36" s="45">
        <f>_xlfn.IFS('Prepare Gantt Chart'!AL35=8,'Project types'!$O36*('Prepare Gantt Chart'!$I35*'Prepare Gantt Chart'!$J35),'Prepare Gantt Chart'!AL35=7,'Project types'!$Q36*('Prepare Gantt Chart'!$I35*'Prepare Gantt Chart'!$J35),'Prepare Gantt Chart'!AL35=0,0)</f>
        <v>0</v>
      </c>
      <c r="Z36" s="45">
        <f>_xlfn.IFS('Prepare Gantt Chart'!AM35=8,'Project types'!$O36*('Prepare Gantt Chart'!$I35*'Prepare Gantt Chart'!$J35),'Prepare Gantt Chart'!AM35=7,'Project types'!$Q36*('Prepare Gantt Chart'!$I35*'Prepare Gantt Chart'!$J35),'Prepare Gantt Chart'!AM35=0,0)</f>
        <v>0</v>
      </c>
      <c r="AA36" s="45">
        <f>_xlfn.IFS('Prepare Gantt Chart'!AN35=8,'Project types'!$O36*('Prepare Gantt Chart'!$I35*'Prepare Gantt Chart'!$J35),'Prepare Gantt Chart'!AN35=7,'Project types'!$Q36*('Prepare Gantt Chart'!$I35*'Prepare Gantt Chart'!$J35),'Prepare Gantt Chart'!AN35=0,0)</f>
        <v>0</v>
      </c>
      <c r="AB36" s="45">
        <f>_xlfn.IFS('Prepare Gantt Chart'!AO35=8,'Project types'!$O36*('Prepare Gantt Chart'!$I35*'Prepare Gantt Chart'!$J35),'Prepare Gantt Chart'!AO35=7,'Project types'!$Q36*('Prepare Gantt Chart'!$I35*'Prepare Gantt Chart'!$J35),'Prepare Gantt Chart'!AO35=0,0)</f>
        <v>0</v>
      </c>
      <c r="AC36" s="45">
        <f>'Prepare Gantt Chart'!J35*'Prepare Gantt Chart'!I35*(AD36/26)</f>
        <v>0</v>
      </c>
      <c r="AD36" s="46">
        <f t="shared" si="0"/>
        <v>0</v>
      </c>
      <c r="AE36" s="72">
        <f>IF('Prepare Gantt Chart'!$J35=0,0,SUM(C36:H36)/6/'Prepare Gantt Chart'!$J35)</f>
        <v>0</v>
      </c>
      <c r="AF36" s="72">
        <f>IF('Prepare Gantt Chart'!$J35=0,0,SUM(I36:M36)/5/'Prepare Gantt Chart'!$J35)</f>
        <v>0</v>
      </c>
      <c r="AG36" s="72">
        <f>IF('Prepare Gantt Chart'!$J35=0,0,SUM(N36:R36)/5/'Prepare Gantt Chart'!$J35)</f>
        <v>0</v>
      </c>
      <c r="AH36" s="72">
        <f>IF('Prepare Gantt Chart'!$J35=0,0,SUM(S36:W36)/5/'Prepare Gantt Chart'!$J35)</f>
        <v>0</v>
      </c>
      <c r="AI36" s="72">
        <f>IF('Prepare Gantt Chart'!$J35=0,0,SUM(X36:AB36)/5/'Prepare Gantt Chart'!$J35)</f>
        <v>0</v>
      </c>
      <c r="AK36" s="26" t="s">
        <v>35</v>
      </c>
      <c r="AL36" s="45">
        <f>_xlfn.IFS('Prepare Gantt Chart'!P35=8,'Project types'!$L36*('Prepare Gantt Chart'!$I35*'Prepare Gantt Chart'!$J35),'Prepare Gantt Chart'!P35=7,'Project types'!$L36*('Prepare Gantt Chart'!$I35*'Prepare Gantt Chart'!$J35),'Prepare Gantt Chart'!P35=0,0)</f>
        <v>0</v>
      </c>
      <c r="AM36" s="45">
        <f>_xlfn.IFS('Prepare Gantt Chart'!Q35=8,'Project types'!$L36*('Prepare Gantt Chart'!$I35*'Prepare Gantt Chart'!$J35),'Prepare Gantt Chart'!Q35=7,'Project types'!$L36*('Prepare Gantt Chart'!$I35*'Prepare Gantt Chart'!$J35),'Prepare Gantt Chart'!Q35=0,0)</f>
        <v>0</v>
      </c>
      <c r="AN36" s="45">
        <f>_xlfn.IFS('Prepare Gantt Chart'!R35=8,'Project types'!$L36*('Prepare Gantt Chart'!$I35*'Prepare Gantt Chart'!$J35),'Prepare Gantt Chart'!R35=7,'Project types'!$L36*('Prepare Gantt Chart'!$I35*'Prepare Gantt Chart'!$J35),'Prepare Gantt Chart'!R35=0,0)</f>
        <v>0</v>
      </c>
      <c r="AO36" s="45">
        <f>_xlfn.IFS('Prepare Gantt Chart'!S35=8,'Project types'!$L36*('Prepare Gantt Chart'!$I35*'Prepare Gantt Chart'!$J35),'Prepare Gantt Chart'!S35=7,'Project types'!$L36*('Prepare Gantt Chart'!$I35*'Prepare Gantt Chart'!$J35),'Prepare Gantt Chart'!S35=0,0)</f>
        <v>0</v>
      </c>
      <c r="AP36" s="45">
        <f>_xlfn.IFS('Prepare Gantt Chart'!T35=8,'Project types'!$L36*('Prepare Gantt Chart'!$I35*'Prepare Gantt Chart'!$J35),'Prepare Gantt Chart'!T35=7,'Project types'!$L36*('Prepare Gantt Chart'!$I35*'Prepare Gantt Chart'!$J35),'Prepare Gantt Chart'!T35=0,0)</f>
        <v>0</v>
      </c>
      <c r="AQ36" s="45">
        <f>_xlfn.IFS('Prepare Gantt Chart'!U35=8,'Project types'!$L36*('Prepare Gantt Chart'!$I35*'Prepare Gantt Chart'!$J35),'Prepare Gantt Chart'!U35=7,'Project types'!$L36*('Prepare Gantt Chart'!$I35*'Prepare Gantt Chart'!$J35),'Prepare Gantt Chart'!U35=0,0)</f>
        <v>0</v>
      </c>
      <c r="AR36" s="45">
        <f>_xlfn.IFS('Prepare Gantt Chart'!V35=8,'Project types'!$L36*('Prepare Gantt Chart'!$I35*'Prepare Gantt Chart'!$J35),'Prepare Gantt Chart'!V35=7,'Project types'!$L36*('Prepare Gantt Chart'!$I35*'Prepare Gantt Chart'!$J35),'Prepare Gantt Chart'!V35=0,0)</f>
        <v>0</v>
      </c>
      <c r="AS36" s="45">
        <f>_xlfn.IFS('Prepare Gantt Chart'!W35=8,'Project types'!$L36*('Prepare Gantt Chart'!$I35*'Prepare Gantt Chart'!$J35),'Prepare Gantt Chart'!W35=7,'Project types'!$L36*('Prepare Gantt Chart'!$I35*'Prepare Gantt Chart'!$J35),'Prepare Gantt Chart'!W35=0,0)</f>
        <v>0</v>
      </c>
      <c r="AT36" s="45">
        <f>_xlfn.IFS('Prepare Gantt Chart'!X35=8,'Project types'!$L36*('Prepare Gantt Chart'!$I35*'Prepare Gantt Chart'!$J35),'Prepare Gantt Chart'!X35=7,'Project types'!$L36*('Prepare Gantt Chart'!$I35*'Prepare Gantt Chart'!$J35),'Prepare Gantt Chart'!X35=0,0)</f>
        <v>0</v>
      </c>
      <c r="AU36" s="45">
        <f>_xlfn.IFS('Prepare Gantt Chart'!Y35=8,'Project types'!$L36*('Prepare Gantt Chart'!$I35*'Prepare Gantt Chart'!$J35),'Prepare Gantt Chart'!Y35=7,'Project types'!$L36*('Prepare Gantt Chart'!$I35*'Prepare Gantt Chart'!$J35),'Prepare Gantt Chart'!Y35=0,0)</f>
        <v>0</v>
      </c>
      <c r="AV36" s="45">
        <f>_xlfn.IFS('Prepare Gantt Chart'!Z35=8,'Project types'!$L36*('Prepare Gantt Chart'!$I35*'Prepare Gantt Chart'!$J35),'Prepare Gantt Chart'!Z35=7,'Project types'!$L36*('Prepare Gantt Chart'!$I35*'Prepare Gantt Chart'!$J35),'Prepare Gantt Chart'!Z35=0,0)</f>
        <v>0</v>
      </c>
      <c r="AW36" s="45">
        <f>_xlfn.IFS('Prepare Gantt Chart'!AA35=8,'Project types'!$L36*('Prepare Gantt Chart'!$I35*'Prepare Gantt Chart'!$J35),'Prepare Gantt Chart'!AA35=7,'Project types'!$L36*('Prepare Gantt Chart'!$I35*'Prepare Gantt Chart'!$J35),'Prepare Gantt Chart'!AA35=0,0)</f>
        <v>0</v>
      </c>
      <c r="AX36" s="45">
        <f>_xlfn.IFS('Prepare Gantt Chart'!AB35=8,'Project types'!$L36*('Prepare Gantt Chart'!$I35*'Prepare Gantt Chart'!$J35),'Prepare Gantt Chart'!AB35=7,'Project types'!$L36*('Prepare Gantt Chart'!$I35*'Prepare Gantt Chart'!$J35),'Prepare Gantt Chart'!AB35=0,0)</f>
        <v>0</v>
      </c>
      <c r="AY36" s="45">
        <f>_xlfn.IFS('Prepare Gantt Chart'!AC35=8,'Project types'!$L36*('Prepare Gantt Chart'!$I35*'Prepare Gantt Chart'!$J35),'Prepare Gantt Chart'!AC35=7,'Project types'!$L36*('Prepare Gantt Chart'!$I35*'Prepare Gantt Chart'!$J35),'Prepare Gantt Chart'!AC35=0,0)</f>
        <v>0</v>
      </c>
      <c r="AZ36" s="45">
        <f>_xlfn.IFS('Prepare Gantt Chart'!AD35=8,'Project types'!$L36*('Prepare Gantt Chart'!$I35*'Prepare Gantt Chart'!$J35),'Prepare Gantt Chart'!AD35=7,'Project types'!$L36*('Prepare Gantt Chart'!$I35*'Prepare Gantt Chart'!$J35),'Prepare Gantt Chart'!AD35=0,0)</f>
        <v>0</v>
      </c>
      <c r="BA36" s="45">
        <f>_xlfn.IFS('Prepare Gantt Chart'!AE35=8,'Project types'!$L36*('Prepare Gantt Chart'!$I35*'Prepare Gantt Chart'!$J35),'Prepare Gantt Chart'!AE35=7,'Project types'!$L36*('Prepare Gantt Chart'!$I35*'Prepare Gantt Chart'!$J35),'Prepare Gantt Chart'!AE35=0,0)</f>
        <v>0</v>
      </c>
      <c r="BB36" s="45">
        <f>_xlfn.IFS('Prepare Gantt Chart'!AF35=8,'Project types'!$L36*('Prepare Gantt Chart'!$I35*'Prepare Gantt Chart'!$J35),'Prepare Gantt Chart'!AF35=7,'Project types'!$L36*('Prepare Gantt Chart'!$I35*'Prepare Gantt Chart'!$J35),'Prepare Gantt Chart'!AF35=0,0)</f>
        <v>0</v>
      </c>
      <c r="BC36" s="45">
        <f>_xlfn.IFS('Prepare Gantt Chart'!AG35=8,'Project types'!$L36*('Prepare Gantt Chart'!$I35*'Prepare Gantt Chart'!$J35),'Prepare Gantt Chart'!AG35=7,'Project types'!$L36*('Prepare Gantt Chart'!$I35*'Prepare Gantt Chart'!$J35),'Prepare Gantt Chart'!AG35=0,0)</f>
        <v>0</v>
      </c>
      <c r="BD36" s="45">
        <f>_xlfn.IFS('Prepare Gantt Chart'!AH35=8,'Project types'!$L36*('Prepare Gantt Chart'!$I35*'Prepare Gantt Chart'!$J35),'Prepare Gantt Chart'!AH35=7,'Project types'!$L36*('Prepare Gantt Chart'!$I35*'Prepare Gantt Chart'!$J35),'Prepare Gantt Chart'!AH35=0,0)</f>
        <v>0</v>
      </c>
      <c r="BE36" s="45">
        <f>_xlfn.IFS('Prepare Gantt Chart'!AI35=8,'Project types'!$L36*('Prepare Gantt Chart'!$I35*'Prepare Gantt Chart'!$J35),'Prepare Gantt Chart'!AI35=7,'Project types'!$L36*('Prepare Gantt Chart'!$I35*'Prepare Gantt Chart'!$J35),'Prepare Gantt Chart'!AI35=0,0)</f>
        <v>0</v>
      </c>
      <c r="BF36" s="45">
        <f>_xlfn.IFS('Prepare Gantt Chart'!AJ35=8,'Project types'!$L36*('Prepare Gantt Chart'!$I35*'Prepare Gantt Chart'!$J35),'Prepare Gantt Chart'!AJ35=7,'Project types'!$L36*('Prepare Gantt Chart'!$I35*'Prepare Gantt Chart'!$J35),'Prepare Gantt Chart'!AJ35=0,0)</f>
        <v>0</v>
      </c>
      <c r="BG36" s="45">
        <f>_xlfn.IFS('Prepare Gantt Chart'!AK35=8,'Project types'!$L36*('Prepare Gantt Chart'!$I35*'Prepare Gantt Chart'!$J35),'Prepare Gantt Chart'!AK35=7,'Project types'!$L36*('Prepare Gantt Chart'!$I35*'Prepare Gantt Chart'!$J35),'Prepare Gantt Chart'!AK35=0,0)</f>
        <v>0</v>
      </c>
      <c r="BH36" s="45">
        <f>_xlfn.IFS('Prepare Gantt Chart'!AL35=8,'Project types'!$L36*('Prepare Gantt Chart'!$I35*'Prepare Gantt Chart'!$J35),'Prepare Gantt Chart'!AL35=7,'Project types'!$L36*('Prepare Gantt Chart'!$I35*'Prepare Gantt Chart'!$J35),'Prepare Gantt Chart'!AL35=0,0)</f>
        <v>0</v>
      </c>
      <c r="BI36" s="45">
        <f>_xlfn.IFS('Prepare Gantt Chart'!AM35=8,'Project types'!$L36*('Prepare Gantt Chart'!$I35*'Prepare Gantt Chart'!$J35),'Prepare Gantt Chart'!AM35=7,'Project types'!$L36*('Prepare Gantt Chart'!$I35*'Prepare Gantt Chart'!$J35),'Prepare Gantt Chart'!AM35=0,0)</f>
        <v>0</v>
      </c>
      <c r="BJ36" s="45">
        <f>_xlfn.IFS('Prepare Gantt Chart'!AN35=8,'Project types'!$L36*('Prepare Gantt Chart'!$I35*'Prepare Gantt Chart'!$J35),'Prepare Gantt Chart'!AN35=7,'Project types'!$L36*('Prepare Gantt Chart'!$I35*'Prepare Gantt Chart'!$J35),'Prepare Gantt Chart'!AN35=0,0)</f>
        <v>0</v>
      </c>
      <c r="BK36" s="45">
        <f>_xlfn.IFS('Prepare Gantt Chart'!AO35=8,'Project types'!$L36*('Prepare Gantt Chart'!$I35*'Prepare Gantt Chart'!$J35),'Prepare Gantt Chart'!AO35=7,'Project types'!$L36*('Prepare Gantt Chart'!$I35*'Prepare Gantt Chart'!$J35),'Prepare Gantt Chart'!AO35=0,0)</f>
        <v>0</v>
      </c>
      <c r="BL36" s="46">
        <f t="shared" si="1"/>
        <v>0</v>
      </c>
      <c r="BM36" s="75">
        <f>IF('Prepare Gantt Chart'!$J35=0,0,SUM(AL36:AQ36)/6/'Prepare Gantt Chart'!$J35)</f>
        <v>0</v>
      </c>
      <c r="BN36" s="75">
        <f>IF('Prepare Gantt Chart'!$J35=0,0,SUM(AR36:AV36)/5/'Prepare Gantt Chart'!$J35)</f>
        <v>0</v>
      </c>
      <c r="BO36" s="75">
        <f>IF('Prepare Gantt Chart'!$J35=0,0,SUM(AW36:BA36)/5/'Prepare Gantt Chart'!$J35)</f>
        <v>0</v>
      </c>
      <c r="BP36" s="75">
        <f>IF('Prepare Gantt Chart'!$J35=0,0,SUM(BB36:BF36)/5/'Prepare Gantt Chart'!$J35)</f>
        <v>0</v>
      </c>
      <c r="BQ36" s="75">
        <f>IF('Prepare Gantt Chart'!$J35=0,0,SUM(BG36:BK36)/5/'Prepare Gantt Chart'!$J35)</f>
        <v>0</v>
      </c>
    </row>
    <row r="37" spans="1:69" x14ac:dyDescent="0.2">
      <c r="A37" s="27" t="s">
        <v>36</v>
      </c>
      <c r="B37" s="1" t="s">
        <v>396</v>
      </c>
      <c r="C37" s="45">
        <f>_xlfn.IFS('Prepare Gantt Chart'!P36=8,'Project types'!$O37*('Prepare Gantt Chart'!$I36*'Prepare Gantt Chart'!$J36),'Prepare Gantt Chart'!P36=7,'Project types'!$Q37*('Prepare Gantt Chart'!$I36*'Prepare Gantt Chart'!$J36),'Prepare Gantt Chart'!P36=0,0)</f>
        <v>0</v>
      </c>
      <c r="D37" s="45">
        <f>_xlfn.IFS('Prepare Gantt Chart'!Q36=8,'Project types'!$O37*('Prepare Gantt Chart'!$I36*'Prepare Gantt Chart'!$J36),'Prepare Gantt Chart'!Q36=7,'Project types'!$Q37*('Prepare Gantt Chart'!$I36*'Prepare Gantt Chart'!$J36),'Prepare Gantt Chart'!Q36=0,0)</f>
        <v>0</v>
      </c>
      <c r="E37" s="45">
        <f>_xlfn.IFS('Prepare Gantt Chart'!R36=8,'Project types'!$O37*('Prepare Gantt Chart'!$I36*'Prepare Gantt Chart'!$J36),'Prepare Gantt Chart'!R36=7,'Project types'!$Q37*('Prepare Gantt Chart'!$I36*'Prepare Gantt Chart'!$J36),'Prepare Gantt Chart'!R36=0,0)</f>
        <v>0</v>
      </c>
      <c r="F37" s="45">
        <f>_xlfn.IFS('Prepare Gantt Chart'!S36=8,'Project types'!$O37*('Prepare Gantt Chart'!$I36*'Prepare Gantt Chart'!$J36),'Prepare Gantt Chart'!S36=7,'Project types'!$Q37*('Prepare Gantt Chart'!$I36*'Prepare Gantt Chart'!$J36),'Prepare Gantt Chart'!S36=0,0)</f>
        <v>0</v>
      </c>
      <c r="G37" s="45">
        <f>_xlfn.IFS('Prepare Gantt Chart'!T36=8,'Project types'!$O37*('Prepare Gantt Chart'!$I36*'Prepare Gantt Chart'!$J36),'Prepare Gantt Chart'!T36=7,'Project types'!$Q37*('Prepare Gantt Chart'!$I36*'Prepare Gantt Chart'!$J36),'Prepare Gantt Chart'!T36=0,0)</f>
        <v>0</v>
      </c>
      <c r="H37" s="45">
        <f>_xlfn.IFS('Prepare Gantt Chart'!U36=8,'Project types'!$O37*('Prepare Gantt Chart'!$I36*'Prepare Gantt Chart'!$J36),'Prepare Gantt Chart'!U36=7,'Project types'!$Q37*('Prepare Gantt Chart'!$I36*'Prepare Gantt Chart'!$J36),'Prepare Gantt Chart'!U36=0,0)</f>
        <v>0</v>
      </c>
      <c r="I37" s="45">
        <f>_xlfn.IFS('Prepare Gantt Chart'!V36=8,'Project types'!$O37*('Prepare Gantt Chart'!$I36*'Prepare Gantt Chart'!$J36),'Prepare Gantt Chart'!V36=7,'Project types'!$Q37*('Prepare Gantt Chart'!$I36*'Prepare Gantt Chart'!$J36),'Prepare Gantt Chart'!V36=0,0)</f>
        <v>0</v>
      </c>
      <c r="J37" s="45">
        <f>_xlfn.IFS('Prepare Gantt Chart'!W36=8,'Project types'!$O37*('Prepare Gantt Chart'!$I36*'Prepare Gantt Chart'!$J36),'Prepare Gantt Chart'!W36=7,'Project types'!$Q37*('Prepare Gantt Chart'!$I36*'Prepare Gantt Chart'!$J36),'Prepare Gantt Chart'!W36=0,0)</f>
        <v>0</v>
      </c>
      <c r="K37" s="45">
        <f>_xlfn.IFS('Prepare Gantt Chart'!X36=8,'Project types'!$O37*('Prepare Gantt Chart'!$I36*'Prepare Gantt Chart'!$J36),'Prepare Gantt Chart'!X36=7,'Project types'!$Q37*('Prepare Gantt Chart'!$I36*'Prepare Gantt Chart'!$J36),'Prepare Gantt Chart'!X36=0,0)</f>
        <v>0</v>
      </c>
      <c r="L37" s="45">
        <f>_xlfn.IFS('Prepare Gantt Chart'!Y36=8,'Project types'!$O37*('Prepare Gantt Chart'!$I36*'Prepare Gantt Chart'!$J36),'Prepare Gantt Chart'!Y36=7,'Project types'!$Q37*('Prepare Gantt Chart'!$I36*'Prepare Gantt Chart'!$J36),'Prepare Gantt Chart'!Y36=0,0)</f>
        <v>0</v>
      </c>
      <c r="M37" s="45">
        <f>_xlfn.IFS('Prepare Gantt Chart'!Z36=8,'Project types'!$O37*('Prepare Gantt Chart'!$I36*'Prepare Gantt Chart'!$J36),'Prepare Gantt Chart'!Z36=7,'Project types'!$Q37*('Prepare Gantt Chart'!$I36*'Prepare Gantt Chart'!$J36),'Prepare Gantt Chart'!Z36=0,0)</f>
        <v>0</v>
      </c>
      <c r="N37" s="45">
        <f>_xlfn.IFS('Prepare Gantt Chart'!AA36=8,'Project types'!$O37*('Prepare Gantt Chart'!$I36*'Prepare Gantt Chart'!$J36),'Prepare Gantt Chart'!AA36=7,'Project types'!$Q37*('Prepare Gantt Chart'!$I36*'Prepare Gantt Chart'!$J36),'Prepare Gantt Chart'!AA36=0,0)</f>
        <v>0</v>
      </c>
      <c r="O37" s="45">
        <f>_xlfn.IFS('Prepare Gantt Chart'!AB36=8,'Project types'!$O37*('Prepare Gantt Chart'!$I36*'Prepare Gantt Chart'!$J36),'Prepare Gantt Chart'!AB36=7,'Project types'!$Q37*('Prepare Gantt Chart'!$I36*'Prepare Gantt Chart'!$J36),'Prepare Gantt Chart'!AB36=0,0)</f>
        <v>0</v>
      </c>
      <c r="P37" s="45">
        <f>_xlfn.IFS('Prepare Gantt Chart'!AC36=8,'Project types'!$O37*('Prepare Gantt Chart'!$I36*'Prepare Gantt Chart'!$J36),'Prepare Gantt Chart'!AC36=7,'Project types'!$Q37*('Prepare Gantt Chart'!$I36*'Prepare Gantt Chart'!$J36),'Prepare Gantt Chart'!AC36=0,0)</f>
        <v>0</v>
      </c>
      <c r="Q37" s="45">
        <f>_xlfn.IFS('Prepare Gantt Chart'!AD36=8,'Project types'!$O37*('Prepare Gantt Chart'!$I36*'Prepare Gantt Chart'!$J36),'Prepare Gantt Chart'!AD36=7,'Project types'!$Q37*('Prepare Gantt Chart'!$I36*'Prepare Gantt Chart'!$J36),'Prepare Gantt Chart'!AD36=0,0)</f>
        <v>0</v>
      </c>
      <c r="R37" s="45">
        <f>_xlfn.IFS('Prepare Gantt Chart'!AE36=8,'Project types'!$O37*('Prepare Gantt Chart'!$I36*'Prepare Gantt Chart'!$J36),'Prepare Gantt Chart'!AE36=7,'Project types'!$Q37*('Prepare Gantt Chart'!$I36*'Prepare Gantt Chart'!$J36),'Prepare Gantt Chart'!AE36=0,0)</f>
        <v>0</v>
      </c>
      <c r="S37" s="45">
        <f>_xlfn.IFS('Prepare Gantt Chart'!AF36=8,'Project types'!$O37*('Prepare Gantt Chart'!$I36*'Prepare Gantt Chart'!$J36),'Prepare Gantt Chart'!AF36=7,'Project types'!$Q37*('Prepare Gantt Chart'!$I36*'Prepare Gantt Chart'!$J36),'Prepare Gantt Chart'!AF36=0,0)</f>
        <v>0</v>
      </c>
      <c r="T37" s="45">
        <f>_xlfn.IFS('Prepare Gantt Chart'!AG36=8,'Project types'!$O37*('Prepare Gantt Chart'!$I36*'Prepare Gantt Chart'!$J36),'Prepare Gantt Chart'!AG36=7,'Project types'!$Q37*('Prepare Gantt Chart'!$I36*'Prepare Gantt Chart'!$J36),'Prepare Gantt Chart'!AG36=0,0)</f>
        <v>0</v>
      </c>
      <c r="U37" s="45">
        <f>_xlfn.IFS('Prepare Gantt Chart'!AH36=8,'Project types'!$O37*('Prepare Gantt Chart'!$I36*'Prepare Gantt Chart'!$J36),'Prepare Gantt Chart'!AH36=7,'Project types'!$Q37*('Prepare Gantt Chart'!$I36*'Prepare Gantt Chart'!$J36),'Prepare Gantt Chart'!AH36=0,0)</f>
        <v>0</v>
      </c>
      <c r="V37" s="45">
        <f>_xlfn.IFS('Prepare Gantt Chart'!AI36=8,'Project types'!$O37*('Prepare Gantt Chart'!$I36*'Prepare Gantt Chart'!$J36),'Prepare Gantt Chart'!AI36=7,'Project types'!$Q37*('Prepare Gantt Chart'!$I36*'Prepare Gantt Chart'!$J36),'Prepare Gantt Chart'!AI36=0,0)</f>
        <v>0</v>
      </c>
      <c r="W37" s="45">
        <f>_xlfn.IFS('Prepare Gantt Chart'!AJ36=8,'Project types'!$O37*('Prepare Gantt Chart'!$I36*'Prepare Gantt Chart'!$J36),'Prepare Gantt Chart'!AJ36=7,'Project types'!$Q37*('Prepare Gantt Chart'!$I36*'Prepare Gantt Chart'!$J36),'Prepare Gantt Chart'!AJ36=0,0)</f>
        <v>0</v>
      </c>
      <c r="X37" s="45">
        <f>_xlfn.IFS('Prepare Gantt Chart'!AK36=8,'Project types'!$O37*('Prepare Gantt Chart'!$I36*'Prepare Gantt Chart'!$J36),'Prepare Gantt Chart'!AK36=7,'Project types'!$Q37*('Prepare Gantt Chart'!$I36*'Prepare Gantt Chart'!$J36),'Prepare Gantt Chart'!AK36=0,0)</f>
        <v>0</v>
      </c>
      <c r="Y37" s="45">
        <f>_xlfn.IFS('Prepare Gantt Chart'!AL36=8,'Project types'!$O37*('Prepare Gantt Chart'!$I36*'Prepare Gantt Chart'!$J36),'Prepare Gantt Chart'!AL36=7,'Project types'!$Q37*('Prepare Gantt Chart'!$I36*'Prepare Gantt Chart'!$J36),'Prepare Gantt Chart'!AL36=0,0)</f>
        <v>0</v>
      </c>
      <c r="Z37" s="45">
        <f>_xlfn.IFS('Prepare Gantt Chart'!AM36=8,'Project types'!$O37*('Prepare Gantt Chart'!$I36*'Prepare Gantt Chart'!$J36),'Prepare Gantt Chart'!AM36=7,'Project types'!$Q37*('Prepare Gantt Chart'!$I36*'Prepare Gantt Chart'!$J36),'Prepare Gantt Chart'!AM36=0,0)</f>
        <v>0</v>
      </c>
      <c r="AA37" s="45">
        <f>_xlfn.IFS('Prepare Gantt Chart'!AN36=8,'Project types'!$O37*('Prepare Gantt Chart'!$I36*'Prepare Gantt Chart'!$J36),'Prepare Gantt Chart'!AN36=7,'Project types'!$Q37*('Prepare Gantt Chart'!$I36*'Prepare Gantt Chart'!$J36),'Prepare Gantt Chart'!AN36=0,0)</f>
        <v>0</v>
      </c>
      <c r="AB37" s="45">
        <f>_xlfn.IFS('Prepare Gantt Chart'!AO36=8,'Project types'!$O37*('Prepare Gantt Chart'!$I36*'Prepare Gantt Chart'!$J36),'Prepare Gantt Chart'!AO36=7,'Project types'!$Q37*('Prepare Gantt Chart'!$I36*'Prepare Gantt Chart'!$J36),'Prepare Gantt Chart'!AO36=0,0)</f>
        <v>0</v>
      </c>
      <c r="AC37" s="45">
        <f>'Prepare Gantt Chart'!J36*'Prepare Gantt Chart'!I36*(AD37/26)</f>
        <v>0</v>
      </c>
      <c r="AD37" s="46">
        <f t="shared" si="0"/>
        <v>0</v>
      </c>
      <c r="AE37" s="72">
        <f>IF('Prepare Gantt Chart'!$J36=0,0,SUM(C37:H37)/6/'Prepare Gantt Chart'!$J36)</f>
        <v>0</v>
      </c>
      <c r="AF37" s="72">
        <f>IF('Prepare Gantt Chart'!$J36=0,0,SUM(I37:M37)/5/'Prepare Gantt Chart'!$J36)</f>
        <v>0</v>
      </c>
      <c r="AG37" s="72">
        <f>IF('Prepare Gantt Chart'!$J36=0,0,SUM(N37:R37)/5/'Prepare Gantt Chart'!$J36)</f>
        <v>0</v>
      </c>
      <c r="AH37" s="72">
        <f>IF('Prepare Gantt Chart'!$J36=0,0,SUM(S37:W37)/5/'Prepare Gantt Chart'!$J36)</f>
        <v>0</v>
      </c>
      <c r="AI37" s="72">
        <f>IF('Prepare Gantt Chart'!$J36=0,0,SUM(X37:AB37)/5/'Prepare Gantt Chart'!$J36)</f>
        <v>0</v>
      </c>
      <c r="AK37" s="27" t="s">
        <v>36</v>
      </c>
      <c r="AL37" s="45">
        <f>_xlfn.IFS('Prepare Gantt Chart'!P36=8,'Project types'!$L37*('Prepare Gantt Chart'!$I36*'Prepare Gantt Chart'!$J36),'Prepare Gantt Chart'!P36=7,'Project types'!$L37*('Prepare Gantt Chart'!$I36*'Prepare Gantt Chart'!$J36),'Prepare Gantt Chart'!P36=0,0)</f>
        <v>0</v>
      </c>
      <c r="AM37" s="45">
        <f>_xlfn.IFS('Prepare Gantt Chart'!Q36=8,'Project types'!$L37*('Prepare Gantt Chart'!$I36*'Prepare Gantt Chart'!$J36),'Prepare Gantt Chart'!Q36=7,'Project types'!$L37*('Prepare Gantt Chart'!$I36*'Prepare Gantt Chart'!$J36),'Prepare Gantt Chart'!Q36=0,0)</f>
        <v>0</v>
      </c>
      <c r="AN37" s="45">
        <f>_xlfn.IFS('Prepare Gantt Chart'!R36=8,'Project types'!$L37*('Prepare Gantt Chart'!$I36*'Prepare Gantt Chart'!$J36),'Prepare Gantt Chart'!R36=7,'Project types'!$L37*('Prepare Gantt Chart'!$I36*'Prepare Gantt Chart'!$J36),'Prepare Gantt Chart'!R36=0,0)</f>
        <v>0</v>
      </c>
      <c r="AO37" s="45">
        <f>_xlfn.IFS('Prepare Gantt Chart'!S36=8,'Project types'!$L37*('Prepare Gantt Chart'!$I36*'Prepare Gantt Chart'!$J36),'Prepare Gantt Chart'!S36=7,'Project types'!$L37*('Prepare Gantt Chart'!$I36*'Prepare Gantt Chart'!$J36),'Prepare Gantt Chart'!S36=0,0)</f>
        <v>0</v>
      </c>
      <c r="AP37" s="45">
        <f>_xlfn.IFS('Prepare Gantt Chart'!T36=8,'Project types'!$L37*('Prepare Gantt Chart'!$I36*'Prepare Gantt Chart'!$J36),'Prepare Gantt Chart'!T36=7,'Project types'!$L37*('Prepare Gantt Chart'!$I36*'Prepare Gantt Chart'!$J36),'Prepare Gantt Chart'!T36=0,0)</f>
        <v>0</v>
      </c>
      <c r="AQ37" s="45">
        <f>_xlfn.IFS('Prepare Gantt Chart'!U36=8,'Project types'!$L37*('Prepare Gantt Chart'!$I36*'Prepare Gantt Chart'!$J36),'Prepare Gantt Chart'!U36=7,'Project types'!$L37*('Prepare Gantt Chart'!$I36*'Prepare Gantt Chart'!$J36),'Prepare Gantt Chart'!U36=0,0)</f>
        <v>0</v>
      </c>
      <c r="AR37" s="45">
        <f>_xlfn.IFS('Prepare Gantt Chart'!V36=8,'Project types'!$L37*('Prepare Gantt Chart'!$I36*'Prepare Gantt Chart'!$J36),'Prepare Gantt Chart'!V36=7,'Project types'!$L37*('Prepare Gantt Chart'!$I36*'Prepare Gantt Chart'!$J36),'Prepare Gantt Chart'!V36=0,0)</f>
        <v>0</v>
      </c>
      <c r="AS37" s="45">
        <f>_xlfn.IFS('Prepare Gantt Chart'!W36=8,'Project types'!$L37*('Prepare Gantt Chart'!$I36*'Prepare Gantt Chart'!$J36),'Prepare Gantt Chart'!W36=7,'Project types'!$L37*('Prepare Gantt Chart'!$I36*'Prepare Gantt Chart'!$J36),'Prepare Gantt Chart'!W36=0,0)</f>
        <v>0</v>
      </c>
      <c r="AT37" s="45">
        <f>_xlfn.IFS('Prepare Gantt Chart'!X36=8,'Project types'!$L37*('Prepare Gantt Chart'!$I36*'Prepare Gantt Chart'!$J36),'Prepare Gantt Chart'!X36=7,'Project types'!$L37*('Prepare Gantt Chart'!$I36*'Prepare Gantt Chart'!$J36),'Prepare Gantt Chart'!X36=0,0)</f>
        <v>0</v>
      </c>
      <c r="AU37" s="45">
        <f>_xlfn.IFS('Prepare Gantt Chart'!Y36=8,'Project types'!$L37*('Prepare Gantt Chart'!$I36*'Prepare Gantt Chart'!$J36),'Prepare Gantt Chart'!Y36=7,'Project types'!$L37*('Prepare Gantt Chart'!$I36*'Prepare Gantt Chart'!$J36),'Prepare Gantt Chart'!Y36=0,0)</f>
        <v>0</v>
      </c>
      <c r="AV37" s="45">
        <f>_xlfn.IFS('Prepare Gantt Chart'!Z36=8,'Project types'!$L37*('Prepare Gantt Chart'!$I36*'Prepare Gantt Chart'!$J36),'Prepare Gantt Chart'!Z36=7,'Project types'!$L37*('Prepare Gantt Chart'!$I36*'Prepare Gantt Chart'!$J36),'Prepare Gantt Chart'!Z36=0,0)</f>
        <v>0</v>
      </c>
      <c r="AW37" s="45">
        <f>_xlfn.IFS('Prepare Gantt Chart'!AA36=8,'Project types'!$L37*('Prepare Gantt Chart'!$I36*'Prepare Gantt Chart'!$J36),'Prepare Gantt Chart'!AA36=7,'Project types'!$L37*('Prepare Gantt Chart'!$I36*'Prepare Gantt Chart'!$J36),'Prepare Gantt Chart'!AA36=0,0)</f>
        <v>0</v>
      </c>
      <c r="AX37" s="45">
        <f>_xlfn.IFS('Prepare Gantt Chart'!AB36=8,'Project types'!$L37*('Prepare Gantt Chart'!$I36*'Prepare Gantt Chart'!$J36),'Prepare Gantt Chart'!AB36=7,'Project types'!$L37*('Prepare Gantt Chart'!$I36*'Prepare Gantt Chart'!$J36),'Prepare Gantt Chart'!AB36=0,0)</f>
        <v>0</v>
      </c>
      <c r="AY37" s="45">
        <f>_xlfn.IFS('Prepare Gantt Chart'!AC36=8,'Project types'!$L37*('Prepare Gantt Chart'!$I36*'Prepare Gantt Chart'!$J36),'Prepare Gantt Chart'!AC36=7,'Project types'!$L37*('Prepare Gantt Chart'!$I36*'Prepare Gantt Chart'!$J36),'Prepare Gantt Chart'!AC36=0,0)</f>
        <v>0</v>
      </c>
      <c r="AZ37" s="45">
        <f>_xlfn.IFS('Prepare Gantt Chart'!AD36=8,'Project types'!$L37*('Prepare Gantt Chart'!$I36*'Prepare Gantt Chart'!$J36),'Prepare Gantt Chart'!AD36=7,'Project types'!$L37*('Prepare Gantt Chart'!$I36*'Prepare Gantt Chart'!$J36),'Prepare Gantt Chart'!AD36=0,0)</f>
        <v>0</v>
      </c>
      <c r="BA37" s="45">
        <f>_xlfn.IFS('Prepare Gantt Chart'!AE36=8,'Project types'!$L37*('Prepare Gantt Chart'!$I36*'Prepare Gantt Chart'!$J36),'Prepare Gantt Chart'!AE36=7,'Project types'!$L37*('Prepare Gantt Chart'!$I36*'Prepare Gantt Chart'!$J36),'Prepare Gantt Chart'!AE36=0,0)</f>
        <v>0</v>
      </c>
      <c r="BB37" s="45">
        <f>_xlfn.IFS('Prepare Gantt Chart'!AF36=8,'Project types'!$L37*('Prepare Gantt Chart'!$I36*'Prepare Gantt Chart'!$J36),'Prepare Gantt Chart'!AF36=7,'Project types'!$L37*('Prepare Gantt Chart'!$I36*'Prepare Gantt Chart'!$J36),'Prepare Gantt Chart'!AF36=0,0)</f>
        <v>0</v>
      </c>
      <c r="BC37" s="45">
        <f>_xlfn.IFS('Prepare Gantt Chart'!AG36=8,'Project types'!$L37*('Prepare Gantt Chart'!$I36*'Prepare Gantt Chart'!$J36),'Prepare Gantt Chart'!AG36=7,'Project types'!$L37*('Prepare Gantt Chart'!$I36*'Prepare Gantt Chart'!$J36),'Prepare Gantt Chart'!AG36=0,0)</f>
        <v>0</v>
      </c>
      <c r="BD37" s="45">
        <f>_xlfn.IFS('Prepare Gantt Chart'!AH36=8,'Project types'!$L37*('Prepare Gantt Chart'!$I36*'Prepare Gantt Chart'!$J36),'Prepare Gantt Chart'!AH36=7,'Project types'!$L37*('Prepare Gantt Chart'!$I36*'Prepare Gantt Chart'!$J36),'Prepare Gantt Chart'!AH36=0,0)</f>
        <v>0</v>
      </c>
      <c r="BE37" s="45">
        <f>_xlfn.IFS('Prepare Gantt Chart'!AI36=8,'Project types'!$L37*('Prepare Gantt Chart'!$I36*'Prepare Gantt Chart'!$J36),'Prepare Gantt Chart'!AI36=7,'Project types'!$L37*('Prepare Gantt Chart'!$I36*'Prepare Gantt Chart'!$J36),'Prepare Gantt Chart'!AI36=0,0)</f>
        <v>0</v>
      </c>
      <c r="BF37" s="45">
        <f>_xlfn.IFS('Prepare Gantt Chart'!AJ36=8,'Project types'!$L37*('Prepare Gantt Chart'!$I36*'Prepare Gantt Chart'!$J36),'Prepare Gantt Chart'!AJ36=7,'Project types'!$L37*('Prepare Gantt Chart'!$I36*'Prepare Gantt Chart'!$J36),'Prepare Gantt Chart'!AJ36=0,0)</f>
        <v>0</v>
      </c>
      <c r="BG37" s="45">
        <f>_xlfn.IFS('Prepare Gantt Chart'!AK36=8,'Project types'!$L37*('Prepare Gantt Chart'!$I36*'Prepare Gantt Chart'!$J36),'Prepare Gantt Chart'!AK36=7,'Project types'!$L37*('Prepare Gantt Chart'!$I36*'Prepare Gantt Chart'!$J36),'Prepare Gantt Chart'!AK36=0,0)</f>
        <v>0</v>
      </c>
      <c r="BH37" s="45">
        <f>_xlfn.IFS('Prepare Gantt Chart'!AL36=8,'Project types'!$L37*('Prepare Gantt Chart'!$I36*'Prepare Gantt Chart'!$J36),'Prepare Gantt Chart'!AL36=7,'Project types'!$L37*('Prepare Gantt Chart'!$I36*'Prepare Gantt Chart'!$J36),'Prepare Gantt Chart'!AL36=0,0)</f>
        <v>0</v>
      </c>
      <c r="BI37" s="45">
        <f>_xlfn.IFS('Prepare Gantt Chart'!AM36=8,'Project types'!$L37*('Prepare Gantt Chart'!$I36*'Prepare Gantt Chart'!$J36),'Prepare Gantt Chart'!AM36=7,'Project types'!$L37*('Prepare Gantt Chart'!$I36*'Prepare Gantt Chart'!$J36),'Prepare Gantt Chart'!AM36=0,0)</f>
        <v>0</v>
      </c>
      <c r="BJ37" s="45">
        <f>_xlfn.IFS('Prepare Gantt Chart'!AN36=8,'Project types'!$L37*('Prepare Gantt Chart'!$I36*'Prepare Gantt Chart'!$J36),'Prepare Gantt Chart'!AN36=7,'Project types'!$L37*('Prepare Gantt Chart'!$I36*'Prepare Gantt Chart'!$J36),'Prepare Gantt Chart'!AN36=0,0)</f>
        <v>0</v>
      </c>
      <c r="BK37" s="45">
        <f>_xlfn.IFS('Prepare Gantt Chart'!AO36=8,'Project types'!$L37*('Prepare Gantt Chart'!$I36*'Prepare Gantt Chart'!$J36),'Prepare Gantt Chart'!AO36=7,'Project types'!$L37*('Prepare Gantt Chart'!$I36*'Prepare Gantt Chart'!$J36),'Prepare Gantt Chart'!AO36=0,0)</f>
        <v>0</v>
      </c>
      <c r="BL37" s="46">
        <f t="shared" si="1"/>
        <v>0</v>
      </c>
      <c r="BM37" s="75">
        <f>IF('Prepare Gantt Chart'!$J36=0,0,SUM(AL37:AQ37)/6/'Prepare Gantt Chart'!$J36)</f>
        <v>0</v>
      </c>
      <c r="BN37" s="75">
        <f>IF('Prepare Gantt Chart'!$J36=0,0,SUM(AR37:AV37)/5/'Prepare Gantt Chart'!$J36)</f>
        <v>0</v>
      </c>
      <c r="BO37" s="75">
        <f>IF('Prepare Gantt Chart'!$J36=0,0,SUM(AW37:BA37)/5/'Prepare Gantt Chart'!$J36)</f>
        <v>0</v>
      </c>
      <c r="BP37" s="75">
        <f>IF('Prepare Gantt Chart'!$J36=0,0,SUM(BB37:BF37)/5/'Prepare Gantt Chart'!$J36)</f>
        <v>0</v>
      </c>
      <c r="BQ37" s="75">
        <f>IF('Prepare Gantt Chart'!$J36=0,0,SUM(BG37:BK37)/5/'Prepare Gantt Chart'!$J36)</f>
        <v>0</v>
      </c>
    </row>
    <row r="38" spans="1:69" x14ac:dyDescent="0.2">
      <c r="A38" s="27" t="s">
        <v>37</v>
      </c>
      <c r="B38" s="1" t="s">
        <v>397</v>
      </c>
      <c r="C38" s="45">
        <f>_xlfn.IFS('Prepare Gantt Chart'!P37=8,'Project types'!$O38*('Prepare Gantt Chart'!$I37*'Prepare Gantt Chart'!$J37),'Prepare Gantt Chart'!P37=7,'Project types'!$Q38*('Prepare Gantt Chart'!$I37*'Prepare Gantt Chart'!$J37),'Prepare Gantt Chart'!P37=0,0)</f>
        <v>0</v>
      </c>
      <c r="D38" s="45">
        <f>_xlfn.IFS('Prepare Gantt Chart'!Q37=8,'Project types'!$O38*('Prepare Gantt Chart'!$I37*'Prepare Gantt Chart'!$J37),'Prepare Gantt Chart'!Q37=7,'Project types'!$Q38*('Prepare Gantt Chart'!$I37*'Prepare Gantt Chart'!$J37),'Prepare Gantt Chart'!Q37=0,0)</f>
        <v>0</v>
      </c>
      <c r="E38" s="45">
        <f>_xlfn.IFS('Prepare Gantt Chart'!R37=8,'Project types'!$O38*('Prepare Gantt Chart'!$I37*'Prepare Gantt Chart'!$J37),'Prepare Gantt Chart'!R37=7,'Project types'!$Q38*('Prepare Gantt Chart'!$I37*'Prepare Gantt Chart'!$J37),'Prepare Gantt Chart'!R37=0,0)</f>
        <v>0</v>
      </c>
      <c r="F38" s="45">
        <f>_xlfn.IFS('Prepare Gantt Chart'!S37=8,'Project types'!$O38*('Prepare Gantt Chart'!$I37*'Prepare Gantt Chart'!$J37),'Prepare Gantt Chart'!S37=7,'Project types'!$Q38*('Prepare Gantt Chart'!$I37*'Prepare Gantt Chart'!$J37),'Prepare Gantt Chart'!S37=0,0)</f>
        <v>0</v>
      </c>
      <c r="G38" s="45">
        <f>_xlfn.IFS('Prepare Gantt Chart'!T37=8,'Project types'!$O38*('Prepare Gantt Chart'!$I37*'Prepare Gantt Chart'!$J37),'Prepare Gantt Chart'!T37=7,'Project types'!$Q38*('Prepare Gantt Chart'!$I37*'Prepare Gantt Chart'!$J37),'Prepare Gantt Chart'!T37=0,0)</f>
        <v>0</v>
      </c>
      <c r="H38" s="45">
        <f>_xlfn.IFS('Prepare Gantt Chart'!U37=8,'Project types'!$O38*('Prepare Gantt Chart'!$I37*'Prepare Gantt Chart'!$J37),'Prepare Gantt Chart'!U37=7,'Project types'!$Q38*('Prepare Gantt Chart'!$I37*'Prepare Gantt Chart'!$J37),'Prepare Gantt Chart'!U37=0,0)</f>
        <v>0</v>
      </c>
      <c r="I38" s="45">
        <f>_xlfn.IFS('Prepare Gantt Chart'!V37=8,'Project types'!$O38*('Prepare Gantt Chart'!$I37*'Prepare Gantt Chart'!$J37),'Prepare Gantt Chart'!V37=7,'Project types'!$Q38*('Prepare Gantt Chart'!$I37*'Prepare Gantt Chart'!$J37),'Prepare Gantt Chart'!V37=0,0)</f>
        <v>0</v>
      </c>
      <c r="J38" s="45">
        <f>_xlfn.IFS('Prepare Gantt Chart'!W37=8,'Project types'!$O38*('Prepare Gantt Chart'!$I37*'Prepare Gantt Chart'!$J37),'Prepare Gantt Chart'!W37=7,'Project types'!$Q38*('Prepare Gantt Chart'!$I37*'Prepare Gantt Chart'!$J37),'Prepare Gantt Chart'!W37=0,0)</f>
        <v>0</v>
      </c>
      <c r="K38" s="45">
        <f>_xlfn.IFS('Prepare Gantt Chart'!X37=8,'Project types'!$O38*('Prepare Gantt Chart'!$I37*'Prepare Gantt Chart'!$J37),'Prepare Gantt Chart'!X37=7,'Project types'!$Q38*('Prepare Gantt Chart'!$I37*'Prepare Gantt Chart'!$J37),'Prepare Gantt Chart'!X37=0,0)</f>
        <v>0</v>
      </c>
      <c r="L38" s="45">
        <f>_xlfn.IFS('Prepare Gantt Chart'!Y37=8,'Project types'!$O38*('Prepare Gantt Chart'!$I37*'Prepare Gantt Chart'!$J37),'Prepare Gantt Chart'!Y37=7,'Project types'!$Q38*('Prepare Gantt Chart'!$I37*'Prepare Gantt Chart'!$J37),'Prepare Gantt Chart'!Y37=0,0)</f>
        <v>0</v>
      </c>
      <c r="M38" s="45">
        <f>_xlfn.IFS('Prepare Gantt Chart'!Z37=8,'Project types'!$O38*('Prepare Gantt Chart'!$I37*'Prepare Gantt Chart'!$J37),'Prepare Gantt Chart'!Z37=7,'Project types'!$Q38*('Prepare Gantt Chart'!$I37*'Prepare Gantt Chart'!$J37),'Prepare Gantt Chart'!Z37=0,0)</f>
        <v>0</v>
      </c>
      <c r="N38" s="45">
        <f>_xlfn.IFS('Prepare Gantt Chart'!AA37=8,'Project types'!$O38*('Prepare Gantt Chart'!$I37*'Prepare Gantt Chart'!$J37),'Prepare Gantt Chart'!AA37=7,'Project types'!$Q38*('Prepare Gantt Chart'!$I37*'Prepare Gantt Chart'!$J37),'Prepare Gantt Chart'!AA37=0,0)</f>
        <v>0</v>
      </c>
      <c r="O38" s="45">
        <f>_xlfn.IFS('Prepare Gantt Chart'!AB37=8,'Project types'!$O38*('Prepare Gantt Chart'!$I37*'Prepare Gantt Chart'!$J37),'Prepare Gantt Chart'!AB37=7,'Project types'!$Q38*('Prepare Gantt Chart'!$I37*'Prepare Gantt Chart'!$J37),'Prepare Gantt Chart'!AB37=0,0)</f>
        <v>0</v>
      </c>
      <c r="P38" s="45">
        <f>_xlfn.IFS('Prepare Gantt Chart'!AC37=8,'Project types'!$O38*('Prepare Gantt Chart'!$I37*'Prepare Gantt Chart'!$J37),'Prepare Gantt Chart'!AC37=7,'Project types'!$Q38*('Prepare Gantt Chart'!$I37*'Prepare Gantt Chart'!$J37),'Prepare Gantt Chart'!AC37=0,0)</f>
        <v>0</v>
      </c>
      <c r="Q38" s="45">
        <f>_xlfn.IFS('Prepare Gantt Chart'!AD37=8,'Project types'!$O38*('Prepare Gantt Chart'!$I37*'Prepare Gantt Chart'!$J37),'Prepare Gantt Chart'!AD37=7,'Project types'!$Q38*('Prepare Gantt Chart'!$I37*'Prepare Gantt Chart'!$J37),'Prepare Gantt Chart'!AD37=0,0)</f>
        <v>0</v>
      </c>
      <c r="R38" s="45">
        <f>_xlfn.IFS('Prepare Gantt Chart'!AE37=8,'Project types'!$O38*('Prepare Gantt Chart'!$I37*'Prepare Gantt Chart'!$J37),'Prepare Gantt Chart'!AE37=7,'Project types'!$Q38*('Prepare Gantt Chart'!$I37*'Prepare Gantt Chart'!$J37),'Prepare Gantt Chart'!AE37=0,0)</f>
        <v>0</v>
      </c>
      <c r="S38" s="45">
        <f>_xlfn.IFS('Prepare Gantt Chart'!AF37=8,'Project types'!$O38*('Prepare Gantt Chart'!$I37*'Prepare Gantt Chart'!$J37),'Prepare Gantt Chart'!AF37=7,'Project types'!$Q38*('Prepare Gantt Chart'!$I37*'Prepare Gantt Chart'!$J37),'Prepare Gantt Chart'!AF37=0,0)</f>
        <v>0</v>
      </c>
      <c r="T38" s="45">
        <f>_xlfn.IFS('Prepare Gantt Chart'!AG37=8,'Project types'!$O38*('Prepare Gantt Chart'!$I37*'Prepare Gantt Chart'!$J37),'Prepare Gantt Chart'!AG37=7,'Project types'!$Q38*('Prepare Gantt Chart'!$I37*'Prepare Gantt Chart'!$J37),'Prepare Gantt Chart'!AG37=0,0)</f>
        <v>0</v>
      </c>
      <c r="U38" s="45">
        <f>_xlfn.IFS('Prepare Gantt Chart'!AH37=8,'Project types'!$O38*('Prepare Gantt Chart'!$I37*'Prepare Gantt Chart'!$J37),'Prepare Gantt Chart'!AH37=7,'Project types'!$Q38*('Prepare Gantt Chart'!$I37*'Prepare Gantt Chart'!$J37),'Prepare Gantt Chart'!AH37=0,0)</f>
        <v>0</v>
      </c>
      <c r="V38" s="45">
        <f>_xlfn.IFS('Prepare Gantt Chart'!AI37=8,'Project types'!$O38*('Prepare Gantt Chart'!$I37*'Prepare Gantt Chart'!$J37),'Prepare Gantt Chart'!AI37=7,'Project types'!$Q38*('Prepare Gantt Chart'!$I37*'Prepare Gantt Chart'!$J37),'Prepare Gantt Chart'!AI37=0,0)</f>
        <v>0</v>
      </c>
      <c r="W38" s="45">
        <f>_xlfn.IFS('Prepare Gantt Chart'!AJ37=8,'Project types'!$O38*('Prepare Gantt Chart'!$I37*'Prepare Gantt Chart'!$J37),'Prepare Gantt Chart'!AJ37=7,'Project types'!$Q38*('Prepare Gantt Chart'!$I37*'Prepare Gantt Chart'!$J37),'Prepare Gantt Chart'!AJ37=0,0)</f>
        <v>0</v>
      </c>
      <c r="X38" s="45">
        <f>_xlfn.IFS('Prepare Gantt Chart'!AK37=8,'Project types'!$O38*('Prepare Gantt Chart'!$I37*'Prepare Gantt Chart'!$J37),'Prepare Gantt Chart'!AK37=7,'Project types'!$Q38*('Prepare Gantt Chart'!$I37*'Prepare Gantt Chart'!$J37),'Prepare Gantt Chart'!AK37=0,0)</f>
        <v>0</v>
      </c>
      <c r="Y38" s="45">
        <f>_xlfn.IFS('Prepare Gantt Chart'!AL37=8,'Project types'!$O38*('Prepare Gantt Chart'!$I37*'Prepare Gantt Chart'!$J37),'Prepare Gantt Chart'!AL37=7,'Project types'!$Q38*('Prepare Gantt Chart'!$I37*'Prepare Gantt Chart'!$J37),'Prepare Gantt Chart'!AL37=0,0)</f>
        <v>0</v>
      </c>
      <c r="Z38" s="45">
        <f>_xlfn.IFS('Prepare Gantt Chart'!AM37=8,'Project types'!$O38*('Prepare Gantt Chart'!$I37*'Prepare Gantt Chart'!$J37),'Prepare Gantt Chart'!AM37=7,'Project types'!$Q38*('Prepare Gantt Chart'!$I37*'Prepare Gantt Chart'!$J37),'Prepare Gantt Chart'!AM37=0,0)</f>
        <v>0</v>
      </c>
      <c r="AA38" s="45">
        <f>_xlfn.IFS('Prepare Gantt Chart'!AN37=8,'Project types'!$O38*('Prepare Gantt Chart'!$I37*'Prepare Gantt Chart'!$J37),'Prepare Gantt Chart'!AN37=7,'Project types'!$Q38*('Prepare Gantt Chart'!$I37*'Prepare Gantt Chart'!$J37),'Prepare Gantt Chart'!AN37=0,0)</f>
        <v>0</v>
      </c>
      <c r="AB38" s="45">
        <f>_xlfn.IFS('Prepare Gantt Chart'!AO37=8,'Project types'!$O38*('Prepare Gantt Chart'!$I37*'Prepare Gantt Chart'!$J37),'Prepare Gantt Chart'!AO37=7,'Project types'!$Q38*('Prepare Gantt Chart'!$I37*'Prepare Gantt Chart'!$J37),'Prepare Gantt Chart'!AO37=0,0)</f>
        <v>0</v>
      </c>
      <c r="AC38" s="45">
        <f>'Prepare Gantt Chart'!J37*'Prepare Gantt Chart'!I37*(AD38/26)</f>
        <v>0</v>
      </c>
      <c r="AD38" s="46">
        <f t="shared" si="0"/>
        <v>0</v>
      </c>
      <c r="AE38" s="72">
        <f>IF('Prepare Gantt Chart'!$J37=0,0,SUM(C38:H38)/6/'Prepare Gantt Chart'!$J37)</f>
        <v>0</v>
      </c>
      <c r="AF38" s="72">
        <f>IF('Prepare Gantt Chart'!$J37=0,0,SUM(I38:M38)/5/'Prepare Gantt Chart'!$J37)</f>
        <v>0</v>
      </c>
      <c r="AG38" s="72">
        <f>IF('Prepare Gantt Chart'!$J37=0,0,SUM(N38:R38)/5/'Prepare Gantt Chart'!$J37)</f>
        <v>0</v>
      </c>
      <c r="AH38" s="72">
        <f>IF('Prepare Gantt Chart'!$J37=0,0,SUM(S38:W38)/5/'Prepare Gantt Chart'!$J37)</f>
        <v>0</v>
      </c>
      <c r="AI38" s="72">
        <f>IF('Prepare Gantt Chart'!$J37=0,0,SUM(X38:AB38)/5/'Prepare Gantt Chart'!$J37)</f>
        <v>0</v>
      </c>
      <c r="AK38" s="27" t="s">
        <v>37</v>
      </c>
      <c r="AL38" s="45">
        <f>_xlfn.IFS('Prepare Gantt Chart'!P37=8,'Project types'!$L38*('Prepare Gantt Chart'!$I37*'Prepare Gantt Chart'!$J37),'Prepare Gantt Chart'!P37=7,'Project types'!$L38*('Prepare Gantt Chart'!$I37*'Prepare Gantt Chart'!$J37),'Prepare Gantt Chart'!P37=0,0)</f>
        <v>0</v>
      </c>
      <c r="AM38" s="45">
        <f>_xlfn.IFS('Prepare Gantt Chart'!Q37=8,'Project types'!$L38*('Prepare Gantt Chart'!$I37*'Prepare Gantt Chart'!$J37),'Prepare Gantt Chart'!Q37=7,'Project types'!$L38*('Prepare Gantt Chart'!$I37*'Prepare Gantt Chart'!$J37),'Prepare Gantt Chart'!Q37=0,0)</f>
        <v>0</v>
      </c>
      <c r="AN38" s="45">
        <f>_xlfn.IFS('Prepare Gantt Chart'!R37=8,'Project types'!$L38*('Prepare Gantt Chart'!$I37*'Prepare Gantt Chart'!$J37),'Prepare Gantt Chart'!R37=7,'Project types'!$L38*('Prepare Gantt Chart'!$I37*'Prepare Gantt Chart'!$J37),'Prepare Gantt Chart'!R37=0,0)</f>
        <v>0</v>
      </c>
      <c r="AO38" s="45">
        <f>_xlfn.IFS('Prepare Gantt Chart'!S37=8,'Project types'!$L38*('Prepare Gantt Chart'!$I37*'Prepare Gantt Chart'!$J37),'Prepare Gantt Chart'!S37=7,'Project types'!$L38*('Prepare Gantt Chart'!$I37*'Prepare Gantt Chart'!$J37),'Prepare Gantt Chart'!S37=0,0)</f>
        <v>0</v>
      </c>
      <c r="AP38" s="45">
        <f>_xlfn.IFS('Prepare Gantt Chart'!T37=8,'Project types'!$L38*('Prepare Gantt Chart'!$I37*'Prepare Gantt Chart'!$J37),'Prepare Gantt Chart'!T37=7,'Project types'!$L38*('Prepare Gantt Chart'!$I37*'Prepare Gantt Chart'!$J37),'Prepare Gantt Chart'!T37=0,0)</f>
        <v>0</v>
      </c>
      <c r="AQ38" s="45">
        <f>_xlfn.IFS('Prepare Gantt Chart'!U37=8,'Project types'!$L38*('Prepare Gantt Chart'!$I37*'Prepare Gantt Chart'!$J37),'Prepare Gantt Chart'!U37=7,'Project types'!$L38*('Prepare Gantt Chart'!$I37*'Prepare Gantt Chart'!$J37),'Prepare Gantt Chart'!U37=0,0)</f>
        <v>0</v>
      </c>
      <c r="AR38" s="45">
        <f>_xlfn.IFS('Prepare Gantt Chart'!V37=8,'Project types'!$L38*('Prepare Gantt Chart'!$I37*'Prepare Gantt Chart'!$J37),'Prepare Gantt Chart'!V37=7,'Project types'!$L38*('Prepare Gantt Chart'!$I37*'Prepare Gantt Chart'!$J37),'Prepare Gantt Chart'!V37=0,0)</f>
        <v>0</v>
      </c>
      <c r="AS38" s="45">
        <f>_xlfn.IFS('Prepare Gantt Chart'!W37=8,'Project types'!$L38*('Prepare Gantt Chart'!$I37*'Prepare Gantt Chart'!$J37),'Prepare Gantt Chart'!W37=7,'Project types'!$L38*('Prepare Gantt Chart'!$I37*'Prepare Gantt Chart'!$J37),'Prepare Gantt Chart'!W37=0,0)</f>
        <v>0</v>
      </c>
      <c r="AT38" s="45">
        <f>_xlfn.IFS('Prepare Gantt Chart'!X37=8,'Project types'!$L38*('Prepare Gantt Chart'!$I37*'Prepare Gantt Chart'!$J37),'Prepare Gantt Chart'!X37=7,'Project types'!$L38*('Prepare Gantt Chart'!$I37*'Prepare Gantt Chart'!$J37),'Prepare Gantt Chart'!X37=0,0)</f>
        <v>0</v>
      </c>
      <c r="AU38" s="45">
        <f>_xlfn.IFS('Prepare Gantt Chart'!Y37=8,'Project types'!$L38*('Prepare Gantt Chart'!$I37*'Prepare Gantt Chart'!$J37),'Prepare Gantt Chart'!Y37=7,'Project types'!$L38*('Prepare Gantt Chart'!$I37*'Prepare Gantt Chart'!$J37),'Prepare Gantt Chart'!Y37=0,0)</f>
        <v>0</v>
      </c>
      <c r="AV38" s="45">
        <f>_xlfn.IFS('Prepare Gantt Chart'!Z37=8,'Project types'!$L38*('Prepare Gantt Chart'!$I37*'Prepare Gantt Chart'!$J37),'Prepare Gantt Chart'!Z37=7,'Project types'!$L38*('Prepare Gantt Chart'!$I37*'Prepare Gantt Chart'!$J37),'Prepare Gantt Chart'!Z37=0,0)</f>
        <v>0</v>
      </c>
      <c r="AW38" s="45">
        <f>_xlfn.IFS('Prepare Gantt Chart'!AA37=8,'Project types'!$L38*('Prepare Gantt Chart'!$I37*'Prepare Gantt Chart'!$J37),'Prepare Gantt Chart'!AA37=7,'Project types'!$L38*('Prepare Gantt Chart'!$I37*'Prepare Gantt Chart'!$J37),'Prepare Gantt Chart'!AA37=0,0)</f>
        <v>0</v>
      </c>
      <c r="AX38" s="45">
        <f>_xlfn.IFS('Prepare Gantt Chart'!AB37=8,'Project types'!$L38*('Prepare Gantt Chart'!$I37*'Prepare Gantt Chart'!$J37),'Prepare Gantt Chart'!AB37=7,'Project types'!$L38*('Prepare Gantt Chart'!$I37*'Prepare Gantt Chart'!$J37),'Prepare Gantt Chart'!AB37=0,0)</f>
        <v>0</v>
      </c>
      <c r="AY38" s="45">
        <f>_xlfn.IFS('Prepare Gantt Chart'!AC37=8,'Project types'!$L38*('Prepare Gantt Chart'!$I37*'Prepare Gantt Chart'!$J37),'Prepare Gantt Chart'!AC37=7,'Project types'!$L38*('Prepare Gantt Chart'!$I37*'Prepare Gantt Chart'!$J37),'Prepare Gantt Chart'!AC37=0,0)</f>
        <v>0</v>
      </c>
      <c r="AZ38" s="45">
        <f>_xlfn.IFS('Prepare Gantt Chart'!AD37=8,'Project types'!$L38*('Prepare Gantt Chart'!$I37*'Prepare Gantt Chart'!$J37),'Prepare Gantt Chart'!AD37=7,'Project types'!$L38*('Prepare Gantt Chart'!$I37*'Prepare Gantt Chart'!$J37),'Prepare Gantt Chart'!AD37=0,0)</f>
        <v>0</v>
      </c>
      <c r="BA38" s="45">
        <f>_xlfn.IFS('Prepare Gantt Chart'!AE37=8,'Project types'!$L38*('Prepare Gantt Chart'!$I37*'Prepare Gantt Chart'!$J37),'Prepare Gantt Chart'!AE37=7,'Project types'!$L38*('Prepare Gantt Chart'!$I37*'Prepare Gantt Chart'!$J37),'Prepare Gantt Chart'!AE37=0,0)</f>
        <v>0</v>
      </c>
      <c r="BB38" s="45">
        <f>_xlfn.IFS('Prepare Gantt Chart'!AF37=8,'Project types'!$L38*('Prepare Gantt Chart'!$I37*'Prepare Gantt Chart'!$J37),'Prepare Gantt Chart'!AF37=7,'Project types'!$L38*('Prepare Gantt Chart'!$I37*'Prepare Gantt Chart'!$J37),'Prepare Gantt Chart'!AF37=0,0)</f>
        <v>0</v>
      </c>
      <c r="BC38" s="45">
        <f>_xlfn.IFS('Prepare Gantt Chart'!AG37=8,'Project types'!$L38*('Prepare Gantt Chart'!$I37*'Prepare Gantt Chart'!$J37),'Prepare Gantt Chart'!AG37=7,'Project types'!$L38*('Prepare Gantt Chart'!$I37*'Prepare Gantt Chart'!$J37),'Prepare Gantt Chart'!AG37=0,0)</f>
        <v>0</v>
      </c>
      <c r="BD38" s="45">
        <f>_xlfn.IFS('Prepare Gantt Chart'!AH37=8,'Project types'!$L38*('Prepare Gantt Chart'!$I37*'Prepare Gantt Chart'!$J37),'Prepare Gantt Chart'!AH37=7,'Project types'!$L38*('Prepare Gantt Chart'!$I37*'Prepare Gantt Chart'!$J37),'Prepare Gantt Chart'!AH37=0,0)</f>
        <v>0</v>
      </c>
      <c r="BE38" s="45">
        <f>_xlfn.IFS('Prepare Gantt Chart'!AI37=8,'Project types'!$L38*('Prepare Gantt Chart'!$I37*'Prepare Gantt Chart'!$J37),'Prepare Gantt Chart'!AI37=7,'Project types'!$L38*('Prepare Gantt Chart'!$I37*'Prepare Gantt Chart'!$J37),'Prepare Gantt Chart'!AI37=0,0)</f>
        <v>0</v>
      </c>
      <c r="BF38" s="45">
        <f>_xlfn.IFS('Prepare Gantt Chart'!AJ37=8,'Project types'!$L38*('Prepare Gantt Chart'!$I37*'Prepare Gantt Chart'!$J37),'Prepare Gantt Chart'!AJ37=7,'Project types'!$L38*('Prepare Gantt Chart'!$I37*'Prepare Gantt Chart'!$J37),'Prepare Gantt Chart'!AJ37=0,0)</f>
        <v>0</v>
      </c>
      <c r="BG38" s="45">
        <f>_xlfn.IFS('Prepare Gantt Chart'!AK37=8,'Project types'!$L38*('Prepare Gantt Chart'!$I37*'Prepare Gantt Chart'!$J37),'Prepare Gantt Chart'!AK37=7,'Project types'!$L38*('Prepare Gantt Chart'!$I37*'Prepare Gantt Chart'!$J37),'Prepare Gantt Chart'!AK37=0,0)</f>
        <v>0</v>
      </c>
      <c r="BH38" s="45">
        <f>_xlfn.IFS('Prepare Gantt Chart'!AL37=8,'Project types'!$L38*('Prepare Gantt Chart'!$I37*'Prepare Gantt Chart'!$J37),'Prepare Gantt Chart'!AL37=7,'Project types'!$L38*('Prepare Gantt Chart'!$I37*'Prepare Gantt Chart'!$J37),'Prepare Gantt Chart'!AL37=0,0)</f>
        <v>0</v>
      </c>
      <c r="BI38" s="45">
        <f>_xlfn.IFS('Prepare Gantt Chart'!AM37=8,'Project types'!$L38*('Prepare Gantt Chart'!$I37*'Prepare Gantt Chart'!$J37),'Prepare Gantt Chart'!AM37=7,'Project types'!$L38*('Prepare Gantt Chart'!$I37*'Prepare Gantt Chart'!$J37),'Prepare Gantt Chart'!AM37=0,0)</f>
        <v>0</v>
      </c>
      <c r="BJ38" s="45">
        <f>_xlfn.IFS('Prepare Gantt Chart'!AN37=8,'Project types'!$L38*('Prepare Gantt Chart'!$I37*'Prepare Gantt Chart'!$J37),'Prepare Gantt Chart'!AN37=7,'Project types'!$L38*('Prepare Gantt Chart'!$I37*'Prepare Gantt Chart'!$J37),'Prepare Gantt Chart'!AN37=0,0)</f>
        <v>0</v>
      </c>
      <c r="BK38" s="45">
        <f>_xlfn.IFS('Prepare Gantt Chart'!AO37=8,'Project types'!$L38*('Prepare Gantt Chart'!$I37*'Prepare Gantt Chart'!$J37),'Prepare Gantt Chart'!AO37=7,'Project types'!$L38*('Prepare Gantt Chart'!$I37*'Prepare Gantt Chart'!$J37),'Prepare Gantt Chart'!AO37=0,0)</f>
        <v>0</v>
      </c>
      <c r="BL38" s="46">
        <f t="shared" si="1"/>
        <v>0</v>
      </c>
      <c r="BM38" s="75">
        <f>IF('Prepare Gantt Chart'!$J37=0,0,SUM(AL38:AQ38)/6/'Prepare Gantt Chart'!$J37)</f>
        <v>0</v>
      </c>
      <c r="BN38" s="75">
        <f>IF('Prepare Gantt Chart'!$J37=0,0,SUM(AR38:AV38)/5/'Prepare Gantt Chart'!$J37)</f>
        <v>0</v>
      </c>
      <c r="BO38" s="75">
        <f>IF('Prepare Gantt Chart'!$J37=0,0,SUM(AW38:BA38)/5/'Prepare Gantt Chart'!$J37)</f>
        <v>0</v>
      </c>
      <c r="BP38" s="75">
        <f>IF('Prepare Gantt Chart'!$J37=0,0,SUM(BB38:BF38)/5/'Prepare Gantt Chart'!$J37)</f>
        <v>0</v>
      </c>
      <c r="BQ38" s="75">
        <f>IF('Prepare Gantt Chart'!$J37=0,0,SUM(BG38:BK38)/5/'Prepare Gantt Chart'!$J37)</f>
        <v>0</v>
      </c>
    </row>
    <row r="39" spans="1:69" x14ac:dyDescent="0.2">
      <c r="A39" s="27" t="s">
        <v>38</v>
      </c>
      <c r="B39" s="1" t="s">
        <v>459</v>
      </c>
      <c r="C39" s="45">
        <f>_xlfn.IFS('Prepare Gantt Chart'!P38=8,'Project types'!$O39*('Prepare Gantt Chart'!$I38*'Prepare Gantt Chart'!$J38),'Prepare Gantt Chart'!P38=7,'Project types'!$Q39*('Prepare Gantt Chart'!$I38*'Prepare Gantt Chart'!$J38),'Prepare Gantt Chart'!P38=0,0)</f>
        <v>0</v>
      </c>
      <c r="D39" s="45">
        <f>_xlfn.IFS('Prepare Gantt Chart'!Q38=8,'Project types'!$O39*('Prepare Gantt Chart'!$I38*'Prepare Gantt Chart'!$J38),'Prepare Gantt Chart'!Q38=7,'Project types'!$Q39*('Prepare Gantt Chart'!$I38*'Prepare Gantt Chart'!$J38),'Prepare Gantt Chart'!Q38=0,0)</f>
        <v>0</v>
      </c>
      <c r="E39" s="45">
        <f>_xlfn.IFS('Prepare Gantt Chart'!R38=8,'Project types'!$O39*('Prepare Gantt Chart'!$I38*'Prepare Gantt Chart'!$J38),'Prepare Gantt Chart'!R38=7,'Project types'!$Q39*('Prepare Gantt Chart'!$I38*'Prepare Gantt Chart'!$J38),'Prepare Gantt Chart'!R38=0,0)</f>
        <v>0</v>
      </c>
      <c r="F39" s="45">
        <f>_xlfn.IFS('Prepare Gantt Chart'!S38=8,'Project types'!$O39*('Prepare Gantt Chart'!$I38*'Prepare Gantt Chart'!$J38),'Prepare Gantt Chart'!S38=7,'Project types'!$Q39*('Prepare Gantt Chart'!$I38*'Prepare Gantt Chart'!$J38),'Prepare Gantt Chart'!S38=0,0)</f>
        <v>0</v>
      </c>
      <c r="G39" s="45">
        <f>_xlfn.IFS('Prepare Gantt Chart'!T38=8,'Project types'!$O39*('Prepare Gantt Chart'!$I38*'Prepare Gantt Chart'!$J38),'Prepare Gantt Chart'!T38=7,'Project types'!$Q39*('Prepare Gantt Chart'!$I38*'Prepare Gantt Chart'!$J38),'Prepare Gantt Chart'!T38=0,0)</f>
        <v>0</v>
      </c>
      <c r="H39" s="45">
        <f>_xlfn.IFS('Prepare Gantt Chart'!U38=8,'Project types'!$O39*('Prepare Gantt Chart'!$I38*'Prepare Gantt Chart'!$J38),'Prepare Gantt Chart'!U38=7,'Project types'!$Q39*('Prepare Gantt Chart'!$I38*'Prepare Gantt Chart'!$J38),'Prepare Gantt Chart'!U38=0,0)</f>
        <v>0</v>
      </c>
      <c r="I39" s="45">
        <f>_xlfn.IFS('Prepare Gantt Chart'!V38=8,'Project types'!$O39*('Prepare Gantt Chart'!$I38*'Prepare Gantt Chart'!$J38),'Prepare Gantt Chart'!V38=7,'Project types'!$Q39*('Prepare Gantt Chart'!$I38*'Prepare Gantt Chart'!$J38),'Prepare Gantt Chart'!V38=0,0)</f>
        <v>0</v>
      </c>
      <c r="J39" s="45">
        <f>_xlfn.IFS('Prepare Gantt Chart'!W38=8,'Project types'!$O39*('Prepare Gantt Chart'!$I38*'Prepare Gantt Chart'!$J38),'Prepare Gantt Chart'!W38=7,'Project types'!$Q39*('Prepare Gantt Chart'!$I38*'Prepare Gantt Chart'!$J38),'Prepare Gantt Chart'!W38=0,0)</f>
        <v>0</v>
      </c>
      <c r="K39" s="45">
        <f>_xlfn.IFS('Prepare Gantt Chart'!X38=8,'Project types'!$O39*('Prepare Gantt Chart'!$I38*'Prepare Gantt Chart'!$J38),'Prepare Gantt Chart'!X38=7,'Project types'!$Q39*('Prepare Gantt Chart'!$I38*'Prepare Gantt Chart'!$J38),'Prepare Gantt Chart'!X38=0,0)</f>
        <v>0</v>
      </c>
      <c r="L39" s="45">
        <f>_xlfn.IFS('Prepare Gantt Chart'!Y38=8,'Project types'!$O39*('Prepare Gantt Chart'!$I38*'Prepare Gantt Chart'!$J38),'Prepare Gantt Chart'!Y38=7,'Project types'!$Q39*('Prepare Gantt Chart'!$I38*'Prepare Gantt Chart'!$J38),'Prepare Gantt Chart'!Y38=0,0)</f>
        <v>0</v>
      </c>
      <c r="M39" s="45">
        <f>_xlfn.IFS('Prepare Gantt Chart'!Z38=8,'Project types'!$O39*('Prepare Gantt Chart'!$I38*'Prepare Gantt Chart'!$J38),'Prepare Gantt Chart'!Z38=7,'Project types'!$Q39*('Prepare Gantt Chart'!$I38*'Prepare Gantt Chart'!$J38),'Prepare Gantt Chart'!Z38=0,0)</f>
        <v>0</v>
      </c>
      <c r="N39" s="45">
        <f>_xlfn.IFS('Prepare Gantt Chart'!AA38=8,'Project types'!$O39*('Prepare Gantt Chart'!$I38*'Prepare Gantt Chart'!$J38),'Prepare Gantt Chart'!AA38=7,'Project types'!$Q39*('Prepare Gantt Chart'!$I38*'Prepare Gantt Chart'!$J38),'Prepare Gantt Chart'!AA38=0,0)</f>
        <v>0</v>
      </c>
      <c r="O39" s="45">
        <f>_xlfn.IFS('Prepare Gantt Chart'!AB38=8,'Project types'!$O39*('Prepare Gantt Chart'!$I38*'Prepare Gantt Chart'!$J38),'Prepare Gantt Chart'!AB38=7,'Project types'!$Q39*('Prepare Gantt Chart'!$I38*'Prepare Gantt Chart'!$J38),'Prepare Gantt Chart'!AB38=0,0)</f>
        <v>0</v>
      </c>
      <c r="P39" s="45">
        <f>_xlfn.IFS('Prepare Gantt Chart'!AC38=8,'Project types'!$O39*('Prepare Gantt Chart'!$I38*'Prepare Gantt Chart'!$J38),'Prepare Gantt Chart'!AC38=7,'Project types'!$Q39*('Prepare Gantt Chart'!$I38*'Prepare Gantt Chart'!$J38),'Prepare Gantt Chart'!AC38=0,0)</f>
        <v>0</v>
      </c>
      <c r="Q39" s="45">
        <f>_xlfn.IFS('Prepare Gantt Chart'!AD38=8,'Project types'!$O39*('Prepare Gantt Chart'!$I38*'Prepare Gantt Chart'!$J38),'Prepare Gantt Chart'!AD38=7,'Project types'!$Q39*('Prepare Gantt Chart'!$I38*'Prepare Gantt Chart'!$J38),'Prepare Gantt Chart'!AD38=0,0)</f>
        <v>0</v>
      </c>
      <c r="R39" s="45">
        <f>_xlfn.IFS('Prepare Gantt Chart'!AE38=8,'Project types'!$O39*('Prepare Gantt Chart'!$I38*'Prepare Gantt Chart'!$J38),'Prepare Gantt Chart'!AE38=7,'Project types'!$Q39*('Prepare Gantt Chart'!$I38*'Prepare Gantt Chart'!$J38),'Prepare Gantt Chart'!AE38=0,0)</f>
        <v>0</v>
      </c>
      <c r="S39" s="45">
        <f>_xlfn.IFS('Prepare Gantt Chart'!AF38=8,'Project types'!$O39*('Prepare Gantt Chart'!$I38*'Prepare Gantt Chart'!$J38),'Prepare Gantt Chart'!AF38=7,'Project types'!$Q39*('Prepare Gantt Chart'!$I38*'Prepare Gantt Chart'!$J38),'Prepare Gantt Chart'!AF38=0,0)</f>
        <v>0</v>
      </c>
      <c r="T39" s="45">
        <f>_xlfn.IFS('Prepare Gantt Chart'!AG38=8,'Project types'!$O39*('Prepare Gantt Chart'!$I38*'Prepare Gantt Chart'!$J38),'Prepare Gantt Chart'!AG38=7,'Project types'!$Q39*('Prepare Gantt Chart'!$I38*'Prepare Gantt Chart'!$J38),'Prepare Gantt Chart'!AG38=0,0)</f>
        <v>0</v>
      </c>
      <c r="U39" s="45">
        <f>_xlfn.IFS('Prepare Gantt Chart'!AH38=8,'Project types'!$O39*('Prepare Gantt Chart'!$I38*'Prepare Gantt Chart'!$J38),'Prepare Gantt Chart'!AH38=7,'Project types'!$Q39*('Prepare Gantt Chart'!$I38*'Prepare Gantt Chart'!$J38),'Prepare Gantt Chart'!AH38=0,0)</f>
        <v>0</v>
      </c>
      <c r="V39" s="45">
        <f>_xlfn.IFS('Prepare Gantt Chart'!AI38=8,'Project types'!$O39*('Prepare Gantt Chart'!$I38*'Prepare Gantt Chart'!$J38),'Prepare Gantt Chart'!AI38=7,'Project types'!$Q39*('Prepare Gantt Chart'!$I38*'Prepare Gantt Chart'!$J38),'Prepare Gantt Chart'!AI38=0,0)</f>
        <v>0</v>
      </c>
      <c r="W39" s="45">
        <f>_xlfn.IFS('Prepare Gantt Chart'!AJ38=8,'Project types'!$O39*('Prepare Gantt Chart'!$I38*'Prepare Gantt Chart'!$J38),'Prepare Gantt Chart'!AJ38=7,'Project types'!$Q39*('Prepare Gantt Chart'!$I38*'Prepare Gantt Chart'!$J38),'Prepare Gantt Chart'!AJ38=0,0)</f>
        <v>0</v>
      </c>
      <c r="X39" s="45">
        <f>_xlfn.IFS('Prepare Gantt Chart'!AK38=8,'Project types'!$O39*('Prepare Gantt Chart'!$I38*'Prepare Gantt Chart'!$J38),'Prepare Gantt Chart'!AK38=7,'Project types'!$Q39*('Prepare Gantt Chart'!$I38*'Prepare Gantt Chart'!$J38),'Prepare Gantt Chart'!AK38=0,0)</f>
        <v>0</v>
      </c>
      <c r="Y39" s="45">
        <f>_xlfn.IFS('Prepare Gantt Chart'!AL38=8,'Project types'!$O39*('Prepare Gantt Chart'!$I38*'Prepare Gantt Chart'!$J38),'Prepare Gantt Chart'!AL38=7,'Project types'!$Q39*('Prepare Gantt Chart'!$I38*'Prepare Gantt Chart'!$J38),'Prepare Gantt Chart'!AL38=0,0)</f>
        <v>0</v>
      </c>
      <c r="Z39" s="45">
        <f>_xlfn.IFS('Prepare Gantt Chart'!AM38=8,'Project types'!$O39*('Prepare Gantt Chart'!$I38*'Prepare Gantt Chart'!$J38),'Prepare Gantt Chart'!AM38=7,'Project types'!$Q39*('Prepare Gantt Chart'!$I38*'Prepare Gantt Chart'!$J38),'Prepare Gantt Chart'!AM38=0,0)</f>
        <v>0</v>
      </c>
      <c r="AA39" s="45">
        <f>_xlfn.IFS('Prepare Gantt Chart'!AN38=8,'Project types'!$O39*('Prepare Gantt Chart'!$I38*'Prepare Gantt Chart'!$J38),'Prepare Gantt Chart'!AN38=7,'Project types'!$Q39*('Prepare Gantt Chart'!$I38*'Prepare Gantt Chart'!$J38),'Prepare Gantt Chart'!AN38=0,0)</f>
        <v>0</v>
      </c>
      <c r="AB39" s="45">
        <f>_xlfn.IFS('Prepare Gantt Chart'!AO38=8,'Project types'!$O39*('Prepare Gantt Chart'!$I38*'Prepare Gantt Chart'!$J38),'Prepare Gantt Chart'!AO38=7,'Project types'!$Q39*('Prepare Gantt Chart'!$I38*'Prepare Gantt Chart'!$J38),'Prepare Gantt Chart'!AO38=0,0)</f>
        <v>0</v>
      </c>
      <c r="AC39" s="45">
        <f>'Prepare Gantt Chart'!J38*'Prepare Gantt Chart'!I38*(AD39/26)</f>
        <v>0</v>
      </c>
      <c r="AD39" s="46">
        <f t="shared" si="0"/>
        <v>0</v>
      </c>
      <c r="AE39" s="72">
        <f>IF('Prepare Gantt Chart'!$J38=0,0,SUM(C39:H39)/6/'Prepare Gantt Chart'!$J38)</f>
        <v>0</v>
      </c>
      <c r="AF39" s="72">
        <f>IF('Prepare Gantt Chart'!$J38=0,0,SUM(I39:M39)/5/'Prepare Gantt Chart'!$J38)</f>
        <v>0</v>
      </c>
      <c r="AG39" s="72">
        <f>IF('Prepare Gantt Chart'!$J38=0,0,SUM(N39:R39)/5/'Prepare Gantt Chart'!$J38)</f>
        <v>0</v>
      </c>
      <c r="AH39" s="72">
        <f>IF('Prepare Gantt Chart'!$J38=0,0,SUM(S39:W39)/5/'Prepare Gantt Chart'!$J38)</f>
        <v>0</v>
      </c>
      <c r="AI39" s="72">
        <f>IF('Prepare Gantt Chart'!$J38=0,0,SUM(X39:AB39)/5/'Prepare Gantt Chart'!$J38)</f>
        <v>0</v>
      </c>
      <c r="AK39" s="27" t="s">
        <v>38</v>
      </c>
      <c r="AL39" s="45">
        <f>_xlfn.IFS('Prepare Gantt Chart'!P38=8,'Project types'!$L39*('Prepare Gantt Chart'!$I38*'Prepare Gantt Chart'!$J38),'Prepare Gantt Chart'!P38=7,'Project types'!$L39*('Prepare Gantt Chart'!$I38*'Prepare Gantt Chart'!$J38),'Prepare Gantt Chart'!P38=0,0)</f>
        <v>0</v>
      </c>
      <c r="AM39" s="45">
        <f>_xlfn.IFS('Prepare Gantt Chart'!Q38=8,'Project types'!$L39*('Prepare Gantt Chart'!$I38*'Prepare Gantt Chart'!$J38),'Prepare Gantt Chart'!Q38=7,'Project types'!$L39*('Prepare Gantt Chart'!$I38*'Prepare Gantt Chart'!$J38),'Prepare Gantt Chart'!Q38=0,0)</f>
        <v>0</v>
      </c>
      <c r="AN39" s="45">
        <f>_xlfn.IFS('Prepare Gantt Chart'!R38=8,'Project types'!$L39*('Prepare Gantt Chart'!$I38*'Prepare Gantt Chart'!$J38),'Prepare Gantt Chart'!R38=7,'Project types'!$L39*('Prepare Gantt Chart'!$I38*'Prepare Gantt Chart'!$J38),'Prepare Gantt Chart'!R38=0,0)</f>
        <v>0</v>
      </c>
      <c r="AO39" s="45">
        <f>_xlfn.IFS('Prepare Gantt Chart'!S38=8,'Project types'!$L39*('Prepare Gantt Chart'!$I38*'Prepare Gantt Chart'!$J38),'Prepare Gantt Chart'!S38=7,'Project types'!$L39*('Prepare Gantt Chart'!$I38*'Prepare Gantt Chart'!$J38),'Prepare Gantt Chart'!S38=0,0)</f>
        <v>0</v>
      </c>
      <c r="AP39" s="45">
        <f>_xlfn.IFS('Prepare Gantt Chart'!T38=8,'Project types'!$L39*('Prepare Gantt Chart'!$I38*'Prepare Gantt Chart'!$J38),'Prepare Gantt Chart'!T38=7,'Project types'!$L39*('Prepare Gantt Chart'!$I38*'Prepare Gantt Chart'!$J38),'Prepare Gantt Chart'!T38=0,0)</f>
        <v>0</v>
      </c>
      <c r="AQ39" s="45">
        <f>_xlfn.IFS('Prepare Gantt Chart'!U38=8,'Project types'!$L39*('Prepare Gantt Chart'!$I38*'Prepare Gantt Chart'!$J38),'Prepare Gantt Chart'!U38=7,'Project types'!$L39*('Prepare Gantt Chart'!$I38*'Prepare Gantt Chart'!$J38),'Prepare Gantt Chart'!U38=0,0)</f>
        <v>0</v>
      </c>
      <c r="AR39" s="45">
        <f>_xlfn.IFS('Prepare Gantt Chart'!V38=8,'Project types'!$L39*('Prepare Gantt Chart'!$I38*'Prepare Gantt Chart'!$J38),'Prepare Gantt Chart'!V38=7,'Project types'!$L39*('Prepare Gantt Chart'!$I38*'Prepare Gantt Chart'!$J38),'Prepare Gantt Chart'!V38=0,0)</f>
        <v>0</v>
      </c>
      <c r="AS39" s="45">
        <f>_xlfn.IFS('Prepare Gantt Chart'!W38=8,'Project types'!$L39*('Prepare Gantt Chart'!$I38*'Prepare Gantt Chart'!$J38),'Prepare Gantt Chart'!W38=7,'Project types'!$L39*('Prepare Gantt Chart'!$I38*'Prepare Gantt Chart'!$J38),'Prepare Gantt Chart'!W38=0,0)</f>
        <v>0</v>
      </c>
      <c r="AT39" s="45">
        <f>_xlfn.IFS('Prepare Gantt Chart'!X38=8,'Project types'!$L39*('Prepare Gantt Chart'!$I38*'Prepare Gantt Chart'!$J38),'Prepare Gantt Chart'!X38=7,'Project types'!$L39*('Prepare Gantt Chart'!$I38*'Prepare Gantt Chart'!$J38),'Prepare Gantt Chart'!X38=0,0)</f>
        <v>0</v>
      </c>
      <c r="AU39" s="45">
        <f>_xlfn.IFS('Prepare Gantt Chart'!Y38=8,'Project types'!$L39*('Prepare Gantt Chart'!$I38*'Prepare Gantt Chart'!$J38),'Prepare Gantt Chart'!Y38=7,'Project types'!$L39*('Prepare Gantt Chart'!$I38*'Prepare Gantt Chart'!$J38),'Prepare Gantt Chart'!Y38=0,0)</f>
        <v>0</v>
      </c>
      <c r="AV39" s="45">
        <f>_xlfn.IFS('Prepare Gantt Chart'!Z38=8,'Project types'!$L39*('Prepare Gantt Chart'!$I38*'Prepare Gantt Chart'!$J38),'Prepare Gantt Chart'!Z38=7,'Project types'!$L39*('Prepare Gantt Chart'!$I38*'Prepare Gantt Chart'!$J38),'Prepare Gantt Chart'!Z38=0,0)</f>
        <v>0</v>
      </c>
      <c r="AW39" s="45">
        <f>_xlfn.IFS('Prepare Gantt Chart'!AA38=8,'Project types'!$L39*('Prepare Gantt Chart'!$I38*'Prepare Gantt Chart'!$J38),'Prepare Gantt Chart'!AA38=7,'Project types'!$L39*('Prepare Gantt Chart'!$I38*'Prepare Gantt Chart'!$J38),'Prepare Gantt Chart'!AA38=0,0)</f>
        <v>0</v>
      </c>
      <c r="AX39" s="45">
        <f>_xlfn.IFS('Prepare Gantt Chart'!AB38=8,'Project types'!$L39*('Prepare Gantt Chart'!$I38*'Prepare Gantt Chart'!$J38),'Prepare Gantt Chart'!AB38=7,'Project types'!$L39*('Prepare Gantt Chart'!$I38*'Prepare Gantt Chart'!$J38),'Prepare Gantt Chart'!AB38=0,0)</f>
        <v>0</v>
      </c>
      <c r="AY39" s="45">
        <f>_xlfn.IFS('Prepare Gantt Chart'!AC38=8,'Project types'!$L39*('Prepare Gantt Chart'!$I38*'Prepare Gantt Chart'!$J38),'Prepare Gantt Chart'!AC38=7,'Project types'!$L39*('Prepare Gantt Chart'!$I38*'Prepare Gantt Chart'!$J38),'Prepare Gantt Chart'!AC38=0,0)</f>
        <v>0</v>
      </c>
      <c r="AZ39" s="45">
        <f>_xlfn.IFS('Prepare Gantt Chart'!AD38=8,'Project types'!$L39*('Prepare Gantt Chart'!$I38*'Prepare Gantt Chart'!$J38),'Prepare Gantt Chart'!AD38=7,'Project types'!$L39*('Prepare Gantt Chart'!$I38*'Prepare Gantt Chart'!$J38),'Prepare Gantt Chart'!AD38=0,0)</f>
        <v>0</v>
      </c>
      <c r="BA39" s="45">
        <f>_xlfn.IFS('Prepare Gantt Chart'!AE38=8,'Project types'!$L39*('Prepare Gantt Chart'!$I38*'Prepare Gantt Chart'!$J38),'Prepare Gantt Chart'!AE38=7,'Project types'!$L39*('Prepare Gantt Chart'!$I38*'Prepare Gantt Chart'!$J38),'Prepare Gantt Chart'!AE38=0,0)</f>
        <v>0</v>
      </c>
      <c r="BB39" s="45">
        <f>_xlfn.IFS('Prepare Gantt Chart'!AF38=8,'Project types'!$L39*('Prepare Gantt Chart'!$I38*'Prepare Gantt Chart'!$J38),'Prepare Gantt Chart'!AF38=7,'Project types'!$L39*('Prepare Gantt Chart'!$I38*'Prepare Gantt Chart'!$J38),'Prepare Gantt Chart'!AF38=0,0)</f>
        <v>0</v>
      </c>
      <c r="BC39" s="45">
        <f>_xlfn.IFS('Prepare Gantt Chart'!AG38=8,'Project types'!$L39*('Prepare Gantt Chart'!$I38*'Prepare Gantt Chart'!$J38),'Prepare Gantt Chart'!AG38=7,'Project types'!$L39*('Prepare Gantt Chart'!$I38*'Prepare Gantt Chart'!$J38),'Prepare Gantt Chart'!AG38=0,0)</f>
        <v>0</v>
      </c>
      <c r="BD39" s="45">
        <f>_xlfn.IFS('Prepare Gantt Chart'!AH38=8,'Project types'!$L39*('Prepare Gantt Chart'!$I38*'Prepare Gantt Chart'!$J38),'Prepare Gantt Chart'!AH38=7,'Project types'!$L39*('Prepare Gantt Chart'!$I38*'Prepare Gantt Chart'!$J38),'Prepare Gantt Chart'!AH38=0,0)</f>
        <v>0</v>
      </c>
      <c r="BE39" s="45">
        <f>_xlfn.IFS('Prepare Gantt Chart'!AI38=8,'Project types'!$L39*('Prepare Gantt Chart'!$I38*'Prepare Gantt Chart'!$J38),'Prepare Gantt Chart'!AI38=7,'Project types'!$L39*('Prepare Gantt Chart'!$I38*'Prepare Gantt Chart'!$J38),'Prepare Gantt Chart'!AI38=0,0)</f>
        <v>0</v>
      </c>
      <c r="BF39" s="45">
        <f>_xlfn.IFS('Prepare Gantt Chart'!AJ38=8,'Project types'!$L39*('Prepare Gantt Chart'!$I38*'Prepare Gantt Chart'!$J38),'Prepare Gantt Chart'!AJ38=7,'Project types'!$L39*('Prepare Gantt Chart'!$I38*'Prepare Gantt Chart'!$J38),'Prepare Gantt Chart'!AJ38=0,0)</f>
        <v>0</v>
      </c>
      <c r="BG39" s="45">
        <f>_xlfn.IFS('Prepare Gantt Chart'!AK38=8,'Project types'!$L39*('Prepare Gantt Chart'!$I38*'Prepare Gantt Chart'!$J38),'Prepare Gantt Chart'!AK38=7,'Project types'!$L39*('Prepare Gantt Chart'!$I38*'Prepare Gantt Chart'!$J38),'Prepare Gantt Chart'!AK38=0,0)</f>
        <v>0</v>
      </c>
      <c r="BH39" s="45">
        <f>_xlfn.IFS('Prepare Gantt Chart'!AL38=8,'Project types'!$L39*('Prepare Gantt Chart'!$I38*'Prepare Gantt Chart'!$J38),'Prepare Gantt Chart'!AL38=7,'Project types'!$L39*('Prepare Gantt Chart'!$I38*'Prepare Gantt Chart'!$J38),'Prepare Gantt Chart'!AL38=0,0)</f>
        <v>0</v>
      </c>
      <c r="BI39" s="45">
        <f>_xlfn.IFS('Prepare Gantt Chart'!AM38=8,'Project types'!$L39*('Prepare Gantt Chart'!$I38*'Prepare Gantt Chart'!$J38),'Prepare Gantt Chart'!AM38=7,'Project types'!$L39*('Prepare Gantt Chart'!$I38*'Prepare Gantt Chart'!$J38),'Prepare Gantt Chart'!AM38=0,0)</f>
        <v>0</v>
      </c>
      <c r="BJ39" s="45">
        <f>_xlfn.IFS('Prepare Gantt Chart'!AN38=8,'Project types'!$L39*('Prepare Gantt Chart'!$I38*'Prepare Gantt Chart'!$J38),'Prepare Gantt Chart'!AN38=7,'Project types'!$L39*('Prepare Gantt Chart'!$I38*'Prepare Gantt Chart'!$J38),'Prepare Gantt Chart'!AN38=0,0)</f>
        <v>0</v>
      </c>
      <c r="BK39" s="45">
        <f>_xlfn.IFS('Prepare Gantt Chart'!AO38=8,'Project types'!$L39*('Prepare Gantt Chart'!$I38*'Prepare Gantt Chart'!$J38),'Prepare Gantt Chart'!AO38=7,'Project types'!$L39*('Prepare Gantt Chart'!$I38*'Prepare Gantt Chart'!$J38),'Prepare Gantt Chart'!AO38=0,0)</f>
        <v>0</v>
      </c>
      <c r="BL39" s="46">
        <f t="shared" si="1"/>
        <v>0</v>
      </c>
      <c r="BM39" s="75">
        <f>IF('Prepare Gantt Chart'!$J38=0,0,SUM(AL39:AQ39)/6/'Prepare Gantt Chart'!$J38)</f>
        <v>0</v>
      </c>
      <c r="BN39" s="75">
        <f>IF('Prepare Gantt Chart'!$J38=0,0,SUM(AR39:AV39)/5/'Prepare Gantt Chart'!$J38)</f>
        <v>0</v>
      </c>
      <c r="BO39" s="75">
        <f>IF('Prepare Gantt Chart'!$J38=0,0,SUM(AW39:BA39)/5/'Prepare Gantt Chart'!$J38)</f>
        <v>0</v>
      </c>
      <c r="BP39" s="75">
        <f>IF('Prepare Gantt Chart'!$J38=0,0,SUM(BB39:BF39)/5/'Prepare Gantt Chart'!$J38)</f>
        <v>0</v>
      </c>
      <c r="BQ39" s="75">
        <f>IF('Prepare Gantt Chart'!$J38=0,0,SUM(BG39:BK39)/5/'Prepare Gantt Chart'!$J38)</f>
        <v>0</v>
      </c>
    </row>
    <row r="40" spans="1:69" x14ac:dyDescent="0.2">
      <c r="A40" s="27" t="s">
        <v>39</v>
      </c>
      <c r="B40" s="1" t="s">
        <v>126</v>
      </c>
      <c r="C40" s="45">
        <f>_xlfn.IFS('Prepare Gantt Chart'!P39=8,'Project types'!$O40*('Prepare Gantt Chart'!$I39*'Prepare Gantt Chart'!$J39),'Prepare Gantt Chart'!P39=7,'Project types'!$Q40*('Prepare Gantt Chart'!$I39*'Prepare Gantt Chart'!$J39),'Prepare Gantt Chart'!P39=0,0)</f>
        <v>0</v>
      </c>
      <c r="D40" s="45">
        <f>_xlfn.IFS('Prepare Gantt Chart'!Q39=8,'Project types'!$O40*('Prepare Gantt Chart'!$I39*'Prepare Gantt Chart'!$J39),'Prepare Gantt Chart'!Q39=7,'Project types'!$Q40*('Prepare Gantt Chart'!$I39*'Prepare Gantt Chart'!$J39),'Prepare Gantt Chart'!Q39=0,0)</f>
        <v>0</v>
      </c>
      <c r="E40" s="45">
        <f>_xlfn.IFS('Prepare Gantt Chart'!R39=8,'Project types'!$O40*('Prepare Gantt Chart'!$I39*'Prepare Gantt Chart'!$J39),'Prepare Gantt Chart'!R39=7,'Project types'!$Q40*('Prepare Gantt Chart'!$I39*'Prepare Gantt Chart'!$J39),'Prepare Gantt Chart'!R39=0,0)</f>
        <v>0</v>
      </c>
      <c r="F40" s="45">
        <f>_xlfn.IFS('Prepare Gantt Chart'!S39=8,'Project types'!$O40*('Prepare Gantt Chart'!$I39*'Prepare Gantt Chart'!$J39),'Prepare Gantt Chart'!S39=7,'Project types'!$Q40*('Prepare Gantt Chart'!$I39*'Prepare Gantt Chart'!$J39),'Prepare Gantt Chart'!S39=0,0)</f>
        <v>0</v>
      </c>
      <c r="G40" s="45">
        <f>_xlfn.IFS('Prepare Gantt Chart'!T39=8,'Project types'!$O40*('Prepare Gantt Chart'!$I39*'Prepare Gantt Chart'!$J39),'Prepare Gantt Chart'!T39=7,'Project types'!$Q40*('Prepare Gantt Chart'!$I39*'Prepare Gantt Chart'!$J39),'Prepare Gantt Chart'!T39=0,0)</f>
        <v>0</v>
      </c>
      <c r="H40" s="45">
        <f>_xlfn.IFS('Prepare Gantt Chart'!U39=8,'Project types'!$O40*('Prepare Gantt Chart'!$I39*'Prepare Gantt Chart'!$J39),'Prepare Gantt Chart'!U39=7,'Project types'!$Q40*('Prepare Gantt Chart'!$I39*'Prepare Gantt Chart'!$J39),'Prepare Gantt Chart'!U39=0,0)</f>
        <v>0</v>
      </c>
      <c r="I40" s="45">
        <f>_xlfn.IFS('Prepare Gantt Chart'!V39=8,'Project types'!$O40*('Prepare Gantt Chart'!$I39*'Prepare Gantt Chart'!$J39),'Prepare Gantt Chart'!V39=7,'Project types'!$Q40*('Prepare Gantt Chart'!$I39*'Prepare Gantt Chart'!$J39),'Prepare Gantt Chart'!V39=0,0)</f>
        <v>0</v>
      </c>
      <c r="J40" s="45">
        <f>_xlfn.IFS('Prepare Gantt Chart'!W39=8,'Project types'!$O40*('Prepare Gantt Chart'!$I39*'Prepare Gantt Chart'!$J39),'Prepare Gantt Chart'!W39=7,'Project types'!$Q40*('Prepare Gantt Chart'!$I39*'Prepare Gantt Chart'!$J39),'Prepare Gantt Chart'!W39=0,0)</f>
        <v>0</v>
      </c>
      <c r="K40" s="45">
        <f>_xlfn.IFS('Prepare Gantt Chart'!X39=8,'Project types'!$O40*('Prepare Gantt Chart'!$I39*'Prepare Gantt Chart'!$J39),'Prepare Gantt Chart'!X39=7,'Project types'!$Q40*('Prepare Gantt Chart'!$I39*'Prepare Gantt Chart'!$J39),'Prepare Gantt Chart'!X39=0,0)</f>
        <v>0</v>
      </c>
      <c r="L40" s="45">
        <f>_xlfn.IFS('Prepare Gantt Chart'!Y39=8,'Project types'!$O40*('Prepare Gantt Chart'!$I39*'Prepare Gantt Chart'!$J39),'Prepare Gantt Chart'!Y39=7,'Project types'!$Q40*('Prepare Gantt Chart'!$I39*'Prepare Gantt Chart'!$J39),'Prepare Gantt Chart'!Y39=0,0)</f>
        <v>0</v>
      </c>
      <c r="M40" s="45">
        <f>_xlfn.IFS('Prepare Gantt Chart'!Z39=8,'Project types'!$O40*('Prepare Gantt Chart'!$I39*'Prepare Gantt Chart'!$J39),'Prepare Gantt Chart'!Z39=7,'Project types'!$Q40*('Prepare Gantt Chart'!$I39*'Prepare Gantt Chart'!$J39),'Prepare Gantt Chart'!Z39=0,0)</f>
        <v>0</v>
      </c>
      <c r="N40" s="45">
        <f>_xlfn.IFS('Prepare Gantt Chart'!AA39=8,'Project types'!$O40*('Prepare Gantt Chart'!$I39*'Prepare Gantt Chart'!$J39),'Prepare Gantt Chart'!AA39=7,'Project types'!$Q40*('Prepare Gantt Chart'!$I39*'Prepare Gantt Chart'!$J39),'Prepare Gantt Chart'!AA39=0,0)</f>
        <v>0</v>
      </c>
      <c r="O40" s="45">
        <f>_xlfn.IFS('Prepare Gantt Chart'!AB39=8,'Project types'!$O40*('Prepare Gantt Chart'!$I39*'Prepare Gantt Chart'!$J39),'Prepare Gantt Chart'!AB39=7,'Project types'!$Q40*('Prepare Gantt Chart'!$I39*'Prepare Gantt Chart'!$J39),'Prepare Gantt Chart'!AB39=0,0)</f>
        <v>0</v>
      </c>
      <c r="P40" s="45">
        <f>_xlfn.IFS('Prepare Gantt Chart'!AC39=8,'Project types'!$O40*('Prepare Gantt Chart'!$I39*'Prepare Gantt Chart'!$J39),'Prepare Gantt Chart'!AC39=7,'Project types'!$Q40*('Prepare Gantt Chart'!$I39*'Prepare Gantt Chart'!$J39),'Prepare Gantt Chart'!AC39=0,0)</f>
        <v>0</v>
      </c>
      <c r="Q40" s="45">
        <f>_xlfn.IFS('Prepare Gantt Chart'!AD39=8,'Project types'!$O40*('Prepare Gantt Chart'!$I39*'Prepare Gantt Chart'!$J39),'Prepare Gantt Chart'!AD39=7,'Project types'!$Q40*('Prepare Gantt Chart'!$I39*'Prepare Gantt Chart'!$J39),'Prepare Gantt Chart'!AD39=0,0)</f>
        <v>0</v>
      </c>
      <c r="R40" s="45">
        <f>_xlfn.IFS('Prepare Gantt Chart'!AE39=8,'Project types'!$O40*('Prepare Gantt Chart'!$I39*'Prepare Gantt Chart'!$J39),'Prepare Gantt Chart'!AE39=7,'Project types'!$Q40*('Prepare Gantt Chart'!$I39*'Prepare Gantt Chart'!$J39),'Prepare Gantt Chart'!AE39=0,0)</f>
        <v>0</v>
      </c>
      <c r="S40" s="45">
        <f>_xlfn.IFS('Prepare Gantt Chart'!AF39=8,'Project types'!$O40*('Prepare Gantt Chart'!$I39*'Prepare Gantt Chart'!$J39),'Prepare Gantt Chart'!AF39=7,'Project types'!$Q40*('Prepare Gantt Chart'!$I39*'Prepare Gantt Chart'!$J39),'Prepare Gantt Chart'!AF39=0,0)</f>
        <v>0</v>
      </c>
      <c r="T40" s="45">
        <f>_xlfn.IFS('Prepare Gantt Chart'!AG39=8,'Project types'!$O40*('Prepare Gantt Chart'!$I39*'Prepare Gantt Chart'!$J39),'Prepare Gantt Chart'!AG39=7,'Project types'!$Q40*('Prepare Gantt Chart'!$I39*'Prepare Gantt Chart'!$J39),'Prepare Gantt Chart'!AG39=0,0)</f>
        <v>0</v>
      </c>
      <c r="U40" s="45">
        <f>_xlfn.IFS('Prepare Gantt Chart'!AH39=8,'Project types'!$O40*('Prepare Gantt Chart'!$I39*'Prepare Gantt Chart'!$J39),'Prepare Gantt Chart'!AH39=7,'Project types'!$Q40*('Prepare Gantt Chart'!$I39*'Prepare Gantt Chart'!$J39),'Prepare Gantt Chart'!AH39=0,0)</f>
        <v>0</v>
      </c>
      <c r="V40" s="45">
        <f>_xlfn.IFS('Prepare Gantt Chart'!AI39=8,'Project types'!$O40*('Prepare Gantt Chart'!$I39*'Prepare Gantt Chart'!$J39),'Prepare Gantt Chart'!AI39=7,'Project types'!$Q40*('Prepare Gantt Chart'!$I39*'Prepare Gantt Chart'!$J39),'Prepare Gantt Chart'!AI39=0,0)</f>
        <v>0</v>
      </c>
      <c r="W40" s="45">
        <f>_xlfn.IFS('Prepare Gantt Chart'!AJ39=8,'Project types'!$O40*('Prepare Gantt Chart'!$I39*'Prepare Gantt Chart'!$J39),'Prepare Gantt Chart'!AJ39=7,'Project types'!$Q40*('Prepare Gantt Chart'!$I39*'Prepare Gantt Chart'!$J39),'Prepare Gantt Chart'!AJ39=0,0)</f>
        <v>0</v>
      </c>
      <c r="X40" s="45">
        <f>_xlfn.IFS('Prepare Gantt Chart'!AK39=8,'Project types'!$O40*('Prepare Gantt Chart'!$I39*'Prepare Gantt Chart'!$J39),'Prepare Gantt Chart'!AK39=7,'Project types'!$Q40*('Prepare Gantt Chart'!$I39*'Prepare Gantt Chart'!$J39),'Prepare Gantt Chart'!AK39=0,0)</f>
        <v>0</v>
      </c>
      <c r="Y40" s="45">
        <f>_xlfn.IFS('Prepare Gantt Chart'!AL39=8,'Project types'!$O40*('Prepare Gantt Chart'!$I39*'Prepare Gantt Chart'!$J39),'Prepare Gantt Chart'!AL39=7,'Project types'!$Q40*('Prepare Gantt Chart'!$I39*'Prepare Gantt Chart'!$J39),'Prepare Gantt Chart'!AL39=0,0)</f>
        <v>0</v>
      </c>
      <c r="Z40" s="45">
        <f>_xlfn.IFS('Prepare Gantt Chart'!AM39=8,'Project types'!$O40*('Prepare Gantt Chart'!$I39*'Prepare Gantt Chart'!$J39),'Prepare Gantt Chart'!AM39=7,'Project types'!$Q40*('Prepare Gantt Chart'!$I39*'Prepare Gantt Chart'!$J39),'Prepare Gantt Chart'!AM39=0,0)</f>
        <v>0</v>
      </c>
      <c r="AA40" s="45">
        <f>_xlfn.IFS('Prepare Gantt Chart'!AN39=8,'Project types'!$O40*('Prepare Gantt Chart'!$I39*'Prepare Gantt Chart'!$J39),'Prepare Gantt Chart'!AN39=7,'Project types'!$Q40*('Prepare Gantt Chart'!$I39*'Prepare Gantt Chart'!$J39),'Prepare Gantt Chart'!AN39=0,0)</f>
        <v>0</v>
      </c>
      <c r="AB40" s="45">
        <f>_xlfn.IFS('Prepare Gantt Chart'!AO39=8,'Project types'!$O40*('Prepare Gantt Chart'!$I39*'Prepare Gantt Chart'!$J39),'Prepare Gantt Chart'!AO39=7,'Project types'!$Q40*('Prepare Gantt Chart'!$I39*'Prepare Gantt Chart'!$J39),'Prepare Gantt Chart'!AO39=0,0)</f>
        <v>0</v>
      </c>
      <c r="AC40" s="45">
        <f>'Prepare Gantt Chart'!J39*'Prepare Gantt Chart'!I39*(AD40/26)</f>
        <v>0</v>
      </c>
      <c r="AD40" s="46">
        <f t="shared" si="0"/>
        <v>0</v>
      </c>
      <c r="AE40" s="72">
        <f>IF('Prepare Gantt Chart'!$J39=0,0,SUM(C40:H40)/6/'Prepare Gantt Chart'!$J39)</f>
        <v>0</v>
      </c>
      <c r="AF40" s="72">
        <f>IF('Prepare Gantt Chart'!$J39=0,0,SUM(I40:M40)/5/'Prepare Gantt Chart'!$J39)</f>
        <v>0</v>
      </c>
      <c r="AG40" s="72">
        <f>IF('Prepare Gantt Chart'!$J39=0,0,SUM(N40:R40)/5/'Prepare Gantt Chart'!$J39)</f>
        <v>0</v>
      </c>
      <c r="AH40" s="72">
        <f>IF('Prepare Gantt Chart'!$J39=0,0,SUM(S40:W40)/5/'Prepare Gantt Chart'!$J39)</f>
        <v>0</v>
      </c>
      <c r="AI40" s="72">
        <f>IF('Prepare Gantt Chart'!$J39=0,0,SUM(X40:AB40)/5/'Prepare Gantt Chart'!$J39)</f>
        <v>0</v>
      </c>
      <c r="AK40" s="27" t="s">
        <v>39</v>
      </c>
      <c r="AL40" s="45">
        <f>_xlfn.IFS('Prepare Gantt Chart'!P39=8,'Project types'!$L40*('Prepare Gantt Chart'!$I39*'Prepare Gantt Chart'!$J39),'Prepare Gantt Chart'!P39=7,'Project types'!$L40*('Prepare Gantt Chart'!$I39*'Prepare Gantt Chart'!$J39),'Prepare Gantt Chart'!P39=0,0)</f>
        <v>0</v>
      </c>
      <c r="AM40" s="45">
        <f>_xlfn.IFS('Prepare Gantt Chart'!Q39=8,'Project types'!$L40*('Prepare Gantt Chart'!$I39*'Prepare Gantt Chart'!$J39),'Prepare Gantt Chart'!Q39=7,'Project types'!$L40*('Prepare Gantt Chart'!$I39*'Prepare Gantt Chart'!$J39),'Prepare Gantt Chart'!Q39=0,0)</f>
        <v>0</v>
      </c>
      <c r="AN40" s="45">
        <f>_xlfn.IFS('Prepare Gantt Chart'!R39=8,'Project types'!$L40*('Prepare Gantt Chart'!$I39*'Prepare Gantt Chart'!$J39),'Prepare Gantt Chart'!R39=7,'Project types'!$L40*('Prepare Gantt Chart'!$I39*'Prepare Gantt Chart'!$J39),'Prepare Gantt Chart'!R39=0,0)</f>
        <v>0</v>
      </c>
      <c r="AO40" s="45">
        <f>_xlfn.IFS('Prepare Gantt Chart'!S39=8,'Project types'!$L40*('Prepare Gantt Chart'!$I39*'Prepare Gantt Chart'!$J39),'Prepare Gantt Chart'!S39=7,'Project types'!$L40*('Prepare Gantt Chart'!$I39*'Prepare Gantt Chart'!$J39),'Prepare Gantt Chart'!S39=0,0)</f>
        <v>0</v>
      </c>
      <c r="AP40" s="45">
        <f>_xlfn.IFS('Prepare Gantt Chart'!T39=8,'Project types'!$L40*('Prepare Gantt Chart'!$I39*'Prepare Gantt Chart'!$J39),'Prepare Gantt Chart'!T39=7,'Project types'!$L40*('Prepare Gantt Chart'!$I39*'Prepare Gantt Chart'!$J39),'Prepare Gantt Chart'!T39=0,0)</f>
        <v>0</v>
      </c>
      <c r="AQ40" s="45">
        <f>_xlfn.IFS('Prepare Gantt Chart'!U39=8,'Project types'!$L40*('Prepare Gantt Chart'!$I39*'Prepare Gantt Chart'!$J39),'Prepare Gantt Chart'!U39=7,'Project types'!$L40*('Prepare Gantt Chart'!$I39*'Prepare Gantt Chart'!$J39),'Prepare Gantt Chart'!U39=0,0)</f>
        <v>0</v>
      </c>
      <c r="AR40" s="45">
        <f>_xlfn.IFS('Prepare Gantt Chart'!V39=8,'Project types'!$L40*('Prepare Gantt Chart'!$I39*'Prepare Gantt Chart'!$J39),'Prepare Gantt Chart'!V39=7,'Project types'!$L40*('Prepare Gantt Chart'!$I39*'Prepare Gantt Chart'!$J39),'Prepare Gantt Chart'!V39=0,0)</f>
        <v>0</v>
      </c>
      <c r="AS40" s="45">
        <f>_xlfn.IFS('Prepare Gantt Chart'!W39=8,'Project types'!$L40*('Prepare Gantt Chart'!$I39*'Prepare Gantt Chart'!$J39),'Prepare Gantt Chart'!W39=7,'Project types'!$L40*('Prepare Gantt Chart'!$I39*'Prepare Gantt Chart'!$J39),'Prepare Gantt Chart'!W39=0,0)</f>
        <v>0</v>
      </c>
      <c r="AT40" s="45">
        <f>_xlfn.IFS('Prepare Gantt Chart'!X39=8,'Project types'!$L40*('Prepare Gantt Chart'!$I39*'Prepare Gantt Chart'!$J39),'Prepare Gantt Chart'!X39=7,'Project types'!$L40*('Prepare Gantt Chart'!$I39*'Prepare Gantt Chart'!$J39),'Prepare Gantt Chart'!X39=0,0)</f>
        <v>0</v>
      </c>
      <c r="AU40" s="45">
        <f>_xlfn.IFS('Prepare Gantt Chart'!Y39=8,'Project types'!$L40*('Prepare Gantt Chart'!$I39*'Prepare Gantt Chart'!$J39),'Prepare Gantt Chart'!Y39=7,'Project types'!$L40*('Prepare Gantt Chart'!$I39*'Prepare Gantt Chart'!$J39),'Prepare Gantt Chart'!Y39=0,0)</f>
        <v>0</v>
      </c>
      <c r="AV40" s="45">
        <f>_xlfn.IFS('Prepare Gantt Chart'!Z39=8,'Project types'!$L40*('Prepare Gantt Chart'!$I39*'Prepare Gantt Chart'!$J39),'Prepare Gantt Chart'!Z39=7,'Project types'!$L40*('Prepare Gantt Chart'!$I39*'Prepare Gantt Chart'!$J39),'Prepare Gantt Chart'!Z39=0,0)</f>
        <v>0</v>
      </c>
      <c r="AW40" s="45">
        <f>_xlfn.IFS('Prepare Gantt Chart'!AA39=8,'Project types'!$L40*('Prepare Gantt Chart'!$I39*'Prepare Gantt Chart'!$J39),'Prepare Gantt Chart'!AA39=7,'Project types'!$L40*('Prepare Gantt Chart'!$I39*'Prepare Gantt Chart'!$J39),'Prepare Gantt Chart'!AA39=0,0)</f>
        <v>0</v>
      </c>
      <c r="AX40" s="45">
        <f>_xlfn.IFS('Prepare Gantt Chart'!AB39=8,'Project types'!$L40*('Prepare Gantt Chart'!$I39*'Prepare Gantt Chart'!$J39),'Prepare Gantt Chart'!AB39=7,'Project types'!$L40*('Prepare Gantt Chart'!$I39*'Prepare Gantt Chart'!$J39),'Prepare Gantt Chart'!AB39=0,0)</f>
        <v>0</v>
      </c>
      <c r="AY40" s="45">
        <f>_xlfn.IFS('Prepare Gantt Chart'!AC39=8,'Project types'!$L40*('Prepare Gantt Chart'!$I39*'Prepare Gantt Chart'!$J39),'Prepare Gantt Chart'!AC39=7,'Project types'!$L40*('Prepare Gantt Chart'!$I39*'Prepare Gantt Chart'!$J39),'Prepare Gantt Chart'!AC39=0,0)</f>
        <v>0</v>
      </c>
      <c r="AZ40" s="45">
        <f>_xlfn.IFS('Prepare Gantt Chart'!AD39=8,'Project types'!$L40*('Prepare Gantt Chart'!$I39*'Prepare Gantt Chart'!$J39),'Prepare Gantt Chart'!AD39=7,'Project types'!$L40*('Prepare Gantt Chart'!$I39*'Prepare Gantt Chart'!$J39),'Prepare Gantt Chart'!AD39=0,0)</f>
        <v>0</v>
      </c>
      <c r="BA40" s="45">
        <f>_xlfn.IFS('Prepare Gantt Chart'!AE39=8,'Project types'!$L40*('Prepare Gantt Chart'!$I39*'Prepare Gantt Chart'!$J39),'Prepare Gantt Chart'!AE39=7,'Project types'!$L40*('Prepare Gantt Chart'!$I39*'Prepare Gantt Chart'!$J39),'Prepare Gantt Chart'!AE39=0,0)</f>
        <v>0</v>
      </c>
      <c r="BB40" s="45">
        <f>_xlfn.IFS('Prepare Gantt Chart'!AF39=8,'Project types'!$L40*('Prepare Gantt Chart'!$I39*'Prepare Gantt Chart'!$J39),'Prepare Gantt Chart'!AF39=7,'Project types'!$L40*('Prepare Gantt Chart'!$I39*'Prepare Gantt Chart'!$J39),'Prepare Gantt Chart'!AF39=0,0)</f>
        <v>0</v>
      </c>
      <c r="BC40" s="45">
        <f>_xlfn.IFS('Prepare Gantt Chart'!AG39=8,'Project types'!$L40*('Prepare Gantt Chart'!$I39*'Prepare Gantt Chart'!$J39),'Prepare Gantt Chart'!AG39=7,'Project types'!$L40*('Prepare Gantt Chart'!$I39*'Prepare Gantt Chart'!$J39),'Prepare Gantt Chart'!AG39=0,0)</f>
        <v>0</v>
      </c>
      <c r="BD40" s="45">
        <f>_xlfn.IFS('Prepare Gantt Chart'!AH39=8,'Project types'!$L40*('Prepare Gantt Chart'!$I39*'Prepare Gantt Chart'!$J39),'Prepare Gantt Chart'!AH39=7,'Project types'!$L40*('Prepare Gantt Chart'!$I39*'Prepare Gantt Chart'!$J39),'Prepare Gantt Chart'!AH39=0,0)</f>
        <v>0</v>
      </c>
      <c r="BE40" s="45">
        <f>_xlfn.IFS('Prepare Gantt Chart'!AI39=8,'Project types'!$L40*('Prepare Gantt Chart'!$I39*'Prepare Gantt Chart'!$J39),'Prepare Gantt Chart'!AI39=7,'Project types'!$L40*('Prepare Gantt Chart'!$I39*'Prepare Gantt Chart'!$J39),'Prepare Gantt Chart'!AI39=0,0)</f>
        <v>0</v>
      </c>
      <c r="BF40" s="45">
        <f>_xlfn.IFS('Prepare Gantt Chart'!AJ39=8,'Project types'!$L40*('Prepare Gantt Chart'!$I39*'Prepare Gantt Chart'!$J39),'Prepare Gantt Chart'!AJ39=7,'Project types'!$L40*('Prepare Gantt Chart'!$I39*'Prepare Gantt Chart'!$J39),'Prepare Gantt Chart'!AJ39=0,0)</f>
        <v>0</v>
      </c>
      <c r="BG40" s="45">
        <f>_xlfn.IFS('Prepare Gantt Chart'!AK39=8,'Project types'!$L40*('Prepare Gantt Chart'!$I39*'Prepare Gantt Chart'!$J39),'Prepare Gantt Chart'!AK39=7,'Project types'!$L40*('Prepare Gantt Chart'!$I39*'Prepare Gantt Chart'!$J39),'Prepare Gantt Chart'!AK39=0,0)</f>
        <v>0</v>
      </c>
      <c r="BH40" s="45">
        <f>_xlfn.IFS('Prepare Gantt Chart'!AL39=8,'Project types'!$L40*('Prepare Gantt Chart'!$I39*'Prepare Gantt Chart'!$J39),'Prepare Gantt Chart'!AL39=7,'Project types'!$L40*('Prepare Gantt Chart'!$I39*'Prepare Gantt Chart'!$J39),'Prepare Gantt Chart'!AL39=0,0)</f>
        <v>0</v>
      </c>
      <c r="BI40" s="45">
        <f>_xlfn.IFS('Prepare Gantt Chart'!AM39=8,'Project types'!$L40*('Prepare Gantt Chart'!$I39*'Prepare Gantt Chart'!$J39),'Prepare Gantt Chart'!AM39=7,'Project types'!$L40*('Prepare Gantt Chart'!$I39*'Prepare Gantt Chart'!$J39),'Prepare Gantt Chart'!AM39=0,0)</f>
        <v>0</v>
      </c>
      <c r="BJ40" s="45">
        <f>_xlfn.IFS('Prepare Gantt Chart'!AN39=8,'Project types'!$L40*('Prepare Gantt Chart'!$I39*'Prepare Gantt Chart'!$J39),'Prepare Gantt Chart'!AN39=7,'Project types'!$L40*('Prepare Gantt Chart'!$I39*'Prepare Gantt Chart'!$J39),'Prepare Gantt Chart'!AN39=0,0)</f>
        <v>0</v>
      </c>
      <c r="BK40" s="45">
        <f>_xlfn.IFS('Prepare Gantt Chart'!AO39=8,'Project types'!$L40*('Prepare Gantt Chart'!$I39*'Prepare Gantt Chart'!$J39),'Prepare Gantt Chart'!AO39=7,'Project types'!$L40*('Prepare Gantt Chart'!$I39*'Prepare Gantt Chart'!$J39),'Prepare Gantt Chart'!AO39=0,0)</f>
        <v>0</v>
      </c>
      <c r="BL40" s="46">
        <f t="shared" si="1"/>
        <v>0</v>
      </c>
      <c r="BM40" s="75">
        <f>IF('Prepare Gantt Chart'!$J39=0,0,SUM(AL40:AQ40)/6/'Prepare Gantt Chart'!$J39)</f>
        <v>0</v>
      </c>
      <c r="BN40" s="75">
        <f>IF('Prepare Gantt Chart'!$J39=0,0,SUM(AR40:AV40)/5/'Prepare Gantt Chart'!$J39)</f>
        <v>0</v>
      </c>
      <c r="BO40" s="75">
        <f>IF('Prepare Gantt Chart'!$J39=0,0,SUM(AW40:BA40)/5/'Prepare Gantt Chart'!$J39)</f>
        <v>0</v>
      </c>
      <c r="BP40" s="75">
        <f>IF('Prepare Gantt Chart'!$J39=0,0,SUM(BB40:BF40)/5/'Prepare Gantt Chart'!$J39)</f>
        <v>0</v>
      </c>
      <c r="BQ40" s="75">
        <f>IF('Prepare Gantt Chart'!$J39=0,0,SUM(BG40:BK40)/5/'Prepare Gantt Chart'!$J39)</f>
        <v>0</v>
      </c>
    </row>
    <row r="41" spans="1:69" x14ac:dyDescent="0.2">
      <c r="A41" s="27" t="s">
        <v>40</v>
      </c>
      <c r="B41" s="1" t="s">
        <v>127</v>
      </c>
      <c r="C41" s="45">
        <f>_xlfn.IFS('Prepare Gantt Chart'!P40=8,'Project types'!$O41*('Prepare Gantt Chart'!$I40*'Prepare Gantt Chart'!$J40),'Prepare Gantt Chart'!P40=7,'Project types'!$Q41*('Prepare Gantt Chart'!$I40*'Prepare Gantt Chart'!$J40),'Prepare Gantt Chart'!P40=0,0)</f>
        <v>0</v>
      </c>
      <c r="D41" s="45">
        <f>_xlfn.IFS('Prepare Gantt Chart'!Q40=8,'Project types'!$O41*('Prepare Gantt Chart'!$I40*'Prepare Gantt Chart'!$J40),'Prepare Gantt Chart'!Q40=7,'Project types'!$Q41*('Prepare Gantt Chart'!$I40*'Prepare Gantt Chart'!$J40),'Prepare Gantt Chart'!Q40=0,0)</f>
        <v>0</v>
      </c>
      <c r="E41" s="45">
        <f>_xlfn.IFS('Prepare Gantt Chart'!R40=8,'Project types'!$O41*('Prepare Gantt Chart'!$I40*'Prepare Gantt Chart'!$J40),'Prepare Gantt Chart'!R40=7,'Project types'!$Q41*('Prepare Gantt Chart'!$I40*'Prepare Gantt Chart'!$J40),'Prepare Gantt Chart'!R40=0,0)</f>
        <v>0</v>
      </c>
      <c r="F41" s="45">
        <f>_xlfn.IFS('Prepare Gantt Chart'!S40=8,'Project types'!$O41*('Prepare Gantt Chart'!$I40*'Prepare Gantt Chart'!$J40),'Prepare Gantt Chart'!S40=7,'Project types'!$Q41*('Prepare Gantt Chart'!$I40*'Prepare Gantt Chart'!$J40),'Prepare Gantt Chart'!S40=0,0)</f>
        <v>0</v>
      </c>
      <c r="G41" s="45">
        <f>_xlfn.IFS('Prepare Gantt Chart'!T40=8,'Project types'!$O41*('Prepare Gantt Chart'!$I40*'Prepare Gantt Chart'!$J40),'Prepare Gantt Chart'!T40=7,'Project types'!$Q41*('Prepare Gantt Chart'!$I40*'Prepare Gantt Chart'!$J40),'Prepare Gantt Chart'!T40=0,0)</f>
        <v>0</v>
      </c>
      <c r="H41" s="45">
        <f>_xlfn.IFS('Prepare Gantt Chart'!U40=8,'Project types'!$O41*('Prepare Gantt Chart'!$I40*'Prepare Gantt Chart'!$J40),'Prepare Gantt Chart'!U40=7,'Project types'!$Q41*('Prepare Gantt Chart'!$I40*'Prepare Gantt Chart'!$J40),'Prepare Gantt Chart'!U40=0,0)</f>
        <v>0</v>
      </c>
      <c r="I41" s="45">
        <f>_xlfn.IFS('Prepare Gantt Chart'!V40=8,'Project types'!$O41*('Prepare Gantt Chart'!$I40*'Prepare Gantt Chart'!$J40),'Prepare Gantt Chart'!V40=7,'Project types'!$Q41*('Prepare Gantt Chart'!$I40*'Prepare Gantt Chart'!$J40),'Prepare Gantt Chart'!V40=0,0)</f>
        <v>0</v>
      </c>
      <c r="J41" s="45">
        <f>_xlfn.IFS('Prepare Gantt Chart'!W40=8,'Project types'!$O41*('Prepare Gantt Chart'!$I40*'Prepare Gantt Chart'!$J40),'Prepare Gantt Chart'!W40=7,'Project types'!$Q41*('Prepare Gantt Chart'!$I40*'Prepare Gantt Chart'!$J40),'Prepare Gantt Chart'!W40=0,0)</f>
        <v>0</v>
      </c>
      <c r="K41" s="45">
        <f>_xlfn.IFS('Prepare Gantt Chart'!X40=8,'Project types'!$O41*('Prepare Gantt Chart'!$I40*'Prepare Gantt Chart'!$J40),'Prepare Gantt Chart'!X40=7,'Project types'!$Q41*('Prepare Gantt Chart'!$I40*'Prepare Gantt Chart'!$J40),'Prepare Gantt Chart'!X40=0,0)</f>
        <v>0</v>
      </c>
      <c r="L41" s="45">
        <f>_xlfn.IFS('Prepare Gantt Chart'!Y40=8,'Project types'!$O41*('Prepare Gantt Chart'!$I40*'Prepare Gantt Chart'!$J40),'Prepare Gantt Chart'!Y40=7,'Project types'!$Q41*('Prepare Gantt Chart'!$I40*'Prepare Gantt Chart'!$J40),'Prepare Gantt Chart'!Y40=0,0)</f>
        <v>0</v>
      </c>
      <c r="M41" s="45">
        <f>_xlfn.IFS('Prepare Gantt Chart'!Z40=8,'Project types'!$O41*('Prepare Gantt Chart'!$I40*'Prepare Gantt Chart'!$J40),'Prepare Gantt Chart'!Z40=7,'Project types'!$Q41*('Prepare Gantt Chart'!$I40*'Prepare Gantt Chart'!$J40),'Prepare Gantt Chart'!Z40=0,0)</f>
        <v>0</v>
      </c>
      <c r="N41" s="45">
        <f>_xlfn.IFS('Prepare Gantt Chart'!AA40=8,'Project types'!$O41*('Prepare Gantt Chart'!$I40*'Prepare Gantt Chart'!$J40),'Prepare Gantt Chart'!AA40=7,'Project types'!$Q41*('Prepare Gantt Chart'!$I40*'Prepare Gantt Chart'!$J40),'Prepare Gantt Chart'!AA40=0,0)</f>
        <v>0</v>
      </c>
      <c r="O41" s="45">
        <f>_xlfn.IFS('Prepare Gantt Chart'!AB40=8,'Project types'!$O41*('Prepare Gantt Chart'!$I40*'Prepare Gantt Chart'!$J40),'Prepare Gantt Chart'!AB40=7,'Project types'!$Q41*('Prepare Gantt Chart'!$I40*'Prepare Gantt Chart'!$J40),'Prepare Gantt Chart'!AB40=0,0)</f>
        <v>0</v>
      </c>
      <c r="P41" s="45">
        <f>_xlfn.IFS('Prepare Gantt Chart'!AC40=8,'Project types'!$O41*('Prepare Gantt Chart'!$I40*'Prepare Gantt Chart'!$J40),'Prepare Gantt Chart'!AC40=7,'Project types'!$Q41*('Prepare Gantt Chart'!$I40*'Prepare Gantt Chart'!$J40),'Prepare Gantt Chart'!AC40=0,0)</f>
        <v>0</v>
      </c>
      <c r="Q41" s="45">
        <f>_xlfn.IFS('Prepare Gantt Chart'!AD40=8,'Project types'!$O41*('Prepare Gantt Chart'!$I40*'Prepare Gantt Chart'!$J40),'Prepare Gantt Chart'!AD40=7,'Project types'!$Q41*('Prepare Gantt Chart'!$I40*'Prepare Gantt Chart'!$J40),'Prepare Gantt Chart'!AD40=0,0)</f>
        <v>0</v>
      </c>
      <c r="R41" s="45">
        <f>_xlfn.IFS('Prepare Gantt Chart'!AE40=8,'Project types'!$O41*('Prepare Gantt Chart'!$I40*'Prepare Gantt Chart'!$J40),'Prepare Gantt Chart'!AE40=7,'Project types'!$Q41*('Prepare Gantt Chart'!$I40*'Prepare Gantt Chart'!$J40),'Prepare Gantt Chart'!AE40=0,0)</f>
        <v>0</v>
      </c>
      <c r="S41" s="45">
        <f>_xlfn.IFS('Prepare Gantt Chart'!AF40=8,'Project types'!$O41*('Prepare Gantt Chart'!$I40*'Prepare Gantt Chart'!$J40),'Prepare Gantt Chart'!AF40=7,'Project types'!$Q41*('Prepare Gantt Chart'!$I40*'Prepare Gantt Chart'!$J40),'Prepare Gantt Chart'!AF40=0,0)</f>
        <v>0</v>
      </c>
      <c r="T41" s="45">
        <f>_xlfn.IFS('Prepare Gantt Chart'!AG40=8,'Project types'!$O41*('Prepare Gantt Chart'!$I40*'Prepare Gantt Chart'!$J40),'Prepare Gantt Chart'!AG40=7,'Project types'!$Q41*('Prepare Gantt Chart'!$I40*'Prepare Gantt Chart'!$J40),'Prepare Gantt Chart'!AG40=0,0)</f>
        <v>0</v>
      </c>
      <c r="U41" s="45">
        <f>_xlfn.IFS('Prepare Gantt Chart'!AH40=8,'Project types'!$O41*('Prepare Gantt Chart'!$I40*'Prepare Gantt Chart'!$J40),'Prepare Gantt Chart'!AH40=7,'Project types'!$Q41*('Prepare Gantt Chart'!$I40*'Prepare Gantt Chart'!$J40),'Prepare Gantt Chart'!AH40=0,0)</f>
        <v>0</v>
      </c>
      <c r="V41" s="45">
        <f>_xlfn.IFS('Prepare Gantt Chart'!AI40=8,'Project types'!$O41*('Prepare Gantt Chart'!$I40*'Prepare Gantt Chart'!$J40),'Prepare Gantt Chart'!AI40=7,'Project types'!$Q41*('Prepare Gantt Chart'!$I40*'Prepare Gantt Chart'!$J40),'Prepare Gantt Chart'!AI40=0,0)</f>
        <v>0</v>
      </c>
      <c r="W41" s="45">
        <f>_xlfn.IFS('Prepare Gantt Chart'!AJ40=8,'Project types'!$O41*('Prepare Gantt Chart'!$I40*'Prepare Gantt Chart'!$J40),'Prepare Gantt Chart'!AJ40=7,'Project types'!$Q41*('Prepare Gantt Chart'!$I40*'Prepare Gantt Chart'!$J40),'Prepare Gantt Chart'!AJ40=0,0)</f>
        <v>0</v>
      </c>
      <c r="X41" s="45">
        <f>_xlfn.IFS('Prepare Gantt Chart'!AK40=8,'Project types'!$O41*('Prepare Gantt Chart'!$I40*'Prepare Gantt Chart'!$J40),'Prepare Gantt Chart'!AK40=7,'Project types'!$Q41*('Prepare Gantt Chart'!$I40*'Prepare Gantt Chart'!$J40),'Prepare Gantt Chart'!AK40=0,0)</f>
        <v>0</v>
      </c>
      <c r="Y41" s="45">
        <f>_xlfn.IFS('Prepare Gantt Chart'!AL40=8,'Project types'!$O41*('Prepare Gantt Chart'!$I40*'Prepare Gantt Chart'!$J40),'Prepare Gantt Chart'!AL40=7,'Project types'!$Q41*('Prepare Gantt Chart'!$I40*'Prepare Gantt Chart'!$J40),'Prepare Gantt Chart'!AL40=0,0)</f>
        <v>0</v>
      </c>
      <c r="Z41" s="45">
        <f>_xlfn.IFS('Prepare Gantt Chart'!AM40=8,'Project types'!$O41*('Prepare Gantt Chart'!$I40*'Prepare Gantt Chart'!$J40),'Prepare Gantt Chart'!AM40=7,'Project types'!$Q41*('Prepare Gantt Chart'!$I40*'Prepare Gantt Chart'!$J40),'Prepare Gantt Chart'!AM40=0,0)</f>
        <v>0</v>
      </c>
      <c r="AA41" s="45">
        <f>_xlfn.IFS('Prepare Gantt Chart'!AN40=8,'Project types'!$O41*('Prepare Gantt Chart'!$I40*'Prepare Gantt Chart'!$J40),'Prepare Gantt Chart'!AN40=7,'Project types'!$Q41*('Prepare Gantt Chart'!$I40*'Prepare Gantt Chart'!$J40),'Prepare Gantt Chart'!AN40=0,0)</f>
        <v>0</v>
      </c>
      <c r="AB41" s="45">
        <f>_xlfn.IFS('Prepare Gantt Chart'!AO40=8,'Project types'!$O41*('Prepare Gantt Chart'!$I40*'Prepare Gantt Chart'!$J40),'Prepare Gantt Chart'!AO40=7,'Project types'!$Q41*('Prepare Gantt Chart'!$I40*'Prepare Gantt Chart'!$J40),'Prepare Gantt Chart'!AO40=0,0)</f>
        <v>0</v>
      </c>
      <c r="AC41" s="45">
        <f>'Prepare Gantt Chart'!J40*'Prepare Gantt Chart'!I40*(AD41/26)</f>
        <v>0</v>
      </c>
      <c r="AD41" s="46">
        <f t="shared" si="0"/>
        <v>0</v>
      </c>
      <c r="AE41" s="72">
        <f>IF('Prepare Gantt Chart'!$J40=0,0,SUM(C41:H41)/6/'Prepare Gantt Chart'!$J40)</f>
        <v>0</v>
      </c>
      <c r="AF41" s="72">
        <f>IF('Prepare Gantt Chart'!$J40=0,0,SUM(I41:M41)/5/'Prepare Gantt Chart'!$J40)</f>
        <v>0</v>
      </c>
      <c r="AG41" s="72">
        <f>IF('Prepare Gantt Chart'!$J40=0,0,SUM(N41:R41)/5/'Prepare Gantt Chart'!$J40)</f>
        <v>0</v>
      </c>
      <c r="AH41" s="72">
        <f>IF('Prepare Gantt Chart'!$J40=0,0,SUM(S41:W41)/5/'Prepare Gantt Chart'!$J40)</f>
        <v>0</v>
      </c>
      <c r="AI41" s="72">
        <f>IF('Prepare Gantt Chart'!$J40=0,0,SUM(X41:AB41)/5/'Prepare Gantt Chart'!$J40)</f>
        <v>0</v>
      </c>
      <c r="AK41" s="27" t="s">
        <v>40</v>
      </c>
      <c r="AL41" s="45">
        <f>_xlfn.IFS('Prepare Gantt Chart'!P40=8,'Project types'!$L41*('Prepare Gantt Chart'!$I40*'Prepare Gantt Chart'!$J40),'Prepare Gantt Chart'!P40=7,'Project types'!$L41*('Prepare Gantt Chart'!$I40*'Prepare Gantt Chart'!$J40),'Prepare Gantt Chart'!P40=0,0)</f>
        <v>0</v>
      </c>
      <c r="AM41" s="45">
        <f>_xlfn.IFS('Prepare Gantt Chart'!Q40=8,'Project types'!$L41*('Prepare Gantt Chart'!$I40*'Prepare Gantt Chart'!$J40),'Prepare Gantt Chart'!Q40=7,'Project types'!$L41*('Prepare Gantt Chart'!$I40*'Prepare Gantt Chart'!$J40),'Prepare Gantt Chart'!Q40=0,0)</f>
        <v>0</v>
      </c>
      <c r="AN41" s="45">
        <f>_xlfn.IFS('Prepare Gantt Chart'!R40=8,'Project types'!$L41*('Prepare Gantt Chart'!$I40*'Prepare Gantt Chart'!$J40),'Prepare Gantt Chart'!R40=7,'Project types'!$L41*('Prepare Gantt Chart'!$I40*'Prepare Gantt Chart'!$J40),'Prepare Gantt Chart'!R40=0,0)</f>
        <v>0</v>
      </c>
      <c r="AO41" s="45">
        <f>_xlfn.IFS('Prepare Gantt Chart'!S40=8,'Project types'!$L41*('Prepare Gantt Chart'!$I40*'Prepare Gantt Chart'!$J40),'Prepare Gantt Chart'!S40=7,'Project types'!$L41*('Prepare Gantt Chart'!$I40*'Prepare Gantt Chart'!$J40),'Prepare Gantt Chart'!S40=0,0)</f>
        <v>0</v>
      </c>
      <c r="AP41" s="45">
        <f>_xlfn.IFS('Prepare Gantt Chart'!T40=8,'Project types'!$L41*('Prepare Gantt Chart'!$I40*'Prepare Gantt Chart'!$J40),'Prepare Gantt Chart'!T40=7,'Project types'!$L41*('Prepare Gantt Chart'!$I40*'Prepare Gantt Chart'!$J40),'Prepare Gantt Chart'!T40=0,0)</f>
        <v>0</v>
      </c>
      <c r="AQ41" s="45">
        <f>_xlfn.IFS('Prepare Gantt Chart'!U40=8,'Project types'!$L41*('Prepare Gantt Chart'!$I40*'Prepare Gantt Chart'!$J40),'Prepare Gantt Chart'!U40=7,'Project types'!$L41*('Prepare Gantt Chart'!$I40*'Prepare Gantt Chart'!$J40),'Prepare Gantt Chart'!U40=0,0)</f>
        <v>0</v>
      </c>
      <c r="AR41" s="45">
        <f>_xlfn.IFS('Prepare Gantt Chart'!V40=8,'Project types'!$L41*('Prepare Gantt Chart'!$I40*'Prepare Gantt Chart'!$J40),'Prepare Gantt Chart'!V40=7,'Project types'!$L41*('Prepare Gantt Chart'!$I40*'Prepare Gantt Chart'!$J40),'Prepare Gantt Chart'!V40=0,0)</f>
        <v>0</v>
      </c>
      <c r="AS41" s="45">
        <f>_xlfn.IFS('Prepare Gantt Chart'!W40=8,'Project types'!$L41*('Prepare Gantt Chart'!$I40*'Prepare Gantt Chart'!$J40),'Prepare Gantt Chart'!W40=7,'Project types'!$L41*('Prepare Gantt Chart'!$I40*'Prepare Gantt Chart'!$J40),'Prepare Gantt Chart'!W40=0,0)</f>
        <v>0</v>
      </c>
      <c r="AT41" s="45">
        <f>_xlfn.IFS('Prepare Gantt Chart'!X40=8,'Project types'!$L41*('Prepare Gantt Chart'!$I40*'Prepare Gantt Chart'!$J40),'Prepare Gantt Chart'!X40=7,'Project types'!$L41*('Prepare Gantt Chart'!$I40*'Prepare Gantt Chart'!$J40),'Prepare Gantt Chart'!X40=0,0)</f>
        <v>0</v>
      </c>
      <c r="AU41" s="45">
        <f>_xlfn.IFS('Prepare Gantt Chart'!Y40=8,'Project types'!$L41*('Prepare Gantt Chart'!$I40*'Prepare Gantt Chart'!$J40),'Prepare Gantt Chart'!Y40=7,'Project types'!$L41*('Prepare Gantt Chart'!$I40*'Prepare Gantt Chart'!$J40),'Prepare Gantt Chart'!Y40=0,0)</f>
        <v>0</v>
      </c>
      <c r="AV41" s="45">
        <f>_xlfn.IFS('Prepare Gantt Chart'!Z40=8,'Project types'!$L41*('Prepare Gantt Chart'!$I40*'Prepare Gantt Chart'!$J40),'Prepare Gantt Chart'!Z40=7,'Project types'!$L41*('Prepare Gantt Chart'!$I40*'Prepare Gantt Chart'!$J40),'Prepare Gantt Chart'!Z40=0,0)</f>
        <v>0</v>
      </c>
      <c r="AW41" s="45">
        <f>_xlfn.IFS('Prepare Gantt Chart'!AA40=8,'Project types'!$L41*('Prepare Gantt Chart'!$I40*'Prepare Gantt Chart'!$J40),'Prepare Gantt Chart'!AA40=7,'Project types'!$L41*('Prepare Gantt Chart'!$I40*'Prepare Gantt Chart'!$J40),'Prepare Gantt Chart'!AA40=0,0)</f>
        <v>0</v>
      </c>
      <c r="AX41" s="45">
        <f>_xlfn.IFS('Prepare Gantt Chart'!AB40=8,'Project types'!$L41*('Prepare Gantt Chart'!$I40*'Prepare Gantt Chart'!$J40),'Prepare Gantt Chart'!AB40=7,'Project types'!$L41*('Prepare Gantt Chart'!$I40*'Prepare Gantt Chart'!$J40),'Prepare Gantt Chart'!AB40=0,0)</f>
        <v>0</v>
      </c>
      <c r="AY41" s="45">
        <f>_xlfn.IFS('Prepare Gantt Chart'!AC40=8,'Project types'!$L41*('Prepare Gantt Chart'!$I40*'Prepare Gantt Chart'!$J40),'Prepare Gantt Chart'!AC40=7,'Project types'!$L41*('Prepare Gantt Chart'!$I40*'Prepare Gantt Chart'!$J40),'Prepare Gantt Chart'!AC40=0,0)</f>
        <v>0</v>
      </c>
      <c r="AZ41" s="45">
        <f>_xlfn.IFS('Prepare Gantt Chart'!AD40=8,'Project types'!$L41*('Prepare Gantt Chart'!$I40*'Prepare Gantt Chart'!$J40),'Prepare Gantt Chart'!AD40=7,'Project types'!$L41*('Prepare Gantt Chart'!$I40*'Prepare Gantt Chart'!$J40),'Prepare Gantt Chart'!AD40=0,0)</f>
        <v>0</v>
      </c>
      <c r="BA41" s="45">
        <f>_xlfn.IFS('Prepare Gantt Chart'!AE40=8,'Project types'!$L41*('Prepare Gantt Chart'!$I40*'Prepare Gantt Chart'!$J40),'Prepare Gantt Chart'!AE40=7,'Project types'!$L41*('Prepare Gantt Chart'!$I40*'Prepare Gantt Chart'!$J40),'Prepare Gantt Chart'!AE40=0,0)</f>
        <v>0</v>
      </c>
      <c r="BB41" s="45">
        <f>_xlfn.IFS('Prepare Gantt Chart'!AF40=8,'Project types'!$L41*('Prepare Gantt Chart'!$I40*'Prepare Gantt Chart'!$J40),'Prepare Gantt Chart'!AF40=7,'Project types'!$L41*('Prepare Gantt Chart'!$I40*'Prepare Gantt Chart'!$J40),'Prepare Gantt Chart'!AF40=0,0)</f>
        <v>0</v>
      </c>
      <c r="BC41" s="45">
        <f>_xlfn.IFS('Prepare Gantt Chart'!AG40=8,'Project types'!$L41*('Prepare Gantt Chart'!$I40*'Prepare Gantt Chart'!$J40),'Prepare Gantt Chart'!AG40=7,'Project types'!$L41*('Prepare Gantt Chart'!$I40*'Prepare Gantt Chart'!$J40),'Prepare Gantt Chart'!AG40=0,0)</f>
        <v>0</v>
      </c>
      <c r="BD41" s="45">
        <f>_xlfn.IFS('Prepare Gantt Chart'!AH40=8,'Project types'!$L41*('Prepare Gantt Chart'!$I40*'Prepare Gantt Chart'!$J40),'Prepare Gantt Chart'!AH40=7,'Project types'!$L41*('Prepare Gantt Chart'!$I40*'Prepare Gantt Chart'!$J40),'Prepare Gantt Chart'!AH40=0,0)</f>
        <v>0</v>
      </c>
      <c r="BE41" s="45">
        <f>_xlfn.IFS('Prepare Gantt Chart'!AI40=8,'Project types'!$L41*('Prepare Gantt Chart'!$I40*'Prepare Gantt Chart'!$J40),'Prepare Gantt Chart'!AI40=7,'Project types'!$L41*('Prepare Gantt Chart'!$I40*'Prepare Gantt Chart'!$J40),'Prepare Gantt Chart'!AI40=0,0)</f>
        <v>0</v>
      </c>
      <c r="BF41" s="45">
        <f>_xlfn.IFS('Prepare Gantt Chart'!AJ40=8,'Project types'!$L41*('Prepare Gantt Chart'!$I40*'Prepare Gantt Chart'!$J40),'Prepare Gantt Chart'!AJ40=7,'Project types'!$L41*('Prepare Gantt Chart'!$I40*'Prepare Gantt Chart'!$J40),'Prepare Gantt Chart'!AJ40=0,0)</f>
        <v>0</v>
      </c>
      <c r="BG41" s="45">
        <f>_xlfn.IFS('Prepare Gantt Chart'!AK40=8,'Project types'!$L41*('Prepare Gantt Chart'!$I40*'Prepare Gantt Chart'!$J40),'Prepare Gantt Chart'!AK40=7,'Project types'!$L41*('Prepare Gantt Chart'!$I40*'Prepare Gantt Chart'!$J40),'Prepare Gantt Chart'!AK40=0,0)</f>
        <v>0</v>
      </c>
      <c r="BH41" s="45">
        <f>_xlfn.IFS('Prepare Gantt Chart'!AL40=8,'Project types'!$L41*('Prepare Gantt Chart'!$I40*'Prepare Gantt Chart'!$J40),'Prepare Gantt Chart'!AL40=7,'Project types'!$L41*('Prepare Gantt Chart'!$I40*'Prepare Gantt Chart'!$J40),'Prepare Gantt Chart'!AL40=0,0)</f>
        <v>0</v>
      </c>
      <c r="BI41" s="45">
        <f>_xlfn.IFS('Prepare Gantt Chart'!AM40=8,'Project types'!$L41*('Prepare Gantt Chart'!$I40*'Prepare Gantt Chart'!$J40),'Prepare Gantt Chart'!AM40=7,'Project types'!$L41*('Prepare Gantt Chart'!$I40*'Prepare Gantt Chart'!$J40),'Prepare Gantt Chart'!AM40=0,0)</f>
        <v>0</v>
      </c>
      <c r="BJ41" s="45">
        <f>_xlfn.IFS('Prepare Gantt Chart'!AN40=8,'Project types'!$L41*('Prepare Gantt Chart'!$I40*'Prepare Gantt Chart'!$J40),'Prepare Gantt Chart'!AN40=7,'Project types'!$L41*('Prepare Gantt Chart'!$I40*'Prepare Gantt Chart'!$J40),'Prepare Gantt Chart'!AN40=0,0)</f>
        <v>0</v>
      </c>
      <c r="BK41" s="45">
        <f>_xlfn.IFS('Prepare Gantt Chart'!AO40=8,'Project types'!$L41*('Prepare Gantt Chart'!$I40*'Prepare Gantt Chart'!$J40),'Prepare Gantt Chart'!AO40=7,'Project types'!$L41*('Prepare Gantt Chart'!$I40*'Prepare Gantt Chart'!$J40),'Prepare Gantt Chart'!AO40=0,0)</f>
        <v>0</v>
      </c>
      <c r="BL41" s="46">
        <f t="shared" si="1"/>
        <v>0</v>
      </c>
      <c r="BM41" s="75">
        <f>IF('Prepare Gantt Chart'!$J40=0,0,SUM(AL41:AQ41)/6/'Prepare Gantt Chart'!$J40)</f>
        <v>0</v>
      </c>
      <c r="BN41" s="75">
        <f>IF('Prepare Gantt Chart'!$J40=0,0,SUM(AR41:AV41)/5/'Prepare Gantt Chart'!$J40)</f>
        <v>0</v>
      </c>
      <c r="BO41" s="75">
        <f>IF('Prepare Gantt Chart'!$J40=0,0,SUM(AW41:BA41)/5/'Prepare Gantt Chart'!$J40)</f>
        <v>0</v>
      </c>
      <c r="BP41" s="75">
        <f>IF('Prepare Gantt Chart'!$J40=0,0,SUM(BB41:BF41)/5/'Prepare Gantt Chart'!$J40)</f>
        <v>0</v>
      </c>
      <c r="BQ41" s="75">
        <f>IF('Prepare Gantt Chart'!$J40=0,0,SUM(BG41:BK41)/5/'Prepare Gantt Chart'!$J40)</f>
        <v>0</v>
      </c>
    </row>
    <row r="42" spans="1:69" x14ac:dyDescent="0.2">
      <c r="A42" s="27" t="s">
        <v>41</v>
      </c>
      <c r="B42" s="1" t="s">
        <v>129</v>
      </c>
      <c r="C42" s="45">
        <f>_xlfn.IFS('Prepare Gantt Chart'!P41=8,'Project types'!$O42*('Prepare Gantt Chart'!$I41*'Prepare Gantt Chart'!$J41),'Prepare Gantt Chart'!P41=7,'Project types'!$Q42*('Prepare Gantt Chart'!$I41*'Prepare Gantt Chart'!$J41),'Prepare Gantt Chart'!P41=0,0)</f>
        <v>0</v>
      </c>
      <c r="D42" s="45">
        <f>_xlfn.IFS('Prepare Gantt Chart'!Q41=8,'Project types'!$O42*('Prepare Gantt Chart'!$I41*'Prepare Gantt Chart'!$J41),'Prepare Gantt Chart'!Q41=7,'Project types'!$Q42*('Prepare Gantt Chart'!$I41*'Prepare Gantt Chart'!$J41),'Prepare Gantt Chart'!Q41=0,0)</f>
        <v>0</v>
      </c>
      <c r="E42" s="45">
        <f>_xlfn.IFS('Prepare Gantt Chart'!R41=8,'Project types'!$O42*('Prepare Gantt Chart'!$I41*'Prepare Gantt Chart'!$J41),'Prepare Gantt Chart'!R41=7,'Project types'!$Q42*('Prepare Gantt Chart'!$I41*'Prepare Gantt Chart'!$J41),'Prepare Gantt Chart'!R41=0,0)</f>
        <v>0</v>
      </c>
      <c r="F42" s="45">
        <f>_xlfn.IFS('Prepare Gantt Chart'!S41=8,'Project types'!$O42*('Prepare Gantt Chart'!$I41*'Prepare Gantt Chart'!$J41),'Prepare Gantt Chart'!S41=7,'Project types'!$Q42*('Prepare Gantt Chart'!$I41*'Prepare Gantt Chart'!$J41),'Prepare Gantt Chart'!S41=0,0)</f>
        <v>0</v>
      </c>
      <c r="G42" s="45">
        <f>_xlfn.IFS('Prepare Gantt Chart'!T41=8,'Project types'!$O42*('Prepare Gantt Chart'!$I41*'Prepare Gantt Chart'!$J41),'Prepare Gantt Chart'!T41=7,'Project types'!$Q42*('Prepare Gantt Chart'!$I41*'Prepare Gantt Chart'!$J41),'Prepare Gantt Chart'!T41=0,0)</f>
        <v>0</v>
      </c>
      <c r="H42" s="45">
        <f>_xlfn.IFS('Prepare Gantt Chart'!U41=8,'Project types'!$O42*('Prepare Gantt Chart'!$I41*'Prepare Gantt Chart'!$J41),'Prepare Gantt Chart'!U41=7,'Project types'!$Q42*('Prepare Gantt Chart'!$I41*'Prepare Gantt Chart'!$J41),'Prepare Gantt Chart'!U41=0,0)</f>
        <v>0</v>
      </c>
      <c r="I42" s="45">
        <f>_xlfn.IFS('Prepare Gantt Chart'!V41=8,'Project types'!$O42*('Prepare Gantt Chart'!$I41*'Prepare Gantt Chart'!$J41),'Prepare Gantt Chart'!V41=7,'Project types'!$Q42*('Prepare Gantt Chart'!$I41*'Prepare Gantt Chart'!$J41),'Prepare Gantt Chart'!V41=0,0)</f>
        <v>0</v>
      </c>
      <c r="J42" s="45">
        <f>_xlfn.IFS('Prepare Gantt Chart'!W41=8,'Project types'!$O42*('Prepare Gantt Chart'!$I41*'Prepare Gantt Chart'!$J41),'Prepare Gantt Chart'!W41=7,'Project types'!$Q42*('Prepare Gantt Chart'!$I41*'Prepare Gantt Chart'!$J41),'Prepare Gantt Chart'!W41=0,0)</f>
        <v>0</v>
      </c>
      <c r="K42" s="45">
        <f>_xlfn.IFS('Prepare Gantt Chart'!X41=8,'Project types'!$O42*('Prepare Gantt Chart'!$I41*'Prepare Gantt Chart'!$J41),'Prepare Gantt Chart'!X41=7,'Project types'!$Q42*('Prepare Gantt Chart'!$I41*'Prepare Gantt Chart'!$J41),'Prepare Gantt Chart'!X41=0,0)</f>
        <v>0</v>
      </c>
      <c r="L42" s="45">
        <f>_xlfn.IFS('Prepare Gantt Chart'!Y41=8,'Project types'!$O42*('Prepare Gantt Chart'!$I41*'Prepare Gantt Chart'!$J41),'Prepare Gantt Chart'!Y41=7,'Project types'!$Q42*('Prepare Gantt Chart'!$I41*'Prepare Gantt Chart'!$J41),'Prepare Gantt Chart'!Y41=0,0)</f>
        <v>0</v>
      </c>
      <c r="M42" s="45">
        <f>_xlfn.IFS('Prepare Gantt Chart'!Z41=8,'Project types'!$O42*('Prepare Gantt Chart'!$I41*'Prepare Gantt Chart'!$J41),'Prepare Gantt Chart'!Z41=7,'Project types'!$Q42*('Prepare Gantt Chart'!$I41*'Prepare Gantt Chart'!$J41),'Prepare Gantt Chart'!Z41=0,0)</f>
        <v>0</v>
      </c>
      <c r="N42" s="45">
        <f>_xlfn.IFS('Prepare Gantt Chart'!AA41=8,'Project types'!$O42*('Prepare Gantt Chart'!$I41*'Prepare Gantt Chart'!$J41),'Prepare Gantt Chart'!AA41=7,'Project types'!$Q42*('Prepare Gantt Chart'!$I41*'Prepare Gantt Chart'!$J41),'Prepare Gantt Chart'!AA41=0,0)</f>
        <v>0</v>
      </c>
      <c r="O42" s="45">
        <f>_xlfn.IFS('Prepare Gantt Chart'!AB41=8,'Project types'!$O42*('Prepare Gantt Chart'!$I41*'Prepare Gantt Chart'!$J41),'Prepare Gantt Chart'!AB41=7,'Project types'!$Q42*('Prepare Gantt Chart'!$I41*'Prepare Gantt Chart'!$J41),'Prepare Gantt Chart'!AB41=0,0)</f>
        <v>0</v>
      </c>
      <c r="P42" s="45">
        <f>_xlfn.IFS('Prepare Gantt Chart'!AC41=8,'Project types'!$O42*('Prepare Gantt Chart'!$I41*'Prepare Gantt Chart'!$J41),'Prepare Gantt Chart'!AC41=7,'Project types'!$Q42*('Prepare Gantt Chart'!$I41*'Prepare Gantt Chart'!$J41),'Prepare Gantt Chart'!AC41=0,0)</f>
        <v>0</v>
      </c>
      <c r="Q42" s="45">
        <f>_xlfn.IFS('Prepare Gantt Chart'!AD41=8,'Project types'!$O42*('Prepare Gantt Chart'!$I41*'Prepare Gantt Chart'!$J41),'Prepare Gantt Chart'!AD41=7,'Project types'!$Q42*('Prepare Gantt Chart'!$I41*'Prepare Gantt Chart'!$J41),'Prepare Gantt Chart'!AD41=0,0)</f>
        <v>0</v>
      </c>
      <c r="R42" s="45">
        <f>_xlfn.IFS('Prepare Gantt Chart'!AE41=8,'Project types'!$O42*('Prepare Gantt Chart'!$I41*'Prepare Gantt Chart'!$J41),'Prepare Gantt Chart'!AE41=7,'Project types'!$Q42*('Prepare Gantt Chart'!$I41*'Prepare Gantt Chart'!$J41),'Prepare Gantt Chart'!AE41=0,0)</f>
        <v>0</v>
      </c>
      <c r="S42" s="45">
        <f>_xlfn.IFS('Prepare Gantt Chart'!AF41=8,'Project types'!$O42*('Prepare Gantt Chart'!$I41*'Prepare Gantt Chart'!$J41),'Prepare Gantt Chart'!AF41=7,'Project types'!$Q42*('Prepare Gantt Chart'!$I41*'Prepare Gantt Chart'!$J41),'Prepare Gantt Chart'!AF41=0,0)</f>
        <v>0</v>
      </c>
      <c r="T42" s="45">
        <f>_xlfn.IFS('Prepare Gantt Chart'!AG41=8,'Project types'!$O42*('Prepare Gantt Chart'!$I41*'Prepare Gantt Chart'!$J41),'Prepare Gantt Chart'!AG41=7,'Project types'!$Q42*('Prepare Gantt Chart'!$I41*'Prepare Gantt Chart'!$J41),'Prepare Gantt Chart'!AG41=0,0)</f>
        <v>0</v>
      </c>
      <c r="U42" s="45">
        <f>_xlfn.IFS('Prepare Gantt Chart'!AH41=8,'Project types'!$O42*('Prepare Gantt Chart'!$I41*'Prepare Gantt Chart'!$J41),'Prepare Gantt Chart'!AH41=7,'Project types'!$Q42*('Prepare Gantt Chart'!$I41*'Prepare Gantt Chart'!$J41),'Prepare Gantt Chart'!AH41=0,0)</f>
        <v>0</v>
      </c>
      <c r="V42" s="45">
        <f>_xlfn.IFS('Prepare Gantt Chart'!AI41=8,'Project types'!$O42*('Prepare Gantt Chart'!$I41*'Prepare Gantt Chart'!$J41),'Prepare Gantt Chart'!AI41=7,'Project types'!$Q42*('Prepare Gantt Chart'!$I41*'Prepare Gantt Chart'!$J41),'Prepare Gantt Chart'!AI41=0,0)</f>
        <v>0</v>
      </c>
      <c r="W42" s="45">
        <f>_xlfn.IFS('Prepare Gantt Chart'!AJ41=8,'Project types'!$O42*('Prepare Gantt Chart'!$I41*'Prepare Gantt Chart'!$J41),'Prepare Gantt Chart'!AJ41=7,'Project types'!$Q42*('Prepare Gantt Chart'!$I41*'Prepare Gantt Chart'!$J41),'Prepare Gantt Chart'!AJ41=0,0)</f>
        <v>0</v>
      </c>
      <c r="X42" s="45">
        <f>_xlfn.IFS('Prepare Gantt Chart'!AK41=8,'Project types'!$O42*('Prepare Gantt Chart'!$I41*'Prepare Gantt Chart'!$J41),'Prepare Gantt Chart'!AK41=7,'Project types'!$Q42*('Prepare Gantt Chart'!$I41*'Prepare Gantt Chart'!$J41),'Prepare Gantt Chart'!AK41=0,0)</f>
        <v>0</v>
      </c>
      <c r="Y42" s="45">
        <f>_xlfn.IFS('Prepare Gantt Chart'!AL41=8,'Project types'!$O42*('Prepare Gantt Chart'!$I41*'Prepare Gantt Chart'!$J41),'Prepare Gantt Chart'!AL41=7,'Project types'!$Q42*('Prepare Gantt Chart'!$I41*'Prepare Gantt Chart'!$J41),'Prepare Gantt Chart'!AL41=0,0)</f>
        <v>0</v>
      </c>
      <c r="Z42" s="45">
        <f>_xlfn.IFS('Prepare Gantt Chart'!AM41=8,'Project types'!$O42*('Prepare Gantt Chart'!$I41*'Prepare Gantt Chart'!$J41),'Prepare Gantt Chart'!AM41=7,'Project types'!$Q42*('Prepare Gantt Chart'!$I41*'Prepare Gantt Chart'!$J41),'Prepare Gantt Chart'!AM41=0,0)</f>
        <v>0</v>
      </c>
      <c r="AA42" s="45">
        <f>_xlfn.IFS('Prepare Gantt Chart'!AN41=8,'Project types'!$O42*('Prepare Gantt Chart'!$I41*'Prepare Gantt Chart'!$J41),'Prepare Gantt Chart'!AN41=7,'Project types'!$Q42*('Prepare Gantt Chart'!$I41*'Prepare Gantt Chart'!$J41),'Prepare Gantt Chart'!AN41=0,0)</f>
        <v>0</v>
      </c>
      <c r="AB42" s="45">
        <f>_xlfn.IFS('Prepare Gantt Chart'!AO41=8,'Project types'!$O42*('Prepare Gantt Chart'!$I41*'Prepare Gantt Chart'!$J41),'Prepare Gantt Chart'!AO41=7,'Project types'!$Q42*('Prepare Gantt Chart'!$I41*'Prepare Gantt Chart'!$J41),'Prepare Gantt Chart'!AO41=0,0)</f>
        <v>0</v>
      </c>
      <c r="AC42" s="45">
        <f>'Prepare Gantt Chart'!J41*'Prepare Gantt Chart'!I41*(AD42/26)</f>
        <v>0</v>
      </c>
      <c r="AD42" s="46">
        <f t="shared" si="0"/>
        <v>0</v>
      </c>
      <c r="AE42" s="72">
        <f>IF('Prepare Gantt Chart'!$J41=0,0,SUM(C42:H42)/6/'Prepare Gantt Chart'!$J41)</f>
        <v>0</v>
      </c>
      <c r="AF42" s="72">
        <f>IF('Prepare Gantt Chart'!$J41=0,0,SUM(I42:M42)/5/'Prepare Gantt Chart'!$J41)</f>
        <v>0</v>
      </c>
      <c r="AG42" s="72">
        <f>IF('Prepare Gantt Chart'!$J41=0,0,SUM(N42:R42)/5/'Prepare Gantt Chart'!$J41)</f>
        <v>0</v>
      </c>
      <c r="AH42" s="72">
        <f>IF('Prepare Gantt Chart'!$J41=0,0,SUM(S42:W42)/5/'Prepare Gantt Chart'!$J41)</f>
        <v>0</v>
      </c>
      <c r="AI42" s="72">
        <f>IF('Prepare Gantt Chart'!$J41=0,0,SUM(X42:AB42)/5/'Prepare Gantt Chart'!$J41)</f>
        <v>0</v>
      </c>
      <c r="AK42" s="27" t="s">
        <v>41</v>
      </c>
      <c r="AL42" s="45">
        <f>_xlfn.IFS('Prepare Gantt Chart'!P41=8,'Project types'!$L42*('Prepare Gantt Chart'!$I41*'Prepare Gantt Chart'!$J41),'Prepare Gantt Chart'!P41=7,'Project types'!$L42*('Prepare Gantt Chart'!$I41*'Prepare Gantt Chart'!$J41),'Prepare Gantt Chart'!P41=0,0)</f>
        <v>0</v>
      </c>
      <c r="AM42" s="45">
        <f>_xlfn.IFS('Prepare Gantt Chart'!Q41=8,'Project types'!$L42*('Prepare Gantt Chart'!$I41*'Prepare Gantt Chart'!$J41),'Prepare Gantt Chart'!Q41=7,'Project types'!$L42*('Prepare Gantt Chart'!$I41*'Prepare Gantt Chart'!$J41),'Prepare Gantt Chart'!Q41=0,0)</f>
        <v>0</v>
      </c>
      <c r="AN42" s="45">
        <f>_xlfn.IFS('Prepare Gantt Chart'!R41=8,'Project types'!$L42*('Prepare Gantt Chart'!$I41*'Prepare Gantt Chart'!$J41),'Prepare Gantt Chart'!R41=7,'Project types'!$L42*('Prepare Gantt Chart'!$I41*'Prepare Gantt Chart'!$J41),'Prepare Gantt Chart'!R41=0,0)</f>
        <v>0</v>
      </c>
      <c r="AO42" s="45">
        <f>_xlfn.IFS('Prepare Gantt Chart'!S41=8,'Project types'!$L42*('Prepare Gantt Chart'!$I41*'Prepare Gantt Chart'!$J41),'Prepare Gantt Chart'!S41=7,'Project types'!$L42*('Prepare Gantt Chart'!$I41*'Prepare Gantt Chart'!$J41),'Prepare Gantt Chart'!S41=0,0)</f>
        <v>0</v>
      </c>
      <c r="AP42" s="45">
        <f>_xlfn.IFS('Prepare Gantt Chart'!T41=8,'Project types'!$L42*('Prepare Gantt Chart'!$I41*'Prepare Gantt Chart'!$J41),'Prepare Gantt Chart'!T41=7,'Project types'!$L42*('Prepare Gantt Chart'!$I41*'Prepare Gantt Chart'!$J41),'Prepare Gantt Chart'!T41=0,0)</f>
        <v>0</v>
      </c>
      <c r="AQ42" s="45">
        <f>_xlfn.IFS('Prepare Gantt Chart'!U41=8,'Project types'!$L42*('Prepare Gantt Chart'!$I41*'Prepare Gantt Chart'!$J41),'Prepare Gantt Chart'!U41=7,'Project types'!$L42*('Prepare Gantt Chart'!$I41*'Prepare Gantt Chart'!$J41),'Prepare Gantt Chart'!U41=0,0)</f>
        <v>0</v>
      </c>
      <c r="AR42" s="45">
        <f>_xlfn.IFS('Prepare Gantt Chart'!V41=8,'Project types'!$L42*('Prepare Gantt Chart'!$I41*'Prepare Gantt Chart'!$J41),'Prepare Gantt Chart'!V41=7,'Project types'!$L42*('Prepare Gantt Chart'!$I41*'Prepare Gantt Chart'!$J41),'Prepare Gantt Chart'!V41=0,0)</f>
        <v>0</v>
      </c>
      <c r="AS42" s="45">
        <f>_xlfn.IFS('Prepare Gantt Chart'!W41=8,'Project types'!$L42*('Prepare Gantt Chart'!$I41*'Prepare Gantt Chart'!$J41),'Prepare Gantt Chart'!W41=7,'Project types'!$L42*('Prepare Gantt Chart'!$I41*'Prepare Gantt Chart'!$J41),'Prepare Gantt Chart'!W41=0,0)</f>
        <v>0</v>
      </c>
      <c r="AT42" s="45">
        <f>_xlfn.IFS('Prepare Gantt Chart'!X41=8,'Project types'!$L42*('Prepare Gantt Chart'!$I41*'Prepare Gantt Chart'!$J41),'Prepare Gantt Chart'!X41=7,'Project types'!$L42*('Prepare Gantt Chart'!$I41*'Prepare Gantt Chart'!$J41),'Prepare Gantt Chart'!X41=0,0)</f>
        <v>0</v>
      </c>
      <c r="AU42" s="45">
        <f>_xlfn.IFS('Prepare Gantt Chart'!Y41=8,'Project types'!$L42*('Prepare Gantt Chart'!$I41*'Prepare Gantt Chart'!$J41),'Prepare Gantt Chart'!Y41=7,'Project types'!$L42*('Prepare Gantt Chart'!$I41*'Prepare Gantt Chart'!$J41),'Prepare Gantt Chart'!Y41=0,0)</f>
        <v>0</v>
      </c>
      <c r="AV42" s="45">
        <f>_xlfn.IFS('Prepare Gantt Chart'!Z41=8,'Project types'!$L42*('Prepare Gantt Chart'!$I41*'Prepare Gantt Chart'!$J41),'Prepare Gantt Chart'!Z41=7,'Project types'!$L42*('Prepare Gantt Chart'!$I41*'Prepare Gantt Chart'!$J41),'Prepare Gantt Chart'!Z41=0,0)</f>
        <v>0</v>
      </c>
      <c r="AW42" s="45">
        <f>_xlfn.IFS('Prepare Gantt Chart'!AA41=8,'Project types'!$L42*('Prepare Gantt Chart'!$I41*'Prepare Gantt Chart'!$J41),'Prepare Gantt Chart'!AA41=7,'Project types'!$L42*('Prepare Gantt Chart'!$I41*'Prepare Gantt Chart'!$J41),'Prepare Gantt Chart'!AA41=0,0)</f>
        <v>0</v>
      </c>
      <c r="AX42" s="45">
        <f>_xlfn.IFS('Prepare Gantt Chart'!AB41=8,'Project types'!$L42*('Prepare Gantt Chart'!$I41*'Prepare Gantt Chart'!$J41),'Prepare Gantt Chart'!AB41=7,'Project types'!$L42*('Prepare Gantt Chart'!$I41*'Prepare Gantt Chart'!$J41),'Prepare Gantt Chart'!AB41=0,0)</f>
        <v>0</v>
      </c>
      <c r="AY42" s="45">
        <f>_xlfn.IFS('Prepare Gantt Chart'!AC41=8,'Project types'!$L42*('Prepare Gantt Chart'!$I41*'Prepare Gantt Chart'!$J41),'Prepare Gantt Chart'!AC41=7,'Project types'!$L42*('Prepare Gantt Chart'!$I41*'Prepare Gantt Chart'!$J41),'Prepare Gantt Chart'!AC41=0,0)</f>
        <v>0</v>
      </c>
      <c r="AZ42" s="45">
        <f>_xlfn.IFS('Prepare Gantt Chart'!AD41=8,'Project types'!$L42*('Prepare Gantt Chart'!$I41*'Prepare Gantt Chart'!$J41),'Prepare Gantt Chart'!AD41=7,'Project types'!$L42*('Prepare Gantt Chart'!$I41*'Prepare Gantt Chart'!$J41),'Prepare Gantt Chart'!AD41=0,0)</f>
        <v>0</v>
      </c>
      <c r="BA42" s="45">
        <f>_xlfn.IFS('Prepare Gantt Chart'!AE41=8,'Project types'!$L42*('Prepare Gantt Chart'!$I41*'Prepare Gantt Chart'!$J41),'Prepare Gantt Chart'!AE41=7,'Project types'!$L42*('Prepare Gantt Chart'!$I41*'Prepare Gantt Chart'!$J41),'Prepare Gantt Chart'!AE41=0,0)</f>
        <v>0</v>
      </c>
      <c r="BB42" s="45">
        <f>_xlfn.IFS('Prepare Gantt Chart'!AF41=8,'Project types'!$L42*('Prepare Gantt Chart'!$I41*'Prepare Gantt Chart'!$J41),'Prepare Gantt Chart'!AF41=7,'Project types'!$L42*('Prepare Gantt Chart'!$I41*'Prepare Gantt Chart'!$J41),'Prepare Gantt Chart'!AF41=0,0)</f>
        <v>0</v>
      </c>
      <c r="BC42" s="45">
        <f>_xlfn.IFS('Prepare Gantt Chart'!AG41=8,'Project types'!$L42*('Prepare Gantt Chart'!$I41*'Prepare Gantt Chart'!$J41),'Prepare Gantt Chart'!AG41=7,'Project types'!$L42*('Prepare Gantt Chart'!$I41*'Prepare Gantt Chart'!$J41),'Prepare Gantt Chart'!AG41=0,0)</f>
        <v>0</v>
      </c>
      <c r="BD42" s="45">
        <f>_xlfn.IFS('Prepare Gantt Chart'!AH41=8,'Project types'!$L42*('Prepare Gantt Chart'!$I41*'Prepare Gantt Chart'!$J41),'Prepare Gantt Chart'!AH41=7,'Project types'!$L42*('Prepare Gantt Chart'!$I41*'Prepare Gantt Chart'!$J41),'Prepare Gantt Chart'!AH41=0,0)</f>
        <v>0</v>
      </c>
      <c r="BE42" s="45">
        <f>_xlfn.IFS('Prepare Gantt Chart'!AI41=8,'Project types'!$L42*('Prepare Gantt Chart'!$I41*'Prepare Gantt Chart'!$J41),'Prepare Gantt Chart'!AI41=7,'Project types'!$L42*('Prepare Gantt Chart'!$I41*'Prepare Gantt Chart'!$J41),'Prepare Gantt Chart'!AI41=0,0)</f>
        <v>0</v>
      </c>
      <c r="BF42" s="45">
        <f>_xlfn.IFS('Prepare Gantt Chart'!AJ41=8,'Project types'!$L42*('Prepare Gantt Chart'!$I41*'Prepare Gantt Chart'!$J41),'Prepare Gantt Chart'!AJ41=7,'Project types'!$L42*('Prepare Gantt Chart'!$I41*'Prepare Gantt Chart'!$J41),'Prepare Gantt Chart'!AJ41=0,0)</f>
        <v>0</v>
      </c>
      <c r="BG42" s="45">
        <f>_xlfn.IFS('Prepare Gantt Chart'!AK41=8,'Project types'!$L42*('Prepare Gantt Chart'!$I41*'Prepare Gantt Chart'!$J41),'Prepare Gantt Chart'!AK41=7,'Project types'!$L42*('Prepare Gantt Chart'!$I41*'Prepare Gantt Chart'!$J41),'Prepare Gantt Chart'!AK41=0,0)</f>
        <v>0</v>
      </c>
      <c r="BH42" s="45">
        <f>_xlfn.IFS('Prepare Gantt Chart'!AL41=8,'Project types'!$L42*('Prepare Gantt Chart'!$I41*'Prepare Gantt Chart'!$J41),'Prepare Gantt Chart'!AL41=7,'Project types'!$L42*('Prepare Gantt Chart'!$I41*'Prepare Gantt Chart'!$J41),'Prepare Gantt Chart'!AL41=0,0)</f>
        <v>0</v>
      </c>
      <c r="BI42" s="45">
        <f>_xlfn.IFS('Prepare Gantt Chart'!AM41=8,'Project types'!$L42*('Prepare Gantt Chart'!$I41*'Prepare Gantt Chart'!$J41),'Prepare Gantt Chart'!AM41=7,'Project types'!$L42*('Prepare Gantt Chart'!$I41*'Prepare Gantt Chart'!$J41),'Prepare Gantt Chart'!AM41=0,0)</f>
        <v>0</v>
      </c>
      <c r="BJ42" s="45">
        <f>_xlfn.IFS('Prepare Gantt Chart'!AN41=8,'Project types'!$L42*('Prepare Gantt Chart'!$I41*'Prepare Gantt Chart'!$J41),'Prepare Gantt Chart'!AN41=7,'Project types'!$L42*('Prepare Gantt Chart'!$I41*'Prepare Gantt Chart'!$J41),'Prepare Gantt Chart'!AN41=0,0)</f>
        <v>0</v>
      </c>
      <c r="BK42" s="45">
        <f>_xlfn.IFS('Prepare Gantt Chart'!AO41=8,'Project types'!$L42*('Prepare Gantt Chart'!$I41*'Prepare Gantt Chart'!$J41),'Prepare Gantt Chart'!AO41=7,'Project types'!$L42*('Prepare Gantt Chart'!$I41*'Prepare Gantt Chart'!$J41),'Prepare Gantt Chart'!AO41=0,0)</f>
        <v>0</v>
      </c>
      <c r="BL42" s="46">
        <f t="shared" si="1"/>
        <v>0</v>
      </c>
      <c r="BM42" s="75">
        <f>IF('Prepare Gantt Chart'!$J41=0,0,SUM(AL42:AQ42)/6/'Prepare Gantt Chart'!$J41)</f>
        <v>0</v>
      </c>
      <c r="BN42" s="75">
        <f>IF('Prepare Gantt Chart'!$J41=0,0,SUM(AR42:AV42)/5/'Prepare Gantt Chart'!$J41)</f>
        <v>0</v>
      </c>
      <c r="BO42" s="75">
        <f>IF('Prepare Gantt Chart'!$J41=0,0,SUM(AW42:BA42)/5/'Prepare Gantt Chart'!$J41)</f>
        <v>0</v>
      </c>
      <c r="BP42" s="75">
        <f>IF('Prepare Gantt Chart'!$J41=0,0,SUM(BB42:BF42)/5/'Prepare Gantt Chart'!$J41)</f>
        <v>0</v>
      </c>
      <c r="BQ42" s="75">
        <f>IF('Prepare Gantt Chart'!$J41=0,0,SUM(BG42:BK42)/5/'Prepare Gantt Chart'!$J41)</f>
        <v>0</v>
      </c>
    </row>
    <row r="43" spans="1:69" x14ac:dyDescent="0.2">
      <c r="A43" s="27" t="s">
        <v>42</v>
      </c>
      <c r="B43" s="1" t="s">
        <v>130</v>
      </c>
      <c r="C43" s="45">
        <f>_xlfn.IFS('Prepare Gantt Chart'!P42=8,'Project types'!$O43*('Prepare Gantt Chart'!$I42*'Prepare Gantt Chart'!$J42),'Prepare Gantt Chart'!P42=7,'Project types'!$Q43*('Prepare Gantt Chart'!$I42*'Prepare Gantt Chart'!$J42),'Prepare Gantt Chart'!P42=0,0)</f>
        <v>0</v>
      </c>
      <c r="D43" s="45">
        <f>_xlfn.IFS('Prepare Gantt Chart'!Q42=8,'Project types'!$O43*('Prepare Gantt Chart'!$I42*'Prepare Gantt Chart'!$J42),'Prepare Gantt Chart'!Q42=7,'Project types'!$Q43*('Prepare Gantt Chart'!$I42*'Prepare Gantt Chart'!$J42),'Prepare Gantt Chart'!Q42=0,0)</f>
        <v>0</v>
      </c>
      <c r="E43" s="45">
        <f>_xlfn.IFS('Prepare Gantt Chart'!R42=8,'Project types'!$O43*('Prepare Gantt Chart'!$I42*'Prepare Gantt Chart'!$J42),'Prepare Gantt Chart'!R42=7,'Project types'!$Q43*('Prepare Gantt Chart'!$I42*'Prepare Gantt Chart'!$J42),'Prepare Gantt Chart'!R42=0,0)</f>
        <v>0</v>
      </c>
      <c r="F43" s="45">
        <f>_xlfn.IFS('Prepare Gantt Chart'!S42=8,'Project types'!$O43*('Prepare Gantt Chart'!$I42*'Prepare Gantt Chart'!$J42),'Prepare Gantt Chart'!S42=7,'Project types'!$Q43*('Prepare Gantt Chart'!$I42*'Prepare Gantt Chart'!$J42),'Prepare Gantt Chart'!S42=0,0)</f>
        <v>0</v>
      </c>
      <c r="G43" s="45">
        <f>_xlfn.IFS('Prepare Gantt Chart'!T42=8,'Project types'!$O43*('Prepare Gantt Chart'!$I42*'Prepare Gantt Chart'!$J42),'Prepare Gantt Chart'!T42=7,'Project types'!$Q43*('Prepare Gantt Chart'!$I42*'Prepare Gantt Chart'!$J42),'Prepare Gantt Chart'!T42=0,0)</f>
        <v>0</v>
      </c>
      <c r="H43" s="45">
        <f>_xlfn.IFS('Prepare Gantt Chart'!U42=8,'Project types'!$O43*('Prepare Gantt Chart'!$I42*'Prepare Gantt Chart'!$J42),'Prepare Gantt Chart'!U42=7,'Project types'!$Q43*('Prepare Gantt Chart'!$I42*'Prepare Gantt Chart'!$J42),'Prepare Gantt Chart'!U42=0,0)</f>
        <v>0</v>
      </c>
      <c r="I43" s="45">
        <f>_xlfn.IFS('Prepare Gantt Chart'!V42=8,'Project types'!$O43*('Prepare Gantt Chart'!$I42*'Prepare Gantt Chart'!$J42),'Prepare Gantt Chart'!V42=7,'Project types'!$Q43*('Prepare Gantt Chart'!$I42*'Prepare Gantt Chart'!$J42),'Prepare Gantt Chart'!V42=0,0)</f>
        <v>0</v>
      </c>
      <c r="J43" s="45">
        <f>_xlfn.IFS('Prepare Gantt Chart'!W42=8,'Project types'!$O43*('Prepare Gantt Chart'!$I42*'Prepare Gantt Chart'!$J42),'Prepare Gantt Chart'!W42=7,'Project types'!$Q43*('Prepare Gantt Chart'!$I42*'Prepare Gantt Chart'!$J42),'Prepare Gantt Chart'!W42=0,0)</f>
        <v>0</v>
      </c>
      <c r="K43" s="45">
        <f>_xlfn.IFS('Prepare Gantt Chart'!X42=8,'Project types'!$O43*('Prepare Gantt Chart'!$I42*'Prepare Gantt Chart'!$J42),'Prepare Gantt Chart'!X42=7,'Project types'!$Q43*('Prepare Gantt Chart'!$I42*'Prepare Gantt Chart'!$J42),'Prepare Gantt Chart'!X42=0,0)</f>
        <v>0</v>
      </c>
      <c r="L43" s="45">
        <f>_xlfn.IFS('Prepare Gantt Chart'!Y42=8,'Project types'!$O43*('Prepare Gantt Chart'!$I42*'Prepare Gantt Chart'!$J42),'Prepare Gantt Chart'!Y42=7,'Project types'!$Q43*('Prepare Gantt Chart'!$I42*'Prepare Gantt Chart'!$J42),'Prepare Gantt Chart'!Y42=0,0)</f>
        <v>0</v>
      </c>
      <c r="M43" s="45">
        <f>_xlfn.IFS('Prepare Gantt Chart'!Z42=8,'Project types'!$O43*('Prepare Gantt Chart'!$I42*'Prepare Gantt Chart'!$J42),'Prepare Gantt Chart'!Z42=7,'Project types'!$Q43*('Prepare Gantt Chart'!$I42*'Prepare Gantt Chart'!$J42),'Prepare Gantt Chart'!Z42=0,0)</f>
        <v>0</v>
      </c>
      <c r="N43" s="45">
        <f>_xlfn.IFS('Prepare Gantt Chart'!AA42=8,'Project types'!$O43*('Prepare Gantt Chart'!$I42*'Prepare Gantt Chart'!$J42),'Prepare Gantt Chart'!AA42=7,'Project types'!$Q43*('Prepare Gantt Chart'!$I42*'Prepare Gantt Chart'!$J42),'Prepare Gantt Chart'!AA42=0,0)</f>
        <v>0</v>
      </c>
      <c r="O43" s="45">
        <f>_xlfn.IFS('Prepare Gantt Chart'!AB42=8,'Project types'!$O43*('Prepare Gantt Chart'!$I42*'Prepare Gantt Chart'!$J42),'Prepare Gantt Chart'!AB42=7,'Project types'!$Q43*('Prepare Gantt Chart'!$I42*'Prepare Gantt Chart'!$J42),'Prepare Gantt Chart'!AB42=0,0)</f>
        <v>0</v>
      </c>
      <c r="P43" s="45">
        <f>_xlfn.IFS('Prepare Gantt Chart'!AC42=8,'Project types'!$O43*('Prepare Gantt Chart'!$I42*'Prepare Gantt Chart'!$J42),'Prepare Gantt Chart'!AC42=7,'Project types'!$Q43*('Prepare Gantt Chart'!$I42*'Prepare Gantt Chart'!$J42),'Prepare Gantt Chart'!AC42=0,0)</f>
        <v>0</v>
      </c>
      <c r="Q43" s="45">
        <f>_xlfn.IFS('Prepare Gantt Chart'!AD42=8,'Project types'!$O43*('Prepare Gantt Chart'!$I42*'Prepare Gantt Chart'!$J42),'Prepare Gantt Chart'!AD42=7,'Project types'!$Q43*('Prepare Gantt Chart'!$I42*'Prepare Gantt Chart'!$J42),'Prepare Gantt Chart'!AD42=0,0)</f>
        <v>0</v>
      </c>
      <c r="R43" s="45">
        <f>_xlfn.IFS('Prepare Gantt Chart'!AE42=8,'Project types'!$O43*('Prepare Gantt Chart'!$I42*'Prepare Gantt Chart'!$J42),'Prepare Gantt Chart'!AE42=7,'Project types'!$Q43*('Prepare Gantt Chart'!$I42*'Prepare Gantt Chart'!$J42),'Prepare Gantt Chart'!AE42=0,0)</f>
        <v>0</v>
      </c>
      <c r="S43" s="45">
        <f>_xlfn.IFS('Prepare Gantt Chart'!AF42=8,'Project types'!$O43*('Prepare Gantt Chart'!$I42*'Prepare Gantt Chart'!$J42),'Prepare Gantt Chart'!AF42=7,'Project types'!$Q43*('Prepare Gantt Chart'!$I42*'Prepare Gantt Chart'!$J42),'Prepare Gantt Chart'!AF42=0,0)</f>
        <v>0</v>
      </c>
      <c r="T43" s="45">
        <f>_xlfn.IFS('Prepare Gantt Chart'!AG42=8,'Project types'!$O43*('Prepare Gantt Chart'!$I42*'Prepare Gantt Chart'!$J42),'Prepare Gantt Chart'!AG42=7,'Project types'!$Q43*('Prepare Gantt Chart'!$I42*'Prepare Gantt Chart'!$J42),'Prepare Gantt Chart'!AG42=0,0)</f>
        <v>0</v>
      </c>
      <c r="U43" s="45">
        <f>_xlfn.IFS('Prepare Gantt Chart'!AH42=8,'Project types'!$O43*('Prepare Gantt Chart'!$I42*'Prepare Gantt Chart'!$J42),'Prepare Gantt Chart'!AH42=7,'Project types'!$Q43*('Prepare Gantt Chart'!$I42*'Prepare Gantt Chart'!$J42),'Prepare Gantt Chart'!AH42=0,0)</f>
        <v>0</v>
      </c>
      <c r="V43" s="45">
        <f>_xlfn.IFS('Prepare Gantt Chart'!AI42=8,'Project types'!$O43*('Prepare Gantt Chart'!$I42*'Prepare Gantt Chart'!$J42),'Prepare Gantt Chart'!AI42=7,'Project types'!$Q43*('Prepare Gantt Chart'!$I42*'Prepare Gantt Chart'!$J42),'Prepare Gantt Chart'!AI42=0,0)</f>
        <v>0</v>
      </c>
      <c r="W43" s="45">
        <f>_xlfn.IFS('Prepare Gantt Chart'!AJ42=8,'Project types'!$O43*('Prepare Gantt Chart'!$I42*'Prepare Gantt Chart'!$J42),'Prepare Gantt Chart'!AJ42=7,'Project types'!$Q43*('Prepare Gantt Chart'!$I42*'Prepare Gantt Chart'!$J42),'Prepare Gantt Chart'!AJ42=0,0)</f>
        <v>0</v>
      </c>
      <c r="X43" s="45">
        <f>_xlfn.IFS('Prepare Gantt Chart'!AK42=8,'Project types'!$O43*('Prepare Gantt Chart'!$I42*'Prepare Gantt Chart'!$J42),'Prepare Gantt Chart'!AK42=7,'Project types'!$Q43*('Prepare Gantt Chart'!$I42*'Prepare Gantt Chart'!$J42),'Prepare Gantt Chart'!AK42=0,0)</f>
        <v>0</v>
      </c>
      <c r="Y43" s="45">
        <f>_xlfn.IFS('Prepare Gantt Chart'!AL42=8,'Project types'!$O43*('Prepare Gantt Chart'!$I42*'Prepare Gantt Chart'!$J42),'Prepare Gantt Chart'!AL42=7,'Project types'!$Q43*('Prepare Gantt Chart'!$I42*'Prepare Gantt Chart'!$J42),'Prepare Gantt Chart'!AL42=0,0)</f>
        <v>0</v>
      </c>
      <c r="Z43" s="45">
        <f>_xlfn.IFS('Prepare Gantt Chart'!AM42=8,'Project types'!$O43*('Prepare Gantt Chart'!$I42*'Prepare Gantt Chart'!$J42),'Prepare Gantt Chart'!AM42=7,'Project types'!$Q43*('Prepare Gantt Chart'!$I42*'Prepare Gantt Chart'!$J42),'Prepare Gantt Chart'!AM42=0,0)</f>
        <v>0</v>
      </c>
      <c r="AA43" s="45">
        <f>_xlfn.IFS('Prepare Gantt Chart'!AN42=8,'Project types'!$O43*('Prepare Gantt Chart'!$I42*'Prepare Gantt Chart'!$J42),'Prepare Gantt Chart'!AN42=7,'Project types'!$Q43*('Prepare Gantt Chart'!$I42*'Prepare Gantt Chart'!$J42),'Prepare Gantt Chart'!AN42=0,0)</f>
        <v>0</v>
      </c>
      <c r="AB43" s="45">
        <f>_xlfn.IFS('Prepare Gantt Chart'!AO42=8,'Project types'!$O43*('Prepare Gantt Chart'!$I42*'Prepare Gantt Chart'!$J42),'Prepare Gantt Chart'!AO42=7,'Project types'!$Q43*('Prepare Gantt Chart'!$I42*'Prepare Gantt Chart'!$J42),'Prepare Gantt Chart'!AO42=0,0)</f>
        <v>0</v>
      </c>
      <c r="AC43" s="45">
        <f>'Prepare Gantt Chart'!J42*'Prepare Gantt Chart'!I42*(AD43/26)</f>
        <v>0</v>
      </c>
      <c r="AD43" s="46">
        <f t="shared" si="0"/>
        <v>0</v>
      </c>
      <c r="AE43" s="72">
        <f>IF('Prepare Gantt Chart'!$J42=0,0,SUM(C43:H43)/6/'Prepare Gantt Chart'!$J42)</f>
        <v>0</v>
      </c>
      <c r="AF43" s="72">
        <f>IF('Prepare Gantt Chart'!$J42=0,0,SUM(I43:M43)/5/'Prepare Gantt Chart'!$J42)</f>
        <v>0</v>
      </c>
      <c r="AG43" s="72">
        <f>IF('Prepare Gantt Chart'!$J42=0,0,SUM(N43:R43)/5/'Prepare Gantt Chart'!$J42)</f>
        <v>0</v>
      </c>
      <c r="AH43" s="72">
        <f>IF('Prepare Gantt Chart'!$J42=0,0,SUM(S43:W43)/5/'Prepare Gantt Chart'!$J42)</f>
        <v>0</v>
      </c>
      <c r="AI43" s="72">
        <f>IF('Prepare Gantt Chart'!$J42=0,0,SUM(X43:AB43)/5/'Prepare Gantt Chart'!$J42)</f>
        <v>0</v>
      </c>
      <c r="AK43" s="27" t="s">
        <v>42</v>
      </c>
      <c r="AL43" s="45">
        <f>_xlfn.IFS('Prepare Gantt Chart'!P42=8,'Project types'!$L43*('Prepare Gantt Chart'!$I42*'Prepare Gantt Chart'!$J42),'Prepare Gantt Chart'!P42=7,'Project types'!$L43*('Prepare Gantt Chart'!$I42*'Prepare Gantt Chart'!$J42),'Prepare Gantt Chart'!P42=0,0)</f>
        <v>0</v>
      </c>
      <c r="AM43" s="45">
        <f>_xlfn.IFS('Prepare Gantt Chart'!Q42=8,'Project types'!$L43*('Prepare Gantt Chart'!$I42*'Prepare Gantt Chart'!$J42),'Prepare Gantt Chart'!Q42=7,'Project types'!$L43*('Prepare Gantt Chart'!$I42*'Prepare Gantt Chart'!$J42),'Prepare Gantt Chart'!Q42=0,0)</f>
        <v>0</v>
      </c>
      <c r="AN43" s="45">
        <f>_xlfn.IFS('Prepare Gantt Chart'!R42=8,'Project types'!$L43*('Prepare Gantt Chart'!$I42*'Prepare Gantt Chart'!$J42),'Prepare Gantt Chart'!R42=7,'Project types'!$L43*('Prepare Gantt Chart'!$I42*'Prepare Gantt Chart'!$J42),'Prepare Gantt Chart'!R42=0,0)</f>
        <v>0</v>
      </c>
      <c r="AO43" s="45">
        <f>_xlfn.IFS('Prepare Gantt Chart'!S42=8,'Project types'!$L43*('Prepare Gantt Chart'!$I42*'Prepare Gantt Chart'!$J42),'Prepare Gantt Chart'!S42=7,'Project types'!$L43*('Prepare Gantt Chart'!$I42*'Prepare Gantt Chart'!$J42),'Prepare Gantt Chart'!S42=0,0)</f>
        <v>0</v>
      </c>
      <c r="AP43" s="45">
        <f>_xlfn.IFS('Prepare Gantt Chart'!T42=8,'Project types'!$L43*('Prepare Gantt Chart'!$I42*'Prepare Gantt Chart'!$J42),'Prepare Gantt Chart'!T42=7,'Project types'!$L43*('Prepare Gantt Chart'!$I42*'Prepare Gantt Chart'!$J42),'Prepare Gantt Chart'!T42=0,0)</f>
        <v>0</v>
      </c>
      <c r="AQ43" s="45">
        <f>_xlfn.IFS('Prepare Gantt Chart'!U42=8,'Project types'!$L43*('Prepare Gantt Chart'!$I42*'Prepare Gantt Chart'!$J42),'Prepare Gantt Chart'!U42=7,'Project types'!$L43*('Prepare Gantt Chart'!$I42*'Prepare Gantt Chart'!$J42),'Prepare Gantt Chart'!U42=0,0)</f>
        <v>0</v>
      </c>
      <c r="AR43" s="45">
        <f>_xlfn.IFS('Prepare Gantt Chart'!V42=8,'Project types'!$L43*('Prepare Gantt Chart'!$I42*'Prepare Gantt Chart'!$J42),'Prepare Gantt Chart'!V42=7,'Project types'!$L43*('Prepare Gantt Chart'!$I42*'Prepare Gantt Chart'!$J42),'Prepare Gantt Chart'!V42=0,0)</f>
        <v>0</v>
      </c>
      <c r="AS43" s="45">
        <f>_xlfn.IFS('Prepare Gantt Chart'!W42=8,'Project types'!$L43*('Prepare Gantt Chart'!$I42*'Prepare Gantt Chart'!$J42),'Prepare Gantt Chart'!W42=7,'Project types'!$L43*('Prepare Gantt Chart'!$I42*'Prepare Gantt Chart'!$J42),'Prepare Gantt Chart'!W42=0,0)</f>
        <v>0</v>
      </c>
      <c r="AT43" s="45">
        <f>_xlfn.IFS('Prepare Gantt Chart'!X42=8,'Project types'!$L43*('Prepare Gantt Chart'!$I42*'Prepare Gantt Chart'!$J42),'Prepare Gantt Chart'!X42=7,'Project types'!$L43*('Prepare Gantt Chart'!$I42*'Prepare Gantt Chart'!$J42),'Prepare Gantt Chart'!X42=0,0)</f>
        <v>0</v>
      </c>
      <c r="AU43" s="45">
        <f>_xlfn.IFS('Prepare Gantt Chart'!Y42=8,'Project types'!$L43*('Prepare Gantt Chart'!$I42*'Prepare Gantt Chart'!$J42),'Prepare Gantt Chart'!Y42=7,'Project types'!$L43*('Prepare Gantt Chart'!$I42*'Prepare Gantt Chart'!$J42),'Prepare Gantt Chart'!Y42=0,0)</f>
        <v>0</v>
      </c>
      <c r="AV43" s="45">
        <f>_xlfn.IFS('Prepare Gantt Chart'!Z42=8,'Project types'!$L43*('Prepare Gantt Chart'!$I42*'Prepare Gantt Chart'!$J42),'Prepare Gantt Chart'!Z42=7,'Project types'!$L43*('Prepare Gantt Chart'!$I42*'Prepare Gantt Chart'!$J42),'Prepare Gantt Chart'!Z42=0,0)</f>
        <v>0</v>
      </c>
      <c r="AW43" s="45">
        <f>_xlfn.IFS('Prepare Gantt Chart'!AA42=8,'Project types'!$L43*('Prepare Gantt Chart'!$I42*'Prepare Gantt Chart'!$J42),'Prepare Gantt Chart'!AA42=7,'Project types'!$L43*('Prepare Gantt Chart'!$I42*'Prepare Gantt Chart'!$J42),'Prepare Gantt Chart'!AA42=0,0)</f>
        <v>0</v>
      </c>
      <c r="AX43" s="45">
        <f>_xlfn.IFS('Prepare Gantt Chart'!AB42=8,'Project types'!$L43*('Prepare Gantt Chart'!$I42*'Prepare Gantt Chart'!$J42),'Prepare Gantt Chart'!AB42=7,'Project types'!$L43*('Prepare Gantt Chart'!$I42*'Prepare Gantt Chart'!$J42),'Prepare Gantt Chart'!AB42=0,0)</f>
        <v>0</v>
      </c>
      <c r="AY43" s="45">
        <f>_xlfn.IFS('Prepare Gantt Chart'!AC42=8,'Project types'!$L43*('Prepare Gantt Chart'!$I42*'Prepare Gantt Chart'!$J42),'Prepare Gantt Chart'!AC42=7,'Project types'!$L43*('Prepare Gantt Chart'!$I42*'Prepare Gantt Chart'!$J42),'Prepare Gantt Chart'!AC42=0,0)</f>
        <v>0</v>
      </c>
      <c r="AZ43" s="45">
        <f>_xlfn.IFS('Prepare Gantt Chart'!AD42=8,'Project types'!$L43*('Prepare Gantt Chart'!$I42*'Prepare Gantt Chart'!$J42),'Prepare Gantt Chart'!AD42=7,'Project types'!$L43*('Prepare Gantt Chart'!$I42*'Prepare Gantt Chart'!$J42),'Prepare Gantt Chart'!AD42=0,0)</f>
        <v>0</v>
      </c>
      <c r="BA43" s="45">
        <f>_xlfn.IFS('Prepare Gantt Chart'!AE42=8,'Project types'!$L43*('Prepare Gantt Chart'!$I42*'Prepare Gantt Chart'!$J42),'Prepare Gantt Chart'!AE42=7,'Project types'!$L43*('Prepare Gantt Chart'!$I42*'Prepare Gantt Chart'!$J42),'Prepare Gantt Chart'!AE42=0,0)</f>
        <v>0</v>
      </c>
      <c r="BB43" s="45">
        <f>_xlfn.IFS('Prepare Gantt Chart'!AF42=8,'Project types'!$L43*('Prepare Gantt Chart'!$I42*'Prepare Gantt Chart'!$J42),'Prepare Gantt Chart'!AF42=7,'Project types'!$L43*('Prepare Gantt Chart'!$I42*'Prepare Gantt Chart'!$J42),'Prepare Gantt Chart'!AF42=0,0)</f>
        <v>0</v>
      </c>
      <c r="BC43" s="45">
        <f>_xlfn.IFS('Prepare Gantt Chart'!AG42=8,'Project types'!$L43*('Prepare Gantt Chart'!$I42*'Prepare Gantt Chart'!$J42),'Prepare Gantt Chart'!AG42=7,'Project types'!$L43*('Prepare Gantt Chart'!$I42*'Prepare Gantt Chart'!$J42),'Prepare Gantt Chart'!AG42=0,0)</f>
        <v>0</v>
      </c>
      <c r="BD43" s="45">
        <f>_xlfn.IFS('Prepare Gantt Chart'!AH42=8,'Project types'!$L43*('Prepare Gantt Chart'!$I42*'Prepare Gantt Chart'!$J42),'Prepare Gantt Chart'!AH42=7,'Project types'!$L43*('Prepare Gantt Chart'!$I42*'Prepare Gantt Chart'!$J42),'Prepare Gantt Chart'!AH42=0,0)</f>
        <v>0</v>
      </c>
      <c r="BE43" s="45">
        <f>_xlfn.IFS('Prepare Gantt Chart'!AI42=8,'Project types'!$L43*('Prepare Gantt Chart'!$I42*'Prepare Gantt Chart'!$J42),'Prepare Gantt Chart'!AI42=7,'Project types'!$L43*('Prepare Gantt Chart'!$I42*'Prepare Gantt Chart'!$J42),'Prepare Gantt Chart'!AI42=0,0)</f>
        <v>0</v>
      </c>
      <c r="BF43" s="45">
        <f>_xlfn.IFS('Prepare Gantt Chart'!AJ42=8,'Project types'!$L43*('Prepare Gantt Chart'!$I42*'Prepare Gantt Chart'!$J42),'Prepare Gantt Chart'!AJ42=7,'Project types'!$L43*('Prepare Gantt Chart'!$I42*'Prepare Gantt Chart'!$J42),'Prepare Gantt Chart'!AJ42=0,0)</f>
        <v>0</v>
      </c>
      <c r="BG43" s="45">
        <f>_xlfn.IFS('Prepare Gantt Chart'!AK42=8,'Project types'!$L43*('Prepare Gantt Chart'!$I42*'Prepare Gantt Chart'!$J42),'Prepare Gantt Chart'!AK42=7,'Project types'!$L43*('Prepare Gantt Chart'!$I42*'Prepare Gantt Chart'!$J42),'Prepare Gantt Chart'!AK42=0,0)</f>
        <v>0</v>
      </c>
      <c r="BH43" s="45">
        <f>_xlfn.IFS('Prepare Gantt Chart'!AL42=8,'Project types'!$L43*('Prepare Gantt Chart'!$I42*'Prepare Gantt Chart'!$J42),'Prepare Gantt Chart'!AL42=7,'Project types'!$L43*('Prepare Gantt Chart'!$I42*'Prepare Gantt Chart'!$J42),'Prepare Gantt Chart'!AL42=0,0)</f>
        <v>0</v>
      </c>
      <c r="BI43" s="45">
        <f>_xlfn.IFS('Prepare Gantt Chart'!AM42=8,'Project types'!$L43*('Prepare Gantt Chart'!$I42*'Prepare Gantt Chart'!$J42),'Prepare Gantt Chart'!AM42=7,'Project types'!$L43*('Prepare Gantt Chart'!$I42*'Prepare Gantt Chart'!$J42),'Prepare Gantt Chart'!AM42=0,0)</f>
        <v>0</v>
      </c>
      <c r="BJ43" s="45">
        <f>_xlfn.IFS('Prepare Gantt Chart'!AN42=8,'Project types'!$L43*('Prepare Gantt Chart'!$I42*'Prepare Gantt Chart'!$J42),'Prepare Gantt Chart'!AN42=7,'Project types'!$L43*('Prepare Gantt Chart'!$I42*'Prepare Gantt Chart'!$J42),'Prepare Gantt Chart'!AN42=0,0)</f>
        <v>0</v>
      </c>
      <c r="BK43" s="45">
        <f>_xlfn.IFS('Prepare Gantt Chart'!AO42=8,'Project types'!$L43*('Prepare Gantt Chart'!$I42*'Prepare Gantt Chart'!$J42),'Prepare Gantt Chart'!AO42=7,'Project types'!$L43*('Prepare Gantt Chart'!$I42*'Prepare Gantt Chart'!$J42),'Prepare Gantt Chart'!AO42=0,0)</f>
        <v>0</v>
      </c>
      <c r="BL43" s="46">
        <f t="shared" si="1"/>
        <v>0</v>
      </c>
      <c r="BM43" s="75">
        <f>IF('Prepare Gantt Chart'!$J42=0,0,SUM(AL43:AQ43)/6/'Prepare Gantt Chart'!$J42)</f>
        <v>0</v>
      </c>
      <c r="BN43" s="75">
        <f>IF('Prepare Gantt Chart'!$J42=0,0,SUM(AR43:AV43)/5/'Prepare Gantt Chart'!$J42)</f>
        <v>0</v>
      </c>
      <c r="BO43" s="75">
        <f>IF('Prepare Gantt Chart'!$J42=0,0,SUM(AW43:BA43)/5/'Prepare Gantt Chart'!$J42)</f>
        <v>0</v>
      </c>
      <c r="BP43" s="75">
        <f>IF('Prepare Gantt Chart'!$J42=0,0,SUM(BB43:BF43)/5/'Prepare Gantt Chart'!$J42)</f>
        <v>0</v>
      </c>
      <c r="BQ43" s="75">
        <f>IF('Prepare Gantt Chart'!$J42=0,0,SUM(BG43:BK43)/5/'Prepare Gantt Chart'!$J42)</f>
        <v>0</v>
      </c>
    </row>
    <row r="44" spans="1:69" x14ac:dyDescent="0.2">
      <c r="A44" s="27" t="s">
        <v>43</v>
      </c>
      <c r="B44" s="1" t="s">
        <v>131</v>
      </c>
      <c r="C44" s="45">
        <f>_xlfn.IFS('Prepare Gantt Chart'!P43=8,'Project types'!$O44*('Prepare Gantt Chart'!$I43*'Prepare Gantt Chart'!$J43),'Prepare Gantt Chart'!P43=7,'Project types'!$Q44*('Prepare Gantt Chart'!$I43*'Prepare Gantt Chart'!$J43),'Prepare Gantt Chart'!P43=0,0)</f>
        <v>0</v>
      </c>
      <c r="D44" s="45">
        <f>_xlfn.IFS('Prepare Gantt Chart'!Q43=8,'Project types'!$O44*('Prepare Gantt Chart'!$I43*'Prepare Gantt Chart'!$J43),'Prepare Gantt Chart'!Q43=7,'Project types'!$Q44*('Prepare Gantt Chart'!$I43*'Prepare Gantt Chart'!$J43),'Prepare Gantt Chart'!Q43=0,0)</f>
        <v>0</v>
      </c>
      <c r="E44" s="45">
        <f>_xlfn.IFS('Prepare Gantt Chart'!R43=8,'Project types'!$O44*('Prepare Gantt Chart'!$I43*'Prepare Gantt Chart'!$J43),'Prepare Gantt Chart'!R43=7,'Project types'!$Q44*('Prepare Gantt Chart'!$I43*'Prepare Gantt Chart'!$J43),'Prepare Gantt Chart'!R43=0,0)</f>
        <v>0</v>
      </c>
      <c r="F44" s="45">
        <f>_xlfn.IFS('Prepare Gantt Chart'!S43=8,'Project types'!$O44*('Prepare Gantt Chart'!$I43*'Prepare Gantt Chart'!$J43),'Prepare Gantt Chart'!S43=7,'Project types'!$Q44*('Prepare Gantt Chart'!$I43*'Prepare Gantt Chart'!$J43),'Prepare Gantt Chart'!S43=0,0)</f>
        <v>0</v>
      </c>
      <c r="G44" s="45">
        <f>_xlfn.IFS('Prepare Gantt Chart'!T43=8,'Project types'!$O44*('Prepare Gantt Chart'!$I43*'Prepare Gantt Chart'!$J43),'Prepare Gantt Chart'!T43=7,'Project types'!$Q44*('Prepare Gantt Chart'!$I43*'Prepare Gantt Chart'!$J43),'Prepare Gantt Chart'!T43=0,0)</f>
        <v>0</v>
      </c>
      <c r="H44" s="45">
        <f>_xlfn.IFS('Prepare Gantt Chart'!U43=8,'Project types'!$O44*('Prepare Gantt Chart'!$I43*'Prepare Gantt Chart'!$J43),'Prepare Gantt Chart'!U43=7,'Project types'!$Q44*('Prepare Gantt Chart'!$I43*'Prepare Gantt Chart'!$J43),'Prepare Gantt Chart'!U43=0,0)</f>
        <v>0</v>
      </c>
      <c r="I44" s="45">
        <f>_xlfn.IFS('Prepare Gantt Chart'!V43=8,'Project types'!$O44*('Prepare Gantt Chart'!$I43*'Prepare Gantt Chart'!$J43),'Prepare Gantt Chart'!V43=7,'Project types'!$Q44*('Prepare Gantt Chart'!$I43*'Prepare Gantt Chart'!$J43),'Prepare Gantt Chart'!V43=0,0)</f>
        <v>0</v>
      </c>
      <c r="J44" s="45">
        <f>_xlfn.IFS('Prepare Gantt Chart'!W43=8,'Project types'!$O44*('Prepare Gantt Chart'!$I43*'Prepare Gantt Chart'!$J43),'Prepare Gantt Chart'!W43=7,'Project types'!$Q44*('Prepare Gantt Chart'!$I43*'Prepare Gantt Chart'!$J43),'Prepare Gantt Chart'!W43=0,0)</f>
        <v>0</v>
      </c>
      <c r="K44" s="45">
        <f>_xlfn.IFS('Prepare Gantt Chart'!X43=8,'Project types'!$O44*('Prepare Gantt Chart'!$I43*'Prepare Gantt Chart'!$J43),'Prepare Gantt Chart'!X43=7,'Project types'!$Q44*('Prepare Gantt Chart'!$I43*'Prepare Gantt Chart'!$J43),'Prepare Gantt Chart'!X43=0,0)</f>
        <v>0</v>
      </c>
      <c r="L44" s="45">
        <f>_xlfn.IFS('Prepare Gantt Chart'!Y43=8,'Project types'!$O44*('Prepare Gantt Chart'!$I43*'Prepare Gantt Chart'!$J43),'Prepare Gantt Chart'!Y43=7,'Project types'!$Q44*('Prepare Gantt Chart'!$I43*'Prepare Gantt Chart'!$J43),'Prepare Gantt Chart'!Y43=0,0)</f>
        <v>0</v>
      </c>
      <c r="M44" s="45">
        <f>_xlfn.IFS('Prepare Gantt Chart'!Z43=8,'Project types'!$O44*('Prepare Gantt Chart'!$I43*'Prepare Gantt Chart'!$J43),'Prepare Gantt Chart'!Z43=7,'Project types'!$Q44*('Prepare Gantt Chart'!$I43*'Prepare Gantt Chart'!$J43),'Prepare Gantt Chart'!Z43=0,0)</f>
        <v>0</v>
      </c>
      <c r="N44" s="45">
        <f>_xlfn.IFS('Prepare Gantt Chart'!AA43=8,'Project types'!$O44*('Prepare Gantt Chart'!$I43*'Prepare Gantt Chart'!$J43),'Prepare Gantt Chart'!AA43=7,'Project types'!$Q44*('Prepare Gantt Chart'!$I43*'Prepare Gantt Chart'!$J43),'Prepare Gantt Chart'!AA43=0,0)</f>
        <v>0</v>
      </c>
      <c r="O44" s="45">
        <f>_xlfn.IFS('Prepare Gantt Chart'!AB43=8,'Project types'!$O44*('Prepare Gantt Chart'!$I43*'Prepare Gantt Chart'!$J43),'Prepare Gantt Chart'!AB43=7,'Project types'!$Q44*('Prepare Gantt Chart'!$I43*'Prepare Gantt Chart'!$J43),'Prepare Gantt Chart'!AB43=0,0)</f>
        <v>0</v>
      </c>
      <c r="P44" s="45">
        <f>_xlfn.IFS('Prepare Gantt Chart'!AC43=8,'Project types'!$O44*('Prepare Gantt Chart'!$I43*'Prepare Gantt Chart'!$J43),'Prepare Gantt Chart'!AC43=7,'Project types'!$Q44*('Prepare Gantt Chart'!$I43*'Prepare Gantt Chart'!$J43),'Prepare Gantt Chart'!AC43=0,0)</f>
        <v>0</v>
      </c>
      <c r="Q44" s="45">
        <f>_xlfn.IFS('Prepare Gantt Chart'!AD43=8,'Project types'!$O44*('Prepare Gantt Chart'!$I43*'Prepare Gantt Chart'!$J43),'Prepare Gantt Chart'!AD43=7,'Project types'!$Q44*('Prepare Gantt Chart'!$I43*'Prepare Gantt Chart'!$J43),'Prepare Gantt Chart'!AD43=0,0)</f>
        <v>0</v>
      </c>
      <c r="R44" s="45">
        <f>_xlfn.IFS('Prepare Gantt Chart'!AE43=8,'Project types'!$O44*('Prepare Gantt Chart'!$I43*'Prepare Gantt Chart'!$J43),'Prepare Gantt Chart'!AE43=7,'Project types'!$Q44*('Prepare Gantt Chart'!$I43*'Prepare Gantt Chart'!$J43),'Prepare Gantt Chart'!AE43=0,0)</f>
        <v>0</v>
      </c>
      <c r="S44" s="45">
        <f>_xlfn.IFS('Prepare Gantt Chart'!AF43=8,'Project types'!$O44*('Prepare Gantt Chart'!$I43*'Prepare Gantt Chart'!$J43),'Prepare Gantt Chart'!AF43=7,'Project types'!$Q44*('Prepare Gantt Chart'!$I43*'Prepare Gantt Chart'!$J43),'Prepare Gantt Chart'!AF43=0,0)</f>
        <v>0</v>
      </c>
      <c r="T44" s="45">
        <f>_xlfn.IFS('Prepare Gantt Chart'!AG43=8,'Project types'!$O44*('Prepare Gantt Chart'!$I43*'Prepare Gantt Chart'!$J43),'Prepare Gantt Chart'!AG43=7,'Project types'!$Q44*('Prepare Gantt Chart'!$I43*'Prepare Gantt Chart'!$J43),'Prepare Gantt Chart'!AG43=0,0)</f>
        <v>0</v>
      </c>
      <c r="U44" s="45">
        <f>_xlfn.IFS('Prepare Gantt Chart'!AH43=8,'Project types'!$O44*('Prepare Gantt Chart'!$I43*'Prepare Gantt Chart'!$J43),'Prepare Gantt Chart'!AH43=7,'Project types'!$Q44*('Prepare Gantt Chart'!$I43*'Prepare Gantt Chart'!$J43),'Prepare Gantt Chart'!AH43=0,0)</f>
        <v>0</v>
      </c>
      <c r="V44" s="45">
        <f>_xlfn.IFS('Prepare Gantt Chart'!AI43=8,'Project types'!$O44*('Prepare Gantt Chart'!$I43*'Prepare Gantt Chart'!$J43),'Prepare Gantt Chart'!AI43=7,'Project types'!$Q44*('Prepare Gantt Chart'!$I43*'Prepare Gantt Chart'!$J43),'Prepare Gantt Chart'!AI43=0,0)</f>
        <v>0</v>
      </c>
      <c r="W44" s="45">
        <f>_xlfn.IFS('Prepare Gantt Chart'!AJ43=8,'Project types'!$O44*('Prepare Gantt Chart'!$I43*'Prepare Gantt Chart'!$J43),'Prepare Gantt Chart'!AJ43=7,'Project types'!$Q44*('Prepare Gantt Chart'!$I43*'Prepare Gantt Chart'!$J43),'Prepare Gantt Chart'!AJ43=0,0)</f>
        <v>0</v>
      </c>
      <c r="X44" s="45">
        <f>_xlfn.IFS('Prepare Gantt Chart'!AK43=8,'Project types'!$O44*('Prepare Gantt Chart'!$I43*'Prepare Gantt Chart'!$J43),'Prepare Gantt Chart'!AK43=7,'Project types'!$Q44*('Prepare Gantt Chart'!$I43*'Prepare Gantt Chart'!$J43),'Prepare Gantt Chart'!AK43=0,0)</f>
        <v>0</v>
      </c>
      <c r="Y44" s="45">
        <f>_xlfn.IFS('Prepare Gantt Chart'!AL43=8,'Project types'!$O44*('Prepare Gantt Chart'!$I43*'Prepare Gantt Chart'!$J43),'Prepare Gantt Chart'!AL43=7,'Project types'!$Q44*('Prepare Gantt Chart'!$I43*'Prepare Gantt Chart'!$J43),'Prepare Gantt Chart'!AL43=0,0)</f>
        <v>0</v>
      </c>
      <c r="Z44" s="45">
        <f>_xlfn.IFS('Prepare Gantt Chart'!AM43=8,'Project types'!$O44*('Prepare Gantt Chart'!$I43*'Prepare Gantt Chart'!$J43),'Prepare Gantt Chart'!AM43=7,'Project types'!$Q44*('Prepare Gantt Chart'!$I43*'Prepare Gantt Chart'!$J43),'Prepare Gantt Chart'!AM43=0,0)</f>
        <v>0</v>
      </c>
      <c r="AA44" s="45">
        <f>_xlfn.IFS('Prepare Gantt Chart'!AN43=8,'Project types'!$O44*('Prepare Gantt Chart'!$I43*'Prepare Gantt Chart'!$J43),'Prepare Gantt Chart'!AN43=7,'Project types'!$Q44*('Prepare Gantt Chart'!$I43*'Prepare Gantt Chart'!$J43),'Prepare Gantt Chart'!AN43=0,0)</f>
        <v>0</v>
      </c>
      <c r="AB44" s="45">
        <f>_xlfn.IFS('Prepare Gantt Chart'!AO43=8,'Project types'!$O44*('Prepare Gantt Chart'!$I43*'Prepare Gantt Chart'!$J43),'Prepare Gantt Chart'!AO43=7,'Project types'!$Q44*('Prepare Gantt Chart'!$I43*'Prepare Gantt Chart'!$J43),'Prepare Gantt Chart'!AO43=0,0)</f>
        <v>0</v>
      </c>
      <c r="AC44" s="45">
        <f>'Prepare Gantt Chart'!J43*'Prepare Gantt Chart'!I43*(AD44/26)</f>
        <v>0</v>
      </c>
      <c r="AD44" s="46">
        <f t="shared" si="0"/>
        <v>0</v>
      </c>
      <c r="AE44" s="72">
        <f>IF('Prepare Gantt Chart'!$J43=0,0,SUM(C44:H44)/6/'Prepare Gantt Chart'!$J43)</f>
        <v>0</v>
      </c>
      <c r="AF44" s="72">
        <f>IF('Prepare Gantt Chart'!$J43=0,0,SUM(I44:M44)/5/'Prepare Gantt Chart'!$J43)</f>
        <v>0</v>
      </c>
      <c r="AG44" s="72">
        <f>IF('Prepare Gantt Chart'!$J43=0,0,SUM(N44:R44)/5/'Prepare Gantt Chart'!$J43)</f>
        <v>0</v>
      </c>
      <c r="AH44" s="72">
        <f>IF('Prepare Gantt Chart'!$J43=0,0,SUM(S44:W44)/5/'Prepare Gantt Chart'!$J43)</f>
        <v>0</v>
      </c>
      <c r="AI44" s="72">
        <f>IF('Prepare Gantt Chart'!$J43=0,0,SUM(X44:AB44)/5/'Prepare Gantt Chart'!$J43)</f>
        <v>0</v>
      </c>
      <c r="AK44" s="27" t="s">
        <v>43</v>
      </c>
      <c r="AL44" s="45">
        <f>_xlfn.IFS('Prepare Gantt Chart'!P43=8,'Project types'!$L44*('Prepare Gantt Chart'!$I43*'Prepare Gantt Chart'!$J43),'Prepare Gantt Chart'!P43=7,'Project types'!$L44*('Prepare Gantt Chart'!$I43*'Prepare Gantt Chart'!$J43),'Prepare Gantt Chart'!P43=0,0)</f>
        <v>0</v>
      </c>
      <c r="AM44" s="45">
        <f>_xlfn.IFS('Prepare Gantt Chart'!Q43=8,'Project types'!$L44*('Prepare Gantt Chart'!$I43*'Prepare Gantt Chart'!$J43),'Prepare Gantt Chart'!Q43=7,'Project types'!$L44*('Prepare Gantt Chart'!$I43*'Prepare Gantt Chart'!$J43),'Prepare Gantt Chart'!Q43=0,0)</f>
        <v>0</v>
      </c>
      <c r="AN44" s="45">
        <f>_xlfn.IFS('Prepare Gantt Chart'!R43=8,'Project types'!$L44*('Prepare Gantt Chart'!$I43*'Prepare Gantt Chart'!$J43),'Prepare Gantt Chart'!R43=7,'Project types'!$L44*('Prepare Gantt Chart'!$I43*'Prepare Gantt Chart'!$J43),'Prepare Gantt Chart'!R43=0,0)</f>
        <v>0</v>
      </c>
      <c r="AO44" s="45">
        <f>_xlfn.IFS('Prepare Gantt Chart'!S43=8,'Project types'!$L44*('Prepare Gantt Chart'!$I43*'Prepare Gantt Chart'!$J43),'Prepare Gantt Chart'!S43=7,'Project types'!$L44*('Prepare Gantt Chart'!$I43*'Prepare Gantt Chart'!$J43),'Prepare Gantt Chart'!S43=0,0)</f>
        <v>0</v>
      </c>
      <c r="AP44" s="45">
        <f>_xlfn.IFS('Prepare Gantt Chart'!T43=8,'Project types'!$L44*('Prepare Gantt Chart'!$I43*'Prepare Gantt Chart'!$J43),'Prepare Gantt Chart'!T43=7,'Project types'!$L44*('Prepare Gantt Chart'!$I43*'Prepare Gantt Chart'!$J43),'Prepare Gantt Chart'!T43=0,0)</f>
        <v>0</v>
      </c>
      <c r="AQ44" s="45">
        <f>_xlfn.IFS('Prepare Gantt Chart'!U43=8,'Project types'!$L44*('Prepare Gantt Chart'!$I43*'Prepare Gantt Chart'!$J43),'Prepare Gantt Chart'!U43=7,'Project types'!$L44*('Prepare Gantt Chart'!$I43*'Prepare Gantt Chart'!$J43),'Prepare Gantt Chart'!U43=0,0)</f>
        <v>0</v>
      </c>
      <c r="AR44" s="45">
        <f>_xlfn.IFS('Prepare Gantt Chart'!V43=8,'Project types'!$L44*('Prepare Gantt Chart'!$I43*'Prepare Gantt Chart'!$J43),'Prepare Gantt Chart'!V43=7,'Project types'!$L44*('Prepare Gantt Chart'!$I43*'Prepare Gantt Chart'!$J43),'Prepare Gantt Chart'!V43=0,0)</f>
        <v>0</v>
      </c>
      <c r="AS44" s="45">
        <f>_xlfn.IFS('Prepare Gantt Chart'!W43=8,'Project types'!$L44*('Prepare Gantt Chart'!$I43*'Prepare Gantt Chart'!$J43),'Prepare Gantt Chart'!W43=7,'Project types'!$L44*('Prepare Gantt Chart'!$I43*'Prepare Gantt Chart'!$J43),'Prepare Gantt Chart'!W43=0,0)</f>
        <v>0</v>
      </c>
      <c r="AT44" s="45">
        <f>_xlfn.IFS('Prepare Gantt Chart'!X43=8,'Project types'!$L44*('Prepare Gantt Chart'!$I43*'Prepare Gantt Chart'!$J43),'Prepare Gantt Chart'!X43=7,'Project types'!$L44*('Prepare Gantt Chart'!$I43*'Prepare Gantt Chart'!$J43),'Prepare Gantt Chart'!X43=0,0)</f>
        <v>0</v>
      </c>
      <c r="AU44" s="45">
        <f>_xlfn.IFS('Prepare Gantt Chart'!Y43=8,'Project types'!$L44*('Prepare Gantt Chart'!$I43*'Prepare Gantt Chart'!$J43),'Prepare Gantt Chart'!Y43=7,'Project types'!$L44*('Prepare Gantt Chart'!$I43*'Prepare Gantt Chart'!$J43),'Prepare Gantt Chart'!Y43=0,0)</f>
        <v>0</v>
      </c>
      <c r="AV44" s="45">
        <f>_xlfn.IFS('Prepare Gantt Chart'!Z43=8,'Project types'!$L44*('Prepare Gantt Chart'!$I43*'Prepare Gantt Chart'!$J43),'Prepare Gantt Chart'!Z43=7,'Project types'!$L44*('Prepare Gantt Chart'!$I43*'Prepare Gantt Chart'!$J43),'Prepare Gantt Chart'!Z43=0,0)</f>
        <v>0</v>
      </c>
      <c r="AW44" s="45">
        <f>_xlfn.IFS('Prepare Gantt Chart'!AA43=8,'Project types'!$L44*('Prepare Gantt Chart'!$I43*'Prepare Gantt Chart'!$J43),'Prepare Gantt Chart'!AA43=7,'Project types'!$L44*('Prepare Gantt Chart'!$I43*'Prepare Gantt Chart'!$J43),'Prepare Gantt Chart'!AA43=0,0)</f>
        <v>0</v>
      </c>
      <c r="AX44" s="45">
        <f>_xlfn.IFS('Prepare Gantt Chart'!AB43=8,'Project types'!$L44*('Prepare Gantt Chart'!$I43*'Prepare Gantt Chart'!$J43),'Prepare Gantt Chart'!AB43=7,'Project types'!$L44*('Prepare Gantt Chart'!$I43*'Prepare Gantt Chart'!$J43),'Prepare Gantt Chart'!AB43=0,0)</f>
        <v>0</v>
      </c>
      <c r="AY44" s="45">
        <f>_xlfn.IFS('Prepare Gantt Chart'!AC43=8,'Project types'!$L44*('Prepare Gantt Chart'!$I43*'Prepare Gantt Chart'!$J43),'Prepare Gantt Chart'!AC43=7,'Project types'!$L44*('Prepare Gantt Chart'!$I43*'Prepare Gantt Chart'!$J43),'Prepare Gantt Chart'!AC43=0,0)</f>
        <v>0</v>
      </c>
      <c r="AZ44" s="45">
        <f>_xlfn.IFS('Prepare Gantt Chart'!AD43=8,'Project types'!$L44*('Prepare Gantt Chart'!$I43*'Prepare Gantt Chart'!$J43),'Prepare Gantt Chart'!AD43=7,'Project types'!$L44*('Prepare Gantt Chart'!$I43*'Prepare Gantt Chart'!$J43),'Prepare Gantt Chart'!AD43=0,0)</f>
        <v>0</v>
      </c>
      <c r="BA44" s="45">
        <f>_xlfn.IFS('Prepare Gantt Chart'!AE43=8,'Project types'!$L44*('Prepare Gantt Chart'!$I43*'Prepare Gantt Chart'!$J43),'Prepare Gantt Chart'!AE43=7,'Project types'!$L44*('Prepare Gantt Chart'!$I43*'Prepare Gantt Chart'!$J43),'Prepare Gantt Chart'!AE43=0,0)</f>
        <v>0</v>
      </c>
      <c r="BB44" s="45">
        <f>_xlfn.IFS('Prepare Gantt Chart'!AF43=8,'Project types'!$L44*('Prepare Gantt Chart'!$I43*'Prepare Gantt Chart'!$J43),'Prepare Gantt Chart'!AF43=7,'Project types'!$L44*('Prepare Gantt Chart'!$I43*'Prepare Gantt Chart'!$J43),'Prepare Gantt Chart'!AF43=0,0)</f>
        <v>0</v>
      </c>
      <c r="BC44" s="45">
        <f>_xlfn.IFS('Prepare Gantt Chart'!AG43=8,'Project types'!$L44*('Prepare Gantt Chart'!$I43*'Prepare Gantt Chart'!$J43),'Prepare Gantt Chart'!AG43=7,'Project types'!$L44*('Prepare Gantt Chart'!$I43*'Prepare Gantt Chart'!$J43),'Prepare Gantt Chart'!AG43=0,0)</f>
        <v>0</v>
      </c>
      <c r="BD44" s="45">
        <f>_xlfn.IFS('Prepare Gantt Chart'!AH43=8,'Project types'!$L44*('Prepare Gantt Chart'!$I43*'Prepare Gantt Chart'!$J43),'Prepare Gantt Chart'!AH43=7,'Project types'!$L44*('Prepare Gantt Chart'!$I43*'Prepare Gantt Chart'!$J43),'Prepare Gantt Chart'!AH43=0,0)</f>
        <v>0</v>
      </c>
      <c r="BE44" s="45">
        <f>_xlfn.IFS('Prepare Gantt Chart'!AI43=8,'Project types'!$L44*('Prepare Gantt Chart'!$I43*'Prepare Gantt Chart'!$J43),'Prepare Gantt Chart'!AI43=7,'Project types'!$L44*('Prepare Gantt Chart'!$I43*'Prepare Gantt Chart'!$J43),'Prepare Gantt Chart'!AI43=0,0)</f>
        <v>0</v>
      </c>
      <c r="BF44" s="45">
        <f>_xlfn.IFS('Prepare Gantt Chart'!AJ43=8,'Project types'!$L44*('Prepare Gantt Chart'!$I43*'Prepare Gantt Chart'!$J43),'Prepare Gantt Chart'!AJ43=7,'Project types'!$L44*('Prepare Gantt Chart'!$I43*'Prepare Gantt Chart'!$J43),'Prepare Gantt Chart'!AJ43=0,0)</f>
        <v>0</v>
      </c>
      <c r="BG44" s="45">
        <f>_xlfn.IFS('Prepare Gantt Chart'!AK43=8,'Project types'!$L44*('Prepare Gantt Chart'!$I43*'Prepare Gantt Chart'!$J43),'Prepare Gantt Chart'!AK43=7,'Project types'!$L44*('Prepare Gantt Chart'!$I43*'Prepare Gantt Chart'!$J43),'Prepare Gantt Chart'!AK43=0,0)</f>
        <v>0</v>
      </c>
      <c r="BH44" s="45">
        <f>_xlfn.IFS('Prepare Gantt Chart'!AL43=8,'Project types'!$L44*('Prepare Gantt Chart'!$I43*'Prepare Gantt Chart'!$J43),'Prepare Gantt Chart'!AL43=7,'Project types'!$L44*('Prepare Gantt Chart'!$I43*'Prepare Gantt Chart'!$J43),'Prepare Gantt Chart'!AL43=0,0)</f>
        <v>0</v>
      </c>
      <c r="BI44" s="45">
        <f>_xlfn.IFS('Prepare Gantt Chart'!AM43=8,'Project types'!$L44*('Prepare Gantt Chart'!$I43*'Prepare Gantt Chart'!$J43),'Prepare Gantt Chart'!AM43=7,'Project types'!$L44*('Prepare Gantt Chart'!$I43*'Prepare Gantt Chart'!$J43),'Prepare Gantt Chart'!AM43=0,0)</f>
        <v>0</v>
      </c>
      <c r="BJ44" s="45">
        <f>_xlfn.IFS('Prepare Gantt Chart'!AN43=8,'Project types'!$L44*('Prepare Gantt Chart'!$I43*'Prepare Gantt Chart'!$J43),'Prepare Gantt Chart'!AN43=7,'Project types'!$L44*('Prepare Gantt Chart'!$I43*'Prepare Gantt Chart'!$J43),'Prepare Gantt Chart'!AN43=0,0)</f>
        <v>0</v>
      </c>
      <c r="BK44" s="45">
        <f>_xlfn.IFS('Prepare Gantt Chart'!AO43=8,'Project types'!$L44*('Prepare Gantt Chart'!$I43*'Prepare Gantt Chart'!$J43),'Prepare Gantt Chart'!AO43=7,'Project types'!$L44*('Prepare Gantt Chart'!$I43*'Prepare Gantt Chart'!$J43),'Prepare Gantt Chart'!AO43=0,0)</f>
        <v>0</v>
      </c>
      <c r="BL44" s="46">
        <f t="shared" si="1"/>
        <v>0</v>
      </c>
      <c r="BM44" s="75">
        <f>IF('Prepare Gantt Chart'!$J43=0,0,SUM(AL44:AQ44)/6/'Prepare Gantt Chart'!$J43)</f>
        <v>0</v>
      </c>
      <c r="BN44" s="75">
        <f>IF('Prepare Gantt Chart'!$J43=0,0,SUM(AR44:AV44)/5/'Prepare Gantt Chart'!$J43)</f>
        <v>0</v>
      </c>
      <c r="BO44" s="75">
        <f>IF('Prepare Gantt Chart'!$J43=0,0,SUM(AW44:BA44)/5/'Prepare Gantt Chart'!$J43)</f>
        <v>0</v>
      </c>
      <c r="BP44" s="75">
        <f>IF('Prepare Gantt Chart'!$J43=0,0,SUM(BB44:BF44)/5/'Prepare Gantt Chart'!$J43)</f>
        <v>0</v>
      </c>
      <c r="BQ44" s="75">
        <f>IF('Prepare Gantt Chart'!$J43=0,0,SUM(BG44:BK44)/5/'Prepare Gantt Chart'!$J43)</f>
        <v>0</v>
      </c>
    </row>
    <row r="45" spans="1:69" x14ac:dyDescent="0.2">
      <c r="A45" s="27" t="s">
        <v>44</v>
      </c>
      <c r="B45" s="1" t="s">
        <v>132</v>
      </c>
      <c r="C45" s="45">
        <f>_xlfn.IFS('Prepare Gantt Chart'!P44=8,'Project types'!$O45*('Prepare Gantt Chart'!$I44*'Prepare Gantt Chart'!$J44),'Prepare Gantt Chart'!P44=7,'Project types'!$Q45*('Prepare Gantt Chart'!$I44*'Prepare Gantt Chart'!$J44),'Prepare Gantt Chart'!P44=0,0)</f>
        <v>0</v>
      </c>
      <c r="D45" s="45">
        <f>_xlfn.IFS('Prepare Gantt Chart'!Q44=8,'Project types'!$O45*('Prepare Gantt Chart'!$I44*'Prepare Gantt Chart'!$J44),'Prepare Gantt Chart'!Q44=7,'Project types'!$Q45*('Prepare Gantt Chart'!$I44*'Prepare Gantt Chart'!$J44),'Prepare Gantt Chart'!Q44=0,0)</f>
        <v>0</v>
      </c>
      <c r="E45" s="45">
        <f>_xlfn.IFS('Prepare Gantt Chart'!R44=8,'Project types'!$O45*('Prepare Gantt Chart'!$I44*'Prepare Gantt Chart'!$J44),'Prepare Gantt Chart'!R44=7,'Project types'!$Q45*('Prepare Gantt Chart'!$I44*'Prepare Gantt Chart'!$J44),'Prepare Gantt Chart'!R44=0,0)</f>
        <v>0</v>
      </c>
      <c r="F45" s="45">
        <f>_xlfn.IFS('Prepare Gantt Chart'!S44=8,'Project types'!$O45*('Prepare Gantt Chart'!$I44*'Prepare Gantt Chart'!$J44),'Prepare Gantt Chart'!S44=7,'Project types'!$Q45*('Prepare Gantt Chart'!$I44*'Prepare Gantt Chart'!$J44),'Prepare Gantt Chart'!S44=0,0)</f>
        <v>0</v>
      </c>
      <c r="G45" s="45">
        <f>_xlfn.IFS('Prepare Gantt Chart'!T44=8,'Project types'!$O45*('Prepare Gantt Chart'!$I44*'Prepare Gantt Chart'!$J44),'Prepare Gantt Chart'!T44=7,'Project types'!$Q45*('Prepare Gantt Chart'!$I44*'Prepare Gantt Chart'!$J44),'Prepare Gantt Chart'!T44=0,0)</f>
        <v>0</v>
      </c>
      <c r="H45" s="45">
        <f>_xlfn.IFS('Prepare Gantt Chart'!U44=8,'Project types'!$O45*('Prepare Gantt Chart'!$I44*'Prepare Gantt Chart'!$J44),'Prepare Gantt Chart'!U44=7,'Project types'!$Q45*('Prepare Gantt Chart'!$I44*'Prepare Gantt Chart'!$J44),'Prepare Gantt Chart'!U44=0,0)</f>
        <v>0</v>
      </c>
      <c r="I45" s="45">
        <f>_xlfn.IFS('Prepare Gantt Chart'!V44=8,'Project types'!$O45*('Prepare Gantt Chart'!$I44*'Prepare Gantt Chart'!$J44),'Prepare Gantt Chart'!V44=7,'Project types'!$Q45*('Prepare Gantt Chart'!$I44*'Prepare Gantt Chart'!$J44),'Prepare Gantt Chart'!V44=0,0)</f>
        <v>0</v>
      </c>
      <c r="J45" s="45">
        <f>_xlfn.IFS('Prepare Gantt Chart'!W44=8,'Project types'!$O45*('Prepare Gantt Chart'!$I44*'Prepare Gantt Chart'!$J44),'Prepare Gantt Chart'!W44=7,'Project types'!$Q45*('Prepare Gantt Chart'!$I44*'Prepare Gantt Chart'!$J44),'Prepare Gantt Chart'!W44=0,0)</f>
        <v>0</v>
      </c>
      <c r="K45" s="45">
        <f>_xlfn.IFS('Prepare Gantt Chart'!X44=8,'Project types'!$O45*('Prepare Gantt Chart'!$I44*'Prepare Gantt Chart'!$J44),'Prepare Gantt Chart'!X44=7,'Project types'!$Q45*('Prepare Gantt Chart'!$I44*'Prepare Gantt Chart'!$J44),'Prepare Gantt Chart'!X44=0,0)</f>
        <v>0</v>
      </c>
      <c r="L45" s="45">
        <f>_xlfn.IFS('Prepare Gantt Chart'!Y44=8,'Project types'!$O45*('Prepare Gantt Chart'!$I44*'Prepare Gantt Chart'!$J44),'Prepare Gantt Chart'!Y44=7,'Project types'!$Q45*('Prepare Gantt Chart'!$I44*'Prepare Gantt Chart'!$J44),'Prepare Gantt Chart'!Y44=0,0)</f>
        <v>0</v>
      </c>
      <c r="M45" s="45">
        <f>_xlfn.IFS('Prepare Gantt Chart'!Z44=8,'Project types'!$O45*('Prepare Gantt Chart'!$I44*'Prepare Gantt Chart'!$J44),'Prepare Gantt Chart'!Z44=7,'Project types'!$Q45*('Prepare Gantt Chart'!$I44*'Prepare Gantt Chart'!$J44),'Prepare Gantt Chart'!Z44=0,0)</f>
        <v>0</v>
      </c>
      <c r="N45" s="45">
        <f>_xlfn.IFS('Prepare Gantt Chart'!AA44=8,'Project types'!$O45*('Prepare Gantt Chart'!$I44*'Prepare Gantt Chart'!$J44),'Prepare Gantt Chart'!AA44=7,'Project types'!$Q45*('Prepare Gantt Chart'!$I44*'Prepare Gantt Chart'!$J44),'Prepare Gantt Chart'!AA44=0,0)</f>
        <v>0</v>
      </c>
      <c r="O45" s="45">
        <f>_xlfn.IFS('Prepare Gantt Chart'!AB44=8,'Project types'!$O45*('Prepare Gantt Chart'!$I44*'Prepare Gantt Chart'!$J44),'Prepare Gantt Chart'!AB44=7,'Project types'!$Q45*('Prepare Gantt Chart'!$I44*'Prepare Gantt Chart'!$J44),'Prepare Gantt Chart'!AB44=0,0)</f>
        <v>0</v>
      </c>
      <c r="P45" s="45">
        <f>_xlfn.IFS('Prepare Gantt Chart'!AC44=8,'Project types'!$O45*('Prepare Gantt Chart'!$I44*'Prepare Gantt Chart'!$J44),'Prepare Gantt Chart'!AC44=7,'Project types'!$Q45*('Prepare Gantt Chart'!$I44*'Prepare Gantt Chart'!$J44),'Prepare Gantt Chart'!AC44=0,0)</f>
        <v>0</v>
      </c>
      <c r="Q45" s="45">
        <f>_xlfn.IFS('Prepare Gantt Chart'!AD44=8,'Project types'!$O45*('Prepare Gantt Chart'!$I44*'Prepare Gantt Chart'!$J44),'Prepare Gantt Chart'!AD44=7,'Project types'!$Q45*('Prepare Gantt Chart'!$I44*'Prepare Gantt Chart'!$J44),'Prepare Gantt Chart'!AD44=0,0)</f>
        <v>0</v>
      </c>
      <c r="R45" s="45">
        <f>_xlfn.IFS('Prepare Gantt Chart'!AE44=8,'Project types'!$O45*('Prepare Gantt Chart'!$I44*'Prepare Gantt Chart'!$J44),'Prepare Gantt Chart'!AE44=7,'Project types'!$Q45*('Prepare Gantt Chart'!$I44*'Prepare Gantt Chart'!$J44),'Prepare Gantt Chart'!AE44=0,0)</f>
        <v>0</v>
      </c>
      <c r="S45" s="45">
        <f>_xlfn.IFS('Prepare Gantt Chart'!AF44=8,'Project types'!$O45*('Prepare Gantt Chart'!$I44*'Prepare Gantt Chart'!$J44),'Prepare Gantt Chart'!AF44=7,'Project types'!$Q45*('Prepare Gantt Chart'!$I44*'Prepare Gantt Chart'!$J44),'Prepare Gantt Chart'!AF44=0,0)</f>
        <v>0</v>
      </c>
      <c r="T45" s="45">
        <f>_xlfn.IFS('Prepare Gantt Chart'!AG44=8,'Project types'!$O45*('Prepare Gantt Chart'!$I44*'Prepare Gantt Chart'!$J44),'Prepare Gantt Chart'!AG44=7,'Project types'!$Q45*('Prepare Gantt Chart'!$I44*'Prepare Gantt Chart'!$J44),'Prepare Gantt Chart'!AG44=0,0)</f>
        <v>0</v>
      </c>
      <c r="U45" s="45">
        <f>_xlfn.IFS('Prepare Gantt Chart'!AH44=8,'Project types'!$O45*('Prepare Gantt Chart'!$I44*'Prepare Gantt Chart'!$J44),'Prepare Gantt Chart'!AH44=7,'Project types'!$Q45*('Prepare Gantt Chart'!$I44*'Prepare Gantt Chart'!$J44),'Prepare Gantt Chart'!AH44=0,0)</f>
        <v>0</v>
      </c>
      <c r="V45" s="45">
        <f>_xlfn.IFS('Prepare Gantt Chart'!AI44=8,'Project types'!$O45*('Prepare Gantt Chart'!$I44*'Prepare Gantt Chart'!$J44),'Prepare Gantt Chart'!AI44=7,'Project types'!$Q45*('Prepare Gantt Chart'!$I44*'Prepare Gantt Chart'!$J44),'Prepare Gantt Chart'!AI44=0,0)</f>
        <v>0</v>
      </c>
      <c r="W45" s="45">
        <f>_xlfn.IFS('Prepare Gantt Chart'!AJ44=8,'Project types'!$O45*('Prepare Gantt Chart'!$I44*'Prepare Gantt Chart'!$J44),'Prepare Gantt Chart'!AJ44=7,'Project types'!$Q45*('Prepare Gantt Chart'!$I44*'Prepare Gantt Chart'!$J44),'Prepare Gantt Chart'!AJ44=0,0)</f>
        <v>0</v>
      </c>
      <c r="X45" s="45">
        <f>_xlfn.IFS('Prepare Gantt Chart'!AK44=8,'Project types'!$O45*('Prepare Gantt Chart'!$I44*'Prepare Gantt Chart'!$J44),'Prepare Gantt Chart'!AK44=7,'Project types'!$Q45*('Prepare Gantt Chart'!$I44*'Prepare Gantt Chart'!$J44),'Prepare Gantt Chart'!AK44=0,0)</f>
        <v>0</v>
      </c>
      <c r="Y45" s="45">
        <f>_xlfn.IFS('Prepare Gantt Chart'!AL44=8,'Project types'!$O45*('Prepare Gantt Chart'!$I44*'Prepare Gantt Chart'!$J44),'Prepare Gantt Chart'!AL44=7,'Project types'!$Q45*('Prepare Gantt Chart'!$I44*'Prepare Gantt Chart'!$J44),'Prepare Gantt Chart'!AL44=0,0)</f>
        <v>0</v>
      </c>
      <c r="Z45" s="45">
        <f>_xlfn.IFS('Prepare Gantt Chart'!AM44=8,'Project types'!$O45*('Prepare Gantt Chart'!$I44*'Prepare Gantt Chart'!$J44),'Prepare Gantt Chart'!AM44=7,'Project types'!$Q45*('Prepare Gantt Chart'!$I44*'Prepare Gantt Chart'!$J44),'Prepare Gantt Chart'!AM44=0,0)</f>
        <v>0</v>
      </c>
      <c r="AA45" s="45">
        <f>_xlfn.IFS('Prepare Gantt Chart'!AN44=8,'Project types'!$O45*('Prepare Gantt Chart'!$I44*'Prepare Gantt Chart'!$J44),'Prepare Gantt Chart'!AN44=7,'Project types'!$Q45*('Prepare Gantt Chart'!$I44*'Prepare Gantt Chart'!$J44),'Prepare Gantt Chart'!AN44=0,0)</f>
        <v>0</v>
      </c>
      <c r="AB45" s="45">
        <f>_xlfn.IFS('Prepare Gantt Chart'!AO44=8,'Project types'!$O45*('Prepare Gantt Chart'!$I44*'Prepare Gantt Chart'!$J44),'Prepare Gantt Chart'!AO44=7,'Project types'!$Q45*('Prepare Gantt Chart'!$I44*'Prepare Gantt Chart'!$J44),'Prepare Gantt Chart'!AO44=0,0)</f>
        <v>0</v>
      </c>
      <c r="AC45" s="45">
        <f>'Prepare Gantt Chart'!J44*'Prepare Gantt Chart'!I44*(AD45/26)</f>
        <v>0</v>
      </c>
      <c r="AD45" s="46">
        <f t="shared" si="0"/>
        <v>0</v>
      </c>
      <c r="AE45" s="72">
        <f>IF('Prepare Gantt Chart'!$J44=0,0,SUM(C45:H45)/6/'Prepare Gantt Chart'!$J44)</f>
        <v>0</v>
      </c>
      <c r="AF45" s="72">
        <f>IF('Prepare Gantt Chart'!$J44=0,0,SUM(I45:M45)/5/'Prepare Gantt Chart'!$J44)</f>
        <v>0</v>
      </c>
      <c r="AG45" s="72">
        <f>IF('Prepare Gantt Chart'!$J44=0,0,SUM(N45:R45)/5/'Prepare Gantt Chart'!$J44)</f>
        <v>0</v>
      </c>
      <c r="AH45" s="72">
        <f>IF('Prepare Gantt Chart'!$J44=0,0,SUM(S45:W45)/5/'Prepare Gantt Chart'!$J44)</f>
        <v>0</v>
      </c>
      <c r="AI45" s="72">
        <f>IF('Prepare Gantt Chart'!$J44=0,0,SUM(X45:AB45)/5/'Prepare Gantt Chart'!$J44)</f>
        <v>0</v>
      </c>
      <c r="AK45" s="27" t="s">
        <v>44</v>
      </c>
      <c r="AL45" s="45">
        <f>_xlfn.IFS('Prepare Gantt Chart'!P44=8,'Project types'!$L45*('Prepare Gantt Chart'!$I44*'Prepare Gantt Chart'!$J44),'Prepare Gantt Chart'!P44=7,'Project types'!$L45*('Prepare Gantt Chart'!$I44*'Prepare Gantt Chart'!$J44),'Prepare Gantt Chart'!P44=0,0)</f>
        <v>0</v>
      </c>
      <c r="AM45" s="45">
        <f>_xlfn.IFS('Prepare Gantt Chart'!Q44=8,'Project types'!$L45*('Prepare Gantt Chart'!$I44*'Prepare Gantt Chart'!$J44),'Prepare Gantt Chart'!Q44=7,'Project types'!$L45*('Prepare Gantt Chart'!$I44*'Prepare Gantt Chart'!$J44),'Prepare Gantt Chart'!Q44=0,0)</f>
        <v>0</v>
      </c>
      <c r="AN45" s="45">
        <f>_xlfn.IFS('Prepare Gantt Chart'!R44=8,'Project types'!$L45*('Prepare Gantt Chart'!$I44*'Prepare Gantt Chart'!$J44),'Prepare Gantt Chart'!R44=7,'Project types'!$L45*('Prepare Gantt Chart'!$I44*'Prepare Gantt Chart'!$J44),'Prepare Gantt Chart'!R44=0,0)</f>
        <v>0</v>
      </c>
      <c r="AO45" s="45">
        <f>_xlfn.IFS('Prepare Gantt Chart'!S44=8,'Project types'!$L45*('Prepare Gantt Chart'!$I44*'Prepare Gantt Chart'!$J44),'Prepare Gantt Chart'!S44=7,'Project types'!$L45*('Prepare Gantt Chart'!$I44*'Prepare Gantt Chart'!$J44),'Prepare Gantt Chart'!S44=0,0)</f>
        <v>0</v>
      </c>
      <c r="AP45" s="45">
        <f>_xlfn.IFS('Prepare Gantt Chart'!T44=8,'Project types'!$L45*('Prepare Gantt Chart'!$I44*'Prepare Gantt Chart'!$J44),'Prepare Gantt Chart'!T44=7,'Project types'!$L45*('Prepare Gantt Chart'!$I44*'Prepare Gantt Chart'!$J44),'Prepare Gantt Chart'!T44=0,0)</f>
        <v>0</v>
      </c>
      <c r="AQ45" s="45">
        <f>_xlfn.IFS('Prepare Gantt Chart'!U44=8,'Project types'!$L45*('Prepare Gantt Chart'!$I44*'Prepare Gantt Chart'!$J44),'Prepare Gantt Chart'!U44=7,'Project types'!$L45*('Prepare Gantt Chart'!$I44*'Prepare Gantt Chart'!$J44),'Prepare Gantt Chart'!U44=0,0)</f>
        <v>0</v>
      </c>
      <c r="AR45" s="45">
        <f>_xlfn.IFS('Prepare Gantt Chart'!V44=8,'Project types'!$L45*('Prepare Gantt Chart'!$I44*'Prepare Gantt Chart'!$J44),'Prepare Gantt Chart'!V44=7,'Project types'!$L45*('Prepare Gantt Chart'!$I44*'Prepare Gantt Chart'!$J44),'Prepare Gantt Chart'!V44=0,0)</f>
        <v>0</v>
      </c>
      <c r="AS45" s="45">
        <f>_xlfn.IFS('Prepare Gantt Chart'!W44=8,'Project types'!$L45*('Prepare Gantt Chart'!$I44*'Prepare Gantt Chart'!$J44),'Prepare Gantt Chart'!W44=7,'Project types'!$L45*('Prepare Gantt Chart'!$I44*'Prepare Gantt Chart'!$J44),'Prepare Gantt Chart'!W44=0,0)</f>
        <v>0</v>
      </c>
      <c r="AT45" s="45">
        <f>_xlfn.IFS('Prepare Gantt Chart'!X44=8,'Project types'!$L45*('Prepare Gantt Chart'!$I44*'Prepare Gantt Chart'!$J44),'Prepare Gantt Chart'!X44=7,'Project types'!$L45*('Prepare Gantt Chart'!$I44*'Prepare Gantt Chart'!$J44),'Prepare Gantt Chart'!X44=0,0)</f>
        <v>0</v>
      </c>
      <c r="AU45" s="45">
        <f>_xlfn.IFS('Prepare Gantt Chart'!Y44=8,'Project types'!$L45*('Prepare Gantt Chart'!$I44*'Prepare Gantt Chart'!$J44),'Prepare Gantt Chart'!Y44=7,'Project types'!$L45*('Prepare Gantt Chart'!$I44*'Prepare Gantt Chart'!$J44),'Prepare Gantt Chart'!Y44=0,0)</f>
        <v>0</v>
      </c>
      <c r="AV45" s="45">
        <f>_xlfn.IFS('Prepare Gantt Chart'!Z44=8,'Project types'!$L45*('Prepare Gantt Chart'!$I44*'Prepare Gantt Chart'!$J44),'Prepare Gantt Chart'!Z44=7,'Project types'!$L45*('Prepare Gantt Chart'!$I44*'Prepare Gantt Chart'!$J44),'Prepare Gantt Chart'!Z44=0,0)</f>
        <v>0</v>
      </c>
      <c r="AW45" s="45">
        <f>_xlfn.IFS('Prepare Gantt Chart'!AA44=8,'Project types'!$L45*('Prepare Gantt Chart'!$I44*'Prepare Gantt Chart'!$J44),'Prepare Gantt Chart'!AA44=7,'Project types'!$L45*('Prepare Gantt Chart'!$I44*'Prepare Gantt Chart'!$J44),'Prepare Gantt Chart'!AA44=0,0)</f>
        <v>0</v>
      </c>
      <c r="AX45" s="45">
        <f>_xlfn.IFS('Prepare Gantt Chart'!AB44=8,'Project types'!$L45*('Prepare Gantt Chart'!$I44*'Prepare Gantt Chart'!$J44),'Prepare Gantt Chart'!AB44=7,'Project types'!$L45*('Prepare Gantt Chart'!$I44*'Prepare Gantt Chart'!$J44),'Prepare Gantt Chart'!AB44=0,0)</f>
        <v>0</v>
      </c>
      <c r="AY45" s="45">
        <f>_xlfn.IFS('Prepare Gantt Chart'!AC44=8,'Project types'!$L45*('Prepare Gantt Chart'!$I44*'Prepare Gantt Chart'!$J44),'Prepare Gantt Chart'!AC44=7,'Project types'!$L45*('Prepare Gantt Chart'!$I44*'Prepare Gantt Chart'!$J44),'Prepare Gantt Chart'!AC44=0,0)</f>
        <v>0</v>
      </c>
      <c r="AZ45" s="45">
        <f>_xlfn.IFS('Prepare Gantt Chart'!AD44=8,'Project types'!$L45*('Prepare Gantt Chart'!$I44*'Prepare Gantt Chart'!$J44),'Prepare Gantt Chart'!AD44=7,'Project types'!$L45*('Prepare Gantt Chart'!$I44*'Prepare Gantt Chart'!$J44),'Prepare Gantt Chart'!AD44=0,0)</f>
        <v>0</v>
      </c>
      <c r="BA45" s="45">
        <f>_xlfn.IFS('Prepare Gantt Chart'!AE44=8,'Project types'!$L45*('Prepare Gantt Chart'!$I44*'Prepare Gantt Chart'!$J44),'Prepare Gantt Chart'!AE44=7,'Project types'!$L45*('Prepare Gantt Chart'!$I44*'Prepare Gantt Chart'!$J44),'Prepare Gantt Chart'!AE44=0,0)</f>
        <v>0</v>
      </c>
      <c r="BB45" s="45">
        <f>_xlfn.IFS('Prepare Gantt Chart'!AF44=8,'Project types'!$L45*('Prepare Gantt Chart'!$I44*'Prepare Gantt Chart'!$J44),'Prepare Gantt Chart'!AF44=7,'Project types'!$L45*('Prepare Gantt Chart'!$I44*'Prepare Gantt Chart'!$J44),'Prepare Gantt Chart'!AF44=0,0)</f>
        <v>0</v>
      </c>
      <c r="BC45" s="45">
        <f>_xlfn.IFS('Prepare Gantt Chart'!AG44=8,'Project types'!$L45*('Prepare Gantt Chart'!$I44*'Prepare Gantt Chart'!$J44),'Prepare Gantt Chart'!AG44=7,'Project types'!$L45*('Prepare Gantt Chart'!$I44*'Prepare Gantt Chart'!$J44),'Prepare Gantt Chart'!AG44=0,0)</f>
        <v>0</v>
      </c>
      <c r="BD45" s="45">
        <f>_xlfn.IFS('Prepare Gantt Chart'!AH44=8,'Project types'!$L45*('Prepare Gantt Chart'!$I44*'Prepare Gantt Chart'!$J44),'Prepare Gantt Chart'!AH44=7,'Project types'!$L45*('Prepare Gantt Chart'!$I44*'Prepare Gantt Chart'!$J44),'Prepare Gantt Chart'!AH44=0,0)</f>
        <v>0</v>
      </c>
      <c r="BE45" s="45">
        <f>_xlfn.IFS('Prepare Gantt Chart'!AI44=8,'Project types'!$L45*('Prepare Gantt Chart'!$I44*'Prepare Gantt Chart'!$J44),'Prepare Gantt Chart'!AI44=7,'Project types'!$L45*('Prepare Gantt Chart'!$I44*'Prepare Gantt Chart'!$J44),'Prepare Gantt Chart'!AI44=0,0)</f>
        <v>0</v>
      </c>
      <c r="BF45" s="45">
        <f>_xlfn.IFS('Prepare Gantt Chart'!AJ44=8,'Project types'!$L45*('Prepare Gantt Chart'!$I44*'Prepare Gantt Chart'!$J44),'Prepare Gantt Chart'!AJ44=7,'Project types'!$L45*('Prepare Gantt Chart'!$I44*'Prepare Gantt Chart'!$J44),'Prepare Gantt Chart'!AJ44=0,0)</f>
        <v>0</v>
      </c>
      <c r="BG45" s="45">
        <f>_xlfn.IFS('Prepare Gantt Chart'!AK44=8,'Project types'!$L45*('Prepare Gantt Chart'!$I44*'Prepare Gantt Chart'!$J44),'Prepare Gantt Chart'!AK44=7,'Project types'!$L45*('Prepare Gantt Chart'!$I44*'Prepare Gantt Chart'!$J44),'Prepare Gantt Chart'!AK44=0,0)</f>
        <v>0</v>
      </c>
      <c r="BH45" s="45">
        <f>_xlfn.IFS('Prepare Gantt Chart'!AL44=8,'Project types'!$L45*('Prepare Gantt Chart'!$I44*'Prepare Gantt Chart'!$J44),'Prepare Gantt Chart'!AL44=7,'Project types'!$L45*('Prepare Gantt Chart'!$I44*'Prepare Gantt Chart'!$J44),'Prepare Gantt Chart'!AL44=0,0)</f>
        <v>0</v>
      </c>
      <c r="BI45" s="45">
        <f>_xlfn.IFS('Prepare Gantt Chart'!AM44=8,'Project types'!$L45*('Prepare Gantt Chart'!$I44*'Prepare Gantt Chart'!$J44),'Prepare Gantt Chart'!AM44=7,'Project types'!$L45*('Prepare Gantt Chart'!$I44*'Prepare Gantt Chart'!$J44),'Prepare Gantt Chart'!AM44=0,0)</f>
        <v>0</v>
      </c>
      <c r="BJ45" s="45">
        <f>_xlfn.IFS('Prepare Gantt Chart'!AN44=8,'Project types'!$L45*('Prepare Gantt Chart'!$I44*'Prepare Gantt Chart'!$J44),'Prepare Gantt Chart'!AN44=7,'Project types'!$L45*('Prepare Gantt Chart'!$I44*'Prepare Gantt Chart'!$J44),'Prepare Gantt Chart'!AN44=0,0)</f>
        <v>0</v>
      </c>
      <c r="BK45" s="45">
        <f>_xlfn.IFS('Prepare Gantt Chart'!AO44=8,'Project types'!$L45*('Prepare Gantt Chart'!$I44*'Prepare Gantt Chart'!$J44),'Prepare Gantt Chart'!AO44=7,'Project types'!$L45*('Prepare Gantt Chart'!$I44*'Prepare Gantt Chart'!$J44),'Prepare Gantt Chart'!AO44=0,0)</f>
        <v>0</v>
      </c>
      <c r="BL45" s="46">
        <f t="shared" si="1"/>
        <v>0</v>
      </c>
      <c r="BM45" s="75">
        <f>IF('Prepare Gantt Chart'!$J44=0,0,SUM(AL45:AQ45)/6/'Prepare Gantt Chart'!$J44)</f>
        <v>0</v>
      </c>
      <c r="BN45" s="75">
        <f>IF('Prepare Gantt Chart'!$J44=0,0,SUM(AR45:AV45)/5/'Prepare Gantt Chart'!$J44)</f>
        <v>0</v>
      </c>
      <c r="BO45" s="75">
        <f>IF('Prepare Gantt Chart'!$J44=0,0,SUM(AW45:BA45)/5/'Prepare Gantt Chart'!$J44)</f>
        <v>0</v>
      </c>
      <c r="BP45" s="75">
        <f>IF('Prepare Gantt Chart'!$J44=0,0,SUM(BB45:BF45)/5/'Prepare Gantt Chart'!$J44)</f>
        <v>0</v>
      </c>
      <c r="BQ45" s="75">
        <f>IF('Prepare Gantt Chart'!$J44=0,0,SUM(BG45:BK45)/5/'Prepare Gantt Chart'!$J44)</f>
        <v>0</v>
      </c>
    </row>
    <row r="46" spans="1:69" x14ac:dyDescent="0.2">
      <c r="A46" s="27" t="s">
        <v>45</v>
      </c>
      <c r="B46" s="1" t="s">
        <v>133</v>
      </c>
      <c r="C46" s="45">
        <f>_xlfn.IFS('Prepare Gantt Chart'!P45=8,'Project types'!$O46*('Prepare Gantt Chart'!$I45*'Prepare Gantt Chart'!$J45),'Prepare Gantt Chart'!P45=7,'Project types'!$Q46*('Prepare Gantt Chart'!$I45*'Prepare Gantt Chart'!$J45),'Prepare Gantt Chart'!P45=0,0)</f>
        <v>0</v>
      </c>
      <c r="D46" s="45">
        <f>_xlfn.IFS('Prepare Gantt Chart'!Q45=8,'Project types'!$O46*('Prepare Gantt Chart'!$I45*'Prepare Gantt Chart'!$J45),'Prepare Gantt Chart'!Q45=7,'Project types'!$Q46*('Prepare Gantt Chart'!$I45*'Prepare Gantt Chart'!$J45),'Prepare Gantt Chart'!Q45=0,0)</f>
        <v>0</v>
      </c>
      <c r="E46" s="45">
        <f>_xlfn.IFS('Prepare Gantt Chart'!R45=8,'Project types'!$O46*('Prepare Gantt Chart'!$I45*'Prepare Gantt Chart'!$J45),'Prepare Gantt Chart'!R45=7,'Project types'!$Q46*('Prepare Gantt Chart'!$I45*'Prepare Gantt Chart'!$J45),'Prepare Gantt Chart'!R45=0,0)</f>
        <v>0</v>
      </c>
      <c r="F46" s="45">
        <f>_xlfn.IFS('Prepare Gantt Chart'!S45=8,'Project types'!$O46*('Prepare Gantt Chart'!$I45*'Prepare Gantt Chart'!$J45),'Prepare Gantt Chart'!S45=7,'Project types'!$Q46*('Prepare Gantt Chart'!$I45*'Prepare Gantt Chart'!$J45),'Prepare Gantt Chart'!S45=0,0)</f>
        <v>0</v>
      </c>
      <c r="G46" s="45">
        <f>_xlfn.IFS('Prepare Gantt Chart'!T45=8,'Project types'!$O46*('Prepare Gantt Chart'!$I45*'Prepare Gantt Chart'!$J45),'Prepare Gantt Chart'!T45=7,'Project types'!$Q46*('Prepare Gantt Chart'!$I45*'Prepare Gantt Chart'!$J45),'Prepare Gantt Chart'!T45=0,0)</f>
        <v>0</v>
      </c>
      <c r="H46" s="45">
        <f>_xlfn.IFS('Prepare Gantt Chart'!U45=8,'Project types'!$O46*('Prepare Gantt Chart'!$I45*'Prepare Gantt Chart'!$J45),'Prepare Gantt Chart'!U45=7,'Project types'!$Q46*('Prepare Gantt Chart'!$I45*'Prepare Gantt Chart'!$J45),'Prepare Gantt Chart'!U45=0,0)</f>
        <v>0</v>
      </c>
      <c r="I46" s="45">
        <f>_xlfn.IFS('Prepare Gantt Chart'!V45=8,'Project types'!$O46*('Prepare Gantt Chart'!$I45*'Prepare Gantt Chart'!$J45),'Prepare Gantt Chart'!V45=7,'Project types'!$Q46*('Prepare Gantt Chart'!$I45*'Prepare Gantt Chart'!$J45),'Prepare Gantt Chart'!V45=0,0)</f>
        <v>0</v>
      </c>
      <c r="J46" s="45">
        <f>_xlfn.IFS('Prepare Gantt Chart'!W45=8,'Project types'!$O46*('Prepare Gantt Chart'!$I45*'Prepare Gantt Chart'!$J45),'Prepare Gantt Chart'!W45=7,'Project types'!$Q46*('Prepare Gantt Chart'!$I45*'Prepare Gantt Chart'!$J45),'Prepare Gantt Chart'!W45=0,0)</f>
        <v>0</v>
      </c>
      <c r="K46" s="45">
        <f>_xlfn.IFS('Prepare Gantt Chart'!X45=8,'Project types'!$O46*('Prepare Gantt Chart'!$I45*'Prepare Gantt Chart'!$J45),'Prepare Gantt Chart'!X45=7,'Project types'!$Q46*('Prepare Gantt Chart'!$I45*'Prepare Gantt Chart'!$J45),'Prepare Gantt Chart'!X45=0,0)</f>
        <v>0</v>
      </c>
      <c r="L46" s="45">
        <f>_xlfn.IFS('Prepare Gantt Chart'!Y45=8,'Project types'!$O46*('Prepare Gantt Chart'!$I45*'Prepare Gantt Chart'!$J45),'Prepare Gantt Chart'!Y45=7,'Project types'!$Q46*('Prepare Gantt Chart'!$I45*'Prepare Gantt Chart'!$J45),'Prepare Gantt Chart'!Y45=0,0)</f>
        <v>0</v>
      </c>
      <c r="M46" s="45">
        <f>_xlfn.IFS('Prepare Gantt Chart'!Z45=8,'Project types'!$O46*('Prepare Gantt Chart'!$I45*'Prepare Gantt Chart'!$J45),'Prepare Gantt Chart'!Z45=7,'Project types'!$Q46*('Prepare Gantt Chart'!$I45*'Prepare Gantt Chart'!$J45),'Prepare Gantt Chart'!Z45=0,0)</f>
        <v>0</v>
      </c>
      <c r="N46" s="45">
        <f>_xlfn.IFS('Prepare Gantt Chart'!AA45=8,'Project types'!$O46*('Prepare Gantt Chart'!$I45*'Prepare Gantt Chart'!$J45),'Prepare Gantt Chart'!AA45=7,'Project types'!$Q46*('Prepare Gantt Chart'!$I45*'Prepare Gantt Chart'!$J45),'Prepare Gantt Chart'!AA45=0,0)</f>
        <v>0</v>
      </c>
      <c r="O46" s="45">
        <f>_xlfn.IFS('Prepare Gantt Chart'!AB45=8,'Project types'!$O46*('Prepare Gantt Chart'!$I45*'Prepare Gantt Chart'!$J45),'Prepare Gantt Chart'!AB45=7,'Project types'!$Q46*('Prepare Gantt Chart'!$I45*'Prepare Gantt Chart'!$J45),'Prepare Gantt Chart'!AB45=0,0)</f>
        <v>0</v>
      </c>
      <c r="P46" s="45">
        <f>_xlfn.IFS('Prepare Gantt Chart'!AC45=8,'Project types'!$O46*('Prepare Gantt Chart'!$I45*'Prepare Gantt Chart'!$J45),'Prepare Gantt Chart'!AC45=7,'Project types'!$Q46*('Prepare Gantt Chart'!$I45*'Prepare Gantt Chart'!$J45),'Prepare Gantt Chart'!AC45=0,0)</f>
        <v>0</v>
      </c>
      <c r="Q46" s="45">
        <f>_xlfn.IFS('Prepare Gantt Chart'!AD45=8,'Project types'!$O46*('Prepare Gantt Chart'!$I45*'Prepare Gantt Chart'!$J45),'Prepare Gantt Chart'!AD45=7,'Project types'!$Q46*('Prepare Gantt Chart'!$I45*'Prepare Gantt Chart'!$J45),'Prepare Gantt Chart'!AD45=0,0)</f>
        <v>0</v>
      </c>
      <c r="R46" s="45">
        <f>_xlfn.IFS('Prepare Gantt Chart'!AE45=8,'Project types'!$O46*('Prepare Gantt Chart'!$I45*'Prepare Gantt Chart'!$J45),'Prepare Gantt Chart'!AE45=7,'Project types'!$Q46*('Prepare Gantt Chart'!$I45*'Prepare Gantt Chart'!$J45),'Prepare Gantt Chart'!AE45=0,0)</f>
        <v>0</v>
      </c>
      <c r="S46" s="45">
        <f>_xlfn.IFS('Prepare Gantt Chart'!AF45=8,'Project types'!$O46*('Prepare Gantt Chart'!$I45*'Prepare Gantt Chart'!$J45),'Prepare Gantt Chart'!AF45=7,'Project types'!$Q46*('Prepare Gantt Chart'!$I45*'Prepare Gantt Chart'!$J45),'Prepare Gantt Chart'!AF45=0,0)</f>
        <v>0</v>
      </c>
      <c r="T46" s="45">
        <f>_xlfn.IFS('Prepare Gantt Chart'!AG45=8,'Project types'!$O46*('Prepare Gantt Chart'!$I45*'Prepare Gantt Chart'!$J45),'Prepare Gantt Chart'!AG45=7,'Project types'!$Q46*('Prepare Gantt Chart'!$I45*'Prepare Gantt Chart'!$J45),'Prepare Gantt Chart'!AG45=0,0)</f>
        <v>0</v>
      </c>
      <c r="U46" s="45">
        <f>_xlfn.IFS('Prepare Gantt Chart'!AH45=8,'Project types'!$O46*('Prepare Gantt Chart'!$I45*'Prepare Gantt Chart'!$J45),'Prepare Gantt Chart'!AH45=7,'Project types'!$Q46*('Prepare Gantt Chart'!$I45*'Prepare Gantt Chart'!$J45),'Prepare Gantt Chart'!AH45=0,0)</f>
        <v>0</v>
      </c>
      <c r="V46" s="45">
        <f>_xlfn.IFS('Prepare Gantt Chart'!AI45=8,'Project types'!$O46*('Prepare Gantt Chart'!$I45*'Prepare Gantt Chart'!$J45),'Prepare Gantt Chart'!AI45=7,'Project types'!$Q46*('Prepare Gantt Chart'!$I45*'Prepare Gantt Chart'!$J45),'Prepare Gantt Chart'!AI45=0,0)</f>
        <v>0</v>
      </c>
      <c r="W46" s="45">
        <f>_xlfn.IFS('Prepare Gantt Chart'!AJ45=8,'Project types'!$O46*('Prepare Gantt Chart'!$I45*'Prepare Gantt Chart'!$J45),'Prepare Gantt Chart'!AJ45=7,'Project types'!$Q46*('Prepare Gantt Chart'!$I45*'Prepare Gantt Chart'!$J45),'Prepare Gantt Chart'!AJ45=0,0)</f>
        <v>0</v>
      </c>
      <c r="X46" s="45">
        <f>_xlfn.IFS('Prepare Gantt Chart'!AK45=8,'Project types'!$O46*('Prepare Gantt Chart'!$I45*'Prepare Gantt Chart'!$J45),'Prepare Gantt Chart'!AK45=7,'Project types'!$Q46*('Prepare Gantt Chart'!$I45*'Prepare Gantt Chart'!$J45),'Prepare Gantt Chart'!AK45=0,0)</f>
        <v>0</v>
      </c>
      <c r="Y46" s="45">
        <f>_xlfn.IFS('Prepare Gantt Chart'!AL45=8,'Project types'!$O46*('Prepare Gantt Chart'!$I45*'Prepare Gantt Chart'!$J45),'Prepare Gantt Chart'!AL45=7,'Project types'!$Q46*('Prepare Gantt Chart'!$I45*'Prepare Gantt Chart'!$J45),'Prepare Gantt Chart'!AL45=0,0)</f>
        <v>0</v>
      </c>
      <c r="Z46" s="45">
        <f>_xlfn.IFS('Prepare Gantt Chart'!AM45=8,'Project types'!$O46*('Prepare Gantt Chart'!$I45*'Prepare Gantt Chart'!$J45),'Prepare Gantt Chart'!AM45=7,'Project types'!$Q46*('Prepare Gantt Chart'!$I45*'Prepare Gantt Chart'!$J45),'Prepare Gantt Chart'!AM45=0,0)</f>
        <v>0</v>
      </c>
      <c r="AA46" s="45">
        <f>_xlfn.IFS('Prepare Gantt Chart'!AN45=8,'Project types'!$O46*('Prepare Gantt Chart'!$I45*'Prepare Gantt Chart'!$J45),'Prepare Gantt Chart'!AN45=7,'Project types'!$Q46*('Prepare Gantt Chart'!$I45*'Prepare Gantt Chart'!$J45),'Prepare Gantt Chart'!AN45=0,0)</f>
        <v>0</v>
      </c>
      <c r="AB46" s="45">
        <f>_xlfn.IFS('Prepare Gantt Chart'!AO45=8,'Project types'!$O46*('Prepare Gantt Chart'!$I45*'Prepare Gantt Chart'!$J45),'Prepare Gantt Chart'!AO45=7,'Project types'!$Q46*('Prepare Gantt Chart'!$I45*'Prepare Gantt Chart'!$J45),'Prepare Gantt Chart'!AO45=0,0)</f>
        <v>0</v>
      </c>
      <c r="AC46" s="45">
        <f>'Prepare Gantt Chart'!J45*'Prepare Gantt Chart'!I45*(AD46/26)</f>
        <v>0</v>
      </c>
      <c r="AD46" s="46">
        <f t="shared" si="0"/>
        <v>0</v>
      </c>
      <c r="AE46" s="72">
        <f>IF('Prepare Gantt Chart'!$J45=0,0,SUM(C46:H46)/6/'Prepare Gantt Chart'!$J45)</f>
        <v>0</v>
      </c>
      <c r="AF46" s="72">
        <f>IF('Prepare Gantt Chart'!$J45=0,0,SUM(I46:M46)/5/'Prepare Gantt Chart'!$J45)</f>
        <v>0</v>
      </c>
      <c r="AG46" s="72">
        <f>IF('Prepare Gantt Chart'!$J45=0,0,SUM(N46:R46)/5/'Prepare Gantt Chart'!$J45)</f>
        <v>0</v>
      </c>
      <c r="AH46" s="72">
        <f>IF('Prepare Gantt Chart'!$J45=0,0,SUM(S46:W46)/5/'Prepare Gantt Chart'!$J45)</f>
        <v>0</v>
      </c>
      <c r="AI46" s="72">
        <f>IF('Prepare Gantt Chart'!$J45=0,0,SUM(X46:AB46)/5/'Prepare Gantt Chart'!$J45)</f>
        <v>0</v>
      </c>
      <c r="AK46" s="27" t="s">
        <v>45</v>
      </c>
      <c r="AL46" s="45">
        <f>_xlfn.IFS('Prepare Gantt Chart'!P45=8,'Project types'!$L46*('Prepare Gantt Chart'!$I45*'Prepare Gantt Chart'!$J45),'Prepare Gantt Chart'!P45=7,'Project types'!$L46*('Prepare Gantt Chart'!$I45*'Prepare Gantt Chart'!$J45),'Prepare Gantt Chart'!P45=0,0)</f>
        <v>0</v>
      </c>
      <c r="AM46" s="45">
        <f>_xlfn.IFS('Prepare Gantt Chart'!Q45=8,'Project types'!$L46*('Prepare Gantt Chart'!$I45*'Prepare Gantt Chart'!$J45),'Prepare Gantt Chart'!Q45=7,'Project types'!$L46*('Prepare Gantt Chart'!$I45*'Prepare Gantt Chart'!$J45),'Prepare Gantt Chart'!Q45=0,0)</f>
        <v>0</v>
      </c>
      <c r="AN46" s="45">
        <f>_xlfn.IFS('Prepare Gantt Chart'!R45=8,'Project types'!$L46*('Prepare Gantt Chart'!$I45*'Prepare Gantt Chart'!$J45),'Prepare Gantt Chart'!R45=7,'Project types'!$L46*('Prepare Gantt Chart'!$I45*'Prepare Gantt Chart'!$J45),'Prepare Gantt Chart'!R45=0,0)</f>
        <v>0</v>
      </c>
      <c r="AO46" s="45">
        <f>_xlfn.IFS('Prepare Gantt Chart'!S45=8,'Project types'!$L46*('Prepare Gantt Chart'!$I45*'Prepare Gantt Chart'!$J45),'Prepare Gantt Chart'!S45=7,'Project types'!$L46*('Prepare Gantt Chart'!$I45*'Prepare Gantt Chart'!$J45),'Prepare Gantt Chart'!S45=0,0)</f>
        <v>0</v>
      </c>
      <c r="AP46" s="45">
        <f>_xlfn.IFS('Prepare Gantt Chart'!T45=8,'Project types'!$L46*('Prepare Gantt Chart'!$I45*'Prepare Gantt Chart'!$J45),'Prepare Gantt Chart'!T45=7,'Project types'!$L46*('Prepare Gantt Chart'!$I45*'Prepare Gantt Chart'!$J45),'Prepare Gantt Chart'!T45=0,0)</f>
        <v>0</v>
      </c>
      <c r="AQ46" s="45">
        <f>_xlfn.IFS('Prepare Gantt Chart'!U45=8,'Project types'!$L46*('Prepare Gantt Chart'!$I45*'Prepare Gantt Chart'!$J45),'Prepare Gantt Chart'!U45=7,'Project types'!$L46*('Prepare Gantt Chart'!$I45*'Prepare Gantt Chart'!$J45),'Prepare Gantt Chart'!U45=0,0)</f>
        <v>0</v>
      </c>
      <c r="AR46" s="45">
        <f>_xlfn.IFS('Prepare Gantt Chart'!V45=8,'Project types'!$L46*('Prepare Gantt Chart'!$I45*'Prepare Gantt Chart'!$J45),'Prepare Gantt Chart'!V45=7,'Project types'!$L46*('Prepare Gantt Chart'!$I45*'Prepare Gantt Chart'!$J45),'Prepare Gantt Chart'!V45=0,0)</f>
        <v>0</v>
      </c>
      <c r="AS46" s="45">
        <f>_xlfn.IFS('Prepare Gantt Chart'!W45=8,'Project types'!$L46*('Prepare Gantt Chart'!$I45*'Prepare Gantt Chart'!$J45),'Prepare Gantt Chart'!W45=7,'Project types'!$L46*('Prepare Gantt Chart'!$I45*'Prepare Gantt Chart'!$J45),'Prepare Gantt Chart'!W45=0,0)</f>
        <v>0</v>
      </c>
      <c r="AT46" s="45">
        <f>_xlfn.IFS('Prepare Gantt Chart'!X45=8,'Project types'!$L46*('Prepare Gantt Chart'!$I45*'Prepare Gantt Chart'!$J45),'Prepare Gantt Chart'!X45=7,'Project types'!$L46*('Prepare Gantt Chart'!$I45*'Prepare Gantt Chart'!$J45),'Prepare Gantt Chart'!X45=0,0)</f>
        <v>0</v>
      </c>
      <c r="AU46" s="45">
        <f>_xlfn.IFS('Prepare Gantt Chart'!Y45=8,'Project types'!$L46*('Prepare Gantt Chart'!$I45*'Prepare Gantt Chart'!$J45),'Prepare Gantt Chart'!Y45=7,'Project types'!$L46*('Prepare Gantt Chart'!$I45*'Prepare Gantt Chart'!$J45),'Prepare Gantt Chart'!Y45=0,0)</f>
        <v>0</v>
      </c>
      <c r="AV46" s="45">
        <f>_xlfn.IFS('Prepare Gantt Chart'!Z45=8,'Project types'!$L46*('Prepare Gantt Chart'!$I45*'Prepare Gantt Chart'!$J45),'Prepare Gantt Chart'!Z45=7,'Project types'!$L46*('Prepare Gantt Chart'!$I45*'Prepare Gantt Chart'!$J45),'Prepare Gantt Chart'!Z45=0,0)</f>
        <v>0</v>
      </c>
      <c r="AW46" s="45">
        <f>_xlfn.IFS('Prepare Gantt Chart'!AA45=8,'Project types'!$L46*('Prepare Gantt Chart'!$I45*'Prepare Gantt Chart'!$J45),'Prepare Gantt Chart'!AA45=7,'Project types'!$L46*('Prepare Gantt Chart'!$I45*'Prepare Gantt Chart'!$J45),'Prepare Gantt Chart'!AA45=0,0)</f>
        <v>0</v>
      </c>
      <c r="AX46" s="45">
        <f>_xlfn.IFS('Prepare Gantt Chart'!AB45=8,'Project types'!$L46*('Prepare Gantt Chart'!$I45*'Prepare Gantt Chart'!$J45),'Prepare Gantt Chart'!AB45=7,'Project types'!$L46*('Prepare Gantt Chart'!$I45*'Prepare Gantt Chart'!$J45),'Prepare Gantt Chart'!AB45=0,0)</f>
        <v>0</v>
      </c>
      <c r="AY46" s="45">
        <f>_xlfn.IFS('Prepare Gantt Chart'!AC45=8,'Project types'!$L46*('Prepare Gantt Chart'!$I45*'Prepare Gantt Chart'!$J45),'Prepare Gantt Chart'!AC45=7,'Project types'!$L46*('Prepare Gantt Chart'!$I45*'Prepare Gantt Chart'!$J45),'Prepare Gantt Chart'!AC45=0,0)</f>
        <v>0</v>
      </c>
      <c r="AZ46" s="45">
        <f>_xlfn.IFS('Prepare Gantt Chart'!AD45=8,'Project types'!$L46*('Prepare Gantt Chart'!$I45*'Prepare Gantt Chart'!$J45),'Prepare Gantt Chart'!AD45=7,'Project types'!$L46*('Prepare Gantt Chart'!$I45*'Prepare Gantt Chart'!$J45),'Prepare Gantt Chart'!AD45=0,0)</f>
        <v>0</v>
      </c>
      <c r="BA46" s="45">
        <f>_xlfn.IFS('Prepare Gantt Chart'!AE45=8,'Project types'!$L46*('Prepare Gantt Chart'!$I45*'Prepare Gantt Chart'!$J45),'Prepare Gantt Chart'!AE45=7,'Project types'!$L46*('Prepare Gantt Chart'!$I45*'Prepare Gantt Chart'!$J45),'Prepare Gantt Chart'!AE45=0,0)</f>
        <v>0</v>
      </c>
      <c r="BB46" s="45">
        <f>_xlfn.IFS('Prepare Gantt Chart'!AF45=8,'Project types'!$L46*('Prepare Gantt Chart'!$I45*'Prepare Gantt Chart'!$J45),'Prepare Gantt Chart'!AF45=7,'Project types'!$L46*('Prepare Gantt Chart'!$I45*'Prepare Gantt Chart'!$J45),'Prepare Gantt Chart'!AF45=0,0)</f>
        <v>0</v>
      </c>
      <c r="BC46" s="45">
        <f>_xlfn.IFS('Prepare Gantt Chart'!AG45=8,'Project types'!$L46*('Prepare Gantt Chart'!$I45*'Prepare Gantt Chart'!$J45),'Prepare Gantt Chart'!AG45=7,'Project types'!$L46*('Prepare Gantt Chart'!$I45*'Prepare Gantt Chart'!$J45),'Prepare Gantt Chart'!AG45=0,0)</f>
        <v>0</v>
      </c>
      <c r="BD46" s="45">
        <f>_xlfn.IFS('Prepare Gantt Chart'!AH45=8,'Project types'!$L46*('Prepare Gantt Chart'!$I45*'Prepare Gantt Chart'!$J45),'Prepare Gantt Chart'!AH45=7,'Project types'!$L46*('Prepare Gantt Chart'!$I45*'Prepare Gantt Chart'!$J45),'Prepare Gantt Chart'!AH45=0,0)</f>
        <v>0</v>
      </c>
      <c r="BE46" s="45">
        <f>_xlfn.IFS('Prepare Gantt Chart'!AI45=8,'Project types'!$L46*('Prepare Gantt Chart'!$I45*'Prepare Gantt Chart'!$J45),'Prepare Gantt Chart'!AI45=7,'Project types'!$L46*('Prepare Gantt Chart'!$I45*'Prepare Gantt Chart'!$J45),'Prepare Gantt Chart'!AI45=0,0)</f>
        <v>0</v>
      </c>
      <c r="BF46" s="45">
        <f>_xlfn.IFS('Prepare Gantt Chart'!AJ45=8,'Project types'!$L46*('Prepare Gantt Chart'!$I45*'Prepare Gantt Chart'!$J45),'Prepare Gantt Chart'!AJ45=7,'Project types'!$L46*('Prepare Gantt Chart'!$I45*'Prepare Gantt Chart'!$J45),'Prepare Gantt Chart'!AJ45=0,0)</f>
        <v>0</v>
      </c>
      <c r="BG46" s="45">
        <f>_xlfn.IFS('Prepare Gantt Chart'!AK45=8,'Project types'!$L46*('Prepare Gantt Chart'!$I45*'Prepare Gantt Chart'!$J45),'Prepare Gantt Chart'!AK45=7,'Project types'!$L46*('Prepare Gantt Chart'!$I45*'Prepare Gantt Chart'!$J45),'Prepare Gantt Chart'!AK45=0,0)</f>
        <v>0</v>
      </c>
      <c r="BH46" s="45">
        <f>_xlfn.IFS('Prepare Gantt Chart'!AL45=8,'Project types'!$L46*('Prepare Gantt Chart'!$I45*'Prepare Gantt Chart'!$J45),'Prepare Gantt Chart'!AL45=7,'Project types'!$L46*('Prepare Gantt Chart'!$I45*'Prepare Gantt Chart'!$J45),'Prepare Gantt Chart'!AL45=0,0)</f>
        <v>0</v>
      </c>
      <c r="BI46" s="45">
        <f>_xlfn.IFS('Prepare Gantt Chart'!AM45=8,'Project types'!$L46*('Prepare Gantt Chart'!$I45*'Prepare Gantt Chart'!$J45),'Prepare Gantt Chart'!AM45=7,'Project types'!$L46*('Prepare Gantt Chart'!$I45*'Prepare Gantt Chart'!$J45),'Prepare Gantt Chart'!AM45=0,0)</f>
        <v>0</v>
      </c>
      <c r="BJ46" s="45">
        <f>_xlfn.IFS('Prepare Gantt Chart'!AN45=8,'Project types'!$L46*('Prepare Gantt Chart'!$I45*'Prepare Gantt Chart'!$J45),'Prepare Gantt Chart'!AN45=7,'Project types'!$L46*('Prepare Gantt Chart'!$I45*'Prepare Gantt Chart'!$J45),'Prepare Gantt Chart'!AN45=0,0)</f>
        <v>0</v>
      </c>
      <c r="BK46" s="45">
        <f>_xlfn.IFS('Prepare Gantt Chart'!AO45=8,'Project types'!$L46*('Prepare Gantt Chart'!$I45*'Prepare Gantt Chart'!$J45),'Prepare Gantt Chart'!AO45=7,'Project types'!$L46*('Prepare Gantt Chart'!$I45*'Prepare Gantt Chart'!$J45),'Prepare Gantt Chart'!AO45=0,0)</f>
        <v>0</v>
      </c>
      <c r="BL46" s="46">
        <f t="shared" si="1"/>
        <v>0</v>
      </c>
      <c r="BM46" s="75">
        <f>IF('Prepare Gantt Chart'!$J45=0,0,SUM(AL46:AQ46)/6/'Prepare Gantt Chart'!$J45)</f>
        <v>0</v>
      </c>
      <c r="BN46" s="75">
        <f>IF('Prepare Gantt Chart'!$J45=0,0,SUM(AR46:AV46)/5/'Prepare Gantt Chart'!$J45)</f>
        <v>0</v>
      </c>
      <c r="BO46" s="75">
        <f>IF('Prepare Gantt Chart'!$J45=0,0,SUM(AW46:BA46)/5/'Prepare Gantt Chart'!$J45)</f>
        <v>0</v>
      </c>
      <c r="BP46" s="75">
        <f>IF('Prepare Gantt Chart'!$J45=0,0,SUM(BB46:BF46)/5/'Prepare Gantt Chart'!$J45)</f>
        <v>0</v>
      </c>
      <c r="BQ46" s="75">
        <f>IF('Prepare Gantt Chart'!$J45=0,0,SUM(BG46:BK46)/5/'Prepare Gantt Chart'!$J45)</f>
        <v>0</v>
      </c>
    </row>
    <row r="47" spans="1:69" x14ac:dyDescent="0.2">
      <c r="A47" s="27" t="s">
        <v>400</v>
      </c>
      <c r="B47" s="1" t="s">
        <v>398</v>
      </c>
      <c r="C47" s="45">
        <f>_xlfn.IFS('Prepare Gantt Chart'!P46=8,'Project types'!$O47*('Prepare Gantt Chart'!$I46*'Prepare Gantt Chart'!$J46),'Prepare Gantt Chart'!P46=7,'Project types'!$Q47*('Prepare Gantt Chart'!$I46*'Prepare Gantt Chart'!$J46),'Prepare Gantt Chart'!P46=0,0)</f>
        <v>0</v>
      </c>
      <c r="D47" s="45">
        <f>_xlfn.IFS('Prepare Gantt Chart'!Q46=8,'Project types'!$O47*('Prepare Gantt Chart'!$I46*'Prepare Gantt Chart'!$J46),'Prepare Gantt Chart'!Q46=7,'Project types'!$Q47*('Prepare Gantt Chart'!$I46*'Prepare Gantt Chart'!$J46),'Prepare Gantt Chart'!Q46=0,0)</f>
        <v>0</v>
      </c>
      <c r="E47" s="45">
        <f>_xlfn.IFS('Prepare Gantt Chart'!R46=8,'Project types'!$O47*('Prepare Gantt Chart'!$I46*'Prepare Gantt Chart'!$J46),'Prepare Gantt Chart'!R46=7,'Project types'!$Q47*('Prepare Gantt Chart'!$I46*'Prepare Gantt Chart'!$J46),'Prepare Gantt Chart'!R46=0,0)</f>
        <v>0</v>
      </c>
      <c r="F47" s="45">
        <f>_xlfn.IFS('Prepare Gantt Chart'!S46=8,'Project types'!$O47*('Prepare Gantt Chart'!$I46*'Prepare Gantt Chart'!$J46),'Prepare Gantt Chart'!S46=7,'Project types'!$Q47*('Prepare Gantt Chart'!$I46*'Prepare Gantt Chart'!$J46),'Prepare Gantt Chart'!S46=0,0)</f>
        <v>0</v>
      </c>
      <c r="G47" s="45">
        <f>_xlfn.IFS('Prepare Gantt Chart'!T46=8,'Project types'!$O47*('Prepare Gantt Chart'!$I46*'Prepare Gantt Chart'!$J46),'Prepare Gantt Chart'!T46=7,'Project types'!$Q47*('Prepare Gantt Chart'!$I46*'Prepare Gantt Chart'!$J46),'Prepare Gantt Chart'!T46=0,0)</f>
        <v>0</v>
      </c>
      <c r="H47" s="45">
        <f>_xlfn.IFS('Prepare Gantt Chart'!U46=8,'Project types'!$O47*('Prepare Gantt Chart'!$I46*'Prepare Gantt Chart'!$J46),'Prepare Gantt Chart'!U46=7,'Project types'!$Q47*('Prepare Gantt Chart'!$I46*'Prepare Gantt Chart'!$J46),'Prepare Gantt Chart'!U46=0,0)</f>
        <v>0</v>
      </c>
      <c r="I47" s="45">
        <f>_xlfn.IFS('Prepare Gantt Chart'!V46=8,'Project types'!$O47*('Prepare Gantt Chart'!$I46*'Prepare Gantt Chart'!$J46),'Prepare Gantt Chart'!V46=7,'Project types'!$Q47*('Prepare Gantt Chart'!$I46*'Prepare Gantt Chart'!$J46),'Prepare Gantt Chart'!V46=0,0)</f>
        <v>0</v>
      </c>
      <c r="J47" s="45">
        <f>_xlfn.IFS('Prepare Gantt Chart'!W46=8,'Project types'!$O47*('Prepare Gantt Chart'!$I46*'Prepare Gantt Chart'!$J46),'Prepare Gantt Chart'!W46=7,'Project types'!$Q47*('Prepare Gantt Chart'!$I46*'Prepare Gantt Chart'!$J46),'Prepare Gantt Chart'!W46=0,0)</f>
        <v>0</v>
      </c>
      <c r="K47" s="45">
        <f>_xlfn.IFS('Prepare Gantt Chart'!X46=8,'Project types'!$O47*('Prepare Gantt Chart'!$I46*'Prepare Gantt Chart'!$J46),'Prepare Gantt Chart'!X46=7,'Project types'!$Q47*('Prepare Gantt Chart'!$I46*'Prepare Gantt Chart'!$J46),'Prepare Gantt Chart'!X46=0,0)</f>
        <v>0</v>
      </c>
      <c r="L47" s="45">
        <f>_xlfn.IFS('Prepare Gantt Chart'!Y46=8,'Project types'!$O47*('Prepare Gantt Chart'!$I46*'Prepare Gantt Chart'!$J46),'Prepare Gantt Chart'!Y46=7,'Project types'!$Q47*('Prepare Gantt Chart'!$I46*'Prepare Gantt Chart'!$J46),'Prepare Gantt Chart'!Y46=0,0)</f>
        <v>0</v>
      </c>
      <c r="M47" s="45">
        <f>_xlfn.IFS('Prepare Gantt Chart'!Z46=8,'Project types'!$O47*('Prepare Gantt Chart'!$I46*'Prepare Gantt Chart'!$J46),'Prepare Gantt Chart'!Z46=7,'Project types'!$Q47*('Prepare Gantt Chart'!$I46*'Prepare Gantt Chart'!$J46),'Prepare Gantt Chart'!Z46=0,0)</f>
        <v>0</v>
      </c>
      <c r="N47" s="45">
        <f>_xlfn.IFS('Prepare Gantt Chart'!AA46=8,'Project types'!$O47*('Prepare Gantt Chart'!$I46*'Prepare Gantt Chart'!$J46),'Prepare Gantt Chart'!AA46=7,'Project types'!$Q47*('Prepare Gantt Chart'!$I46*'Prepare Gantt Chart'!$J46),'Prepare Gantt Chart'!AA46=0,0)</f>
        <v>0</v>
      </c>
      <c r="O47" s="45">
        <f>_xlfn.IFS('Prepare Gantt Chart'!AB46=8,'Project types'!$O47*('Prepare Gantt Chart'!$I46*'Prepare Gantt Chart'!$J46),'Prepare Gantt Chart'!AB46=7,'Project types'!$Q47*('Prepare Gantt Chart'!$I46*'Prepare Gantt Chart'!$J46),'Prepare Gantt Chart'!AB46=0,0)</f>
        <v>0</v>
      </c>
      <c r="P47" s="45">
        <f>_xlfn.IFS('Prepare Gantt Chart'!AC46=8,'Project types'!$O47*('Prepare Gantt Chart'!$I46*'Prepare Gantt Chart'!$J46),'Prepare Gantt Chart'!AC46=7,'Project types'!$Q47*('Prepare Gantt Chart'!$I46*'Prepare Gantt Chart'!$J46),'Prepare Gantt Chart'!AC46=0,0)</f>
        <v>0</v>
      </c>
      <c r="Q47" s="45">
        <f>_xlfn.IFS('Prepare Gantt Chart'!AD46=8,'Project types'!$O47*('Prepare Gantt Chart'!$I46*'Prepare Gantt Chart'!$J46),'Prepare Gantt Chart'!AD46=7,'Project types'!$Q47*('Prepare Gantt Chart'!$I46*'Prepare Gantt Chart'!$J46),'Prepare Gantt Chart'!AD46=0,0)</f>
        <v>0</v>
      </c>
      <c r="R47" s="45">
        <f>_xlfn.IFS('Prepare Gantt Chart'!AE46=8,'Project types'!$O47*('Prepare Gantt Chart'!$I46*'Prepare Gantt Chart'!$J46),'Prepare Gantt Chart'!AE46=7,'Project types'!$Q47*('Prepare Gantt Chart'!$I46*'Prepare Gantt Chart'!$J46),'Prepare Gantt Chart'!AE46=0,0)</f>
        <v>0</v>
      </c>
      <c r="S47" s="45">
        <f>_xlfn.IFS('Prepare Gantt Chart'!AF46=8,'Project types'!$O47*('Prepare Gantt Chart'!$I46*'Prepare Gantt Chart'!$J46),'Prepare Gantt Chart'!AF46=7,'Project types'!$Q47*('Prepare Gantt Chart'!$I46*'Prepare Gantt Chart'!$J46),'Prepare Gantt Chart'!AF46=0,0)</f>
        <v>0</v>
      </c>
      <c r="T47" s="45">
        <f>_xlfn.IFS('Prepare Gantt Chart'!AG46=8,'Project types'!$O47*('Prepare Gantt Chart'!$I46*'Prepare Gantt Chart'!$J46),'Prepare Gantt Chart'!AG46=7,'Project types'!$Q47*('Prepare Gantt Chart'!$I46*'Prepare Gantt Chart'!$J46),'Prepare Gantt Chart'!AG46=0,0)</f>
        <v>0</v>
      </c>
      <c r="U47" s="45">
        <f>_xlfn.IFS('Prepare Gantt Chart'!AH46=8,'Project types'!$O47*('Prepare Gantt Chart'!$I46*'Prepare Gantt Chart'!$J46),'Prepare Gantt Chart'!AH46=7,'Project types'!$Q47*('Prepare Gantt Chart'!$I46*'Prepare Gantt Chart'!$J46),'Prepare Gantt Chart'!AH46=0,0)</f>
        <v>0</v>
      </c>
      <c r="V47" s="45">
        <f>_xlfn.IFS('Prepare Gantt Chart'!AI46=8,'Project types'!$O47*('Prepare Gantt Chart'!$I46*'Prepare Gantt Chart'!$J46),'Prepare Gantt Chart'!AI46=7,'Project types'!$Q47*('Prepare Gantt Chart'!$I46*'Prepare Gantt Chart'!$J46),'Prepare Gantt Chart'!AI46=0,0)</f>
        <v>0</v>
      </c>
      <c r="W47" s="45">
        <f>_xlfn.IFS('Prepare Gantt Chart'!AJ46=8,'Project types'!$O47*('Prepare Gantt Chart'!$I46*'Prepare Gantt Chart'!$J46),'Prepare Gantt Chart'!AJ46=7,'Project types'!$Q47*('Prepare Gantt Chart'!$I46*'Prepare Gantt Chart'!$J46),'Prepare Gantt Chart'!AJ46=0,0)</f>
        <v>0</v>
      </c>
      <c r="X47" s="45">
        <f>_xlfn.IFS('Prepare Gantt Chart'!AK46=8,'Project types'!$O47*('Prepare Gantt Chart'!$I46*'Prepare Gantt Chart'!$J46),'Prepare Gantt Chart'!AK46=7,'Project types'!$Q47*('Prepare Gantt Chart'!$I46*'Prepare Gantt Chart'!$J46),'Prepare Gantt Chart'!AK46=0,0)</f>
        <v>0</v>
      </c>
      <c r="Y47" s="45">
        <f>_xlfn.IFS('Prepare Gantt Chart'!AL46=8,'Project types'!$O47*('Prepare Gantt Chart'!$I46*'Prepare Gantt Chart'!$J46),'Prepare Gantt Chart'!AL46=7,'Project types'!$Q47*('Prepare Gantt Chart'!$I46*'Prepare Gantt Chart'!$J46),'Prepare Gantt Chart'!AL46=0,0)</f>
        <v>0</v>
      </c>
      <c r="Z47" s="45">
        <f>_xlfn.IFS('Prepare Gantt Chart'!AM46=8,'Project types'!$O47*('Prepare Gantt Chart'!$I46*'Prepare Gantt Chart'!$J46),'Prepare Gantt Chart'!AM46=7,'Project types'!$Q47*('Prepare Gantt Chart'!$I46*'Prepare Gantt Chart'!$J46),'Prepare Gantt Chart'!AM46=0,0)</f>
        <v>0</v>
      </c>
      <c r="AA47" s="45">
        <f>_xlfn.IFS('Prepare Gantt Chart'!AN46=8,'Project types'!$O47*('Prepare Gantt Chart'!$I46*'Prepare Gantt Chart'!$J46),'Prepare Gantt Chart'!AN46=7,'Project types'!$Q47*('Prepare Gantt Chart'!$I46*'Prepare Gantt Chart'!$J46),'Prepare Gantt Chart'!AN46=0,0)</f>
        <v>0</v>
      </c>
      <c r="AB47" s="45">
        <f>_xlfn.IFS('Prepare Gantt Chart'!AO46=8,'Project types'!$O47*('Prepare Gantt Chart'!$I46*'Prepare Gantt Chart'!$J46),'Prepare Gantt Chart'!AO46=7,'Project types'!$Q47*('Prepare Gantt Chart'!$I46*'Prepare Gantt Chart'!$J46),'Prepare Gantt Chart'!AO46=0,0)</f>
        <v>0</v>
      </c>
      <c r="AC47" s="45">
        <f>'Prepare Gantt Chart'!J46*'Prepare Gantt Chart'!I46*(AD47/26)</f>
        <v>0</v>
      </c>
      <c r="AD47" s="46">
        <f t="shared" si="0"/>
        <v>0</v>
      </c>
      <c r="AE47" s="72">
        <f>IF('Prepare Gantt Chart'!$J46=0,0,SUM(C47:H47)/6/'Prepare Gantt Chart'!$J46)</f>
        <v>0</v>
      </c>
      <c r="AF47" s="72">
        <f>IF('Prepare Gantt Chart'!$J46=0,0,SUM(I47:M47)/5/'Prepare Gantt Chart'!$J46)</f>
        <v>0</v>
      </c>
      <c r="AG47" s="72">
        <f>IF('Prepare Gantt Chart'!$J46=0,0,SUM(N47:R47)/5/'Prepare Gantt Chart'!$J46)</f>
        <v>0</v>
      </c>
      <c r="AH47" s="72">
        <f>IF('Prepare Gantt Chart'!$J46=0,0,SUM(S47:W47)/5/'Prepare Gantt Chart'!$J46)</f>
        <v>0</v>
      </c>
      <c r="AI47" s="72">
        <f>IF('Prepare Gantt Chart'!$J46=0,0,SUM(X47:AB47)/5/'Prepare Gantt Chart'!$J46)</f>
        <v>0</v>
      </c>
      <c r="AK47" s="27" t="s">
        <v>400</v>
      </c>
      <c r="AL47" s="45">
        <f>_xlfn.IFS('Prepare Gantt Chart'!P46=8,'Project types'!$L47*('Prepare Gantt Chart'!$I46*'Prepare Gantt Chart'!$J46),'Prepare Gantt Chart'!P46=7,'Project types'!$L47*('Prepare Gantt Chart'!$I46*'Prepare Gantt Chart'!$J46),'Prepare Gantt Chart'!P46=0,0)</f>
        <v>0</v>
      </c>
      <c r="AM47" s="45">
        <f>_xlfn.IFS('Prepare Gantt Chart'!Q46=8,'Project types'!$L47*('Prepare Gantt Chart'!$I46*'Prepare Gantt Chart'!$J46),'Prepare Gantt Chart'!Q46=7,'Project types'!$L47*('Prepare Gantt Chart'!$I46*'Prepare Gantt Chart'!$J46),'Prepare Gantt Chart'!Q46=0,0)</f>
        <v>0</v>
      </c>
      <c r="AN47" s="45">
        <f>_xlfn.IFS('Prepare Gantt Chart'!R46=8,'Project types'!$L47*('Prepare Gantt Chart'!$I46*'Prepare Gantt Chart'!$J46),'Prepare Gantt Chart'!R46=7,'Project types'!$L47*('Prepare Gantt Chart'!$I46*'Prepare Gantt Chart'!$J46),'Prepare Gantt Chart'!R46=0,0)</f>
        <v>0</v>
      </c>
      <c r="AO47" s="45">
        <f>_xlfn.IFS('Prepare Gantt Chart'!S46=8,'Project types'!$L47*('Prepare Gantt Chart'!$I46*'Prepare Gantt Chart'!$J46),'Prepare Gantt Chart'!S46=7,'Project types'!$L47*('Prepare Gantt Chart'!$I46*'Prepare Gantt Chart'!$J46),'Prepare Gantt Chart'!S46=0,0)</f>
        <v>0</v>
      </c>
      <c r="AP47" s="45">
        <f>_xlfn.IFS('Prepare Gantt Chart'!T46=8,'Project types'!$L47*('Prepare Gantt Chart'!$I46*'Prepare Gantt Chart'!$J46),'Prepare Gantt Chart'!T46=7,'Project types'!$L47*('Prepare Gantt Chart'!$I46*'Prepare Gantt Chart'!$J46),'Prepare Gantt Chart'!T46=0,0)</f>
        <v>0</v>
      </c>
      <c r="AQ47" s="45">
        <f>_xlfn.IFS('Prepare Gantt Chart'!U46=8,'Project types'!$L47*('Prepare Gantt Chart'!$I46*'Prepare Gantt Chart'!$J46),'Prepare Gantt Chart'!U46=7,'Project types'!$L47*('Prepare Gantt Chart'!$I46*'Prepare Gantt Chart'!$J46),'Prepare Gantt Chart'!U46=0,0)</f>
        <v>0</v>
      </c>
      <c r="AR47" s="45">
        <f>_xlfn.IFS('Prepare Gantt Chart'!V46=8,'Project types'!$L47*('Prepare Gantt Chart'!$I46*'Prepare Gantt Chart'!$J46),'Prepare Gantt Chart'!V46=7,'Project types'!$L47*('Prepare Gantt Chart'!$I46*'Prepare Gantt Chart'!$J46),'Prepare Gantt Chart'!V46=0,0)</f>
        <v>0</v>
      </c>
      <c r="AS47" s="45">
        <f>_xlfn.IFS('Prepare Gantt Chart'!W46=8,'Project types'!$L47*('Prepare Gantt Chart'!$I46*'Prepare Gantt Chart'!$J46),'Prepare Gantt Chart'!W46=7,'Project types'!$L47*('Prepare Gantt Chart'!$I46*'Prepare Gantt Chart'!$J46),'Prepare Gantt Chart'!W46=0,0)</f>
        <v>0</v>
      </c>
      <c r="AT47" s="45">
        <f>_xlfn.IFS('Prepare Gantt Chart'!X46=8,'Project types'!$L47*('Prepare Gantt Chart'!$I46*'Prepare Gantt Chart'!$J46),'Prepare Gantt Chart'!X46=7,'Project types'!$L47*('Prepare Gantt Chart'!$I46*'Prepare Gantt Chart'!$J46),'Prepare Gantt Chart'!X46=0,0)</f>
        <v>0</v>
      </c>
      <c r="AU47" s="45">
        <f>_xlfn.IFS('Prepare Gantt Chart'!Y46=8,'Project types'!$L47*('Prepare Gantt Chart'!$I46*'Prepare Gantt Chart'!$J46),'Prepare Gantt Chart'!Y46=7,'Project types'!$L47*('Prepare Gantt Chart'!$I46*'Prepare Gantt Chart'!$J46),'Prepare Gantt Chart'!Y46=0,0)</f>
        <v>0</v>
      </c>
      <c r="AV47" s="45">
        <f>_xlfn.IFS('Prepare Gantt Chart'!Z46=8,'Project types'!$L47*('Prepare Gantt Chart'!$I46*'Prepare Gantt Chart'!$J46),'Prepare Gantt Chart'!Z46=7,'Project types'!$L47*('Prepare Gantt Chart'!$I46*'Prepare Gantt Chart'!$J46),'Prepare Gantt Chart'!Z46=0,0)</f>
        <v>0</v>
      </c>
      <c r="AW47" s="45">
        <f>_xlfn.IFS('Prepare Gantt Chart'!AA46=8,'Project types'!$L47*('Prepare Gantt Chart'!$I46*'Prepare Gantt Chart'!$J46),'Prepare Gantt Chart'!AA46=7,'Project types'!$L47*('Prepare Gantt Chart'!$I46*'Prepare Gantt Chart'!$J46),'Prepare Gantt Chart'!AA46=0,0)</f>
        <v>0</v>
      </c>
      <c r="AX47" s="45">
        <f>_xlfn.IFS('Prepare Gantt Chart'!AB46=8,'Project types'!$L47*('Prepare Gantt Chart'!$I46*'Prepare Gantt Chart'!$J46),'Prepare Gantt Chart'!AB46=7,'Project types'!$L47*('Prepare Gantt Chart'!$I46*'Prepare Gantt Chart'!$J46),'Prepare Gantt Chart'!AB46=0,0)</f>
        <v>0</v>
      </c>
      <c r="AY47" s="45">
        <f>_xlfn.IFS('Prepare Gantt Chart'!AC46=8,'Project types'!$L47*('Prepare Gantt Chart'!$I46*'Prepare Gantt Chart'!$J46),'Prepare Gantt Chart'!AC46=7,'Project types'!$L47*('Prepare Gantt Chart'!$I46*'Prepare Gantt Chart'!$J46),'Prepare Gantt Chart'!AC46=0,0)</f>
        <v>0</v>
      </c>
      <c r="AZ47" s="45">
        <f>_xlfn.IFS('Prepare Gantt Chart'!AD46=8,'Project types'!$L47*('Prepare Gantt Chart'!$I46*'Prepare Gantt Chart'!$J46),'Prepare Gantt Chart'!AD46=7,'Project types'!$L47*('Prepare Gantt Chart'!$I46*'Prepare Gantt Chart'!$J46),'Prepare Gantt Chart'!AD46=0,0)</f>
        <v>0</v>
      </c>
      <c r="BA47" s="45">
        <f>_xlfn.IFS('Prepare Gantt Chart'!AE46=8,'Project types'!$L47*('Prepare Gantt Chart'!$I46*'Prepare Gantt Chart'!$J46),'Prepare Gantt Chart'!AE46=7,'Project types'!$L47*('Prepare Gantt Chart'!$I46*'Prepare Gantt Chart'!$J46),'Prepare Gantt Chart'!AE46=0,0)</f>
        <v>0</v>
      </c>
      <c r="BB47" s="45">
        <f>_xlfn.IFS('Prepare Gantt Chart'!AF46=8,'Project types'!$L47*('Prepare Gantt Chart'!$I46*'Prepare Gantt Chart'!$J46),'Prepare Gantt Chart'!AF46=7,'Project types'!$L47*('Prepare Gantt Chart'!$I46*'Prepare Gantt Chart'!$J46),'Prepare Gantt Chart'!AF46=0,0)</f>
        <v>0</v>
      </c>
      <c r="BC47" s="45">
        <f>_xlfn.IFS('Prepare Gantt Chart'!AG46=8,'Project types'!$L47*('Prepare Gantt Chart'!$I46*'Prepare Gantt Chart'!$J46),'Prepare Gantt Chart'!AG46=7,'Project types'!$L47*('Prepare Gantt Chart'!$I46*'Prepare Gantt Chart'!$J46),'Prepare Gantt Chart'!AG46=0,0)</f>
        <v>0</v>
      </c>
      <c r="BD47" s="45">
        <f>_xlfn.IFS('Prepare Gantt Chart'!AH46=8,'Project types'!$L47*('Prepare Gantt Chart'!$I46*'Prepare Gantt Chart'!$J46),'Prepare Gantt Chart'!AH46=7,'Project types'!$L47*('Prepare Gantt Chart'!$I46*'Prepare Gantt Chart'!$J46),'Prepare Gantt Chart'!AH46=0,0)</f>
        <v>0</v>
      </c>
      <c r="BE47" s="45">
        <f>_xlfn.IFS('Prepare Gantt Chart'!AI46=8,'Project types'!$L47*('Prepare Gantt Chart'!$I46*'Prepare Gantt Chart'!$J46),'Prepare Gantt Chart'!AI46=7,'Project types'!$L47*('Prepare Gantt Chart'!$I46*'Prepare Gantt Chart'!$J46),'Prepare Gantt Chart'!AI46=0,0)</f>
        <v>0</v>
      </c>
      <c r="BF47" s="45">
        <f>_xlfn.IFS('Prepare Gantt Chart'!AJ46=8,'Project types'!$L47*('Prepare Gantt Chart'!$I46*'Prepare Gantt Chart'!$J46),'Prepare Gantt Chart'!AJ46=7,'Project types'!$L47*('Prepare Gantt Chart'!$I46*'Prepare Gantt Chart'!$J46),'Prepare Gantt Chart'!AJ46=0,0)</f>
        <v>0</v>
      </c>
      <c r="BG47" s="45">
        <f>_xlfn.IFS('Prepare Gantt Chart'!AK46=8,'Project types'!$L47*('Prepare Gantt Chart'!$I46*'Prepare Gantt Chart'!$J46),'Prepare Gantt Chart'!AK46=7,'Project types'!$L47*('Prepare Gantt Chart'!$I46*'Prepare Gantt Chart'!$J46),'Prepare Gantt Chart'!AK46=0,0)</f>
        <v>0</v>
      </c>
      <c r="BH47" s="45">
        <f>_xlfn.IFS('Prepare Gantt Chart'!AL46=8,'Project types'!$L47*('Prepare Gantt Chart'!$I46*'Prepare Gantt Chart'!$J46),'Prepare Gantt Chart'!AL46=7,'Project types'!$L47*('Prepare Gantt Chart'!$I46*'Prepare Gantt Chart'!$J46),'Prepare Gantt Chart'!AL46=0,0)</f>
        <v>0</v>
      </c>
      <c r="BI47" s="45">
        <f>_xlfn.IFS('Prepare Gantt Chart'!AM46=8,'Project types'!$L47*('Prepare Gantt Chart'!$I46*'Prepare Gantt Chart'!$J46),'Prepare Gantt Chart'!AM46=7,'Project types'!$L47*('Prepare Gantt Chart'!$I46*'Prepare Gantt Chart'!$J46),'Prepare Gantt Chart'!AM46=0,0)</f>
        <v>0</v>
      </c>
      <c r="BJ47" s="45">
        <f>_xlfn.IFS('Prepare Gantt Chart'!AN46=8,'Project types'!$L47*('Prepare Gantt Chart'!$I46*'Prepare Gantt Chart'!$J46),'Prepare Gantt Chart'!AN46=7,'Project types'!$L47*('Prepare Gantt Chart'!$I46*'Prepare Gantt Chart'!$J46),'Prepare Gantt Chart'!AN46=0,0)</f>
        <v>0</v>
      </c>
      <c r="BK47" s="45">
        <f>_xlfn.IFS('Prepare Gantt Chart'!AO46=8,'Project types'!$L47*('Prepare Gantt Chart'!$I46*'Prepare Gantt Chart'!$J46),'Prepare Gantt Chart'!AO46=7,'Project types'!$L47*('Prepare Gantt Chart'!$I46*'Prepare Gantt Chart'!$J46),'Prepare Gantt Chart'!AO46=0,0)</f>
        <v>0</v>
      </c>
      <c r="BL47" s="46">
        <f t="shared" si="1"/>
        <v>0</v>
      </c>
      <c r="BM47" s="75">
        <f>IF('Prepare Gantt Chart'!$J46=0,0,SUM(AL47:AQ47)/6/'Prepare Gantt Chart'!$J46)</f>
        <v>0</v>
      </c>
      <c r="BN47" s="75">
        <f>IF('Prepare Gantt Chart'!$J46=0,0,SUM(AR47:AV47)/5/'Prepare Gantt Chart'!$J46)</f>
        <v>0</v>
      </c>
      <c r="BO47" s="75">
        <f>IF('Prepare Gantt Chart'!$J46=0,0,SUM(AW47:BA47)/5/'Prepare Gantt Chart'!$J46)</f>
        <v>0</v>
      </c>
      <c r="BP47" s="75">
        <f>IF('Prepare Gantt Chart'!$J46=0,0,SUM(BB47:BF47)/5/'Prepare Gantt Chart'!$J46)</f>
        <v>0</v>
      </c>
      <c r="BQ47" s="75">
        <f>IF('Prepare Gantt Chart'!$J46=0,0,SUM(BG47:BK47)/5/'Prepare Gantt Chart'!$J46)</f>
        <v>0</v>
      </c>
    </row>
    <row r="48" spans="1:69" x14ac:dyDescent="0.2">
      <c r="A48" s="27" t="s">
        <v>401</v>
      </c>
      <c r="B48" s="1" t="s">
        <v>128</v>
      </c>
      <c r="C48" s="45">
        <f>_xlfn.IFS('Prepare Gantt Chart'!P47=8,'Project types'!$O48*('Prepare Gantt Chart'!$I47*'Prepare Gantt Chart'!$J47),'Prepare Gantt Chart'!P47=7,'Project types'!$Q48*('Prepare Gantt Chart'!$I47*'Prepare Gantt Chart'!$J47),'Prepare Gantt Chart'!P47=0,0)</f>
        <v>0</v>
      </c>
      <c r="D48" s="45">
        <f>_xlfn.IFS('Prepare Gantt Chart'!Q47=8,'Project types'!$O48*('Prepare Gantt Chart'!$I47*'Prepare Gantt Chart'!$J47),'Prepare Gantt Chart'!Q47=7,'Project types'!$Q48*('Prepare Gantt Chart'!$I47*'Prepare Gantt Chart'!$J47),'Prepare Gantt Chart'!Q47=0,0)</f>
        <v>0</v>
      </c>
      <c r="E48" s="45">
        <f>_xlfn.IFS('Prepare Gantt Chart'!R47=8,'Project types'!$O48*('Prepare Gantt Chart'!$I47*'Prepare Gantt Chart'!$J47),'Prepare Gantt Chart'!R47=7,'Project types'!$Q48*('Prepare Gantt Chart'!$I47*'Prepare Gantt Chart'!$J47),'Prepare Gantt Chart'!R47=0,0)</f>
        <v>0</v>
      </c>
      <c r="F48" s="45">
        <f>_xlfn.IFS('Prepare Gantt Chart'!S47=8,'Project types'!$O48*('Prepare Gantt Chart'!$I47*'Prepare Gantt Chart'!$J47),'Prepare Gantt Chart'!S47=7,'Project types'!$Q48*('Prepare Gantt Chart'!$I47*'Prepare Gantt Chart'!$J47),'Prepare Gantt Chart'!S47=0,0)</f>
        <v>0</v>
      </c>
      <c r="G48" s="45">
        <f>_xlfn.IFS('Prepare Gantt Chart'!T47=8,'Project types'!$O48*('Prepare Gantt Chart'!$I47*'Prepare Gantt Chart'!$J47),'Prepare Gantt Chart'!T47=7,'Project types'!$Q48*('Prepare Gantt Chart'!$I47*'Prepare Gantt Chart'!$J47),'Prepare Gantt Chart'!T47=0,0)</f>
        <v>0</v>
      </c>
      <c r="H48" s="45">
        <f>_xlfn.IFS('Prepare Gantt Chart'!U47=8,'Project types'!$O48*('Prepare Gantt Chart'!$I47*'Prepare Gantt Chart'!$J47),'Prepare Gantt Chart'!U47=7,'Project types'!$Q48*('Prepare Gantt Chart'!$I47*'Prepare Gantt Chart'!$J47),'Prepare Gantt Chart'!U47=0,0)</f>
        <v>0</v>
      </c>
      <c r="I48" s="45">
        <f>_xlfn.IFS('Prepare Gantt Chart'!V47=8,'Project types'!$O48*('Prepare Gantt Chart'!$I47*'Prepare Gantt Chart'!$J47),'Prepare Gantt Chart'!V47=7,'Project types'!$Q48*('Prepare Gantt Chart'!$I47*'Prepare Gantt Chart'!$J47),'Prepare Gantt Chart'!V47=0,0)</f>
        <v>0</v>
      </c>
      <c r="J48" s="45">
        <f>_xlfn.IFS('Prepare Gantt Chart'!W47=8,'Project types'!$O48*('Prepare Gantt Chart'!$I47*'Prepare Gantt Chart'!$J47),'Prepare Gantt Chart'!W47=7,'Project types'!$Q48*('Prepare Gantt Chart'!$I47*'Prepare Gantt Chart'!$J47),'Prepare Gantt Chart'!W47=0,0)</f>
        <v>0</v>
      </c>
      <c r="K48" s="45">
        <f>_xlfn.IFS('Prepare Gantt Chart'!X47=8,'Project types'!$O48*('Prepare Gantt Chart'!$I47*'Prepare Gantt Chart'!$J47),'Prepare Gantt Chart'!X47=7,'Project types'!$Q48*('Prepare Gantt Chart'!$I47*'Prepare Gantt Chart'!$J47),'Prepare Gantt Chart'!X47=0,0)</f>
        <v>0</v>
      </c>
      <c r="L48" s="45">
        <f>_xlfn.IFS('Prepare Gantt Chart'!Y47=8,'Project types'!$O48*('Prepare Gantt Chart'!$I47*'Prepare Gantt Chart'!$J47),'Prepare Gantt Chart'!Y47=7,'Project types'!$Q48*('Prepare Gantt Chart'!$I47*'Prepare Gantt Chart'!$J47),'Prepare Gantt Chart'!Y47=0,0)</f>
        <v>0</v>
      </c>
      <c r="M48" s="45">
        <f>_xlfn.IFS('Prepare Gantt Chart'!Z47=8,'Project types'!$O48*('Prepare Gantt Chart'!$I47*'Prepare Gantt Chart'!$J47),'Prepare Gantt Chart'!Z47=7,'Project types'!$Q48*('Prepare Gantt Chart'!$I47*'Prepare Gantt Chart'!$J47),'Prepare Gantt Chart'!Z47=0,0)</f>
        <v>0</v>
      </c>
      <c r="N48" s="45">
        <f>_xlfn.IFS('Prepare Gantt Chart'!AA47=8,'Project types'!$O48*('Prepare Gantt Chart'!$I47*'Prepare Gantt Chart'!$J47),'Prepare Gantt Chart'!AA47=7,'Project types'!$Q48*('Prepare Gantt Chart'!$I47*'Prepare Gantt Chart'!$J47),'Prepare Gantt Chart'!AA47=0,0)</f>
        <v>0</v>
      </c>
      <c r="O48" s="45">
        <f>_xlfn.IFS('Prepare Gantt Chart'!AB47=8,'Project types'!$O48*('Prepare Gantt Chart'!$I47*'Prepare Gantt Chart'!$J47),'Prepare Gantt Chart'!AB47=7,'Project types'!$Q48*('Prepare Gantt Chart'!$I47*'Prepare Gantt Chart'!$J47),'Prepare Gantt Chart'!AB47=0,0)</f>
        <v>0</v>
      </c>
      <c r="P48" s="45">
        <f>_xlfn.IFS('Prepare Gantt Chart'!AC47=8,'Project types'!$O48*('Prepare Gantt Chart'!$I47*'Prepare Gantt Chart'!$J47),'Prepare Gantt Chart'!AC47=7,'Project types'!$Q48*('Prepare Gantt Chart'!$I47*'Prepare Gantt Chart'!$J47),'Prepare Gantt Chart'!AC47=0,0)</f>
        <v>0</v>
      </c>
      <c r="Q48" s="45">
        <f>_xlfn.IFS('Prepare Gantt Chart'!AD47=8,'Project types'!$O48*('Prepare Gantt Chart'!$I47*'Prepare Gantt Chart'!$J47),'Prepare Gantt Chart'!AD47=7,'Project types'!$Q48*('Prepare Gantt Chart'!$I47*'Prepare Gantt Chart'!$J47),'Prepare Gantt Chart'!AD47=0,0)</f>
        <v>0</v>
      </c>
      <c r="R48" s="45">
        <f>_xlfn.IFS('Prepare Gantt Chart'!AE47=8,'Project types'!$O48*('Prepare Gantt Chart'!$I47*'Prepare Gantt Chart'!$J47),'Prepare Gantt Chart'!AE47=7,'Project types'!$Q48*('Prepare Gantt Chart'!$I47*'Prepare Gantt Chart'!$J47),'Prepare Gantt Chart'!AE47=0,0)</f>
        <v>0</v>
      </c>
      <c r="S48" s="45">
        <f>_xlfn.IFS('Prepare Gantt Chart'!AF47=8,'Project types'!$O48*('Prepare Gantt Chart'!$I47*'Prepare Gantt Chart'!$J47),'Prepare Gantt Chart'!AF47=7,'Project types'!$Q48*('Prepare Gantt Chart'!$I47*'Prepare Gantt Chart'!$J47),'Prepare Gantt Chart'!AF47=0,0)</f>
        <v>0</v>
      </c>
      <c r="T48" s="45">
        <f>_xlfn.IFS('Prepare Gantt Chart'!AG47=8,'Project types'!$O48*('Prepare Gantt Chart'!$I47*'Prepare Gantt Chart'!$J47),'Prepare Gantt Chart'!AG47=7,'Project types'!$Q48*('Prepare Gantt Chart'!$I47*'Prepare Gantt Chart'!$J47),'Prepare Gantt Chart'!AG47=0,0)</f>
        <v>0</v>
      </c>
      <c r="U48" s="45">
        <f>_xlfn.IFS('Prepare Gantt Chart'!AH47=8,'Project types'!$O48*('Prepare Gantt Chart'!$I47*'Prepare Gantt Chart'!$J47),'Prepare Gantt Chart'!AH47=7,'Project types'!$Q48*('Prepare Gantt Chart'!$I47*'Prepare Gantt Chart'!$J47),'Prepare Gantt Chart'!AH47=0,0)</f>
        <v>0</v>
      </c>
      <c r="V48" s="45">
        <f>_xlfn.IFS('Prepare Gantt Chart'!AI47=8,'Project types'!$O48*('Prepare Gantt Chart'!$I47*'Prepare Gantt Chart'!$J47),'Prepare Gantt Chart'!AI47=7,'Project types'!$Q48*('Prepare Gantt Chart'!$I47*'Prepare Gantt Chart'!$J47),'Prepare Gantt Chart'!AI47=0,0)</f>
        <v>0</v>
      </c>
      <c r="W48" s="45">
        <f>_xlfn.IFS('Prepare Gantt Chart'!AJ47=8,'Project types'!$O48*('Prepare Gantt Chart'!$I47*'Prepare Gantt Chart'!$J47),'Prepare Gantt Chart'!AJ47=7,'Project types'!$Q48*('Prepare Gantt Chart'!$I47*'Prepare Gantt Chart'!$J47),'Prepare Gantt Chart'!AJ47=0,0)</f>
        <v>0</v>
      </c>
      <c r="X48" s="45">
        <f>_xlfn.IFS('Prepare Gantt Chart'!AK47=8,'Project types'!$O48*('Prepare Gantt Chart'!$I47*'Prepare Gantt Chart'!$J47),'Prepare Gantt Chart'!AK47=7,'Project types'!$Q48*('Prepare Gantt Chart'!$I47*'Prepare Gantt Chart'!$J47),'Prepare Gantt Chart'!AK47=0,0)</f>
        <v>0</v>
      </c>
      <c r="Y48" s="45">
        <f>_xlfn.IFS('Prepare Gantt Chart'!AL47=8,'Project types'!$O48*('Prepare Gantt Chart'!$I47*'Prepare Gantt Chart'!$J47),'Prepare Gantt Chart'!AL47=7,'Project types'!$Q48*('Prepare Gantt Chart'!$I47*'Prepare Gantt Chart'!$J47),'Prepare Gantt Chart'!AL47=0,0)</f>
        <v>0</v>
      </c>
      <c r="Z48" s="45">
        <f>_xlfn.IFS('Prepare Gantt Chart'!AM47=8,'Project types'!$O48*('Prepare Gantt Chart'!$I47*'Prepare Gantt Chart'!$J47),'Prepare Gantt Chart'!AM47=7,'Project types'!$Q48*('Prepare Gantt Chart'!$I47*'Prepare Gantt Chart'!$J47),'Prepare Gantt Chart'!AM47=0,0)</f>
        <v>0</v>
      </c>
      <c r="AA48" s="45">
        <f>_xlfn.IFS('Prepare Gantt Chart'!AN47=8,'Project types'!$O48*('Prepare Gantt Chart'!$I47*'Prepare Gantt Chart'!$J47),'Prepare Gantt Chart'!AN47=7,'Project types'!$Q48*('Prepare Gantt Chart'!$I47*'Prepare Gantt Chart'!$J47),'Prepare Gantt Chart'!AN47=0,0)</f>
        <v>0</v>
      </c>
      <c r="AB48" s="45">
        <f>_xlfn.IFS('Prepare Gantt Chart'!AO47=8,'Project types'!$O48*('Prepare Gantt Chart'!$I47*'Prepare Gantt Chart'!$J47),'Prepare Gantt Chart'!AO47=7,'Project types'!$Q48*('Prepare Gantt Chart'!$I47*'Prepare Gantt Chart'!$J47),'Prepare Gantt Chart'!AO47=0,0)</f>
        <v>0</v>
      </c>
      <c r="AC48" s="45">
        <f>'Prepare Gantt Chart'!J47*'Prepare Gantt Chart'!I47*(AD48/26)</f>
        <v>0</v>
      </c>
      <c r="AD48" s="46">
        <f t="shared" si="0"/>
        <v>0</v>
      </c>
      <c r="AE48" s="72">
        <f>IF('Prepare Gantt Chart'!$J47=0,0,SUM(C48:H48)/6/'Prepare Gantt Chart'!$J47)</f>
        <v>0</v>
      </c>
      <c r="AF48" s="72">
        <f>IF('Prepare Gantt Chart'!$J47=0,0,SUM(I48:M48)/5/'Prepare Gantt Chart'!$J47)</f>
        <v>0</v>
      </c>
      <c r="AG48" s="72">
        <f>IF('Prepare Gantt Chart'!$J47=0,0,SUM(N48:R48)/5/'Prepare Gantt Chart'!$J47)</f>
        <v>0</v>
      </c>
      <c r="AH48" s="72">
        <f>IF('Prepare Gantt Chart'!$J47=0,0,SUM(S48:W48)/5/'Prepare Gantt Chart'!$J47)</f>
        <v>0</v>
      </c>
      <c r="AI48" s="72">
        <f>IF('Prepare Gantt Chart'!$J47=0,0,SUM(X48:AB48)/5/'Prepare Gantt Chart'!$J47)</f>
        <v>0</v>
      </c>
      <c r="AK48" s="27" t="s">
        <v>401</v>
      </c>
      <c r="AL48" s="45">
        <f>_xlfn.IFS('Prepare Gantt Chart'!P47=8,'Project types'!$L48*('Prepare Gantt Chart'!$I47*'Prepare Gantt Chart'!$J47),'Prepare Gantt Chart'!P47=7,'Project types'!$L48*('Prepare Gantt Chart'!$I47*'Prepare Gantt Chart'!$J47),'Prepare Gantt Chart'!P47=0,0)</f>
        <v>0</v>
      </c>
      <c r="AM48" s="45">
        <f>_xlfn.IFS('Prepare Gantt Chart'!Q47=8,'Project types'!$L48*('Prepare Gantt Chart'!$I47*'Prepare Gantt Chart'!$J47),'Prepare Gantt Chart'!Q47=7,'Project types'!$L48*('Prepare Gantt Chart'!$I47*'Prepare Gantt Chart'!$J47),'Prepare Gantt Chart'!Q47=0,0)</f>
        <v>0</v>
      </c>
      <c r="AN48" s="45">
        <f>_xlfn.IFS('Prepare Gantt Chart'!R47=8,'Project types'!$L48*('Prepare Gantt Chart'!$I47*'Prepare Gantt Chart'!$J47),'Prepare Gantt Chart'!R47=7,'Project types'!$L48*('Prepare Gantt Chart'!$I47*'Prepare Gantt Chart'!$J47),'Prepare Gantt Chart'!R47=0,0)</f>
        <v>0</v>
      </c>
      <c r="AO48" s="45">
        <f>_xlfn.IFS('Prepare Gantt Chart'!S47=8,'Project types'!$L48*('Prepare Gantt Chart'!$I47*'Prepare Gantt Chart'!$J47),'Prepare Gantt Chart'!S47=7,'Project types'!$L48*('Prepare Gantt Chart'!$I47*'Prepare Gantt Chart'!$J47),'Prepare Gantt Chart'!S47=0,0)</f>
        <v>0</v>
      </c>
      <c r="AP48" s="45">
        <f>_xlfn.IFS('Prepare Gantt Chart'!T47=8,'Project types'!$L48*('Prepare Gantt Chart'!$I47*'Prepare Gantt Chart'!$J47),'Prepare Gantt Chart'!T47=7,'Project types'!$L48*('Prepare Gantt Chart'!$I47*'Prepare Gantt Chart'!$J47),'Prepare Gantt Chart'!T47=0,0)</f>
        <v>0</v>
      </c>
      <c r="AQ48" s="45">
        <f>_xlfn.IFS('Prepare Gantt Chart'!U47=8,'Project types'!$L48*('Prepare Gantt Chart'!$I47*'Prepare Gantt Chart'!$J47),'Prepare Gantt Chart'!U47=7,'Project types'!$L48*('Prepare Gantt Chart'!$I47*'Prepare Gantt Chart'!$J47),'Prepare Gantt Chart'!U47=0,0)</f>
        <v>0</v>
      </c>
      <c r="AR48" s="45">
        <f>_xlfn.IFS('Prepare Gantt Chart'!V47=8,'Project types'!$L48*('Prepare Gantt Chart'!$I47*'Prepare Gantt Chart'!$J47),'Prepare Gantt Chart'!V47=7,'Project types'!$L48*('Prepare Gantt Chart'!$I47*'Prepare Gantt Chart'!$J47),'Prepare Gantt Chart'!V47=0,0)</f>
        <v>0</v>
      </c>
      <c r="AS48" s="45">
        <f>_xlfn.IFS('Prepare Gantt Chart'!W47=8,'Project types'!$L48*('Prepare Gantt Chart'!$I47*'Prepare Gantt Chart'!$J47),'Prepare Gantt Chart'!W47=7,'Project types'!$L48*('Prepare Gantt Chart'!$I47*'Prepare Gantt Chart'!$J47),'Prepare Gantt Chart'!W47=0,0)</f>
        <v>0</v>
      </c>
      <c r="AT48" s="45">
        <f>_xlfn.IFS('Prepare Gantt Chart'!X47=8,'Project types'!$L48*('Prepare Gantt Chart'!$I47*'Prepare Gantt Chart'!$J47),'Prepare Gantt Chart'!X47=7,'Project types'!$L48*('Prepare Gantt Chart'!$I47*'Prepare Gantt Chart'!$J47),'Prepare Gantt Chart'!X47=0,0)</f>
        <v>0</v>
      </c>
      <c r="AU48" s="45">
        <f>_xlfn.IFS('Prepare Gantt Chart'!Y47=8,'Project types'!$L48*('Prepare Gantt Chart'!$I47*'Prepare Gantt Chart'!$J47),'Prepare Gantt Chart'!Y47=7,'Project types'!$L48*('Prepare Gantt Chart'!$I47*'Prepare Gantt Chart'!$J47),'Prepare Gantt Chart'!Y47=0,0)</f>
        <v>0</v>
      </c>
      <c r="AV48" s="45">
        <f>_xlfn.IFS('Prepare Gantt Chart'!Z47=8,'Project types'!$L48*('Prepare Gantt Chart'!$I47*'Prepare Gantt Chart'!$J47),'Prepare Gantt Chart'!Z47=7,'Project types'!$L48*('Prepare Gantt Chart'!$I47*'Prepare Gantt Chart'!$J47),'Prepare Gantt Chart'!Z47=0,0)</f>
        <v>0</v>
      </c>
      <c r="AW48" s="45">
        <f>_xlfn.IFS('Prepare Gantt Chart'!AA47=8,'Project types'!$L48*('Prepare Gantt Chart'!$I47*'Prepare Gantt Chart'!$J47),'Prepare Gantt Chart'!AA47=7,'Project types'!$L48*('Prepare Gantt Chart'!$I47*'Prepare Gantt Chart'!$J47),'Prepare Gantt Chart'!AA47=0,0)</f>
        <v>0</v>
      </c>
      <c r="AX48" s="45">
        <f>_xlfn.IFS('Prepare Gantt Chart'!AB47=8,'Project types'!$L48*('Prepare Gantt Chart'!$I47*'Prepare Gantt Chart'!$J47),'Prepare Gantt Chart'!AB47=7,'Project types'!$L48*('Prepare Gantt Chart'!$I47*'Prepare Gantt Chart'!$J47),'Prepare Gantt Chart'!AB47=0,0)</f>
        <v>0</v>
      </c>
      <c r="AY48" s="45">
        <f>_xlfn.IFS('Prepare Gantt Chart'!AC47=8,'Project types'!$L48*('Prepare Gantt Chart'!$I47*'Prepare Gantt Chart'!$J47),'Prepare Gantt Chart'!AC47=7,'Project types'!$L48*('Prepare Gantt Chart'!$I47*'Prepare Gantt Chart'!$J47),'Prepare Gantt Chart'!AC47=0,0)</f>
        <v>0</v>
      </c>
      <c r="AZ48" s="45">
        <f>_xlfn.IFS('Prepare Gantt Chart'!AD47=8,'Project types'!$L48*('Prepare Gantt Chart'!$I47*'Prepare Gantt Chart'!$J47),'Prepare Gantt Chart'!AD47=7,'Project types'!$L48*('Prepare Gantt Chart'!$I47*'Prepare Gantt Chart'!$J47),'Prepare Gantt Chart'!AD47=0,0)</f>
        <v>0</v>
      </c>
      <c r="BA48" s="45">
        <f>_xlfn.IFS('Prepare Gantt Chart'!AE47=8,'Project types'!$L48*('Prepare Gantt Chart'!$I47*'Prepare Gantt Chart'!$J47),'Prepare Gantt Chart'!AE47=7,'Project types'!$L48*('Prepare Gantt Chart'!$I47*'Prepare Gantt Chart'!$J47),'Prepare Gantt Chart'!AE47=0,0)</f>
        <v>0</v>
      </c>
      <c r="BB48" s="45">
        <f>_xlfn.IFS('Prepare Gantt Chart'!AF47=8,'Project types'!$L48*('Prepare Gantt Chart'!$I47*'Prepare Gantt Chart'!$J47),'Prepare Gantt Chart'!AF47=7,'Project types'!$L48*('Prepare Gantt Chart'!$I47*'Prepare Gantt Chart'!$J47),'Prepare Gantt Chart'!AF47=0,0)</f>
        <v>0</v>
      </c>
      <c r="BC48" s="45">
        <f>_xlfn.IFS('Prepare Gantt Chart'!AG47=8,'Project types'!$L48*('Prepare Gantt Chart'!$I47*'Prepare Gantt Chart'!$J47),'Prepare Gantt Chart'!AG47=7,'Project types'!$L48*('Prepare Gantt Chart'!$I47*'Prepare Gantt Chart'!$J47),'Prepare Gantt Chart'!AG47=0,0)</f>
        <v>0</v>
      </c>
      <c r="BD48" s="45">
        <f>_xlfn.IFS('Prepare Gantt Chart'!AH47=8,'Project types'!$L48*('Prepare Gantt Chart'!$I47*'Prepare Gantt Chart'!$J47),'Prepare Gantt Chart'!AH47=7,'Project types'!$L48*('Prepare Gantt Chart'!$I47*'Prepare Gantt Chart'!$J47),'Prepare Gantt Chart'!AH47=0,0)</f>
        <v>0</v>
      </c>
      <c r="BE48" s="45">
        <f>_xlfn.IFS('Prepare Gantt Chart'!AI47=8,'Project types'!$L48*('Prepare Gantt Chart'!$I47*'Prepare Gantt Chart'!$J47),'Prepare Gantt Chart'!AI47=7,'Project types'!$L48*('Prepare Gantt Chart'!$I47*'Prepare Gantt Chart'!$J47),'Prepare Gantt Chart'!AI47=0,0)</f>
        <v>0</v>
      </c>
      <c r="BF48" s="45">
        <f>_xlfn.IFS('Prepare Gantt Chart'!AJ47=8,'Project types'!$L48*('Prepare Gantt Chart'!$I47*'Prepare Gantt Chart'!$J47),'Prepare Gantt Chart'!AJ47=7,'Project types'!$L48*('Prepare Gantt Chart'!$I47*'Prepare Gantt Chart'!$J47),'Prepare Gantt Chart'!AJ47=0,0)</f>
        <v>0</v>
      </c>
      <c r="BG48" s="45">
        <f>_xlfn.IFS('Prepare Gantt Chart'!AK47=8,'Project types'!$L48*('Prepare Gantt Chart'!$I47*'Prepare Gantt Chart'!$J47),'Prepare Gantt Chart'!AK47=7,'Project types'!$L48*('Prepare Gantt Chart'!$I47*'Prepare Gantt Chart'!$J47),'Prepare Gantt Chart'!AK47=0,0)</f>
        <v>0</v>
      </c>
      <c r="BH48" s="45">
        <f>_xlfn.IFS('Prepare Gantt Chart'!AL47=8,'Project types'!$L48*('Prepare Gantt Chart'!$I47*'Prepare Gantt Chart'!$J47),'Prepare Gantt Chart'!AL47=7,'Project types'!$L48*('Prepare Gantt Chart'!$I47*'Prepare Gantt Chart'!$J47),'Prepare Gantt Chart'!AL47=0,0)</f>
        <v>0</v>
      </c>
      <c r="BI48" s="45">
        <f>_xlfn.IFS('Prepare Gantt Chart'!AM47=8,'Project types'!$L48*('Prepare Gantt Chart'!$I47*'Prepare Gantt Chart'!$J47),'Prepare Gantt Chart'!AM47=7,'Project types'!$L48*('Prepare Gantt Chart'!$I47*'Prepare Gantt Chart'!$J47),'Prepare Gantt Chart'!AM47=0,0)</f>
        <v>0</v>
      </c>
      <c r="BJ48" s="45">
        <f>_xlfn.IFS('Prepare Gantt Chart'!AN47=8,'Project types'!$L48*('Prepare Gantt Chart'!$I47*'Prepare Gantt Chart'!$J47),'Prepare Gantt Chart'!AN47=7,'Project types'!$L48*('Prepare Gantt Chart'!$I47*'Prepare Gantt Chart'!$J47),'Prepare Gantt Chart'!AN47=0,0)</f>
        <v>0</v>
      </c>
      <c r="BK48" s="45">
        <f>_xlfn.IFS('Prepare Gantt Chart'!AO47=8,'Project types'!$L48*('Prepare Gantt Chart'!$I47*'Prepare Gantt Chart'!$J47),'Prepare Gantt Chart'!AO47=7,'Project types'!$L48*('Prepare Gantt Chart'!$I47*'Prepare Gantt Chart'!$J47),'Prepare Gantt Chart'!AO47=0,0)</f>
        <v>0</v>
      </c>
      <c r="BL48" s="46">
        <f t="shared" si="1"/>
        <v>0</v>
      </c>
      <c r="BM48" s="75">
        <f>IF('Prepare Gantt Chart'!$J47=0,0,SUM(AL48:AQ48)/6/'Prepare Gantt Chart'!$J47)</f>
        <v>0</v>
      </c>
      <c r="BN48" s="75">
        <f>IF('Prepare Gantt Chart'!$J47=0,0,SUM(AR48:AV48)/5/'Prepare Gantt Chart'!$J47)</f>
        <v>0</v>
      </c>
      <c r="BO48" s="75">
        <f>IF('Prepare Gantt Chart'!$J47=0,0,SUM(AW48:BA48)/5/'Prepare Gantt Chart'!$J47)</f>
        <v>0</v>
      </c>
      <c r="BP48" s="75">
        <f>IF('Prepare Gantt Chart'!$J47=0,0,SUM(BB48:BF48)/5/'Prepare Gantt Chart'!$J47)</f>
        <v>0</v>
      </c>
      <c r="BQ48" s="75">
        <f>IF('Prepare Gantt Chart'!$J47=0,0,SUM(BG48:BK48)/5/'Prepare Gantt Chart'!$J47)</f>
        <v>0</v>
      </c>
    </row>
    <row r="49" spans="1:69" x14ac:dyDescent="0.2">
      <c r="A49" s="27" t="s">
        <v>402</v>
      </c>
      <c r="B49" s="1" t="s">
        <v>118</v>
      </c>
      <c r="C49" s="45">
        <f>_xlfn.IFS('Prepare Gantt Chart'!P48=8,'Project types'!$O49*('Prepare Gantt Chart'!$I48*'Prepare Gantt Chart'!$J48),'Prepare Gantt Chart'!P48=7,'Project types'!$Q49*('Prepare Gantt Chart'!$I48*'Prepare Gantt Chart'!$J48),'Prepare Gantt Chart'!P48=0,0)</f>
        <v>0</v>
      </c>
      <c r="D49" s="45">
        <f>_xlfn.IFS('Prepare Gantt Chart'!Q48=8,'Project types'!$O49*('Prepare Gantt Chart'!$I48*'Prepare Gantt Chart'!$J48),'Prepare Gantt Chart'!Q48=7,'Project types'!$Q49*('Prepare Gantt Chart'!$I48*'Prepare Gantt Chart'!$J48),'Prepare Gantt Chart'!Q48=0,0)</f>
        <v>0</v>
      </c>
      <c r="E49" s="45">
        <f>_xlfn.IFS('Prepare Gantt Chart'!R48=8,'Project types'!$O49*('Prepare Gantt Chart'!$I48*'Prepare Gantt Chart'!$J48),'Prepare Gantt Chart'!R48=7,'Project types'!$Q49*('Prepare Gantt Chart'!$I48*'Prepare Gantt Chart'!$J48),'Prepare Gantt Chart'!R48=0,0)</f>
        <v>0</v>
      </c>
      <c r="F49" s="45">
        <f>_xlfn.IFS('Prepare Gantt Chart'!S48=8,'Project types'!$O49*('Prepare Gantt Chart'!$I48*'Prepare Gantt Chart'!$J48),'Prepare Gantt Chart'!S48=7,'Project types'!$Q49*('Prepare Gantt Chart'!$I48*'Prepare Gantt Chart'!$J48),'Prepare Gantt Chart'!S48=0,0)</f>
        <v>0</v>
      </c>
      <c r="G49" s="45">
        <f>_xlfn.IFS('Prepare Gantt Chart'!T48=8,'Project types'!$O49*('Prepare Gantt Chart'!$I48*'Prepare Gantt Chart'!$J48),'Prepare Gantt Chart'!T48=7,'Project types'!$Q49*('Prepare Gantt Chart'!$I48*'Prepare Gantt Chart'!$J48),'Prepare Gantt Chart'!T48=0,0)</f>
        <v>0</v>
      </c>
      <c r="H49" s="45">
        <f>_xlfn.IFS('Prepare Gantt Chart'!U48=8,'Project types'!$O49*('Prepare Gantt Chart'!$I48*'Prepare Gantt Chart'!$J48),'Prepare Gantt Chart'!U48=7,'Project types'!$Q49*('Prepare Gantt Chart'!$I48*'Prepare Gantt Chart'!$J48),'Prepare Gantt Chart'!U48=0,0)</f>
        <v>0</v>
      </c>
      <c r="I49" s="45">
        <f>_xlfn.IFS('Prepare Gantt Chart'!V48=8,'Project types'!$O49*('Prepare Gantt Chart'!$I48*'Prepare Gantt Chart'!$J48),'Prepare Gantt Chart'!V48=7,'Project types'!$Q49*('Prepare Gantt Chart'!$I48*'Prepare Gantt Chart'!$J48),'Prepare Gantt Chart'!V48=0,0)</f>
        <v>0</v>
      </c>
      <c r="J49" s="45">
        <f>_xlfn.IFS('Prepare Gantt Chart'!W48=8,'Project types'!$O49*('Prepare Gantt Chart'!$I48*'Prepare Gantt Chart'!$J48),'Prepare Gantt Chart'!W48=7,'Project types'!$Q49*('Prepare Gantt Chart'!$I48*'Prepare Gantt Chart'!$J48),'Prepare Gantt Chart'!W48=0,0)</f>
        <v>0</v>
      </c>
      <c r="K49" s="45">
        <f>_xlfn.IFS('Prepare Gantt Chart'!X48=8,'Project types'!$O49*('Prepare Gantt Chart'!$I48*'Prepare Gantt Chart'!$J48),'Prepare Gantt Chart'!X48=7,'Project types'!$Q49*('Prepare Gantt Chart'!$I48*'Prepare Gantt Chart'!$J48),'Prepare Gantt Chart'!X48=0,0)</f>
        <v>0</v>
      </c>
      <c r="L49" s="45">
        <f>_xlfn.IFS('Prepare Gantt Chart'!Y48=8,'Project types'!$O49*('Prepare Gantt Chart'!$I48*'Prepare Gantt Chart'!$J48),'Prepare Gantt Chart'!Y48=7,'Project types'!$Q49*('Prepare Gantt Chart'!$I48*'Prepare Gantt Chart'!$J48),'Prepare Gantt Chart'!Y48=0,0)</f>
        <v>0</v>
      </c>
      <c r="M49" s="45">
        <f>_xlfn.IFS('Prepare Gantt Chart'!Z48=8,'Project types'!$O49*('Prepare Gantt Chart'!$I48*'Prepare Gantt Chart'!$J48),'Prepare Gantt Chart'!Z48=7,'Project types'!$Q49*('Prepare Gantt Chart'!$I48*'Prepare Gantt Chart'!$J48),'Prepare Gantt Chart'!Z48=0,0)</f>
        <v>0</v>
      </c>
      <c r="N49" s="45">
        <f>_xlfn.IFS('Prepare Gantt Chart'!AA48=8,'Project types'!$O49*('Prepare Gantt Chart'!$I48*'Prepare Gantt Chart'!$J48),'Prepare Gantt Chart'!AA48=7,'Project types'!$Q49*('Prepare Gantt Chart'!$I48*'Prepare Gantt Chart'!$J48),'Prepare Gantt Chart'!AA48=0,0)</f>
        <v>0</v>
      </c>
      <c r="O49" s="45">
        <f>_xlfn.IFS('Prepare Gantt Chart'!AB48=8,'Project types'!$O49*('Prepare Gantt Chart'!$I48*'Prepare Gantt Chart'!$J48),'Prepare Gantt Chart'!AB48=7,'Project types'!$Q49*('Prepare Gantt Chart'!$I48*'Prepare Gantt Chart'!$J48),'Prepare Gantt Chart'!AB48=0,0)</f>
        <v>0</v>
      </c>
      <c r="P49" s="45">
        <f>_xlfn.IFS('Prepare Gantt Chart'!AC48=8,'Project types'!$O49*('Prepare Gantt Chart'!$I48*'Prepare Gantt Chart'!$J48),'Prepare Gantt Chart'!AC48=7,'Project types'!$Q49*('Prepare Gantt Chart'!$I48*'Prepare Gantt Chart'!$J48),'Prepare Gantt Chart'!AC48=0,0)</f>
        <v>0</v>
      </c>
      <c r="Q49" s="45">
        <f>_xlfn.IFS('Prepare Gantt Chart'!AD48=8,'Project types'!$O49*('Prepare Gantt Chart'!$I48*'Prepare Gantt Chart'!$J48),'Prepare Gantt Chart'!AD48=7,'Project types'!$Q49*('Prepare Gantt Chart'!$I48*'Prepare Gantt Chart'!$J48),'Prepare Gantt Chart'!AD48=0,0)</f>
        <v>0</v>
      </c>
      <c r="R49" s="45">
        <f>_xlfn.IFS('Prepare Gantt Chart'!AE48=8,'Project types'!$O49*('Prepare Gantt Chart'!$I48*'Prepare Gantt Chart'!$J48),'Prepare Gantt Chart'!AE48=7,'Project types'!$Q49*('Prepare Gantt Chart'!$I48*'Prepare Gantt Chart'!$J48),'Prepare Gantt Chart'!AE48=0,0)</f>
        <v>0</v>
      </c>
      <c r="S49" s="45">
        <f>_xlfn.IFS('Prepare Gantt Chart'!AF48=8,'Project types'!$O49*('Prepare Gantt Chart'!$I48*'Prepare Gantt Chart'!$J48),'Prepare Gantt Chart'!AF48=7,'Project types'!$Q49*('Prepare Gantt Chart'!$I48*'Prepare Gantt Chart'!$J48),'Prepare Gantt Chart'!AF48=0,0)</f>
        <v>0</v>
      </c>
      <c r="T49" s="45">
        <f>_xlfn.IFS('Prepare Gantt Chart'!AG48=8,'Project types'!$O49*('Prepare Gantt Chart'!$I48*'Prepare Gantt Chart'!$J48),'Prepare Gantt Chart'!AG48=7,'Project types'!$Q49*('Prepare Gantt Chart'!$I48*'Prepare Gantt Chart'!$J48),'Prepare Gantt Chart'!AG48=0,0)</f>
        <v>0</v>
      </c>
      <c r="U49" s="45">
        <f>_xlfn.IFS('Prepare Gantt Chart'!AH48=8,'Project types'!$O49*('Prepare Gantt Chart'!$I48*'Prepare Gantt Chart'!$J48),'Prepare Gantt Chart'!AH48=7,'Project types'!$Q49*('Prepare Gantt Chart'!$I48*'Prepare Gantt Chart'!$J48),'Prepare Gantt Chart'!AH48=0,0)</f>
        <v>0</v>
      </c>
      <c r="V49" s="45">
        <f>_xlfn.IFS('Prepare Gantt Chart'!AI48=8,'Project types'!$O49*('Prepare Gantt Chart'!$I48*'Prepare Gantt Chart'!$J48),'Prepare Gantt Chart'!AI48=7,'Project types'!$Q49*('Prepare Gantt Chart'!$I48*'Prepare Gantt Chart'!$J48),'Prepare Gantt Chart'!AI48=0,0)</f>
        <v>0</v>
      </c>
      <c r="W49" s="45">
        <f>_xlfn.IFS('Prepare Gantt Chart'!AJ48=8,'Project types'!$O49*('Prepare Gantt Chart'!$I48*'Prepare Gantt Chart'!$J48),'Prepare Gantt Chart'!AJ48=7,'Project types'!$Q49*('Prepare Gantt Chart'!$I48*'Prepare Gantt Chart'!$J48),'Prepare Gantt Chart'!AJ48=0,0)</f>
        <v>0</v>
      </c>
      <c r="X49" s="45">
        <f>_xlfn.IFS('Prepare Gantt Chart'!AK48=8,'Project types'!$O49*('Prepare Gantt Chart'!$I48*'Prepare Gantt Chart'!$J48),'Prepare Gantt Chart'!AK48=7,'Project types'!$Q49*('Prepare Gantt Chart'!$I48*'Prepare Gantt Chart'!$J48),'Prepare Gantt Chart'!AK48=0,0)</f>
        <v>0</v>
      </c>
      <c r="Y49" s="45">
        <f>_xlfn.IFS('Prepare Gantt Chart'!AL48=8,'Project types'!$O49*('Prepare Gantt Chart'!$I48*'Prepare Gantt Chart'!$J48),'Prepare Gantt Chart'!AL48=7,'Project types'!$Q49*('Prepare Gantt Chart'!$I48*'Prepare Gantt Chart'!$J48),'Prepare Gantt Chart'!AL48=0,0)</f>
        <v>0</v>
      </c>
      <c r="Z49" s="45">
        <f>_xlfn.IFS('Prepare Gantt Chart'!AM48=8,'Project types'!$O49*('Prepare Gantt Chart'!$I48*'Prepare Gantt Chart'!$J48),'Prepare Gantt Chart'!AM48=7,'Project types'!$Q49*('Prepare Gantt Chart'!$I48*'Prepare Gantt Chart'!$J48),'Prepare Gantt Chart'!AM48=0,0)</f>
        <v>0</v>
      </c>
      <c r="AA49" s="45">
        <f>_xlfn.IFS('Prepare Gantt Chart'!AN48=8,'Project types'!$O49*('Prepare Gantt Chart'!$I48*'Prepare Gantt Chart'!$J48),'Prepare Gantt Chart'!AN48=7,'Project types'!$Q49*('Prepare Gantt Chart'!$I48*'Prepare Gantt Chart'!$J48),'Prepare Gantt Chart'!AN48=0,0)</f>
        <v>0</v>
      </c>
      <c r="AB49" s="45">
        <f>_xlfn.IFS('Prepare Gantt Chart'!AO48=8,'Project types'!$O49*('Prepare Gantt Chart'!$I48*'Prepare Gantt Chart'!$J48),'Prepare Gantt Chart'!AO48=7,'Project types'!$Q49*('Prepare Gantt Chart'!$I48*'Prepare Gantt Chart'!$J48),'Prepare Gantt Chart'!AO48=0,0)</f>
        <v>0</v>
      </c>
      <c r="AC49" s="45">
        <f>'Prepare Gantt Chart'!J48*'Prepare Gantt Chart'!I48*(AD49/26)</f>
        <v>0</v>
      </c>
      <c r="AD49" s="46">
        <f t="shared" si="0"/>
        <v>0</v>
      </c>
      <c r="AE49" s="72">
        <f>IF('Prepare Gantt Chart'!$J48=0,0,SUM(C49:H49)/6/'Prepare Gantt Chart'!$J48)</f>
        <v>0</v>
      </c>
      <c r="AF49" s="72">
        <f>IF('Prepare Gantt Chart'!$J48=0,0,SUM(I49:M49)/5/'Prepare Gantt Chart'!$J48)</f>
        <v>0</v>
      </c>
      <c r="AG49" s="72">
        <f>IF('Prepare Gantt Chart'!$J48=0,0,SUM(N49:R49)/5/'Prepare Gantt Chart'!$J48)</f>
        <v>0</v>
      </c>
      <c r="AH49" s="72">
        <f>IF('Prepare Gantt Chart'!$J48=0,0,SUM(S49:W49)/5/'Prepare Gantt Chart'!$J48)</f>
        <v>0</v>
      </c>
      <c r="AI49" s="72">
        <f>IF('Prepare Gantt Chart'!$J48=0,0,SUM(X49:AB49)/5/'Prepare Gantt Chart'!$J48)</f>
        <v>0</v>
      </c>
      <c r="AK49" s="27" t="s">
        <v>402</v>
      </c>
      <c r="AL49" s="45">
        <f>_xlfn.IFS('Prepare Gantt Chart'!P48=8,'Project types'!$L49*('Prepare Gantt Chart'!$I48*'Prepare Gantt Chart'!$J48),'Prepare Gantt Chart'!P48=7,'Project types'!$L49*('Prepare Gantt Chart'!$I48*'Prepare Gantt Chart'!$J48),'Prepare Gantt Chart'!P48=0,0)</f>
        <v>0</v>
      </c>
      <c r="AM49" s="45">
        <f>_xlfn.IFS('Prepare Gantt Chart'!Q48=8,'Project types'!$L49*('Prepare Gantt Chart'!$I48*'Prepare Gantt Chart'!$J48),'Prepare Gantt Chart'!Q48=7,'Project types'!$L49*('Prepare Gantt Chart'!$I48*'Prepare Gantt Chart'!$J48),'Prepare Gantt Chart'!Q48=0,0)</f>
        <v>0</v>
      </c>
      <c r="AN49" s="45">
        <f>_xlfn.IFS('Prepare Gantt Chart'!R48=8,'Project types'!$L49*('Prepare Gantt Chart'!$I48*'Prepare Gantt Chart'!$J48),'Prepare Gantt Chart'!R48=7,'Project types'!$L49*('Prepare Gantt Chart'!$I48*'Prepare Gantt Chart'!$J48),'Prepare Gantt Chart'!R48=0,0)</f>
        <v>0</v>
      </c>
      <c r="AO49" s="45">
        <f>_xlfn.IFS('Prepare Gantt Chart'!S48=8,'Project types'!$L49*('Prepare Gantt Chart'!$I48*'Prepare Gantt Chart'!$J48),'Prepare Gantt Chart'!S48=7,'Project types'!$L49*('Prepare Gantt Chart'!$I48*'Prepare Gantt Chart'!$J48),'Prepare Gantt Chart'!S48=0,0)</f>
        <v>0</v>
      </c>
      <c r="AP49" s="45">
        <f>_xlfn.IFS('Prepare Gantt Chart'!T48=8,'Project types'!$L49*('Prepare Gantt Chart'!$I48*'Prepare Gantt Chart'!$J48),'Prepare Gantt Chart'!T48=7,'Project types'!$L49*('Prepare Gantt Chart'!$I48*'Prepare Gantt Chart'!$J48),'Prepare Gantt Chart'!T48=0,0)</f>
        <v>0</v>
      </c>
      <c r="AQ49" s="45">
        <f>_xlfn.IFS('Prepare Gantt Chart'!U48=8,'Project types'!$L49*('Prepare Gantt Chart'!$I48*'Prepare Gantt Chart'!$J48),'Prepare Gantt Chart'!U48=7,'Project types'!$L49*('Prepare Gantt Chart'!$I48*'Prepare Gantt Chart'!$J48),'Prepare Gantt Chart'!U48=0,0)</f>
        <v>0</v>
      </c>
      <c r="AR49" s="45">
        <f>_xlfn.IFS('Prepare Gantt Chart'!V48=8,'Project types'!$L49*('Prepare Gantt Chart'!$I48*'Prepare Gantt Chart'!$J48),'Prepare Gantt Chart'!V48=7,'Project types'!$L49*('Prepare Gantt Chart'!$I48*'Prepare Gantt Chart'!$J48),'Prepare Gantt Chart'!V48=0,0)</f>
        <v>0</v>
      </c>
      <c r="AS49" s="45">
        <f>_xlfn.IFS('Prepare Gantt Chart'!W48=8,'Project types'!$L49*('Prepare Gantt Chart'!$I48*'Prepare Gantt Chart'!$J48),'Prepare Gantt Chart'!W48=7,'Project types'!$L49*('Prepare Gantt Chart'!$I48*'Prepare Gantt Chart'!$J48),'Prepare Gantt Chart'!W48=0,0)</f>
        <v>0</v>
      </c>
      <c r="AT49" s="45">
        <f>_xlfn.IFS('Prepare Gantt Chart'!X48=8,'Project types'!$L49*('Prepare Gantt Chart'!$I48*'Prepare Gantt Chart'!$J48),'Prepare Gantt Chart'!X48=7,'Project types'!$L49*('Prepare Gantt Chart'!$I48*'Prepare Gantt Chart'!$J48),'Prepare Gantt Chart'!X48=0,0)</f>
        <v>0</v>
      </c>
      <c r="AU49" s="45">
        <f>_xlfn.IFS('Prepare Gantt Chart'!Y48=8,'Project types'!$L49*('Prepare Gantt Chart'!$I48*'Prepare Gantt Chart'!$J48),'Prepare Gantt Chart'!Y48=7,'Project types'!$L49*('Prepare Gantt Chart'!$I48*'Prepare Gantt Chart'!$J48),'Prepare Gantt Chart'!Y48=0,0)</f>
        <v>0</v>
      </c>
      <c r="AV49" s="45">
        <f>_xlfn.IFS('Prepare Gantt Chart'!Z48=8,'Project types'!$L49*('Prepare Gantt Chart'!$I48*'Prepare Gantt Chart'!$J48),'Prepare Gantt Chart'!Z48=7,'Project types'!$L49*('Prepare Gantt Chart'!$I48*'Prepare Gantt Chart'!$J48),'Prepare Gantt Chart'!Z48=0,0)</f>
        <v>0</v>
      </c>
      <c r="AW49" s="45">
        <f>_xlfn.IFS('Prepare Gantt Chart'!AA48=8,'Project types'!$L49*('Prepare Gantt Chart'!$I48*'Prepare Gantt Chart'!$J48),'Prepare Gantt Chart'!AA48=7,'Project types'!$L49*('Prepare Gantt Chart'!$I48*'Prepare Gantt Chart'!$J48),'Prepare Gantt Chart'!AA48=0,0)</f>
        <v>0</v>
      </c>
      <c r="AX49" s="45">
        <f>_xlfn.IFS('Prepare Gantt Chart'!AB48=8,'Project types'!$L49*('Prepare Gantt Chart'!$I48*'Prepare Gantt Chart'!$J48),'Prepare Gantt Chart'!AB48=7,'Project types'!$L49*('Prepare Gantt Chart'!$I48*'Prepare Gantt Chart'!$J48),'Prepare Gantt Chart'!AB48=0,0)</f>
        <v>0</v>
      </c>
      <c r="AY49" s="45">
        <f>_xlfn.IFS('Prepare Gantt Chart'!AC48=8,'Project types'!$L49*('Prepare Gantt Chart'!$I48*'Prepare Gantt Chart'!$J48),'Prepare Gantt Chart'!AC48=7,'Project types'!$L49*('Prepare Gantt Chart'!$I48*'Prepare Gantt Chart'!$J48),'Prepare Gantt Chart'!AC48=0,0)</f>
        <v>0</v>
      </c>
      <c r="AZ49" s="45">
        <f>_xlfn.IFS('Prepare Gantt Chart'!AD48=8,'Project types'!$L49*('Prepare Gantt Chart'!$I48*'Prepare Gantt Chart'!$J48),'Prepare Gantt Chart'!AD48=7,'Project types'!$L49*('Prepare Gantt Chart'!$I48*'Prepare Gantt Chart'!$J48),'Prepare Gantt Chart'!AD48=0,0)</f>
        <v>0</v>
      </c>
      <c r="BA49" s="45">
        <f>_xlfn.IFS('Prepare Gantt Chart'!AE48=8,'Project types'!$L49*('Prepare Gantt Chart'!$I48*'Prepare Gantt Chart'!$J48),'Prepare Gantt Chart'!AE48=7,'Project types'!$L49*('Prepare Gantt Chart'!$I48*'Prepare Gantt Chart'!$J48),'Prepare Gantt Chart'!AE48=0,0)</f>
        <v>0</v>
      </c>
      <c r="BB49" s="45">
        <f>_xlfn.IFS('Prepare Gantt Chart'!AF48=8,'Project types'!$L49*('Prepare Gantt Chart'!$I48*'Prepare Gantt Chart'!$J48),'Prepare Gantt Chart'!AF48=7,'Project types'!$L49*('Prepare Gantt Chart'!$I48*'Prepare Gantt Chart'!$J48),'Prepare Gantt Chart'!AF48=0,0)</f>
        <v>0</v>
      </c>
      <c r="BC49" s="45">
        <f>_xlfn.IFS('Prepare Gantt Chart'!AG48=8,'Project types'!$L49*('Prepare Gantt Chart'!$I48*'Prepare Gantt Chart'!$J48),'Prepare Gantt Chart'!AG48=7,'Project types'!$L49*('Prepare Gantt Chart'!$I48*'Prepare Gantt Chart'!$J48),'Prepare Gantt Chart'!AG48=0,0)</f>
        <v>0</v>
      </c>
      <c r="BD49" s="45">
        <f>_xlfn.IFS('Prepare Gantt Chart'!AH48=8,'Project types'!$L49*('Prepare Gantt Chart'!$I48*'Prepare Gantt Chart'!$J48),'Prepare Gantt Chart'!AH48=7,'Project types'!$L49*('Prepare Gantt Chart'!$I48*'Prepare Gantt Chart'!$J48),'Prepare Gantt Chart'!AH48=0,0)</f>
        <v>0</v>
      </c>
      <c r="BE49" s="45">
        <f>_xlfn.IFS('Prepare Gantt Chart'!AI48=8,'Project types'!$L49*('Prepare Gantt Chart'!$I48*'Prepare Gantt Chart'!$J48),'Prepare Gantt Chart'!AI48=7,'Project types'!$L49*('Prepare Gantt Chart'!$I48*'Prepare Gantt Chart'!$J48),'Prepare Gantt Chart'!AI48=0,0)</f>
        <v>0</v>
      </c>
      <c r="BF49" s="45">
        <f>_xlfn.IFS('Prepare Gantt Chart'!AJ48=8,'Project types'!$L49*('Prepare Gantt Chart'!$I48*'Prepare Gantt Chart'!$J48),'Prepare Gantt Chart'!AJ48=7,'Project types'!$L49*('Prepare Gantt Chart'!$I48*'Prepare Gantt Chart'!$J48),'Prepare Gantt Chart'!AJ48=0,0)</f>
        <v>0</v>
      </c>
      <c r="BG49" s="45">
        <f>_xlfn.IFS('Prepare Gantt Chart'!AK48=8,'Project types'!$L49*('Prepare Gantt Chart'!$I48*'Prepare Gantt Chart'!$J48),'Prepare Gantt Chart'!AK48=7,'Project types'!$L49*('Prepare Gantt Chart'!$I48*'Prepare Gantt Chart'!$J48),'Prepare Gantt Chart'!AK48=0,0)</f>
        <v>0</v>
      </c>
      <c r="BH49" s="45">
        <f>_xlfn.IFS('Prepare Gantt Chart'!AL48=8,'Project types'!$L49*('Prepare Gantt Chart'!$I48*'Prepare Gantt Chart'!$J48),'Prepare Gantt Chart'!AL48=7,'Project types'!$L49*('Prepare Gantt Chart'!$I48*'Prepare Gantt Chart'!$J48),'Prepare Gantt Chart'!AL48=0,0)</f>
        <v>0</v>
      </c>
      <c r="BI49" s="45">
        <f>_xlfn.IFS('Prepare Gantt Chart'!AM48=8,'Project types'!$L49*('Prepare Gantt Chart'!$I48*'Prepare Gantt Chart'!$J48),'Prepare Gantt Chart'!AM48=7,'Project types'!$L49*('Prepare Gantt Chart'!$I48*'Prepare Gantt Chart'!$J48),'Prepare Gantt Chart'!AM48=0,0)</f>
        <v>0</v>
      </c>
      <c r="BJ49" s="45">
        <f>_xlfn.IFS('Prepare Gantt Chart'!AN48=8,'Project types'!$L49*('Prepare Gantt Chart'!$I48*'Prepare Gantt Chart'!$J48),'Prepare Gantt Chart'!AN48=7,'Project types'!$L49*('Prepare Gantt Chart'!$I48*'Prepare Gantt Chart'!$J48),'Prepare Gantt Chart'!AN48=0,0)</f>
        <v>0</v>
      </c>
      <c r="BK49" s="45">
        <f>_xlfn.IFS('Prepare Gantt Chart'!AO48=8,'Project types'!$L49*('Prepare Gantt Chart'!$I48*'Prepare Gantt Chart'!$J48),'Prepare Gantt Chart'!AO48=7,'Project types'!$L49*('Prepare Gantt Chart'!$I48*'Prepare Gantt Chart'!$J48),'Prepare Gantt Chart'!AO48=0,0)</f>
        <v>0</v>
      </c>
      <c r="BL49" s="46">
        <f t="shared" si="1"/>
        <v>0</v>
      </c>
      <c r="BM49" s="75">
        <f>IF('Prepare Gantt Chart'!$J48=0,0,SUM(AL49:AQ49)/6/'Prepare Gantt Chart'!$J48)</f>
        <v>0</v>
      </c>
      <c r="BN49" s="75">
        <f>IF('Prepare Gantt Chart'!$J48=0,0,SUM(AR49:AV49)/5/'Prepare Gantt Chart'!$J48)</f>
        <v>0</v>
      </c>
      <c r="BO49" s="75">
        <f>IF('Prepare Gantt Chart'!$J48=0,0,SUM(AW49:BA49)/5/'Prepare Gantt Chart'!$J48)</f>
        <v>0</v>
      </c>
      <c r="BP49" s="75">
        <f>IF('Prepare Gantt Chart'!$J48=0,0,SUM(BB49:BF49)/5/'Prepare Gantt Chart'!$J48)</f>
        <v>0</v>
      </c>
      <c r="BQ49" s="75">
        <f>IF('Prepare Gantt Chart'!$J48=0,0,SUM(BG49:BK49)/5/'Prepare Gantt Chart'!$J48)</f>
        <v>0</v>
      </c>
    </row>
    <row r="50" spans="1:69" ht="16" thickBot="1" x14ac:dyDescent="0.25">
      <c r="A50" s="28" t="s">
        <v>403</v>
      </c>
      <c r="B50" s="8" t="s">
        <v>399</v>
      </c>
      <c r="C50" s="50">
        <f>_xlfn.IFS('Prepare Gantt Chart'!P49=8,'Project types'!$O50*('Prepare Gantt Chart'!$I49*'Prepare Gantt Chart'!$J49),'Prepare Gantt Chart'!P49=7,'Project types'!$Q50*('Prepare Gantt Chart'!$I49*'Prepare Gantt Chart'!$J49),'Prepare Gantt Chart'!P49=0,0)</f>
        <v>0</v>
      </c>
      <c r="D50" s="50">
        <f>_xlfn.IFS('Prepare Gantt Chart'!Q49=8,'Project types'!$O50*('Prepare Gantt Chart'!$I49*'Prepare Gantt Chart'!$J49),'Prepare Gantt Chart'!Q49=7,'Project types'!$Q50*('Prepare Gantt Chart'!$I49*'Prepare Gantt Chart'!$J49),'Prepare Gantt Chart'!Q49=0,0)</f>
        <v>0</v>
      </c>
      <c r="E50" s="50">
        <f>_xlfn.IFS('Prepare Gantt Chart'!R49=8,'Project types'!$O50*('Prepare Gantt Chart'!$I49*'Prepare Gantt Chart'!$J49),'Prepare Gantt Chart'!R49=7,'Project types'!$Q50*('Prepare Gantt Chart'!$I49*'Prepare Gantt Chart'!$J49),'Prepare Gantt Chart'!R49=0,0)</f>
        <v>0</v>
      </c>
      <c r="F50" s="50">
        <f>_xlfn.IFS('Prepare Gantt Chart'!S49=8,'Project types'!$O50*('Prepare Gantt Chart'!$I49*'Prepare Gantt Chart'!$J49),'Prepare Gantt Chart'!S49=7,'Project types'!$Q50*('Prepare Gantt Chart'!$I49*'Prepare Gantt Chart'!$J49),'Prepare Gantt Chart'!S49=0,0)</f>
        <v>0</v>
      </c>
      <c r="G50" s="50">
        <f>_xlfn.IFS('Prepare Gantt Chart'!T49=8,'Project types'!$O50*('Prepare Gantt Chart'!$I49*'Prepare Gantt Chart'!$J49),'Prepare Gantt Chart'!T49=7,'Project types'!$Q50*('Prepare Gantt Chart'!$I49*'Prepare Gantt Chart'!$J49),'Prepare Gantt Chart'!T49=0,0)</f>
        <v>0</v>
      </c>
      <c r="H50" s="50">
        <f>_xlfn.IFS('Prepare Gantt Chart'!U49=8,'Project types'!$O50*('Prepare Gantt Chart'!$I49*'Prepare Gantt Chart'!$J49),'Prepare Gantt Chart'!U49=7,'Project types'!$Q50*('Prepare Gantt Chart'!$I49*'Prepare Gantt Chart'!$J49),'Prepare Gantt Chart'!U49=0,0)</f>
        <v>0</v>
      </c>
      <c r="I50" s="50">
        <f>_xlfn.IFS('Prepare Gantt Chart'!V49=8,'Project types'!$O50*('Prepare Gantt Chart'!$I49*'Prepare Gantt Chart'!$J49),'Prepare Gantt Chart'!V49=7,'Project types'!$Q50*('Prepare Gantt Chart'!$I49*'Prepare Gantt Chart'!$J49),'Prepare Gantt Chart'!V49=0,0)</f>
        <v>0</v>
      </c>
      <c r="J50" s="50">
        <f>_xlfn.IFS('Prepare Gantt Chart'!W49=8,'Project types'!$O50*('Prepare Gantt Chart'!$I49*'Prepare Gantt Chart'!$J49),'Prepare Gantt Chart'!W49=7,'Project types'!$Q50*('Prepare Gantt Chart'!$I49*'Prepare Gantt Chart'!$J49),'Prepare Gantt Chart'!W49=0,0)</f>
        <v>0</v>
      </c>
      <c r="K50" s="50">
        <f>_xlfn.IFS('Prepare Gantt Chart'!X49=8,'Project types'!$O50*('Prepare Gantt Chart'!$I49*'Prepare Gantt Chart'!$J49),'Prepare Gantt Chart'!X49=7,'Project types'!$Q50*('Prepare Gantt Chart'!$I49*'Prepare Gantt Chart'!$J49),'Prepare Gantt Chart'!X49=0,0)</f>
        <v>0</v>
      </c>
      <c r="L50" s="50">
        <f>_xlfn.IFS('Prepare Gantt Chart'!Y49=8,'Project types'!$O50*('Prepare Gantt Chart'!$I49*'Prepare Gantt Chart'!$J49),'Prepare Gantt Chart'!Y49=7,'Project types'!$Q50*('Prepare Gantt Chart'!$I49*'Prepare Gantt Chart'!$J49),'Prepare Gantt Chart'!Y49=0,0)</f>
        <v>0</v>
      </c>
      <c r="M50" s="50">
        <f>_xlfn.IFS('Prepare Gantt Chart'!Z49=8,'Project types'!$O50*('Prepare Gantt Chart'!$I49*'Prepare Gantt Chart'!$J49),'Prepare Gantt Chart'!Z49=7,'Project types'!$Q50*('Prepare Gantt Chart'!$I49*'Prepare Gantt Chart'!$J49),'Prepare Gantt Chart'!Z49=0,0)</f>
        <v>0</v>
      </c>
      <c r="N50" s="50">
        <f>_xlfn.IFS('Prepare Gantt Chart'!AA49=8,'Project types'!$O50*('Prepare Gantt Chart'!$I49*'Prepare Gantt Chart'!$J49),'Prepare Gantt Chart'!AA49=7,'Project types'!$Q50*('Prepare Gantt Chart'!$I49*'Prepare Gantt Chart'!$J49),'Prepare Gantt Chart'!AA49=0,0)</f>
        <v>0</v>
      </c>
      <c r="O50" s="50">
        <f>_xlfn.IFS('Prepare Gantt Chart'!AB49=8,'Project types'!$O50*('Prepare Gantt Chart'!$I49*'Prepare Gantt Chart'!$J49),'Prepare Gantt Chart'!AB49=7,'Project types'!$Q50*('Prepare Gantt Chart'!$I49*'Prepare Gantt Chart'!$J49),'Prepare Gantt Chart'!AB49=0,0)</f>
        <v>0</v>
      </c>
      <c r="P50" s="50">
        <f>_xlfn.IFS('Prepare Gantt Chart'!AC49=8,'Project types'!$O50*('Prepare Gantt Chart'!$I49*'Prepare Gantt Chart'!$J49),'Prepare Gantt Chart'!AC49=7,'Project types'!$Q50*('Prepare Gantt Chart'!$I49*'Prepare Gantt Chart'!$J49),'Prepare Gantt Chart'!AC49=0,0)</f>
        <v>0</v>
      </c>
      <c r="Q50" s="50">
        <f>_xlfn.IFS('Prepare Gantt Chart'!AD49=8,'Project types'!$O50*('Prepare Gantt Chart'!$I49*'Prepare Gantt Chart'!$J49),'Prepare Gantt Chart'!AD49=7,'Project types'!$Q50*('Prepare Gantt Chart'!$I49*'Prepare Gantt Chart'!$J49),'Prepare Gantt Chart'!AD49=0,0)</f>
        <v>0</v>
      </c>
      <c r="R50" s="50">
        <f>_xlfn.IFS('Prepare Gantt Chart'!AE49=8,'Project types'!$O50*('Prepare Gantt Chart'!$I49*'Prepare Gantt Chart'!$J49),'Prepare Gantt Chart'!AE49=7,'Project types'!$Q50*('Prepare Gantt Chart'!$I49*'Prepare Gantt Chart'!$J49),'Prepare Gantt Chart'!AE49=0,0)</f>
        <v>0</v>
      </c>
      <c r="S50" s="50">
        <f>_xlfn.IFS('Prepare Gantt Chart'!AF49=8,'Project types'!$O50*('Prepare Gantt Chart'!$I49*'Prepare Gantt Chart'!$J49),'Prepare Gantt Chart'!AF49=7,'Project types'!$Q50*('Prepare Gantt Chart'!$I49*'Prepare Gantt Chart'!$J49),'Prepare Gantt Chart'!AF49=0,0)</f>
        <v>0</v>
      </c>
      <c r="T50" s="50">
        <f>_xlfn.IFS('Prepare Gantt Chart'!AG49=8,'Project types'!$O50*('Prepare Gantt Chart'!$I49*'Prepare Gantt Chart'!$J49),'Prepare Gantt Chart'!AG49=7,'Project types'!$Q50*('Prepare Gantt Chart'!$I49*'Prepare Gantt Chart'!$J49),'Prepare Gantt Chart'!AG49=0,0)</f>
        <v>0</v>
      </c>
      <c r="U50" s="50">
        <f>_xlfn.IFS('Prepare Gantt Chart'!AH49=8,'Project types'!$O50*('Prepare Gantt Chart'!$I49*'Prepare Gantt Chart'!$J49),'Prepare Gantt Chart'!AH49=7,'Project types'!$Q50*('Prepare Gantt Chart'!$I49*'Prepare Gantt Chart'!$J49),'Prepare Gantt Chart'!AH49=0,0)</f>
        <v>0</v>
      </c>
      <c r="V50" s="50">
        <f>_xlfn.IFS('Prepare Gantt Chart'!AI49=8,'Project types'!$O50*('Prepare Gantt Chart'!$I49*'Prepare Gantt Chart'!$J49),'Prepare Gantt Chart'!AI49=7,'Project types'!$Q50*('Prepare Gantt Chart'!$I49*'Prepare Gantt Chart'!$J49),'Prepare Gantt Chart'!AI49=0,0)</f>
        <v>0</v>
      </c>
      <c r="W50" s="50">
        <f>_xlfn.IFS('Prepare Gantt Chart'!AJ49=8,'Project types'!$O50*('Prepare Gantt Chart'!$I49*'Prepare Gantt Chart'!$J49),'Prepare Gantt Chart'!AJ49=7,'Project types'!$Q50*('Prepare Gantt Chart'!$I49*'Prepare Gantt Chart'!$J49),'Prepare Gantt Chart'!AJ49=0,0)</f>
        <v>0</v>
      </c>
      <c r="X50" s="50">
        <f>_xlfn.IFS('Prepare Gantt Chart'!AK49=8,'Project types'!$O50*('Prepare Gantt Chart'!$I49*'Prepare Gantt Chart'!$J49),'Prepare Gantt Chart'!AK49=7,'Project types'!$Q50*('Prepare Gantt Chart'!$I49*'Prepare Gantt Chart'!$J49),'Prepare Gantt Chart'!AK49=0,0)</f>
        <v>0</v>
      </c>
      <c r="Y50" s="50">
        <f>_xlfn.IFS('Prepare Gantt Chart'!AL49=8,'Project types'!$O50*('Prepare Gantt Chart'!$I49*'Prepare Gantt Chart'!$J49),'Prepare Gantt Chart'!AL49=7,'Project types'!$Q50*('Prepare Gantt Chart'!$I49*'Prepare Gantt Chart'!$J49),'Prepare Gantt Chart'!AL49=0,0)</f>
        <v>0</v>
      </c>
      <c r="Z50" s="50">
        <f>_xlfn.IFS('Prepare Gantt Chart'!AM49=8,'Project types'!$O50*('Prepare Gantt Chart'!$I49*'Prepare Gantt Chart'!$J49),'Prepare Gantt Chart'!AM49=7,'Project types'!$Q50*('Prepare Gantt Chart'!$I49*'Prepare Gantt Chart'!$J49),'Prepare Gantt Chart'!AM49=0,0)</f>
        <v>0</v>
      </c>
      <c r="AA50" s="50">
        <f>_xlfn.IFS('Prepare Gantt Chart'!AN49=8,'Project types'!$O50*('Prepare Gantt Chart'!$I49*'Prepare Gantt Chart'!$J49),'Prepare Gantt Chart'!AN49=7,'Project types'!$Q50*('Prepare Gantt Chart'!$I49*'Prepare Gantt Chart'!$J49),'Prepare Gantt Chart'!AN49=0,0)</f>
        <v>0</v>
      </c>
      <c r="AB50" s="50">
        <f>_xlfn.IFS('Prepare Gantt Chart'!AO49=8,'Project types'!$O50*('Prepare Gantt Chart'!$I49*'Prepare Gantt Chart'!$J49),'Prepare Gantt Chart'!AO49=7,'Project types'!$Q50*('Prepare Gantt Chart'!$I49*'Prepare Gantt Chart'!$J49),'Prepare Gantt Chart'!AO49=0,0)</f>
        <v>0</v>
      </c>
      <c r="AC50" s="50">
        <f>'Prepare Gantt Chart'!J49*'Prepare Gantt Chart'!I49*(AD50/26)</f>
        <v>0</v>
      </c>
      <c r="AD50" s="51">
        <f t="shared" si="0"/>
        <v>0</v>
      </c>
      <c r="AE50" s="73">
        <f>IF('Prepare Gantt Chart'!$J49=0,0,SUM(C50:H50)/6/'Prepare Gantt Chart'!$J49)</f>
        <v>0</v>
      </c>
      <c r="AF50" s="73">
        <f>IF('Prepare Gantt Chart'!$J49=0,0,SUM(I50:M50)/5/'Prepare Gantt Chart'!$J49)</f>
        <v>0</v>
      </c>
      <c r="AG50" s="73">
        <f>IF('Prepare Gantt Chart'!$J49=0,0,SUM(N50:R50)/5/'Prepare Gantt Chart'!$J49)</f>
        <v>0</v>
      </c>
      <c r="AH50" s="73">
        <f>IF('Prepare Gantt Chart'!$J49=0,0,SUM(S50:W50)/5/'Prepare Gantt Chart'!$J49)</f>
        <v>0</v>
      </c>
      <c r="AI50" s="73">
        <f>IF('Prepare Gantt Chart'!$J49=0,0,SUM(X50:AB50)/5/'Prepare Gantt Chart'!$J49)</f>
        <v>0</v>
      </c>
      <c r="AK50" s="28" t="s">
        <v>403</v>
      </c>
      <c r="AL50" s="50">
        <f>_xlfn.IFS('Prepare Gantt Chart'!P49=8,'Project types'!$L50*('Prepare Gantt Chart'!$I49*'Prepare Gantt Chart'!$J49),'Prepare Gantt Chart'!P49=7,'Project types'!$L50*('Prepare Gantt Chart'!$I49*'Prepare Gantt Chart'!$J49),'Prepare Gantt Chart'!P49=0,0)</f>
        <v>0</v>
      </c>
      <c r="AM50" s="50">
        <f>_xlfn.IFS('Prepare Gantt Chart'!Q49=8,'Project types'!$L50*('Prepare Gantt Chart'!$I49*'Prepare Gantt Chart'!$J49),'Prepare Gantt Chart'!Q49=7,'Project types'!$L50*('Prepare Gantt Chart'!$I49*'Prepare Gantt Chart'!$J49),'Prepare Gantt Chart'!Q49=0,0)</f>
        <v>0</v>
      </c>
      <c r="AN50" s="50">
        <f>_xlfn.IFS('Prepare Gantt Chart'!R49=8,'Project types'!$L50*('Prepare Gantt Chart'!$I49*'Prepare Gantt Chart'!$J49),'Prepare Gantt Chart'!R49=7,'Project types'!$L50*('Prepare Gantt Chart'!$I49*'Prepare Gantt Chart'!$J49),'Prepare Gantt Chart'!R49=0,0)</f>
        <v>0</v>
      </c>
      <c r="AO50" s="50">
        <f>_xlfn.IFS('Prepare Gantt Chart'!S49=8,'Project types'!$L50*('Prepare Gantt Chart'!$I49*'Prepare Gantt Chart'!$J49),'Prepare Gantt Chart'!S49=7,'Project types'!$L50*('Prepare Gantt Chart'!$I49*'Prepare Gantt Chart'!$J49),'Prepare Gantt Chart'!S49=0,0)</f>
        <v>0</v>
      </c>
      <c r="AP50" s="50">
        <f>_xlfn.IFS('Prepare Gantt Chart'!T49=8,'Project types'!$L50*('Prepare Gantt Chart'!$I49*'Prepare Gantt Chart'!$J49),'Prepare Gantt Chart'!T49=7,'Project types'!$L50*('Prepare Gantt Chart'!$I49*'Prepare Gantt Chart'!$J49),'Prepare Gantt Chart'!T49=0,0)</f>
        <v>0</v>
      </c>
      <c r="AQ50" s="50">
        <f>_xlfn.IFS('Prepare Gantt Chart'!U49=8,'Project types'!$L50*('Prepare Gantt Chart'!$I49*'Prepare Gantt Chart'!$J49),'Prepare Gantt Chart'!U49=7,'Project types'!$L50*('Prepare Gantt Chart'!$I49*'Prepare Gantt Chart'!$J49),'Prepare Gantt Chart'!U49=0,0)</f>
        <v>0</v>
      </c>
      <c r="AR50" s="50">
        <f>_xlfn.IFS('Prepare Gantt Chart'!V49=8,'Project types'!$L50*('Prepare Gantt Chart'!$I49*'Prepare Gantt Chart'!$J49),'Prepare Gantt Chart'!V49=7,'Project types'!$L50*('Prepare Gantt Chart'!$I49*'Prepare Gantt Chart'!$J49),'Prepare Gantt Chart'!V49=0,0)</f>
        <v>0</v>
      </c>
      <c r="AS50" s="50">
        <f>_xlfn.IFS('Prepare Gantt Chart'!W49=8,'Project types'!$L50*('Prepare Gantt Chart'!$I49*'Prepare Gantt Chart'!$J49),'Prepare Gantt Chart'!W49=7,'Project types'!$L50*('Prepare Gantt Chart'!$I49*'Prepare Gantt Chart'!$J49),'Prepare Gantt Chart'!W49=0,0)</f>
        <v>0</v>
      </c>
      <c r="AT50" s="50">
        <f>_xlfn.IFS('Prepare Gantt Chart'!X49=8,'Project types'!$L50*('Prepare Gantt Chart'!$I49*'Prepare Gantt Chart'!$J49),'Prepare Gantt Chart'!X49=7,'Project types'!$L50*('Prepare Gantt Chart'!$I49*'Prepare Gantt Chart'!$J49),'Prepare Gantt Chart'!X49=0,0)</f>
        <v>0</v>
      </c>
      <c r="AU50" s="50">
        <f>_xlfn.IFS('Prepare Gantt Chart'!Y49=8,'Project types'!$L50*('Prepare Gantt Chart'!$I49*'Prepare Gantt Chart'!$J49),'Prepare Gantt Chart'!Y49=7,'Project types'!$L50*('Prepare Gantt Chart'!$I49*'Prepare Gantt Chart'!$J49),'Prepare Gantt Chart'!Y49=0,0)</f>
        <v>0</v>
      </c>
      <c r="AV50" s="50">
        <f>_xlfn.IFS('Prepare Gantt Chart'!Z49=8,'Project types'!$L50*('Prepare Gantt Chart'!$I49*'Prepare Gantt Chart'!$J49),'Prepare Gantt Chart'!Z49=7,'Project types'!$L50*('Prepare Gantt Chart'!$I49*'Prepare Gantt Chart'!$J49),'Prepare Gantt Chart'!Z49=0,0)</f>
        <v>0</v>
      </c>
      <c r="AW50" s="50">
        <f>_xlfn.IFS('Prepare Gantt Chart'!AA49=8,'Project types'!$L50*('Prepare Gantt Chart'!$I49*'Prepare Gantt Chart'!$J49),'Prepare Gantt Chart'!AA49=7,'Project types'!$L50*('Prepare Gantt Chart'!$I49*'Prepare Gantt Chart'!$J49),'Prepare Gantt Chart'!AA49=0,0)</f>
        <v>0</v>
      </c>
      <c r="AX50" s="50">
        <f>_xlfn.IFS('Prepare Gantt Chart'!AB49=8,'Project types'!$L50*('Prepare Gantt Chart'!$I49*'Prepare Gantt Chart'!$J49),'Prepare Gantt Chart'!AB49=7,'Project types'!$L50*('Prepare Gantt Chart'!$I49*'Prepare Gantt Chart'!$J49),'Prepare Gantt Chart'!AB49=0,0)</f>
        <v>0</v>
      </c>
      <c r="AY50" s="50">
        <f>_xlfn.IFS('Prepare Gantt Chart'!AC49=8,'Project types'!$L50*('Prepare Gantt Chart'!$I49*'Prepare Gantt Chart'!$J49),'Prepare Gantt Chart'!AC49=7,'Project types'!$L50*('Prepare Gantt Chart'!$I49*'Prepare Gantt Chart'!$J49),'Prepare Gantt Chart'!AC49=0,0)</f>
        <v>0</v>
      </c>
      <c r="AZ50" s="50">
        <f>_xlfn.IFS('Prepare Gantt Chart'!AD49=8,'Project types'!$L50*('Prepare Gantt Chart'!$I49*'Prepare Gantt Chart'!$J49),'Prepare Gantt Chart'!AD49=7,'Project types'!$L50*('Prepare Gantt Chart'!$I49*'Prepare Gantt Chart'!$J49),'Prepare Gantt Chart'!AD49=0,0)</f>
        <v>0</v>
      </c>
      <c r="BA50" s="50">
        <f>_xlfn.IFS('Prepare Gantt Chart'!AE49=8,'Project types'!$L50*('Prepare Gantt Chart'!$I49*'Prepare Gantt Chart'!$J49),'Prepare Gantt Chart'!AE49=7,'Project types'!$L50*('Prepare Gantt Chart'!$I49*'Prepare Gantt Chart'!$J49),'Prepare Gantt Chart'!AE49=0,0)</f>
        <v>0</v>
      </c>
      <c r="BB50" s="50">
        <f>_xlfn.IFS('Prepare Gantt Chart'!AF49=8,'Project types'!$L50*('Prepare Gantt Chart'!$I49*'Prepare Gantt Chart'!$J49),'Prepare Gantt Chart'!AF49=7,'Project types'!$L50*('Prepare Gantt Chart'!$I49*'Prepare Gantt Chart'!$J49),'Prepare Gantt Chart'!AF49=0,0)</f>
        <v>0</v>
      </c>
      <c r="BC50" s="50">
        <f>_xlfn.IFS('Prepare Gantt Chart'!AG49=8,'Project types'!$L50*('Prepare Gantt Chart'!$I49*'Prepare Gantt Chart'!$J49),'Prepare Gantt Chart'!AG49=7,'Project types'!$L50*('Prepare Gantt Chart'!$I49*'Prepare Gantt Chart'!$J49),'Prepare Gantt Chart'!AG49=0,0)</f>
        <v>0</v>
      </c>
      <c r="BD50" s="50">
        <f>_xlfn.IFS('Prepare Gantt Chart'!AH49=8,'Project types'!$L50*('Prepare Gantt Chart'!$I49*'Prepare Gantt Chart'!$J49),'Prepare Gantt Chart'!AH49=7,'Project types'!$L50*('Prepare Gantt Chart'!$I49*'Prepare Gantt Chart'!$J49),'Prepare Gantt Chart'!AH49=0,0)</f>
        <v>0</v>
      </c>
      <c r="BE50" s="50">
        <f>_xlfn.IFS('Prepare Gantt Chart'!AI49=8,'Project types'!$L50*('Prepare Gantt Chart'!$I49*'Prepare Gantt Chart'!$J49),'Prepare Gantt Chart'!AI49=7,'Project types'!$L50*('Prepare Gantt Chart'!$I49*'Prepare Gantt Chart'!$J49),'Prepare Gantt Chart'!AI49=0,0)</f>
        <v>0</v>
      </c>
      <c r="BF50" s="50">
        <f>_xlfn.IFS('Prepare Gantt Chart'!AJ49=8,'Project types'!$L50*('Prepare Gantt Chart'!$I49*'Prepare Gantt Chart'!$J49),'Prepare Gantt Chart'!AJ49=7,'Project types'!$L50*('Prepare Gantt Chart'!$I49*'Prepare Gantt Chart'!$J49),'Prepare Gantt Chart'!AJ49=0,0)</f>
        <v>0</v>
      </c>
      <c r="BG50" s="50">
        <f>_xlfn.IFS('Prepare Gantt Chart'!AK49=8,'Project types'!$L50*('Prepare Gantt Chart'!$I49*'Prepare Gantt Chart'!$J49),'Prepare Gantt Chart'!AK49=7,'Project types'!$L50*('Prepare Gantt Chart'!$I49*'Prepare Gantt Chart'!$J49),'Prepare Gantt Chart'!AK49=0,0)</f>
        <v>0</v>
      </c>
      <c r="BH50" s="50">
        <f>_xlfn.IFS('Prepare Gantt Chart'!AL49=8,'Project types'!$L50*('Prepare Gantt Chart'!$I49*'Prepare Gantt Chart'!$J49),'Prepare Gantt Chart'!AL49=7,'Project types'!$L50*('Prepare Gantt Chart'!$I49*'Prepare Gantt Chart'!$J49),'Prepare Gantt Chart'!AL49=0,0)</f>
        <v>0</v>
      </c>
      <c r="BI50" s="50">
        <f>_xlfn.IFS('Prepare Gantt Chart'!AM49=8,'Project types'!$L50*('Prepare Gantt Chart'!$I49*'Prepare Gantt Chart'!$J49),'Prepare Gantt Chart'!AM49=7,'Project types'!$L50*('Prepare Gantt Chart'!$I49*'Prepare Gantt Chart'!$J49),'Prepare Gantt Chart'!AM49=0,0)</f>
        <v>0</v>
      </c>
      <c r="BJ50" s="50">
        <f>_xlfn.IFS('Prepare Gantt Chart'!AN49=8,'Project types'!$L50*('Prepare Gantt Chart'!$I49*'Prepare Gantt Chart'!$J49),'Prepare Gantt Chart'!AN49=7,'Project types'!$L50*('Prepare Gantt Chart'!$I49*'Prepare Gantt Chart'!$J49),'Prepare Gantt Chart'!AN49=0,0)</f>
        <v>0</v>
      </c>
      <c r="BK50" s="50">
        <f>_xlfn.IFS('Prepare Gantt Chart'!AO49=8,'Project types'!$L50*('Prepare Gantt Chart'!$I49*'Prepare Gantt Chart'!$J49),'Prepare Gantt Chart'!AO49=7,'Project types'!$L50*('Prepare Gantt Chart'!$I49*'Prepare Gantt Chart'!$J49),'Prepare Gantt Chart'!AO49=0,0)</f>
        <v>0</v>
      </c>
      <c r="BL50" s="51">
        <f t="shared" si="1"/>
        <v>0</v>
      </c>
      <c r="BM50" s="76">
        <f>IF('Prepare Gantt Chart'!$J49=0,0,SUM(AL50:AQ50)/6/'Prepare Gantt Chart'!$J49)</f>
        <v>0</v>
      </c>
      <c r="BN50" s="76">
        <f>IF('Prepare Gantt Chart'!$J49=0,0,SUM(AR50:AV50)/5/'Prepare Gantt Chart'!$J49)</f>
        <v>0</v>
      </c>
      <c r="BO50" s="76">
        <f>IF('Prepare Gantt Chart'!$J49=0,0,SUM(AW50:BA50)/5/'Prepare Gantt Chart'!$J49)</f>
        <v>0</v>
      </c>
      <c r="BP50" s="76">
        <f>IF('Prepare Gantt Chart'!$J49=0,0,SUM(BB50:BF50)/5/'Prepare Gantt Chart'!$J49)</f>
        <v>0</v>
      </c>
      <c r="BQ50" s="76">
        <f>IF('Prepare Gantt Chart'!$J49=0,0,SUM(BG50:BK50)/5/'Prepare Gantt Chart'!$J49)</f>
        <v>0</v>
      </c>
    </row>
    <row r="51" spans="1:69" x14ac:dyDescent="0.2">
      <c r="A51" s="29" t="s">
        <v>46</v>
      </c>
      <c r="B51" s="1" t="s">
        <v>404</v>
      </c>
      <c r="C51" s="45">
        <f>_xlfn.IFS('Prepare Gantt Chart'!P50=10,'Project types'!$O51*('Prepare Gantt Chart'!$I50*'Prepare Gantt Chart'!$J50),'Prepare Gantt Chart'!P50=9,'Project types'!$Q51*('Prepare Gantt Chart'!$I50*'Prepare Gantt Chart'!$J50),'Prepare Gantt Chart'!P50=0,0)</f>
        <v>0</v>
      </c>
      <c r="D51" s="45">
        <f>_xlfn.IFS('Prepare Gantt Chart'!Q50=10,'Project types'!$O51*('Prepare Gantt Chart'!$I50*'Prepare Gantt Chart'!$J50),'Prepare Gantt Chart'!Q50=9,'Project types'!$Q51*('Prepare Gantt Chart'!$I50*'Prepare Gantt Chart'!$J50),'Prepare Gantt Chart'!Q50=0,0)</f>
        <v>0</v>
      </c>
      <c r="E51" s="45">
        <f>_xlfn.IFS('Prepare Gantt Chart'!R50=10,'Project types'!$O51*('Prepare Gantt Chart'!$I50*'Prepare Gantt Chart'!$J50),'Prepare Gantt Chart'!R50=9,'Project types'!$Q51*('Prepare Gantt Chart'!$I50*'Prepare Gantt Chart'!$J50),'Prepare Gantt Chart'!R50=0,0)</f>
        <v>0</v>
      </c>
      <c r="F51" s="45">
        <f>_xlfn.IFS('Prepare Gantt Chart'!S50=10,'Project types'!$O51*('Prepare Gantt Chart'!$I50*'Prepare Gantt Chart'!$J50),'Prepare Gantt Chart'!S50=9,'Project types'!$Q51*('Prepare Gantt Chart'!$I50*'Prepare Gantt Chart'!$J50),'Prepare Gantt Chart'!S50=0,0)</f>
        <v>0</v>
      </c>
      <c r="G51" s="45">
        <f>_xlfn.IFS('Prepare Gantt Chart'!T50=10,'Project types'!$O51*('Prepare Gantt Chart'!$I50*'Prepare Gantt Chart'!$J50),'Prepare Gantt Chart'!T50=9,'Project types'!$Q51*('Prepare Gantt Chart'!$I50*'Prepare Gantt Chart'!$J50),'Prepare Gantt Chart'!T50=0,0)</f>
        <v>0</v>
      </c>
      <c r="H51" s="45">
        <f>_xlfn.IFS('Prepare Gantt Chart'!U50=10,'Project types'!$O51*('Prepare Gantt Chart'!$I50*'Prepare Gantt Chart'!$J50),'Prepare Gantt Chart'!U50=9,'Project types'!$Q51*('Prepare Gantt Chart'!$I50*'Prepare Gantt Chart'!$J50),'Prepare Gantt Chart'!U50=0,0)</f>
        <v>0</v>
      </c>
      <c r="I51" s="45">
        <f>_xlfn.IFS('Prepare Gantt Chart'!V50=10,'Project types'!$O51*('Prepare Gantt Chart'!$I50*'Prepare Gantt Chart'!$J50),'Prepare Gantt Chart'!V50=9,'Project types'!$Q51*('Prepare Gantt Chart'!$I50*'Prepare Gantt Chart'!$J50),'Prepare Gantt Chart'!V50=0,0)</f>
        <v>0</v>
      </c>
      <c r="J51" s="45">
        <f>_xlfn.IFS('Prepare Gantt Chart'!W50=10,'Project types'!$O51*('Prepare Gantt Chart'!$I50*'Prepare Gantt Chart'!$J50),'Prepare Gantt Chart'!W50=9,'Project types'!$Q51*('Prepare Gantt Chart'!$I50*'Prepare Gantt Chart'!$J50),'Prepare Gantt Chart'!W50=0,0)</f>
        <v>0</v>
      </c>
      <c r="K51" s="45">
        <f>_xlfn.IFS('Prepare Gantt Chart'!X50=10,'Project types'!$O51*('Prepare Gantt Chart'!$I50*'Prepare Gantt Chart'!$J50),'Prepare Gantt Chart'!X50=9,'Project types'!$Q51*('Prepare Gantt Chart'!$I50*'Prepare Gantt Chart'!$J50),'Prepare Gantt Chart'!X50=0,0)</f>
        <v>0</v>
      </c>
      <c r="L51" s="45">
        <f>_xlfn.IFS('Prepare Gantt Chart'!Y50=10,'Project types'!$O51*('Prepare Gantt Chart'!$I50*'Prepare Gantt Chart'!$J50),'Prepare Gantt Chart'!Y50=9,'Project types'!$Q51*('Prepare Gantt Chart'!$I50*'Prepare Gantt Chart'!$J50),'Prepare Gantt Chart'!Y50=0,0)</f>
        <v>0</v>
      </c>
      <c r="M51" s="45">
        <f>_xlfn.IFS('Prepare Gantt Chart'!Z50=10,'Project types'!$O51*('Prepare Gantt Chart'!$I50*'Prepare Gantt Chart'!$J50),'Prepare Gantt Chart'!Z50=9,'Project types'!$Q51*('Prepare Gantt Chart'!$I50*'Prepare Gantt Chart'!$J50),'Prepare Gantt Chart'!Z50=0,0)</f>
        <v>0</v>
      </c>
      <c r="N51" s="45">
        <f>_xlfn.IFS('Prepare Gantt Chart'!AA50=10,'Project types'!$O51*('Prepare Gantt Chart'!$I50*'Prepare Gantt Chart'!$J50),'Prepare Gantt Chart'!AA50=9,'Project types'!$Q51*('Prepare Gantt Chart'!$I50*'Prepare Gantt Chart'!$J50),'Prepare Gantt Chart'!AA50=0,0)</f>
        <v>0</v>
      </c>
      <c r="O51" s="45">
        <f>_xlfn.IFS('Prepare Gantt Chart'!AB50=10,'Project types'!$O51*('Prepare Gantt Chart'!$I50*'Prepare Gantt Chart'!$J50),'Prepare Gantt Chart'!AB50=9,'Project types'!$Q51*('Prepare Gantt Chart'!$I50*'Prepare Gantt Chart'!$J50),'Prepare Gantt Chart'!AB50=0,0)</f>
        <v>0</v>
      </c>
      <c r="P51" s="45">
        <f>_xlfn.IFS('Prepare Gantt Chart'!AC50=10,'Project types'!$O51*('Prepare Gantt Chart'!$I50*'Prepare Gantt Chart'!$J50),'Prepare Gantt Chart'!AC50=9,'Project types'!$Q51*('Prepare Gantt Chart'!$I50*'Prepare Gantt Chart'!$J50),'Prepare Gantt Chart'!AC50=0,0)</f>
        <v>0</v>
      </c>
      <c r="Q51" s="45">
        <f>_xlfn.IFS('Prepare Gantt Chart'!AD50=10,'Project types'!$O51*('Prepare Gantt Chart'!$I50*'Prepare Gantt Chart'!$J50),'Prepare Gantt Chart'!AD50=9,'Project types'!$Q51*('Prepare Gantt Chart'!$I50*'Prepare Gantt Chart'!$J50),'Prepare Gantt Chart'!AD50=0,0)</f>
        <v>0</v>
      </c>
      <c r="R51" s="45">
        <f>_xlfn.IFS('Prepare Gantt Chart'!AE50=10,'Project types'!$O51*('Prepare Gantt Chart'!$I50*'Prepare Gantt Chart'!$J50),'Prepare Gantt Chart'!AE50=9,'Project types'!$Q51*('Prepare Gantt Chart'!$I50*'Prepare Gantt Chart'!$J50),'Prepare Gantt Chart'!AE50=0,0)</f>
        <v>0</v>
      </c>
      <c r="S51" s="45">
        <f>_xlfn.IFS('Prepare Gantt Chart'!AF50=10,'Project types'!$O51*('Prepare Gantt Chart'!$I50*'Prepare Gantt Chart'!$J50),'Prepare Gantt Chart'!AF50=9,'Project types'!$Q51*('Prepare Gantt Chart'!$I50*'Prepare Gantt Chart'!$J50),'Prepare Gantt Chart'!AF50=0,0)</f>
        <v>0</v>
      </c>
      <c r="T51" s="45">
        <f>_xlfn.IFS('Prepare Gantt Chart'!AG50=10,'Project types'!$O51*('Prepare Gantt Chart'!$I50*'Prepare Gantt Chart'!$J50),'Prepare Gantt Chart'!AG50=9,'Project types'!$Q51*('Prepare Gantt Chart'!$I50*'Prepare Gantt Chart'!$J50),'Prepare Gantt Chart'!AG50=0,0)</f>
        <v>0</v>
      </c>
      <c r="U51" s="45">
        <f>_xlfn.IFS('Prepare Gantt Chart'!AH50=10,'Project types'!$O51*('Prepare Gantt Chart'!$I50*'Prepare Gantt Chart'!$J50),'Prepare Gantt Chart'!AH50=9,'Project types'!$Q51*('Prepare Gantt Chart'!$I50*'Prepare Gantt Chart'!$J50),'Prepare Gantt Chart'!AH50=0,0)</f>
        <v>0</v>
      </c>
      <c r="V51" s="45">
        <f>_xlfn.IFS('Prepare Gantt Chart'!AI50=10,'Project types'!$O51*('Prepare Gantt Chart'!$I50*'Prepare Gantt Chart'!$J50),'Prepare Gantt Chart'!AI50=9,'Project types'!$Q51*('Prepare Gantt Chart'!$I50*'Prepare Gantt Chart'!$J50),'Prepare Gantt Chart'!AI50=0,0)</f>
        <v>0</v>
      </c>
      <c r="W51" s="45">
        <f>_xlfn.IFS('Prepare Gantt Chart'!AJ50=10,'Project types'!$O51*('Prepare Gantt Chart'!$I50*'Prepare Gantt Chart'!$J50),'Prepare Gantt Chart'!AJ50=9,'Project types'!$Q51*('Prepare Gantt Chart'!$I50*'Prepare Gantt Chart'!$J50),'Prepare Gantt Chart'!AJ50=0,0)</f>
        <v>0</v>
      </c>
      <c r="X51" s="45">
        <f>_xlfn.IFS('Prepare Gantt Chart'!AK50=10,'Project types'!$O51*('Prepare Gantt Chart'!$I50*'Prepare Gantt Chart'!$J50),'Prepare Gantt Chart'!AK50=9,'Project types'!$Q51*('Prepare Gantt Chart'!$I50*'Prepare Gantt Chart'!$J50),'Prepare Gantt Chart'!AK50=0,0)</f>
        <v>0</v>
      </c>
      <c r="Y51" s="45">
        <f>_xlfn.IFS('Prepare Gantt Chart'!AL50=10,'Project types'!$O51*('Prepare Gantt Chart'!$I50*'Prepare Gantt Chart'!$J50),'Prepare Gantt Chart'!AL50=9,'Project types'!$Q51*('Prepare Gantt Chart'!$I50*'Prepare Gantt Chart'!$J50),'Prepare Gantt Chart'!AL50=0,0)</f>
        <v>0</v>
      </c>
      <c r="Z51" s="45">
        <f>_xlfn.IFS('Prepare Gantt Chart'!AM50=10,'Project types'!$O51*('Prepare Gantt Chart'!$I50*'Prepare Gantt Chart'!$J50),'Prepare Gantt Chart'!AM50=9,'Project types'!$Q51*('Prepare Gantt Chart'!$I50*'Prepare Gantt Chart'!$J50),'Prepare Gantt Chart'!AM50=0,0)</f>
        <v>0</v>
      </c>
      <c r="AA51" s="45">
        <f>_xlfn.IFS('Prepare Gantt Chart'!AN50=10,'Project types'!$O51*('Prepare Gantt Chart'!$I50*'Prepare Gantt Chart'!$J50),'Prepare Gantt Chart'!AN50=9,'Project types'!$Q51*('Prepare Gantt Chart'!$I50*'Prepare Gantt Chart'!$J50),'Prepare Gantt Chart'!AN50=0,0)</f>
        <v>0</v>
      </c>
      <c r="AB51" s="45">
        <f>_xlfn.IFS('Prepare Gantt Chart'!AO50=10,'Project types'!$O51*('Prepare Gantt Chart'!$I50*'Prepare Gantt Chart'!$J50),'Prepare Gantt Chart'!AO50=9,'Project types'!$Q51*('Prepare Gantt Chart'!$I50*'Prepare Gantt Chart'!$J50),'Prepare Gantt Chart'!AO50=0,0)</f>
        <v>0</v>
      </c>
      <c r="AC51" s="45">
        <f>'Prepare Gantt Chart'!J50*'Prepare Gantt Chart'!I50*(AD51/26)</f>
        <v>0</v>
      </c>
      <c r="AD51" s="46">
        <f t="shared" si="0"/>
        <v>0</v>
      </c>
      <c r="AE51" s="72">
        <f>IF('Prepare Gantt Chart'!$J50=0,0,SUM(C51:H51)/6/'Prepare Gantt Chart'!$J50)</f>
        <v>0</v>
      </c>
      <c r="AF51" s="72">
        <f>IF('Prepare Gantt Chart'!$J50=0,0,SUM(I51:M51)/5/'Prepare Gantt Chart'!$J50)</f>
        <v>0</v>
      </c>
      <c r="AG51" s="72">
        <f>IF('Prepare Gantt Chart'!$J50=0,0,SUM(N51:R51)/5/'Prepare Gantt Chart'!$J50)</f>
        <v>0</v>
      </c>
      <c r="AH51" s="72">
        <f>IF('Prepare Gantt Chart'!$J50=0,0,SUM(S51:W51)/5/'Prepare Gantt Chart'!$J50)</f>
        <v>0</v>
      </c>
      <c r="AI51" s="72">
        <f>IF('Prepare Gantt Chart'!$J50=0,0,SUM(X51:AB51)/5/'Prepare Gantt Chart'!$J50)</f>
        <v>0</v>
      </c>
      <c r="AK51" s="29" t="s">
        <v>46</v>
      </c>
      <c r="AL51" s="45">
        <f>_xlfn.IFS('Prepare Gantt Chart'!P50=10,'Project types'!$L51*('Prepare Gantt Chart'!$I50*'Prepare Gantt Chart'!$J50),'Prepare Gantt Chart'!P50=9,'Project types'!$L51*('Prepare Gantt Chart'!$I50*'Prepare Gantt Chart'!$J50),'Prepare Gantt Chart'!P50=0,0)</f>
        <v>0</v>
      </c>
      <c r="AM51" s="45">
        <f>_xlfn.IFS('Prepare Gantt Chart'!Q50=10,'Project types'!$L51*('Prepare Gantt Chart'!$I50*'Prepare Gantt Chart'!$J50),'Prepare Gantt Chart'!Q50=9,'Project types'!$L51*('Prepare Gantt Chart'!$I50*'Prepare Gantt Chart'!$J50),'Prepare Gantt Chart'!Q50=0,0)</f>
        <v>0</v>
      </c>
      <c r="AN51" s="45">
        <f>_xlfn.IFS('Prepare Gantt Chart'!R50=10,'Project types'!$L51*('Prepare Gantt Chart'!$I50*'Prepare Gantt Chart'!$J50),'Prepare Gantt Chart'!R50=9,'Project types'!$L51*('Prepare Gantt Chart'!$I50*'Prepare Gantt Chart'!$J50),'Prepare Gantt Chart'!R50=0,0)</f>
        <v>0</v>
      </c>
      <c r="AO51" s="45">
        <f>_xlfn.IFS('Prepare Gantt Chart'!S50=10,'Project types'!$L51*('Prepare Gantt Chart'!$I50*'Prepare Gantt Chart'!$J50),'Prepare Gantt Chart'!S50=9,'Project types'!$L51*('Prepare Gantt Chart'!$I50*'Prepare Gantt Chart'!$J50),'Prepare Gantt Chart'!S50=0,0)</f>
        <v>0</v>
      </c>
      <c r="AP51" s="45">
        <f>_xlfn.IFS('Prepare Gantt Chart'!T50=10,'Project types'!$L51*('Prepare Gantt Chart'!$I50*'Prepare Gantt Chart'!$J50),'Prepare Gantt Chart'!T50=9,'Project types'!$L51*('Prepare Gantt Chart'!$I50*'Prepare Gantt Chart'!$J50),'Prepare Gantt Chart'!T50=0,0)</f>
        <v>0</v>
      </c>
      <c r="AQ51" s="45">
        <f>_xlfn.IFS('Prepare Gantt Chart'!U50=10,'Project types'!$L51*('Prepare Gantt Chart'!$I50*'Prepare Gantt Chart'!$J50),'Prepare Gantt Chart'!U50=9,'Project types'!$L51*('Prepare Gantt Chart'!$I50*'Prepare Gantt Chart'!$J50),'Prepare Gantt Chart'!U50=0,0)</f>
        <v>0</v>
      </c>
      <c r="AR51" s="45">
        <f>_xlfn.IFS('Prepare Gantt Chart'!V50=10,'Project types'!$L51*('Prepare Gantt Chart'!$I50*'Prepare Gantt Chart'!$J50),'Prepare Gantt Chart'!V50=9,'Project types'!$L51*('Prepare Gantt Chart'!$I50*'Prepare Gantt Chart'!$J50),'Prepare Gantt Chart'!V50=0,0)</f>
        <v>0</v>
      </c>
      <c r="AS51" s="45">
        <f>_xlfn.IFS('Prepare Gantt Chart'!W50=10,'Project types'!$L51*('Prepare Gantt Chart'!$I50*'Prepare Gantt Chart'!$J50),'Prepare Gantt Chart'!W50=9,'Project types'!$L51*('Prepare Gantt Chart'!$I50*'Prepare Gantt Chart'!$J50),'Prepare Gantt Chart'!W50=0,0)</f>
        <v>0</v>
      </c>
      <c r="AT51" s="45">
        <f>_xlfn.IFS('Prepare Gantt Chart'!X50=10,'Project types'!$L51*('Prepare Gantt Chart'!$I50*'Prepare Gantt Chart'!$J50),'Prepare Gantt Chart'!X50=9,'Project types'!$L51*('Prepare Gantt Chart'!$I50*'Prepare Gantt Chart'!$J50),'Prepare Gantt Chart'!X50=0,0)</f>
        <v>0</v>
      </c>
      <c r="AU51" s="45">
        <f>_xlfn.IFS('Prepare Gantt Chart'!Y50=10,'Project types'!$L51*('Prepare Gantt Chart'!$I50*'Prepare Gantt Chart'!$J50),'Prepare Gantt Chart'!Y50=9,'Project types'!$L51*('Prepare Gantt Chart'!$I50*'Prepare Gantt Chart'!$J50),'Prepare Gantt Chart'!Y50=0,0)</f>
        <v>0</v>
      </c>
      <c r="AV51" s="45">
        <f>_xlfn.IFS('Prepare Gantt Chart'!Z50=10,'Project types'!$L51*('Prepare Gantt Chart'!$I50*'Prepare Gantt Chart'!$J50),'Prepare Gantt Chart'!Z50=9,'Project types'!$L51*('Prepare Gantt Chart'!$I50*'Prepare Gantt Chart'!$J50),'Prepare Gantt Chart'!Z50=0,0)</f>
        <v>0</v>
      </c>
      <c r="AW51" s="45">
        <f>_xlfn.IFS('Prepare Gantt Chart'!AA50=10,'Project types'!$L51*('Prepare Gantt Chart'!$I50*'Prepare Gantt Chart'!$J50),'Prepare Gantt Chart'!AA50=9,'Project types'!$L51*('Prepare Gantt Chart'!$I50*'Prepare Gantt Chart'!$J50),'Prepare Gantt Chart'!AA50=0,0)</f>
        <v>0</v>
      </c>
      <c r="AX51" s="45">
        <f>_xlfn.IFS('Prepare Gantt Chart'!AB50=10,'Project types'!$L51*('Prepare Gantt Chart'!$I50*'Prepare Gantt Chart'!$J50),'Prepare Gantt Chart'!AB50=9,'Project types'!$L51*('Prepare Gantt Chart'!$I50*'Prepare Gantt Chart'!$J50),'Prepare Gantt Chart'!AB50=0,0)</f>
        <v>0</v>
      </c>
      <c r="AY51" s="45">
        <f>_xlfn.IFS('Prepare Gantt Chart'!AC50=10,'Project types'!$L51*('Prepare Gantt Chart'!$I50*'Prepare Gantt Chart'!$J50),'Prepare Gantt Chart'!AC50=9,'Project types'!$L51*('Prepare Gantt Chart'!$I50*'Prepare Gantt Chart'!$J50),'Prepare Gantt Chart'!AC50=0,0)</f>
        <v>0</v>
      </c>
      <c r="AZ51" s="45">
        <f>_xlfn.IFS('Prepare Gantt Chart'!AD50=10,'Project types'!$L51*('Prepare Gantt Chart'!$I50*'Prepare Gantt Chart'!$J50),'Prepare Gantt Chart'!AD50=9,'Project types'!$L51*('Prepare Gantt Chart'!$I50*'Prepare Gantt Chart'!$J50),'Prepare Gantt Chart'!AD50=0,0)</f>
        <v>0</v>
      </c>
      <c r="BA51" s="45">
        <f>_xlfn.IFS('Prepare Gantt Chart'!AE50=10,'Project types'!$L51*('Prepare Gantt Chart'!$I50*'Prepare Gantt Chart'!$J50),'Prepare Gantt Chart'!AE50=9,'Project types'!$L51*('Prepare Gantt Chart'!$I50*'Prepare Gantt Chart'!$J50),'Prepare Gantt Chart'!AE50=0,0)</f>
        <v>0</v>
      </c>
      <c r="BB51" s="45">
        <f>_xlfn.IFS('Prepare Gantt Chart'!AF50=10,'Project types'!$L51*('Prepare Gantt Chart'!$I50*'Prepare Gantt Chart'!$J50),'Prepare Gantt Chart'!AF50=9,'Project types'!$L51*('Prepare Gantt Chart'!$I50*'Prepare Gantt Chart'!$J50),'Prepare Gantt Chart'!AF50=0,0)</f>
        <v>0</v>
      </c>
      <c r="BC51" s="45">
        <f>_xlfn.IFS('Prepare Gantt Chart'!AG50=10,'Project types'!$L51*('Prepare Gantt Chart'!$I50*'Prepare Gantt Chart'!$J50),'Prepare Gantt Chart'!AG50=9,'Project types'!$L51*('Prepare Gantt Chart'!$I50*'Prepare Gantt Chart'!$J50),'Prepare Gantt Chart'!AG50=0,0)</f>
        <v>0</v>
      </c>
      <c r="BD51" s="45">
        <f>_xlfn.IFS('Prepare Gantt Chart'!AH50=10,'Project types'!$L51*('Prepare Gantt Chart'!$I50*'Prepare Gantt Chart'!$J50),'Prepare Gantt Chart'!AH50=9,'Project types'!$L51*('Prepare Gantt Chart'!$I50*'Prepare Gantt Chart'!$J50),'Prepare Gantt Chart'!AH50=0,0)</f>
        <v>0</v>
      </c>
      <c r="BE51" s="45">
        <f>_xlfn.IFS('Prepare Gantt Chart'!AI50=10,'Project types'!$L51*('Prepare Gantt Chart'!$I50*'Prepare Gantt Chart'!$J50),'Prepare Gantt Chart'!AI50=9,'Project types'!$L51*('Prepare Gantt Chart'!$I50*'Prepare Gantt Chart'!$J50),'Prepare Gantt Chart'!AI50=0,0)</f>
        <v>0</v>
      </c>
      <c r="BF51" s="45">
        <f>_xlfn.IFS('Prepare Gantt Chart'!AJ50=10,'Project types'!$L51*('Prepare Gantt Chart'!$I50*'Prepare Gantt Chart'!$J50),'Prepare Gantt Chart'!AJ50=9,'Project types'!$L51*('Prepare Gantt Chart'!$I50*'Prepare Gantt Chart'!$J50),'Prepare Gantt Chart'!AJ50=0,0)</f>
        <v>0</v>
      </c>
      <c r="BG51" s="45">
        <f>_xlfn.IFS('Prepare Gantt Chart'!AK50=10,'Project types'!$L51*('Prepare Gantt Chart'!$I50*'Prepare Gantt Chart'!$J50),'Prepare Gantt Chart'!AK50=9,'Project types'!$L51*('Prepare Gantt Chart'!$I50*'Prepare Gantt Chart'!$J50),'Prepare Gantt Chart'!AK50=0,0)</f>
        <v>0</v>
      </c>
      <c r="BH51" s="45">
        <f>_xlfn.IFS('Prepare Gantt Chart'!AL50=10,'Project types'!$L51*('Prepare Gantt Chart'!$I50*'Prepare Gantt Chart'!$J50),'Prepare Gantt Chart'!AL50=9,'Project types'!$L51*('Prepare Gantt Chart'!$I50*'Prepare Gantt Chart'!$J50),'Prepare Gantt Chart'!AL50=0,0)</f>
        <v>0</v>
      </c>
      <c r="BI51" s="45">
        <f>_xlfn.IFS('Prepare Gantt Chart'!AM50=10,'Project types'!$L51*('Prepare Gantt Chart'!$I50*'Prepare Gantt Chart'!$J50),'Prepare Gantt Chart'!AM50=9,'Project types'!$L51*('Prepare Gantt Chart'!$I50*'Prepare Gantt Chart'!$J50),'Prepare Gantt Chart'!AM50=0,0)</f>
        <v>0</v>
      </c>
      <c r="BJ51" s="45">
        <f>_xlfn.IFS('Prepare Gantt Chart'!AN50=10,'Project types'!$L51*('Prepare Gantt Chart'!$I50*'Prepare Gantt Chart'!$J50),'Prepare Gantt Chart'!AN50=9,'Project types'!$L51*('Prepare Gantt Chart'!$I50*'Prepare Gantt Chart'!$J50),'Prepare Gantt Chart'!AN50=0,0)</f>
        <v>0</v>
      </c>
      <c r="BK51" s="45">
        <f>_xlfn.IFS('Prepare Gantt Chart'!AO50=10,'Project types'!$L51*('Prepare Gantt Chart'!$I50*'Prepare Gantt Chart'!$J50),'Prepare Gantt Chart'!AO50=9,'Project types'!$L51*('Prepare Gantt Chart'!$I50*'Prepare Gantt Chart'!$J50),'Prepare Gantt Chart'!AO50=0,0)</f>
        <v>0</v>
      </c>
      <c r="BL51" s="46">
        <f>SUM(AL51:BK51)</f>
        <v>0</v>
      </c>
      <c r="BM51" s="75">
        <f>IF('Prepare Gantt Chart'!$J50=0,0,SUM(AL51:AQ51)/6/'Prepare Gantt Chart'!$J50)</f>
        <v>0</v>
      </c>
      <c r="BN51" s="75">
        <f>IF('Prepare Gantt Chart'!$J50=0,0,SUM(AR51:AV51)/5/'Prepare Gantt Chart'!$J50)</f>
        <v>0</v>
      </c>
      <c r="BO51" s="75">
        <f>IF('Prepare Gantt Chart'!$J50=0,0,SUM(AW51:BA51)/5/'Prepare Gantt Chart'!$J50)</f>
        <v>0</v>
      </c>
      <c r="BP51" s="75">
        <f>IF('Prepare Gantt Chart'!$J50=0,0,SUM(BB51:BF51)/5/'Prepare Gantt Chart'!$J50)</f>
        <v>0</v>
      </c>
      <c r="BQ51" s="75">
        <f>IF('Prepare Gantt Chart'!$J50=0,0,SUM(BG51:BK51)/5/'Prepare Gantt Chart'!$J50)</f>
        <v>0</v>
      </c>
    </row>
    <row r="52" spans="1:69" x14ac:dyDescent="0.2">
      <c r="A52" s="30" t="s">
        <v>47</v>
      </c>
      <c r="B52" s="1" t="s">
        <v>134</v>
      </c>
      <c r="C52" s="45">
        <f>_xlfn.IFS('Prepare Gantt Chart'!P51=10,'Project types'!$O52*('Prepare Gantt Chart'!$I51*'Prepare Gantt Chart'!$J51),'Prepare Gantt Chart'!P51=9,'Project types'!$Q52*('Prepare Gantt Chart'!$I51*'Prepare Gantt Chart'!$J51),'Prepare Gantt Chart'!P51=0,0)</f>
        <v>0</v>
      </c>
      <c r="D52" s="45">
        <f>_xlfn.IFS('Prepare Gantt Chart'!Q51=10,'Project types'!$O52*('Prepare Gantt Chart'!$I51*'Prepare Gantt Chart'!$J51),'Prepare Gantt Chart'!Q51=9,'Project types'!$Q52*('Prepare Gantt Chart'!$I51*'Prepare Gantt Chart'!$J51),'Prepare Gantt Chart'!Q51=0,0)</f>
        <v>0</v>
      </c>
      <c r="E52" s="45">
        <f>_xlfn.IFS('Prepare Gantt Chart'!R51=10,'Project types'!$O52*('Prepare Gantt Chart'!$I51*'Prepare Gantt Chart'!$J51),'Prepare Gantt Chart'!R51=9,'Project types'!$Q52*('Prepare Gantt Chart'!$I51*'Prepare Gantt Chart'!$J51),'Prepare Gantt Chart'!R51=0,0)</f>
        <v>0</v>
      </c>
      <c r="F52" s="45">
        <f>_xlfn.IFS('Prepare Gantt Chart'!S51=10,'Project types'!$O52*('Prepare Gantt Chart'!$I51*'Prepare Gantt Chart'!$J51),'Prepare Gantt Chart'!S51=9,'Project types'!$Q52*('Prepare Gantt Chart'!$I51*'Prepare Gantt Chart'!$J51),'Prepare Gantt Chart'!S51=0,0)</f>
        <v>0</v>
      </c>
      <c r="G52" s="45">
        <f>_xlfn.IFS('Prepare Gantt Chart'!T51=10,'Project types'!$O52*('Prepare Gantt Chart'!$I51*'Prepare Gantt Chart'!$J51),'Prepare Gantt Chart'!T51=9,'Project types'!$Q52*('Prepare Gantt Chart'!$I51*'Prepare Gantt Chart'!$J51),'Prepare Gantt Chart'!T51=0,0)</f>
        <v>0</v>
      </c>
      <c r="H52" s="45">
        <f>_xlfn.IFS('Prepare Gantt Chart'!U51=10,'Project types'!$O52*('Prepare Gantt Chart'!$I51*'Prepare Gantt Chart'!$J51),'Prepare Gantt Chart'!U51=9,'Project types'!$Q52*('Prepare Gantt Chart'!$I51*'Prepare Gantt Chart'!$J51),'Prepare Gantt Chart'!U51=0,0)</f>
        <v>0</v>
      </c>
      <c r="I52" s="45">
        <f>_xlfn.IFS('Prepare Gantt Chart'!V51=10,'Project types'!$O52*('Prepare Gantt Chart'!$I51*'Prepare Gantt Chart'!$J51),'Prepare Gantt Chart'!V51=9,'Project types'!$Q52*('Prepare Gantt Chart'!$I51*'Prepare Gantt Chart'!$J51),'Prepare Gantt Chart'!V51=0,0)</f>
        <v>0</v>
      </c>
      <c r="J52" s="45">
        <f>_xlfn.IFS('Prepare Gantt Chart'!W51=10,'Project types'!$O52*('Prepare Gantt Chart'!$I51*'Prepare Gantt Chart'!$J51),'Prepare Gantt Chart'!W51=9,'Project types'!$Q52*('Prepare Gantt Chart'!$I51*'Prepare Gantt Chart'!$J51),'Prepare Gantt Chart'!W51=0,0)</f>
        <v>0</v>
      </c>
      <c r="K52" s="45">
        <f>_xlfn.IFS('Prepare Gantt Chart'!X51=10,'Project types'!$O52*('Prepare Gantt Chart'!$I51*'Prepare Gantt Chart'!$J51),'Prepare Gantt Chart'!X51=9,'Project types'!$Q52*('Prepare Gantt Chart'!$I51*'Prepare Gantt Chart'!$J51),'Prepare Gantt Chart'!X51=0,0)</f>
        <v>0</v>
      </c>
      <c r="L52" s="45">
        <f>_xlfn.IFS('Prepare Gantt Chart'!Y51=10,'Project types'!$O52*('Prepare Gantt Chart'!$I51*'Prepare Gantt Chart'!$J51),'Prepare Gantt Chart'!Y51=9,'Project types'!$Q52*('Prepare Gantt Chart'!$I51*'Prepare Gantt Chart'!$J51),'Prepare Gantt Chart'!Y51=0,0)</f>
        <v>0</v>
      </c>
      <c r="M52" s="45">
        <f>_xlfn.IFS('Prepare Gantt Chart'!Z51=10,'Project types'!$O52*('Prepare Gantt Chart'!$I51*'Prepare Gantt Chart'!$J51),'Prepare Gantt Chart'!Z51=9,'Project types'!$Q52*('Prepare Gantt Chart'!$I51*'Prepare Gantt Chart'!$J51),'Prepare Gantt Chart'!Z51=0,0)</f>
        <v>0</v>
      </c>
      <c r="N52" s="45">
        <f>_xlfn.IFS('Prepare Gantt Chart'!AA51=10,'Project types'!$O52*('Prepare Gantt Chart'!$I51*'Prepare Gantt Chart'!$J51),'Prepare Gantt Chart'!AA51=9,'Project types'!$Q52*('Prepare Gantt Chart'!$I51*'Prepare Gantt Chart'!$J51),'Prepare Gantt Chart'!AA51=0,0)</f>
        <v>0</v>
      </c>
      <c r="O52" s="45">
        <f>_xlfn.IFS('Prepare Gantt Chart'!AB51=10,'Project types'!$O52*('Prepare Gantt Chart'!$I51*'Prepare Gantt Chart'!$J51),'Prepare Gantt Chart'!AB51=9,'Project types'!$Q52*('Prepare Gantt Chart'!$I51*'Prepare Gantt Chart'!$J51),'Prepare Gantt Chart'!AB51=0,0)</f>
        <v>0</v>
      </c>
      <c r="P52" s="45">
        <f>_xlfn.IFS('Prepare Gantt Chart'!AC51=10,'Project types'!$O52*('Prepare Gantt Chart'!$I51*'Prepare Gantt Chart'!$J51),'Prepare Gantt Chart'!AC51=9,'Project types'!$Q52*('Prepare Gantt Chart'!$I51*'Prepare Gantt Chart'!$J51),'Prepare Gantt Chart'!AC51=0,0)</f>
        <v>0</v>
      </c>
      <c r="Q52" s="45">
        <f>_xlfn.IFS('Prepare Gantt Chart'!AD51=10,'Project types'!$O52*('Prepare Gantt Chart'!$I51*'Prepare Gantt Chart'!$J51),'Prepare Gantt Chart'!AD51=9,'Project types'!$Q52*('Prepare Gantt Chart'!$I51*'Prepare Gantt Chart'!$J51),'Prepare Gantt Chart'!AD51=0,0)</f>
        <v>0</v>
      </c>
      <c r="R52" s="45">
        <f>_xlfn.IFS('Prepare Gantt Chart'!AE51=10,'Project types'!$O52*('Prepare Gantt Chart'!$I51*'Prepare Gantt Chart'!$J51),'Prepare Gantt Chart'!AE51=9,'Project types'!$Q52*('Prepare Gantt Chart'!$I51*'Prepare Gantt Chart'!$J51),'Prepare Gantt Chart'!AE51=0,0)</f>
        <v>0</v>
      </c>
      <c r="S52" s="45">
        <f>_xlfn.IFS('Prepare Gantt Chart'!AF51=10,'Project types'!$O52*('Prepare Gantt Chart'!$I51*'Prepare Gantt Chart'!$J51),'Prepare Gantt Chart'!AF51=9,'Project types'!$Q52*('Prepare Gantt Chart'!$I51*'Prepare Gantt Chart'!$J51),'Prepare Gantt Chart'!AF51=0,0)</f>
        <v>0</v>
      </c>
      <c r="T52" s="45">
        <f>_xlfn.IFS('Prepare Gantt Chart'!AG51=10,'Project types'!$O52*('Prepare Gantt Chart'!$I51*'Prepare Gantt Chart'!$J51),'Prepare Gantt Chart'!AG51=9,'Project types'!$Q52*('Prepare Gantt Chart'!$I51*'Prepare Gantt Chart'!$J51),'Prepare Gantt Chart'!AG51=0,0)</f>
        <v>0</v>
      </c>
      <c r="U52" s="45">
        <f>_xlfn.IFS('Prepare Gantt Chart'!AH51=10,'Project types'!$O52*('Prepare Gantt Chart'!$I51*'Prepare Gantt Chart'!$J51),'Prepare Gantt Chart'!AH51=9,'Project types'!$Q52*('Prepare Gantt Chart'!$I51*'Prepare Gantt Chart'!$J51),'Prepare Gantt Chart'!AH51=0,0)</f>
        <v>0</v>
      </c>
      <c r="V52" s="45">
        <f>_xlfn.IFS('Prepare Gantt Chart'!AI51=10,'Project types'!$O52*('Prepare Gantt Chart'!$I51*'Prepare Gantt Chart'!$J51),'Prepare Gantt Chart'!AI51=9,'Project types'!$Q52*('Prepare Gantt Chart'!$I51*'Prepare Gantt Chart'!$J51),'Prepare Gantt Chart'!AI51=0,0)</f>
        <v>0</v>
      </c>
      <c r="W52" s="45">
        <f>_xlfn.IFS('Prepare Gantt Chart'!AJ51=10,'Project types'!$O52*('Prepare Gantt Chart'!$I51*'Prepare Gantt Chart'!$J51),'Prepare Gantt Chart'!AJ51=9,'Project types'!$Q52*('Prepare Gantt Chart'!$I51*'Prepare Gantt Chart'!$J51),'Prepare Gantt Chart'!AJ51=0,0)</f>
        <v>0</v>
      </c>
      <c r="X52" s="45">
        <f>_xlfn.IFS('Prepare Gantt Chart'!AK51=10,'Project types'!$O52*('Prepare Gantt Chart'!$I51*'Prepare Gantt Chart'!$J51),'Prepare Gantt Chart'!AK51=9,'Project types'!$Q52*('Prepare Gantt Chart'!$I51*'Prepare Gantt Chart'!$J51),'Prepare Gantt Chart'!AK51=0,0)</f>
        <v>0</v>
      </c>
      <c r="Y52" s="45">
        <f>_xlfn.IFS('Prepare Gantt Chart'!AL51=10,'Project types'!$O52*('Prepare Gantt Chart'!$I51*'Prepare Gantt Chart'!$J51),'Prepare Gantt Chart'!AL51=9,'Project types'!$Q52*('Prepare Gantt Chart'!$I51*'Prepare Gantt Chart'!$J51),'Prepare Gantt Chart'!AL51=0,0)</f>
        <v>0</v>
      </c>
      <c r="Z52" s="45">
        <f>_xlfn.IFS('Prepare Gantt Chart'!AM51=10,'Project types'!$O52*('Prepare Gantt Chart'!$I51*'Prepare Gantt Chart'!$J51),'Prepare Gantt Chart'!AM51=9,'Project types'!$Q52*('Prepare Gantt Chart'!$I51*'Prepare Gantt Chart'!$J51),'Prepare Gantt Chart'!AM51=0,0)</f>
        <v>0</v>
      </c>
      <c r="AA52" s="45">
        <f>_xlfn.IFS('Prepare Gantt Chart'!AN51=10,'Project types'!$O52*('Prepare Gantt Chart'!$I51*'Prepare Gantt Chart'!$J51),'Prepare Gantt Chart'!AN51=9,'Project types'!$Q52*('Prepare Gantt Chart'!$I51*'Prepare Gantt Chart'!$J51),'Prepare Gantt Chart'!AN51=0,0)</f>
        <v>0</v>
      </c>
      <c r="AB52" s="45">
        <f>_xlfn.IFS('Prepare Gantt Chart'!AO51=10,'Project types'!$O52*('Prepare Gantt Chart'!$I51*'Prepare Gantt Chart'!$J51),'Prepare Gantt Chart'!AO51=9,'Project types'!$Q52*('Prepare Gantt Chart'!$I51*'Prepare Gantt Chart'!$J51),'Prepare Gantt Chart'!AO51=0,0)</f>
        <v>0</v>
      </c>
      <c r="AC52" s="45">
        <f>'Prepare Gantt Chart'!J51*'Prepare Gantt Chart'!I51*(AD52/26)</f>
        <v>0</v>
      </c>
      <c r="AD52" s="46">
        <f t="shared" si="0"/>
        <v>0</v>
      </c>
      <c r="AE52" s="72">
        <f>IF('Prepare Gantt Chart'!$J51=0,0,SUM(C52:H52)/6/'Prepare Gantt Chart'!$J51)</f>
        <v>0</v>
      </c>
      <c r="AF52" s="72">
        <f>IF('Prepare Gantt Chart'!$J51=0,0,SUM(I52:M52)/5/'Prepare Gantt Chart'!$J51)</f>
        <v>0</v>
      </c>
      <c r="AG52" s="72">
        <f>IF('Prepare Gantt Chart'!$J51=0,0,SUM(N52:R52)/5/'Prepare Gantt Chart'!$J51)</f>
        <v>0</v>
      </c>
      <c r="AH52" s="72">
        <f>IF('Prepare Gantt Chart'!$J51=0,0,SUM(S52:W52)/5/'Prepare Gantt Chart'!$J51)</f>
        <v>0</v>
      </c>
      <c r="AI52" s="72">
        <f>IF('Prepare Gantt Chart'!$J51=0,0,SUM(X52:AB52)/5/'Prepare Gantt Chart'!$J51)</f>
        <v>0</v>
      </c>
      <c r="AK52" s="30" t="s">
        <v>47</v>
      </c>
      <c r="AL52" s="45">
        <f>_xlfn.IFS('Prepare Gantt Chart'!P51=10,'Project types'!$L52*('Prepare Gantt Chart'!$I51*'Prepare Gantt Chart'!$J51),'Prepare Gantt Chart'!P51=9,'Project types'!$L52*('Prepare Gantt Chart'!$I51*'Prepare Gantt Chart'!$J51),'Prepare Gantt Chart'!P51=0,0)</f>
        <v>0</v>
      </c>
      <c r="AM52" s="45">
        <f>_xlfn.IFS('Prepare Gantt Chart'!Q51=10,'Project types'!$L52*('Prepare Gantt Chart'!$I51*'Prepare Gantt Chart'!$J51),'Prepare Gantt Chart'!Q51=9,'Project types'!$L52*('Prepare Gantt Chart'!$I51*'Prepare Gantt Chart'!$J51),'Prepare Gantt Chart'!Q51=0,0)</f>
        <v>0</v>
      </c>
      <c r="AN52" s="45">
        <f>_xlfn.IFS('Prepare Gantt Chart'!R51=10,'Project types'!$L52*('Prepare Gantt Chart'!$I51*'Prepare Gantt Chart'!$J51),'Prepare Gantt Chart'!R51=9,'Project types'!$L52*('Prepare Gantt Chart'!$I51*'Prepare Gantt Chart'!$J51),'Prepare Gantt Chart'!R51=0,0)</f>
        <v>0</v>
      </c>
      <c r="AO52" s="45">
        <f>_xlfn.IFS('Prepare Gantt Chart'!S51=10,'Project types'!$L52*('Prepare Gantt Chart'!$I51*'Prepare Gantt Chart'!$J51),'Prepare Gantt Chart'!S51=9,'Project types'!$L52*('Prepare Gantt Chart'!$I51*'Prepare Gantt Chart'!$J51),'Prepare Gantt Chart'!S51=0,0)</f>
        <v>0</v>
      </c>
      <c r="AP52" s="45">
        <f>_xlfn.IFS('Prepare Gantt Chart'!T51=10,'Project types'!$L52*('Prepare Gantt Chart'!$I51*'Prepare Gantt Chart'!$J51),'Prepare Gantt Chart'!T51=9,'Project types'!$L52*('Prepare Gantt Chart'!$I51*'Prepare Gantt Chart'!$J51),'Prepare Gantt Chart'!T51=0,0)</f>
        <v>0</v>
      </c>
      <c r="AQ52" s="45">
        <f>_xlfn.IFS('Prepare Gantt Chart'!U51=10,'Project types'!$L52*('Prepare Gantt Chart'!$I51*'Prepare Gantt Chart'!$J51),'Prepare Gantt Chart'!U51=9,'Project types'!$L52*('Prepare Gantt Chart'!$I51*'Prepare Gantt Chart'!$J51),'Prepare Gantt Chart'!U51=0,0)</f>
        <v>0</v>
      </c>
      <c r="AR52" s="45">
        <f>_xlfn.IFS('Prepare Gantt Chart'!V51=10,'Project types'!$L52*('Prepare Gantt Chart'!$I51*'Prepare Gantt Chart'!$J51),'Prepare Gantt Chart'!V51=9,'Project types'!$L52*('Prepare Gantt Chart'!$I51*'Prepare Gantt Chart'!$J51),'Prepare Gantt Chart'!V51=0,0)</f>
        <v>0</v>
      </c>
      <c r="AS52" s="45">
        <f>_xlfn.IFS('Prepare Gantt Chart'!W51=10,'Project types'!$L52*('Prepare Gantt Chart'!$I51*'Prepare Gantt Chart'!$J51),'Prepare Gantt Chart'!W51=9,'Project types'!$L52*('Prepare Gantt Chart'!$I51*'Prepare Gantt Chart'!$J51),'Prepare Gantt Chart'!W51=0,0)</f>
        <v>0</v>
      </c>
      <c r="AT52" s="45">
        <f>_xlfn.IFS('Prepare Gantt Chart'!X51=10,'Project types'!$L52*('Prepare Gantt Chart'!$I51*'Prepare Gantt Chart'!$J51),'Prepare Gantt Chart'!X51=9,'Project types'!$L52*('Prepare Gantt Chart'!$I51*'Prepare Gantt Chart'!$J51),'Prepare Gantt Chart'!X51=0,0)</f>
        <v>0</v>
      </c>
      <c r="AU52" s="45">
        <f>_xlfn.IFS('Prepare Gantt Chart'!Y51=10,'Project types'!$L52*('Prepare Gantt Chart'!$I51*'Prepare Gantt Chart'!$J51),'Prepare Gantt Chart'!Y51=9,'Project types'!$L52*('Prepare Gantt Chart'!$I51*'Prepare Gantt Chart'!$J51),'Prepare Gantt Chart'!Y51=0,0)</f>
        <v>0</v>
      </c>
      <c r="AV52" s="45">
        <f>_xlfn.IFS('Prepare Gantt Chart'!Z51=10,'Project types'!$L52*('Prepare Gantt Chart'!$I51*'Prepare Gantt Chart'!$J51),'Prepare Gantt Chart'!Z51=9,'Project types'!$L52*('Prepare Gantt Chart'!$I51*'Prepare Gantt Chart'!$J51),'Prepare Gantt Chart'!Z51=0,0)</f>
        <v>0</v>
      </c>
      <c r="AW52" s="45">
        <f>_xlfn.IFS('Prepare Gantt Chart'!AA51=10,'Project types'!$L52*('Prepare Gantt Chart'!$I51*'Prepare Gantt Chart'!$J51),'Prepare Gantt Chart'!AA51=9,'Project types'!$L52*('Prepare Gantt Chart'!$I51*'Prepare Gantt Chart'!$J51),'Prepare Gantt Chart'!AA51=0,0)</f>
        <v>0</v>
      </c>
      <c r="AX52" s="45">
        <f>_xlfn.IFS('Prepare Gantt Chart'!AB51=10,'Project types'!$L52*('Prepare Gantt Chart'!$I51*'Prepare Gantt Chart'!$J51),'Prepare Gantt Chart'!AB51=9,'Project types'!$L52*('Prepare Gantt Chart'!$I51*'Prepare Gantt Chart'!$J51),'Prepare Gantt Chart'!AB51=0,0)</f>
        <v>0</v>
      </c>
      <c r="AY52" s="45">
        <f>_xlfn.IFS('Prepare Gantt Chart'!AC51=10,'Project types'!$L52*('Prepare Gantt Chart'!$I51*'Prepare Gantt Chart'!$J51),'Prepare Gantt Chart'!AC51=9,'Project types'!$L52*('Prepare Gantt Chart'!$I51*'Prepare Gantt Chart'!$J51),'Prepare Gantt Chart'!AC51=0,0)</f>
        <v>0</v>
      </c>
      <c r="AZ52" s="45">
        <f>_xlfn.IFS('Prepare Gantt Chart'!AD51=10,'Project types'!$L52*('Prepare Gantt Chart'!$I51*'Prepare Gantt Chart'!$J51),'Prepare Gantt Chart'!AD51=9,'Project types'!$L52*('Prepare Gantt Chart'!$I51*'Prepare Gantt Chart'!$J51),'Prepare Gantt Chart'!AD51=0,0)</f>
        <v>0</v>
      </c>
      <c r="BA52" s="45">
        <f>_xlfn.IFS('Prepare Gantt Chart'!AE51=10,'Project types'!$L52*('Prepare Gantt Chart'!$I51*'Prepare Gantt Chart'!$J51),'Prepare Gantt Chart'!AE51=9,'Project types'!$L52*('Prepare Gantt Chart'!$I51*'Prepare Gantt Chart'!$J51),'Prepare Gantt Chart'!AE51=0,0)</f>
        <v>0</v>
      </c>
      <c r="BB52" s="45">
        <f>_xlfn.IFS('Prepare Gantt Chart'!AF51=10,'Project types'!$L52*('Prepare Gantt Chart'!$I51*'Prepare Gantt Chart'!$J51),'Prepare Gantt Chart'!AF51=9,'Project types'!$L52*('Prepare Gantt Chart'!$I51*'Prepare Gantt Chart'!$J51),'Prepare Gantt Chart'!AF51=0,0)</f>
        <v>0</v>
      </c>
      <c r="BC52" s="45">
        <f>_xlfn.IFS('Prepare Gantt Chart'!AG51=10,'Project types'!$L52*('Prepare Gantt Chart'!$I51*'Prepare Gantt Chart'!$J51),'Prepare Gantt Chart'!AG51=9,'Project types'!$L52*('Prepare Gantt Chart'!$I51*'Prepare Gantt Chart'!$J51),'Prepare Gantt Chart'!AG51=0,0)</f>
        <v>0</v>
      </c>
      <c r="BD52" s="45">
        <f>_xlfn.IFS('Prepare Gantt Chart'!AH51=10,'Project types'!$L52*('Prepare Gantt Chart'!$I51*'Prepare Gantt Chart'!$J51),'Prepare Gantt Chart'!AH51=9,'Project types'!$L52*('Prepare Gantt Chart'!$I51*'Prepare Gantt Chart'!$J51),'Prepare Gantt Chart'!AH51=0,0)</f>
        <v>0</v>
      </c>
      <c r="BE52" s="45">
        <f>_xlfn.IFS('Prepare Gantt Chart'!AI51=10,'Project types'!$L52*('Prepare Gantt Chart'!$I51*'Prepare Gantt Chart'!$J51),'Prepare Gantt Chart'!AI51=9,'Project types'!$L52*('Prepare Gantt Chart'!$I51*'Prepare Gantt Chart'!$J51),'Prepare Gantt Chart'!AI51=0,0)</f>
        <v>0</v>
      </c>
      <c r="BF52" s="45">
        <f>_xlfn.IFS('Prepare Gantt Chart'!AJ51=10,'Project types'!$L52*('Prepare Gantt Chart'!$I51*'Prepare Gantt Chart'!$J51),'Prepare Gantt Chart'!AJ51=9,'Project types'!$L52*('Prepare Gantt Chart'!$I51*'Prepare Gantt Chart'!$J51),'Prepare Gantt Chart'!AJ51=0,0)</f>
        <v>0</v>
      </c>
      <c r="BG52" s="45">
        <f>_xlfn.IFS('Prepare Gantt Chart'!AK51=10,'Project types'!$L52*('Prepare Gantt Chart'!$I51*'Prepare Gantt Chart'!$J51),'Prepare Gantt Chart'!AK51=9,'Project types'!$L52*('Prepare Gantt Chart'!$I51*'Prepare Gantt Chart'!$J51),'Prepare Gantt Chart'!AK51=0,0)</f>
        <v>0</v>
      </c>
      <c r="BH52" s="45">
        <f>_xlfn.IFS('Prepare Gantt Chart'!AL51=10,'Project types'!$L52*('Prepare Gantt Chart'!$I51*'Prepare Gantt Chart'!$J51),'Prepare Gantt Chart'!AL51=9,'Project types'!$L52*('Prepare Gantt Chart'!$I51*'Prepare Gantt Chart'!$J51),'Prepare Gantt Chart'!AL51=0,0)</f>
        <v>0</v>
      </c>
      <c r="BI52" s="45">
        <f>_xlfn.IFS('Prepare Gantt Chart'!AM51=10,'Project types'!$L52*('Prepare Gantt Chart'!$I51*'Prepare Gantt Chart'!$J51),'Prepare Gantt Chart'!AM51=9,'Project types'!$L52*('Prepare Gantt Chart'!$I51*'Prepare Gantt Chart'!$J51),'Prepare Gantt Chart'!AM51=0,0)</f>
        <v>0</v>
      </c>
      <c r="BJ52" s="45">
        <f>_xlfn.IFS('Prepare Gantt Chart'!AN51=10,'Project types'!$L52*('Prepare Gantt Chart'!$I51*'Prepare Gantt Chart'!$J51),'Prepare Gantt Chart'!AN51=9,'Project types'!$L52*('Prepare Gantt Chart'!$I51*'Prepare Gantt Chart'!$J51),'Prepare Gantt Chart'!AN51=0,0)</f>
        <v>0</v>
      </c>
      <c r="BK52" s="45">
        <f>_xlfn.IFS('Prepare Gantt Chart'!AO51=10,'Project types'!$L52*('Prepare Gantt Chart'!$I51*'Prepare Gantt Chart'!$J51),'Prepare Gantt Chart'!AO51=9,'Project types'!$L52*('Prepare Gantt Chart'!$I51*'Prepare Gantt Chart'!$J51),'Prepare Gantt Chart'!AO51=0,0)</f>
        <v>0</v>
      </c>
      <c r="BL52" s="46">
        <f t="shared" si="1"/>
        <v>0</v>
      </c>
      <c r="BM52" s="75">
        <f>IF('Prepare Gantt Chart'!$J51=0,0,SUM(AL52:AQ52)/6/'Prepare Gantt Chart'!$J51)</f>
        <v>0</v>
      </c>
      <c r="BN52" s="75">
        <f>IF('Prepare Gantt Chart'!$J51=0,0,SUM(AR52:AV52)/5/'Prepare Gantt Chart'!$J51)</f>
        <v>0</v>
      </c>
      <c r="BO52" s="75">
        <f>IF('Prepare Gantt Chart'!$J51=0,0,SUM(AW52:BA52)/5/'Prepare Gantt Chart'!$J51)</f>
        <v>0</v>
      </c>
      <c r="BP52" s="75">
        <f>IF('Prepare Gantt Chart'!$J51=0,0,SUM(BB52:BF52)/5/'Prepare Gantt Chart'!$J51)</f>
        <v>0</v>
      </c>
      <c r="BQ52" s="75">
        <f>IF('Prepare Gantt Chart'!$J51=0,0,SUM(BG52:BK52)/5/'Prepare Gantt Chart'!$J51)</f>
        <v>0</v>
      </c>
    </row>
    <row r="53" spans="1:69" x14ac:dyDescent="0.2">
      <c r="A53" s="30" t="s">
        <v>48</v>
      </c>
      <c r="B53" s="1" t="s">
        <v>135</v>
      </c>
      <c r="C53" s="45">
        <f>_xlfn.IFS('Prepare Gantt Chart'!P52=10,'Project types'!$O53*('Prepare Gantt Chart'!$I52*'Prepare Gantt Chart'!$J52),'Prepare Gantt Chart'!P52=9,'Project types'!$Q53*('Prepare Gantt Chart'!$I52*'Prepare Gantt Chart'!$J52),'Prepare Gantt Chart'!P52=0,0)</f>
        <v>0</v>
      </c>
      <c r="D53" s="45">
        <f>_xlfn.IFS('Prepare Gantt Chart'!Q52=10,'Project types'!$O53*('Prepare Gantt Chart'!$I52*'Prepare Gantt Chart'!$J52),'Prepare Gantt Chart'!Q52=9,'Project types'!$Q53*('Prepare Gantt Chart'!$I52*'Prepare Gantt Chart'!$J52),'Prepare Gantt Chart'!Q52=0,0)</f>
        <v>0</v>
      </c>
      <c r="E53" s="45">
        <f>_xlfn.IFS('Prepare Gantt Chart'!R52=10,'Project types'!$O53*('Prepare Gantt Chart'!$I52*'Prepare Gantt Chart'!$J52),'Prepare Gantt Chart'!R52=9,'Project types'!$Q53*('Prepare Gantt Chart'!$I52*'Prepare Gantt Chart'!$J52),'Prepare Gantt Chart'!R52=0,0)</f>
        <v>0</v>
      </c>
      <c r="F53" s="45">
        <f>_xlfn.IFS('Prepare Gantt Chart'!S52=10,'Project types'!$O53*('Prepare Gantt Chart'!$I52*'Prepare Gantt Chart'!$J52),'Prepare Gantt Chart'!S52=9,'Project types'!$Q53*('Prepare Gantt Chart'!$I52*'Prepare Gantt Chart'!$J52),'Prepare Gantt Chart'!S52=0,0)</f>
        <v>0</v>
      </c>
      <c r="G53" s="45">
        <f>_xlfn.IFS('Prepare Gantt Chart'!T52=10,'Project types'!$O53*('Prepare Gantt Chart'!$I52*'Prepare Gantt Chart'!$J52),'Prepare Gantt Chart'!T52=9,'Project types'!$Q53*('Prepare Gantt Chart'!$I52*'Prepare Gantt Chart'!$J52),'Prepare Gantt Chart'!T52=0,0)</f>
        <v>0</v>
      </c>
      <c r="H53" s="45">
        <f>_xlfn.IFS('Prepare Gantt Chart'!U52=10,'Project types'!$O53*('Prepare Gantt Chart'!$I52*'Prepare Gantt Chart'!$J52),'Prepare Gantt Chart'!U52=9,'Project types'!$Q53*('Prepare Gantt Chart'!$I52*'Prepare Gantt Chart'!$J52),'Prepare Gantt Chart'!U52=0,0)</f>
        <v>0</v>
      </c>
      <c r="I53" s="45">
        <f>_xlfn.IFS('Prepare Gantt Chart'!V52=10,'Project types'!$O53*('Prepare Gantt Chart'!$I52*'Prepare Gantt Chart'!$J52),'Prepare Gantt Chart'!V52=9,'Project types'!$Q53*('Prepare Gantt Chart'!$I52*'Prepare Gantt Chart'!$J52),'Prepare Gantt Chart'!V52=0,0)</f>
        <v>0</v>
      </c>
      <c r="J53" s="45">
        <f>_xlfn.IFS('Prepare Gantt Chart'!W52=10,'Project types'!$O53*('Prepare Gantt Chart'!$I52*'Prepare Gantt Chart'!$J52),'Prepare Gantt Chart'!W52=9,'Project types'!$Q53*('Prepare Gantt Chart'!$I52*'Prepare Gantt Chart'!$J52),'Prepare Gantt Chart'!W52=0,0)</f>
        <v>0</v>
      </c>
      <c r="K53" s="45">
        <f>_xlfn.IFS('Prepare Gantt Chart'!X52=10,'Project types'!$O53*('Prepare Gantt Chart'!$I52*'Prepare Gantt Chart'!$J52),'Prepare Gantt Chart'!X52=9,'Project types'!$Q53*('Prepare Gantt Chart'!$I52*'Prepare Gantt Chart'!$J52),'Prepare Gantt Chart'!X52=0,0)</f>
        <v>0</v>
      </c>
      <c r="L53" s="45">
        <f>_xlfn.IFS('Prepare Gantt Chart'!Y52=10,'Project types'!$O53*('Prepare Gantt Chart'!$I52*'Prepare Gantt Chart'!$J52),'Prepare Gantt Chart'!Y52=9,'Project types'!$Q53*('Prepare Gantt Chart'!$I52*'Prepare Gantt Chart'!$J52),'Prepare Gantt Chart'!Y52=0,0)</f>
        <v>0</v>
      </c>
      <c r="M53" s="45">
        <f>_xlfn.IFS('Prepare Gantt Chart'!Z52=10,'Project types'!$O53*('Prepare Gantt Chart'!$I52*'Prepare Gantt Chart'!$J52),'Prepare Gantt Chart'!Z52=9,'Project types'!$Q53*('Prepare Gantt Chart'!$I52*'Prepare Gantt Chart'!$J52),'Prepare Gantt Chart'!Z52=0,0)</f>
        <v>0</v>
      </c>
      <c r="N53" s="45">
        <f>_xlfn.IFS('Prepare Gantt Chart'!AA52=10,'Project types'!$O53*('Prepare Gantt Chart'!$I52*'Prepare Gantt Chart'!$J52),'Prepare Gantt Chart'!AA52=9,'Project types'!$Q53*('Prepare Gantt Chart'!$I52*'Prepare Gantt Chart'!$J52),'Prepare Gantt Chart'!AA52=0,0)</f>
        <v>0</v>
      </c>
      <c r="O53" s="45">
        <f>_xlfn.IFS('Prepare Gantt Chart'!AB52=10,'Project types'!$O53*('Prepare Gantt Chart'!$I52*'Prepare Gantt Chart'!$J52),'Prepare Gantt Chart'!AB52=9,'Project types'!$Q53*('Prepare Gantt Chart'!$I52*'Prepare Gantt Chart'!$J52),'Prepare Gantt Chart'!AB52=0,0)</f>
        <v>0</v>
      </c>
      <c r="P53" s="45">
        <f>_xlfn.IFS('Prepare Gantt Chart'!AC52=10,'Project types'!$O53*('Prepare Gantt Chart'!$I52*'Prepare Gantt Chart'!$J52),'Prepare Gantt Chart'!AC52=9,'Project types'!$Q53*('Prepare Gantt Chart'!$I52*'Prepare Gantt Chart'!$J52),'Prepare Gantt Chart'!AC52=0,0)</f>
        <v>0</v>
      </c>
      <c r="Q53" s="45">
        <f>_xlfn.IFS('Prepare Gantt Chart'!AD52=10,'Project types'!$O53*('Prepare Gantt Chart'!$I52*'Prepare Gantt Chart'!$J52),'Prepare Gantt Chart'!AD52=9,'Project types'!$Q53*('Prepare Gantt Chart'!$I52*'Prepare Gantt Chart'!$J52),'Prepare Gantt Chart'!AD52=0,0)</f>
        <v>0</v>
      </c>
      <c r="R53" s="45">
        <f>_xlfn.IFS('Prepare Gantt Chart'!AE52=10,'Project types'!$O53*('Prepare Gantt Chart'!$I52*'Prepare Gantt Chart'!$J52),'Prepare Gantt Chart'!AE52=9,'Project types'!$Q53*('Prepare Gantt Chart'!$I52*'Prepare Gantt Chart'!$J52),'Prepare Gantt Chart'!AE52=0,0)</f>
        <v>0</v>
      </c>
      <c r="S53" s="45">
        <f>_xlfn.IFS('Prepare Gantt Chart'!AF52=10,'Project types'!$O53*('Prepare Gantt Chart'!$I52*'Prepare Gantt Chart'!$J52),'Prepare Gantt Chart'!AF52=9,'Project types'!$Q53*('Prepare Gantt Chart'!$I52*'Prepare Gantt Chart'!$J52),'Prepare Gantt Chart'!AF52=0,0)</f>
        <v>0</v>
      </c>
      <c r="T53" s="45">
        <f>_xlfn.IFS('Prepare Gantt Chart'!AG52=10,'Project types'!$O53*('Prepare Gantt Chart'!$I52*'Prepare Gantt Chart'!$J52),'Prepare Gantt Chart'!AG52=9,'Project types'!$Q53*('Prepare Gantt Chart'!$I52*'Prepare Gantt Chart'!$J52),'Prepare Gantt Chart'!AG52=0,0)</f>
        <v>0</v>
      </c>
      <c r="U53" s="45">
        <f>_xlfn.IFS('Prepare Gantt Chart'!AH52=10,'Project types'!$O53*('Prepare Gantt Chart'!$I52*'Prepare Gantt Chart'!$J52),'Prepare Gantt Chart'!AH52=9,'Project types'!$Q53*('Prepare Gantt Chart'!$I52*'Prepare Gantt Chart'!$J52),'Prepare Gantt Chart'!AH52=0,0)</f>
        <v>0</v>
      </c>
      <c r="V53" s="45">
        <f>_xlfn.IFS('Prepare Gantt Chart'!AI52=10,'Project types'!$O53*('Prepare Gantt Chart'!$I52*'Prepare Gantt Chart'!$J52),'Prepare Gantt Chart'!AI52=9,'Project types'!$Q53*('Prepare Gantt Chart'!$I52*'Prepare Gantt Chart'!$J52),'Prepare Gantt Chart'!AI52=0,0)</f>
        <v>0</v>
      </c>
      <c r="W53" s="45">
        <f>_xlfn.IFS('Prepare Gantt Chart'!AJ52=10,'Project types'!$O53*('Prepare Gantt Chart'!$I52*'Prepare Gantt Chart'!$J52),'Prepare Gantt Chart'!AJ52=9,'Project types'!$Q53*('Prepare Gantt Chart'!$I52*'Prepare Gantt Chart'!$J52),'Prepare Gantt Chart'!AJ52=0,0)</f>
        <v>0</v>
      </c>
      <c r="X53" s="45">
        <f>_xlfn.IFS('Prepare Gantt Chart'!AK52=10,'Project types'!$O53*('Prepare Gantt Chart'!$I52*'Prepare Gantt Chart'!$J52),'Prepare Gantt Chart'!AK52=9,'Project types'!$Q53*('Prepare Gantt Chart'!$I52*'Prepare Gantt Chart'!$J52),'Prepare Gantt Chart'!AK52=0,0)</f>
        <v>0</v>
      </c>
      <c r="Y53" s="45">
        <f>_xlfn.IFS('Prepare Gantt Chart'!AL52=10,'Project types'!$O53*('Prepare Gantt Chart'!$I52*'Prepare Gantt Chart'!$J52),'Prepare Gantt Chart'!AL52=9,'Project types'!$Q53*('Prepare Gantt Chart'!$I52*'Prepare Gantt Chart'!$J52),'Prepare Gantt Chart'!AL52=0,0)</f>
        <v>0</v>
      </c>
      <c r="Z53" s="45">
        <f>_xlfn.IFS('Prepare Gantt Chart'!AM52=10,'Project types'!$O53*('Prepare Gantt Chart'!$I52*'Prepare Gantt Chart'!$J52),'Prepare Gantt Chart'!AM52=9,'Project types'!$Q53*('Prepare Gantt Chart'!$I52*'Prepare Gantt Chart'!$J52),'Prepare Gantt Chart'!AM52=0,0)</f>
        <v>0</v>
      </c>
      <c r="AA53" s="45">
        <f>_xlfn.IFS('Prepare Gantt Chart'!AN52=10,'Project types'!$O53*('Prepare Gantt Chart'!$I52*'Prepare Gantt Chart'!$J52),'Prepare Gantt Chart'!AN52=9,'Project types'!$Q53*('Prepare Gantt Chart'!$I52*'Prepare Gantt Chart'!$J52),'Prepare Gantt Chart'!AN52=0,0)</f>
        <v>0</v>
      </c>
      <c r="AB53" s="45">
        <f>_xlfn.IFS('Prepare Gantt Chart'!AO52=10,'Project types'!$O53*('Prepare Gantt Chart'!$I52*'Prepare Gantt Chart'!$J52),'Prepare Gantt Chart'!AO52=9,'Project types'!$Q53*('Prepare Gantt Chart'!$I52*'Prepare Gantt Chart'!$J52),'Prepare Gantt Chart'!AO52=0,0)</f>
        <v>0</v>
      </c>
      <c r="AC53" s="45">
        <f>'Prepare Gantt Chart'!J52*'Prepare Gantt Chart'!I52*(AD53/26)</f>
        <v>0</v>
      </c>
      <c r="AD53" s="46">
        <f t="shared" si="0"/>
        <v>0</v>
      </c>
      <c r="AE53" s="72">
        <f>IF('Prepare Gantt Chart'!$J52=0,0,SUM(C53:H53)/6/'Prepare Gantt Chart'!$J52)</f>
        <v>0</v>
      </c>
      <c r="AF53" s="72">
        <f>IF('Prepare Gantt Chart'!$J52=0,0,SUM(I53:M53)/5/'Prepare Gantt Chart'!$J52)</f>
        <v>0</v>
      </c>
      <c r="AG53" s="72">
        <f>IF('Prepare Gantt Chart'!$J52=0,0,SUM(N53:R53)/5/'Prepare Gantt Chart'!$J52)</f>
        <v>0</v>
      </c>
      <c r="AH53" s="72">
        <f>IF('Prepare Gantt Chart'!$J52=0,0,SUM(S53:W53)/5/'Prepare Gantt Chart'!$J52)</f>
        <v>0</v>
      </c>
      <c r="AI53" s="72">
        <f>IF('Prepare Gantt Chart'!$J52=0,0,SUM(X53:AB53)/5/'Prepare Gantt Chart'!$J52)</f>
        <v>0</v>
      </c>
      <c r="AK53" s="30" t="s">
        <v>48</v>
      </c>
      <c r="AL53" s="45">
        <f>_xlfn.IFS('Prepare Gantt Chart'!P52=10,'Project types'!$L53*('Prepare Gantt Chart'!$I52*'Prepare Gantt Chart'!$J52),'Prepare Gantt Chart'!P52=9,'Project types'!$L53*('Prepare Gantt Chart'!$I52*'Prepare Gantt Chart'!$J52),'Prepare Gantt Chart'!P52=0,0)</f>
        <v>0</v>
      </c>
      <c r="AM53" s="45">
        <f>_xlfn.IFS('Prepare Gantt Chart'!Q52=10,'Project types'!$L53*('Prepare Gantt Chart'!$I52*'Prepare Gantt Chart'!$J52),'Prepare Gantt Chart'!Q52=9,'Project types'!$L53*('Prepare Gantt Chart'!$I52*'Prepare Gantt Chart'!$J52),'Prepare Gantt Chart'!Q52=0,0)</f>
        <v>0</v>
      </c>
      <c r="AN53" s="45">
        <f>_xlfn.IFS('Prepare Gantt Chart'!R52=10,'Project types'!$L53*('Prepare Gantt Chart'!$I52*'Prepare Gantt Chart'!$J52),'Prepare Gantt Chart'!R52=9,'Project types'!$L53*('Prepare Gantt Chart'!$I52*'Prepare Gantt Chart'!$J52),'Prepare Gantt Chart'!R52=0,0)</f>
        <v>0</v>
      </c>
      <c r="AO53" s="45">
        <f>_xlfn.IFS('Prepare Gantt Chart'!S52=10,'Project types'!$L53*('Prepare Gantt Chart'!$I52*'Prepare Gantt Chart'!$J52),'Prepare Gantt Chart'!S52=9,'Project types'!$L53*('Prepare Gantt Chart'!$I52*'Prepare Gantt Chart'!$J52),'Prepare Gantt Chart'!S52=0,0)</f>
        <v>0</v>
      </c>
      <c r="AP53" s="45">
        <f>_xlfn.IFS('Prepare Gantt Chart'!T52=10,'Project types'!$L53*('Prepare Gantt Chart'!$I52*'Prepare Gantt Chart'!$J52),'Prepare Gantt Chart'!T52=9,'Project types'!$L53*('Prepare Gantt Chart'!$I52*'Prepare Gantt Chart'!$J52),'Prepare Gantt Chart'!T52=0,0)</f>
        <v>0</v>
      </c>
      <c r="AQ53" s="45">
        <f>_xlfn.IFS('Prepare Gantt Chart'!U52=10,'Project types'!$L53*('Prepare Gantt Chart'!$I52*'Prepare Gantt Chart'!$J52),'Prepare Gantt Chart'!U52=9,'Project types'!$L53*('Prepare Gantt Chart'!$I52*'Prepare Gantt Chart'!$J52),'Prepare Gantt Chart'!U52=0,0)</f>
        <v>0</v>
      </c>
      <c r="AR53" s="45">
        <f>_xlfn.IFS('Prepare Gantt Chart'!V52=10,'Project types'!$L53*('Prepare Gantt Chart'!$I52*'Prepare Gantt Chart'!$J52),'Prepare Gantt Chart'!V52=9,'Project types'!$L53*('Prepare Gantt Chart'!$I52*'Prepare Gantt Chart'!$J52),'Prepare Gantt Chart'!V52=0,0)</f>
        <v>0</v>
      </c>
      <c r="AS53" s="45">
        <f>_xlfn.IFS('Prepare Gantt Chart'!W52=10,'Project types'!$L53*('Prepare Gantt Chart'!$I52*'Prepare Gantt Chart'!$J52),'Prepare Gantt Chart'!W52=9,'Project types'!$L53*('Prepare Gantt Chart'!$I52*'Prepare Gantt Chart'!$J52),'Prepare Gantt Chart'!W52=0,0)</f>
        <v>0</v>
      </c>
      <c r="AT53" s="45">
        <f>_xlfn.IFS('Prepare Gantt Chart'!X52=10,'Project types'!$L53*('Prepare Gantt Chart'!$I52*'Prepare Gantt Chart'!$J52),'Prepare Gantt Chart'!X52=9,'Project types'!$L53*('Prepare Gantt Chart'!$I52*'Prepare Gantt Chart'!$J52),'Prepare Gantt Chart'!X52=0,0)</f>
        <v>0</v>
      </c>
      <c r="AU53" s="45">
        <f>_xlfn.IFS('Prepare Gantt Chart'!Y52=10,'Project types'!$L53*('Prepare Gantt Chart'!$I52*'Prepare Gantt Chart'!$J52),'Prepare Gantt Chart'!Y52=9,'Project types'!$L53*('Prepare Gantt Chart'!$I52*'Prepare Gantt Chart'!$J52),'Prepare Gantt Chart'!Y52=0,0)</f>
        <v>0</v>
      </c>
      <c r="AV53" s="45">
        <f>_xlfn.IFS('Prepare Gantt Chart'!Z52=10,'Project types'!$L53*('Prepare Gantt Chart'!$I52*'Prepare Gantt Chart'!$J52),'Prepare Gantt Chart'!Z52=9,'Project types'!$L53*('Prepare Gantt Chart'!$I52*'Prepare Gantt Chart'!$J52),'Prepare Gantt Chart'!Z52=0,0)</f>
        <v>0</v>
      </c>
      <c r="AW53" s="45">
        <f>_xlfn.IFS('Prepare Gantt Chart'!AA52=10,'Project types'!$L53*('Prepare Gantt Chart'!$I52*'Prepare Gantt Chart'!$J52),'Prepare Gantt Chart'!AA52=9,'Project types'!$L53*('Prepare Gantt Chart'!$I52*'Prepare Gantt Chart'!$J52),'Prepare Gantt Chart'!AA52=0,0)</f>
        <v>0</v>
      </c>
      <c r="AX53" s="45">
        <f>_xlfn.IFS('Prepare Gantt Chart'!AB52=10,'Project types'!$L53*('Prepare Gantt Chart'!$I52*'Prepare Gantt Chart'!$J52),'Prepare Gantt Chart'!AB52=9,'Project types'!$L53*('Prepare Gantt Chart'!$I52*'Prepare Gantt Chart'!$J52),'Prepare Gantt Chart'!AB52=0,0)</f>
        <v>0</v>
      </c>
      <c r="AY53" s="45">
        <f>_xlfn.IFS('Prepare Gantt Chart'!AC52=10,'Project types'!$L53*('Prepare Gantt Chart'!$I52*'Prepare Gantt Chart'!$J52),'Prepare Gantt Chart'!AC52=9,'Project types'!$L53*('Prepare Gantt Chart'!$I52*'Prepare Gantt Chart'!$J52),'Prepare Gantt Chart'!AC52=0,0)</f>
        <v>0</v>
      </c>
      <c r="AZ53" s="45">
        <f>_xlfn.IFS('Prepare Gantt Chart'!AD52=10,'Project types'!$L53*('Prepare Gantt Chart'!$I52*'Prepare Gantt Chart'!$J52),'Prepare Gantt Chart'!AD52=9,'Project types'!$L53*('Prepare Gantt Chart'!$I52*'Prepare Gantt Chart'!$J52),'Prepare Gantt Chart'!AD52=0,0)</f>
        <v>0</v>
      </c>
      <c r="BA53" s="45">
        <f>_xlfn.IFS('Prepare Gantt Chart'!AE52=10,'Project types'!$L53*('Prepare Gantt Chart'!$I52*'Prepare Gantt Chart'!$J52),'Prepare Gantt Chart'!AE52=9,'Project types'!$L53*('Prepare Gantt Chart'!$I52*'Prepare Gantt Chart'!$J52),'Prepare Gantt Chart'!AE52=0,0)</f>
        <v>0</v>
      </c>
      <c r="BB53" s="45">
        <f>_xlfn.IFS('Prepare Gantt Chart'!AF52=10,'Project types'!$L53*('Prepare Gantt Chart'!$I52*'Prepare Gantt Chart'!$J52),'Prepare Gantt Chart'!AF52=9,'Project types'!$L53*('Prepare Gantt Chart'!$I52*'Prepare Gantt Chart'!$J52),'Prepare Gantt Chart'!AF52=0,0)</f>
        <v>0</v>
      </c>
      <c r="BC53" s="45">
        <f>_xlfn.IFS('Prepare Gantt Chart'!AG52=10,'Project types'!$L53*('Prepare Gantt Chart'!$I52*'Prepare Gantt Chart'!$J52),'Prepare Gantt Chart'!AG52=9,'Project types'!$L53*('Prepare Gantt Chart'!$I52*'Prepare Gantt Chart'!$J52),'Prepare Gantt Chart'!AG52=0,0)</f>
        <v>0</v>
      </c>
      <c r="BD53" s="45">
        <f>_xlfn.IFS('Prepare Gantt Chart'!AH52=10,'Project types'!$L53*('Prepare Gantt Chart'!$I52*'Prepare Gantt Chart'!$J52),'Prepare Gantt Chart'!AH52=9,'Project types'!$L53*('Prepare Gantt Chart'!$I52*'Prepare Gantt Chart'!$J52),'Prepare Gantt Chart'!AH52=0,0)</f>
        <v>0</v>
      </c>
      <c r="BE53" s="45">
        <f>_xlfn.IFS('Prepare Gantt Chart'!AI52=10,'Project types'!$L53*('Prepare Gantt Chart'!$I52*'Prepare Gantt Chart'!$J52),'Prepare Gantt Chart'!AI52=9,'Project types'!$L53*('Prepare Gantt Chart'!$I52*'Prepare Gantt Chart'!$J52),'Prepare Gantt Chart'!AI52=0,0)</f>
        <v>0</v>
      </c>
      <c r="BF53" s="45">
        <f>_xlfn.IFS('Prepare Gantt Chart'!AJ52=10,'Project types'!$L53*('Prepare Gantt Chart'!$I52*'Prepare Gantt Chart'!$J52),'Prepare Gantt Chart'!AJ52=9,'Project types'!$L53*('Prepare Gantt Chart'!$I52*'Prepare Gantt Chart'!$J52),'Prepare Gantt Chart'!AJ52=0,0)</f>
        <v>0</v>
      </c>
      <c r="BG53" s="45">
        <f>_xlfn.IFS('Prepare Gantt Chart'!AK52=10,'Project types'!$L53*('Prepare Gantt Chart'!$I52*'Prepare Gantt Chart'!$J52),'Prepare Gantt Chart'!AK52=9,'Project types'!$L53*('Prepare Gantt Chart'!$I52*'Prepare Gantt Chart'!$J52),'Prepare Gantt Chart'!AK52=0,0)</f>
        <v>0</v>
      </c>
      <c r="BH53" s="45">
        <f>_xlfn.IFS('Prepare Gantt Chart'!AL52=10,'Project types'!$L53*('Prepare Gantt Chart'!$I52*'Prepare Gantt Chart'!$J52),'Prepare Gantt Chart'!AL52=9,'Project types'!$L53*('Prepare Gantt Chart'!$I52*'Prepare Gantt Chart'!$J52),'Prepare Gantt Chart'!AL52=0,0)</f>
        <v>0</v>
      </c>
      <c r="BI53" s="45">
        <f>_xlfn.IFS('Prepare Gantt Chart'!AM52=10,'Project types'!$L53*('Prepare Gantt Chart'!$I52*'Prepare Gantt Chart'!$J52),'Prepare Gantt Chart'!AM52=9,'Project types'!$L53*('Prepare Gantt Chart'!$I52*'Prepare Gantt Chart'!$J52),'Prepare Gantt Chart'!AM52=0,0)</f>
        <v>0</v>
      </c>
      <c r="BJ53" s="45">
        <f>_xlfn.IFS('Prepare Gantt Chart'!AN52=10,'Project types'!$L53*('Prepare Gantt Chart'!$I52*'Prepare Gantt Chart'!$J52),'Prepare Gantt Chart'!AN52=9,'Project types'!$L53*('Prepare Gantt Chart'!$I52*'Prepare Gantt Chart'!$J52),'Prepare Gantt Chart'!AN52=0,0)</f>
        <v>0</v>
      </c>
      <c r="BK53" s="45">
        <f>_xlfn.IFS('Prepare Gantt Chart'!AO52=10,'Project types'!$L53*('Prepare Gantt Chart'!$I52*'Prepare Gantt Chart'!$J52),'Prepare Gantt Chart'!AO52=9,'Project types'!$L53*('Prepare Gantt Chart'!$I52*'Prepare Gantt Chart'!$J52),'Prepare Gantt Chart'!AO52=0,0)</f>
        <v>0</v>
      </c>
      <c r="BL53" s="46">
        <f t="shared" si="1"/>
        <v>0</v>
      </c>
      <c r="BM53" s="75">
        <f>IF('Prepare Gantt Chart'!$J52=0,0,SUM(AL53:AQ53)/6/'Prepare Gantt Chart'!$J52)</f>
        <v>0</v>
      </c>
      <c r="BN53" s="75">
        <f>IF('Prepare Gantt Chart'!$J52=0,0,SUM(AR53:AV53)/5/'Prepare Gantt Chart'!$J52)</f>
        <v>0</v>
      </c>
      <c r="BO53" s="75">
        <f>IF('Prepare Gantt Chart'!$J52=0,0,SUM(AW53:BA53)/5/'Prepare Gantt Chart'!$J52)</f>
        <v>0</v>
      </c>
      <c r="BP53" s="75">
        <f>IF('Prepare Gantt Chart'!$J52=0,0,SUM(BB53:BF53)/5/'Prepare Gantt Chart'!$J52)</f>
        <v>0</v>
      </c>
      <c r="BQ53" s="75">
        <f>IF('Prepare Gantt Chart'!$J52=0,0,SUM(BG53:BK53)/5/'Prepare Gantt Chart'!$J52)</f>
        <v>0</v>
      </c>
    </row>
    <row r="54" spans="1:69" x14ac:dyDescent="0.2">
      <c r="A54" s="30" t="s">
        <v>49</v>
      </c>
      <c r="B54" s="1" t="s">
        <v>136</v>
      </c>
      <c r="C54" s="45">
        <f>_xlfn.IFS('Prepare Gantt Chart'!P53=10,'Project types'!$O54*('Prepare Gantt Chart'!$I53*'Prepare Gantt Chart'!$J53),'Prepare Gantt Chart'!P53=9,'Project types'!$Q54*('Prepare Gantt Chart'!$I53*'Prepare Gantt Chart'!$J53),'Prepare Gantt Chart'!P53=0,0)</f>
        <v>0</v>
      </c>
      <c r="D54" s="45">
        <f>_xlfn.IFS('Prepare Gantt Chart'!Q53=10,'Project types'!$O54*('Prepare Gantt Chart'!$I53*'Prepare Gantt Chart'!$J53),'Prepare Gantt Chart'!Q53=9,'Project types'!$Q54*('Prepare Gantt Chart'!$I53*'Prepare Gantt Chart'!$J53),'Prepare Gantt Chart'!Q53=0,0)</f>
        <v>0</v>
      </c>
      <c r="E54" s="45">
        <f>_xlfn.IFS('Prepare Gantt Chart'!R53=10,'Project types'!$O54*('Prepare Gantt Chart'!$I53*'Prepare Gantt Chart'!$J53),'Prepare Gantt Chart'!R53=9,'Project types'!$Q54*('Prepare Gantt Chart'!$I53*'Prepare Gantt Chart'!$J53),'Prepare Gantt Chart'!R53=0,0)</f>
        <v>0</v>
      </c>
      <c r="F54" s="45">
        <f>_xlfn.IFS('Prepare Gantt Chart'!S53=10,'Project types'!$O54*('Prepare Gantt Chart'!$I53*'Prepare Gantt Chart'!$J53),'Prepare Gantt Chart'!S53=9,'Project types'!$Q54*('Prepare Gantt Chart'!$I53*'Prepare Gantt Chart'!$J53),'Prepare Gantt Chart'!S53=0,0)</f>
        <v>0</v>
      </c>
      <c r="G54" s="45">
        <f>_xlfn.IFS('Prepare Gantt Chart'!T53=10,'Project types'!$O54*('Prepare Gantt Chart'!$I53*'Prepare Gantt Chart'!$J53),'Prepare Gantt Chart'!T53=9,'Project types'!$Q54*('Prepare Gantt Chart'!$I53*'Prepare Gantt Chart'!$J53),'Prepare Gantt Chart'!T53=0,0)</f>
        <v>0</v>
      </c>
      <c r="H54" s="45">
        <f>_xlfn.IFS('Prepare Gantt Chart'!U53=10,'Project types'!$O54*('Prepare Gantt Chart'!$I53*'Prepare Gantt Chart'!$J53),'Prepare Gantt Chart'!U53=9,'Project types'!$Q54*('Prepare Gantt Chart'!$I53*'Prepare Gantt Chart'!$J53),'Prepare Gantt Chart'!U53=0,0)</f>
        <v>0</v>
      </c>
      <c r="I54" s="45">
        <f>_xlfn.IFS('Prepare Gantt Chart'!V53=10,'Project types'!$O54*('Prepare Gantt Chart'!$I53*'Prepare Gantt Chart'!$J53),'Prepare Gantt Chart'!V53=9,'Project types'!$Q54*('Prepare Gantt Chart'!$I53*'Prepare Gantt Chart'!$J53),'Prepare Gantt Chart'!V53=0,0)</f>
        <v>0</v>
      </c>
      <c r="J54" s="45">
        <f>_xlfn.IFS('Prepare Gantt Chart'!W53=10,'Project types'!$O54*('Prepare Gantt Chart'!$I53*'Prepare Gantt Chart'!$J53),'Prepare Gantt Chart'!W53=9,'Project types'!$Q54*('Prepare Gantt Chart'!$I53*'Prepare Gantt Chart'!$J53),'Prepare Gantt Chart'!W53=0,0)</f>
        <v>0</v>
      </c>
      <c r="K54" s="45">
        <f>_xlfn.IFS('Prepare Gantt Chart'!X53=10,'Project types'!$O54*('Prepare Gantt Chart'!$I53*'Prepare Gantt Chart'!$J53),'Prepare Gantt Chart'!X53=9,'Project types'!$Q54*('Prepare Gantt Chart'!$I53*'Prepare Gantt Chart'!$J53),'Prepare Gantt Chart'!X53=0,0)</f>
        <v>0</v>
      </c>
      <c r="L54" s="45">
        <f>_xlfn.IFS('Prepare Gantt Chart'!Y53=10,'Project types'!$O54*('Prepare Gantt Chart'!$I53*'Prepare Gantt Chart'!$J53),'Prepare Gantt Chart'!Y53=9,'Project types'!$Q54*('Prepare Gantt Chart'!$I53*'Prepare Gantt Chart'!$J53),'Prepare Gantt Chart'!Y53=0,0)</f>
        <v>0</v>
      </c>
      <c r="M54" s="45">
        <f>_xlfn.IFS('Prepare Gantt Chart'!Z53=10,'Project types'!$O54*('Prepare Gantt Chart'!$I53*'Prepare Gantt Chart'!$J53),'Prepare Gantt Chart'!Z53=9,'Project types'!$Q54*('Prepare Gantt Chart'!$I53*'Prepare Gantt Chart'!$J53),'Prepare Gantt Chart'!Z53=0,0)</f>
        <v>0</v>
      </c>
      <c r="N54" s="45">
        <f>_xlfn.IFS('Prepare Gantt Chart'!AA53=10,'Project types'!$O54*('Prepare Gantt Chart'!$I53*'Prepare Gantt Chart'!$J53),'Prepare Gantt Chart'!AA53=9,'Project types'!$Q54*('Prepare Gantt Chart'!$I53*'Prepare Gantt Chart'!$J53),'Prepare Gantt Chart'!AA53=0,0)</f>
        <v>0</v>
      </c>
      <c r="O54" s="45">
        <f>_xlfn.IFS('Prepare Gantt Chart'!AB53=10,'Project types'!$O54*('Prepare Gantt Chart'!$I53*'Prepare Gantt Chart'!$J53),'Prepare Gantt Chart'!AB53=9,'Project types'!$Q54*('Prepare Gantt Chart'!$I53*'Prepare Gantt Chart'!$J53),'Prepare Gantt Chart'!AB53=0,0)</f>
        <v>0</v>
      </c>
      <c r="P54" s="45">
        <f>_xlfn.IFS('Prepare Gantt Chart'!AC53=10,'Project types'!$O54*('Prepare Gantt Chart'!$I53*'Prepare Gantt Chart'!$J53),'Prepare Gantt Chart'!AC53=9,'Project types'!$Q54*('Prepare Gantt Chart'!$I53*'Prepare Gantt Chart'!$J53),'Prepare Gantt Chart'!AC53=0,0)</f>
        <v>0</v>
      </c>
      <c r="Q54" s="45">
        <f>_xlfn.IFS('Prepare Gantt Chart'!AD53=10,'Project types'!$O54*('Prepare Gantt Chart'!$I53*'Prepare Gantt Chart'!$J53),'Prepare Gantt Chart'!AD53=9,'Project types'!$Q54*('Prepare Gantt Chart'!$I53*'Prepare Gantt Chart'!$J53),'Prepare Gantt Chart'!AD53=0,0)</f>
        <v>0</v>
      </c>
      <c r="R54" s="45">
        <f>_xlfn.IFS('Prepare Gantt Chart'!AE53=10,'Project types'!$O54*('Prepare Gantt Chart'!$I53*'Prepare Gantt Chart'!$J53),'Prepare Gantt Chart'!AE53=9,'Project types'!$Q54*('Prepare Gantt Chart'!$I53*'Prepare Gantt Chart'!$J53),'Prepare Gantt Chart'!AE53=0,0)</f>
        <v>0</v>
      </c>
      <c r="S54" s="45">
        <f>_xlfn.IFS('Prepare Gantt Chart'!AF53=10,'Project types'!$O54*('Prepare Gantt Chart'!$I53*'Prepare Gantt Chart'!$J53),'Prepare Gantt Chart'!AF53=9,'Project types'!$Q54*('Prepare Gantt Chart'!$I53*'Prepare Gantt Chart'!$J53),'Prepare Gantt Chart'!AF53=0,0)</f>
        <v>0</v>
      </c>
      <c r="T54" s="45">
        <f>_xlfn.IFS('Prepare Gantt Chart'!AG53=10,'Project types'!$O54*('Prepare Gantt Chart'!$I53*'Prepare Gantt Chart'!$J53),'Prepare Gantt Chart'!AG53=9,'Project types'!$Q54*('Prepare Gantt Chart'!$I53*'Prepare Gantt Chart'!$J53),'Prepare Gantt Chart'!AG53=0,0)</f>
        <v>0</v>
      </c>
      <c r="U54" s="45">
        <f>_xlfn.IFS('Prepare Gantt Chart'!AH53=10,'Project types'!$O54*('Prepare Gantt Chart'!$I53*'Prepare Gantt Chart'!$J53),'Prepare Gantt Chart'!AH53=9,'Project types'!$Q54*('Prepare Gantt Chart'!$I53*'Prepare Gantt Chart'!$J53),'Prepare Gantt Chart'!AH53=0,0)</f>
        <v>0</v>
      </c>
      <c r="V54" s="45">
        <f>_xlfn.IFS('Prepare Gantt Chart'!AI53=10,'Project types'!$O54*('Prepare Gantt Chart'!$I53*'Prepare Gantt Chart'!$J53),'Prepare Gantt Chart'!AI53=9,'Project types'!$Q54*('Prepare Gantt Chart'!$I53*'Prepare Gantt Chart'!$J53),'Prepare Gantt Chart'!AI53=0,0)</f>
        <v>0</v>
      </c>
      <c r="W54" s="45">
        <f>_xlfn.IFS('Prepare Gantt Chart'!AJ53=10,'Project types'!$O54*('Prepare Gantt Chart'!$I53*'Prepare Gantt Chart'!$J53),'Prepare Gantt Chart'!AJ53=9,'Project types'!$Q54*('Prepare Gantt Chart'!$I53*'Prepare Gantt Chart'!$J53),'Prepare Gantt Chart'!AJ53=0,0)</f>
        <v>0</v>
      </c>
      <c r="X54" s="45">
        <f>_xlfn.IFS('Prepare Gantt Chart'!AK53=10,'Project types'!$O54*('Prepare Gantt Chart'!$I53*'Prepare Gantt Chart'!$J53),'Prepare Gantt Chart'!AK53=9,'Project types'!$Q54*('Prepare Gantt Chart'!$I53*'Prepare Gantt Chart'!$J53),'Prepare Gantt Chart'!AK53=0,0)</f>
        <v>0</v>
      </c>
      <c r="Y54" s="45">
        <f>_xlfn.IFS('Prepare Gantt Chart'!AL53=10,'Project types'!$O54*('Prepare Gantt Chart'!$I53*'Prepare Gantt Chart'!$J53),'Prepare Gantt Chart'!AL53=9,'Project types'!$Q54*('Prepare Gantt Chart'!$I53*'Prepare Gantt Chart'!$J53),'Prepare Gantt Chart'!AL53=0,0)</f>
        <v>0</v>
      </c>
      <c r="Z54" s="45">
        <f>_xlfn.IFS('Prepare Gantt Chart'!AM53=10,'Project types'!$O54*('Prepare Gantt Chart'!$I53*'Prepare Gantt Chart'!$J53),'Prepare Gantt Chart'!AM53=9,'Project types'!$Q54*('Prepare Gantt Chart'!$I53*'Prepare Gantt Chart'!$J53),'Prepare Gantt Chart'!AM53=0,0)</f>
        <v>0</v>
      </c>
      <c r="AA54" s="45">
        <f>_xlfn.IFS('Prepare Gantt Chart'!AN53=10,'Project types'!$O54*('Prepare Gantt Chart'!$I53*'Prepare Gantt Chart'!$J53),'Prepare Gantt Chart'!AN53=9,'Project types'!$Q54*('Prepare Gantt Chart'!$I53*'Prepare Gantt Chart'!$J53),'Prepare Gantt Chart'!AN53=0,0)</f>
        <v>0</v>
      </c>
      <c r="AB54" s="45">
        <f>_xlfn.IFS('Prepare Gantt Chart'!AO53=10,'Project types'!$O54*('Prepare Gantt Chart'!$I53*'Prepare Gantt Chart'!$J53),'Prepare Gantt Chart'!AO53=9,'Project types'!$Q54*('Prepare Gantt Chart'!$I53*'Prepare Gantt Chart'!$J53),'Prepare Gantt Chart'!AO53=0,0)</f>
        <v>0</v>
      </c>
      <c r="AC54" s="45">
        <f>'Prepare Gantt Chart'!J53*'Prepare Gantt Chart'!I53*(AD54/26)</f>
        <v>0</v>
      </c>
      <c r="AD54" s="46">
        <f t="shared" si="0"/>
        <v>0</v>
      </c>
      <c r="AE54" s="72">
        <f>IF('Prepare Gantt Chart'!$J53=0,0,SUM(C54:H54)/6/'Prepare Gantt Chart'!$J53)</f>
        <v>0</v>
      </c>
      <c r="AF54" s="72">
        <f>IF('Prepare Gantt Chart'!$J53=0,0,SUM(I54:M54)/5/'Prepare Gantt Chart'!$J53)</f>
        <v>0</v>
      </c>
      <c r="AG54" s="72">
        <f>IF('Prepare Gantt Chart'!$J53=0,0,SUM(N54:R54)/5/'Prepare Gantt Chart'!$J53)</f>
        <v>0</v>
      </c>
      <c r="AH54" s="72">
        <f>IF('Prepare Gantt Chart'!$J53=0,0,SUM(S54:W54)/5/'Prepare Gantt Chart'!$J53)</f>
        <v>0</v>
      </c>
      <c r="AI54" s="72">
        <f>IF('Prepare Gantt Chart'!$J53=0,0,SUM(X54:AB54)/5/'Prepare Gantt Chart'!$J53)</f>
        <v>0</v>
      </c>
      <c r="AK54" s="30" t="s">
        <v>49</v>
      </c>
      <c r="AL54" s="45">
        <f>_xlfn.IFS('Prepare Gantt Chart'!P53=10,'Project types'!$L54*('Prepare Gantt Chart'!$I53*'Prepare Gantt Chart'!$J53),'Prepare Gantt Chart'!P53=9,'Project types'!$L54*('Prepare Gantt Chart'!$I53*'Prepare Gantt Chart'!$J53),'Prepare Gantt Chart'!P53=0,0)</f>
        <v>0</v>
      </c>
      <c r="AM54" s="45">
        <f>_xlfn.IFS('Prepare Gantt Chart'!Q53=10,'Project types'!$L54*('Prepare Gantt Chart'!$I53*'Prepare Gantt Chart'!$J53),'Prepare Gantt Chart'!Q53=9,'Project types'!$L54*('Prepare Gantt Chart'!$I53*'Prepare Gantt Chart'!$J53),'Prepare Gantt Chart'!Q53=0,0)</f>
        <v>0</v>
      </c>
      <c r="AN54" s="45">
        <f>_xlfn.IFS('Prepare Gantt Chart'!R53=10,'Project types'!$L54*('Prepare Gantt Chart'!$I53*'Prepare Gantt Chart'!$J53),'Prepare Gantt Chart'!R53=9,'Project types'!$L54*('Prepare Gantt Chart'!$I53*'Prepare Gantt Chart'!$J53),'Prepare Gantt Chart'!R53=0,0)</f>
        <v>0</v>
      </c>
      <c r="AO54" s="45">
        <f>_xlfn.IFS('Prepare Gantt Chart'!S53=10,'Project types'!$L54*('Prepare Gantt Chart'!$I53*'Prepare Gantt Chart'!$J53),'Prepare Gantt Chart'!S53=9,'Project types'!$L54*('Prepare Gantt Chart'!$I53*'Prepare Gantt Chart'!$J53),'Prepare Gantt Chart'!S53=0,0)</f>
        <v>0</v>
      </c>
      <c r="AP54" s="45">
        <f>_xlfn.IFS('Prepare Gantt Chart'!T53=10,'Project types'!$L54*('Prepare Gantt Chart'!$I53*'Prepare Gantt Chart'!$J53),'Prepare Gantt Chart'!T53=9,'Project types'!$L54*('Prepare Gantt Chart'!$I53*'Prepare Gantt Chart'!$J53),'Prepare Gantt Chart'!T53=0,0)</f>
        <v>0</v>
      </c>
      <c r="AQ54" s="45">
        <f>_xlfn.IFS('Prepare Gantt Chart'!U53=10,'Project types'!$L54*('Prepare Gantt Chart'!$I53*'Prepare Gantt Chart'!$J53),'Prepare Gantt Chart'!U53=9,'Project types'!$L54*('Prepare Gantt Chart'!$I53*'Prepare Gantt Chart'!$J53),'Prepare Gantt Chart'!U53=0,0)</f>
        <v>0</v>
      </c>
      <c r="AR54" s="45">
        <f>_xlfn.IFS('Prepare Gantt Chart'!V53=10,'Project types'!$L54*('Prepare Gantt Chart'!$I53*'Prepare Gantt Chart'!$J53),'Prepare Gantt Chart'!V53=9,'Project types'!$L54*('Prepare Gantt Chart'!$I53*'Prepare Gantt Chart'!$J53),'Prepare Gantt Chart'!V53=0,0)</f>
        <v>0</v>
      </c>
      <c r="AS54" s="45">
        <f>_xlfn.IFS('Prepare Gantt Chart'!W53=10,'Project types'!$L54*('Prepare Gantt Chart'!$I53*'Prepare Gantt Chart'!$J53),'Prepare Gantt Chart'!W53=9,'Project types'!$L54*('Prepare Gantt Chart'!$I53*'Prepare Gantt Chart'!$J53),'Prepare Gantt Chart'!W53=0,0)</f>
        <v>0</v>
      </c>
      <c r="AT54" s="45">
        <f>_xlfn.IFS('Prepare Gantt Chart'!X53=10,'Project types'!$L54*('Prepare Gantt Chart'!$I53*'Prepare Gantt Chart'!$J53),'Prepare Gantt Chart'!X53=9,'Project types'!$L54*('Prepare Gantt Chart'!$I53*'Prepare Gantt Chart'!$J53),'Prepare Gantt Chart'!X53=0,0)</f>
        <v>0</v>
      </c>
      <c r="AU54" s="45">
        <f>_xlfn.IFS('Prepare Gantt Chart'!Y53=10,'Project types'!$L54*('Prepare Gantt Chart'!$I53*'Prepare Gantt Chart'!$J53),'Prepare Gantt Chart'!Y53=9,'Project types'!$L54*('Prepare Gantt Chart'!$I53*'Prepare Gantt Chart'!$J53),'Prepare Gantt Chart'!Y53=0,0)</f>
        <v>0</v>
      </c>
      <c r="AV54" s="45">
        <f>_xlfn.IFS('Prepare Gantt Chart'!Z53=10,'Project types'!$L54*('Prepare Gantt Chart'!$I53*'Prepare Gantt Chart'!$J53),'Prepare Gantt Chart'!Z53=9,'Project types'!$L54*('Prepare Gantt Chart'!$I53*'Prepare Gantt Chart'!$J53),'Prepare Gantt Chart'!Z53=0,0)</f>
        <v>0</v>
      </c>
      <c r="AW54" s="45">
        <f>_xlfn.IFS('Prepare Gantt Chart'!AA53=10,'Project types'!$L54*('Prepare Gantt Chart'!$I53*'Prepare Gantt Chart'!$J53),'Prepare Gantt Chart'!AA53=9,'Project types'!$L54*('Prepare Gantt Chart'!$I53*'Prepare Gantt Chart'!$J53),'Prepare Gantt Chart'!AA53=0,0)</f>
        <v>0</v>
      </c>
      <c r="AX54" s="45">
        <f>_xlfn.IFS('Prepare Gantt Chart'!AB53=10,'Project types'!$L54*('Prepare Gantt Chart'!$I53*'Prepare Gantt Chart'!$J53),'Prepare Gantt Chart'!AB53=9,'Project types'!$L54*('Prepare Gantt Chart'!$I53*'Prepare Gantt Chart'!$J53),'Prepare Gantt Chart'!AB53=0,0)</f>
        <v>0</v>
      </c>
      <c r="AY54" s="45">
        <f>_xlfn.IFS('Prepare Gantt Chart'!AC53=10,'Project types'!$L54*('Prepare Gantt Chart'!$I53*'Prepare Gantt Chart'!$J53),'Prepare Gantt Chart'!AC53=9,'Project types'!$L54*('Prepare Gantt Chart'!$I53*'Prepare Gantt Chart'!$J53),'Prepare Gantt Chart'!AC53=0,0)</f>
        <v>0</v>
      </c>
      <c r="AZ54" s="45">
        <f>_xlfn.IFS('Prepare Gantt Chart'!AD53=10,'Project types'!$L54*('Prepare Gantt Chart'!$I53*'Prepare Gantt Chart'!$J53),'Prepare Gantt Chart'!AD53=9,'Project types'!$L54*('Prepare Gantt Chart'!$I53*'Prepare Gantt Chart'!$J53),'Prepare Gantt Chart'!AD53=0,0)</f>
        <v>0</v>
      </c>
      <c r="BA54" s="45">
        <f>_xlfn.IFS('Prepare Gantt Chart'!AE53=10,'Project types'!$L54*('Prepare Gantt Chart'!$I53*'Prepare Gantt Chart'!$J53),'Prepare Gantt Chart'!AE53=9,'Project types'!$L54*('Prepare Gantt Chart'!$I53*'Prepare Gantt Chart'!$J53),'Prepare Gantt Chart'!AE53=0,0)</f>
        <v>0</v>
      </c>
      <c r="BB54" s="45">
        <f>_xlfn.IFS('Prepare Gantt Chart'!AF53=10,'Project types'!$L54*('Prepare Gantt Chart'!$I53*'Prepare Gantt Chart'!$J53),'Prepare Gantt Chart'!AF53=9,'Project types'!$L54*('Prepare Gantt Chart'!$I53*'Prepare Gantt Chart'!$J53),'Prepare Gantt Chart'!AF53=0,0)</f>
        <v>0</v>
      </c>
      <c r="BC54" s="45">
        <f>_xlfn.IFS('Prepare Gantt Chart'!AG53=10,'Project types'!$L54*('Prepare Gantt Chart'!$I53*'Prepare Gantt Chart'!$J53),'Prepare Gantt Chart'!AG53=9,'Project types'!$L54*('Prepare Gantt Chart'!$I53*'Prepare Gantt Chart'!$J53),'Prepare Gantt Chart'!AG53=0,0)</f>
        <v>0</v>
      </c>
      <c r="BD54" s="45">
        <f>_xlfn.IFS('Prepare Gantt Chart'!AH53=10,'Project types'!$L54*('Prepare Gantt Chart'!$I53*'Prepare Gantt Chart'!$J53),'Prepare Gantt Chart'!AH53=9,'Project types'!$L54*('Prepare Gantt Chart'!$I53*'Prepare Gantt Chart'!$J53),'Prepare Gantt Chart'!AH53=0,0)</f>
        <v>0</v>
      </c>
      <c r="BE54" s="45">
        <f>_xlfn.IFS('Prepare Gantt Chart'!AI53=10,'Project types'!$L54*('Prepare Gantt Chart'!$I53*'Prepare Gantt Chart'!$J53),'Prepare Gantt Chart'!AI53=9,'Project types'!$L54*('Prepare Gantt Chart'!$I53*'Prepare Gantt Chart'!$J53),'Prepare Gantt Chart'!AI53=0,0)</f>
        <v>0</v>
      </c>
      <c r="BF54" s="45">
        <f>_xlfn.IFS('Prepare Gantt Chart'!AJ53=10,'Project types'!$L54*('Prepare Gantt Chart'!$I53*'Prepare Gantt Chart'!$J53),'Prepare Gantt Chart'!AJ53=9,'Project types'!$L54*('Prepare Gantt Chart'!$I53*'Prepare Gantt Chart'!$J53),'Prepare Gantt Chart'!AJ53=0,0)</f>
        <v>0</v>
      </c>
      <c r="BG54" s="45">
        <f>_xlfn.IFS('Prepare Gantt Chart'!AK53=10,'Project types'!$L54*('Prepare Gantt Chart'!$I53*'Prepare Gantt Chart'!$J53),'Prepare Gantt Chart'!AK53=9,'Project types'!$L54*('Prepare Gantt Chart'!$I53*'Prepare Gantt Chart'!$J53),'Prepare Gantt Chart'!AK53=0,0)</f>
        <v>0</v>
      </c>
      <c r="BH54" s="45">
        <f>_xlfn.IFS('Prepare Gantt Chart'!AL53=10,'Project types'!$L54*('Prepare Gantt Chart'!$I53*'Prepare Gantt Chart'!$J53),'Prepare Gantt Chart'!AL53=9,'Project types'!$L54*('Prepare Gantt Chart'!$I53*'Prepare Gantt Chart'!$J53),'Prepare Gantt Chart'!AL53=0,0)</f>
        <v>0</v>
      </c>
      <c r="BI54" s="45">
        <f>_xlfn.IFS('Prepare Gantt Chart'!AM53=10,'Project types'!$L54*('Prepare Gantt Chart'!$I53*'Prepare Gantt Chart'!$J53),'Prepare Gantt Chart'!AM53=9,'Project types'!$L54*('Prepare Gantt Chart'!$I53*'Prepare Gantt Chart'!$J53),'Prepare Gantt Chart'!AM53=0,0)</f>
        <v>0</v>
      </c>
      <c r="BJ54" s="45">
        <f>_xlfn.IFS('Prepare Gantt Chart'!AN53=10,'Project types'!$L54*('Prepare Gantt Chart'!$I53*'Prepare Gantt Chart'!$J53),'Prepare Gantt Chart'!AN53=9,'Project types'!$L54*('Prepare Gantt Chart'!$I53*'Prepare Gantt Chart'!$J53),'Prepare Gantt Chart'!AN53=0,0)</f>
        <v>0</v>
      </c>
      <c r="BK54" s="45">
        <f>_xlfn.IFS('Prepare Gantt Chart'!AO53=10,'Project types'!$L54*('Prepare Gantt Chart'!$I53*'Prepare Gantt Chart'!$J53),'Prepare Gantt Chart'!AO53=9,'Project types'!$L54*('Prepare Gantt Chart'!$I53*'Prepare Gantt Chart'!$J53),'Prepare Gantt Chart'!AO53=0,0)</f>
        <v>0</v>
      </c>
      <c r="BL54" s="46">
        <f t="shared" si="1"/>
        <v>0</v>
      </c>
      <c r="BM54" s="75">
        <f>IF('Prepare Gantt Chart'!$J53=0,0,SUM(AL54:AQ54)/6/'Prepare Gantt Chart'!$J53)</f>
        <v>0</v>
      </c>
      <c r="BN54" s="75">
        <f>IF('Prepare Gantt Chart'!$J53=0,0,SUM(AR54:AV54)/5/'Prepare Gantt Chart'!$J53)</f>
        <v>0</v>
      </c>
      <c r="BO54" s="75">
        <f>IF('Prepare Gantt Chart'!$J53=0,0,SUM(AW54:BA54)/5/'Prepare Gantt Chart'!$J53)</f>
        <v>0</v>
      </c>
      <c r="BP54" s="75">
        <f>IF('Prepare Gantt Chart'!$J53=0,0,SUM(BB54:BF54)/5/'Prepare Gantt Chart'!$J53)</f>
        <v>0</v>
      </c>
      <c r="BQ54" s="75">
        <f>IF('Prepare Gantt Chart'!$J53=0,0,SUM(BG54:BK54)/5/'Prepare Gantt Chart'!$J53)</f>
        <v>0</v>
      </c>
    </row>
    <row r="55" spans="1:69" x14ac:dyDescent="0.2">
      <c r="A55" s="30" t="s">
        <v>50</v>
      </c>
      <c r="B55" s="1" t="s">
        <v>137</v>
      </c>
      <c r="C55" s="45">
        <f>_xlfn.IFS('Prepare Gantt Chart'!P54=10,'Project types'!$O55*('Prepare Gantt Chart'!$I54*'Prepare Gantt Chart'!$J54),'Prepare Gantt Chart'!P54=9,'Project types'!$Q55*('Prepare Gantt Chart'!$I54*'Prepare Gantt Chart'!$J54),'Prepare Gantt Chart'!P54=0,0)</f>
        <v>0</v>
      </c>
      <c r="D55" s="45">
        <f>_xlfn.IFS('Prepare Gantt Chart'!Q54=10,'Project types'!$O55*('Prepare Gantt Chart'!$I54*'Prepare Gantt Chart'!$J54),'Prepare Gantt Chart'!Q54=9,'Project types'!$Q55*('Prepare Gantt Chart'!$I54*'Prepare Gantt Chart'!$J54),'Prepare Gantt Chart'!Q54=0,0)</f>
        <v>0</v>
      </c>
      <c r="E55" s="45">
        <f>_xlfn.IFS('Prepare Gantt Chart'!R54=10,'Project types'!$O55*('Prepare Gantt Chart'!$I54*'Prepare Gantt Chart'!$J54),'Prepare Gantt Chart'!R54=9,'Project types'!$Q55*('Prepare Gantt Chart'!$I54*'Prepare Gantt Chart'!$J54),'Prepare Gantt Chart'!R54=0,0)</f>
        <v>0</v>
      </c>
      <c r="F55" s="45">
        <f>_xlfn.IFS('Prepare Gantt Chart'!S54=10,'Project types'!$O55*('Prepare Gantt Chart'!$I54*'Prepare Gantt Chart'!$J54),'Prepare Gantt Chart'!S54=9,'Project types'!$Q55*('Prepare Gantt Chart'!$I54*'Prepare Gantt Chart'!$J54),'Prepare Gantt Chart'!S54=0,0)</f>
        <v>0</v>
      </c>
      <c r="G55" s="45">
        <f>_xlfn.IFS('Prepare Gantt Chart'!T54=10,'Project types'!$O55*('Prepare Gantt Chart'!$I54*'Prepare Gantt Chart'!$J54),'Prepare Gantt Chart'!T54=9,'Project types'!$Q55*('Prepare Gantt Chart'!$I54*'Prepare Gantt Chart'!$J54),'Prepare Gantt Chart'!T54=0,0)</f>
        <v>0</v>
      </c>
      <c r="H55" s="45">
        <f>_xlfn.IFS('Prepare Gantt Chart'!U54=10,'Project types'!$O55*('Prepare Gantt Chart'!$I54*'Prepare Gantt Chart'!$J54),'Prepare Gantt Chart'!U54=9,'Project types'!$Q55*('Prepare Gantt Chart'!$I54*'Prepare Gantt Chart'!$J54),'Prepare Gantt Chart'!U54=0,0)</f>
        <v>0</v>
      </c>
      <c r="I55" s="45">
        <f>_xlfn.IFS('Prepare Gantt Chart'!V54=10,'Project types'!$O55*('Prepare Gantt Chart'!$I54*'Prepare Gantt Chart'!$J54),'Prepare Gantt Chart'!V54=9,'Project types'!$Q55*('Prepare Gantt Chart'!$I54*'Prepare Gantt Chart'!$J54),'Prepare Gantt Chart'!V54=0,0)</f>
        <v>0</v>
      </c>
      <c r="J55" s="45">
        <f>_xlfn.IFS('Prepare Gantt Chart'!W54=10,'Project types'!$O55*('Prepare Gantt Chart'!$I54*'Prepare Gantt Chart'!$J54),'Prepare Gantt Chart'!W54=9,'Project types'!$Q55*('Prepare Gantt Chart'!$I54*'Prepare Gantt Chart'!$J54),'Prepare Gantt Chart'!W54=0,0)</f>
        <v>0</v>
      </c>
      <c r="K55" s="45">
        <f>_xlfn.IFS('Prepare Gantt Chart'!X54=10,'Project types'!$O55*('Prepare Gantt Chart'!$I54*'Prepare Gantt Chart'!$J54),'Prepare Gantt Chart'!X54=9,'Project types'!$Q55*('Prepare Gantt Chart'!$I54*'Prepare Gantt Chart'!$J54),'Prepare Gantt Chart'!X54=0,0)</f>
        <v>0</v>
      </c>
      <c r="L55" s="45">
        <f>_xlfn.IFS('Prepare Gantt Chart'!Y54=10,'Project types'!$O55*('Prepare Gantt Chart'!$I54*'Prepare Gantt Chart'!$J54),'Prepare Gantt Chart'!Y54=9,'Project types'!$Q55*('Prepare Gantt Chart'!$I54*'Prepare Gantt Chart'!$J54),'Prepare Gantt Chart'!Y54=0,0)</f>
        <v>0</v>
      </c>
      <c r="M55" s="45">
        <f>_xlfn.IFS('Prepare Gantt Chart'!Z54=10,'Project types'!$O55*('Prepare Gantt Chart'!$I54*'Prepare Gantt Chart'!$J54),'Prepare Gantt Chart'!Z54=9,'Project types'!$Q55*('Prepare Gantt Chart'!$I54*'Prepare Gantt Chart'!$J54),'Prepare Gantt Chart'!Z54=0,0)</f>
        <v>0</v>
      </c>
      <c r="N55" s="45">
        <f>_xlfn.IFS('Prepare Gantt Chart'!AA54=10,'Project types'!$O55*('Prepare Gantt Chart'!$I54*'Prepare Gantt Chart'!$J54),'Prepare Gantt Chart'!AA54=9,'Project types'!$Q55*('Prepare Gantt Chart'!$I54*'Prepare Gantt Chart'!$J54),'Prepare Gantt Chart'!AA54=0,0)</f>
        <v>0</v>
      </c>
      <c r="O55" s="45">
        <f>_xlfn.IFS('Prepare Gantt Chart'!AB54=10,'Project types'!$O55*('Prepare Gantt Chart'!$I54*'Prepare Gantt Chart'!$J54),'Prepare Gantt Chart'!AB54=9,'Project types'!$Q55*('Prepare Gantt Chart'!$I54*'Prepare Gantt Chart'!$J54),'Prepare Gantt Chart'!AB54=0,0)</f>
        <v>0</v>
      </c>
      <c r="P55" s="45">
        <f>_xlfn.IFS('Prepare Gantt Chart'!AC54=10,'Project types'!$O55*('Prepare Gantt Chart'!$I54*'Prepare Gantt Chart'!$J54),'Prepare Gantt Chart'!AC54=9,'Project types'!$Q55*('Prepare Gantt Chart'!$I54*'Prepare Gantt Chart'!$J54),'Prepare Gantt Chart'!AC54=0,0)</f>
        <v>0</v>
      </c>
      <c r="Q55" s="45">
        <f>_xlfn.IFS('Prepare Gantt Chart'!AD54=10,'Project types'!$O55*('Prepare Gantt Chart'!$I54*'Prepare Gantt Chart'!$J54),'Prepare Gantt Chart'!AD54=9,'Project types'!$Q55*('Prepare Gantt Chart'!$I54*'Prepare Gantt Chart'!$J54),'Prepare Gantt Chart'!AD54=0,0)</f>
        <v>0</v>
      </c>
      <c r="R55" s="45">
        <f>_xlfn.IFS('Prepare Gantt Chart'!AE54=10,'Project types'!$O55*('Prepare Gantt Chart'!$I54*'Prepare Gantt Chart'!$J54),'Prepare Gantt Chart'!AE54=9,'Project types'!$Q55*('Prepare Gantt Chart'!$I54*'Prepare Gantt Chart'!$J54),'Prepare Gantt Chart'!AE54=0,0)</f>
        <v>0</v>
      </c>
      <c r="S55" s="45">
        <f>_xlfn.IFS('Prepare Gantt Chart'!AF54=10,'Project types'!$O55*('Prepare Gantt Chart'!$I54*'Prepare Gantt Chart'!$J54),'Prepare Gantt Chart'!AF54=9,'Project types'!$Q55*('Prepare Gantt Chart'!$I54*'Prepare Gantt Chart'!$J54),'Prepare Gantt Chart'!AF54=0,0)</f>
        <v>0</v>
      </c>
      <c r="T55" s="45">
        <f>_xlfn.IFS('Prepare Gantt Chart'!AG54=10,'Project types'!$O55*('Prepare Gantt Chart'!$I54*'Prepare Gantt Chart'!$J54),'Prepare Gantt Chart'!AG54=9,'Project types'!$Q55*('Prepare Gantt Chart'!$I54*'Prepare Gantt Chart'!$J54),'Prepare Gantt Chart'!AG54=0,0)</f>
        <v>0</v>
      </c>
      <c r="U55" s="45">
        <f>_xlfn.IFS('Prepare Gantt Chart'!AH54=10,'Project types'!$O55*('Prepare Gantt Chart'!$I54*'Prepare Gantt Chart'!$J54),'Prepare Gantt Chart'!AH54=9,'Project types'!$Q55*('Prepare Gantt Chart'!$I54*'Prepare Gantt Chart'!$J54),'Prepare Gantt Chart'!AH54=0,0)</f>
        <v>0</v>
      </c>
      <c r="V55" s="45">
        <f>_xlfn.IFS('Prepare Gantt Chart'!AI54=10,'Project types'!$O55*('Prepare Gantt Chart'!$I54*'Prepare Gantt Chart'!$J54),'Prepare Gantt Chart'!AI54=9,'Project types'!$Q55*('Prepare Gantt Chart'!$I54*'Prepare Gantt Chart'!$J54),'Prepare Gantt Chart'!AI54=0,0)</f>
        <v>0</v>
      </c>
      <c r="W55" s="45">
        <f>_xlfn.IFS('Prepare Gantt Chart'!AJ54=10,'Project types'!$O55*('Prepare Gantt Chart'!$I54*'Prepare Gantt Chart'!$J54),'Prepare Gantt Chart'!AJ54=9,'Project types'!$Q55*('Prepare Gantt Chart'!$I54*'Prepare Gantt Chart'!$J54),'Prepare Gantt Chart'!AJ54=0,0)</f>
        <v>0</v>
      </c>
      <c r="X55" s="45">
        <f>_xlfn.IFS('Prepare Gantt Chart'!AK54=10,'Project types'!$O55*('Prepare Gantt Chart'!$I54*'Prepare Gantt Chart'!$J54),'Prepare Gantt Chart'!AK54=9,'Project types'!$Q55*('Prepare Gantt Chart'!$I54*'Prepare Gantt Chart'!$J54),'Prepare Gantt Chart'!AK54=0,0)</f>
        <v>0</v>
      </c>
      <c r="Y55" s="45">
        <f>_xlfn.IFS('Prepare Gantt Chart'!AL54=10,'Project types'!$O55*('Prepare Gantt Chart'!$I54*'Prepare Gantt Chart'!$J54),'Prepare Gantt Chart'!AL54=9,'Project types'!$Q55*('Prepare Gantt Chart'!$I54*'Prepare Gantt Chart'!$J54),'Prepare Gantt Chart'!AL54=0,0)</f>
        <v>0</v>
      </c>
      <c r="Z55" s="45">
        <f>_xlfn.IFS('Prepare Gantt Chart'!AM54=10,'Project types'!$O55*('Prepare Gantt Chart'!$I54*'Prepare Gantt Chart'!$J54),'Prepare Gantt Chart'!AM54=9,'Project types'!$Q55*('Prepare Gantt Chart'!$I54*'Prepare Gantt Chart'!$J54),'Prepare Gantt Chart'!AM54=0,0)</f>
        <v>0</v>
      </c>
      <c r="AA55" s="45">
        <f>_xlfn.IFS('Prepare Gantt Chart'!AN54=10,'Project types'!$O55*('Prepare Gantt Chart'!$I54*'Prepare Gantt Chart'!$J54),'Prepare Gantt Chart'!AN54=9,'Project types'!$Q55*('Prepare Gantt Chart'!$I54*'Prepare Gantt Chart'!$J54),'Prepare Gantt Chart'!AN54=0,0)</f>
        <v>0</v>
      </c>
      <c r="AB55" s="45">
        <f>_xlfn.IFS('Prepare Gantt Chart'!AO54=10,'Project types'!$O55*('Prepare Gantt Chart'!$I54*'Prepare Gantt Chart'!$J54),'Prepare Gantt Chart'!AO54=9,'Project types'!$Q55*('Prepare Gantt Chart'!$I54*'Prepare Gantt Chart'!$J54),'Prepare Gantt Chart'!AO54=0,0)</f>
        <v>0</v>
      </c>
      <c r="AC55" s="45">
        <f>'Prepare Gantt Chart'!J54*'Prepare Gantt Chart'!I54*(AD55/26)</f>
        <v>0</v>
      </c>
      <c r="AD55" s="46">
        <f t="shared" si="0"/>
        <v>0</v>
      </c>
      <c r="AE55" s="72">
        <f>IF('Prepare Gantt Chart'!$J54=0,0,SUM(C55:H55)/6/'Prepare Gantt Chart'!$J54)</f>
        <v>0</v>
      </c>
      <c r="AF55" s="72">
        <f>IF('Prepare Gantt Chart'!$J54=0,0,SUM(I55:M55)/5/'Prepare Gantt Chart'!$J54)</f>
        <v>0</v>
      </c>
      <c r="AG55" s="72">
        <f>IF('Prepare Gantt Chart'!$J54=0,0,SUM(N55:R55)/5/'Prepare Gantt Chart'!$J54)</f>
        <v>0</v>
      </c>
      <c r="AH55" s="72">
        <f>IF('Prepare Gantt Chart'!$J54=0,0,SUM(S55:W55)/5/'Prepare Gantt Chart'!$J54)</f>
        <v>0</v>
      </c>
      <c r="AI55" s="72">
        <f>IF('Prepare Gantt Chart'!$J54=0,0,SUM(X55:AB55)/5/'Prepare Gantt Chart'!$J54)</f>
        <v>0</v>
      </c>
      <c r="AK55" s="30" t="s">
        <v>50</v>
      </c>
      <c r="AL55" s="45">
        <f>_xlfn.IFS('Prepare Gantt Chart'!P54=10,'Project types'!$L55*('Prepare Gantt Chart'!$I54*'Prepare Gantt Chart'!$J54),'Prepare Gantt Chart'!P54=9,'Project types'!$L55*('Prepare Gantt Chart'!$I54*'Prepare Gantt Chart'!$J54),'Prepare Gantt Chart'!P54=0,0)</f>
        <v>0</v>
      </c>
      <c r="AM55" s="45">
        <f>_xlfn.IFS('Prepare Gantt Chart'!Q54=10,'Project types'!$L55*('Prepare Gantt Chart'!$I54*'Prepare Gantt Chart'!$J54),'Prepare Gantt Chart'!Q54=9,'Project types'!$L55*('Prepare Gantt Chart'!$I54*'Prepare Gantt Chart'!$J54),'Prepare Gantt Chart'!Q54=0,0)</f>
        <v>0</v>
      </c>
      <c r="AN55" s="45">
        <f>_xlfn.IFS('Prepare Gantt Chart'!R54=10,'Project types'!$L55*('Prepare Gantt Chart'!$I54*'Prepare Gantt Chart'!$J54),'Prepare Gantt Chart'!R54=9,'Project types'!$L55*('Prepare Gantt Chart'!$I54*'Prepare Gantt Chart'!$J54),'Prepare Gantt Chart'!R54=0,0)</f>
        <v>0</v>
      </c>
      <c r="AO55" s="45">
        <f>_xlfn.IFS('Prepare Gantt Chart'!S54=10,'Project types'!$L55*('Prepare Gantt Chart'!$I54*'Prepare Gantt Chart'!$J54),'Prepare Gantt Chart'!S54=9,'Project types'!$L55*('Prepare Gantt Chart'!$I54*'Prepare Gantt Chart'!$J54),'Prepare Gantt Chart'!S54=0,0)</f>
        <v>0</v>
      </c>
      <c r="AP55" s="45">
        <f>_xlfn.IFS('Prepare Gantt Chart'!T54=10,'Project types'!$L55*('Prepare Gantt Chart'!$I54*'Prepare Gantt Chart'!$J54),'Prepare Gantt Chart'!T54=9,'Project types'!$L55*('Prepare Gantt Chart'!$I54*'Prepare Gantt Chart'!$J54),'Prepare Gantt Chart'!T54=0,0)</f>
        <v>0</v>
      </c>
      <c r="AQ55" s="45">
        <f>_xlfn.IFS('Prepare Gantt Chart'!U54=10,'Project types'!$L55*('Prepare Gantt Chart'!$I54*'Prepare Gantt Chart'!$J54),'Prepare Gantt Chart'!U54=9,'Project types'!$L55*('Prepare Gantt Chart'!$I54*'Prepare Gantt Chart'!$J54),'Prepare Gantt Chart'!U54=0,0)</f>
        <v>0</v>
      </c>
      <c r="AR55" s="45">
        <f>_xlfn.IFS('Prepare Gantt Chart'!V54=10,'Project types'!$L55*('Prepare Gantt Chart'!$I54*'Prepare Gantt Chart'!$J54),'Prepare Gantt Chart'!V54=9,'Project types'!$L55*('Prepare Gantt Chart'!$I54*'Prepare Gantt Chart'!$J54),'Prepare Gantt Chart'!V54=0,0)</f>
        <v>0</v>
      </c>
      <c r="AS55" s="45">
        <f>_xlfn.IFS('Prepare Gantt Chart'!W54=10,'Project types'!$L55*('Prepare Gantt Chart'!$I54*'Prepare Gantt Chart'!$J54),'Prepare Gantt Chart'!W54=9,'Project types'!$L55*('Prepare Gantt Chart'!$I54*'Prepare Gantt Chart'!$J54),'Prepare Gantt Chart'!W54=0,0)</f>
        <v>0</v>
      </c>
      <c r="AT55" s="45">
        <f>_xlfn.IFS('Prepare Gantt Chart'!X54=10,'Project types'!$L55*('Prepare Gantt Chart'!$I54*'Prepare Gantt Chart'!$J54),'Prepare Gantt Chart'!X54=9,'Project types'!$L55*('Prepare Gantt Chart'!$I54*'Prepare Gantt Chart'!$J54),'Prepare Gantt Chart'!X54=0,0)</f>
        <v>0</v>
      </c>
      <c r="AU55" s="45">
        <f>_xlfn.IFS('Prepare Gantt Chart'!Y54=10,'Project types'!$L55*('Prepare Gantt Chart'!$I54*'Prepare Gantt Chart'!$J54),'Prepare Gantt Chart'!Y54=9,'Project types'!$L55*('Prepare Gantt Chart'!$I54*'Prepare Gantt Chart'!$J54),'Prepare Gantt Chart'!Y54=0,0)</f>
        <v>0</v>
      </c>
      <c r="AV55" s="45">
        <f>_xlfn.IFS('Prepare Gantt Chart'!Z54=10,'Project types'!$L55*('Prepare Gantt Chart'!$I54*'Prepare Gantt Chart'!$J54),'Prepare Gantt Chart'!Z54=9,'Project types'!$L55*('Prepare Gantt Chart'!$I54*'Prepare Gantt Chart'!$J54),'Prepare Gantt Chart'!Z54=0,0)</f>
        <v>0</v>
      </c>
      <c r="AW55" s="45">
        <f>_xlfn.IFS('Prepare Gantt Chart'!AA54=10,'Project types'!$L55*('Prepare Gantt Chart'!$I54*'Prepare Gantt Chart'!$J54),'Prepare Gantt Chart'!AA54=9,'Project types'!$L55*('Prepare Gantt Chart'!$I54*'Prepare Gantt Chart'!$J54),'Prepare Gantt Chart'!AA54=0,0)</f>
        <v>0</v>
      </c>
      <c r="AX55" s="45">
        <f>_xlfn.IFS('Prepare Gantt Chart'!AB54=10,'Project types'!$L55*('Prepare Gantt Chart'!$I54*'Prepare Gantt Chart'!$J54),'Prepare Gantt Chart'!AB54=9,'Project types'!$L55*('Prepare Gantt Chart'!$I54*'Prepare Gantt Chart'!$J54),'Prepare Gantt Chart'!AB54=0,0)</f>
        <v>0</v>
      </c>
      <c r="AY55" s="45">
        <f>_xlfn.IFS('Prepare Gantt Chart'!AC54=10,'Project types'!$L55*('Prepare Gantt Chart'!$I54*'Prepare Gantt Chart'!$J54),'Prepare Gantt Chart'!AC54=9,'Project types'!$L55*('Prepare Gantt Chart'!$I54*'Prepare Gantt Chart'!$J54),'Prepare Gantt Chart'!AC54=0,0)</f>
        <v>0</v>
      </c>
      <c r="AZ55" s="45">
        <f>_xlfn.IFS('Prepare Gantt Chart'!AD54=10,'Project types'!$L55*('Prepare Gantt Chart'!$I54*'Prepare Gantt Chart'!$J54),'Prepare Gantt Chart'!AD54=9,'Project types'!$L55*('Prepare Gantt Chart'!$I54*'Prepare Gantt Chart'!$J54),'Prepare Gantt Chart'!AD54=0,0)</f>
        <v>0</v>
      </c>
      <c r="BA55" s="45">
        <f>_xlfn.IFS('Prepare Gantt Chart'!AE54=10,'Project types'!$L55*('Prepare Gantt Chart'!$I54*'Prepare Gantt Chart'!$J54),'Prepare Gantt Chart'!AE54=9,'Project types'!$L55*('Prepare Gantt Chart'!$I54*'Prepare Gantt Chart'!$J54),'Prepare Gantt Chart'!AE54=0,0)</f>
        <v>0</v>
      </c>
      <c r="BB55" s="45">
        <f>_xlfn.IFS('Prepare Gantt Chart'!AF54=10,'Project types'!$L55*('Prepare Gantt Chart'!$I54*'Prepare Gantt Chart'!$J54),'Prepare Gantt Chart'!AF54=9,'Project types'!$L55*('Prepare Gantt Chart'!$I54*'Prepare Gantt Chart'!$J54),'Prepare Gantt Chart'!AF54=0,0)</f>
        <v>0</v>
      </c>
      <c r="BC55" s="45">
        <f>_xlfn.IFS('Prepare Gantt Chart'!AG54=10,'Project types'!$L55*('Prepare Gantt Chart'!$I54*'Prepare Gantt Chart'!$J54),'Prepare Gantt Chart'!AG54=9,'Project types'!$L55*('Prepare Gantt Chart'!$I54*'Prepare Gantt Chart'!$J54),'Prepare Gantt Chart'!AG54=0,0)</f>
        <v>0</v>
      </c>
      <c r="BD55" s="45">
        <f>_xlfn.IFS('Prepare Gantt Chart'!AH54=10,'Project types'!$L55*('Prepare Gantt Chart'!$I54*'Prepare Gantt Chart'!$J54),'Prepare Gantt Chart'!AH54=9,'Project types'!$L55*('Prepare Gantt Chart'!$I54*'Prepare Gantt Chart'!$J54),'Prepare Gantt Chart'!AH54=0,0)</f>
        <v>0</v>
      </c>
      <c r="BE55" s="45">
        <f>_xlfn.IFS('Prepare Gantt Chart'!AI54=10,'Project types'!$L55*('Prepare Gantt Chart'!$I54*'Prepare Gantt Chart'!$J54),'Prepare Gantt Chart'!AI54=9,'Project types'!$L55*('Prepare Gantt Chart'!$I54*'Prepare Gantt Chart'!$J54),'Prepare Gantt Chart'!AI54=0,0)</f>
        <v>0</v>
      </c>
      <c r="BF55" s="45">
        <f>_xlfn.IFS('Prepare Gantt Chart'!AJ54=10,'Project types'!$L55*('Prepare Gantt Chart'!$I54*'Prepare Gantt Chart'!$J54),'Prepare Gantt Chart'!AJ54=9,'Project types'!$L55*('Prepare Gantt Chart'!$I54*'Prepare Gantt Chart'!$J54),'Prepare Gantt Chart'!AJ54=0,0)</f>
        <v>0</v>
      </c>
      <c r="BG55" s="45">
        <f>_xlfn.IFS('Prepare Gantt Chart'!AK54=10,'Project types'!$L55*('Prepare Gantt Chart'!$I54*'Prepare Gantt Chart'!$J54),'Prepare Gantt Chart'!AK54=9,'Project types'!$L55*('Prepare Gantt Chart'!$I54*'Prepare Gantt Chart'!$J54),'Prepare Gantt Chart'!AK54=0,0)</f>
        <v>0</v>
      </c>
      <c r="BH55" s="45">
        <f>_xlfn.IFS('Prepare Gantt Chart'!AL54=10,'Project types'!$L55*('Prepare Gantt Chart'!$I54*'Prepare Gantt Chart'!$J54),'Prepare Gantt Chart'!AL54=9,'Project types'!$L55*('Prepare Gantt Chart'!$I54*'Prepare Gantt Chart'!$J54),'Prepare Gantt Chart'!AL54=0,0)</f>
        <v>0</v>
      </c>
      <c r="BI55" s="45">
        <f>_xlfn.IFS('Prepare Gantt Chart'!AM54=10,'Project types'!$L55*('Prepare Gantt Chart'!$I54*'Prepare Gantt Chart'!$J54),'Prepare Gantt Chart'!AM54=9,'Project types'!$L55*('Prepare Gantt Chart'!$I54*'Prepare Gantt Chart'!$J54),'Prepare Gantt Chart'!AM54=0,0)</f>
        <v>0</v>
      </c>
      <c r="BJ55" s="45">
        <f>_xlfn.IFS('Prepare Gantt Chart'!AN54=10,'Project types'!$L55*('Prepare Gantt Chart'!$I54*'Prepare Gantt Chart'!$J54),'Prepare Gantt Chart'!AN54=9,'Project types'!$L55*('Prepare Gantt Chart'!$I54*'Prepare Gantt Chart'!$J54),'Prepare Gantt Chart'!AN54=0,0)</f>
        <v>0</v>
      </c>
      <c r="BK55" s="45">
        <f>_xlfn.IFS('Prepare Gantt Chart'!AO54=10,'Project types'!$L55*('Prepare Gantt Chart'!$I54*'Prepare Gantt Chart'!$J54),'Prepare Gantt Chart'!AO54=9,'Project types'!$L55*('Prepare Gantt Chart'!$I54*'Prepare Gantt Chart'!$J54),'Prepare Gantt Chart'!AO54=0,0)</f>
        <v>0</v>
      </c>
      <c r="BL55" s="46">
        <f t="shared" si="1"/>
        <v>0</v>
      </c>
      <c r="BM55" s="75">
        <f>IF('Prepare Gantt Chart'!$J54=0,0,SUM(AL55:AQ55)/6/'Prepare Gantt Chart'!$J54)</f>
        <v>0</v>
      </c>
      <c r="BN55" s="75">
        <f>IF('Prepare Gantt Chart'!$J54=0,0,SUM(AR55:AV55)/5/'Prepare Gantt Chart'!$J54)</f>
        <v>0</v>
      </c>
      <c r="BO55" s="75">
        <f>IF('Prepare Gantt Chart'!$J54=0,0,SUM(AW55:BA55)/5/'Prepare Gantt Chart'!$J54)</f>
        <v>0</v>
      </c>
      <c r="BP55" s="75">
        <f>IF('Prepare Gantt Chart'!$J54=0,0,SUM(BB55:BF55)/5/'Prepare Gantt Chart'!$J54)</f>
        <v>0</v>
      </c>
      <c r="BQ55" s="75">
        <f>IF('Prepare Gantt Chart'!$J54=0,0,SUM(BG55:BK55)/5/'Prepare Gantt Chart'!$J54)</f>
        <v>0</v>
      </c>
    </row>
    <row r="56" spans="1:69" x14ac:dyDescent="0.2">
      <c r="A56" s="30" t="s">
        <v>51</v>
      </c>
      <c r="B56" s="1" t="s">
        <v>138</v>
      </c>
      <c r="C56" s="45">
        <f>_xlfn.IFS('Prepare Gantt Chart'!P55=10,'Project types'!$O56*('Prepare Gantt Chart'!$I55*'Prepare Gantt Chart'!$J55),'Prepare Gantt Chart'!P55=9,'Project types'!$Q56*('Prepare Gantt Chart'!$I55*'Prepare Gantt Chart'!$J55),'Prepare Gantt Chart'!P55=0,0)</f>
        <v>0</v>
      </c>
      <c r="D56" s="45">
        <f>_xlfn.IFS('Prepare Gantt Chart'!Q55=10,'Project types'!$O56*('Prepare Gantt Chart'!$I55*'Prepare Gantt Chart'!$J55),'Prepare Gantt Chart'!Q55=9,'Project types'!$Q56*('Prepare Gantt Chart'!$I55*'Prepare Gantt Chart'!$J55),'Prepare Gantt Chart'!Q55=0,0)</f>
        <v>0</v>
      </c>
      <c r="E56" s="45">
        <f>_xlfn.IFS('Prepare Gantt Chart'!R55=10,'Project types'!$O56*('Prepare Gantt Chart'!$I55*'Prepare Gantt Chart'!$J55),'Prepare Gantt Chart'!R55=9,'Project types'!$Q56*('Prepare Gantt Chart'!$I55*'Prepare Gantt Chart'!$J55),'Prepare Gantt Chart'!R55=0,0)</f>
        <v>0</v>
      </c>
      <c r="F56" s="45">
        <f>_xlfn.IFS('Prepare Gantt Chart'!S55=10,'Project types'!$O56*('Prepare Gantt Chart'!$I55*'Prepare Gantt Chart'!$J55),'Prepare Gantt Chart'!S55=9,'Project types'!$Q56*('Prepare Gantt Chart'!$I55*'Prepare Gantt Chart'!$J55),'Prepare Gantt Chart'!S55=0,0)</f>
        <v>0</v>
      </c>
      <c r="G56" s="45">
        <f>_xlfn.IFS('Prepare Gantt Chart'!T55=10,'Project types'!$O56*('Prepare Gantt Chart'!$I55*'Prepare Gantt Chart'!$J55),'Prepare Gantt Chart'!T55=9,'Project types'!$Q56*('Prepare Gantt Chart'!$I55*'Prepare Gantt Chart'!$J55),'Prepare Gantt Chart'!T55=0,0)</f>
        <v>0</v>
      </c>
      <c r="H56" s="45">
        <f>_xlfn.IFS('Prepare Gantt Chart'!U55=10,'Project types'!$O56*('Prepare Gantt Chart'!$I55*'Prepare Gantt Chart'!$J55),'Prepare Gantt Chart'!U55=9,'Project types'!$Q56*('Prepare Gantt Chart'!$I55*'Prepare Gantt Chart'!$J55),'Prepare Gantt Chart'!U55=0,0)</f>
        <v>0</v>
      </c>
      <c r="I56" s="45">
        <f>_xlfn.IFS('Prepare Gantt Chart'!V55=10,'Project types'!$O56*('Prepare Gantt Chart'!$I55*'Prepare Gantt Chart'!$J55),'Prepare Gantt Chart'!V55=9,'Project types'!$Q56*('Prepare Gantt Chart'!$I55*'Prepare Gantt Chart'!$J55),'Prepare Gantt Chart'!V55=0,0)</f>
        <v>0</v>
      </c>
      <c r="J56" s="45">
        <f>_xlfn.IFS('Prepare Gantt Chart'!W55=10,'Project types'!$O56*('Prepare Gantt Chart'!$I55*'Prepare Gantt Chart'!$J55),'Prepare Gantt Chart'!W55=9,'Project types'!$Q56*('Prepare Gantt Chart'!$I55*'Prepare Gantt Chart'!$J55),'Prepare Gantt Chart'!W55=0,0)</f>
        <v>0</v>
      </c>
      <c r="K56" s="45">
        <f>_xlfn.IFS('Prepare Gantt Chart'!X55=10,'Project types'!$O56*('Prepare Gantt Chart'!$I55*'Prepare Gantt Chart'!$J55),'Prepare Gantt Chart'!X55=9,'Project types'!$Q56*('Prepare Gantt Chart'!$I55*'Prepare Gantt Chart'!$J55),'Prepare Gantt Chart'!X55=0,0)</f>
        <v>0</v>
      </c>
      <c r="L56" s="45">
        <f>_xlfn.IFS('Prepare Gantt Chart'!Y55=10,'Project types'!$O56*('Prepare Gantt Chart'!$I55*'Prepare Gantt Chart'!$J55),'Prepare Gantt Chart'!Y55=9,'Project types'!$Q56*('Prepare Gantt Chart'!$I55*'Prepare Gantt Chart'!$J55),'Prepare Gantt Chart'!Y55=0,0)</f>
        <v>0</v>
      </c>
      <c r="M56" s="45">
        <f>_xlfn.IFS('Prepare Gantt Chart'!Z55=10,'Project types'!$O56*('Prepare Gantt Chart'!$I55*'Prepare Gantt Chart'!$J55),'Prepare Gantt Chart'!Z55=9,'Project types'!$Q56*('Prepare Gantt Chart'!$I55*'Prepare Gantt Chart'!$J55),'Prepare Gantt Chart'!Z55=0,0)</f>
        <v>0</v>
      </c>
      <c r="N56" s="45">
        <f>_xlfn.IFS('Prepare Gantt Chart'!AA55=10,'Project types'!$O56*('Prepare Gantt Chart'!$I55*'Prepare Gantt Chart'!$J55),'Prepare Gantt Chart'!AA55=9,'Project types'!$Q56*('Prepare Gantt Chart'!$I55*'Prepare Gantt Chart'!$J55),'Prepare Gantt Chart'!AA55=0,0)</f>
        <v>0</v>
      </c>
      <c r="O56" s="45">
        <f>_xlfn.IFS('Prepare Gantt Chart'!AB55=10,'Project types'!$O56*('Prepare Gantt Chart'!$I55*'Prepare Gantt Chart'!$J55),'Prepare Gantt Chart'!AB55=9,'Project types'!$Q56*('Prepare Gantt Chart'!$I55*'Prepare Gantt Chart'!$J55),'Prepare Gantt Chart'!AB55=0,0)</f>
        <v>0</v>
      </c>
      <c r="P56" s="45">
        <f>_xlfn.IFS('Prepare Gantt Chart'!AC55=10,'Project types'!$O56*('Prepare Gantt Chart'!$I55*'Prepare Gantt Chart'!$J55),'Prepare Gantt Chart'!AC55=9,'Project types'!$Q56*('Prepare Gantt Chart'!$I55*'Prepare Gantt Chart'!$J55),'Prepare Gantt Chart'!AC55=0,0)</f>
        <v>0</v>
      </c>
      <c r="Q56" s="45">
        <f>_xlfn.IFS('Prepare Gantt Chart'!AD55=10,'Project types'!$O56*('Prepare Gantt Chart'!$I55*'Prepare Gantt Chart'!$J55),'Prepare Gantt Chart'!AD55=9,'Project types'!$Q56*('Prepare Gantt Chart'!$I55*'Prepare Gantt Chart'!$J55),'Prepare Gantt Chart'!AD55=0,0)</f>
        <v>0</v>
      </c>
      <c r="R56" s="45">
        <f>_xlfn.IFS('Prepare Gantt Chart'!AE55=10,'Project types'!$O56*('Prepare Gantt Chart'!$I55*'Prepare Gantt Chart'!$J55),'Prepare Gantt Chart'!AE55=9,'Project types'!$Q56*('Prepare Gantt Chart'!$I55*'Prepare Gantt Chart'!$J55),'Prepare Gantt Chart'!AE55=0,0)</f>
        <v>0</v>
      </c>
      <c r="S56" s="45">
        <f>_xlfn.IFS('Prepare Gantt Chart'!AF55=10,'Project types'!$O56*('Prepare Gantt Chart'!$I55*'Prepare Gantt Chart'!$J55),'Prepare Gantt Chart'!AF55=9,'Project types'!$Q56*('Prepare Gantt Chart'!$I55*'Prepare Gantt Chart'!$J55),'Prepare Gantt Chart'!AF55=0,0)</f>
        <v>0</v>
      </c>
      <c r="T56" s="45">
        <f>_xlfn.IFS('Prepare Gantt Chart'!AG55=10,'Project types'!$O56*('Prepare Gantt Chart'!$I55*'Prepare Gantt Chart'!$J55),'Prepare Gantt Chart'!AG55=9,'Project types'!$Q56*('Prepare Gantt Chart'!$I55*'Prepare Gantt Chart'!$J55),'Prepare Gantt Chart'!AG55=0,0)</f>
        <v>0</v>
      </c>
      <c r="U56" s="45">
        <f>_xlfn.IFS('Prepare Gantt Chart'!AH55=10,'Project types'!$O56*('Prepare Gantt Chart'!$I55*'Prepare Gantt Chart'!$J55),'Prepare Gantt Chart'!AH55=9,'Project types'!$Q56*('Prepare Gantt Chart'!$I55*'Prepare Gantt Chart'!$J55),'Prepare Gantt Chart'!AH55=0,0)</f>
        <v>0</v>
      </c>
      <c r="V56" s="45">
        <f>_xlfn.IFS('Prepare Gantt Chart'!AI55=10,'Project types'!$O56*('Prepare Gantt Chart'!$I55*'Prepare Gantt Chart'!$J55),'Prepare Gantt Chart'!AI55=9,'Project types'!$Q56*('Prepare Gantt Chart'!$I55*'Prepare Gantt Chart'!$J55),'Prepare Gantt Chart'!AI55=0,0)</f>
        <v>0</v>
      </c>
      <c r="W56" s="45">
        <f>_xlfn.IFS('Prepare Gantt Chart'!AJ55=10,'Project types'!$O56*('Prepare Gantt Chart'!$I55*'Prepare Gantt Chart'!$J55),'Prepare Gantt Chart'!AJ55=9,'Project types'!$Q56*('Prepare Gantt Chart'!$I55*'Prepare Gantt Chart'!$J55),'Prepare Gantt Chart'!AJ55=0,0)</f>
        <v>0</v>
      </c>
      <c r="X56" s="45">
        <f>_xlfn.IFS('Prepare Gantt Chart'!AK55=10,'Project types'!$O56*('Prepare Gantt Chart'!$I55*'Prepare Gantt Chart'!$J55),'Prepare Gantt Chart'!AK55=9,'Project types'!$Q56*('Prepare Gantt Chart'!$I55*'Prepare Gantt Chart'!$J55),'Prepare Gantt Chart'!AK55=0,0)</f>
        <v>0</v>
      </c>
      <c r="Y56" s="45">
        <f>_xlfn.IFS('Prepare Gantt Chart'!AL55=10,'Project types'!$O56*('Prepare Gantt Chart'!$I55*'Prepare Gantt Chart'!$J55),'Prepare Gantt Chart'!AL55=9,'Project types'!$Q56*('Prepare Gantt Chart'!$I55*'Prepare Gantt Chart'!$J55),'Prepare Gantt Chart'!AL55=0,0)</f>
        <v>0</v>
      </c>
      <c r="Z56" s="45">
        <f>_xlfn.IFS('Prepare Gantt Chart'!AM55=10,'Project types'!$O56*('Prepare Gantt Chart'!$I55*'Prepare Gantt Chart'!$J55),'Prepare Gantt Chart'!AM55=9,'Project types'!$Q56*('Prepare Gantt Chart'!$I55*'Prepare Gantt Chart'!$J55),'Prepare Gantt Chart'!AM55=0,0)</f>
        <v>0</v>
      </c>
      <c r="AA56" s="45">
        <f>_xlfn.IFS('Prepare Gantt Chart'!AN55=10,'Project types'!$O56*('Prepare Gantt Chart'!$I55*'Prepare Gantt Chart'!$J55),'Prepare Gantt Chart'!AN55=9,'Project types'!$Q56*('Prepare Gantt Chart'!$I55*'Prepare Gantt Chart'!$J55),'Prepare Gantt Chart'!AN55=0,0)</f>
        <v>0</v>
      </c>
      <c r="AB56" s="45">
        <f>_xlfn.IFS('Prepare Gantt Chart'!AO55=10,'Project types'!$O56*('Prepare Gantt Chart'!$I55*'Prepare Gantt Chart'!$J55),'Prepare Gantt Chart'!AO55=9,'Project types'!$Q56*('Prepare Gantt Chart'!$I55*'Prepare Gantt Chart'!$J55),'Prepare Gantt Chart'!AO55=0,0)</f>
        <v>0</v>
      </c>
      <c r="AC56" s="45">
        <f>'Prepare Gantt Chart'!J55*'Prepare Gantt Chart'!I55*(AD56/26)</f>
        <v>0</v>
      </c>
      <c r="AD56" s="46">
        <f t="shared" si="0"/>
        <v>0</v>
      </c>
      <c r="AE56" s="72">
        <f>IF('Prepare Gantt Chart'!$J55=0,0,SUM(C56:H56)/6/'Prepare Gantt Chart'!$J55)</f>
        <v>0</v>
      </c>
      <c r="AF56" s="72">
        <f>IF('Prepare Gantt Chart'!$J55=0,0,SUM(I56:M56)/5/'Prepare Gantt Chart'!$J55)</f>
        <v>0</v>
      </c>
      <c r="AG56" s="72">
        <f>IF('Prepare Gantt Chart'!$J55=0,0,SUM(N56:R56)/5/'Prepare Gantt Chart'!$J55)</f>
        <v>0</v>
      </c>
      <c r="AH56" s="72">
        <f>IF('Prepare Gantt Chart'!$J55=0,0,SUM(S56:W56)/5/'Prepare Gantt Chart'!$J55)</f>
        <v>0</v>
      </c>
      <c r="AI56" s="72">
        <f>IF('Prepare Gantt Chart'!$J55=0,0,SUM(X56:AB56)/5/'Prepare Gantt Chart'!$J55)</f>
        <v>0</v>
      </c>
      <c r="AK56" s="30" t="s">
        <v>51</v>
      </c>
      <c r="AL56" s="45">
        <f>_xlfn.IFS('Prepare Gantt Chart'!P55=10,'Project types'!$L56*('Prepare Gantt Chart'!$I55*'Prepare Gantt Chart'!$J55),'Prepare Gantt Chart'!P55=9,'Project types'!$L56*('Prepare Gantt Chart'!$I55*'Prepare Gantt Chart'!$J55),'Prepare Gantt Chart'!P55=0,0)</f>
        <v>0</v>
      </c>
      <c r="AM56" s="45">
        <f>_xlfn.IFS('Prepare Gantt Chart'!Q55=10,'Project types'!$L56*('Prepare Gantt Chart'!$I55*'Prepare Gantt Chart'!$J55),'Prepare Gantt Chart'!Q55=9,'Project types'!$L56*('Prepare Gantt Chart'!$I55*'Prepare Gantt Chart'!$J55),'Prepare Gantt Chart'!Q55=0,0)</f>
        <v>0</v>
      </c>
      <c r="AN56" s="45">
        <f>_xlfn.IFS('Prepare Gantt Chart'!R55=10,'Project types'!$L56*('Prepare Gantt Chart'!$I55*'Prepare Gantt Chart'!$J55),'Prepare Gantt Chart'!R55=9,'Project types'!$L56*('Prepare Gantt Chart'!$I55*'Prepare Gantt Chart'!$J55),'Prepare Gantt Chart'!R55=0,0)</f>
        <v>0</v>
      </c>
      <c r="AO56" s="45">
        <f>_xlfn.IFS('Prepare Gantt Chart'!S55=10,'Project types'!$L56*('Prepare Gantt Chart'!$I55*'Prepare Gantt Chart'!$J55),'Prepare Gantt Chart'!S55=9,'Project types'!$L56*('Prepare Gantt Chart'!$I55*'Prepare Gantt Chart'!$J55),'Prepare Gantt Chart'!S55=0,0)</f>
        <v>0</v>
      </c>
      <c r="AP56" s="45">
        <f>_xlfn.IFS('Prepare Gantt Chart'!T55=10,'Project types'!$L56*('Prepare Gantt Chart'!$I55*'Prepare Gantt Chart'!$J55),'Prepare Gantt Chart'!T55=9,'Project types'!$L56*('Prepare Gantt Chart'!$I55*'Prepare Gantt Chart'!$J55),'Prepare Gantt Chart'!T55=0,0)</f>
        <v>0</v>
      </c>
      <c r="AQ56" s="45">
        <f>_xlfn.IFS('Prepare Gantt Chart'!U55=10,'Project types'!$L56*('Prepare Gantt Chart'!$I55*'Prepare Gantt Chart'!$J55),'Prepare Gantt Chart'!U55=9,'Project types'!$L56*('Prepare Gantt Chart'!$I55*'Prepare Gantt Chart'!$J55),'Prepare Gantt Chart'!U55=0,0)</f>
        <v>0</v>
      </c>
      <c r="AR56" s="45">
        <f>_xlfn.IFS('Prepare Gantt Chart'!V55=10,'Project types'!$L56*('Prepare Gantt Chart'!$I55*'Prepare Gantt Chart'!$J55),'Prepare Gantt Chart'!V55=9,'Project types'!$L56*('Prepare Gantt Chart'!$I55*'Prepare Gantt Chart'!$J55),'Prepare Gantt Chart'!V55=0,0)</f>
        <v>0</v>
      </c>
      <c r="AS56" s="45">
        <f>_xlfn.IFS('Prepare Gantt Chart'!W55=10,'Project types'!$L56*('Prepare Gantt Chart'!$I55*'Prepare Gantt Chart'!$J55),'Prepare Gantt Chart'!W55=9,'Project types'!$L56*('Prepare Gantt Chart'!$I55*'Prepare Gantt Chart'!$J55),'Prepare Gantt Chart'!W55=0,0)</f>
        <v>0</v>
      </c>
      <c r="AT56" s="45">
        <f>_xlfn.IFS('Prepare Gantt Chart'!X55=10,'Project types'!$L56*('Prepare Gantt Chart'!$I55*'Prepare Gantt Chart'!$J55),'Prepare Gantt Chart'!X55=9,'Project types'!$L56*('Prepare Gantt Chart'!$I55*'Prepare Gantt Chart'!$J55),'Prepare Gantt Chart'!X55=0,0)</f>
        <v>0</v>
      </c>
      <c r="AU56" s="45">
        <f>_xlfn.IFS('Prepare Gantt Chart'!Y55=10,'Project types'!$L56*('Prepare Gantt Chart'!$I55*'Prepare Gantt Chart'!$J55),'Prepare Gantt Chart'!Y55=9,'Project types'!$L56*('Prepare Gantt Chart'!$I55*'Prepare Gantt Chart'!$J55),'Prepare Gantt Chart'!Y55=0,0)</f>
        <v>0</v>
      </c>
      <c r="AV56" s="45">
        <f>_xlfn.IFS('Prepare Gantt Chart'!Z55=10,'Project types'!$L56*('Prepare Gantt Chart'!$I55*'Prepare Gantt Chart'!$J55),'Prepare Gantt Chart'!Z55=9,'Project types'!$L56*('Prepare Gantt Chart'!$I55*'Prepare Gantt Chart'!$J55),'Prepare Gantt Chart'!Z55=0,0)</f>
        <v>0</v>
      </c>
      <c r="AW56" s="45">
        <f>_xlfn.IFS('Prepare Gantt Chart'!AA55=10,'Project types'!$L56*('Prepare Gantt Chart'!$I55*'Prepare Gantt Chart'!$J55),'Prepare Gantt Chart'!AA55=9,'Project types'!$L56*('Prepare Gantt Chart'!$I55*'Prepare Gantt Chart'!$J55),'Prepare Gantt Chart'!AA55=0,0)</f>
        <v>0</v>
      </c>
      <c r="AX56" s="45">
        <f>_xlfn.IFS('Prepare Gantt Chart'!AB55=10,'Project types'!$L56*('Prepare Gantt Chart'!$I55*'Prepare Gantt Chart'!$J55),'Prepare Gantt Chart'!AB55=9,'Project types'!$L56*('Prepare Gantt Chart'!$I55*'Prepare Gantt Chart'!$J55),'Prepare Gantt Chart'!AB55=0,0)</f>
        <v>0</v>
      </c>
      <c r="AY56" s="45">
        <f>_xlfn.IFS('Prepare Gantt Chart'!AC55=10,'Project types'!$L56*('Prepare Gantt Chart'!$I55*'Prepare Gantt Chart'!$J55),'Prepare Gantt Chart'!AC55=9,'Project types'!$L56*('Prepare Gantt Chart'!$I55*'Prepare Gantt Chart'!$J55),'Prepare Gantt Chart'!AC55=0,0)</f>
        <v>0</v>
      </c>
      <c r="AZ56" s="45">
        <f>_xlfn.IFS('Prepare Gantt Chart'!AD55=10,'Project types'!$L56*('Prepare Gantt Chart'!$I55*'Prepare Gantt Chart'!$J55),'Prepare Gantt Chart'!AD55=9,'Project types'!$L56*('Prepare Gantt Chart'!$I55*'Prepare Gantt Chart'!$J55),'Prepare Gantt Chart'!AD55=0,0)</f>
        <v>0</v>
      </c>
      <c r="BA56" s="45">
        <f>_xlfn.IFS('Prepare Gantt Chart'!AE55=10,'Project types'!$L56*('Prepare Gantt Chart'!$I55*'Prepare Gantt Chart'!$J55),'Prepare Gantt Chart'!AE55=9,'Project types'!$L56*('Prepare Gantt Chart'!$I55*'Prepare Gantt Chart'!$J55),'Prepare Gantt Chart'!AE55=0,0)</f>
        <v>0</v>
      </c>
      <c r="BB56" s="45">
        <f>_xlfn.IFS('Prepare Gantt Chart'!AF55=10,'Project types'!$L56*('Prepare Gantt Chart'!$I55*'Prepare Gantt Chart'!$J55),'Prepare Gantt Chart'!AF55=9,'Project types'!$L56*('Prepare Gantt Chart'!$I55*'Prepare Gantt Chart'!$J55),'Prepare Gantt Chart'!AF55=0,0)</f>
        <v>0</v>
      </c>
      <c r="BC56" s="45">
        <f>_xlfn.IFS('Prepare Gantt Chart'!AG55=10,'Project types'!$L56*('Prepare Gantt Chart'!$I55*'Prepare Gantt Chart'!$J55),'Prepare Gantt Chart'!AG55=9,'Project types'!$L56*('Prepare Gantt Chart'!$I55*'Prepare Gantt Chart'!$J55),'Prepare Gantt Chart'!AG55=0,0)</f>
        <v>0</v>
      </c>
      <c r="BD56" s="45">
        <f>_xlfn.IFS('Prepare Gantt Chart'!AH55=10,'Project types'!$L56*('Prepare Gantt Chart'!$I55*'Prepare Gantt Chart'!$J55),'Prepare Gantt Chart'!AH55=9,'Project types'!$L56*('Prepare Gantt Chart'!$I55*'Prepare Gantt Chart'!$J55),'Prepare Gantt Chart'!AH55=0,0)</f>
        <v>0</v>
      </c>
      <c r="BE56" s="45">
        <f>_xlfn.IFS('Prepare Gantt Chart'!AI55=10,'Project types'!$L56*('Prepare Gantt Chart'!$I55*'Prepare Gantt Chart'!$J55),'Prepare Gantt Chart'!AI55=9,'Project types'!$L56*('Prepare Gantt Chart'!$I55*'Prepare Gantt Chart'!$J55),'Prepare Gantt Chart'!AI55=0,0)</f>
        <v>0</v>
      </c>
      <c r="BF56" s="45">
        <f>_xlfn.IFS('Prepare Gantt Chart'!AJ55=10,'Project types'!$L56*('Prepare Gantt Chart'!$I55*'Prepare Gantt Chart'!$J55),'Prepare Gantt Chart'!AJ55=9,'Project types'!$L56*('Prepare Gantt Chart'!$I55*'Prepare Gantt Chart'!$J55),'Prepare Gantt Chart'!AJ55=0,0)</f>
        <v>0</v>
      </c>
      <c r="BG56" s="45">
        <f>_xlfn.IFS('Prepare Gantt Chart'!AK55=10,'Project types'!$L56*('Prepare Gantt Chart'!$I55*'Prepare Gantt Chart'!$J55),'Prepare Gantt Chart'!AK55=9,'Project types'!$L56*('Prepare Gantt Chart'!$I55*'Prepare Gantt Chart'!$J55),'Prepare Gantt Chart'!AK55=0,0)</f>
        <v>0</v>
      </c>
      <c r="BH56" s="45">
        <f>_xlfn.IFS('Prepare Gantt Chart'!AL55=10,'Project types'!$L56*('Prepare Gantt Chart'!$I55*'Prepare Gantt Chart'!$J55),'Prepare Gantt Chart'!AL55=9,'Project types'!$L56*('Prepare Gantt Chart'!$I55*'Prepare Gantt Chart'!$J55),'Prepare Gantt Chart'!AL55=0,0)</f>
        <v>0</v>
      </c>
      <c r="BI56" s="45">
        <f>_xlfn.IFS('Prepare Gantt Chart'!AM55=10,'Project types'!$L56*('Prepare Gantt Chart'!$I55*'Prepare Gantt Chart'!$J55),'Prepare Gantt Chart'!AM55=9,'Project types'!$L56*('Prepare Gantt Chart'!$I55*'Prepare Gantt Chart'!$J55),'Prepare Gantt Chart'!AM55=0,0)</f>
        <v>0</v>
      </c>
      <c r="BJ56" s="45">
        <f>_xlfn.IFS('Prepare Gantt Chart'!AN55=10,'Project types'!$L56*('Prepare Gantt Chart'!$I55*'Prepare Gantt Chart'!$J55),'Prepare Gantt Chart'!AN55=9,'Project types'!$L56*('Prepare Gantt Chart'!$I55*'Prepare Gantt Chart'!$J55),'Prepare Gantt Chart'!AN55=0,0)</f>
        <v>0</v>
      </c>
      <c r="BK56" s="45">
        <f>_xlfn.IFS('Prepare Gantt Chart'!AO55=10,'Project types'!$L56*('Prepare Gantt Chart'!$I55*'Prepare Gantt Chart'!$J55),'Prepare Gantt Chart'!AO55=9,'Project types'!$L56*('Prepare Gantt Chart'!$I55*'Prepare Gantt Chart'!$J55),'Prepare Gantt Chart'!AO55=0,0)</f>
        <v>0</v>
      </c>
      <c r="BL56" s="46">
        <f t="shared" si="1"/>
        <v>0</v>
      </c>
      <c r="BM56" s="75">
        <f>IF('Prepare Gantt Chart'!$J55=0,0,SUM(AL56:AQ56)/6/'Prepare Gantt Chart'!$J55)</f>
        <v>0</v>
      </c>
      <c r="BN56" s="75">
        <f>IF('Prepare Gantt Chart'!$J55=0,0,SUM(AR56:AV56)/5/'Prepare Gantt Chart'!$J55)</f>
        <v>0</v>
      </c>
      <c r="BO56" s="75">
        <f>IF('Prepare Gantt Chart'!$J55=0,0,SUM(AW56:BA56)/5/'Prepare Gantt Chart'!$J55)</f>
        <v>0</v>
      </c>
      <c r="BP56" s="75">
        <f>IF('Prepare Gantt Chart'!$J55=0,0,SUM(BB56:BF56)/5/'Prepare Gantt Chart'!$J55)</f>
        <v>0</v>
      </c>
      <c r="BQ56" s="75">
        <f>IF('Prepare Gantt Chart'!$J55=0,0,SUM(BG56:BK56)/5/'Prepare Gantt Chart'!$J55)</f>
        <v>0</v>
      </c>
    </row>
    <row r="57" spans="1:69" x14ac:dyDescent="0.2">
      <c r="A57" s="30" t="s">
        <v>52</v>
      </c>
      <c r="B57" s="1" t="s">
        <v>139</v>
      </c>
      <c r="C57" s="45">
        <f>_xlfn.IFS('Prepare Gantt Chart'!P56=10,'Project types'!$O57*('Prepare Gantt Chart'!$I56*'Prepare Gantt Chart'!$J56),'Prepare Gantt Chart'!P56=9,'Project types'!$Q57*('Prepare Gantt Chart'!$I56*'Prepare Gantt Chart'!$J56),'Prepare Gantt Chart'!P56=0,0)</f>
        <v>0</v>
      </c>
      <c r="D57" s="45">
        <f>_xlfn.IFS('Prepare Gantt Chart'!Q56=10,'Project types'!$O57*('Prepare Gantt Chart'!$I56*'Prepare Gantt Chart'!$J56),'Prepare Gantt Chart'!Q56=9,'Project types'!$Q57*('Prepare Gantt Chart'!$I56*'Prepare Gantt Chart'!$J56),'Prepare Gantt Chart'!Q56=0,0)</f>
        <v>0</v>
      </c>
      <c r="E57" s="45">
        <f>_xlfn.IFS('Prepare Gantt Chart'!R56=10,'Project types'!$O57*('Prepare Gantt Chart'!$I56*'Prepare Gantt Chart'!$J56),'Prepare Gantt Chart'!R56=9,'Project types'!$Q57*('Prepare Gantt Chart'!$I56*'Prepare Gantt Chart'!$J56),'Prepare Gantt Chart'!R56=0,0)</f>
        <v>0</v>
      </c>
      <c r="F57" s="45">
        <f>_xlfn.IFS('Prepare Gantt Chart'!S56=10,'Project types'!$O57*('Prepare Gantt Chart'!$I56*'Prepare Gantt Chart'!$J56),'Prepare Gantt Chart'!S56=9,'Project types'!$Q57*('Prepare Gantt Chart'!$I56*'Prepare Gantt Chart'!$J56),'Prepare Gantt Chart'!S56=0,0)</f>
        <v>0</v>
      </c>
      <c r="G57" s="45">
        <f>_xlfn.IFS('Prepare Gantt Chart'!T56=10,'Project types'!$O57*('Prepare Gantt Chart'!$I56*'Prepare Gantt Chart'!$J56),'Prepare Gantt Chart'!T56=9,'Project types'!$Q57*('Prepare Gantt Chart'!$I56*'Prepare Gantt Chart'!$J56),'Prepare Gantt Chart'!T56=0,0)</f>
        <v>0</v>
      </c>
      <c r="H57" s="45">
        <f>_xlfn.IFS('Prepare Gantt Chart'!U56=10,'Project types'!$O57*('Prepare Gantt Chart'!$I56*'Prepare Gantt Chart'!$J56),'Prepare Gantt Chart'!U56=9,'Project types'!$Q57*('Prepare Gantt Chart'!$I56*'Prepare Gantt Chart'!$J56),'Prepare Gantt Chart'!U56=0,0)</f>
        <v>0</v>
      </c>
      <c r="I57" s="45">
        <f>_xlfn.IFS('Prepare Gantt Chart'!V56=10,'Project types'!$O57*('Prepare Gantt Chart'!$I56*'Prepare Gantt Chart'!$J56),'Prepare Gantt Chart'!V56=9,'Project types'!$Q57*('Prepare Gantt Chart'!$I56*'Prepare Gantt Chart'!$J56),'Prepare Gantt Chart'!V56=0,0)</f>
        <v>0</v>
      </c>
      <c r="J57" s="45">
        <f>_xlfn.IFS('Prepare Gantt Chart'!W56=10,'Project types'!$O57*('Prepare Gantt Chart'!$I56*'Prepare Gantt Chart'!$J56),'Prepare Gantt Chart'!W56=9,'Project types'!$Q57*('Prepare Gantt Chart'!$I56*'Prepare Gantt Chart'!$J56),'Prepare Gantt Chart'!W56=0,0)</f>
        <v>0</v>
      </c>
      <c r="K57" s="45">
        <f>_xlfn.IFS('Prepare Gantt Chart'!X56=10,'Project types'!$O57*('Prepare Gantt Chart'!$I56*'Prepare Gantt Chart'!$J56),'Prepare Gantt Chart'!X56=9,'Project types'!$Q57*('Prepare Gantt Chart'!$I56*'Prepare Gantt Chart'!$J56),'Prepare Gantt Chart'!X56=0,0)</f>
        <v>0</v>
      </c>
      <c r="L57" s="45">
        <f>_xlfn.IFS('Prepare Gantt Chart'!Y56=10,'Project types'!$O57*('Prepare Gantt Chart'!$I56*'Prepare Gantt Chart'!$J56),'Prepare Gantt Chart'!Y56=9,'Project types'!$Q57*('Prepare Gantt Chart'!$I56*'Prepare Gantt Chart'!$J56),'Prepare Gantt Chart'!Y56=0,0)</f>
        <v>0</v>
      </c>
      <c r="M57" s="45">
        <f>_xlfn.IFS('Prepare Gantt Chart'!Z56=10,'Project types'!$O57*('Prepare Gantt Chart'!$I56*'Prepare Gantt Chart'!$J56),'Prepare Gantt Chart'!Z56=9,'Project types'!$Q57*('Prepare Gantt Chart'!$I56*'Prepare Gantt Chart'!$J56),'Prepare Gantt Chart'!Z56=0,0)</f>
        <v>0</v>
      </c>
      <c r="N57" s="45">
        <f>_xlfn.IFS('Prepare Gantt Chart'!AA56=10,'Project types'!$O57*('Prepare Gantt Chart'!$I56*'Prepare Gantt Chart'!$J56),'Prepare Gantt Chart'!AA56=9,'Project types'!$Q57*('Prepare Gantt Chart'!$I56*'Prepare Gantt Chart'!$J56),'Prepare Gantt Chart'!AA56=0,0)</f>
        <v>0</v>
      </c>
      <c r="O57" s="45">
        <f>_xlfn.IFS('Prepare Gantt Chart'!AB56=10,'Project types'!$O57*('Prepare Gantt Chart'!$I56*'Prepare Gantt Chart'!$J56),'Prepare Gantt Chart'!AB56=9,'Project types'!$Q57*('Prepare Gantt Chart'!$I56*'Prepare Gantt Chart'!$J56),'Prepare Gantt Chart'!AB56=0,0)</f>
        <v>0</v>
      </c>
      <c r="P57" s="45">
        <f>_xlfn.IFS('Prepare Gantt Chart'!AC56=10,'Project types'!$O57*('Prepare Gantt Chart'!$I56*'Prepare Gantt Chart'!$J56),'Prepare Gantt Chart'!AC56=9,'Project types'!$Q57*('Prepare Gantt Chart'!$I56*'Prepare Gantt Chart'!$J56),'Prepare Gantt Chart'!AC56=0,0)</f>
        <v>0</v>
      </c>
      <c r="Q57" s="45">
        <f>_xlfn.IFS('Prepare Gantt Chart'!AD56=10,'Project types'!$O57*('Prepare Gantt Chart'!$I56*'Prepare Gantt Chart'!$J56),'Prepare Gantt Chart'!AD56=9,'Project types'!$Q57*('Prepare Gantt Chart'!$I56*'Prepare Gantt Chart'!$J56),'Prepare Gantt Chart'!AD56=0,0)</f>
        <v>0</v>
      </c>
      <c r="R57" s="45">
        <f>_xlfn.IFS('Prepare Gantt Chart'!AE56=10,'Project types'!$O57*('Prepare Gantt Chart'!$I56*'Prepare Gantt Chart'!$J56),'Prepare Gantt Chart'!AE56=9,'Project types'!$Q57*('Prepare Gantt Chart'!$I56*'Prepare Gantt Chart'!$J56),'Prepare Gantt Chart'!AE56=0,0)</f>
        <v>0</v>
      </c>
      <c r="S57" s="45">
        <f>_xlfn.IFS('Prepare Gantt Chart'!AF56=10,'Project types'!$O57*('Prepare Gantt Chart'!$I56*'Prepare Gantt Chart'!$J56),'Prepare Gantt Chart'!AF56=9,'Project types'!$Q57*('Prepare Gantt Chart'!$I56*'Prepare Gantt Chart'!$J56),'Prepare Gantt Chart'!AF56=0,0)</f>
        <v>0</v>
      </c>
      <c r="T57" s="45">
        <f>_xlfn.IFS('Prepare Gantt Chart'!AG56=10,'Project types'!$O57*('Prepare Gantt Chart'!$I56*'Prepare Gantt Chart'!$J56),'Prepare Gantt Chart'!AG56=9,'Project types'!$Q57*('Prepare Gantt Chart'!$I56*'Prepare Gantt Chart'!$J56),'Prepare Gantt Chart'!AG56=0,0)</f>
        <v>0</v>
      </c>
      <c r="U57" s="45">
        <f>_xlfn.IFS('Prepare Gantt Chart'!AH56=10,'Project types'!$O57*('Prepare Gantt Chart'!$I56*'Prepare Gantt Chart'!$J56),'Prepare Gantt Chart'!AH56=9,'Project types'!$Q57*('Prepare Gantt Chart'!$I56*'Prepare Gantt Chart'!$J56),'Prepare Gantt Chart'!AH56=0,0)</f>
        <v>0</v>
      </c>
      <c r="V57" s="45">
        <f>_xlfn.IFS('Prepare Gantt Chart'!AI56=10,'Project types'!$O57*('Prepare Gantt Chart'!$I56*'Prepare Gantt Chart'!$J56),'Prepare Gantt Chart'!AI56=9,'Project types'!$Q57*('Prepare Gantt Chart'!$I56*'Prepare Gantt Chart'!$J56),'Prepare Gantt Chart'!AI56=0,0)</f>
        <v>0</v>
      </c>
      <c r="W57" s="45">
        <f>_xlfn.IFS('Prepare Gantt Chart'!AJ56=10,'Project types'!$O57*('Prepare Gantt Chart'!$I56*'Prepare Gantt Chart'!$J56),'Prepare Gantt Chart'!AJ56=9,'Project types'!$Q57*('Prepare Gantt Chart'!$I56*'Prepare Gantt Chart'!$J56),'Prepare Gantt Chart'!AJ56=0,0)</f>
        <v>0</v>
      </c>
      <c r="X57" s="45">
        <f>_xlfn.IFS('Prepare Gantt Chart'!AK56=10,'Project types'!$O57*('Prepare Gantt Chart'!$I56*'Prepare Gantt Chart'!$J56),'Prepare Gantt Chart'!AK56=9,'Project types'!$Q57*('Prepare Gantt Chart'!$I56*'Prepare Gantt Chart'!$J56),'Prepare Gantt Chart'!AK56=0,0)</f>
        <v>0</v>
      </c>
      <c r="Y57" s="45">
        <f>_xlfn.IFS('Prepare Gantt Chart'!AL56=10,'Project types'!$O57*('Prepare Gantt Chart'!$I56*'Prepare Gantt Chart'!$J56),'Prepare Gantt Chart'!AL56=9,'Project types'!$Q57*('Prepare Gantt Chart'!$I56*'Prepare Gantt Chart'!$J56),'Prepare Gantt Chart'!AL56=0,0)</f>
        <v>0</v>
      </c>
      <c r="Z57" s="45">
        <f>_xlfn.IFS('Prepare Gantt Chart'!AM56=10,'Project types'!$O57*('Prepare Gantt Chart'!$I56*'Prepare Gantt Chart'!$J56),'Prepare Gantt Chart'!AM56=9,'Project types'!$Q57*('Prepare Gantt Chart'!$I56*'Prepare Gantt Chart'!$J56),'Prepare Gantt Chart'!AM56=0,0)</f>
        <v>0</v>
      </c>
      <c r="AA57" s="45">
        <f>_xlfn.IFS('Prepare Gantt Chart'!AN56=10,'Project types'!$O57*('Prepare Gantt Chart'!$I56*'Prepare Gantt Chart'!$J56),'Prepare Gantt Chart'!AN56=9,'Project types'!$Q57*('Prepare Gantt Chart'!$I56*'Prepare Gantt Chart'!$J56),'Prepare Gantt Chart'!AN56=0,0)</f>
        <v>0</v>
      </c>
      <c r="AB57" s="45">
        <f>_xlfn.IFS('Prepare Gantt Chart'!AO56=10,'Project types'!$O57*('Prepare Gantt Chart'!$I56*'Prepare Gantt Chart'!$J56),'Prepare Gantt Chart'!AO56=9,'Project types'!$Q57*('Prepare Gantt Chart'!$I56*'Prepare Gantt Chart'!$J56),'Prepare Gantt Chart'!AO56=0,0)</f>
        <v>0</v>
      </c>
      <c r="AC57" s="45">
        <f>'Prepare Gantt Chart'!J56*'Prepare Gantt Chart'!I56*(AD57/26)</f>
        <v>0</v>
      </c>
      <c r="AD57" s="46">
        <f t="shared" si="0"/>
        <v>0</v>
      </c>
      <c r="AE57" s="72">
        <f>IF('Prepare Gantt Chart'!$J56=0,0,SUM(C57:H57)/6/'Prepare Gantt Chart'!$J56)</f>
        <v>0</v>
      </c>
      <c r="AF57" s="72">
        <f>IF('Prepare Gantt Chart'!$J56=0,0,SUM(I57:M57)/5/'Prepare Gantt Chart'!$J56)</f>
        <v>0</v>
      </c>
      <c r="AG57" s="72">
        <f>IF('Prepare Gantt Chart'!$J56=0,0,SUM(N57:R57)/5/'Prepare Gantt Chart'!$J56)</f>
        <v>0</v>
      </c>
      <c r="AH57" s="72">
        <f>IF('Prepare Gantt Chart'!$J56=0,0,SUM(S57:W57)/5/'Prepare Gantt Chart'!$J56)</f>
        <v>0</v>
      </c>
      <c r="AI57" s="72">
        <f>IF('Prepare Gantt Chart'!$J56=0,0,SUM(X57:AB57)/5/'Prepare Gantt Chart'!$J56)</f>
        <v>0</v>
      </c>
      <c r="AK57" s="30" t="s">
        <v>52</v>
      </c>
      <c r="AL57" s="45">
        <f>_xlfn.IFS('Prepare Gantt Chart'!P56=10,'Project types'!$L57*('Prepare Gantt Chart'!$I56*'Prepare Gantt Chart'!$J56),'Prepare Gantt Chart'!P56=9,'Project types'!$L57*('Prepare Gantt Chart'!$I56*'Prepare Gantt Chart'!$J56),'Prepare Gantt Chart'!P56=0,0)</f>
        <v>0</v>
      </c>
      <c r="AM57" s="45">
        <f>_xlfn.IFS('Prepare Gantt Chart'!Q56=10,'Project types'!$L57*('Prepare Gantt Chart'!$I56*'Prepare Gantt Chart'!$J56),'Prepare Gantt Chart'!Q56=9,'Project types'!$L57*('Prepare Gantt Chart'!$I56*'Prepare Gantt Chart'!$J56),'Prepare Gantt Chart'!Q56=0,0)</f>
        <v>0</v>
      </c>
      <c r="AN57" s="45">
        <f>_xlfn.IFS('Prepare Gantt Chart'!R56=10,'Project types'!$L57*('Prepare Gantt Chart'!$I56*'Prepare Gantt Chart'!$J56),'Prepare Gantt Chart'!R56=9,'Project types'!$L57*('Prepare Gantt Chart'!$I56*'Prepare Gantt Chart'!$J56),'Prepare Gantt Chart'!R56=0,0)</f>
        <v>0</v>
      </c>
      <c r="AO57" s="45">
        <f>_xlfn.IFS('Prepare Gantt Chart'!S56=10,'Project types'!$L57*('Prepare Gantt Chart'!$I56*'Prepare Gantt Chart'!$J56),'Prepare Gantt Chart'!S56=9,'Project types'!$L57*('Prepare Gantt Chart'!$I56*'Prepare Gantt Chart'!$J56),'Prepare Gantt Chart'!S56=0,0)</f>
        <v>0</v>
      </c>
      <c r="AP57" s="45">
        <f>_xlfn.IFS('Prepare Gantt Chart'!T56=10,'Project types'!$L57*('Prepare Gantt Chart'!$I56*'Prepare Gantt Chart'!$J56),'Prepare Gantt Chart'!T56=9,'Project types'!$L57*('Prepare Gantt Chart'!$I56*'Prepare Gantt Chart'!$J56),'Prepare Gantt Chart'!T56=0,0)</f>
        <v>0</v>
      </c>
      <c r="AQ57" s="45">
        <f>_xlfn.IFS('Prepare Gantt Chart'!U56=10,'Project types'!$L57*('Prepare Gantt Chart'!$I56*'Prepare Gantt Chart'!$J56),'Prepare Gantt Chart'!U56=9,'Project types'!$L57*('Prepare Gantt Chart'!$I56*'Prepare Gantt Chart'!$J56),'Prepare Gantt Chart'!U56=0,0)</f>
        <v>0</v>
      </c>
      <c r="AR57" s="45">
        <f>_xlfn.IFS('Prepare Gantt Chart'!V56=10,'Project types'!$L57*('Prepare Gantt Chart'!$I56*'Prepare Gantt Chart'!$J56),'Prepare Gantt Chart'!V56=9,'Project types'!$L57*('Prepare Gantt Chart'!$I56*'Prepare Gantt Chart'!$J56),'Prepare Gantt Chart'!V56=0,0)</f>
        <v>0</v>
      </c>
      <c r="AS57" s="45">
        <f>_xlfn.IFS('Prepare Gantt Chart'!W56=10,'Project types'!$L57*('Prepare Gantt Chart'!$I56*'Prepare Gantt Chart'!$J56),'Prepare Gantt Chart'!W56=9,'Project types'!$L57*('Prepare Gantt Chart'!$I56*'Prepare Gantt Chart'!$J56),'Prepare Gantt Chart'!W56=0,0)</f>
        <v>0</v>
      </c>
      <c r="AT57" s="45">
        <f>_xlfn.IFS('Prepare Gantt Chart'!X56=10,'Project types'!$L57*('Prepare Gantt Chart'!$I56*'Prepare Gantt Chart'!$J56),'Prepare Gantt Chart'!X56=9,'Project types'!$L57*('Prepare Gantt Chart'!$I56*'Prepare Gantt Chart'!$J56),'Prepare Gantt Chart'!X56=0,0)</f>
        <v>0</v>
      </c>
      <c r="AU57" s="45">
        <f>_xlfn.IFS('Prepare Gantt Chart'!Y56=10,'Project types'!$L57*('Prepare Gantt Chart'!$I56*'Prepare Gantt Chart'!$J56),'Prepare Gantt Chart'!Y56=9,'Project types'!$L57*('Prepare Gantt Chart'!$I56*'Prepare Gantt Chart'!$J56),'Prepare Gantt Chart'!Y56=0,0)</f>
        <v>0</v>
      </c>
      <c r="AV57" s="45">
        <f>_xlfn.IFS('Prepare Gantt Chart'!Z56=10,'Project types'!$L57*('Prepare Gantt Chart'!$I56*'Prepare Gantt Chart'!$J56),'Prepare Gantt Chart'!Z56=9,'Project types'!$L57*('Prepare Gantt Chart'!$I56*'Prepare Gantt Chart'!$J56),'Prepare Gantt Chart'!Z56=0,0)</f>
        <v>0</v>
      </c>
      <c r="AW57" s="45">
        <f>_xlfn.IFS('Prepare Gantt Chart'!AA56=10,'Project types'!$L57*('Prepare Gantt Chart'!$I56*'Prepare Gantt Chart'!$J56),'Prepare Gantt Chart'!AA56=9,'Project types'!$L57*('Prepare Gantt Chart'!$I56*'Prepare Gantt Chart'!$J56),'Prepare Gantt Chart'!AA56=0,0)</f>
        <v>0</v>
      </c>
      <c r="AX57" s="45">
        <f>_xlfn.IFS('Prepare Gantt Chart'!AB56=10,'Project types'!$L57*('Prepare Gantt Chart'!$I56*'Prepare Gantt Chart'!$J56),'Prepare Gantt Chart'!AB56=9,'Project types'!$L57*('Prepare Gantt Chart'!$I56*'Prepare Gantt Chart'!$J56),'Prepare Gantt Chart'!AB56=0,0)</f>
        <v>0</v>
      </c>
      <c r="AY57" s="45">
        <f>_xlfn.IFS('Prepare Gantt Chart'!AC56=10,'Project types'!$L57*('Prepare Gantt Chart'!$I56*'Prepare Gantt Chart'!$J56),'Prepare Gantt Chart'!AC56=9,'Project types'!$L57*('Prepare Gantt Chart'!$I56*'Prepare Gantt Chart'!$J56),'Prepare Gantt Chart'!AC56=0,0)</f>
        <v>0</v>
      </c>
      <c r="AZ57" s="45">
        <f>_xlfn.IFS('Prepare Gantt Chart'!AD56=10,'Project types'!$L57*('Prepare Gantt Chart'!$I56*'Prepare Gantt Chart'!$J56),'Prepare Gantt Chart'!AD56=9,'Project types'!$L57*('Prepare Gantt Chart'!$I56*'Prepare Gantt Chart'!$J56),'Prepare Gantt Chart'!AD56=0,0)</f>
        <v>0</v>
      </c>
      <c r="BA57" s="45">
        <f>_xlfn.IFS('Prepare Gantt Chart'!AE56=10,'Project types'!$L57*('Prepare Gantt Chart'!$I56*'Prepare Gantt Chart'!$J56),'Prepare Gantt Chart'!AE56=9,'Project types'!$L57*('Prepare Gantt Chart'!$I56*'Prepare Gantt Chart'!$J56),'Prepare Gantt Chart'!AE56=0,0)</f>
        <v>0</v>
      </c>
      <c r="BB57" s="45">
        <f>_xlfn.IFS('Prepare Gantt Chart'!AF56=10,'Project types'!$L57*('Prepare Gantt Chart'!$I56*'Prepare Gantt Chart'!$J56),'Prepare Gantt Chart'!AF56=9,'Project types'!$L57*('Prepare Gantt Chart'!$I56*'Prepare Gantt Chart'!$J56),'Prepare Gantt Chart'!AF56=0,0)</f>
        <v>0</v>
      </c>
      <c r="BC57" s="45">
        <f>_xlfn.IFS('Prepare Gantt Chart'!AG56=10,'Project types'!$L57*('Prepare Gantt Chart'!$I56*'Prepare Gantt Chart'!$J56),'Prepare Gantt Chart'!AG56=9,'Project types'!$L57*('Prepare Gantt Chart'!$I56*'Prepare Gantt Chart'!$J56),'Prepare Gantt Chart'!AG56=0,0)</f>
        <v>0</v>
      </c>
      <c r="BD57" s="45">
        <f>_xlfn.IFS('Prepare Gantt Chart'!AH56=10,'Project types'!$L57*('Prepare Gantt Chart'!$I56*'Prepare Gantt Chart'!$J56),'Prepare Gantt Chart'!AH56=9,'Project types'!$L57*('Prepare Gantt Chart'!$I56*'Prepare Gantt Chart'!$J56),'Prepare Gantt Chart'!AH56=0,0)</f>
        <v>0</v>
      </c>
      <c r="BE57" s="45">
        <f>_xlfn.IFS('Prepare Gantt Chart'!AI56=10,'Project types'!$L57*('Prepare Gantt Chart'!$I56*'Prepare Gantt Chart'!$J56),'Prepare Gantt Chart'!AI56=9,'Project types'!$L57*('Prepare Gantt Chart'!$I56*'Prepare Gantt Chart'!$J56),'Prepare Gantt Chart'!AI56=0,0)</f>
        <v>0</v>
      </c>
      <c r="BF57" s="45">
        <f>_xlfn.IFS('Prepare Gantt Chart'!AJ56=10,'Project types'!$L57*('Prepare Gantt Chart'!$I56*'Prepare Gantt Chart'!$J56),'Prepare Gantt Chart'!AJ56=9,'Project types'!$L57*('Prepare Gantt Chart'!$I56*'Prepare Gantt Chart'!$J56),'Prepare Gantt Chart'!AJ56=0,0)</f>
        <v>0</v>
      </c>
      <c r="BG57" s="45">
        <f>_xlfn.IFS('Prepare Gantt Chart'!AK56=10,'Project types'!$L57*('Prepare Gantt Chart'!$I56*'Prepare Gantt Chart'!$J56),'Prepare Gantt Chart'!AK56=9,'Project types'!$L57*('Prepare Gantt Chart'!$I56*'Prepare Gantt Chart'!$J56),'Prepare Gantt Chart'!AK56=0,0)</f>
        <v>0</v>
      </c>
      <c r="BH57" s="45">
        <f>_xlfn.IFS('Prepare Gantt Chart'!AL56=10,'Project types'!$L57*('Prepare Gantt Chart'!$I56*'Prepare Gantt Chart'!$J56),'Prepare Gantt Chart'!AL56=9,'Project types'!$L57*('Prepare Gantt Chart'!$I56*'Prepare Gantt Chart'!$J56),'Prepare Gantt Chart'!AL56=0,0)</f>
        <v>0</v>
      </c>
      <c r="BI57" s="45">
        <f>_xlfn.IFS('Prepare Gantt Chart'!AM56=10,'Project types'!$L57*('Prepare Gantt Chart'!$I56*'Prepare Gantt Chart'!$J56),'Prepare Gantt Chart'!AM56=9,'Project types'!$L57*('Prepare Gantt Chart'!$I56*'Prepare Gantt Chart'!$J56),'Prepare Gantt Chart'!AM56=0,0)</f>
        <v>0</v>
      </c>
      <c r="BJ57" s="45">
        <f>_xlfn.IFS('Prepare Gantt Chart'!AN56=10,'Project types'!$L57*('Prepare Gantt Chart'!$I56*'Prepare Gantt Chart'!$J56),'Prepare Gantt Chart'!AN56=9,'Project types'!$L57*('Prepare Gantt Chart'!$I56*'Prepare Gantt Chart'!$J56),'Prepare Gantt Chart'!AN56=0,0)</f>
        <v>0</v>
      </c>
      <c r="BK57" s="45">
        <f>_xlfn.IFS('Prepare Gantt Chart'!AO56=10,'Project types'!$L57*('Prepare Gantt Chart'!$I56*'Prepare Gantt Chart'!$J56),'Prepare Gantt Chart'!AO56=9,'Project types'!$L57*('Prepare Gantt Chart'!$I56*'Prepare Gantt Chart'!$J56),'Prepare Gantt Chart'!AO56=0,0)</f>
        <v>0</v>
      </c>
      <c r="BL57" s="46">
        <f t="shared" si="1"/>
        <v>0</v>
      </c>
      <c r="BM57" s="75">
        <f>IF('Prepare Gantt Chart'!$J56=0,0,SUM(AL57:AQ57)/6/'Prepare Gantt Chart'!$J56)</f>
        <v>0</v>
      </c>
      <c r="BN57" s="75">
        <f>IF('Prepare Gantt Chart'!$J56=0,0,SUM(AR57:AV57)/5/'Prepare Gantt Chart'!$J56)</f>
        <v>0</v>
      </c>
      <c r="BO57" s="75">
        <f>IF('Prepare Gantt Chart'!$J56=0,0,SUM(AW57:BA57)/5/'Prepare Gantt Chart'!$J56)</f>
        <v>0</v>
      </c>
      <c r="BP57" s="75">
        <f>IF('Prepare Gantt Chart'!$J56=0,0,SUM(BB57:BF57)/5/'Prepare Gantt Chart'!$J56)</f>
        <v>0</v>
      </c>
      <c r="BQ57" s="75">
        <f>IF('Prepare Gantt Chart'!$J56=0,0,SUM(BG57:BK57)/5/'Prepare Gantt Chart'!$J56)</f>
        <v>0</v>
      </c>
    </row>
    <row r="58" spans="1:69" x14ac:dyDescent="0.2">
      <c r="A58" s="30" t="s">
        <v>53</v>
      </c>
      <c r="B58" s="1" t="s">
        <v>140</v>
      </c>
      <c r="C58" s="45">
        <f>_xlfn.IFS('Prepare Gantt Chart'!P57=10,'Project types'!$O58*('Prepare Gantt Chart'!$I57*'Prepare Gantt Chart'!$J57),'Prepare Gantt Chart'!P57=9,'Project types'!$Q58*('Prepare Gantt Chart'!$I57*'Prepare Gantt Chart'!$J57),'Prepare Gantt Chart'!P57=0,0)</f>
        <v>0</v>
      </c>
      <c r="D58" s="45">
        <f>_xlfn.IFS('Prepare Gantt Chart'!Q57=10,'Project types'!$O58*('Prepare Gantt Chart'!$I57*'Prepare Gantt Chart'!$J57),'Prepare Gantt Chart'!Q57=9,'Project types'!$Q58*('Prepare Gantt Chart'!$I57*'Prepare Gantt Chart'!$J57),'Prepare Gantt Chart'!Q57=0,0)</f>
        <v>0</v>
      </c>
      <c r="E58" s="45">
        <f>_xlfn.IFS('Prepare Gantt Chart'!R57=10,'Project types'!$O58*('Prepare Gantt Chart'!$I57*'Prepare Gantt Chart'!$J57),'Prepare Gantt Chart'!R57=9,'Project types'!$Q58*('Prepare Gantt Chart'!$I57*'Prepare Gantt Chart'!$J57),'Prepare Gantt Chart'!R57=0,0)</f>
        <v>0</v>
      </c>
      <c r="F58" s="45">
        <f>_xlfn.IFS('Prepare Gantt Chart'!S57=10,'Project types'!$O58*('Prepare Gantt Chart'!$I57*'Prepare Gantt Chart'!$J57),'Prepare Gantt Chart'!S57=9,'Project types'!$Q58*('Prepare Gantt Chart'!$I57*'Prepare Gantt Chart'!$J57),'Prepare Gantt Chart'!S57=0,0)</f>
        <v>0</v>
      </c>
      <c r="G58" s="45">
        <f>_xlfn.IFS('Prepare Gantt Chart'!T57=10,'Project types'!$O58*('Prepare Gantt Chart'!$I57*'Prepare Gantt Chart'!$J57),'Prepare Gantt Chart'!T57=9,'Project types'!$Q58*('Prepare Gantt Chart'!$I57*'Prepare Gantt Chart'!$J57),'Prepare Gantt Chart'!T57=0,0)</f>
        <v>0</v>
      </c>
      <c r="H58" s="45">
        <f>_xlfn.IFS('Prepare Gantt Chart'!U57=10,'Project types'!$O58*('Prepare Gantt Chart'!$I57*'Prepare Gantt Chart'!$J57),'Prepare Gantt Chart'!U57=9,'Project types'!$Q58*('Prepare Gantt Chart'!$I57*'Prepare Gantt Chart'!$J57),'Prepare Gantt Chart'!U57=0,0)</f>
        <v>0</v>
      </c>
      <c r="I58" s="45">
        <f>_xlfn.IFS('Prepare Gantt Chart'!V57=10,'Project types'!$O58*('Prepare Gantt Chart'!$I57*'Prepare Gantt Chart'!$J57),'Prepare Gantt Chart'!V57=9,'Project types'!$Q58*('Prepare Gantt Chart'!$I57*'Prepare Gantt Chart'!$J57),'Prepare Gantt Chart'!V57=0,0)</f>
        <v>0</v>
      </c>
      <c r="J58" s="45">
        <f>_xlfn.IFS('Prepare Gantt Chart'!W57=10,'Project types'!$O58*('Prepare Gantt Chart'!$I57*'Prepare Gantt Chart'!$J57),'Prepare Gantt Chart'!W57=9,'Project types'!$Q58*('Prepare Gantt Chart'!$I57*'Prepare Gantt Chart'!$J57),'Prepare Gantt Chart'!W57=0,0)</f>
        <v>0</v>
      </c>
      <c r="K58" s="45">
        <f>_xlfn.IFS('Prepare Gantt Chart'!X57=10,'Project types'!$O58*('Prepare Gantt Chart'!$I57*'Prepare Gantt Chart'!$J57),'Prepare Gantt Chart'!X57=9,'Project types'!$Q58*('Prepare Gantt Chart'!$I57*'Prepare Gantt Chart'!$J57),'Prepare Gantt Chart'!X57=0,0)</f>
        <v>0</v>
      </c>
      <c r="L58" s="45">
        <f>_xlfn.IFS('Prepare Gantt Chart'!Y57=10,'Project types'!$O58*('Prepare Gantt Chart'!$I57*'Prepare Gantt Chart'!$J57),'Prepare Gantt Chart'!Y57=9,'Project types'!$Q58*('Prepare Gantt Chart'!$I57*'Prepare Gantt Chart'!$J57),'Prepare Gantt Chart'!Y57=0,0)</f>
        <v>0</v>
      </c>
      <c r="M58" s="45">
        <f>_xlfn.IFS('Prepare Gantt Chart'!Z57=10,'Project types'!$O58*('Prepare Gantt Chart'!$I57*'Prepare Gantt Chart'!$J57),'Prepare Gantt Chart'!Z57=9,'Project types'!$Q58*('Prepare Gantt Chart'!$I57*'Prepare Gantt Chart'!$J57),'Prepare Gantt Chart'!Z57=0,0)</f>
        <v>0</v>
      </c>
      <c r="N58" s="45">
        <f>_xlfn.IFS('Prepare Gantt Chart'!AA57=10,'Project types'!$O58*('Prepare Gantt Chart'!$I57*'Prepare Gantt Chart'!$J57),'Prepare Gantt Chart'!AA57=9,'Project types'!$Q58*('Prepare Gantt Chart'!$I57*'Prepare Gantt Chart'!$J57),'Prepare Gantt Chart'!AA57=0,0)</f>
        <v>0</v>
      </c>
      <c r="O58" s="45">
        <f>_xlfn.IFS('Prepare Gantt Chart'!AB57=10,'Project types'!$O58*('Prepare Gantt Chart'!$I57*'Prepare Gantt Chart'!$J57),'Prepare Gantt Chart'!AB57=9,'Project types'!$Q58*('Prepare Gantt Chart'!$I57*'Prepare Gantt Chart'!$J57),'Prepare Gantt Chart'!AB57=0,0)</f>
        <v>0</v>
      </c>
      <c r="P58" s="45">
        <f>_xlfn.IFS('Prepare Gantt Chart'!AC57=10,'Project types'!$O58*('Prepare Gantt Chart'!$I57*'Prepare Gantt Chart'!$J57),'Prepare Gantt Chart'!AC57=9,'Project types'!$Q58*('Prepare Gantt Chart'!$I57*'Prepare Gantt Chart'!$J57),'Prepare Gantt Chart'!AC57=0,0)</f>
        <v>0</v>
      </c>
      <c r="Q58" s="45">
        <f>_xlfn.IFS('Prepare Gantt Chart'!AD57=10,'Project types'!$O58*('Prepare Gantt Chart'!$I57*'Prepare Gantt Chart'!$J57),'Prepare Gantt Chart'!AD57=9,'Project types'!$Q58*('Prepare Gantt Chart'!$I57*'Prepare Gantt Chart'!$J57),'Prepare Gantt Chart'!AD57=0,0)</f>
        <v>0</v>
      </c>
      <c r="R58" s="45">
        <f>_xlfn.IFS('Prepare Gantt Chart'!AE57=10,'Project types'!$O58*('Prepare Gantt Chart'!$I57*'Prepare Gantt Chart'!$J57),'Prepare Gantt Chart'!AE57=9,'Project types'!$Q58*('Prepare Gantt Chart'!$I57*'Prepare Gantt Chart'!$J57),'Prepare Gantt Chart'!AE57=0,0)</f>
        <v>0</v>
      </c>
      <c r="S58" s="45">
        <f>_xlfn.IFS('Prepare Gantt Chart'!AF57=10,'Project types'!$O58*('Prepare Gantt Chart'!$I57*'Prepare Gantt Chart'!$J57),'Prepare Gantt Chart'!AF57=9,'Project types'!$Q58*('Prepare Gantt Chart'!$I57*'Prepare Gantt Chart'!$J57),'Prepare Gantt Chart'!AF57=0,0)</f>
        <v>0</v>
      </c>
      <c r="T58" s="45">
        <f>_xlfn.IFS('Prepare Gantt Chart'!AG57=10,'Project types'!$O58*('Prepare Gantt Chart'!$I57*'Prepare Gantt Chart'!$J57),'Prepare Gantt Chart'!AG57=9,'Project types'!$Q58*('Prepare Gantt Chart'!$I57*'Prepare Gantt Chart'!$J57),'Prepare Gantt Chart'!AG57=0,0)</f>
        <v>0</v>
      </c>
      <c r="U58" s="45">
        <f>_xlfn.IFS('Prepare Gantt Chart'!AH57=10,'Project types'!$O58*('Prepare Gantt Chart'!$I57*'Prepare Gantt Chart'!$J57),'Prepare Gantt Chart'!AH57=9,'Project types'!$Q58*('Prepare Gantt Chart'!$I57*'Prepare Gantt Chart'!$J57),'Prepare Gantt Chart'!AH57=0,0)</f>
        <v>0</v>
      </c>
      <c r="V58" s="45">
        <f>_xlfn.IFS('Prepare Gantt Chart'!AI57=10,'Project types'!$O58*('Prepare Gantt Chart'!$I57*'Prepare Gantt Chart'!$J57),'Prepare Gantt Chart'!AI57=9,'Project types'!$Q58*('Prepare Gantt Chart'!$I57*'Prepare Gantt Chart'!$J57),'Prepare Gantt Chart'!AI57=0,0)</f>
        <v>0</v>
      </c>
      <c r="W58" s="45">
        <f>_xlfn.IFS('Prepare Gantt Chart'!AJ57=10,'Project types'!$O58*('Prepare Gantt Chart'!$I57*'Prepare Gantt Chart'!$J57),'Prepare Gantt Chart'!AJ57=9,'Project types'!$Q58*('Prepare Gantt Chart'!$I57*'Prepare Gantt Chart'!$J57),'Prepare Gantt Chart'!AJ57=0,0)</f>
        <v>0</v>
      </c>
      <c r="X58" s="45">
        <f>_xlfn.IFS('Prepare Gantt Chart'!AK57=10,'Project types'!$O58*('Prepare Gantt Chart'!$I57*'Prepare Gantt Chart'!$J57),'Prepare Gantt Chart'!AK57=9,'Project types'!$Q58*('Prepare Gantt Chart'!$I57*'Prepare Gantt Chart'!$J57),'Prepare Gantt Chart'!AK57=0,0)</f>
        <v>0</v>
      </c>
      <c r="Y58" s="45">
        <f>_xlfn.IFS('Prepare Gantt Chart'!AL57=10,'Project types'!$O58*('Prepare Gantt Chart'!$I57*'Prepare Gantt Chart'!$J57),'Prepare Gantt Chart'!AL57=9,'Project types'!$Q58*('Prepare Gantt Chart'!$I57*'Prepare Gantt Chart'!$J57),'Prepare Gantt Chart'!AL57=0,0)</f>
        <v>0</v>
      </c>
      <c r="Z58" s="45">
        <f>_xlfn.IFS('Prepare Gantt Chart'!AM57=10,'Project types'!$O58*('Prepare Gantt Chart'!$I57*'Prepare Gantt Chart'!$J57),'Prepare Gantt Chart'!AM57=9,'Project types'!$Q58*('Prepare Gantt Chart'!$I57*'Prepare Gantt Chart'!$J57),'Prepare Gantt Chart'!AM57=0,0)</f>
        <v>0</v>
      </c>
      <c r="AA58" s="45">
        <f>_xlfn.IFS('Prepare Gantt Chart'!AN57=10,'Project types'!$O58*('Prepare Gantt Chart'!$I57*'Prepare Gantt Chart'!$J57),'Prepare Gantt Chart'!AN57=9,'Project types'!$Q58*('Prepare Gantt Chart'!$I57*'Prepare Gantt Chart'!$J57),'Prepare Gantt Chart'!AN57=0,0)</f>
        <v>0</v>
      </c>
      <c r="AB58" s="45">
        <f>_xlfn.IFS('Prepare Gantt Chart'!AO57=10,'Project types'!$O58*('Prepare Gantt Chart'!$I57*'Prepare Gantt Chart'!$J57),'Prepare Gantt Chart'!AO57=9,'Project types'!$Q58*('Prepare Gantt Chart'!$I57*'Prepare Gantt Chart'!$J57),'Prepare Gantt Chart'!AO57=0,0)</f>
        <v>0</v>
      </c>
      <c r="AC58" s="45">
        <f>'Prepare Gantt Chart'!J57*'Prepare Gantt Chart'!I57*(AD58/26)</f>
        <v>0</v>
      </c>
      <c r="AD58" s="46">
        <f t="shared" si="0"/>
        <v>0</v>
      </c>
      <c r="AE58" s="72">
        <f>IF('Prepare Gantt Chart'!$J57=0,0,SUM(C58:H58)/6/'Prepare Gantt Chart'!$J57)</f>
        <v>0</v>
      </c>
      <c r="AF58" s="72">
        <f>IF('Prepare Gantt Chart'!$J57=0,0,SUM(I58:M58)/5/'Prepare Gantt Chart'!$J57)</f>
        <v>0</v>
      </c>
      <c r="AG58" s="72">
        <f>IF('Prepare Gantt Chart'!$J57=0,0,SUM(N58:R58)/5/'Prepare Gantt Chart'!$J57)</f>
        <v>0</v>
      </c>
      <c r="AH58" s="72">
        <f>IF('Prepare Gantt Chart'!$J57=0,0,SUM(S58:W58)/5/'Prepare Gantt Chart'!$J57)</f>
        <v>0</v>
      </c>
      <c r="AI58" s="72">
        <f>IF('Prepare Gantt Chart'!$J57=0,0,SUM(X58:AB58)/5/'Prepare Gantt Chart'!$J57)</f>
        <v>0</v>
      </c>
      <c r="AK58" s="30" t="s">
        <v>53</v>
      </c>
      <c r="AL58" s="45">
        <f>_xlfn.IFS('Prepare Gantt Chart'!P57=10,'Project types'!$L58*('Prepare Gantt Chart'!$I57*'Prepare Gantt Chart'!$J57),'Prepare Gantt Chart'!P57=9,'Project types'!$L58*('Prepare Gantt Chart'!$I57*'Prepare Gantt Chart'!$J57),'Prepare Gantt Chart'!P57=0,0)</f>
        <v>0</v>
      </c>
      <c r="AM58" s="45">
        <f>_xlfn.IFS('Prepare Gantt Chart'!Q57=10,'Project types'!$L58*('Prepare Gantt Chart'!$I57*'Prepare Gantt Chart'!$J57),'Prepare Gantt Chart'!Q57=9,'Project types'!$L58*('Prepare Gantt Chart'!$I57*'Prepare Gantt Chart'!$J57),'Prepare Gantt Chart'!Q57=0,0)</f>
        <v>0</v>
      </c>
      <c r="AN58" s="45">
        <f>_xlfn.IFS('Prepare Gantt Chart'!R57=10,'Project types'!$L58*('Prepare Gantt Chart'!$I57*'Prepare Gantt Chart'!$J57),'Prepare Gantt Chart'!R57=9,'Project types'!$L58*('Prepare Gantt Chart'!$I57*'Prepare Gantt Chart'!$J57),'Prepare Gantt Chart'!R57=0,0)</f>
        <v>0</v>
      </c>
      <c r="AO58" s="45">
        <f>_xlfn.IFS('Prepare Gantt Chart'!S57=10,'Project types'!$L58*('Prepare Gantt Chart'!$I57*'Prepare Gantt Chart'!$J57),'Prepare Gantt Chart'!S57=9,'Project types'!$L58*('Prepare Gantt Chart'!$I57*'Prepare Gantt Chart'!$J57),'Prepare Gantt Chart'!S57=0,0)</f>
        <v>0</v>
      </c>
      <c r="AP58" s="45">
        <f>_xlfn.IFS('Prepare Gantt Chart'!T57=10,'Project types'!$L58*('Prepare Gantt Chart'!$I57*'Prepare Gantt Chart'!$J57),'Prepare Gantt Chart'!T57=9,'Project types'!$L58*('Prepare Gantt Chart'!$I57*'Prepare Gantt Chart'!$J57),'Prepare Gantt Chart'!T57=0,0)</f>
        <v>0</v>
      </c>
      <c r="AQ58" s="45">
        <f>_xlfn.IFS('Prepare Gantt Chart'!U57=10,'Project types'!$L58*('Prepare Gantt Chart'!$I57*'Prepare Gantt Chart'!$J57),'Prepare Gantt Chart'!U57=9,'Project types'!$L58*('Prepare Gantt Chart'!$I57*'Prepare Gantt Chart'!$J57),'Prepare Gantt Chart'!U57=0,0)</f>
        <v>0</v>
      </c>
      <c r="AR58" s="45">
        <f>_xlfn.IFS('Prepare Gantt Chart'!V57=10,'Project types'!$L58*('Prepare Gantt Chart'!$I57*'Prepare Gantt Chart'!$J57),'Prepare Gantt Chart'!V57=9,'Project types'!$L58*('Prepare Gantt Chart'!$I57*'Prepare Gantt Chart'!$J57),'Prepare Gantt Chart'!V57=0,0)</f>
        <v>0</v>
      </c>
      <c r="AS58" s="45">
        <f>_xlfn.IFS('Prepare Gantt Chart'!W57=10,'Project types'!$L58*('Prepare Gantt Chart'!$I57*'Prepare Gantt Chart'!$J57),'Prepare Gantt Chart'!W57=9,'Project types'!$L58*('Prepare Gantt Chart'!$I57*'Prepare Gantt Chart'!$J57),'Prepare Gantt Chart'!W57=0,0)</f>
        <v>0</v>
      </c>
      <c r="AT58" s="45">
        <f>_xlfn.IFS('Prepare Gantt Chart'!X57=10,'Project types'!$L58*('Prepare Gantt Chart'!$I57*'Prepare Gantt Chart'!$J57),'Prepare Gantt Chart'!X57=9,'Project types'!$L58*('Prepare Gantt Chart'!$I57*'Prepare Gantt Chart'!$J57),'Prepare Gantt Chart'!X57=0,0)</f>
        <v>0</v>
      </c>
      <c r="AU58" s="45">
        <f>_xlfn.IFS('Prepare Gantt Chart'!Y57=10,'Project types'!$L58*('Prepare Gantt Chart'!$I57*'Prepare Gantt Chart'!$J57),'Prepare Gantt Chart'!Y57=9,'Project types'!$L58*('Prepare Gantt Chart'!$I57*'Prepare Gantt Chart'!$J57),'Prepare Gantt Chart'!Y57=0,0)</f>
        <v>0</v>
      </c>
      <c r="AV58" s="45">
        <f>_xlfn.IFS('Prepare Gantt Chart'!Z57=10,'Project types'!$L58*('Prepare Gantt Chart'!$I57*'Prepare Gantt Chart'!$J57),'Prepare Gantt Chart'!Z57=9,'Project types'!$L58*('Prepare Gantt Chart'!$I57*'Prepare Gantt Chart'!$J57),'Prepare Gantt Chart'!Z57=0,0)</f>
        <v>0</v>
      </c>
      <c r="AW58" s="45">
        <f>_xlfn.IFS('Prepare Gantt Chart'!AA57=10,'Project types'!$L58*('Prepare Gantt Chart'!$I57*'Prepare Gantt Chart'!$J57),'Prepare Gantt Chart'!AA57=9,'Project types'!$L58*('Prepare Gantt Chart'!$I57*'Prepare Gantt Chart'!$J57),'Prepare Gantt Chart'!AA57=0,0)</f>
        <v>0</v>
      </c>
      <c r="AX58" s="45">
        <f>_xlfn.IFS('Prepare Gantt Chart'!AB57=10,'Project types'!$L58*('Prepare Gantt Chart'!$I57*'Prepare Gantt Chart'!$J57),'Prepare Gantt Chart'!AB57=9,'Project types'!$L58*('Prepare Gantt Chart'!$I57*'Prepare Gantt Chart'!$J57),'Prepare Gantt Chart'!AB57=0,0)</f>
        <v>0</v>
      </c>
      <c r="AY58" s="45">
        <f>_xlfn.IFS('Prepare Gantt Chart'!AC57=10,'Project types'!$L58*('Prepare Gantt Chart'!$I57*'Prepare Gantt Chart'!$J57),'Prepare Gantt Chart'!AC57=9,'Project types'!$L58*('Prepare Gantt Chart'!$I57*'Prepare Gantt Chart'!$J57),'Prepare Gantt Chart'!AC57=0,0)</f>
        <v>0</v>
      </c>
      <c r="AZ58" s="45">
        <f>_xlfn.IFS('Prepare Gantt Chart'!AD57=10,'Project types'!$L58*('Prepare Gantt Chart'!$I57*'Prepare Gantt Chart'!$J57),'Prepare Gantt Chart'!AD57=9,'Project types'!$L58*('Prepare Gantt Chart'!$I57*'Prepare Gantt Chart'!$J57),'Prepare Gantt Chart'!AD57=0,0)</f>
        <v>0</v>
      </c>
      <c r="BA58" s="45">
        <f>_xlfn.IFS('Prepare Gantt Chart'!AE57=10,'Project types'!$L58*('Prepare Gantt Chart'!$I57*'Prepare Gantt Chart'!$J57),'Prepare Gantt Chart'!AE57=9,'Project types'!$L58*('Prepare Gantt Chart'!$I57*'Prepare Gantt Chart'!$J57),'Prepare Gantt Chart'!AE57=0,0)</f>
        <v>0</v>
      </c>
      <c r="BB58" s="45">
        <f>_xlfn.IFS('Prepare Gantt Chart'!AF57=10,'Project types'!$L58*('Prepare Gantt Chart'!$I57*'Prepare Gantt Chart'!$J57),'Prepare Gantt Chart'!AF57=9,'Project types'!$L58*('Prepare Gantt Chart'!$I57*'Prepare Gantt Chart'!$J57),'Prepare Gantt Chart'!AF57=0,0)</f>
        <v>0</v>
      </c>
      <c r="BC58" s="45">
        <f>_xlfn.IFS('Prepare Gantt Chart'!AG57=10,'Project types'!$L58*('Prepare Gantt Chart'!$I57*'Prepare Gantt Chart'!$J57),'Prepare Gantt Chart'!AG57=9,'Project types'!$L58*('Prepare Gantt Chart'!$I57*'Prepare Gantt Chart'!$J57),'Prepare Gantt Chart'!AG57=0,0)</f>
        <v>0</v>
      </c>
      <c r="BD58" s="45">
        <f>_xlfn.IFS('Prepare Gantt Chart'!AH57=10,'Project types'!$L58*('Prepare Gantt Chart'!$I57*'Prepare Gantt Chart'!$J57),'Prepare Gantt Chart'!AH57=9,'Project types'!$L58*('Prepare Gantt Chart'!$I57*'Prepare Gantt Chart'!$J57),'Prepare Gantt Chart'!AH57=0,0)</f>
        <v>0</v>
      </c>
      <c r="BE58" s="45">
        <f>_xlfn.IFS('Prepare Gantt Chart'!AI57=10,'Project types'!$L58*('Prepare Gantt Chart'!$I57*'Prepare Gantt Chart'!$J57),'Prepare Gantt Chart'!AI57=9,'Project types'!$L58*('Prepare Gantt Chart'!$I57*'Prepare Gantt Chart'!$J57),'Prepare Gantt Chart'!AI57=0,0)</f>
        <v>0</v>
      </c>
      <c r="BF58" s="45">
        <f>_xlfn.IFS('Prepare Gantt Chart'!AJ57=10,'Project types'!$L58*('Prepare Gantt Chart'!$I57*'Prepare Gantt Chart'!$J57),'Prepare Gantt Chart'!AJ57=9,'Project types'!$L58*('Prepare Gantt Chart'!$I57*'Prepare Gantt Chart'!$J57),'Prepare Gantt Chart'!AJ57=0,0)</f>
        <v>0</v>
      </c>
      <c r="BG58" s="45">
        <f>_xlfn.IFS('Prepare Gantt Chart'!AK57=10,'Project types'!$L58*('Prepare Gantt Chart'!$I57*'Prepare Gantt Chart'!$J57),'Prepare Gantt Chart'!AK57=9,'Project types'!$L58*('Prepare Gantt Chart'!$I57*'Prepare Gantt Chart'!$J57),'Prepare Gantt Chart'!AK57=0,0)</f>
        <v>0</v>
      </c>
      <c r="BH58" s="45">
        <f>_xlfn.IFS('Prepare Gantt Chart'!AL57=10,'Project types'!$L58*('Prepare Gantt Chart'!$I57*'Prepare Gantt Chart'!$J57),'Prepare Gantt Chart'!AL57=9,'Project types'!$L58*('Prepare Gantt Chart'!$I57*'Prepare Gantt Chart'!$J57),'Prepare Gantt Chart'!AL57=0,0)</f>
        <v>0</v>
      </c>
      <c r="BI58" s="45">
        <f>_xlfn.IFS('Prepare Gantt Chart'!AM57=10,'Project types'!$L58*('Prepare Gantt Chart'!$I57*'Prepare Gantt Chart'!$J57),'Prepare Gantt Chart'!AM57=9,'Project types'!$L58*('Prepare Gantt Chart'!$I57*'Prepare Gantt Chart'!$J57),'Prepare Gantt Chart'!AM57=0,0)</f>
        <v>0</v>
      </c>
      <c r="BJ58" s="45">
        <f>_xlfn.IFS('Prepare Gantt Chart'!AN57=10,'Project types'!$L58*('Prepare Gantt Chart'!$I57*'Prepare Gantt Chart'!$J57),'Prepare Gantt Chart'!AN57=9,'Project types'!$L58*('Prepare Gantt Chart'!$I57*'Prepare Gantt Chart'!$J57),'Prepare Gantt Chart'!AN57=0,0)</f>
        <v>0</v>
      </c>
      <c r="BK58" s="45">
        <f>_xlfn.IFS('Prepare Gantt Chart'!AO57=10,'Project types'!$L58*('Prepare Gantt Chart'!$I57*'Prepare Gantt Chart'!$J57),'Prepare Gantt Chart'!AO57=9,'Project types'!$L58*('Prepare Gantt Chart'!$I57*'Prepare Gantt Chart'!$J57),'Prepare Gantt Chart'!AO57=0,0)</f>
        <v>0</v>
      </c>
      <c r="BL58" s="46">
        <f t="shared" si="1"/>
        <v>0</v>
      </c>
      <c r="BM58" s="75">
        <f>IF('Prepare Gantt Chart'!$J57=0,0,SUM(AL58:AQ58)/6/'Prepare Gantt Chart'!$J57)</f>
        <v>0</v>
      </c>
      <c r="BN58" s="75">
        <f>IF('Prepare Gantt Chart'!$J57=0,0,SUM(AR58:AV58)/5/'Prepare Gantt Chart'!$J57)</f>
        <v>0</v>
      </c>
      <c r="BO58" s="75">
        <f>IF('Prepare Gantt Chart'!$J57=0,0,SUM(AW58:BA58)/5/'Prepare Gantt Chart'!$J57)</f>
        <v>0</v>
      </c>
      <c r="BP58" s="75">
        <f>IF('Prepare Gantt Chart'!$J57=0,0,SUM(BB58:BF58)/5/'Prepare Gantt Chart'!$J57)</f>
        <v>0</v>
      </c>
      <c r="BQ58" s="75">
        <f>IF('Prepare Gantt Chart'!$J57=0,0,SUM(BG58:BK58)/5/'Prepare Gantt Chart'!$J57)</f>
        <v>0</v>
      </c>
    </row>
    <row r="59" spans="1:69" x14ac:dyDescent="0.2">
      <c r="A59" s="30" t="s">
        <v>54</v>
      </c>
      <c r="B59" s="1" t="s">
        <v>405</v>
      </c>
      <c r="C59" s="45">
        <f>_xlfn.IFS('Prepare Gantt Chart'!P58=10,'Project types'!$O59*('Prepare Gantt Chart'!$I58*'Prepare Gantt Chart'!$J58),'Prepare Gantt Chart'!P58=9,'Project types'!$Q59*('Prepare Gantt Chart'!$I58*'Prepare Gantt Chart'!$J58),'Prepare Gantt Chart'!P58=0,0)</f>
        <v>0</v>
      </c>
      <c r="D59" s="45">
        <f>_xlfn.IFS('Prepare Gantt Chart'!Q58=10,'Project types'!$O59*('Prepare Gantt Chart'!$I58*'Prepare Gantt Chart'!$J58),'Prepare Gantt Chart'!Q58=9,'Project types'!$Q59*('Prepare Gantt Chart'!$I58*'Prepare Gantt Chart'!$J58),'Prepare Gantt Chart'!Q58=0,0)</f>
        <v>0</v>
      </c>
      <c r="E59" s="45">
        <f>_xlfn.IFS('Prepare Gantt Chart'!R58=10,'Project types'!$O59*('Prepare Gantt Chart'!$I58*'Prepare Gantt Chart'!$J58),'Prepare Gantt Chart'!R58=9,'Project types'!$Q59*('Prepare Gantt Chart'!$I58*'Prepare Gantt Chart'!$J58),'Prepare Gantt Chart'!R58=0,0)</f>
        <v>0</v>
      </c>
      <c r="F59" s="45">
        <f>_xlfn.IFS('Prepare Gantt Chart'!S58=10,'Project types'!$O59*('Prepare Gantt Chart'!$I58*'Prepare Gantt Chart'!$J58),'Prepare Gantt Chart'!S58=9,'Project types'!$Q59*('Prepare Gantt Chart'!$I58*'Prepare Gantt Chart'!$J58),'Prepare Gantt Chart'!S58=0,0)</f>
        <v>0</v>
      </c>
      <c r="G59" s="45">
        <f>_xlfn.IFS('Prepare Gantt Chart'!T58=10,'Project types'!$O59*('Prepare Gantt Chart'!$I58*'Prepare Gantt Chart'!$J58),'Prepare Gantt Chart'!T58=9,'Project types'!$Q59*('Prepare Gantt Chart'!$I58*'Prepare Gantt Chart'!$J58),'Prepare Gantt Chart'!T58=0,0)</f>
        <v>0</v>
      </c>
      <c r="H59" s="45">
        <f>_xlfn.IFS('Prepare Gantt Chart'!U58=10,'Project types'!$O59*('Prepare Gantt Chart'!$I58*'Prepare Gantt Chart'!$J58),'Prepare Gantt Chart'!U58=9,'Project types'!$Q59*('Prepare Gantt Chart'!$I58*'Prepare Gantt Chart'!$J58),'Prepare Gantt Chart'!U58=0,0)</f>
        <v>0</v>
      </c>
      <c r="I59" s="45">
        <f>_xlfn.IFS('Prepare Gantt Chart'!V58=10,'Project types'!$O59*('Prepare Gantt Chart'!$I58*'Prepare Gantt Chart'!$J58),'Prepare Gantt Chart'!V58=9,'Project types'!$Q59*('Prepare Gantt Chart'!$I58*'Prepare Gantt Chart'!$J58),'Prepare Gantt Chart'!V58=0,0)</f>
        <v>0</v>
      </c>
      <c r="J59" s="45">
        <f>_xlfn.IFS('Prepare Gantt Chart'!W58=10,'Project types'!$O59*('Prepare Gantt Chart'!$I58*'Prepare Gantt Chart'!$J58),'Prepare Gantt Chart'!W58=9,'Project types'!$Q59*('Prepare Gantt Chart'!$I58*'Prepare Gantt Chart'!$J58),'Prepare Gantt Chart'!W58=0,0)</f>
        <v>0</v>
      </c>
      <c r="K59" s="45">
        <f>_xlfn.IFS('Prepare Gantt Chart'!X58=10,'Project types'!$O59*('Prepare Gantt Chart'!$I58*'Prepare Gantt Chart'!$J58),'Prepare Gantt Chart'!X58=9,'Project types'!$Q59*('Prepare Gantt Chart'!$I58*'Prepare Gantt Chart'!$J58),'Prepare Gantt Chart'!X58=0,0)</f>
        <v>0</v>
      </c>
      <c r="L59" s="45">
        <f>_xlfn.IFS('Prepare Gantt Chart'!Y58=10,'Project types'!$O59*('Prepare Gantt Chart'!$I58*'Prepare Gantt Chart'!$J58),'Prepare Gantt Chart'!Y58=9,'Project types'!$Q59*('Prepare Gantt Chart'!$I58*'Prepare Gantt Chart'!$J58),'Prepare Gantt Chart'!Y58=0,0)</f>
        <v>0</v>
      </c>
      <c r="M59" s="45">
        <f>_xlfn.IFS('Prepare Gantt Chart'!Z58=10,'Project types'!$O59*('Prepare Gantt Chart'!$I58*'Prepare Gantt Chart'!$J58),'Prepare Gantt Chart'!Z58=9,'Project types'!$Q59*('Prepare Gantt Chart'!$I58*'Prepare Gantt Chart'!$J58),'Prepare Gantt Chart'!Z58=0,0)</f>
        <v>0</v>
      </c>
      <c r="N59" s="45">
        <f>_xlfn.IFS('Prepare Gantt Chart'!AA58=10,'Project types'!$O59*('Prepare Gantt Chart'!$I58*'Prepare Gantt Chart'!$J58),'Prepare Gantt Chart'!AA58=9,'Project types'!$Q59*('Prepare Gantt Chart'!$I58*'Prepare Gantt Chart'!$J58),'Prepare Gantt Chart'!AA58=0,0)</f>
        <v>0</v>
      </c>
      <c r="O59" s="45">
        <f>_xlfn.IFS('Prepare Gantt Chart'!AB58=10,'Project types'!$O59*('Prepare Gantt Chart'!$I58*'Prepare Gantt Chart'!$J58),'Prepare Gantt Chart'!AB58=9,'Project types'!$Q59*('Prepare Gantt Chart'!$I58*'Prepare Gantt Chart'!$J58),'Prepare Gantt Chart'!AB58=0,0)</f>
        <v>0</v>
      </c>
      <c r="P59" s="45">
        <f>_xlfn.IFS('Prepare Gantt Chart'!AC58=10,'Project types'!$O59*('Prepare Gantt Chart'!$I58*'Prepare Gantt Chart'!$J58),'Prepare Gantt Chart'!AC58=9,'Project types'!$Q59*('Prepare Gantt Chart'!$I58*'Prepare Gantt Chart'!$J58),'Prepare Gantt Chart'!AC58=0,0)</f>
        <v>0</v>
      </c>
      <c r="Q59" s="45">
        <f>_xlfn.IFS('Prepare Gantt Chart'!AD58=10,'Project types'!$O59*('Prepare Gantt Chart'!$I58*'Prepare Gantt Chart'!$J58),'Prepare Gantt Chart'!AD58=9,'Project types'!$Q59*('Prepare Gantt Chart'!$I58*'Prepare Gantt Chart'!$J58),'Prepare Gantt Chart'!AD58=0,0)</f>
        <v>0</v>
      </c>
      <c r="R59" s="45">
        <f>_xlfn.IFS('Prepare Gantt Chart'!AE58=10,'Project types'!$O59*('Prepare Gantt Chart'!$I58*'Prepare Gantt Chart'!$J58),'Prepare Gantt Chart'!AE58=9,'Project types'!$Q59*('Prepare Gantt Chart'!$I58*'Prepare Gantt Chart'!$J58),'Prepare Gantt Chart'!AE58=0,0)</f>
        <v>0</v>
      </c>
      <c r="S59" s="45">
        <f>_xlfn.IFS('Prepare Gantt Chart'!AF58=10,'Project types'!$O59*('Prepare Gantt Chart'!$I58*'Prepare Gantt Chart'!$J58),'Prepare Gantt Chart'!AF58=9,'Project types'!$Q59*('Prepare Gantt Chart'!$I58*'Prepare Gantt Chart'!$J58),'Prepare Gantt Chart'!AF58=0,0)</f>
        <v>0</v>
      </c>
      <c r="T59" s="45">
        <f>_xlfn.IFS('Prepare Gantt Chart'!AG58=10,'Project types'!$O59*('Prepare Gantt Chart'!$I58*'Prepare Gantt Chart'!$J58),'Prepare Gantt Chart'!AG58=9,'Project types'!$Q59*('Prepare Gantt Chart'!$I58*'Prepare Gantt Chart'!$J58),'Prepare Gantt Chart'!AG58=0,0)</f>
        <v>0</v>
      </c>
      <c r="U59" s="45">
        <f>_xlfn.IFS('Prepare Gantt Chart'!AH58=10,'Project types'!$O59*('Prepare Gantt Chart'!$I58*'Prepare Gantt Chart'!$J58),'Prepare Gantt Chart'!AH58=9,'Project types'!$Q59*('Prepare Gantt Chart'!$I58*'Prepare Gantt Chart'!$J58),'Prepare Gantt Chart'!AH58=0,0)</f>
        <v>0</v>
      </c>
      <c r="V59" s="45">
        <f>_xlfn.IFS('Prepare Gantt Chart'!AI58=10,'Project types'!$O59*('Prepare Gantt Chart'!$I58*'Prepare Gantt Chart'!$J58),'Prepare Gantt Chart'!AI58=9,'Project types'!$Q59*('Prepare Gantt Chart'!$I58*'Prepare Gantt Chart'!$J58),'Prepare Gantt Chart'!AI58=0,0)</f>
        <v>0</v>
      </c>
      <c r="W59" s="45">
        <f>_xlfn.IFS('Prepare Gantt Chart'!AJ58=10,'Project types'!$O59*('Prepare Gantt Chart'!$I58*'Prepare Gantt Chart'!$J58),'Prepare Gantt Chart'!AJ58=9,'Project types'!$Q59*('Prepare Gantt Chart'!$I58*'Prepare Gantt Chart'!$J58),'Prepare Gantt Chart'!AJ58=0,0)</f>
        <v>0</v>
      </c>
      <c r="X59" s="45">
        <f>_xlfn.IFS('Prepare Gantt Chart'!AK58=10,'Project types'!$O59*('Prepare Gantt Chart'!$I58*'Prepare Gantt Chart'!$J58),'Prepare Gantt Chart'!AK58=9,'Project types'!$Q59*('Prepare Gantt Chart'!$I58*'Prepare Gantt Chart'!$J58),'Prepare Gantt Chart'!AK58=0,0)</f>
        <v>0</v>
      </c>
      <c r="Y59" s="45">
        <f>_xlfn.IFS('Prepare Gantt Chart'!AL58=10,'Project types'!$O59*('Prepare Gantt Chart'!$I58*'Prepare Gantt Chart'!$J58),'Prepare Gantt Chart'!AL58=9,'Project types'!$Q59*('Prepare Gantt Chart'!$I58*'Prepare Gantt Chart'!$J58),'Prepare Gantt Chart'!AL58=0,0)</f>
        <v>0</v>
      </c>
      <c r="Z59" s="45">
        <f>_xlfn.IFS('Prepare Gantt Chart'!AM58=10,'Project types'!$O59*('Prepare Gantt Chart'!$I58*'Prepare Gantt Chart'!$J58),'Prepare Gantt Chart'!AM58=9,'Project types'!$Q59*('Prepare Gantt Chart'!$I58*'Prepare Gantt Chart'!$J58),'Prepare Gantt Chart'!AM58=0,0)</f>
        <v>0</v>
      </c>
      <c r="AA59" s="45">
        <f>_xlfn.IFS('Prepare Gantt Chart'!AN58=10,'Project types'!$O59*('Prepare Gantt Chart'!$I58*'Prepare Gantt Chart'!$J58),'Prepare Gantt Chart'!AN58=9,'Project types'!$Q59*('Prepare Gantt Chart'!$I58*'Prepare Gantt Chart'!$J58),'Prepare Gantt Chart'!AN58=0,0)</f>
        <v>0</v>
      </c>
      <c r="AB59" s="45">
        <f>_xlfn.IFS('Prepare Gantt Chart'!AO58=10,'Project types'!$O59*('Prepare Gantt Chart'!$I58*'Prepare Gantt Chart'!$J58),'Prepare Gantt Chart'!AO58=9,'Project types'!$Q59*('Prepare Gantt Chart'!$I58*'Prepare Gantt Chart'!$J58),'Prepare Gantt Chart'!AO58=0,0)</f>
        <v>0</v>
      </c>
      <c r="AC59" s="45">
        <f>'Prepare Gantt Chart'!J58*'Prepare Gantt Chart'!I58*(AD59/26)</f>
        <v>0</v>
      </c>
      <c r="AD59" s="46">
        <f t="shared" si="0"/>
        <v>0</v>
      </c>
      <c r="AE59" s="72">
        <f>IF('Prepare Gantt Chart'!$J58=0,0,SUM(C59:H59)/6/'Prepare Gantt Chart'!$J58)</f>
        <v>0</v>
      </c>
      <c r="AF59" s="72">
        <f>IF('Prepare Gantt Chart'!$J58=0,0,SUM(I59:M59)/5/'Prepare Gantt Chart'!$J58)</f>
        <v>0</v>
      </c>
      <c r="AG59" s="72">
        <f>IF('Prepare Gantt Chart'!$J58=0,0,SUM(N59:R59)/5/'Prepare Gantt Chart'!$J58)</f>
        <v>0</v>
      </c>
      <c r="AH59" s="72">
        <f>IF('Prepare Gantt Chart'!$J58=0,0,SUM(S59:W59)/5/'Prepare Gantt Chart'!$J58)</f>
        <v>0</v>
      </c>
      <c r="AI59" s="72">
        <f>IF('Prepare Gantt Chart'!$J58=0,0,SUM(X59:AB59)/5/'Prepare Gantt Chart'!$J58)</f>
        <v>0</v>
      </c>
      <c r="AK59" s="30" t="s">
        <v>54</v>
      </c>
      <c r="AL59" s="45">
        <f>_xlfn.IFS('Prepare Gantt Chart'!P58=10,'Project types'!$L59*('Prepare Gantt Chart'!$I58*'Prepare Gantt Chart'!$J58),'Prepare Gantt Chart'!P58=9,'Project types'!$L59*('Prepare Gantt Chart'!$I58*'Prepare Gantt Chart'!$J58),'Prepare Gantt Chart'!P58=0,0)</f>
        <v>0</v>
      </c>
      <c r="AM59" s="45">
        <f>_xlfn.IFS('Prepare Gantt Chart'!Q58=10,'Project types'!$L59*('Prepare Gantt Chart'!$I58*'Prepare Gantt Chart'!$J58),'Prepare Gantt Chart'!Q58=9,'Project types'!$L59*('Prepare Gantt Chart'!$I58*'Prepare Gantt Chart'!$J58),'Prepare Gantt Chart'!Q58=0,0)</f>
        <v>0</v>
      </c>
      <c r="AN59" s="45">
        <f>_xlfn.IFS('Prepare Gantt Chart'!R58=10,'Project types'!$L59*('Prepare Gantt Chart'!$I58*'Prepare Gantt Chart'!$J58),'Prepare Gantt Chart'!R58=9,'Project types'!$L59*('Prepare Gantt Chart'!$I58*'Prepare Gantt Chart'!$J58),'Prepare Gantt Chart'!R58=0,0)</f>
        <v>0</v>
      </c>
      <c r="AO59" s="45">
        <f>_xlfn.IFS('Prepare Gantt Chart'!S58=10,'Project types'!$L59*('Prepare Gantt Chart'!$I58*'Prepare Gantt Chart'!$J58),'Prepare Gantt Chart'!S58=9,'Project types'!$L59*('Prepare Gantt Chart'!$I58*'Prepare Gantt Chart'!$J58),'Prepare Gantt Chart'!S58=0,0)</f>
        <v>0</v>
      </c>
      <c r="AP59" s="45">
        <f>_xlfn.IFS('Prepare Gantt Chart'!T58=10,'Project types'!$L59*('Prepare Gantt Chart'!$I58*'Prepare Gantt Chart'!$J58),'Prepare Gantt Chart'!T58=9,'Project types'!$L59*('Prepare Gantt Chart'!$I58*'Prepare Gantt Chart'!$J58),'Prepare Gantt Chart'!T58=0,0)</f>
        <v>0</v>
      </c>
      <c r="AQ59" s="45">
        <f>_xlfn.IFS('Prepare Gantt Chart'!U58=10,'Project types'!$L59*('Prepare Gantt Chart'!$I58*'Prepare Gantt Chart'!$J58),'Prepare Gantt Chart'!U58=9,'Project types'!$L59*('Prepare Gantt Chart'!$I58*'Prepare Gantt Chart'!$J58),'Prepare Gantt Chart'!U58=0,0)</f>
        <v>0</v>
      </c>
      <c r="AR59" s="45">
        <f>_xlfn.IFS('Prepare Gantt Chart'!V58=10,'Project types'!$L59*('Prepare Gantt Chart'!$I58*'Prepare Gantt Chart'!$J58),'Prepare Gantt Chart'!V58=9,'Project types'!$L59*('Prepare Gantt Chart'!$I58*'Prepare Gantt Chart'!$J58),'Prepare Gantt Chart'!V58=0,0)</f>
        <v>0</v>
      </c>
      <c r="AS59" s="45">
        <f>_xlfn.IFS('Prepare Gantt Chart'!W58=10,'Project types'!$L59*('Prepare Gantt Chart'!$I58*'Prepare Gantt Chart'!$J58),'Prepare Gantt Chart'!W58=9,'Project types'!$L59*('Prepare Gantt Chart'!$I58*'Prepare Gantt Chart'!$J58),'Prepare Gantt Chart'!W58=0,0)</f>
        <v>0</v>
      </c>
      <c r="AT59" s="45">
        <f>_xlfn.IFS('Prepare Gantt Chart'!X58=10,'Project types'!$L59*('Prepare Gantt Chart'!$I58*'Prepare Gantt Chart'!$J58),'Prepare Gantt Chart'!X58=9,'Project types'!$L59*('Prepare Gantt Chart'!$I58*'Prepare Gantt Chart'!$J58),'Prepare Gantt Chart'!X58=0,0)</f>
        <v>0</v>
      </c>
      <c r="AU59" s="45">
        <f>_xlfn.IFS('Prepare Gantt Chart'!Y58=10,'Project types'!$L59*('Prepare Gantt Chart'!$I58*'Prepare Gantt Chart'!$J58),'Prepare Gantt Chart'!Y58=9,'Project types'!$L59*('Prepare Gantt Chart'!$I58*'Prepare Gantt Chart'!$J58),'Prepare Gantt Chart'!Y58=0,0)</f>
        <v>0</v>
      </c>
      <c r="AV59" s="45">
        <f>_xlfn.IFS('Prepare Gantt Chart'!Z58=10,'Project types'!$L59*('Prepare Gantt Chart'!$I58*'Prepare Gantt Chart'!$J58),'Prepare Gantt Chart'!Z58=9,'Project types'!$L59*('Prepare Gantt Chart'!$I58*'Prepare Gantt Chart'!$J58),'Prepare Gantt Chart'!Z58=0,0)</f>
        <v>0</v>
      </c>
      <c r="AW59" s="45">
        <f>_xlfn.IFS('Prepare Gantt Chart'!AA58=10,'Project types'!$L59*('Prepare Gantt Chart'!$I58*'Prepare Gantt Chart'!$J58),'Prepare Gantt Chart'!AA58=9,'Project types'!$L59*('Prepare Gantt Chart'!$I58*'Prepare Gantt Chart'!$J58),'Prepare Gantt Chart'!AA58=0,0)</f>
        <v>0</v>
      </c>
      <c r="AX59" s="45">
        <f>_xlfn.IFS('Prepare Gantt Chart'!AB58=10,'Project types'!$L59*('Prepare Gantt Chart'!$I58*'Prepare Gantt Chart'!$J58),'Prepare Gantt Chart'!AB58=9,'Project types'!$L59*('Prepare Gantt Chart'!$I58*'Prepare Gantt Chart'!$J58),'Prepare Gantt Chart'!AB58=0,0)</f>
        <v>0</v>
      </c>
      <c r="AY59" s="45">
        <f>_xlfn.IFS('Prepare Gantt Chart'!AC58=10,'Project types'!$L59*('Prepare Gantt Chart'!$I58*'Prepare Gantt Chart'!$J58),'Prepare Gantt Chart'!AC58=9,'Project types'!$L59*('Prepare Gantt Chart'!$I58*'Prepare Gantt Chart'!$J58),'Prepare Gantt Chart'!AC58=0,0)</f>
        <v>0</v>
      </c>
      <c r="AZ59" s="45">
        <f>_xlfn.IFS('Prepare Gantt Chart'!AD58=10,'Project types'!$L59*('Prepare Gantt Chart'!$I58*'Prepare Gantt Chart'!$J58),'Prepare Gantt Chart'!AD58=9,'Project types'!$L59*('Prepare Gantt Chart'!$I58*'Prepare Gantt Chart'!$J58),'Prepare Gantt Chart'!AD58=0,0)</f>
        <v>0</v>
      </c>
      <c r="BA59" s="45">
        <f>_xlfn.IFS('Prepare Gantt Chart'!AE58=10,'Project types'!$L59*('Prepare Gantt Chart'!$I58*'Prepare Gantt Chart'!$J58),'Prepare Gantt Chart'!AE58=9,'Project types'!$L59*('Prepare Gantt Chart'!$I58*'Prepare Gantt Chart'!$J58),'Prepare Gantt Chart'!AE58=0,0)</f>
        <v>0</v>
      </c>
      <c r="BB59" s="45">
        <f>_xlfn.IFS('Prepare Gantt Chart'!AF58=10,'Project types'!$L59*('Prepare Gantt Chart'!$I58*'Prepare Gantt Chart'!$J58),'Prepare Gantt Chart'!AF58=9,'Project types'!$L59*('Prepare Gantt Chart'!$I58*'Prepare Gantt Chart'!$J58),'Prepare Gantt Chart'!AF58=0,0)</f>
        <v>0</v>
      </c>
      <c r="BC59" s="45">
        <f>_xlfn.IFS('Prepare Gantt Chart'!AG58=10,'Project types'!$L59*('Prepare Gantt Chart'!$I58*'Prepare Gantt Chart'!$J58),'Prepare Gantt Chart'!AG58=9,'Project types'!$L59*('Prepare Gantt Chart'!$I58*'Prepare Gantt Chart'!$J58),'Prepare Gantt Chart'!AG58=0,0)</f>
        <v>0</v>
      </c>
      <c r="BD59" s="45">
        <f>_xlfn.IFS('Prepare Gantt Chart'!AH58=10,'Project types'!$L59*('Prepare Gantt Chart'!$I58*'Prepare Gantt Chart'!$J58),'Prepare Gantt Chart'!AH58=9,'Project types'!$L59*('Prepare Gantt Chart'!$I58*'Prepare Gantt Chart'!$J58),'Prepare Gantt Chart'!AH58=0,0)</f>
        <v>0</v>
      </c>
      <c r="BE59" s="45">
        <f>_xlfn.IFS('Prepare Gantt Chart'!AI58=10,'Project types'!$L59*('Prepare Gantt Chart'!$I58*'Prepare Gantt Chart'!$J58),'Prepare Gantt Chart'!AI58=9,'Project types'!$L59*('Prepare Gantt Chart'!$I58*'Prepare Gantt Chart'!$J58),'Prepare Gantt Chart'!AI58=0,0)</f>
        <v>0</v>
      </c>
      <c r="BF59" s="45">
        <f>_xlfn.IFS('Prepare Gantt Chart'!AJ58=10,'Project types'!$L59*('Prepare Gantt Chart'!$I58*'Prepare Gantt Chart'!$J58),'Prepare Gantt Chart'!AJ58=9,'Project types'!$L59*('Prepare Gantt Chart'!$I58*'Prepare Gantt Chart'!$J58),'Prepare Gantt Chart'!AJ58=0,0)</f>
        <v>0</v>
      </c>
      <c r="BG59" s="45">
        <f>_xlfn.IFS('Prepare Gantt Chart'!AK58=10,'Project types'!$L59*('Prepare Gantt Chart'!$I58*'Prepare Gantt Chart'!$J58),'Prepare Gantt Chart'!AK58=9,'Project types'!$L59*('Prepare Gantt Chart'!$I58*'Prepare Gantt Chart'!$J58),'Prepare Gantt Chart'!AK58=0,0)</f>
        <v>0</v>
      </c>
      <c r="BH59" s="45">
        <f>_xlfn.IFS('Prepare Gantt Chart'!AL58=10,'Project types'!$L59*('Prepare Gantt Chart'!$I58*'Prepare Gantt Chart'!$J58),'Prepare Gantt Chart'!AL58=9,'Project types'!$L59*('Prepare Gantt Chart'!$I58*'Prepare Gantt Chart'!$J58),'Prepare Gantt Chart'!AL58=0,0)</f>
        <v>0</v>
      </c>
      <c r="BI59" s="45">
        <f>_xlfn.IFS('Prepare Gantt Chart'!AM58=10,'Project types'!$L59*('Prepare Gantt Chart'!$I58*'Prepare Gantt Chart'!$J58),'Prepare Gantt Chart'!AM58=9,'Project types'!$L59*('Prepare Gantt Chart'!$I58*'Prepare Gantt Chart'!$J58),'Prepare Gantt Chart'!AM58=0,0)</f>
        <v>0</v>
      </c>
      <c r="BJ59" s="45">
        <f>_xlfn.IFS('Prepare Gantt Chart'!AN58=10,'Project types'!$L59*('Prepare Gantt Chart'!$I58*'Prepare Gantt Chart'!$J58),'Prepare Gantt Chart'!AN58=9,'Project types'!$L59*('Prepare Gantt Chart'!$I58*'Prepare Gantt Chart'!$J58),'Prepare Gantt Chart'!AN58=0,0)</f>
        <v>0</v>
      </c>
      <c r="BK59" s="45">
        <f>_xlfn.IFS('Prepare Gantt Chart'!AO58=10,'Project types'!$L59*('Prepare Gantt Chart'!$I58*'Prepare Gantt Chart'!$J58),'Prepare Gantt Chart'!AO58=9,'Project types'!$L59*('Prepare Gantt Chart'!$I58*'Prepare Gantt Chart'!$J58),'Prepare Gantt Chart'!AO58=0,0)</f>
        <v>0</v>
      </c>
      <c r="BL59" s="46">
        <f t="shared" si="1"/>
        <v>0</v>
      </c>
      <c r="BM59" s="75">
        <f>IF('Prepare Gantt Chart'!$J58=0,0,SUM(AL59:AQ59)/6/'Prepare Gantt Chart'!$J58)</f>
        <v>0</v>
      </c>
      <c r="BN59" s="75">
        <f>IF('Prepare Gantt Chart'!$J58=0,0,SUM(AR59:AV59)/5/'Prepare Gantt Chart'!$J58)</f>
        <v>0</v>
      </c>
      <c r="BO59" s="75">
        <f>IF('Prepare Gantt Chart'!$J58=0,0,SUM(AW59:BA59)/5/'Prepare Gantt Chart'!$J58)</f>
        <v>0</v>
      </c>
      <c r="BP59" s="75">
        <f>IF('Prepare Gantt Chart'!$J58=0,0,SUM(BB59:BF59)/5/'Prepare Gantt Chart'!$J58)</f>
        <v>0</v>
      </c>
      <c r="BQ59" s="75">
        <f>IF('Prepare Gantt Chart'!$J58=0,0,SUM(BG59:BK59)/5/'Prepare Gantt Chart'!$J58)</f>
        <v>0</v>
      </c>
    </row>
    <row r="60" spans="1:69" x14ac:dyDescent="0.2">
      <c r="A60" s="30" t="s">
        <v>408</v>
      </c>
      <c r="B60" s="1" t="s">
        <v>406</v>
      </c>
      <c r="C60" s="45">
        <f>_xlfn.IFS('Prepare Gantt Chart'!P59=10,'Project types'!$O60*('Prepare Gantt Chart'!$I59*'Prepare Gantt Chart'!$J59),'Prepare Gantt Chart'!P59=9,'Project types'!$Q60*('Prepare Gantt Chart'!$I59*'Prepare Gantt Chart'!$J59),'Prepare Gantt Chart'!P59=0,0)</f>
        <v>0</v>
      </c>
      <c r="D60" s="45">
        <f>_xlfn.IFS('Prepare Gantt Chart'!Q59=10,'Project types'!$O60*('Prepare Gantt Chart'!$I59*'Prepare Gantt Chart'!$J59),'Prepare Gantt Chart'!Q59=9,'Project types'!$Q60*('Prepare Gantt Chart'!$I59*'Prepare Gantt Chart'!$J59),'Prepare Gantt Chart'!Q59=0,0)</f>
        <v>0</v>
      </c>
      <c r="E60" s="45">
        <f>_xlfn.IFS('Prepare Gantt Chart'!R59=10,'Project types'!$O60*('Prepare Gantt Chart'!$I59*'Prepare Gantt Chart'!$J59),'Prepare Gantt Chart'!R59=9,'Project types'!$Q60*('Prepare Gantt Chart'!$I59*'Prepare Gantt Chart'!$J59),'Prepare Gantt Chart'!R59=0,0)</f>
        <v>0</v>
      </c>
      <c r="F60" s="45">
        <f>_xlfn.IFS('Prepare Gantt Chart'!S59=10,'Project types'!$O60*('Prepare Gantt Chart'!$I59*'Prepare Gantt Chart'!$J59),'Prepare Gantt Chart'!S59=9,'Project types'!$Q60*('Prepare Gantt Chart'!$I59*'Prepare Gantt Chart'!$J59),'Prepare Gantt Chart'!S59=0,0)</f>
        <v>0</v>
      </c>
      <c r="G60" s="45">
        <f>_xlfn.IFS('Prepare Gantt Chart'!T59=10,'Project types'!$O60*('Prepare Gantt Chart'!$I59*'Prepare Gantt Chart'!$J59),'Prepare Gantt Chart'!T59=9,'Project types'!$Q60*('Prepare Gantt Chart'!$I59*'Prepare Gantt Chart'!$J59),'Prepare Gantt Chart'!T59=0,0)</f>
        <v>0</v>
      </c>
      <c r="H60" s="45">
        <f>_xlfn.IFS('Prepare Gantt Chart'!U59=10,'Project types'!$O60*('Prepare Gantt Chart'!$I59*'Prepare Gantt Chart'!$J59),'Prepare Gantt Chart'!U59=9,'Project types'!$Q60*('Prepare Gantt Chart'!$I59*'Prepare Gantt Chart'!$J59),'Prepare Gantt Chart'!U59=0,0)</f>
        <v>0</v>
      </c>
      <c r="I60" s="45">
        <f>_xlfn.IFS('Prepare Gantt Chart'!V59=10,'Project types'!$O60*('Prepare Gantt Chart'!$I59*'Prepare Gantt Chart'!$J59),'Prepare Gantt Chart'!V59=9,'Project types'!$Q60*('Prepare Gantt Chart'!$I59*'Prepare Gantt Chart'!$J59),'Prepare Gantt Chart'!V59=0,0)</f>
        <v>0</v>
      </c>
      <c r="J60" s="45">
        <f>_xlfn.IFS('Prepare Gantt Chart'!W59=10,'Project types'!$O60*('Prepare Gantt Chart'!$I59*'Prepare Gantt Chart'!$J59),'Prepare Gantt Chart'!W59=9,'Project types'!$Q60*('Prepare Gantt Chart'!$I59*'Prepare Gantt Chart'!$J59),'Prepare Gantt Chart'!W59=0,0)</f>
        <v>0</v>
      </c>
      <c r="K60" s="45">
        <f>_xlfn.IFS('Prepare Gantt Chart'!X59=10,'Project types'!$O60*('Prepare Gantt Chart'!$I59*'Prepare Gantt Chart'!$J59),'Prepare Gantt Chart'!X59=9,'Project types'!$Q60*('Prepare Gantt Chart'!$I59*'Prepare Gantt Chart'!$J59),'Prepare Gantt Chart'!X59=0,0)</f>
        <v>0</v>
      </c>
      <c r="L60" s="45">
        <f>_xlfn.IFS('Prepare Gantt Chart'!Y59=10,'Project types'!$O60*('Prepare Gantt Chart'!$I59*'Prepare Gantt Chart'!$J59),'Prepare Gantt Chart'!Y59=9,'Project types'!$Q60*('Prepare Gantt Chart'!$I59*'Prepare Gantt Chart'!$J59),'Prepare Gantt Chart'!Y59=0,0)</f>
        <v>0</v>
      </c>
      <c r="M60" s="45">
        <f>_xlfn.IFS('Prepare Gantt Chart'!Z59=10,'Project types'!$O60*('Prepare Gantt Chart'!$I59*'Prepare Gantt Chart'!$J59),'Prepare Gantt Chart'!Z59=9,'Project types'!$Q60*('Prepare Gantt Chart'!$I59*'Prepare Gantt Chart'!$J59),'Prepare Gantt Chart'!Z59=0,0)</f>
        <v>0</v>
      </c>
      <c r="N60" s="45">
        <f>_xlfn.IFS('Prepare Gantt Chart'!AA59=10,'Project types'!$O60*('Prepare Gantt Chart'!$I59*'Prepare Gantt Chart'!$J59),'Prepare Gantt Chart'!AA59=9,'Project types'!$Q60*('Prepare Gantt Chart'!$I59*'Prepare Gantt Chart'!$J59),'Prepare Gantt Chart'!AA59=0,0)</f>
        <v>0</v>
      </c>
      <c r="O60" s="45">
        <f>_xlfn.IFS('Prepare Gantt Chart'!AB59=10,'Project types'!$O60*('Prepare Gantt Chart'!$I59*'Prepare Gantt Chart'!$J59),'Prepare Gantt Chart'!AB59=9,'Project types'!$Q60*('Prepare Gantt Chart'!$I59*'Prepare Gantt Chart'!$J59),'Prepare Gantt Chart'!AB59=0,0)</f>
        <v>0</v>
      </c>
      <c r="P60" s="45">
        <f>_xlfn.IFS('Prepare Gantt Chart'!AC59=10,'Project types'!$O60*('Prepare Gantt Chart'!$I59*'Prepare Gantt Chart'!$J59),'Prepare Gantt Chart'!AC59=9,'Project types'!$Q60*('Prepare Gantt Chart'!$I59*'Prepare Gantt Chart'!$J59),'Prepare Gantt Chart'!AC59=0,0)</f>
        <v>0</v>
      </c>
      <c r="Q60" s="45">
        <f>_xlfn.IFS('Prepare Gantt Chart'!AD59=10,'Project types'!$O60*('Prepare Gantt Chart'!$I59*'Prepare Gantt Chart'!$J59),'Prepare Gantt Chart'!AD59=9,'Project types'!$Q60*('Prepare Gantt Chart'!$I59*'Prepare Gantt Chart'!$J59),'Prepare Gantt Chart'!AD59=0,0)</f>
        <v>0</v>
      </c>
      <c r="R60" s="45">
        <f>_xlfn.IFS('Prepare Gantt Chart'!AE59=10,'Project types'!$O60*('Prepare Gantt Chart'!$I59*'Prepare Gantt Chart'!$J59),'Prepare Gantt Chart'!AE59=9,'Project types'!$Q60*('Prepare Gantt Chart'!$I59*'Prepare Gantt Chart'!$J59),'Prepare Gantt Chart'!AE59=0,0)</f>
        <v>0</v>
      </c>
      <c r="S60" s="45">
        <f>_xlfn.IFS('Prepare Gantt Chart'!AF59=10,'Project types'!$O60*('Prepare Gantt Chart'!$I59*'Prepare Gantt Chart'!$J59),'Prepare Gantt Chart'!AF59=9,'Project types'!$Q60*('Prepare Gantt Chart'!$I59*'Prepare Gantt Chart'!$J59),'Prepare Gantt Chart'!AF59=0,0)</f>
        <v>0</v>
      </c>
      <c r="T60" s="45">
        <f>_xlfn.IFS('Prepare Gantt Chart'!AG59=10,'Project types'!$O60*('Prepare Gantt Chart'!$I59*'Prepare Gantt Chart'!$J59),'Prepare Gantt Chart'!AG59=9,'Project types'!$Q60*('Prepare Gantt Chart'!$I59*'Prepare Gantt Chart'!$J59),'Prepare Gantt Chart'!AG59=0,0)</f>
        <v>0</v>
      </c>
      <c r="U60" s="45">
        <f>_xlfn.IFS('Prepare Gantt Chart'!AH59=10,'Project types'!$O60*('Prepare Gantt Chart'!$I59*'Prepare Gantt Chart'!$J59),'Prepare Gantt Chart'!AH59=9,'Project types'!$Q60*('Prepare Gantt Chart'!$I59*'Prepare Gantt Chart'!$J59),'Prepare Gantt Chart'!AH59=0,0)</f>
        <v>0</v>
      </c>
      <c r="V60" s="45">
        <f>_xlfn.IFS('Prepare Gantt Chart'!AI59=10,'Project types'!$O60*('Prepare Gantt Chart'!$I59*'Prepare Gantt Chart'!$J59),'Prepare Gantt Chart'!AI59=9,'Project types'!$Q60*('Prepare Gantt Chart'!$I59*'Prepare Gantt Chart'!$J59),'Prepare Gantt Chart'!AI59=0,0)</f>
        <v>0</v>
      </c>
      <c r="W60" s="45">
        <f>_xlfn.IFS('Prepare Gantt Chart'!AJ59=10,'Project types'!$O60*('Prepare Gantt Chart'!$I59*'Prepare Gantt Chart'!$J59),'Prepare Gantt Chart'!AJ59=9,'Project types'!$Q60*('Prepare Gantt Chart'!$I59*'Prepare Gantt Chart'!$J59),'Prepare Gantt Chart'!AJ59=0,0)</f>
        <v>0</v>
      </c>
      <c r="X60" s="45">
        <f>_xlfn.IFS('Prepare Gantt Chart'!AK59=10,'Project types'!$O60*('Prepare Gantt Chart'!$I59*'Prepare Gantt Chart'!$J59),'Prepare Gantt Chart'!AK59=9,'Project types'!$Q60*('Prepare Gantt Chart'!$I59*'Prepare Gantt Chart'!$J59),'Prepare Gantt Chart'!AK59=0,0)</f>
        <v>0</v>
      </c>
      <c r="Y60" s="45">
        <f>_xlfn.IFS('Prepare Gantt Chart'!AL59=10,'Project types'!$O60*('Prepare Gantt Chart'!$I59*'Prepare Gantt Chart'!$J59),'Prepare Gantt Chart'!AL59=9,'Project types'!$Q60*('Prepare Gantt Chart'!$I59*'Prepare Gantt Chart'!$J59),'Prepare Gantt Chart'!AL59=0,0)</f>
        <v>0</v>
      </c>
      <c r="Z60" s="45">
        <f>_xlfn.IFS('Prepare Gantt Chart'!AM59=10,'Project types'!$O60*('Prepare Gantt Chart'!$I59*'Prepare Gantt Chart'!$J59),'Prepare Gantt Chart'!AM59=9,'Project types'!$Q60*('Prepare Gantt Chart'!$I59*'Prepare Gantt Chart'!$J59),'Prepare Gantt Chart'!AM59=0,0)</f>
        <v>0</v>
      </c>
      <c r="AA60" s="45">
        <f>_xlfn.IFS('Prepare Gantt Chart'!AN59=10,'Project types'!$O60*('Prepare Gantt Chart'!$I59*'Prepare Gantt Chart'!$J59),'Prepare Gantt Chart'!AN59=9,'Project types'!$Q60*('Prepare Gantt Chart'!$I59*'Prepare Gantt Chart'!$J59),'Prepare Gantt Chart'!AN59=0,0)</f>
        <v>0</v>
      </c>
      <c r="AB60" s="45">
        <f>_xlfn.IFS('Prepare Gantt Chart'!AO59=10,'Project types'!$O60*('Prepare Gantt Chart'!$I59*'Prepare Gantt Chart'!$J59),'Prepare Gantt Chart'!AO59=9,'Project types'!$Q60*('Prepare Gantt Chart'!$I59*'Prepare Gantt Chart'!$J59),'Prepare Gantt Chart'!AO59=0,0)</f>
        <v>0</v>
      </c>
      <c r="AC60" s="45">
        <f>'Prepare Gantt Chart'!J59*'Prepare Gantt Chart'!I59*(AD60/26)</f>
        <v>0</v>
      </c>
      <c r="AD60" s="46">
        <f t="shared" si="0"/>
        <v>0</v>
      </c>
      <c r="AE60" s="72">
        <f>IF('Prepare Gantt Chart'!$J59=0,0,SUM(C60:H60)/6/'Prepare Gantt Chart'!$J59)</f>
        <v>0</v>
      </c>
      <c r="AF60" s="72">
        <f>IF('Prepare Gantt Chart'!$J59=0,0,SUM(I60:M60)/5/'Prepare Gantt Chart'!$J59)</f>
        <v>0</v>
      </c>
      <c r="AG60" s="72">
        <f>IF('Prepare Gantt Chart'!$J59=0,0,SUM(N60:R60)/5/'Prepare Gantt Chart'!$J59)</f>
        <v>0</v>
      </c>
      <c r="AH60" s="72">
        <f>IF('Prepare Gantt Chart'!$J59=0,0,SUM(S60:W60)/5/'Prepare Gantt Chart'!$J59)</f>
        <v>0</v>
      </c>
      <c r="AI60" s="72">
        <f>IF('Prepare Gantt Chart'!$J59=0,0,SUM(X60:AB60)/5/'Prepare Gantt Chart'!$J59)</f>
        <v>0</v>
      </c>
      <c r="AK60" s="30" t="s">
        <v>408</v>
      </c>
      <c r="AL60" s="45">
        <f>_xlfn.IFS('Prepare Gantt Chart'!P59=10,'Project types'!$L60*('Prepare Gantt Chart'!$I59*'Prepare Gantt Chart'!$J59),'Prepare Gantt Chart'!P59=9,'Project types'!$L60*('Prepare Gantt Chart'!$I59*'Prepare Gantt Chart'!$J59),'Prepare Gantt Chart'!P59=0,0)</f>
        <v>0</v>
      </c>
      <c r="AM60" s="45">
        <f>_xlfn.IFS('Prepare Gantt Chart'!Q59=10,'Project types'!$L60*('Prepare Gantt Chart'!$I59*'Prepare Gantt Chart'!$J59),'Prepare Gantt Chart'!Q59=9,'Project types'!$L60*('Prepare Gantt Chart'!$I59*'Prepare Gantt Chart'!$J59),'Prepare Gantt Chart'!Q59=0,0)</f>
        <v>0</v>
      </c>
      <c r="AN60" s="45">
        <f>_xlfn.IFS('Prepare Gantt Chart'!R59=10,'Project types'!$L60*('Prepare Gantt Chart'!$I59*'Prepare Gantt Chart'!$J59),'Prepare Gantt Chart'!R59=9,'Project types'!$L60*('Prepare Gantt Chart'!$I59*'Prepare Gantt Chart'!$J59),'Prepare Gantt Chart'!R59=0,0)</f>
        <v>0</v>
      </c>
      <c r="AO60" s="45">
        <f>_xlfn.IFS('Prepare Gantt Chart'!S59=10,'Project types'!$L60*('Prepare Gantt Chart'!$I59*'Prepare Gantt Chart'!$J59),'Prepare Gantt Chart'!S59=9,'Project types'!$L60*('Prepare Gantt Chart'!$I59*'Prepare Gantt Chart'!$J59),'Prepare Gantt Chart'!S59=0,0)</f>
        <v>0</v>
      </c>
      <c r="AP60" s="45">
        <f>_xlfn.IFS('Prepare Gantt Chart'!T59=10,'Project types'!$L60*('Prepare Gantt Chart'!$I59*'Prepare Gantt Chart'!$J59),'Prepare Gantt Chart'!T59=9,'Project types'!$L60*('Prepare Gantt Chart'!$I59*'Prepare Gantt Chart'!$J59),'Prepare Gantt Chart'!T59=0,0)</f>
        <v>0</v>
      </c>
      <c r="AQ60" s="45">
        <f>_xlfn.IFS('Prepare Gantt Chart'!U59=10,'Project types'!$L60*('Prepare Gantt Chart'!$I59*'Prepare Gantt Chart'!$J59),'Prepare Gantt Chart'!U59=9,'Project types'!$L60*('Prepare Gantt Chart'!$I59*'Prepare Gantt Chart'!$J59),'Prepare Gantt Chart'!U59=0,0)</f>
        <v>0</v>
      </c>
      <c r="AR60" s="45">
        <f>_xlfn.IFS('Prepare Gantt Chart'!V59=10,'Project types'!$L60*('Prepare Gantt Chart'!$I59*'Prepare Gantt Chart'!$J59),'Prepare Gantt Chart'!V59=9,'Project types'!$L60*('Prepare Gantt Chart'!$I59*'Prepare Gantt Chart'!$J59),'Prepare Gantt Chart'!V59=0,0)</f>
        <v>0</v>
      </c>
      <c r="AS60" s="45">
        <f>_xlfn.IFS('Prepare Gantt Chart'!W59=10,'Project types'!$L60*('Prepare Gantt Chart'!$I59*'Prepare Gantt Chart'!$J59),'Prepare Gantt Chart'!W59=9,'Project types'!$L60*('Prepare Gantt Chart'!$I59*'Prepare Gantt Chart'!$J59),'Prepare Gantt Chart'!W59=0,0)</f>
        <v>0</v>
      </c>
      <c r="AT60" s="45">
        <f>_xlfn.IFS('Prepare Gantt Chart'!X59=10,'Project types'!$L60*('Prepare Gantt Chart'!$I59*'Prepare Gantt Chart'!$J59),'Prepare Gantt Chart'!X59=9,'Project types'!$L60*('Prepare Gantt Chart'!$I59*'Prepare Gantt Chart'!$J59),'Prepare Gantt Chart'!X59=0,0)</f>
        <v>0</v>
      </c>
      <c r="AU60" s="45">
        <f>_xlfn.IFS('Prepare Gantt Chart'!Y59=10,'Project types'!$L60*('Prepare Gantt Chart'!$I59*'Prepare Gantt Chart'!$J59),'Prepare Gantt Chart'!Y59=9,'Project types'!$L60*('Prepare Gantt Chart'!$I59*'Prepare Gantt Chart'!$J59),'Prepare Gantt Chart'!Y59=0,0)</f>
        <v>0</v>
      </c>
      <c r="AV60" s="45">
        <f>_xlfn.IFS('Prepare Gantt Chart'!Z59=10,'Project types'!$L60*('Prepare Gantt Chart'!$I59*'Prepare Gantt Chart'!$J59),'Prepare Gantt Chart'!Z59=9,'Project types'!$L60*('Prepare Gantt Chart'!$I59*'Prepare Gantt Chart'!$J59),'Prepare Gantt Chart'!Z59=0,0)</f>
        <v>0</v>
      </c>
      <c r="AW60" s="45">
        <f>_xlfn.IFS('Prepare Gantt Chart'!AA59=10,'Project types'!$L60*('Prepare Gantt Chart'!$I59*'Prepare Gantt Chart'!$J59),'Prepare Gantt Chart'!AA59=9,'Project types'!$L60*('Prepare Gantt Chart'!$I59*'Prepare Gantt Chart'!$J59),'Prepare Gantt Chart'!AA59=0,0)</f>
        <v>0</v>
      </c>
      <c r="AX60" s="45">
        <f>_xlfn.IFS('Prepare Gantt Chart'!AB59=10,'Project types'!$L60*('Prepare Gantt Chart'!$I59*'Prepare Gantt Chart'!$J59),'Prepare Gantt Chart'!AB59=9,'Project types'!$L60*('Prepare Gantt Chart'!$I59*'Prepare Gantt Chart'!$J59),'Prepare Gantt Chart'!AB59=0,0)</f>
        <v>0</v>
      </c>
      <c r="AY60" s="45">
        <f>_xlfn.IFS('Prepare Gantt Chart'!AC59=10,'Project types'!$L60*('Prepare Gantt Chart'!$I59*'Prepare Gantt Chart'!$J59),'Prepare Gantt Chart'!AC59=9,'Project types'!$L60*('Prepare Gantt Chart'!$I59*'Prepare Gantt Chart'!$J59),'Prepare Gantt Chart'!AC59=0,0)</f>
        <v>0</v>
      </c>
      <c r="AZ60" s="45">
        <f>_xlfn.IFS('Prepare Gantt Chart'!AD59=10,'Project types'!$L60*('Prepare Gantt Chart'!$I59*'Prepare Gantt Chart'!$J59),'Prepare Gantt Chart'!AD59=9,'Project types'!$L60*('Prepare Gantt Chart'!$I59*'Prepare Gantt Chart'!$J59),'Prepare Gantt Chart'!AD59=0,0)</f>
        <v>0</v>
      </c>
      <c r="BA60" s="45">
        <f>_xlfn.IFS('Prepare Gantt Chart'!AE59=10,'Project types'!$L60*('Prepare Gantt Chart'!$I59*'Prepare Gantt Chart'!$J59),'Prepare Gantt Chart'!AE59=9,'Project types'!$L60*('Prepare Gantt Chart'!$I59*'Prepare Gantt Chart'!$J59),'Prepare Gantt Chart'!AE59=0,0)</f>
        <v>0</v>
      </c>
      <c r="BB60" s="45">
        <f>_xlfn.IFS('Prepare Gantt Chart'!AF59=10,'Project types'!$L60*('Prepare Gantt Chart'!$I59*'Prepare Gantt Chart'!$J59),'Prepare Gantt Chart'!AF59=9,'Project types'!$L60*('Prepare Gantt Chart'!$I59*'Prepare Gantt Chart'!$J59),'Prepare Gantt Chart'!AF59=0,0)</f>
        <v>0</v>
      </c>
      <c r="BC60" s="45">
        <f>_xlfn.IFS('Prepare Gantt Chart'!AG59=10,'Project types'!$L60*('Prepare Gantt Chart'!$I59*'Prepare Gantt Chart'!$J59),'Prepare Gantt Chart'!AG59=9,'Project types'!$L60*('Prepare Gantt Chart'!$I59*'Prepare Gantt Chart'!$J59),'Prepare Gantt Chart'!AG59=0,0)</f>
        <v>0</v>
      </c>
      <c r="BD60" s="45">
        <f>_xlfn.IFS('Prepare Gantt Chart'!AH59=10,'Project types'!$L60*('Prepare Gantt Chart'!$I59*'Prepare Gantt Chart'!$J59),'Prepare Gantt Chart'!AH59=9,'Project types'!$L60*('Prepare Gantt Chart'!$I59*'Prepare Gantt Chart'!$J59),'Prepare Gantt Chart'!AH59=0,0)</f>
        <v>0</v>
      </c>
      <c r="BE60" s="45">
        <f>_xlfn.IFS('Prepare Gantt Chart'!AI59=10,'Project types'!$L60*('Prepare Gantt Chart'!$I59*'Prepare Gantt Chart'!$J59),'Prepare Gantt Chart'!AI59=9,'Project types'!$L60*('Prepare Gantt Chart'!$I59*'Prepare Gantt Chart'!$J59),'Prepare Gantt Chart'!AI59=0,0)</f>
        <v>0</v>
      </c>
      <c r="BF60" s="45">
        <f>_xlfn.IFS('Prepare Gantt Chart'!AJ59=10,'Project types'!$L60*('Prepare Gantt Chart'!$I59*'Prepare Gantt Chart'!$J59),'Prepare Gantt Chart'!AJ59=9,'Project types'!$L60*('Prepare Gantt Chart'!$I59*'Prepare Gantt Chart'!$J59),'Prepare Gantt Chart'!AJ59=0,0)</f>
        <v>0</v>
      </c>
      <c r="BG60" s="45">
        <f>_xlfn.IFS('Prepare Gantt Chart'!AK59=10,'Project types'!$L60*('Prepare Gantt Chart'!$I59*'Prepare Gantt Chart'!$J59),'Prepare Gantt Chart'!AK59=9,'Project types'!$L60*('Prepare Gantt Chart'!$I59*'Prepare Gantt Chart'!$J59),'Prepare Gantt Chart'!AK59=0,0)</f>
        <v>0</v>
      </c>
      <c r="BH60" s="45">
        <f>_xlfn.IFS('Prepare Gantt Chart'!AL59=10,'Project types'!$L60*('Prepare Gantt Chart'!$I59*'Prepare Gantt Chart'!$J59),'Prepare Gantt Chart'!AL59=9,'Project types'!$L60*('Prepare Gantt Chart'!$I59*'Prepare Gantt Chart'!$J59),'Prepare Gantt Chart'!AL59=0,0)</f>
        <v>0</v>
      </c>
      <c r="BI60" s="45">
        <f>_xlfn.IFS('Prepare Gantt Chart'!AM59=10,'Project types'!$L60*('Prepare Gantt Chart'!$I59*'Prepare Gantt Chart'!$J59),'Prepare Gantt Chart'!AM59=9,'Project types'!$L60*('Prepare Gantt Chart'!$I59*'Prepare Gantt Chart'!$J59),'Prepare Gantt Chart'!AM59=0,0)</f>
        <v>0</v>
      </c>
      <c r="BJ60" s="45">
        <f>_xlfn.IFS('Prepare Gantt Chart'!AN59=10,'Project types'!$L60*('Prepare Gantt Chart'!$I59*'Prepare Gantt Chart'!$J59),'Prepare Gantt Chart'!AN59=9,'Project types'!$L60*('Prepare Gantt Chart'!$I59*'Prepare Gantt Chart'!$J59),'Prepare Gantt Chart'!AN59=0,0)</f>
        <v>0</v>
      </c>
      <c r="BK60" s="45">
        <f>_xlfn.IFS('Prepare Gantt Chart'!AO59=10,'Project types'!$L60*('Prepare Gantt Chart'!$I59*'Prepare Gantt Chart'!$J59),'Prepare Gantt Chart'!AO59=9,'Project types'!$L60*('Prepare Gantt Chart'!$I59*'Prepare Gantt Chart'!$J59),'Prepare Gantt Chart'!AO59=0,0)</f>
        <v>0</v>
      </c>
      <c r="BL60" s="46">
        <f t="shared" si="1"/>
        <v>0</v>
      </c>
      <c r="BM60" s="75">
        <f>IF('Prepare Gantt Chart'!$J59=0,0,SUM(AL60:AQ60)/6/'Prepare Gantt Chart'!$J59)</f>
        <v>0</v>
      </c>
      <c r="BN60" s="75">
        <f>IF('Prepare Gantt Chart'!$J59=0,0,SUM(AR60:AV60)/5/'Prepare Gantt Chart'!$J59)</f>
        <v>0</v>
      </c>
      <c r="BO60" s="75">
        <f>IF('Prepare Gantt Chart'!$J59=0,0,SUM(AW60:BA60)/5/'Prepare Gantt Chart'!$J59)</f>
        <v>0</v>
      </c>
      <c r="BP60" s="75">
        <f>IF('Prepare Gantt Chart'!$J59=0,0,SUM(BB60:BF60)/5/'Prepare Gantt Chart'!$J59)</f>
        <v>0</v>
      </c>
      <c r="BQ60" s="75">
        <f>IF('Prepare Gantt Chart'!$J59=0,0,SUM(BG60:BK60)/5/'Prepare Gantt Chart'!$J59)</f>
        <v>0</v>
      </c>
    </row>
    <row r="61" spans="1:69" x14ac:dyDescent="0.2">
      <c r="A61" s="30" t="s">
        <v>409</v>
      </c>
      <c r="B61" s="1" t="s">
        <v>407</v>
      </c>
      <c r="C61" s="45">
        <f>_xlfn.IFS('Prepare Gantt Chart'!P60=10,'Project types'!$O61*('Prepare Gantt Chart'!$I60*'Prepare Gantt Chart'!$J60),'Prepare Gantt Chart'!P60=9,'Project types'!$Q61*('Prepare Gantt Chart'!$I60*'Prepare Gantt Chart'!$J60),'Prepare Gantt Chart'!P60=0,0)</f>
        <v>0</v>
      </c>
      <c r="D61" s="45">
        <f>_xlfn.IFS('Prepare Gantt Chart'!Q60=10,'Project types'!$O61*('Prepare Gantt Chart'!$I60*'Prepare Gantt Chart'!$J60),'Prepare Gantt Chart'!Q60=9,'Project types'!$Q61*('Prepare Gantt Chart'!$I60*'Prepare Gantt Chart'!$J60),'Prepare Gantt Chart'!Q60=0,0)</f>
        <v>0</v>
      </c>
      <c r="E61" s="45">
        <f>_xlfn.IFS('Prepare Gantt Chart'!R60=10,'Project types'!$O61*('Prepare Gantt Chart'!$I60*'Prepare Gantt Chart'!$J60),'Prepare Gantt Chart'!R60=9,'Project types'!$Q61*('Prepare Gantt Chart'!$I60*'Prepare Gantt Chart'!$J60),'Prepare Gantt Chart'!R60=0,0)</f>
        <v>0</v>
      </c>
      <c r="F61" s="45">
        <f>_xlfn.IFS('Prepare Gantt Chart'!S60=10,'Project types'!$O61*('Prepare Gantt Chart'!$I60*'Prepare Gantt Chart'!$J60),'Prepare Gantt Chart'!S60=9,'Project types'!$Q61*('Prepare Gantt Chart'!$I60*'Prepare Gantt Chart'!$J60),'Prepare Gantt Chart'!S60=0,0)</f>
        <v>0</v>
      </c>
      <c r="G61" s="45">
        <f>_xlfn.IFS('Prepare Gantt Chart'!T60=10,'Project types'!$O61*('Prepare Gantt Chart'!$I60*'Prepare Gantt Chart'!$J60),'Prepare Gantt Chart'!T60=9,'Project types'!$Q61*('Prepare Gantt Chart'!$I60*'Prepare Gantt Chart'!$J60),'Prepare Gantt Chart'!T60=0,0)</f>
        <v>0</v>
      </c>
      <c r="H61" s="45">
        <f>_xlfn.IFS('Prepare Gantt Chart'!U60=10,'Project types'!$O61*('Prepare Gantt Chart'!$I60*'Prepare Gantt Chart'!$J60),'Prepare Gantt Chart'!U60=9,'Project types'!$Q61*('Prepare Gantt Chart'!$I60*'Prepare Gantt Chart'!$J60),'Prepare Gantt Chart'!U60=0,0)</f>
        <v>0</v>
      </c>
      <c r="I61" s="45">
        <f>_xlfn.IFS('Prepare Gantt Chart'!V60=10,'Project types'!$O61*('Prepare Gantt Chart'!$I60*'Prepare Gantt Chart'!$J60),'Prepare Gantt Chart'!V60=9,'Project types'!$Q61*('Prepare Gantt Chart'!$I60*'Prepare Gantt Chart'!$J60),'Prepare Gantt Chart'!V60=0,0)</f>
        <v>0</v>
      </c>
      <c r="J61" s="45">
        <f>_xlfn.IFS('Prepare Gantt Chart'!W60=10,'Project types'!$O61*('Prepare Gantt Chart'!$I60*'Prepare Gantt Chart'!$J60),'Prepare Gantt Chart'!W60=9,'Project types'!$Q61*('Prepare Gantt Chart'!$I60*'Prepare Gantt Chart'!$J60),'Prepare Gantt Chart'!W60=0,0)</f>
        <v>0</v>
      </c>
      <c r="K61" s="45">
        <f>_xlfn.IFS('Prepare Gantt Chart'!X60=10,'Project types'!$O61*('Prepare Gantt Chart'!$I60*'Prepare Gantt Chart'!$J60),'Prepare Gantt Chart'!X60=9,'Project types'!$Q61*('Prepare Gantt Chart'!$I60*'Prepare Gantt Chart'!$J60),'Prepare Gantt Chart'!X60=0,0)</f>
        <v>0</v>
      </c>
      <c r="L61" s="45">
        <f>_xlfn.IFS('Prepare Gantt Chart'!Y60=10,'Project types'!$O61*('Prepare Gantt Chart'!$I60*'Prepare Gantt Chart'!$J60),'Prepare Gantt Chart'!Y60=9,'Project types'!$Q61*('Prepare Gantt Chart'!$I60*'Prepare Gantt Chart'!$J60),'Prepare Gantt Chart'!Y60=0,0)</f>
        <v>0</v>
      </c>
      <c r="M61" s="45">
        <f>_xlfn.IFS('Prepare Gantt Chart'!Z60=10,'Project types'!$O61*('Prepare Gantt Chart'!$I60*'Prepare Gantt Chart'!$J60),'Prepare Gantt Chart'!Z60=9,'Project types'!$Q61*('Prepare Gantt Chart'!$I60*'Prepare Gantt Chart'!$J60),'Prepare Gantt Chart'!Z60=0,0)</f>
        <v>0</v>
      </c>
      <c r="N61" s="45">
        <f>_xlfn.IFS('Prepare Gantt Chart'!AA60=10,'Project types'!$O61*('Prepare Gantt Chart'!$I60*'Prepare Gantt Chart'!$J60),'Prepare Gantt Chart'!AA60=9,'Project types'!$Q61*('Prepare Gantt Chart'!$I60*'Prepare Gantt Chart'!$J60),'Prepare Gantt Chart'!AA60=0,0)</f>
        <v>0</v>
      </c>
      <c r="O61" s="45">
        <f>_xlfn.IFS('Prepare Gantt Chart'!AB60=10,'Project types'!$O61*('Prepare Gantt Chart'!$I60*'Prepare Gantt Chart'!$J60),'Prepare Gantt Chart'!AB60=9,'Project types'!$Q61*('Prepare Gantt Chart'!$I60*'Prepare Gantt Chart'!$J60),'Prepare Gantt Chart'!AB60=0,0)</f>
        <v>0</v>
      </c>
      <c r="P61" s="45">
        <f>_xlfn.IFS('Prepare Gantt Chart'!AC60=10,'Project types'!$O61*('Prepare Gantt Chart'!$I60*'Prepare Gantt Chart'!$J60),'Prepare Gantt Chart'!AC60=9,'Project types'!$Q61*('Prepare Gantt Chart'!$I60*'Prepare Gantt Chart'!$J60),'Prepare Gantt Chart'!AC60=0,0)</f>
        <v>0</v>
      </c>
      <c r="Q61" s="45">
        <f>_xlfn.IFS('Prepare Gantt Chart'!AD60=10,'Project types'!$O61*('Prepare Gantt Chart'!$I60*'Prepare Gantt Chart'!$J60),'Prepare Gantt Chart'!AD60=9,'Project types'!$Q61*('Prepare Gantt Chart'!$I60*'Prepare Gantt Chart'!$J60),'Prepare Gantt Chart'!AD60=0,0)</f>
        <v>0</v>
      </c>
      <c r="R61" s="45">
        <f>_xlfn.IFS('Prepare Gantt Chart'!AE60=10,'Project types'!$O61*('Prepare Gantt Chart'!$I60*'Prepare Gantt Chart'!$J60),'Prepare Gantt Chart'!AE60=9,'Project types'!$Q61*('Prepare Gantt Chart'!$I60*'Prepare Gantt Chart'!$J60),'Prepare Gantt Chart'!AE60=0,0)</f>
        <v>0</v>
      </c>
      <c r="S61" s="45">
        <f>_xlfn.IFS('Prepare Gantt Chart'!AF60=10,'Project types'!$O61*('Prepare Gantt Chart'!$I60*'Prepare Gantt Chart'!$J60),'Prepare Gantt Chart'!AF60=9,'Project types'!$Q61*('Prepare Gantt Chart'!$I60*'Prepare Gantt Chart'!$J60),'Prepare Gantt Chart'!AF60=0,0)</f>
        <v>0</v>
      </c>
      <c r="T61" s="45">
        <f>_xlfn.IFS('Prepare Gantt Chart'!AG60=10,'Project types'!$O61*('Prepare Gantt Chart'!$I60*'Prepare Gantt Chart'!$J60),'Prepare Gantt Chart'!AG60=9,'Project types'!$Q61*('Prepare Gantt Chart'!$I60*'Prepare Gantt Chart'!$J60),'Prepare Gantt Chart'!AG60=0,0)</f>
        <v>0</v>
      </c>
      <c r="U61" s="45">
        <f>_xlfn.IFS('Prepare Gantt Chart'!AH60=10,'Project types'!$O61*('Prepare Gantt Chart'!$I60*'Prepare Gantt Chart'!$J60),'Prepare Gantt Chart'!AH60=9,'Project types'!$Q61*('Prepare Gantt Chart'!$I60*'Prepare Gantt Chart'!$J60),'Prepare Gantt Chart'!AH60=0,0)</f>
        <v>0</v>
      </c>
      <c r="V61" s="45">
        <f>_xlfn.IFS('Prepare Gantt Chart'!AI60=10,'Project types'!$O61*('Prepare Gantt Chart'!$I60*'Prepare Gantt Chart'!$J60),'Prepare Gantt Chart'!AI60=9,'Project types'!$Q61*('Prepare Gantt Chart'!$I60*'Prepare Gantt Chart'!$J60),'Prepare Gantt Chart'!AI60=0,0)</f>
        <v>0</v>
      </c>
      <c r="W61" s="45">
        <f>_xlfn.IFS('Prepare Gantt Chart'!AJ60=10,'Project types'!$O61*('Prepare Gantt Chart'!$I60*'Prepare Gantt Chart'!$J60),'Prepare Gantt Chart'!AJ60=9,'Project types'!$Q61*('Prepare Gantt Chart'!$I60*'Prepare Gantt Chart'!$J60),'Prepare Gantt Chart'!AJ60=0,0)</f>
        <v>0</v>
      </c>
      <c r="X61" s="45">
        <f>_xlfn.IFS('Prepare Gantt Chart'!AK60=10,'Project types'!$O61*('Prepare Gantt Chart'!$I60*'Prepare Gantt Chart'!$J60),'Prepare Gantt Chart'!AK60=9,'Project types'!$Q61*('Prepare Gantt Chart'!$I60*'Prepare Gantt Chart'!$J60),'Prepare Gantt Chart'!AK60=0,0)</f>
        <v>0</v>
      </c>
      <c r="Y61" s="45">
        <f>_xlfn.IFS('Prepare Gantt Chart'!AL60=10,'Project types'!$O61*('Prepare Gantt Chart'!$I60*'Prepare Gantt Chart'!$J60),'Prepare Gantt Chart'!AL60=9,'Project types'!$Q61*('Prepare Gantt Chart'!$I60*'Prepare Gantt Chart'!$J60),'Prepare Gantt Chart'!AL60=0,0)</f>
        <v>0</v>
      </c>
      <c r="Z61" s="45">
        <f>_xlfn.IFS('Prepare Gantt Chart'!AM60=10,'Project types'!$O61*('Prepare Gantt Chart'!$I60*'Prepare Gantt Chart'!$J60),'Prepare Gantt Chart'!AM60=9,'Project types'!$Q61*('Prepare Gantt Chart'!$I60*'Prepare Gantt Chart'!$J60),'Prepare Gantt Chart'!AM60=0,0)</f>
        <v>0</v>
      </c>
      <c r="AA61" s="45">
        <f>_xlfn.IFS('Prepare Gantt Chart'!AN60=10,'Project types'!$O61*('Prepare Gantt Chart'!$I60*'Prepare Gantt Chart'!$J60),'Prepare Gantt Chart'!AN60=9,'Project types'!$Q61*('Prepare Gantt Chart'!$I60*'Prepare Gantt Chart'!$J60),'Prepare Gantt Chart'!AN60=0,0)</f>
        <v>0</v>
      </c>
      <c r="AB61" s="45">
        <f>_xlfn.IFS('Prepare Gantt Chart'!AO60=10,'Project types'!$O61*('Prepare Gantt Chart'!$I60*'Prepare Gantt Chart'!$J60),'Prepare Gantt Chart'!AO60=9,'Project types'!$Q61*('Prepare Gantt Chart'!$I60*'Prepare Gantt Chart'!$J60),'Prepare Gantt Chart'!AO60=0,0)</f>
        <v>0</v>
      </c>
      <c r="AC61" s="45">
        <f>'Prepare Gantt Chart'!J60*'Prepare Gantt Chart'!I60*(AD61/26)</f>
        <v>0</v>
      </c>
      <c r="AD61" s="46">
        <f t="shared" si="0"/>
        <v>0</v>
      </c>
      <c r="AE61" s="72">
        <f>IF('Prepare Gantt Chart'!$J60=0,0,SUM(C61:H61)/6/'Prepare Gantt Chart'!$J60)</f>
        <v>0</v>
      </c>
      <c r="AF61" s="72">
        <f>IF('Prepare Gantt Chart'!$J60=0,0,SUM(I61:M61)/5/'Prepare Gantt Chart'!$J60)</f>
        <v>0</v>
      </c>
      <c r="AG61" s="72">
        <f>IF('Prepare Gantt Chart'!$J60=0,0,SUM(N61:R61)/5/'Prepare Gantt Chart'!$J60)</f>
        <v>0</v>
      </c>
      <c r="AH61" s="72">
        <f>IF('Prepare Gantt Chart'!$J60=0,0,SUM(S61:W61)/5/'Prepare Gantt Chart'!$J60)</f>
        <v>0</v>
      </c>
      <c r="AI61" s="72">
        <f>IF('Prepare Gantt Chart'!$J60=0,0,SUM(X61:AB61)/5/'Prepare Gantt Chart'!$J60)</f>
        <v>0</v>
      </c>
      <c r="AK61" s="30" t="s">
        <v>409</v>
      </c>
      <c r="AL61" s="45">
        <f>_xlfn.IFS('Prepare Gantt Chart'!P60=10,'Project types'!$L61*('Prepare Gantt Chart'!$I60*'Prepare Gantt Chart'!$J60),'Prepare Gantt Chart'!P60=9,'Project types'!$L61*('Prepare Gantt Chart'!$I60*'Prepare Gantt Chart'!$J60),'Prepare Gantt Chart'!P60=0,0)</f>
        <v>0</v>
      </c>
      <c r="AM61" s="45">
        <f>_xlfn.IFS('Prepare Gantt Chart'!Q60=10,'Project types'!$L61*('Prepare Gantt Chart'!$I60*'Prepare Gantt Chart'!$J60),'Prepare Gantt Chart'!Q60=9,'Project types'!$L61*('Prepare Gantt Chart'!$I60*'Prepare Gantt Chart'!$J60),'Prepare Gantt Chart'!Q60=0,0)</f>
        <v>0</v>
      </c>
      <c r="AN61" s="45">
        <f>_xlfn.IFS('Prepare Gantt Chart'!R60=10,'Project types'!$L61*('Prepare Gantt Chart'!$I60*'Prepare Gantt Chart'!$J60),'Prepare Gantt Chart'!R60=9,'Project types'!$L61*('Prepare Gantt Chart'!$I60*'Prepare Gantt Chart'!$J60),'Prepare Gantt Chart'!R60=0,0)</f>
        <v>0</v>
      </c>
      <c r="AO61" s="45">
        <f>_xlfn.IFS('Prepare Gantt Chart'!S60=10,'Project types'!$L61*('Prepare Gantt Chart'!$I60*'Prepare Gantt Chart'!$J60),'Prepare Gantt Chart'!S60=9,'Project types'!$L61*('Prepare Gantt Chart'!$I60*'Prepare Gantt Chart'!$J60),'Prepare Gantt Chart'!S60=0,0)</f>
        <v>0</v>
      </c>
      <c r="AP61" s="45">
        <f>_xlfn.IFS('Prepare Gantt Chart'!T60=10,'Project types'!$L61*('Prepare Gantt Chart'!$I60*'Prepare Gantt Chart'!$J60),'Prepare Gantt Chart'!T60=9,'Project types'!$L61*('Prepare Gantt Chart'!$I60*'Prepare Gantt Chart'!$J60),'Prepare Gantt Chart'!T60=0,0)</f>
        <v>0</v>
      </c>
      <c r="AQ61" s="45">
        <f>_xlfn.IFS('Prepare Gantt Chart'!U60=10,'Project types'!$L61*('Prepare Gantt Chart'!$I60*'Prepare Gantt Chart'!$J60),'Prepare Gantt Chart'!U60=9,'Project types'!$L61*('Prepare Gantt Chart'!$I60*'Prepare Gantt Chart'!$J60),'Prepare Gantt Chart'!U60=0,0)</f>
        <v>0</v>
      </c>
      <c r="AR61" s="45">
        <f>_xlfn.IFS('Prepare Gantt Chart'!V60=10,'Project types'!$L61*('Prepare Gantt Chart'!$I60*'Prepare Gantt Chart'!$J60),'Prepare Gantt Chart'!V60=9,'Project types'!$L61*('Prepare Gantt Chart'!$I60*'Prepare Gantt Chart'!$J60),'Prepare Gantt Chart'!V60=0,0)</f>
        <v>0</v>
      </c>
      <c r="AS61" s="45">
        <f>_xlfn.IFS('Prepare Gantt Chart'!W60=10,'Project types'!$L61*('Prepare Gantt Chart'!$I60*'Prepare Gantt Chart'!$J60),'Prepare Gantt Chart'!W60=9,'Project types'!$L61*('Prepare Gantt Chart'!$I60*'Prepare Gantt Chart'!$J60),'Prepare Gantt Chart'!W60=0,0)</f>
        <v>0</v>
      </c>
      <c r="AT61" s="45">
        <f>_xlfn.IFS('Prepare Gantt Chart'!X60=10,'Project types'!$L61*('Prepare Gantt Chart'!$I60*'Prepare Gantt Chart'!$J60),'Prepare Gantt Chart'!X60=9,'Project types'!$L61*('Prepare Gantt Chart'!$I60*'Prepare Gantt Chart'!$J60),'Prepare Gantt Chart'!X60=0,0)</f>
        <v>0</v>
      </c>
      <c r="AU61" s="45">
        <f>_xlfn.IFS('Prepare Gantt Chart'!Y60=10,'Project types'!$L61*('Prepare Gantt Chart'!$I60*'Prepare Gantt Chart'!$J60),'Prepare Gantt Chart'!Y60=9,'Project types'!$L61*('Prepare Gantt Chart'!$I60*'Prepare Gantt Chart'!$J60),'Prepare Gantt Chart'!Y60=0,0)</f>
        <v>0</v>
      </c>
      <c r="AV61" s="45">
        <f>_xlfn.IFS('Prepare Gantt Chart'!Z60=10,'Project types'!$L61*('Prepare Gantt Chart'!$I60*'Prepare Gantt Chart'!$J60),'Prepare Gantt Chart'!Z60=9,'Project types'!$L61*('Prepare Gantt Chart'!$I60*'Prepare Gantt Chart'!$J60),'Prepare Gantt Chart'!Z60=0,0)</f>
        <v>0</v>
      </c>
      <c r="AW61" s="45">
        <f>_xlfn.IFS('Prepare Gantt Chart'!AA60=10,'Project types'!$L61*('Prepare Gantt Chart'!$I60*'Prepare Gantt Chart'!$J60),'Prepare Gantt Chart'!AA60=9,'Project types'!$L61*('Prepare Gantt Chart'!$I60*'Prepare Gantt Chart'!$J60),'Prepare Gantt Chart'!AA60=0,0)</f>
        <v>0</v>
      </c>
      <c r="AX61" s="45">
        <f>_xlfn.IFS('Prepare Gantt Chart'!AB60=10,'Project types'!$L61*('Prepare Gantt Chart'!$I60*'Prepare Gantt Chart'!$J60),'Prepare Gantt Chart'!AB60=9,'Project types'!$L61*('Prepare Gantt Chart'!$I60*'Prepare Gantt Chart'!$J60),'Prepare Gantt Chart'!AB60=0,0)</f>
        <v>0</v>
      </c>
      <c r="AY61" s="45">
        <f>_xlfn.IFS('Prepare Gantt Chart'!AC60=10,'Project types'!$L61*('Prepare Gantt Chart'!$I60*'Prepare Gantt Chart'!$J60),'Prepare Gantt Chart'!AC60=9,'Project types'!$L61*('Prepare Gantt Chart'!$I60*'Prepare Gantt Chart'!$J60),'Prepare Gantt Chart'!AC60=0,0)</f>
        <v>0</v>
      </c>
      <c r="AZ61" s="45">
        <f>_xlfn.IFS('Prepare Gantt Chart'!AD60=10,'Project types'!$L61*('Prepare Gantt Chart'!$I60*'Prepare Gantt Chart'!$J60),'Prepare Gantt Chart'!AD60=9,'Project types'!$L61*('Prepare Gantt Chart'!$I60*'Prepare Gantt Chart'!$J60),'Prepare Gantt Chart'!AD60=0,0)</f>
        <v>0</v>
      </c>
      <c r="BA61" s="45">
        <f>_xlfn.IFS('Prepare Gantt Chart'!AE60=10,'Project types'!$L61*('Prepare Gantt Chart'!$I60*'Prepare Gantt Chart'!$J60),'Prepare Gantt Chart'!AE60=9,'Project types'!$L61*('Prepare Gantt Chart'!$I60*'Prepare Gantt Chart'!$J60),'Prepare Gantt Chart'!AE60=0,0)</f>
        <v>0</v>
      </c>
      <c r="BB61" s="45">
        <f>_xlfn.IFS('Prepare Gantt Chart'!AF60=10,'Project types'!$L61*('Prepare Gantt Chart'!$I60*'Prepare Gantt Chart'!$J60),'Prepare Gantt Chart'!AF60=9,'Project types'!$L61*('Prepare Gantt Chart'!$I60*'Prepare Gantt Chart'!$J60),'Prepare Gantt Chart'!AF60=0,0)</f>
        <v>0</v>
      </c>
      <c r="BC61" s="45">
        <f>_xlfn.IFS('Prepare Gantt Chart'!AG60=10,'Project types'!$L61*('Prepare Gantt Chart'!$I60*'Prepare Gantt Chart'!$J60),'Prepare Gantt Chart'!AG60=9,'Project types'!$L61*('Prepare Gantt Chart'!$I60*'Prepare Gantt Chart'!$J60),'Prepare Gantt Chart'!AG60=0,0)</f>
        <v>0</v>
      </c>
      <c r="BD61" s="45">
        <f>_xlfn.IFS('Prepare Gantt Chart'!AH60=10,'Project types'!$L61*('Prepare Gantt Chart'!$I60*'Prepare Gantt Chart'!$J60),'Prepare Gantt Chart'!AH60=9,'Project types'!$L61*('Prepare Gantt Chart'!$I60*'Prepare Gantt Chart'!$J60),'Prepare Gantt Chart'!AH60=0,0)</f>
        <v>0</v>
      </c>
      <c r="BE61" s="45">
        <f>_xlfn.IFS('Prepare Gantt Chart'!AI60=10,'Project types'!$L61*('Prepare Gantt Chart'!$I60*'Prepare Gantt Chart'!$J60),'Prepare Gantt Chart'!AI60=9,'Project types'!$L61*('Prepare Gantt Chart'!$I60*'Prepare Gantt Chart'!$J60),'Prepare Gantt Chart'!AI60=0,0)</f>
        <v>0</v>
      </c>
      <c r="BF61" s="45">
        <f>_xlfn.IFS('Prepare Gantt Chart'!AJ60=10,'Project types'!$L61*('Prepare Gantt Chart'!$I60*'Prepare Gantt Chart'!$J60),'Prepare Gantt Chart'!AJ60=9,'Project types'!$L61*('Prepare Gantt Chart'!$I60*'Prepare Gantt Chart'!$J60),'Prepare Gantt Chart'!AJ60=0,0)</f>
        <v>0</v>
      </c>
      <c r="BG61" s="45">
        <f>_xlfn.IFS('Prepare Gantt Chart'!AK60=10,'Project types'!$L61*('Prepare Gantt Chart'!$I60*'Prepare Gantt Chart'!$J60),'Prepare Gantt Chart'!AK60=9,'Project types'!$L61*('Prepare Gantt Chart'!$I60*'Prepare Gantt Chart'!$J60),'Prepare Gantt Chart'!AK60=0,0)</f>
        <v>0</v>
      </c>
      <c r="BH61" s="45">
        <f>_xlfn.IFS('Prepare Gantt Chart'!AL60=10,'Project types'!$L61*('Prepare Gantt Chart'!$I60*'Prepare Gantt Chart'!$J60),'Prepare Gantt Chart'!AL60=9,'Project types'!$L61*('Prepare Gantt Chart'!$I60*'Prepare Gantt Chart'!$J60),'Prepare Gantt Chart'!AL60=0,0)</f>
        <v>0</v>
      </c>
      <c r="BI61" s="45">
        <f>_xlfn.IFS('Prepare Gantt Chart'!AM60=10,'Project types'!$L61*('Prepare Gantt Chart'!$I60*'Prepare Gantt Chart'!$J60),'Prepare Gantt Chart'!AM60=9,'Project types'!$L61*('Prepare Gantt Chart'!$I60*'Prepare Gantt Chart'!$J60),'Prepare Gantt Chart'!AM60=0,0)</f>
        <v>0</v>
      </c>
      <c r="BJ61" s="45">
        <f>_xlfn.IFS('Prepare Gantt Chart'!AN60=10,'Project types'!$L61*('Prepare Gantt Chart'!$I60*'Prepare Gantt Chart'!$J60),'Prepare Gantt Chart'!AN60=9,'Project types'!$L61*('Prepare Gantt Chart'!$I60*'Prepare Gantt Chart'!$J60),'Prepare Gantt Chart'!AN60=0,0)</f>
        <v>0</v>
      </c>
      <c r="BK61" s="45">
        <f>_xlfn.IFS('Prepare Gantt Chart'!AO60=10,'Project types'!$L61*('Prepare Gantt Chart'!$I60*'Prepare Gantt Chart'!$J60),'Prepare Gantt Chart'!AO60=9,'Project types'!$L61*('Prepare Gantt Chart'!$I60*'Prepare Gantt Chart'!$J60),'Prepare Gantt Chart'!AO60=0,0)</f>
        <v>0</v>
      </c>
      <c r="BL61" s="46">
        <f t="shared" si="1"/>
        <v>0</v>
      </c>
      <c r="BM61" s="75">
        <f>IF('Prepare Gantt Chart'!$J60=0,0,SUM(AL61:AQ61)/6/'Prepare Gantt Chart'!$J60)</f>
        <v>0</v>
      </c>
      <c r="BN61" s="75">
        <f>IF('Prepare Gantt Chart'!$J60=0,0,SUM(AR61:AV61)/5/'Prepare Gantt Chart'!$J60)</f>
        <v>0</v>
      </c>
      <c r="BO61" s="75">
        <f>IF('Prepare Gantt Chart'!$J60=0,0,SUM(AW61:BA61)/5/'Prepare Gantt Chart'!$J60)</f>
        <v>0</v>
      </c>
      <c r="BP61" s="75">
        <f>IF('Prepare Gantt Chart'!$J60=0,0,SUM(BB61:BF61)/5/'Prepare Gantt Chart'!$J60)</f>
        <v>0</v>
      </c>
      <c r="BQ61" s="75">
        <f>IF('Prepare Gantt Chart'!$J60=0,0,SUM(BG61:BK61)/5/'Prepare Gantt Chart'!$J60)</f>
        <v>0</v>
      </c>
    </row>
    <row r="62" spans="1:69" ht="16" thickBot="1" x14ac:dyDescent="0.25">
      <c r="A62" s="31" t="s">
        <v>410</v>
      </c>
      <c r="B62" s="8" t="s">
        <v>118</v>
      </c>
      <c r="C62" s="50">
        <f>_xlfn.IFS('Prepare Gantt Chart'!P61=10,'Project types'!$O62*('Prepare Gantt Chart'!$I61*'Prepare Gantt Chart'!$J61),'Prepare Gantt Chart'!P61=9,'Project types'!$Q62*('Prepare Gantt Chart'!$I61*'Prepare Gantt Chart'!$J61),'Prepare Gantt Chart'!P61=0,0)</f>
        <v>0</v>
      </c>
      <c r="D62" s="50">
        <f>_xlfn.IFS('Prepare Gantt Chart'!Q61=10,'Project types'!$O62*('Prepare Gantt Chart'!$I61*'Prepare Gantt Chart'!$J61),'Prepare Gantt Chart'!Q61=9,'Project types'!$Q62*('Prepare Gantt Chart'!$I61*'Prepare Gantt Chart'!$J61),'Prepare Gantt Chart'!Q61=0,0)</f>
        <v>0</v>
      </c>
      <c r="E62" s="50">
        <f>_xlfn.IFS('Prepare Gantt Chart'!R61=10,'Project types'!$O62*('Prepare Gantt Chart'!$I61*'Prepare Gantt Chart'!$J61),'Prepare Gantt Chart'!R61=9,'Project types'!$Q62*('Prepare Gantt Chart'!$I61*'Prepare Gantt Chart'!$J61),'Prepare Gantt Chart'!R61=0,0)</f>
        <v>0</v>
      </c>
      <c r="F62" s="50">
        <f>_xlfn.IFS('Prepare Gantt Chart'!S61=10,'Project types'!$O62*('Prepare Gantt Chart'!$I61*'Prepare Gantt Chart'!$J61),'Prepare Gantt Chart'!S61=9,'Project types'!$Q62*('Prepare Gantt Chart'!$I61*'Prepare Gantt Chart'!$J61),'Prepare Gantt Chart'!S61=0,0)</f>
        <v>0</v>
      </c>
      <c r="G62" s="50">
        <f>_xlfn.IFS('Prepare Gantt Chart'!T61=10,'Project types'!$O62*('Prepare Gantt Chart'!$I61*'Prepare Gantt Chart'!$J61),'Prepare Gantt Chart'!T61=9,'Project types'!$Q62*('Prepare Gantt Chart'!$I61*'Prepare Gantt Chart'!$J61),'Prepare Gantt Chart'!T61=0,0)</f>
        <v>0</v>
      </c>
      <c r="H62" s="50">
        <f>_xlfn.IFS('Prepare Gantt Chart'!U61=10,'Project types'!$O62*('Prepare Gantt Chart'!$I61*'Prepare Gantt Chart'!$J61),'Prepare Gantt Chart'!U61=9,'Project types'!$Q62*('Prepare Gantt Chart'!$I61*'Prepare Gantt Chart'!$J61),'Prepare Gantt Chart'!U61=0,0)</f>
        <v>0</v>
      </c>
      <c r="I62" s="50">
        <f>_xlfn.IFS('Prepare Gantt Chart'!V61=10,'Project types'!$O62*('Prepare Gantt Chart'!$I61*'Prepare Gantt Chart'!$J61),'Prepare Gantt Chart'!V61=9,'Project types'!$Q62*('Prepare Gantt Chart'!$I61*'Prepare Gantt Chart'!$J61),'Prepare Gantt Chart'!V61=0,0)</f>
        <v>0</v>
      </c>
      <c r="J62" s="50">
        <f>_xlfn.IFS('Prepare Gantt Chart'!W61=10,'Project types'!$O62*('Prepare Gantt Chart'!$I61*'Prepare Gantt Chart'!$J61),'Prepare Gantt Chart'!W61=9,'Project types'!$Q62*('Prepare Gantt Chart'!$I61*'Prepare Gantt Chart'!$J61),'Prepare Gantt Chart'!W61=0,0)</f>
        <v>0</v>
      </c>
      <c r="K62" s="50">
        <f>_xlfn.IFS('Prepare Gantt Chart'!X61=10,'Project types'!$O62*('Prepare Gantt Chart'!$I61*'Prepare Gantt Chart'!$J61),'Prepare Gantt Chart'!X61=9,'Project types'!$Q62*('Prepare Gantt Chart'!$I61*'Prepare Gantt Chart'!$J61),'Prepare Gantt Chart'!X61=0,0)</f>
        <v>0</v>
      </c>
      <c r="L62" s="50">
        <f>_xlfn.IFS('Prepare Gantt Chart'!Y61=10,'Project types'!$O62*('Prepare Gantt Chart'!$I61*'Prepare Gantt Chart'!$J61),'Prepare Gantt Chart'!Y61=9,'Project types'!$Q62*('Prepare Gantt Chart'!$I61*'Prepare Gantt Chart'!$J61),'Prepare Gantt Chart'!Y61=0,0)</f>
        <v>0</v>
      </c>
      <c r="M62" s="50">
        <f>_xlfn.IFS('Prepare Gantt Chart'!Z61=10,'Project types'!$O62*('Prepare Gantt Chart'!$I61*'Prepare Gantt Chart'!$J61),'Prepare Gantt Chart'!Z61=9,'Project types'!$Q62*('Prepare Gantt Chart'!$I61*'Prepare Gantt Chart'!$J61),'Prepare Gantt Chart'!Z61=0,0)</f>
        <v>0</v>
      </c>
      <c r="N62" s="50">
        <f>_xlfn.IFS('Prepare Gantt Chart'!AA61=10,'Project types'!$O62*('Prepare Gantt Chart'!$I61*'Prepare Gantt Chart'!$J61),'Prepare Gantt Chart'!AA61=9,'Project types'!$Q62*('Prepare Gantt Chart'!$I61*'Prepare Gantt Chart'!$J61),'Prepare Gantt Chart'!AA61=0,0)</f>
        <v>0</v>
      </c>
      <c r="O62" s="50">
        <f>_xlfn.IFS('Prepare Gantt Chart'!AB61=10,'Project types'!$O62*('Prepare Gantt Chart'!$I61*'Prepare Gantt Chart'!$J61),'Prepare Gantt Chart'!AB61=9,'Project types'!$Q62*('Prepare Gantt Chart'!$I61*'Prepare Gantt Chart'!$J61),'Prepare Gantt Chart'!AB61=0,0)</f>
        <v>0</v>
      </c>
      <c r="P62" s="50">
        <f>_xlfn.IFS('Prepare Gantt Chart'!AC61=10,'Project types'!$O62*('Prepare Gantt Chart'!$I61*'Prepare Gantt Chart'!$J61),'Prepare Gantt Chart'!AC61=9,'Project types'!$Q62*('Prepare Gantt Chart'!$I61*'Prepare Gantt Chart'!$J61),'Prepare Gantt Chart'!AC61=0,0)</f>
        <v>0</v>
      </c>
      <c r="Q62" s="50">
        <f>_xlfn.IFS('Prepare Gantt Chart'!AD61=10,'Project types'!$O62*('Prepare Gantt Chart'!$I61*'Prepare Gantt Chart'!$J61),'Prepare Gantt Chart'!AD61=9,'Project types'!$Q62*('Prepare Gantt Chart'!$I61*'Prepare Gantt Chart'!$J61),'Prepare Gantt Chart'!AD61=0,0)</f>
        <v>0</v>
      </c>
      <c r="R62" s="50">
        <f>_xlfn.IFS('Prepare Gantt Chart'!AE61=10,'Project types'!$O62*('Prepare Gantt Chart'!$I61*'Prepare Gantt Chart'!$J61),'Prepare Gantt Chart'!AE61=9,'Project types'!$Q62*('Prepare Gantt Chart'!$I61*'Prepare Gantt Chart'!$J61),'Prepare Gantt Chart'!AE61=0,0)</f>
        <v>0</v>
      </c>
      <c r="S62" s="50">
        <f>_xlfn.IFS('Prepare Gantt Chart'!AF61=10,'Project types'!$O62*('Prepare Gantt Chart'!$I61*'Prepare Gantt Chart'!$J61),'Prepare Gantt Chart'!AF61=9,'Project types'!$Q62*('Prepare Gantt Chart'!$I61*'Prepare Gantt Chart'!$J61),'Prepare Gantt Chart'!AF61=0,0)</f>
        <v>0</v>
      </c>
      <c r="T62" s="50">
        <f>_xlfn.IFS('Prepare Gantt Chart'!AG61=10,'Project types'!$O62*('Prepare Gantt Chart'!$I61*'Prepare Gantt Chart'!$J61),'Prepare Gantt Chart'!AG61=9,'Project types'!$Q62*('Prepare Gantt Chart'!$I61*'Prepare Gantt Chart'!$J61),'Prepare Gantt Chart'!AG61=0,0)</f>
        <v>0</v>
      </c>
      <c r="U62" s="50">
        <f>_xlfn.IFS('Prepare Gantt Chart'!AH61=10,'Project types'!$O62*('Prepare Gantt Chart'!$I61*'Prepare Gantt Chart'!$J61),'Prepare Gantt Chart'!AH61=9,'Project types'!$Q62*('Prepare Gantt Chart'!$I61*'Prepare Gantt Chart'!$J61),'Prepare Gantt Chart'!AH61=0,0)</f>
        <v>0</v>
      </c>
      <c r="V62" s="50">
        <f>_xlfn.IFS('Prepare Gantt Chart'!AI61=10,'Project types'!$O62*('Prepare Gantt Chart'!$I61*'Prepare Gantt Chart'!$J61),'Prepare Gantt Chart'!AI61=9,'Project types'!$Q62*('Prepare Gantt Chart'!$I61*'Prepare Gantt Chart'!$J61),'Prepare Gantt Chart'!AI61=0,0)</f>
        <v>0</v>
      </c>
      <c r="W62" s="50">
        <f>_xlfn.IFS('Prepare Gantt Chart'!AJ61=10,'Project types'!$O62*('Prepare Gantt Chart'!$I61*'Prepare Gantt Chart'!$J61),'Prepare Gantt Chart'!AJ61=9,'Project types'!$Q62*('Prepare Gantt Chart'!$I61*'Prepare Gantt Chart'!$J61),'Prepare Gantt Chart'!AJ61=0,0)</f>
        <v>0</v>
      </c>
      <c r="X62" s="50">
        <f>_xlfn.IFS('Prepare Gantt Chart'!AK61=10,'Project types'!$O62*('Prepare Gantt Chart'!$I61*'Prepare Gantt Chart'!$J61),'Prepare Gantt Chart'!AK61=9,'Project types'!$Q62*('Prepare Gantt Chart'!$I61*'Prepare Gantt Chart'!$J61),'Prepare Gantt Chart'!AK61=0,0)</f>
        <v>0</v>
      </c>
      <c r="Y62" s="50">
        <f>_xlfn.IFS('Prepare Gantt Chart'!AL61=10,'Project types'!$O62*('Prepare Gantt Chart'!$I61*'Prepare Gantt Chart'!$J61),'Prepare Gantt Chart'!AL61=9,'Project types'!$Q62*('Prepare Gantt Chart'!$I61*'Prepare Gantt Chart'!$J61),'Prepare Gantt Chart'!AL61=0,0)</f>
        <v>0</v>
      </c>
      <c r="Z62" s="50">
        <f>_xlfn.IFS('Prepare Gantt Chart'!AM61=10,'Project types'!$O62*('Prepare Gantt Chart'!$I61*'Prepare Gantt Chart'!$J61),'Prepare Gantt Chart'!AM61=9,'Project types'!$Q62*('Prepare Gantt Chart'!$I61*'Prepare Gantt Chart'!$J61),'Prepare Gantt Chart'!AM61=0,0)</f>
        <v>0</v>
      </c>
      <c r="AA62" s="50">
        <f>_xlfn.IFS('Prepare Gantt Chart'!AN61=10,'Project types'!$O62*('Prepare Gantt Chart'!$I61*'Prepare Gantt Chart'!$J61),'Prepare Gantt Chart'!AN61=9,'Project types'!$Q62*('Prepare Gantt Chart'!$I61*'Prepare Gantt Chart'!$J61),'Prepare Gantt Chart'!AN61=0,0)</f>
        <v>0</v>
      </c>
      <c r="AB62" s="50">
        <f>_xlfn.IFS('Prepare Gantt Chart'!AO61=10,'Project types'!$O62*('Prepare Gantt Chart'!$I61*'Prepare Gantt Chart'!$J61),'Prepare Gantt Chart'!AO61=9,'Project types'!$Q62*('Prepare Gantt Chart'!$I61*'Prepare Gantt Chart'!$J61),'Prepare Gantt Chart'!AO61=0,0)</f>
        <v>0</v>
      </c>
      <c r="AC62" s="50">
        <f>'Prepare Gantt Chart'!J61*'Prepare Gantt Chart'!I61*(AD62/26)</f>
        <v>0</v>
      </c>
      <c r="AD62" s="51">
        <f t="shared" si="0"/>
        <v>0</v>
      </c>
      <c r="AE62" s="73">
        <f>IF('Prepare Gantt Chart'!$J61=0,0,SUM(C62:H62)/6/'Prepare Gantt Chart'!$J61)</f>
        <v>0</v>
      </c>
      <c r="AF62" s="73">
        <f>IF('Prepare Gantt Chart'!$J61=0,0,SUM(I62:M62)/5/'Prepare Gantt Chart'!$J61)</f>
        <v>0</v>
      </c>
      <c r="AG62" s="73">
        <f>IF('Prepare Gantt Chart'!$J61=0,0,SUM(N62:R62)/5/'Prepare Gantt Chart'!$J61)</f>
        <v>0</v>
      </c>
      <c r="AH62" s="73">
        <f>IF('Prepare Gantt Chart'!$J61=0,0,SUM(S62:W62)/5/'Prepare Gantt Chart'!$J61)</f>
        <v>0</v>
      </c>
      <c r="AI62" s="73">
        <f>IF('Prepare Gantt Chart'!$J61=0,0,SUM(X62:AB62)/5/'Prepare Gantt Chart'!$J61)</f>
        <v>0</v>
      </c>
      <c r="AK62" s="31" t="s">
        <v>410</v>
      </c>
      <c r="AL62" s="50">
        <f>_xlfn.IFS('Prepare Gantt Chart'!P61=10,'Project types'!$L62*('Prepare Gantt Chart'!$I61*'Prepare Gantt Chart'!$J61),'Prepare Gantt Chart'!P61=9,'Project types'!$L62*('Prepare Gantt Chart'!$I61*'Prepare Gantt Chart'!$J61),'Prepare Gantt Chart'!P61=0,0)</f>
        <v>0</v>
      </c>
      <c r="AM62" s="50">
        <f>_xlfn.IFS('Prepare Gantt Chart'!Q61=10,'Project types'!$L62*('Prepare Gantt Chart'!$I61*'Prepare Gantt Chart'!$J61),'Prepare Gantt Chart'!Q61=9,'Project types'!$L62*('Prepare Gantt Chart'!$I61*'Prepare Gantt Chart'!$J61),'Prepare Gantt Chart'!Q61=0,0)</f>
        <v>0</v>
      </c>
      <c r="AN62" s="50">
        <f>_xlfn.IFS('Prepare Gantt Chart'!R61=10,'Project types'!$L62*('Prepare Gantt Chart'!$I61*'Prepare Gantt Chart'!$J61),'Prepare Gantt Chart'!R61=9,'Project types'!$L62*('Prepare Gantt Chart'!$I61*'Prepare Gantt Chart'!$J61),'Prepare Gantt Chart'!R61=0,0)</f>
        <v>0</v>
      </c>
      <c r="AO62" s="50">
        <f>_xlfn.IFS('Prepare Gantt Chart'!S61=10,'Project types'!$L62*('Prepare Gantt Chart'!$I61*'Prepare Gantt Chart'!$J61),'Prepare Gantt Chart'!S61=9,'Project types'!$L62*('Prepare Gantt Chart'!$I61*'Prepare Gantt Chart'!$J61),'Prepare Gantt Chart'!S61=0,0)</f>
        <v>0</v>
      </c>
      <c r="AP62" s="50">
        <f>_xlfn.IFS('Prepare Gantt Chart'!T61=10,'Project types'!$L62*('Prepare Gantt Chart'!$I61*'Prepare Gantt Chart'!$J61),'Prepare Gantt Chart'!T61=9,'Project types'!$L62*('Prepare Gantt Chart'!$I61*'Prepare Gantt Chart'!$J61),'Prepare Gantt Chart'!T61=0,0)</f>
        <v>0</v>
      </c>
      <c r="AQ62" s="50">
        <f>_xlfn.IFS('Prepare Gantt Chart'!U61=10,'Project types'!$L62*('Prepare Gantt Chart'!$I61*'Prepare Gantt Chart'!$J61),'Prepare Gantt Chart'!U61=9,'Project types'!$L62*('Prepare Gantt Chart'!$I61*'Prepare Gantt Chart'!$J61),'Prepare Gantt Chart'!U61=0,0)</f>
        <v>0</v>
      </c>
      <c r="AR62" s="50">
        <f>_xlfn.IFS('Prepare Gantt Chart'!V61=10,'Project types'!$L62*('Prepare Gantt Chart'!$I61*'Prepare Gantt Chart'!$J61),'Prepare Gantt Chart'!V61=9,'Project types'!$L62*('Prepare Gantt Chart'!$I61*'Prepare Gantt Chart'!$J61),'Prepare Gantt Chart'!V61=0,0)</f>
        <v>0</v>
      </c>
      <c r="AS62" s="50">
        <f>_xlfn.IFS('Prepare Gantt Chart'!W61=10,'Project types'!$L62*('Prepare Gantt Chart'!$I61*'Prepare Gantt Chart'!$J61),'Prepare Gantt Chart'!W61=9,'Project types'!$L62*('Prepare Gantt Chart'!$I61*'Prepare Gantt Chart'!$J61),'Prepare Gantt Chart'!W61=0,0)</f>
        <v>0</v>
      </c>
      <c r="AT62" s="50">
        <f>_xlfn.IFS('Prepare Gantt Chart'!X61=10,'Project types'!$L62*('Prepare Gantt Chart'!$I61*'Prepare Gantt Chart'!$J61),'Prepare Gantt Chart'!X61=9,'Project types'!$L62*('Prepare Gantt Chart'!$I61*'Prepare Gantt Chart'!$J61),'Prepare Gantt Chart'!X61=0,0)</f>
        <v>0</v>
      </c>
      <c r="AU62" s="50">
        <f>_xlfn.IFS('Prepare Gantt Chart'!Y61=10,'Project types'!$L62*('Prepare Gantt Chart'!$I61*'Prepare Gantt Chart'!$J61),'Prepare Gantt Chart'!Y61=9,'Project types'!$L62*('Prepare Gantt Chart'!$I61*'Prepare Gantt Chart'!$J61),'Prepare Gantt Chart'!Y61=0,0)</f>
        <v>0</v>
      </c>
      <c r="AV62" s="50">
        <f>_xlfn.IFS('Prepare Gantt Chart'!Z61=10,'Project types'!$L62*('Prepare Gantt Chart'!$I61*'Prepare Gantt Chart'!$J61),'Prepare Gantt Chart'!Z61=9,'Project types'!$L62*('Prepare Gantt Chart'!$I61*'Prepare Gantt Chart'!$J61),'Prepare Gantt Chart'!Z61=0,0)</f>
        <v>0</v>
      </c>
      <c r="AW62" s="50">
        <f>_xlfn.IFS('Prepare Gantt Chart'!AA61=10,'Project types'!$L62*('Prepare Gantt Chart'!$I61*'Prepare Gantt Chart'!$J61),'Prepare Gantt Chart'!AA61=9,'Project types'!$L62*('Prepare Gantt Chart'!$I61*'Prepare Gantt Chart'!$J61),'Prepare Gantt Chart'!AA61=0,0)</f>
        <v>0</v>
      </c>
      <c r="AX62" s="50">
        <f>_xlfn.IFS('Prepare Gantt Chart'!AB61=10,'Project types'!$L62*('Prepare Gantt Chart'!$I61*'Prepare Gantt Chart'!$J61),'Prepare Gantt Chart'!AB61=9,'Project types'!$L62*('Prepare Gantt Chart'!$I61*'Prepare Gantt Chart'!$J61),'Prepare Gantt Chart'!AB61=0,0)</f>
        <v>0</v>
      </c>
      <c r="AY62" s="50">
        <f>_xlfn.IFS('Prepare Gantt Chart'!AC61=10,'Project types'!$L62*('Prepare Gantt Chart'!$I61*'Prepare Gantt Chart'!$J61),'Prepare Gantt Chart'!AC61=9,'Project types'!$L62*('Prepare Gantt Chart'!$I61*'Prepare Gantt Chart'!$J61),'Prepare Gantt Chart'!AC61=0,0)</f>
        <v>0</v>
      </c>
      <c r="AZ62" s="50">
        <f>_xlfn.IFS('Prepare Gantt Chart'!AD61=10,'Project types'!$L62*('Prepare Gantt Chart'!$I61*'Prepare Gantt Chart'!$J61),'Prepare Gantt Chart'!AD61=9,'Project types'!$L62*('Prepare Gantt Chart'!$I61*'Prepare Gantt Chart'!$J61),'Prepare Gantt Chart'!AD61=0,0)</f>
        <v>0</v>
      </c>
      <c r="BA62" s="50">
        <f>_xlfn.IFS('Prepare Gantt Chart'!AE61=10,'Project types'!$L62*('Prepare Gantt Chart'!$I61*'Prepare Gantt Chart'!$J61),'Prepare Gantt Chart'!AE61=9,'Project types'!$L62*('Prepare Gantt Chart'!$I61*'Prepare Gantt Chart'!$J61),'Prepare Gantt Chart'!AE61=0,0)</f>
        <v>0</v>
      </c>
      <c r="BB62" s="50">
        <f>_xlfn.IFS('Prepare Gantt Chart'!AF61=10,'Project types'!$L62*('Prepare Gantt Chart'!$I61*'Prepare Gantt Chart'!$J61),'Prepare Gantt Chart'!AF61=9,'Project types'!$L62*('Prepare Gantt Chart'!$I61*'Prepare Gantt Chart'!$J61),'Prepare Gantt Chart'!AF61=0,0)</f>
        <v>0</v>
      </c>
      <c r="BC62" s="50">
        <f>_xlfn.IFS('Prepare Gantt Chart'!AG61=10,'Project types'!$L62*('Prepare Gantt Chart'!$I61*'Prepare Gantt Chart'!$J61),'Prepare Gantt Chart'!AG61=9,'Project types'!$L62*('Prepare Gantt Chart'!$I61*'Prepare Gantt Chart'!$J61),'Prepare Gantt Chart'!AG61=0,0)</f>
        <v>0</v>
      </c>
      <c r="BD62" s="50">
        <f>_xlfn.IFS('Prepare Gantt Chart'!AH61=10,'Project types'!$L62*('Prepare Gantt Chart'!$I61*'Prepare Gantt Chart'!$J61),'Prepare Gantt Chart'!AH61=9,'Project types'!$L62*('Prepare Gantt Chart'!$I61*'Prepare Gantt Chart'!$J61),'Prepare Gantt Chart'!AH61=0,0)</f>
        <v>0</v>
      </c>
      <c r="BE62" s="50">
        <f>_xlfn.IFS('Prepare Gantt Chart'!AI61=10,'Project types'!$L62*('Prepare Gantt Chart'!$I61*'Prepare Gantt Chart'!$J61),'Prepare Gantt Chart'!AI61=9,'Project types'!$L62*('Prepare Gantt Chart'!$I61*'Prepare Gantt Chart'!$J61),'Prepare Gantt Chart'!AI61=0,0)</f>
        <v>0</v>
      </c>
      <c r="BF62" s="50">
        <f>_xlfn.IFS('Prepare Gantt Chart'!AJ61=10,'Project types'!$L62*('Prepare Gantt Chart'!$I61*'Prepare Gantt Chart'!$J61),'Prepare Gantt Chart'!AJ61=9,'Project types'!$L62*('Prepare Gantt Chart'!$I61*'Prepare Gantt Chart'!$J61),'Prepare Gantt Chart'!AJ61=0,0)</f>
        <v>0</v>
      </c>
      <c r="BG62" s="50">
        <f>_xlfn.IFS('Prepare Gantt Chart'!AK61=10,'Project types'!$L62*('Prepare Gantt Chart'!$I61*'Prepare Gantt Chart'!$J61),'Prepare Gantt Chart'!AK61=9,'Project types'!$L62*('Prepare Gantt Chart'!$I61*'Prepare Gantt Chart'!$J61),'Prepare Gantt Chart'!AK61=0,0)</f>
        <v>0</v>
      </c>
      <c r="BH62" s="50">
        <f>_xlfn.IFS('Prepare Gantt Chart'!AL61=10,'Project types'!$L62*('Prepare Gantt Chart'!$I61*'Prepare Gantt Chart'!$J61),'Prepare Gantt Chart'!AL61=9,'Project types'!$L62*('Prepare Gantt Chart'!$I61*'Prepare Gantt Chart'!$J61),'Prepare Gantt Chart'!AL61=0,0)</f>
        <v>0</v>
      </c>
      <c r="BI62" s="50">
        <f>_xlfn.IFS('Prepare Gantt Chart'!AM61=10,'Project types'!$L62*('Prepare Gantt Chart'!$I61*'Prepare Gantt Chart'!$J61),'Prepare Gantt Chart'!AM61=9,'Project types'!$L62*('Prepare Gantt Chart'!$I61*'Prepare Gantt Chart'!$J61),'Prepare Gantt Chart'!AM61=0,0)</f>
        <v>0</v>
      </c>
      <c r="BJ62" s="50">
        <f>_xlfn.IFS('Prepare Gantt Chart'!AN61=10,'Project types'!$L62*('Prepare Gantt Chart'!$I61*'Prepare Gantt Chart'!$J61),'Prepare Gantt Chart'!AN61=9,'Project types'!$L62*('Prepare Gantt Chart'!$I61*'Prepare Gantt Chart'!$J61),'Prepare Gantt Chart'!AN61=0,0)</f>
        <v>0</v>
      </c>
      <c r="BK62" s="50">
        <f>_xlfn.IFS('Prepare Gantt Chart'!AO61=10,'Project types'!$L62*('Prepare Gantt Chart'!$I61*'Prepare Gantt Chart'!$J61),'Prepare Gantt Chart'!AO61=9,'Project types'!$L62*('Prepare Gantt Chart'!$I61*'Prepare Gantt Chart'!$J61),'Prepare Gantt Chart'!AO61=0,0)</f>
        <v>0</v>
      </c>
      <c r="BL62" s="51">
        <f t="shared" si="1"/>
        <v>0</v>
      </c>
      <c r="BM62" s="76">
        <f>IF('Prepare Gantt Chart'!$J61=0,0,SUM(AL62:AQ62)/6/'Prepare Gantt Chart'!$J61)</f>
        <v>0</v>
      </c>
      <c r="BN62" s="76">
        <f>IF('Prepare Gantt Chart'!$J61=0,0,SUM(AR62:AV62)/5/'Prepare Gantt Chart'!$J61)</f>
        <v>0</v>
      </c>
      <c r="BO62" s="76">
        <f>IF('Prepare Gantt Chart'!$J61=0,0,SUM(AW62:BA62)/5/'Prepare Gantt Chart'!$J61)</f>
        <v>0</v>
      </c>
      <c r="BP62" s="76">
        <f>IF('Prepare Gantt Chart'!$J61=0,0,SUM(BB62:BF62)/5/'Prepare Gantt Chart'!$J61)</f>
        <v>0</v>
      </c>
      <c r="BQ62" s="76">
        <f>IF('Prepare Gantt Chart'!$J61=0,0,SUM(BG62:BK62)/5/'Prepare Gantt Chart'!$J61)</f>
        <v>0</v>
      </c>
    </row>
    <row r="63" spans="1:69" x14ac:dyDescent="0.2">
      <c r="A63" s="32" t="s">
        <v>55</v>
      </c>
      <c r="B63" s="1" t="s">
        <v>143</v>
      </c>
      <c r="C63" s="45">
        <f>_xlfn.IFS('Prepare Gantt Chart'!P62=12,'Project types'!$O63*('Prepare Gantt Chart'!$I62*'Prepare Gantt Chart'!$J62),'Prepare Gantt Chart'!P62=11,'Project types'!$Q63*('Prepare Gantt Chart'!$I62*'Prepare Gantt Chart'!$J62),'Prepare Gantt Chart'!P62=0,0)</f>
        <v>0</v>
      </c>
      <c r="D63" s="45">
        <f>_xlfn.IFS('Prepare Gantt Chart'!Q62=12,'Project types'!$O63*('Prepare Gantt Chart'!$I62*'Prepare Gantt Chart'!$J62),'Prepare Gantt Chart'!Q62=11,'Project types'!$Q63*('Prepare Gantt Chart'!$I62*'Prepare Gantt Chart'!$J62),'Prepare Gantt Chart'!Q62=0,0)</f>
        <v>0</v>
      </c>
      <c r="E63" s="45">
        <f>_xlfn.IFS('Prepare Gantt Chart'!R62=12,'Project types'!$O63*('Prepare Gantt Chart'!$I62*'Prepare Gantt Chart'!$J62),'Prepare Gantt Chart'!R62=11,'Project types'!$Q63*('Prepare Gantt Chart'!$I62*'Prepare Gantt Chart'!$J62),'Prepare Gantt Chart'!R62=0,0)</f>
        <v>0</v>
      </c>
      <c r="F63" s="45">
        <f>_xlfn.IFS('Prepare Gantt Chart'!S62=12,'Project types'!$O63*('Prepare Gantt Chart'!$I62*'Prepare Gantt Chart'!$J62),'Prepare Gantt Chart'!S62=11,'Project types'!$Q63*('Prepare Gantt Chart'!$I62*'Prepare Gantt Chart'!$J62),'Prepare Gantt Chart'!S62=0,0)</f>
        <v>0</v>
      </c>
      <c r="G63" s="45">
        <f>_xlfn.IFS('Prepare Gantt Chart'!T62=12,'Project types'!$O63*('Prepare Gantt Chart'!$I62*'Prepare Gantt Chart'!$J62),'Prepare Gantt Chart'!T62=11,'Project types'!$Q63*('Prepare Gantt Chart'!$I62*'Prepare Gantt Chart'!$J62),'Prepare Gantt Chart'!T62=0,0)</f>
        <v>0</v>
      </c>
      <c r="H63" s="45">
        <f>_xlfn.IFS('Prepare Gantt Chart'!U62=12,'Project types'!$O63*('Prepare Gantt Chart'!$I62*'Prepare Gantt Chart'!$J62),'Prepare Gantt Chart'!U62=11,'Project types'!$Q63*('Prepare Gantt Chart'!$I62*'Prepare Gantt Chart'!$J62),'Prepare Gantt Chart'!U62=0,0)</f>
        <v>0</v>
      </c>
      <c r="I63" s="45">
        <f>_xlfn.IFS('Prepare Gantt Chart'!V62=12,'Project types'!$O63*('Prepare Gantt Chart'!$I62*'Prepare Gantt Chart'!$J62),'Prepare Gantt Chart'!V62=11,'Project types'!$Q63*('Prepare Gantt Chart'!$I62*'Prepare Gantt Chart'!$J62),'Prepare Gantt Chart'!V62=0,0)</f>
        <v>0</v>
      </c>
      <c r="J63" s="45">
        <f>_xlfn.IFS('Prepare Gantt Chart'!W62=12,'Project types'!$O63*('Prepare Gantt Chart'!$I62*'Prepare Gantt Chart'!$J62),'Prepare Gantt Chart'!W62=11,'Project types'!$Q63*('Prepare Gantt Chart'!$I62*'Prepare Gantt Chart'!$J62),'Prepare Gantt Chart'!W62=0,0)</f>
        <v>0</v>
      </c>
      <c r="K63" s="45">
        <f>_xlfn.IFS('Prepare Gantt Chart'!X62=12,'Project types'!$O63*('Prepare Gantt Chart'!$I62*'Prepare Gantt Chart'!$J62),'Prepare Gantt Chart'!X62=11,'Project types'!$Q63*('Prepare Gantt Chart'!$I62*'Prepare Gantt Chart'!$J62),'Prepare Gantt Chart'!X62=0,0)</f>
        <v>0</v>
      </c>
      <c r="L63" s="45">
        <f>_xlfn.IFS('Prepare Gantt Chart'!Y62=12,'Project types'!$O63*('Prepare Gantt Chart'!$I62*'Prepare Gantt Chart'!$J62),'Prepare Gantt Chart'!Y62=11,'Project types'!$Q63*('Prepare Gantt Chart'!$I62*'Prepare Gantt Chart'!$J62),'Prepare Gantt Chart'!Y62=0,0)</f>
        <v>0</v>
      </c>
      <c r="M63" s="45">
        <f>_xlfn.IFS('Prepare Gantt Chart'!Z62=12,'Project types'!$O63*('Prepare Gantt Chart'!$I62*'Prepare Gantt Chart'!$J62),'Prepare Gantt Chart'!Z62=11,'Project types'!$Q63*('Prepare Gantt Chart'!$I62*'Prepare Gantt Chart'!$J62),'Prepare Gantt Chart'!Z62=0,0)</f>
        <v>0</v>
      </c>
      <c r="N63" s="45">
        <f>_xlfn.IFS('Prepare Gantt Chart'!AA62=12,'Project types'!$O63*('Prepare Gantt Chart'!$I62*'Prepare Gantt Chart'!$J62),'Prepare Gantt Chart'!AA62=11,'Project types'!$Q63*('Prepare Gantt Chart'!$I62*'Prepare Gantt Chart'!$J62),'Prepare Gantt Chart'!AA62=0,0)</f>
        <v>0</v>
      </c>
      <c r="O63" s="45">
        <f>_xlfn.IFS('Prepare Gantt Chart'!AB62=12,'Project types'!$O63*('Prepare Gantt Chart'!$I62*'Prepare Gantt Chart'!$J62),'Prepare Gantt Chart'!AB62=11,'Project types'!$Q63*('Prepare Gantt Chart'!$I62*'Prepare Gantt Chart'!$J62),'Prepare Gantt Chart'!AB62=0,0)</f>
        <v>0</v>
      </c>
      <c r="P63" s="45">
        <f>_xlfn.IFS('Prepare Gantt Chart'!AC62=12,'Project types'!$O63*('Prepare Gantt Chart'!$I62*'Prepare Gantt Chart'!$J62),'Prepare Gantt Chart'!AC62=11,'Project types'!$Q63*('Prepare Gantt Chart'!$I62*'Prepare Gantt Chart'!$J62),'Prepare Gantt Chart'!AC62=0,0)</f>
        <v>0</v>
      </c>
      <c r="Q63" s="45">
        <f>_xlfn.IFS('Prepare Gantt Chart'!AD62=12,'Project types'!$O63*('Prepare Gantt Chart'!$I62*'Prepare Gantt Chart'!$J62),'Prepare Gantt Chart'!AD62=11,'Project types'!$Q63*('Prepare Gantt Chart'!$I62*'Prepare Gantt Chart'!$J62),'Prepare Gantt Chart'!AD62=0,0)</f>
        <v>0</v>
      </c>
      <c r="R63" s="45">
        <f>_xlfn.IFS('Prepare Gantt Chart'!AE62=12,'Project types'!$O63*('Prepare Gantt Chart'!$I62*'Prepare Gantt Chart'!$J62),'Prepare Gantt Chart'!AE62=11,'Project types'!$Q63*('Prepare Gantt Chart'!$I62*'Prepare Gantt Chart'!$J62),'Prepare Gantt Chart'!AE62=0,0)</f>
        <v>0</v>
      </c>
      <c r="S63" s="45">
        <f>_xlfn.IFS('Prepare Gantt Chart'!AF62=12,'Project types'!$O63*('Prepare Gantt Chart'!$I62*'Prepare Gantt Chart'!$J62),'Prepare Gantt Chart'!AF62=11,'Project types'!$Q63*('Prepare Gantt Chart'!$I62*'Prepare Gantt Chart'!$J62),'Prepare Gantt Chart'!AF62=0,0)</f>
        <v>0</v>
      </c>
      <c r="T63" s="45">
        <f>_xlfn.IFS('Prepare Gantt Chart'!AG62=12,'Project types'!$O63*('Prepare Gantt Chart'!$I62*'Prepare Gantt Chart'!$J62),'Prepare Gantt Chart'!AG62=11,'Project types'!$Q63*('Prepare Gantt Chart'!$I62*'Prepare Gantt Chart'!$J62),'Prepare Gantt Chart'!AG62=0,0)</f>
        <v>0</v>
      </c>
      <c r="U63" s="45">
        <f>_xlfn.IFS('Prepare Gantt Chart'!AH62=12,'Project types'!$O63*('Prepare Gantt Chart'!$I62*'Prepare Gantt Chart'!$J62),'Prepare Gantt Chart'!AH62=11,'Project types'!$Q63*('Prepare Gantt Chart'!$I62*'Prepare Gantt Chart'!$J62),'Prepare Gantt Chart'!AH62=0,0)</f>
        <v>0</v>
      </c>
      <c r="V63" s="45">
        <f>_xlfn.IFS('Prepare Gantt Chart'!AI62=12,'Project types'!$O63*('Prepare Gantt Chart'!$I62*'Prepare Gantt Chart'!$J62),'Prepare Gantt Chart'!AI62=11,'Project types'!$Q63*('Prepare Gantt Chart'!$I62*'Prepare Gantt Chart'!$J62),'Prepare Gantt Chart'!AI62=0,0)</f>
        <v>0</v>
      </c>
      <c r="W63" s="45">
        <f>_xlfn.IFS('Prepare Gantt Chart'!AJ62=12,'Project types'!$O63*('Prepare Gantt Chart'!$I62*'Prepare Gantt Chart'!$J62),'Prepare Gantt Chart'!AJ62=11,'Project types'!$Q63*('Prepare Gantt Chart'!$I62*'Prepare Gantt Chart'!$J62),'Prepare Gantt Chart'!AJ62=0,0)</f>
        <v>0</v>
      </c>
      <c r="X63" s="45">
        <f>_xlfn.IFS('Prepare Gantt Chart'!AK62=12,'Project types'!$O63*('Prepare Gantt Chart'!$I62*'Prepare Gantt Chart'!$J62),'Prepare Gantt Chart'!AK62=11,'Project types'!$Q63*('Prepare Gantt Chart'!$I62*'Prepare Gantt Chart'!$J62),'Prepare Gantt Chart'!AK62=0,0)</f>
        <v>0</v>
      </c>
      <c r="Y63" s="45">
        <f>_xlfn.IFS('Prepare Gantt Chart'!AL62=12,'Project types'!$O63*('Prepare Gantt Chart'!$I62*'Prepare Gantt Chart'!$J62),'Prepare Gantt Chart'!AL62=11,'Project types'!$Q63*('Prepare Gantt Chart'!$I62*'Prepare Gantt Chart'!$J62),'Prepare Gantt Chart'!AL62=0,0)</f>
        <v>0</v>
      </c>
      <c r="Z63" s="45">
        <f>_xlfn.IFS('Prepare Gantt Chart'!AM62=12,'Project types'!$O63*('Prepare Gantt Chart'!$I62*'Prepare Gantt Chart'!$J62),'Prepare Gantt Chart'!AM62=11,'Project types'!$Q63*('Prepare Gantt Chart'!$I62*'Prepare Gantt Chart'!$J62),'Prepare Gantt Chart'!AM62=0,0)</f>
        <v>0</v>
      </c>
      <c r="AA63" s="45">
        <f>_xlfn.IFS('Prepare Gantt Chart'!AN62=12,'Project types'!$O63*('Prepare Gantt Chart'!$I62*'Prepare Gantt Chart'!$J62),'Prepare Gantt Chart'!AN62=11,'Project types'!$Q63*('Prepare Gantt Chart'!$I62*'Prepare Gantt Chart'!$J62),'Prepare Gantt Chart'!AN62=0,0)</f>
        <v>0</v>
      </c>
      <c r="AB63" s="45">
        <f>_xlfn.IFS('Prepare Gantt Chart'!AO62=12,'Project types'!$O63*('Prepare Gantt Chart'!$I62*'Prepare Gantt Chart'!$J62),'Prepare Gantt Chart'!AO62=11,'Project types'!$Q63*('Prepare Gantt Chart'!$I62*'Prepare Gantt Chart'!$J62),'Prepare Gantt Chart'!AO62=0,0)</f>
        <v>0</v>
      </c>
      <c r="AC63" s="45">
        <f>'Prepare Gantt Chart'!J62*'Prepare Gantt Chart'!I62*(AD63/26)</f>
        <v>0</v>
      </c>
      <c r="AD63" s="46">
        <f t="shared" si="0"/>
        <v>0</v>
      </c>
      <c r="AE63" s="72">
        <f>IF('Prepare Gantt Chart'!$J62=0,0,SUM(C63:H63)/6/'Prepare Gantt Chart'!$J62)</f>
        <v>0</v>
      </c>
      <c r="AF63" s="72">
        <f>IF('Prepare Gantt Chart'!$J62=0,0,SUM(I63:M63)/5/'Prepare Gantt Chart'!$J62)</f>
        <v>0</v>
      </c>
      <c r="AG63" s="72">
        <f>IF('Prepare Gantt Chart'!$J62=0,0,SUM(N63:R63)/5/'Prepare Gantt Chart'!$J62)</f>
        <v>0</v>
      </c>
      <c r="AH63" s="72">
        <f>IF('Prepare Gantt Chart'!$J62=0,0,SUM(S63:W63)/5/'Prepare Gantt Chart'!$J62)</f>
        <v>0</v>
      </c>
      <c r="AI63" s="72">
        <f>IF('Prepare Gantt Chart'!$J62=0,0,SUM(X63:AB63)/5/'Prepare Gantt Chart'!$J62)</f>
        <v>0</v>
      </c>
      <c r="AK63" s="32" t="s">
        <v>55</v>
      </c>
      <c r="AL63" s="45">
        <f>_xlfn.IFS('Prepare Gantt Chart'!P62=12,'Project types'!$L63*('Prepare Gantt Chart'!$I62*'Prepare Gantt Chart'!$J62),'Prepare Gantt Chart'!P62=11,'Project types'!$L63*('Prepare Gantt Chart'!$I62*'Prepare Gantt Chart'!$J62),'Prepare Gantt Chart'!P62=0,0)</f>
        <v>0</v>
      </c>
      <c r="AM63" s="45">
        <f>_xlfn.IFS('Prepare Gantt Chart'!Q62=12,'Project types'!$L63*('Prepare Gantt Chart'!$I62*'Prepare Gantt Chart'!$J62),'Prepare Gantt Chart'!Q62=11,'Project types'!$L63*('Prepare Gantt Chart'!$I62*'Prepare Gantt Chart'!$J62),'Prepare Gantt Chart'!Q62=0,0)</f>
        <v>0</v>
      </c>
      <c r="AN63" s="45">
        <f>_xlfn.IFS('Prepare Gantt Chart'!R62=12,'Project types'!$L63*('Prepare Gantt Chart'!$I62*'Prepare Gantt Chart'!$J62),'Prepare Gantt Chart'!R62=11,'Project types'!$L63*('Prepare Gantt Chart'!$I62*'Prepare Gantt Chart'!$J62),'Prepare Gantt Chart'!R62=0,0)</f>
        <v>0</v>
      </c>
      <c r="AO63" s="45">
        <f>_xlfn.IFS('Prepare Gantt Chart'!S62=12,'Project types'!$L63*('Prepare Gantt Chart'!$I62*'Prepare Gantt Chart'!$J62),'Prepare Gantt Chart'!S62=11,'Project types'!$L63*('Prepare Gantt Chart'!$I62*'Prepare Gantt Chart'!$J62),'Prepare Gantt Chart'!S62=0,0)</f>
        <v>0</v>
      </c>
      <c r="AP63" s="45">
        <f>_xlfn.IFS('Prepare Gantt Chart'!T62=12,'Project types'!$L63*('Prepare Gantt Chart'!$I62*'Prepare Gantt Chart'!$J62),'Prepare Gantt Chart'!T62=11,'Project types'!$L63*('Prepare Gantt Chart'!$I62*'Prepare Gantt Chart'!$J62),'Prepare Gantt Chart'!T62=0,0)</f>
        <v>0</v>
      </c>
      <c r="AQ63" s="45">
        <f>_xlfn.IFS('Prepare Gantt Chart'!U62=12,'Project types'!$L63*('Prepare Gantt Chart'!$I62*'Prepare Gantt Chart'!$J62),'Prepare Gantt Chart'!U62=11,'Project types'!$L63*('Prepare Gantt Chart'!$I62*'Prepare Gantt Chart'!$J62),'Prepare Gantt Chart'!U62=0,0)</f>
        <v>0</v>
      </c>
      <c r="AR63" s="45">
        <f>_xlfn.IFS('Prepare Gantt Chart'!V62=12,'Project types'!$L63*('Prepare Gantt Chart'!$I62*'Prepare Gantt Chart'!$J62),'Prepare Gantt Chart'!V62=11,'Project types'!$L63*('Prepare Gantt Chart'!$I62*'Prepare Gantt Chart'!$J62),'Prepare Gantt Chart'!V62=0,0)</f>
        <v>0</v>
      </c>
      <c r="AS63" s="45">
        <f>_xlfn.IFS('Prepare Gantt Chart'!W62=12,'Project types'!$L63*('Prepare Gantt Chart'!$I62*'Prepare Gantt Chart'!$J62),'Prepare Gantt Chart'!W62=11,'Project types'!$L63*('Prepare Gantt Chart'!$I62*'Prepare Gantt Chart'!$J62),'Prepare Gantt Chart'!W62=0,0)</f>
        <v>0</v>
      </c>
      <c r="AT63" s="45">
        <f>_xlfn.IFS('Prepare Gantt Chart'!X62=12,'Project types'!$L63*('Prepare Gantt Chart'!$I62*'Prepare Gantt Chart'!$J62),'Prepare Gantt Chart'!X62=11,'Project types'!$L63*('Prepare Gantt Chart'!$I62*'Prepare Gantt Chart'!$J62),'Prepare Gantt Chart'!X62=0,0)</f>
        <v>0</v>
      </c>
      <c r="AU63" s="45">
        <f>_xlfn.IFS('Prepare Gantt Chart'!Y62=12,'Project types'!$L63*('Prepare Gantt Chart'!$I62*'Prepare Gantt Chart'!$J62),'Prepare Gantt Chart'!Y62=11,'Project types'!$L63*('Prepare Gantt Chart'!$I62*'Prepare Gantt Chart'!$J62),'Prepare Gantt Chart'!Y62=0,0)</f>
        <v>0</v>
      </c>
      <c r="AV63" s="45">
        <f>_xlfn.IFS('Prepare Gantt Chart'!Z62=12,'Project types'!$L63*('Prepare Gantt Chart'!$I62*'Prepare Gantt Chart'!$J62),'Prepare Gantt Chart'!Z62=11,'Project types'!$L63*('Prepare Gantt Chart'!$I62*'Prepare Gantt Chart'!$J62),'Prepare Gantt Chart'!Z62=0,0)</f>
        <v>0</v>
      </c>
      <c r="AW63" s="45">
        <f>_xlfn.IFS('Prepare Gantt Chart'!AA62=12,'Project types'!$L63*('Prepare Gantt Chart'!$I62*'Prepare Gantt Chart'!$J62),'Prepare Gantt Chart'!AA62=11,'Project types'!$L63*('Prepare Gantt Chart'!$I62*'Prepare Gantt Chart'!$J62),'Prepare Gantt Chart'!AA62=0,0)</f>
        <v>0</v>
      </c>
      <c r="AX63" s="45">
        <f>_xlfn.IFS('Prepare Gantt Chart'!AB62=12,'Project types'!$L63*('Prepare Gantt Chart'!$I62*'Prepare Gantt Chart'!$J62),'Prepare Gantt Chart'!AB62=11,'Project types'!$L63*('Prepare Gantt Chart'!$I62*'Prepare Gantt Chart'!$J62),'Prepare Gantt Chart'!AB62=0,0)</f>
        <v>0</v>
      </c>
      <c r="AY63" s="45">
        <f>_xlfn.IFS('Prepare Gantt Chart'!AC62=12,'Project types'!$L63*('Prepare Gantt Chart'!$I62*'Prepare Gantt Chart'!$J62),'Prepare Gantt Chart'!AC62=11,'Project types'!$L63*('Prepare Gantt Chart'!$I62*'Prepare Gantt Chart'!$J62),'Prepare Gantt Chart'!AC62=0,0)</f>
        <v>0</v>
      </c>
      <c r="AZ63" s="45">
        <f>_xlfn.IFS('Prepare Gantt Chart'!AD62=12,'Project types'!$L63*('Prepare Gantt Chart'!$I62*'Prepare Gantt Chart'!$J62),'Prepare Gantt Chart'!AD62=11,'Project types'!$L63*('Prepare Gantt Chart'!$I62*'Prepare Gantt Chart'!$J62),'Prepare Gantt Chart'!AD62=0,0)</f>
        <v>0</v>
      </c>
      <c r="BA63" s="45">
        <f>_xlfn.IFS('Prepare Gantt Chart'!AE62=12,'Project types'!$L63*('Prepare Gantt Chart'!$I62*'Prepare Gantt Chart'!$J62),'Prepare Gantt Chart'!AE62=11,'Project types'!$L63*('Prepare Gantt Chart'!$I62*'Prepare Gantt Chart'!$J62),'Prepare Gantt Chart'!AE62=0,0)</f>
        <v>0</v>
      </c>
      <c r="BB63" s="45">
        <f>_xlfn.IFS('Prepare Gantt Chart'!AF62=12,'Project types'!$L63*('Prepare Gantt Chart'!$I62*'Prepare Gantt Chart'!$J62),'Prepare Gantt Chart'!AF62=11,'Project types'!$L63*('Prepare Gantt Chart'!$I62*'Prepare Gantt Chart'!$J62),'Prepare Gantt Chart'!AF62=0,0)</f>
        <v>0</v>
      </c>
      <c r="BC63" s="45">
        <f>_xlfn.IFS('Prepare Gantt Chart'!AG62=12,'Project types'!$L63*('Prepare Gantt Chart'!$I62*'Prepare Gantt Chart'!$J62),'Prepare Gantt Chart'!AG62=11,'Project types'!$L63*('Prepare Gantt Chart'!$I62*'Prepare Gantt Chart'!$J62),'Prepare Gantt Chart'!AG62=0,0)</f>
        <v>0</v>
      </c>
      <c r="BD63" s="45">
        <f>_xlfn.IFS('Prepare Gantt Chart'!AH62=12,'Project types'!$L63*('Prepare Gantt Chart'!$I62*'Prepare Gantt Chart'!$J62),'Prepare Gantt Chart'!AH62=11,'Project types'!$L63*('Prepare Gantt Chart'!$I62*'Prepare Gantt Chart'!$J62),'Prepare Gantt Chart'!AH62=0,0)</f>
        <v>0</v>
      </c>
      <c r="BE63" s="45">
        <f>_xlfn.IFS('Prepare Gantt Chart'!AI62=12,'Project types'!$L63*('Prepare Gantt Chart'!$I62*'Prepare Gantt Chart'!$J62),'Prepare Gantt Chart'!AI62=11,'Project types'!$L63*('Prepare Gantt Chart'!$I62*'Prepare Gantt Chart'!$J62),'Prepare Gantt Chart'!AI62=0,0)</f>
        <v>0</v>
      </c>
      <c r="BF63" s="45">
        <f>_xlfn.IFS('Prepare Gantt Chart'!AJ62=12,'Project types'!$L63*('Prepare Gantt Chart'!$I62*'Prepare Gantt Chart'!$J62),'Prepare Gantt Chart'!AJ62=11,'Project types'!$L63*('Prepare Gantt Chart'!$I62*'Prepare Gantt Chart'!$J62),'Prepare Gantt Chart'!AJ62=0,0)</f>
        <v>0</v>
      </c>
      <c r="BG63" s="45">
        <f>_xlfn.IFS('Prepare Gantt Chart'!AK62=12,'Project types'!$L63*('Prepare Gantt Chart'!$I62*'Prepare Gantt Chart'!$J62),'Prepare Gantt Chart'!AK62=11,'Project types'!$L63*('Prepare Gantt Chart'!$I62*'Prepare Gantt Chart'!$J62),'Prepare Gantt Chart'!AK62=0,0)</f>
        <v>0</v>
      </c>
      <c r="BH63" s="45">
        <f>_xlfn.IFS('Prepare Gantt Chart'!AL62=12,'Project types'!$L63*('Prepare Gantt Chart'!$I62*'Prepare Gantt Chart'!$J62),'Prepare Gantt Chart'!AL62=11,'Project types'!$L63*('Prepare Gantt Chart'!$I62*'Prepare Gantt Chart'!$J62),'Prepare Gantt Chart'!AL62=0,0)</f>
        <v>0</v>
      </c>
      <c r="BI63" s="45">
        <f>_xlfn.IFS('Prepare Gantt Chart'!AM62=12,'Project types'!$L63*('Prepare Gantt Chart'!$I62*'Prepare Gantt Chart'!$J62),'Prepare Gantt Chart'!AM62=11,'Project types'!$L63*('Prepare Gantt Chart'!$I62*'Prepare Gantt Chart'!$J62),'Prepare Gantt Chart'!AM62=0,0)</f>
        <v>0</v>
      </c>
      <c r="BJ63" s="45">
        <f>_xlfn.IFS('Prepare Gantt Chart'!AN62=12,'Project types'!$L63*('Prepare Gantt Chart'!$I62*'Prepare Gantt Chart'!$J62),'Prepare Gantt Chart'!AN62=11,'Project types'!$L63*('Prepare Gantt Chart'!$I62*'Prepare Gantt Chart'!$J62),'Prepare Gantt Chart'!AN62=0,0)</f>
        <v>0</v>
      </c>
      <c r="BK63" s="45">
        <f>_xlfn.IFS('Prepare Gantt Chart'!AO62=12,'Project types'!$L63*('Prepare Gantt Chart'!$I62*'Prepare Gantt Chart'!$J62),'Prepare Gantt Chart'!AO62=11,'Project types'!$L63*('Prepare Gantt Chart'!$I62*'Prepare Gantt Chart'!$J62),'Prepare Gantt Chart'!AO62=0,0)</f>
        <v>0</v>
      </c>
      <c r="BL63" s="46">
        <f t="shared" si="1"/>
        <v>0</v>
      </c>
      <c r="BM63" s="75">
        <f>IF('Prepare Gantt Chart'!$J62=0,0,SUM(AL63:AQ63)/6/'Prepare Gantt Chart'!$J62)</f>
        <v>0</v>
      </c>
      <c r="BN63" s="75">
        <f>IF('Prepare Gantt Chart'!$J62=0,0,SUM(AR63:AV63)/5/'Prepare Gantt Chart'!$J62)</f>
        <v>0</v>
      </c>
      <c r="BO63" s="75">
        <f>IF('Prepare Gantt Chart'!$J62=0,0,SUM(AW63:BA63)/5/'Prepare Gantt Chart'!$J62)</f>
        <v>0</v>
      </c>
      <c r="BP63" s="75">
        <f>IF('Prepare Gantt Chart'!$J62=0,0,SUM(BB63:BF63)/5/'Prepare Gantt Chart'!$J62)</f>
        <v>0</v>
      </c>
      <c r="BQ63" s="75">
        <f>IF('Prepare Gantt Chart'!$J62=0,0,SUM(BG63:BK63)/5/'Prepare Gantt Chart'!$J62)</f>
        <v>0</v>
      </c>
    </row>
    <row r="64" spans="1:69" x14ac:dyDescent="0.2">
      <c r="A64" s="33" t="s">
        <v>56</v>
      </c>
      <c r="B64" s="1" t="s">
        <v>122</v>
      </c>
      <c r="C64" s="45">
        <f>_xlfn.IFS('Prepare Gantt Chart'!P63=12,'Project types'!$O64*('Prepare Gantt Chart'!$I63*'Prepare Gantt Chart'!$J63),'Prepare Gantt Chart'!P63=11,'Project types'!$Q64*('Prepare Gantt Chart'!$I63*'Prepare Gantt Chart'!$J63),'Prepare Gantt Chart'!P63=0,0)</f>
        <v>0</v>
      </c>
      <c r="D64" s="45">
        <f>_xlfn.IFS('Prepare Gantt Chart'!Q63=12,'Project types'!$O64*('Prepare Gantt Chart'!$I63*'Prepare Gantt Chart'!$J63),'Prepare Gantt Chart'!Q63=11,'Project types'!$Q64*('Prepare Gantt Chart'!$I63*'Prepare Gantt Chart'!$J63),'Prepare Gantt Chart'!Q63=0,0)</f>
        <v>0</v>
      </c>
      <c r="E64" s="45">
        <f>_xlfn.IFS('Prepare Gantt Chart'!R63=12,'Project types'!$O64*('Prepare Gantt Chart'!$I63*'Prepare Gantt Chart'!$J63),'Prepare Gantt Chart'!R63=11,'Project types'!$Q64*('Prepare Gantt Chart'!$I63*'Prepare Gantt Chart'!$J63),'Prepare Gantt Chart'!R63=0,0)</f>
        <v>0</v>
      </c>
      <c r="F64" s="45">
        <f>_xlfn.IFS('Prepare Gantt Chart'!S63=12,'Project types'!$O64*('Prepare Gantt Chart'!$I63*'Prepare Gantt Chart'!$J63),'Prepare Gantt Chart'!S63=11,'Project types'!$Q64*('Prepare Gantt Chart'!$I63*'Prepare Gantt Chart'!$J63),'Prepare Gantt Chart'!S63=0,0)</f>
        <v>0</v>
      </c>
      <c r="G64" s="45">
        <f>_xlfn.IFS('Prepare Gantt Chart'!T63=12,'Project types'!$O64*('Prepare Gantt Chart'!$I63*'Prepare Gantt Chart'!$J63),'Prepare Gantt Chart'!T63=11,'Project types'!$Q64*('Prepare Gantt Chart'!$I63*'Prepare Gantt Chart'!$J63),'Prepare Gantt Chart'!T63=0,0)</f>
        <v>0</v>
      </c>
      <c r="H64" s="45">
        <f>_xlfn.IFS('Prepare Gantt Chart'!U63=12,'Project types'!$O64*('Prepare Gantt Chart'!$I63*'Prepare Gantt Chart'!$J63),'Prepare Gantt Chart'!U63=11,'Project types'!$Q64*('Prepare Gantt Chart'!$I63*'Prepare Gantt Chart'!$J63),'Prepare Gantt Chart'!U63=0,0)</f>
        <v>0</v>
      </c>
      <c r="I64" s="45">
        <f>_xlfn.IFS('Prepare Gantt Chart'!V63=12,'Project types'!$O64*('Prepare Gantt Chart'!$I63*'Prepare Gantt Chart'!$J63),'Prepare Gantt Chart'!V63=11,'Project types'!$Q64*('Prepare Gantt Chart'!$I63*'Prepare Gantt Chart'!$J63),'Prepare Gantt Chart'!V63=0,0)</f>
        <v>0</v>
      </c>
      <c r="J64" s="45">
        <f>_xlfn.IFS('Prepare Gantt Chart'!W63=12,'Project types'!$O64*('Prepare Gantt Chart'!$I63*'Prepare Gantt Chart'!$J63),'Prepare Gantt Chart'!W63=11,'Project types'!$Q64*('Prepare Gantt Chart'!$I63*'Prepare Gantt Chart'!$J63),'Prepare Gantt Chart'!W63=0,0)</f>
        <v>0</v>
      </c>
      <c r="K64" s="45">
        <f>_xlfn.IFS('Prepare Gantt Chart'!X63=12,'Project types'!$O64*('Prepare Gantt Chart'!$I63*'Prepare Gantt Chart'!$J63),'Prepare Gantt Chart'!X63=11,'Project types'!$Q64*('Prepare Gantt Chart'!$I63*'Prepare Gantt Chart'!$J63),'Prepare Gantt Chart'!X63=0,0)</f>
        <v>0</v>
      </c>
      <c r="L64" s="45">
        <f>_xlfn.IFS('Prepare Gantt Chart'!Y63=12,'Project types'!$O64*('Prepare Gantt Chart'!$I63*'Prepare Gantt Chart'!$J63),'Prepare Gantt Chart'!Y63=11,'Project types'!$Q64*('Prepare Gantt Chart'!$I63*'Prepare Gantt Chart'!$J63),'Prepare Gantt Chart'!Y63=0,0)</f>
        <v>0</v>
      </c>
      <c r="M64" s="45">
        <f>_xlfn.IFS('Prepare Gantt Chart'!Z63=12,'Project types'!$O64*('Prepare Gantt Chart'!$I63*'Prepare Gantt Chart'!$J63),'Prepare Gantt Chart'!Z63=11,'Project types'!$Q64*('Prepare Gantt Chart'!$I63*'Prepare Gantt Chart'!$J63),'Prepare Gantt Chart'!Z63=0,0)</f>
        <v>0</v>
      </c>
      <c r="N64" s="45">
        <f>_xlfn.IFS('Prepare Gantt Chart'!AA63=12,'Project types'!$O64*('Prepare Gantt Chart'!$I63*'Prepare Gantt Chart'!$J63),'Prepare Gantt Chart'!AA63=11,'Project types'!$Q64*('Prepare Gantt Chart'!$I63*'Prepare Gantt Chart'!$J63),'Prepare Gantt Chart'!AA63=0,0)</f>
        <v>0</v>
      </c>
      <c r="O64" s="45">
        <f>_xlfn.IFS('Prepare Gantt Chart'!AB63=12,'Project types'!$O64*('Prepare Gantt Chart'!$I63*'Prepare Gantt Chart'!$J63),'Prepare Gantt Chart'!AB63=11,'Project types'!$Q64*('Prepare Gantt Chart'!$I63*'Prepare Gantt Chart'!$J63),'Prepare Gantt Chart'!AB63=0,0)</f>
        <v>0</v>
      </c>
      <c r="P64" s="45">
        <f>_xlfn.IFS('Prepare Gantt Chart'!AC63=12,'Project types'!$O64*('Prepare Gantt Chart'!$I63*'Prepare Gantt Chart'!$J63),'Prepare Gantt Chart'!AC63=11,'Project types'!$Q64*('Prepare Gantt Chart'!$I63*'Prepare Gantt Chart'!$J63),'Prepare Gantt Chart'!AC63=0,0)</f>
        <v>0</v>
      </c>
      <c r="Q64" s="45">
        <f>_xlfn.IFS('Prepare Gantt Chart'!AD63=12,'Project types'!$O64*('Prepare Gantt Chart'!$I63*'Prepare Gantt Chart'!$J63),'Prepare Gantt Chart'!AD63=11,'Project types'!$Q64*('Prepare Gantt Chart'!$I63*'Prepare Gantt Chart'!$J63),'Prepare Gantt Chart'!AD63=0,0)</f>
        <v>0</v>
      </c>
      <c r="R64" s="45">
        <f>_xlfn.IFS('Prepare Gantt Chart'!AE63=12,'Project types'!$O64*('Prepare Gantt Chart'!$I63*'Prepare Gantt Chart'!$J63),'Prepare Gantt Chart'!AE63=11,'Project types'!$Q64*('Prepare Gantt Chart'!$I63*'Prepare Gantt Chart'!$J63),'Prepare Gantt Chart'!AE63=0,0)</f>
        <v>0</v>
      </c>
      <c r="S64" s="45">
        <f>_xlfn.IFS('Prepare Gantt Chart'!AF63=12,'Project types'!$O64*('Prepare Gantt Chart'!$I63*'Prepare Gantt Chart'!$J63),'Prepare Gantt Chart'!AF63=11,'Project types'!$Q64*('Prepare Gantt Chart'!$I63*'Prepare Gantt Chart'!$J63),'Prepare Gantt Chart'!AF63=0,0)</f>
        <v>0</v>
      </c>
      <c r="T64" s="45">
        <f>_xlfn.IFS('Prepare Gantt Chart'!AG63=12,'Project types'!$O64*('Prepare Gantt Chart'!$I63*'Prepare Gantt Chart'!$J63),'Prepare Gantt Chart'!AG63=11,'Project types'!$Q64*('Prepare Gantt Chart'!$I63*'Prepare Gantt Chart'!$J63),'Prepare Gantt Chart'!AG63=0,0)</f>
        <v>0</v>
      </c>
      <c r="U64" s="45">
        <f>_xlfn.IFS('Prepare Gantt Chart'!AH63=12,'Project types'!$O64*('Prepare Gantt Chart'!$I63*'Prepare Gantt Chart'!$J63),'Prepare Gantt Chart'!AH63=11,'Project types'!$Q64*('Prepare Gantt Chart'!$I63*'Prepare Gantt Chart'!$J63),'Prepare Gantt Chart'!AH63=0,0)</f>
        <v>0</v>
      </c>
      <c r="V64" s="45">
        <f>_xlfn.IFS('Prepare Gantt Chart'!AI63=12,'Project types'!$O64*('Prepare Gantt Chart'!$I63*'Prepare Gantt Chart'!$J63),'Prepare Gantt Chart'!AI63=11,'Project types'!$Q64*('Prepare Gantt Chart'!$I63*'Prepare Gantt Chart'!$J63),'Prepare Gantt Chart'!AI63=0,0)</f>
        <v>0</v>
      </c>
      <c r="W64" s="45">
        <f>_xlfn.IFS('Prepare Gantt Chart'!AJ63=12,'Project types'!$O64*('Prepare Gantt Chart'!$I63*'Prepare Gantt Chart'!$J63),'Prepare Gantt Chart'!AJ63=11,'Project types'!$Q64*('Prepare Gantt Chart'!$I63*'Prepare Gantt Chart'!$J63),'Prepare Gantt Chart'!AJ63=0,0)</f>
        <v>0</v>
      </c>
      <c r="X64" s="45">
        <f>_xlfn.IFS('Prepare Gantt Chart'!AK63=12,'Project types'!$O64*('Prepare Gantt Chart'!$I63*'Prepare Gantt Chart'!$J63),'Prepare Gantt Chart'!AK63=11,'Project types'!$Q64*('Prepare Gantt Chart'!$I63*'Prepare Gantt Chart'!$J63),'Prepare Gantt Chart'!AK63=0,0)</f>
        <v>0</v>
      </c>
      <c r="Y64" s="45">
        <f>_xlfn.IFS('Prepare Gantt Chart'!AL63=12,'Project types'!$O64*('Prepare Gantt Chart'!$I63*'Prepare Gantt Chart'!$J63),'Prepare Gantt Chart'!AL63=11,'Project types'!$Q64*('Prepare Gantt Chart'!$I63*'Prepare Gantt Chart'!$J63),'Prepare Gantt Chart'!AL63=0,0)</f>
        <v>0</v>
      </c>
      <c r="Z64" s="45">
        <f>_xlfn.IFS('Prepare Gantt Chart'!AM63=12,'Project types'!$O64*('Prepare Gantt Chart'!$I63*'Prepare Gantt Chart'!$J63),'Prepare Gantt Chart'!AM63=11,'Project types'!$Q64*('Prepare Gantt Chart'!$I63*'Prepare Gantt Chart'!$J63),'Prepare Gantt Chart'!AM63=0,0)</f>
        <v>0</v>
      </c>
      <c r="AA64" s="45">
        <f>_xlfn.IFS('Prepare Gantt Chart'!AN63=12,'Project types'!$O64*('Prepare Gantt Chart'!$I63*'Prepare Gantt Chart'!$J63),'Prepare Gantt Chart'!AN63=11,'Project types'!$Q64*('Prepare Gantt Chart'!$I63*'Prepare Gantt Chart'!$J63),'Prepare Gantt Chart'!AN63=0,0)</f>
        <v>0</v>
      </c>
      <c r="AB64" s="45">
        <f>_xlfn.IFS('Prepare Gantt Chart'!AO63=12,'Project types'!$O64*('Prepare Gantt Chart'!$I63*'Prepare Gantt Chart'!$J63),'Prepare Gantt Chart'!AO63=11,'Project types'!$Q64*('Prepare Gantt Chart'!$I63*'Prepare Gantt Chart'!$J63),'Prepare Gantt Chart'!AO63=0,0)</f>
        <v>0</v>
      </c>
      <c r="AC64" s="45">
        <f>'Prepare Gantt Chart'!J63*'Prepare Gantt Chart'!I63*(AD64/26)</f>
        <v>0</v>
      </c>
      <c r="AD64" s="46">
        <f t="shared" si="0"/>
        <v>0</v>
      </c>
      <c r="AE64" s="72">
        <f>IF('Prepare Gantt Chart'!$J63=0,0,SUM(C64:H64)/6/'Prepare Gantt Chart'!$J63)</f>
        <v>0</v>
      </c>
      <c r="AF64" s="72">
        <f>IF('Prepare Gantt Chart'!$J63=0,0,SUM(I64:M64)/5/'Prepare Gantt Chart'!$J63)</f>
        <v>0</v>
      </c>
      <c r="AG64" s="72">
        <f>IF('Prepare Gantt Chart'!$J63=0,0,SUM(N64:R64)/5/'Prepare Gantt Chart'!$J63)</f>
        <v>0</v>
      </c>
      <c r="AH64" s="72">
        <f>IF('Prepare Gantt Chart'!$J63=0,0,SUM(S64:W64)/5/'Prepare Gantt Chart'!$J63)</f>
        <v>0</v>
      </c>
      <c r="AI64" s="72">
        <f>IF('Prepare Gantt Chart'!$J63=0,0,SUM(X64:AB64)/5/'Prepare Gantt Chart'!$J63)</f>
        <v>0</v>
      </c>
      <c r="AK64" s="33" t="s">
        <v>56</v>
      </c>
      <c r="AL64" s="45">
        <f>_xlfn.IFS('Prepare Gantt Chart'!P63=12,'Project types'!$L64*('Prepare Gantt Chart'!$I63*'Prepare Gantt Chart'!$J63),'Prepare Gantt Chart'!P63=11,'Project types'!$L64*('Prepare Gantt Chart'!$I63*'Prepare Gantt Chart'!$J63),'Prepare Gantt Chart'!P63=0,0)</f>
        <v>0</v>
      </c>
      <c r="AM64" s="45">
        <f>_xlfn.IFS('Prepare Gantt Chart'!Q63=12,'Project types'!$L64*('Prepare Gantt Chart'!$I63*'Prepare Gantt Chart'!$J63),'Prepare Gantt Chart'!Q63=11,'Project types'!$L64*('Prepare Gantt Chart'!$I63*'Prepare Gantt Chart'!$J63),'Prepare Gantt Chart'!Q63=0,0)</f>
        <v>0</v>
      </c>
      <c r="AN64" s="45">
        <f>_xlfn.IFS('Prepare Gantt Chart'!R63=12,'Project types'!$L64*('Prepare Gantt Chart'!$I63*'Prepare Gantt Chart'!$J63),'Prepare Gantt Chart'!R63=11,'Project types'!$L64*('Prepare Gantt Chart'!$I63*'Prepare Gantt Chart'!$J63),'Prepare Gantt Chart'!R63=0,0)</f>
        <v>0</v>
      </c>
      <c r="AO64" s="45">
        <f>_xlfn.IFS('Prepare Gantt Chart'!S63=12,'Project types'!$L64*('Prepare Gantt Chart'!$I63*'Prepare Gantt Chart'!$J63),'Prepare Gantt Chart'!S63=11,'Project types'!$L64*('Prepare Gantt Chart'!$I63*'Prepare Gantt Chart'!$J63),'Prepare Gantt Chart'!S63=0,0)</f>
        <v>0</v>
      </c>
      <c r="AP64" s="45">
        <f>_xlfn.IFS('Prepare Gantt Chart'!T63=12,'Project types'!$L64*('Prepare Gantt Chart'!$I63*'Prepare Gantt Chart'!$J63),'Prepare Gantt Chart'!T63=11,'Project types'!$L64*('Prepare Gantt Chart'!$I63*'Prepare Gantt Chart'!$J63),'Prepare Gantt Chart'!T63=0,0)</f>
        <v>0</v>
      </c>
      <c r="AQ64" s="45">
        <f>_xlfn.IFS('Prepare Gantt Chart'!U63=12,'Project types'!$L64*('Prepare Gantt Chart'!$I63*'Prepare Gantt Chart'!$J63),'Prepare Gantt Chart'!U63=11,'Project types'!$L64*('Prepare Gantt Chart'!$I63*'Prepare Gantt Chart'!$J63),'Prepare Gantt Chart'!U63=0,0)</f>
        <v>0</v>
      </c>
      <c r="AR64" s="45">
        <f>_xlfn.IFS('Prepare Gantt Chart'!V63=12,'Project types'!$L64*('Prepare Gantt Chart'!$I63*'Prepare Gantt Chart'!$J63),'Prepare Gantt Chart'!V63=11,'Project types'!$L64*('Prepare Gantt Chart'!$I63*'Prepare Gantt Chart'!$J63),'Prepare Gantt Chart'!V63=0,0)</f>
        <v>0</v>
      </c>
      <c r="AS64" s="45">
        <f>_xlfn.IFS('Prepare Gantt Chart'!W63=12,'Project types'!$L64*('Prepare Gantt Chart'!$I63*'Prepare Gantt Chart'!$J63),'Prepare Gantt Chart'!W63=11,'Project types'!$L64*('Prepare Gantt Chart'!$I63*'Prepare Gantt Chart'!$J63),'Prepare Gantt Chart'!W63=0,0)</f>
        <v>0</v>
      </c>
      <c r="AT64" s="45">
        <f>_xlfn.IFS('Prepare Gantt Chart'!X63=12,'Project types'!$L64*('Prepare Gantt Chart'!$I63*'Prepare Gantt Chart'!$J63),'Prepare Gantt Chart'!X63=11,'Project types'!$L64*('Prepare Gantt Chart'!$I63*'Prepare Gantt Chart'!$J63),'Prepare Gantt Chart'!X63=0,0)</f>
        <v>0</v>
      </c>
      <c r="AU64" s="45">
        <f>_xlfn.IFS('Prepare Gantt Chart'!Y63=12,'Project types'!$L64*('Prepare Gantt Chart'!$I63*'Prepare Gantt Chart'!$J63),'Prepare Gantt Chart'!Y63=11,'Project types'!$L64*('Prepare Gantt Chart'!$I63*'Prepare Gantt Chart'!$J63),'Prepare Gantt Chart'!Y63=0,0)</f>
        <v>0</v>
      </c>
      <c r="AV64" s="45">
        <f>_xlfn.IFS('Prepare Gantt Chart'!Z63=12,'Project types'!$L64*('Prepare Gantt Chart'!$I63*'Prepare Gantt Chart'!$J63),'Prepare Gantt Chart'!Z63=11,'Project types'!$L64*('Prepare Gantt Chart'!$I63*'Prepare Gantt Chart'!$J63),'Prepare Gantt Chart'!Z63=0,0)</f>
        <v>0</v>
      </c>
      <c r="AW64" s="45">
        <f>_xlfn.IFS('Prepare Gantt Chart'!AA63=12,'Project types'!$L64*('Prepare Gantt Chart'!$I63*'Prepare Gantt Chart'!$J63),'Prepare Gantt Chart'!AA63=11,'Project types'!$L64*('Prepare Gantt Chart'!$I63*'Prepare Gantt Chart'!$J63),'Prepare Gantt Chart'!AA63=0,0)</f>
        <v>0</v>
      </c>
      <c r="AX64" s="45">
        <f>_xlfn.IFS('Prepare Gantt Chart'!AB63=12,'Project types'!$L64*('Prepare Gantt Chart'!$I63*'Prepare Gantt Chart'!$J63),'Prepare Gantt Chart'!AB63=11,'Project types'!$L64*('Prepare Gantt Chart'!$I63*'Prepare Gantt Chart'!$J63),'Prepare Gantt Chart'!AB63=0,0)</f>
        <v>0</v>
      </c>
      <c r="AY64" s="45">
        <f>_xlfn.IFS('Prepare Gantt Chart'!AC63=12,'Project types'!$L64*('Prepare Gantt Chart'!$I63*'Prepare Gantt Chart'!$J63),'Prepare Gantt Chart'!AC63=11,'Project types'!$L64*('Prepare Gantt Chart'!$I63*'Prepare Gantt Chart'!$J63),'Prepare Gantt Chart'!AC63=0,0)</f>
        <v>0</v>
      </c>
      <c r="AZ64" s="45">
        <f>_xlfn.IFS('Prepare Gantt Chart'!AD63=12,'Project types'!$L64*('Prepare Gantt Chart'!$I63*'Prepare Gantt Chart'!$J63),'Prepare Gantt Chart'!AD63=11,'Project types'!$L64*('Prepare Gantt Chart'!$I63*'Prepare Gantt Chart'!$J63),'Prepare Gantt Chart'!AD63=0,0)</f>
        <v>0</v>
      </c>
      <c r="BA64" s="45">
        <f>_xlfn.IFS('Prepare Gantt Chart'!AE63=12,'Project types'!$L64*('Prepare Gantt Chart'!$I63*'Prepare Gantt Chart'!$J63),'Prepare Gantt Chart'!AE63=11,'Project types'!$L64*('Prepare Gantt Chart'!$I63*'Prepare Gantt Chart'!$J63),'Prepare Gantt Chart'!AE63=0,0)</f>
        <v>0</v>
      </c>
      <c r="BB64" s="45">
        <f>_xlfn.IFS('Prepare Gantt Chart'!AF63=12,'Project types'!$L64*('Prepare Gantt Chart'!$I63*'Prepare Gantt Chart'!$J63),'Prepare Gantt Chart'!AF63=11,'Project types'!$L64*('Prepare Gantt Chart'!$I63*'Prepare Gantt Chart'!$J63),'Prepare Gantt Chart'!AF63=0,0)</f>
        <v>0</v>
      </c>
      <c r="BC64" s="45">
        <f>_xlfn.IFS('Prepare Gantt Chart'!AG63=12,'Project types'!$L64*('Prepare Gantt Chart'!$I63*'Prepare Gantt Chart'!$J63),'Prepare Gantt Chart'!AG63=11,'Project types'!$L64*('Prepare Gantt Chart'!$I63*'Prepare Gantt Chart'!$J63),'Prepare Gantt Chart'!AG63=0,0)</f>
        <v>0</v>
      </c>
      <c r="BD64" s="45">
        <f>_xlfn.IFS('Prepare Gantt Chart'!AH63=12,'Project types'!$L64*('Prepare Gantt Chart'!$I63*'Prepare Gantt Chart'!$J63),'Prepare Gantt Chart'!AH63=11,'Project types'!$L64*('Prepare Gantt Chart'!$I63*'Prepare Gantt Chart'!$J63),'Prepare Gantt Chart'!AH63=0,0)</f>
        <v>0</v>
      </c>
      <c r="BE64" s="45">
        <f>_xlfn.IFS('Prepare Gantt Chart'!AI63=12,'Project types'!$L64*('Prepare Gantt Chart'!$I63*'Prepare Gantt Chart'!$J63),'Prepare Gantt Chart'!AI63=11,'Project types'!$L64*('Prepare Gantt Chart'!$I63*'Prepare Gantt Chart'!$J63),'Prepare Gantt Chart'!AI63=0,0)</f>
        <v>0</v>
      </c>
      <c r="BF64" s="45">
        <f>_xlfn.IFS('Prepare Gantt Chart'!AJ63=12,'Project types'!$L64*('Prepare Gantt Chart'!$I63*'Prepare Gantt Chart'!$J63),'Prepare Gantt Chart'!AJ63=11,'Project types'!$L64*('Prepare Gantt Chart'!$I63*'Prepare Gantt Chart'!$J63),'Prepare Gantt Chart'!AJ63=0,0)</f>
        <v>0</v>
      </c>
      <c r="BG64" s="45">
        <f>_xlfn.IFS('Prepare Gantt Chart'!AK63=12,'Project types'!$L64*('Prepare Gantt Chart'!$I63*'Prepare Gantt Chart'!$J63),'Prepare Gantt Chart'!AK63=11,'Project types'!$L64*('Prepare Gantt Chart'!$I63*'Prepare Gantt Chart'!$J63),'Prepare Gantt Chart'!AK63=0,0)</f>
        <v>0</v>
      </c>
      <c r="BH64" s="45">
        <f>_xlfn.IFS('Prepare Gantt Chart'!AL63=12,'Project types'!$L64*('Prepare Gantt Chart'!$I63*'Prepare Gantt Chart'!$J63),'Prepare Gantt Chart'!AL63=11,'Project types'!$L64*('Prepare Gantt Chart'!$I63*'Prepare Gantt Chart'!$J63),'Prepare Gantt Chart'!AL63=0,0)</f>
        <v>0</v>
      </c>
      <c r="BI64" s="45">
        <f>_xlfn.IFS('Prepare Gantt Chart'!AM63=12,'Project types'!$L64*('Prepare Gantt Chart'!$I63*'Prepare Gantt Chart'!$J63),'Prepare Gantt Chart'!AM63=11,'Project types'!$L64*('Prepare Gantt Chart'!$I63*'Prepare Gantt Chart'!$J63),'Prepare Gantt Chart'!AM63=0,0)</f>
        <v>0</v>
      </c>
      <c r="BJ64" s="45">
        <f>_xlfn.IFS('Prepare Gantt Chart'!AN63=12,'Project types'!$L64*('Prepare Gantt Chart'!$I63*'Prepare Gantt Chart'!$J63),'Prepare Gantt Chart'!AN63=11,'Project types'!$L64*('Prepare Gantt Chart'!$I63*'Prepare Gantt Chart'!$J63),'Prepare Gantt Chart'!AN63=0,0)</f>
        <v>0</v>
      </c>
      <c r="BK64" s="45">
        <f>_xlfn.IFS('Prepare Gantt Chart'!AO63=12,'Project types'!$L64*('Prepare Gantt Chart'!$I63*'Prepare Gantt Chart'!$J63),'Prepare Gantt Chart'!AO63=11,'Project types'!$L64*('Prepare Gantt Chart'!$I63*'Prepare Gantt Chart'!$J63),'Prepare Gantt Chart'!AO63=0,0)</f>
        <v>0</v>
      </c>
      <c r="BL64" s="46">
        <f t="shared" si="1"/>
        <v>0</v>
      </c>
      <c r="BM64" s="75">
        <f>IF('Prepare Gantt Chart'!$J63=0,0,SUM(AL64:AQ64)/6/'Prepare Gantt Chart'!$J63)</f>
        <v>0</v>
      </c>
      <c r="BN64" s="75">
        <f>IF('Prepare Gantt Chart'!$J63=0,0,SUM(AR64:AV64)/5/'Prepare Gantt Chart'!$J63)</f>
        <v>0</v>
      </c>
      <c r="BO64" s="75">
        <f>IF('Prepare Gantt Chart'!$J63=0,0,SUM(AW64:BA64)/5/'Prepare Gantt Chart'!$J63)</f>
        <v>0</v>
      </c>
      <c r="BP64" s="75">
        <f>IF('Prepare Gantt Chart'!$J63=0,0,SUM(BB64:BF64)/5/'Prepare Gantt Chart'!$J63)</f>
        <v>0</v>
      </c>
      <c r="BQ64" s="75">
        <f>IF('Prepare Gantt Chart'!$J63=0,0,SUM(BG64:BK64)/5/'Prepare Gantt Chart'!$J63)</f>
        <v>0</v>
      </c>
    </row>
    <row r="65" spans="1:69" x14ac:dyDescent="0.2">
      <c r="A65" s="33" t="s">
        <v>57</v>
      </c>
      <c r="B65" s="1" t="s">
        <v>141</v>
      </c>
      <c r="C65" s="45">
        <f>_xlfn.IFS('Prepare Gantt Chart'!P64=12,'Project types'!$O65*('Prepare Gantt Chart'!$I64*'Prepare Gantt Chart'!$J64),'Prepare Gantt Chart'!P64=11,'Project types'!$Q65*('Prepare Gantt Chart'!$I64*'Prepare Gantt Chart'!$J64),'Prepare Gantt Chart'!P64=0,0)</f>
        <v>0</v>
      </c>
      <c r="D65" s="45">
        <f>_xlfn.IFS('Prepare Gantt Chart'!Q64=12,'Project types'!$O65*('Prepare Gantt Chart'!$I64*'Prepare Gantt Chart'!$J64),'Prepare Gantt Chart'!Q64=11,'Project types'!$Q65*('Prepare Gantt Chart'!$I64*'Prepare Gantt Chart'!$J64),'Prepare Gantt Chart'!Q64=0,0)</f>
        <v>0</v>
      </c>
      <c r="E65" s="45">
        <f>_xlfn.IFS('Prepare Gantt Chart'!R64=12,'Project types'!$O65*('Prepare Gantt Chart'!$I64*'Prepare Gantt Chart'!$J64),'Prepare Gantt Chart'!R64=11,'Project types'!$Q65*('Prepare Gantt Chart'!$I64*'Prepare Gantt Chart'!$J64),'Prepare Gantt Chart'!R64=0,0)</f>
        <v>0</v>
      </c>
      <c r="F65" s="45">
        <f>_xlfn.IFS('Prepare Gantt Chart'!S64=12,'Project types'!$O65*('Prepare Gantt Chart'!$I64*'Prepare Gantt Chart'!$J64),'Prepare Gantt Chart'!S64=11,'Project types'!$Q65*('Prepare Gantt Chart'!$I64*'Prepare Gantt Chart'!$J64),'Prepare Gantt Chart'!S64=0,0)</f>
        <v>0</v>
      </c>
      <c r="G65" s="45">
        <f>_xlfn.IFS('Prepare Gantt Chart'!T64=12,'Project types'!$O65*('Prepare Gantt Chart'!$I64*'Prepare Gantt Chart'!$J64),'Prepare Gantt Chart'!T64=11,'Project types'!$Q65*('Prepare Gantt Chart'!$I64*'Prepare Gantt Chart'!$J64),'Prepare Gantt Chart'!T64=0,0)</f>
        <v>0</v>
      </c>
      <c r="H65" s="45">
        <f>_xlfn.IFS('Prepare Gantt Chart'!U64=12,'Project types'!$O65*('Prepare Gantt Chart'!$I64*'Prepare Gantt Chart'!$J64),'Prepare Gantt Chart'!U64=11,'Project types'!$Q65*('Prepare Gantt Chart'!$I64*'Prepare Gantt Chart'!$J64),'Prepare Gantt Chart'!U64=0,0)</f>
        <v>0</v>
      </c>
      <c r="I65" s="45">
        <f>_xlfn.IFS('Prepare Gantt Chart'!V64=12,'Project types'!$O65*('Prepare Gantt Chart'!$I64*'Prepare Gantt Chart'!$J64),'Prepare Gantt Chart'!V64=11,'Project types'!$Q65*('Prepare Gantt Chart'!$I64*'Prepare Gantt Chart'!$J64),'Prepare Gantt Chart'!V64=0,0)</f>
        <v>0</v>
      </c>
      <c r="J65" s="45">
        <f>_xlfn.IFS('Prepare Gantt Chart'!W64=12,'Project types'!$O65*('Prepare Gantt Chart'!$I64*'Prepare Gantt Chart'!$J64),'Prepare Gantt Chart'!W64=11,'Project types'!$Q65*('Prepare Gantt Chart'!$I64*'Prepare Gantt Chart'!$J64),'Prepare Gantt Chart'!W64=0,0)</f>
        <v>0</v>
      </c>
      <c r="K65" s="45">
        <f>_xlfn.IFS('Prepare Gantt Chart'!X64=12,'Project types'!$O65*('Prepare Gantt Chart'!$I64*'Prepare Gantt Chart'!$J64),'Prepare Gantt Chart'!X64=11,'Project types'!$Q65*('Prepare Gantt Chart'!$I64*'Prepare Gantt Chart'!$J64),'Prepare Gantt Chart'!X64=0,0)</f>
        <v>0</v>
      </c>
      <c r="L65" s="45">
        <f>_xlfn.IFS('Prepare Gantt Chart'!Y64=12,'Project types'!$O65*('Prepare Gantt Chart'!$I64*'Prepare Gantt Chart'!$J64),'Prepare Gantt Chart'!Y64=11,'Project types'!$Q65*('Prepare Gantt Chart'!$I64*'Prepare Gantt Chart'!$J64),'Prepare Gantt Chart'!Y64=0,0)</f>
        <v>0</v>
      </c>
      <c r="M65" s="45">
        <f>_xlfn.IFS('Prepare Gantt Chart'!Z64=12,'Project types'!$O65*('Prepare Gantt Chart'!$I64*'Prepare Gantt Chart'!$J64),'Prepare Gantt Chart'!Z64=11,'Project types'!$Q65*('Prepare Gantt Chart'!$I64*'Prepare Gantt Chart'!$J64),'Prepare Gantt Chart'!Z64=0,0)</f>
        <v>0</v>
      </c>
      <c r="N65" s="45">
        <f>_xlfn.IFS('Prepare Gantt Chart'!AA64=12,'Project types'!$O65*('Prepare Gantt Chart'!$I64*'Prepare Gantt Chart'!$J64),'Prepare Gantt Chart'!AA64=11,'Project types'!$Q65*('Prepare Gantt Chart'!$I64*'Prepare Gantt Chart'!$J64),'Prepare Gantt Chart'!AA64=0,0)</f>
        <v>0</v>
      </c>
      <c r="O65" s="45">
        <f>_xlfn.IFS('Prepare Gantt Chart'!AB64=12,'Project types'!$O65*('Prepare Gantt Chart'!$I64*'Prepare Gantt Chart'!$J64),'Prepare Gantt Chart'!AB64=11,'Project types'!$Q65*('Prepare Gantt Chart'!$I64*'Prepare Gantt Chart'!$J64),'Prepare Gantt Chart'!AB64=0,0)</f>
        <v>0</v>
      </c>
      <c r="P65" s="45">
        <f>_xlfn.IFS('Prepare Gantt Chart'!AC64=12,'Project types'!$O65*('Prepare Gantt Chart'!$I64*'Prepare Gantt Chart'!$J64),'Prepare Gantt Chart'!AC64=11,'Project types'!$Q65*('Prepare Gantt Chart'!$I64*'Prepare Gantt Chart'!$J64),'Prepare Gantt Chart'!AC64=0,0)</f>
        <v>0</v>
      </c>
      <c r="Q65" s="45">
        <f>_xlfn.IFS('Prepare Gantt Chart'!AD64=12,'Project types'!$O65*('Prepare Gantt Chart'!$I64*'Prepare Gantt Chart'!$J64),'Prepare Gantt Chart'!AD64=11,'Project types'!$Q65*('Prepare Gantt Chart'!$I64*'Prepare Gantt Chart'!$J64),'Prepare Gantt Chart'!AD64=0,0)</f>
        <v>0</v>
      </c>
      <c r="R65" s="45">
        <f>_xlfn.IFS('Prepare Gantt Chart'!AE64=12,'Project types'!$O65*('Prepare Gantt Chart'!$I64*'Prepare Gantt Chart'!$J64),'Prepare Gantt Chart'!AE64=11,'Project types'!$Q65*('Prepare Gantt Chart'!$I64*'Prepare Gantt Chart'!$J64),'Prepare Gantt Chart'!AE64=0,0)</f>
        <v>0</v>
      </c>
      <c r="S65" s="45">
        <f>_xlfn.IFS('Prepare Gantt Chart'!AF64=12,'Project types'!$O65*('Prepare Gantt Chart'!$I64*'Prepare Gantt Chart'!$J64),'Prepare Gantt Chart'!AF64=11,'Project types'!$Q65*('Prepare Gantt Chart'!$I64*'Prepare Gantt Chart'!$J64),'Prepare Gantt Chart'!AF64=0,0)</f>
        <v>0</v>
      </c>
      <c r="T65" s="45">
        <f>_xlfn.IFS('Prepare Gantt Chart'!AG64=12,'Project types'!$O65*('Prepare Gantt Chart'!$I64*'Prepare Gantt Chart'!$J64),'Prepare Gantt Chart'!AG64=11,'Project types'!$Q65*('Prepare Gantt Chart'!$I64*'Prepare Gantt Chart'!$J64),'Prepare Gantt Chart'!AG64=0,0)</f>
        <v>0</v>
      </c>
      <c r="U65" s="45">
        <f>_xlfn.IFS('Prepare Gantt Chart'!AH64=12,'Project types'!$O65*('Prepare Gantt Chart'!$I64*'Prepare Gantt Chart'!$J64),'Prepare Gantt Chart'!AH64=11,'Project types'!$Q65*('Prepare Gantt Chart'!$I64*'Prepare Gantt Chart'!$J64),'Prepare Gantt Chart'!AH64=0,0)</f>
        <v>0</v>
      </c>
      <c r="V65" s="45">
        <f>_xlfn.IFS('Prepare Gantt Chart'!AI64=12,'Project types'!$O65*('Prepare Gantt Chart'!$I64*'Prepare Gantt Chart'!$J64),'Prepare Gantt Chart'!AI64=11,'Project types'!$Q65*('Prepare Gantt Chart'!$I64*'Prepare Gantt Chart'!$J64),'Prepare Gantt Chart'!AI64=0,0)</f>
        <v>0</v>
      </c>
      <c r="W65" s="45">
        <f>_xlfn.IFS('Prepare Gantt Chart'!AJ64=12,'Project types'!$O65*('Prepare Gantt Chart'!$I64*'Prepare Gantt Chart'!$J64),'Prepare Gantt Chart'!AJ64=11,'Project types'!$Q65*('Prepare Gantt Chart'!$I64*'Prepare Gantt Chart'!$J64),'Prepare Gantt Chart'!AJ64=0,0)</f>
        <v>0</v>
      </c>
      <c r="X65" s="45">
        <f>_xlfn.IFS('Prepare Gantt Chart'!AK64=12,'Project types'!$O65*('Prepare Gantt Chart'!$I64*'Prepare Gantt Chart'!$J64),'Prepare Gantt Chart'!AK64=11,'Project types'!$Q65*('Prepare Gantt Chart'!$I64*'Prepare Gantt Chart'!$J64),'Prepare Gantt Chart'!AK64=0,0)</f>
        <v>0</v>
      </c>
      <c r="Y65" s="45">
        <f>_xlfn.IFS('Prepare Gantt Chart'!AL64=12,'Project types'!$O65*('Prepare Gantt Chart'!$I64*'Prepare Gantt Chart'!$J64),'Prepare Gantt Chart'!AL64=11,'Project types'!$Q65*('Prepare Gantt Chart'!$I64*'Prepare Gantt Chart'!$J64),'Prepare Gantt Chart'!AL64=0,0)</f>
        <v>0</v>
      </c>
      <c r="Z65" s="45">
        <f>_xlfn.IFS('Prepare Gantt Chart'!AM64=12,'Project types'!$O65*('Prepare Gantt Chart'!$I64*'Prepare Gantt Chart'!$J64),'Prepare Gantt Chart'!AM64=11,'Project types'!$Q65*('Prepare Gantt Chart'!$I64*'Prepare Gantt Chart'!$J64),'Prepare Gantt Chart'!AM64=0,0)</f>
        <v>0</v>
      </c>
      <c r="AA65" s="45">
        <f>_xlfn.IFS('Prepare Gantt Chart'!AN64=12,'Project types'!$O65*('Prepare Gantt Chart'!$I64*'Prepare Gantt Chart'!$J64),'Prepare Gantt Chart'!AN64=11,'Project types'!$Q65*('Prepare Gantt Chart'!$I64*'Prepare Gantt Chart'!$J64),'Prepare Gantt Chart'!AN64=0,0)</f>
        <v>0</v>
      </c>
      <c r="AB65" s="45">
        <f>_xlfn.IFS('Prepare Gantt Chart'!AO64=12,'Project types'!$O65*('Prepare Gantt Chart'!$I64*'Prepare Gantt Chart'!$J64),'Prepare Gantt Chart'!AO64=11,'Project types'!$Q65*('Prepare Gantt Chart'!$I64*'Prepare Gantt Chart'!$J64),'Prepare Gantt Chart'!AO64=0,0)</f>
        <v>0</v>
      </c>
      <c r="AC65" s="45">
        <f>'Prepare Gantt Chart'!J64*'Prepare Gantt Chart'!I64*(AD65/26)</f>
        <v>0</v>
      </c>
      <c r="AD65" s="46">
        <f t="shared" si="0"/>
        <v>0</v>
      </c>
      <c r="AE65" s="72">
        <f>IF('Prepare Gantt Chart'!$J64=0,0,SUM(C65:H65)/6/'Prepare Gantt Chart'!$J64)</f>
        <v>0</v>
      </c>
      <c r="AF65" s="72">
        <f>IF('Prepare Gantt Chart'!$J64=0,0,SUM(I65:M65)/5/'Prepare Gantt Chart'!$J64)</f>
        <v>0</v>
      </c>
      <c r="AG65" s="72">
        <f>IF('Prepare Gantt Chart'!$J64=0,0,SUM(N65:R65)/5/'Prepare Gantt Chart'!$J64)</f>
        <v>0</v>
      </c>
      <c r="AH65" s="72">
        <f>IF('Prepare Gantt Chart'!$J64=0,0,SUM(S65:W65)/5/'Prepare Gantt Chart'!$J64)</f>
        <v>0</v>
      </c>
      <c r="AI65" s="72">
        <f>IF('Prepare Gantt Chart'!$J64=0,0,SUM(X65:AB65)/5/'Prepare Gantt Chart'!$J64)</f>
        <v>0</v>
      </c>
      <c r="AK65" s="33" t="s">
        <v>57</v>
      </c>
      <c r="AL65" s="45">
        <f>_xlfn.IFS('Prepare Gantt Chart'!P64=12,'Project types'!$L65*('Prepare Gantt Chart'!$I64*'Prepare Gantt Chart'!$J64),'Prepare Gantt Chart'!P64=11,'Project types'!$L65*('Prepare Gantt Chart'!$I64*'Prepare Gantt Chart'!$J64),'Prepare Gantt Chart'!P64=0,0)</f>
        <v>0</v>
      </c>
      <c r="AM65" s="45">
        <f>_xlfn.IFS('Prepare Gantt Chart'!Q64=12,'Project types'!$L65*('Prepare Gantt Chart'!$I64*'Prepare Gantt Chart'!$J64),'Prepare Gantt Chart'!Q64=11,'Project types'!$L65*('Prepare Gantt Chart'!$I64*'Prepare Gantt Chart'!$J64),'Prepare Gantt Chart'!Q64=0,0)</f>
        <v>0</v>
      </c>
      <c r="AN65" s="45">
        <f>_xlfn.IFS('Prepare Gantt Chart'!R64=12,'Project types'!$L65*('Prepare Gantt Chart'!$I64*'Prepare Gantt Chart'!$J64),'Prepare Gantt Chart'!R64=11,'Project types'!$L65*('Prepare Gantt Chart'!$I64*'Prepare Gantt Chart'!$J64),'Prepare Gantt Chart'!R64=0,0)</f>
        <v>0</v>
      </c>
      <c r="AO65" s="45">
        <f>_xlfn.IFS('Prepare Gantt Chart'!S64=12,'Project types'!$L65*('Prepare Gantt Chart'!$I64*'Prepare Gantt Chart'!$J64),'Prepare Gantt Chart'!S64=11,'Project types'!$L65*('Prepare Gantt Chart'!$I64*'Prepare Gantt Chart'!$J64),'Prepare Gantt Chart'!S64=0,0)</f>
        <v>0</v>
      </c>
      <c r="AP65" s="45">
        <f>_xlfn.IFS('Prepare Gantt Chart'!T64=12,'Project types'!$L65*('Prepare Gantt Chart'!$I64*'Prepare Gantt Chart'!$J64),'Prepare Gantt Chart'!T64=11,'Project types'!$L65*('Prepare Gantt Chart'!$I64*'Prepare Gantt Chart'!$J64),'Prepare Gantt Chart'!T64=0,0)</f>
        <v>0</v>
      </c>
      <c r="AQ65" s="45">
        <f>_xlfn.IFS('Prepare Gantt Chart'!U64=12,'Project types'!$L65*('Prepare Gantt Chart'!$I64*'Prepare Gantt Chart'!$J64),'Prepare Gantt Chart'!U64=11,'Project types'!$L65*('Prepare Gantt Chart'!$I64*'Prepare Gantt Chart'!$J64),'Prepare Gantt Chart'!U64=0,0)</f>
        <v>0</v>
      </c>
      <c r="AR65" s="45">
        <f>_xlfn.IFS('Prepare Gantt Chart'!V64=12,'Project types'!$L65*('Prepare Gantt Chart'!$I64*'Prepare Gantt Chart'!$J64),'Prepare Gantt Chart'!V64=11,'Project types'!$L65*('Prepare Gantt Chart'!$I64*'Prepare Gantt Chart'!$J64),'Prepare Gantt Chart'!V64=0,0)</f>
        <v>0</v>
      </c>
      <c r="AS65" s="45">
        <f>_xlfn.IFS('Prepare Gantt Chart'!W64=12,'Project types'!$L65*('Prepare Gantt Chart'!$I64*'Prepare Gantt Chart'!$J64),'Prepare Gantt Chart'!W64=11,'Project types'!$L65*('Prepare Gantt Chart'!$I64*'Prepare Gantt Chart'!$J64),'Prepare Gantt Chart'!W64=0,0)</f>
        <v>0</v>
      </c>
      <c r="AT65" s="45">
        <f>_xlfn.IFS('Prepare Gantt Chart'!X64=12,'Project types'!$L65*('Prepare Gantt Chart'!$I64*'Prepare Gantt Chart'!$J64),'Prepare Gantt Chart'!X64=11,'Project types'!$L65*('Prepare Gantt Chart'!$I64*'Prepare Gantt Chart'!$J64),'Prepare Gantt Chart'!X64=0,0)</f>
        <v>0</v>
      </c>
      <c r="AU65" s="45">
        <f>_xlfn.IFS('Prepare Gantt Chart'!Y64=12,'Project types'!$L65*('Prepare Gantt Chart'!$I64*'Prepare Gantt Chart'!$J64),'Prepare Gantt Chart'!Y64=11,'Project types'!$L65*('Prepare Gantt Chart'!$I64*'Prepare Gantt Chart'!$J64),'Prepare Gantt Chart'!Y64=0,0)</f>
        <v>0</v>
      </c>
      <c r="AV65" s="45">
        <f>_xlfn.IFS('Prepare Gantt Chart'!Z64=12,'Project types'!$L65*('Prepare Gantt Chart'!$I64*'Prepare Gantt Chart'!$J64),'Prepare Gantt Chart'!Z64=11,'Project types'!$L65*('Prepare Gantt Chart'!$I64*'Prepare Gantt Chart'!$J64),'Prepare Gantt Chart'!Z64=0,0)</f>
        <v>0</v>
      </c>
      <c r="AW65" s="45">
        <f>_xlfn.IFS('Prepare Gantt Chart'!AA64=12,'Project types'!$L65*('Prepare Gantt Chart'!$I64*'Prepare Gantt Chart'!$J64),'Prepare Gantt Chart'!AA64=11,'Project types'!$L65*('Prepare Gantt Chart'!$I64*'Prepare Gantt Chart'!$J64),'Prepare Gantt Chart'!AA64=0,0)</f>
        <v>0</v>
      </c>
      <c r="AX65" s="45">
        <f>_xlfn.IFS('Prepare Gantt Chart'!AB64=12,'Project types'!$L65*('Prepare Gantt Chart'!$I64*'Prepare Gantt Chart'!$J64),'Prepare Gantt Chart'!AB64=11,'Project types'!$L65*('Prepare Gantt Chart'!$I64*'Prepare Gantt Chart'!$J64),'Prepare Gantt Chart'!AB64=0,0)</f>
        <v>0</v>
      </c>
      <c r="AY65" s="45">
        <f>_xlfn.IFS('Prepare Gantt Chart'!AC64=12,'Project types'!$L65*('Prepare Gantt Chart'!$I64*'Prepare Gantt Chart'!$J64),'Prepare Gantt Chart'!AC64=11,'Project types'!$L65*('Prepare Gantt Chart'!$I64*'Prepare Gantt Chart'!$J64),'Prepare Gantt Chart'!AC64=0,0)</f>
        <v>0</v>
      </c>
      <c r="AZ65" s="45">
        <f>_xlfn.IFS('Prepare Gantt Chart'!AD64=12,'Project types'!$L65*('Prepare Gantt Chart'!$I64*'Prepare Gantt Chart'!$J64),'Prepare Gantt Chart'!AD64=11,'Project types'!$L65*('Prepare Gantt Chart'!$I64*'Prepare Gantt Chart'!$J64),'Prepare Gantt Chart'!AD64=0,0)</f>
        <v>0</v>
      </c>
      <c r="BA65" s="45">
        <f>_xlfn.IFS('Prepare Gantt Chart'!AE64=12,'Project types'!$L65*('Prepare Gantt Chart'!$I64*'Prepare Gantt Chart'!$J64),'Prepare Gantt Chart'!AE64=11,'Project types'!$L65*('Prepare Gantt Chart'!$I64*'Prepare Gantt Chart'!$J64),'Prepare Gantt Chart'!AE64=0,0)</f>
        <v>0</v>
      </c>
      <c r="BB65" s="45">
        <f>_xlfn.IFS('Prepare Gantt Chart'!AF64=12,'Project types'!$L65*('Prepare Gantt Chart'!$I64*'Prepare Gantt Chart'!$J64),'Prepare Gantt Chart'!AF64=11,'Project types'!$L65*('Prepare Gantt Chart'!$I64*'Prepare Gantt Chart'!$J64),'Prepare Gantt Chart'!AF64=0,0)</f>
        <v>0</v>
      </c>
      <c r="BC65" s="45">
        <f>_xlfn.IFS('Prepare Gantt Chart'!AG64=12,'Project types'!$L65*('Prepare Gantt Chart'!$I64*'Prepare Gantt Chart'!$J64),'Prepare Gantt Chart'!AG64=11,'Project types'!$L65*('Prepare Gantt Chart'!$I64*'Prepare Gantt Chart'!$J64),'Prepare Gantt Chart'!AG64=0,0)</f>
        <v>0</v>
      </c>
      <c r="BD65" s="45">
        <f>_xlfn.IFS('Prepare Gantt Chart'!AH64=12,'Project types'!$L65*('Prepare Gantt Chart'!$I64*'Prepare Gantt Chart'!$J64),'Prepare Gantt Chart'!AH64=11,'Project types'!$L65*('Prepare Gantt Chart'!$I64*'Prepare Gantt Chart'!$J64),'Prepare Gantt Chart'!AH64=0,0)</f>
        <v>0</v>
      </c>
      <c r="BE65" s="45">
        <f>_xlfn.IFS('Prepare Gantt Chart'!AI64=12,'Project types'!$L65*('Prepare Gantt Chart'!$I64*'Prepare Gantt Chart'!$J64),'Prepare Gantt Chart'!AI64=11,'Project types'!$L65*('Prepare Gantt Chart'!$I64*'Prepare Gantt Chart'!$J64),'Prepare Gantt Chart'!AI64=0,0)</f>
        <v>0</v>
      </c>
      <c r="BF65" s="45">
        <f>_xlfn.IFS('Prepare Gantt Chart'!AJ64=12,'Project types'!$L65*('Prepare Gantt Chart'!$I64*'Prepare Gantt Chart'!$J64),'Prepare Gantt Chart'!AJ64=11,'Project types'!$L65*('Prepare Gantt Chart'!$I64*'Prepare Gantt Chart'!$J64),'Prepare Gantt Chart'!AJ64=0,0)</f>
        <v>0</v>
      </c>
      <c r="BG65" s="45">
        <f>_xlfn.IFS('Prepare Gantt Chart'!AK64=12,'Project types'!$L65*('Prepare Gantt Chart'!$I64*'Prepare Gantt Chart'!$J64),'Prepare Gantt Chart'!AK64=11,'Project types'!$L65*('Prepare Gantt Chart'!$I64*'Prepare Gantt Chart'!$J64),'Prepare Gantt Chart'!AK64=0,0)</f>
        <v>0</v>
      </c>
      <c r="BH65" s="45">
        <f>_xlfn.IFS('Prepare Gantt Chart'!AL64=12,'Project types'!$L65*('Prepare Gantt Chart'!$I64*'Prepare Gantt Chart'!$J64),'Prepare Gantt Chart'!AL64=11,'Project types'!$L65*('Prepare Gantt Chart'!$I64*'Prepare Gantt Chart'!$J64),'Prepare Gantt Chart'!AL64=0,0)</f>
        <v>0</v>
      </c>
      <c r="BI65" s="45">
        <f>_xlfn.IFS('Prepare Gantt Chart'!AM64=12,'Project types'!$L65*('Prepare Gantt Chart'!$I64*'Prepare Gantt Chart'!$J64),'Prepare Gantt Chart'!AM64=11,'Project types'!$L65*('Prepare Gantt Chart'!$I64*'Prepare Gantt Chart'!$J64),'Prepare Gantt Chart'!AM64=0,0)</f>
        <v>0</v>
      </c>
      <c r="BJ65" s="45">
        <f>_xlfn.IFS('Prepare Gantt Chart'!AN64=12,'Project types'!$L65*('Prepare Gantt Chart'!$I64*'Prepare Gantt Chart'!$J64),'Prepare Gantt Chart'!AN64=11,'Project types'!$L65*('Prepare Gantt Chart'!$I64*'Prepare Gantt Chart'!$J64),'Prepare Gantt Chart'!AN64=0,0)</f>
        <v>0</v>
      </c>
      <c r="BK65" s="45">
        <f>_xlfn.IFS('Prepare Gantt Chart'!AO64=12,'Project types'!$L65*('Prepare Gantt Chart'!$I64*'Prepare Gantt Chart'!$J64),'Prepare Gantt Chart'!AO64=11,'Project types'!$L65*('Prepare Gantt Chart'!$I64*'Prepare Gantt Chart'!$J64),'Prepare Gantt Chart'!AO64=0,0)</f>
        <v>0</v>
      </c>
      <c r="BL65" s="46">
        <f t="shared" si="1"/>
        <v>0</v>
      </c>
      <c r="BM65" s="75">
        <f>IF('Prepare Gantt Chart'!$J64=0,0,SUM(AL65:AQ65)/6/'Prepare Gantt Chart'!$J64)</f>
        <v>0</v>
      </c>
      <c r="BN65" s="75">
        <f>IF('Prepare Gantt Chart'!$J64=0,0,SUM(AR65:AV65)/5/'Prepare Gantt Chart'!$J64)</f>
        <v>0</v>
      </c>
      <c r="BO65" s="75">
        <f>IF('Prepare Gantt Chart'!$J64=0,0,SUM(AW65:BA65)/5/'Prepare Gantt Chart'!$J64)</f>
        <v>0</v>
      </c>
      <c r="BP65" s="75">
        <f>IF('Prepare Gantt Chart'!$J64=0,0,SUM(BB65:BF65)/5/'Prepare Gantt Chart'!$J64)</f>
        <v>0</v>
      </c>
      <c r="BQ65" s="75">
        <f>IF('Prepare Gantt Chart'!$J64=0,0,SUM(BG65:BK65)/5/'Prepare Gantt Chart'!$J64)</f>
        <v>0</v>
      </c>
    </row>
    <row r="66" spans="1:69" x14ac:dyDescent="0.2">
      <c r="A66" s="33" t="s">
        <v>58</v>
      </c>
      <c r="B66" s="1" t="s">
        <v>142</v>
      </c>
      <c r="C66" s="45">
        <f>_xlfn.IFS('Prepare Gantt Chart'!P65=12,'Project types'!$O66*('Prepare Gantt Chart'!$I65*'Prepare Gantt Chart'!$J65),'Prepare Gantt Chart'!P65=11,'Project types'!$Q66*('Prepare Gantt Chart'!$I65*'Prepare Gantt Chart'!$J65),'Prepare Gantt Chart'!P65=0,0)</f>
        <v>0</v>
      </c>
      <c r="D66" s="45">
        <f>_xlfn.IFS('Prepare Gantt Chart'!Q65=12,'Project types'!$O66*('Prepare Gantt Chart'!$I65*'Prepare Gantt Chart'!$J65),'Prepare Gantt Chart'!Q65=11,'Project types'!$Q66*('Prepare Gantt Chart'!$I65*'Prepare Gantt Chart'!$J65),'Prepare Gantt Chart'!Q65=0,0)</f>
        <v>0</v>
      </c>
      <c r="E66" s="45">
        <f>_xlfn.IFS('Prepare Gantt Chart'!R65=12,'Project types'!$O66*('Prepare Gantt Chart'!$I65*'Prepare Gantt Chart'!$J65),'Prepare Gantt Chart'!R65=11,'Project types'!$Q66*('Prepare Gantt Chart'!$I65*'Prepare Gantt Chart'!$J65),'Prepare Gantt Chart'!R65=0,0)</f>
        <v>0</v>
      </c>
      <c r="F66" s="45">
        <f>_xlfn.IFS('Prepare Gantt Chart'!S65=12,'Project types'!$O66*('Prepare Gantt Chart'!$I65*'Prepare Gantt Chart'!$J65),'Prepare Gantt Chart'!S65=11,'Project types'!$Q66*('Prepare Gantt Chart'!$I65*'Prepare Gantt Chart'!$J65),'Prepare Gantt Chart'!S65=0,0)</f>
        <v>0</v>
      </c>
      <c r="G66" s="45">
        <f>_xlfn.IFS('Prepare Gantt Chart'!T65=12,'Project types'!$O66*('Prepare Gantt Chart'!$I65*'Prepare Gantt Chart'!$J65),'Prepare Gantt Chart'!T65=11,'Project types'!$Q66*('Prepare Gantt Chart'!$I65*'Prepare Gantt Chart'!$J65),'Prepare Gantt Chart'!T65=0,0)</f>
        <v>0</v>
      </c>
      <c r="H66" s="45">
        <f>_xlfn.IFS('Prepare Gantt Chart'!U65=12,'Project types'!$O66*('Prepare Gantt Chart'!$I65*'Prepare Gantt Chart'!$J65),'Prepare Gantt Chart'!U65=11,'Project types'!$Q66*('Prepare Gantt Chart'!$I65*'Prepare Gantt Chart'!$J65),'Prepare Gantt Chart'!U65=0,0)</f>
        <v>0</v>
      </c>
      <c r="I66" s="45">
        <f>_xlfn.IFS('Prepare Gantt Chart'!V65=12,'Project types'!$O66*('Prepare Gantt Chart'!$I65*'Prepare Gantt Chart'!$J65),'Prepare Gantt Chart'!V65=11,'Project types'!$Q66*('Prepare Gantt Chart'!$I65*'Prepare Gantt Chart'!$J65),'Prepare Gantt Chart'!V65=0,0)</f>
        <v>0</v>
      </c>
      <c r="J66" s="45">
        <f>_xlfn.IFS('Prepare Gantt Chart'!W65=12,'Project types'!$O66*('Prepare Gantt Chart'!$I65*'Prepare Gantt Chart'!$J65),'Prepare Gantt Chart'!W65=11,'Project types'!$Q66*('Prepare Gantt Chart'!$I65*'Prepare Gantt Chart'!$J65),'Prepare Gantt Chart'!W65=0,0)</f>
        <v>0</v>
      </c>
      <c r="K66" s="45">
        <f>_xlfn.IFS('Prepare Gantt Chart'!X65=12,'Project types'!$O66*('Prepare Gantt Chart'!$I65*'Prepare Gantt Chart'!$J65),'Prepare Gantt Chart'!X65=11,'Project types'!$Q66*('Prepare Gantt Chart'!$I65*'Prepare Gantt Chart'!$J65),'Prepare Gantt Chart'!X65=0,0)</f>
        <v>0</v>
      </c>
      <c r="L66" s="45">
        <f>_xlfn.IFS('Prepare Gantt Chart'!Y65=12,'Project types'!$O66*('Prepare Gantt Chart'!$I65*'Prepare Gantt Chart'!$J65),'Prepare Gantt Chart'!Y65=11,'Project types'!$Q66*('Prepare Gantt Chart'!$I65*'Prepare Gantt Chart'!$J65),'Prepare Gantt Chart'!Y65=0,0)</f>
        <v>0</v>
      </c>
      <c r="M66" s="45">
        <f>_xlfn.IFS('Prepare Gantt Chart'!Z65=12,'Project types'!$O66*('Prepare Gantt Chart'!$I65*'Prepare Gantt Chart'!$J65),'Prepare Gantt Chart'!Z65=11,'Project types'!$Q66*('Prepare Gantt Chart'!$I65*'Prepare Gantt Chart'!$J65),'Prepare Gantt Chart'!Z65=0,0)</f>
        <v>0</v>
      </c>
      <c r="N66" s="45">
        <f>_xlfn.IFS('Prepare Gantt Chart'!AA65=12,'Project types'!$O66*('Prepare Gantt Chart'!$I65*'Prepare Gantt Chart'!$J65),'Prepare Gantt Chart'!AA65=11,'Project types'!$Q66*('Prepare Gantt Chart'!$I65*'Prepare Gantt Chart'!$J65),'Prepare Gantt Chart'!AA65=0,0)</f>
        <v>0</v>
      </c>
      <c r="O66" s="45">
        <f>_xlfn.IFS('Prepare Gantt Chart'!AB65=12,'Project types'!$O66*('Prepare Gantt Chart'!$I65*'Prepare Gantt Chart'!$J65),'Prepare Gantt Chart'!AB65=11,'Project types'!$Q66*('Prepare Gantt Chart'!$I65*'Prepare Gantt Chart'!$J65),'Prepare Gantt Chart'!AB65=0,0)</f>
        <v>0</v>
      </c>
      <c r="P66" s="45">
        <f>_xlfn.IFS('Prepare Gantt Chart'!AC65=12,'Project types'!$O66*('Prepare Gantt Chart'!$I65*'Prepare Gantt Chart'!$J65),'Prepare Gantt Chart'!AC65=11,'Project types'!$Q66*('Prepare Gantt Chart'!$I65*'Prepare Gantt Chart'!$J65),'Prepare Gantt Chart'!AC65=0,0)</f>
        <v>0</v>
      </c>
      <c r="Q66" s="45">
        <f>_xlfn.IFS('Prepare Gantt Chart'!AD65=12,'Project types'!$O66*('Prepare Gantt Chart'!$I65*'Prepare Gantt Chart'!$J65),'Prepare Gantt Chart'!AD65=11,'Project types'!$Q66*('Prepare Gantt Chart'!$I65*'Prepare Gantt Chart'!$J65),'Prepare Gantt Chart'!AD65=0,0)</f>
        <v>0</v>
      </c>
      <c r="R66" s="45">
        <f>_xlfn.IFS('Prepare Gantt Chart'!AE65=12,'Project types'!$O66*('Prepare Gantt Chart'!$I65*'Prepare Gantt Chart'!$J65),'Prepare Gantt Chart'!AE65=11,'Project types'!$Q66*('Prepare Gantt Chart'!$I65*'Prepare Gantt Chart'!$J65),'Prepare Gantt Chart'!AE65=0,0)</f>
        <v>0</v>
      </c>
      <c r="S66" s="45">
        <f>_xlfn.IFS('Prepare Gantt Chart'!AF65=12,'Project types'!$O66*('Prepare Gantt Chart'!$I65*'Prepare Gantt Chart'!$J65),'Prepare Gantt Chart'!AF65=11,'Project types'!$Q66*('Prepare Gantt Chart'!$I65*'Prepare Gantt Chart'!$J65),'Prepare Gantt Chart'!AF65=0,0)</f>
        <v>0</v>
      </c>
      <c r="T66" s="45">
        <f>_xlfn.IFS('Prepare Gantt Chart'!AG65=12,'Project types'!$O66*('Prepare Gantt Chart'!$I65*'Prepare Gantt Chart'!$J65),'Prepare Gantt Chart'!AG65=11,'Project types'!$Q66*('Prepare Gantt Chart'!$I65*'Prepare Gantt Chart'!$J65),'Prepare Gantt Chart'!AG65=0,0)</f>
        <v>0</v>
      </c>
      <c r="U66" s="45">
        <f>_xlfn.IFS('Prepare Gantt Chart'!AH65=12,'Project types'!$O66*('Prepare Gantt Chart'!$I65*'Prepare Gantt Chart'!$J65),'Prepare Gantt Chart'!AH65=11,'Project types'!$Q66*('Prepare Gantt Chart'!$I65*'Prepare Gantt Chart'!$J65),'Prepare Gantt Chart'!AH65=0,0)</f>
        <v>0</v>
      </c>
      <c r="V66" s="45">
        <f>_xlfn.IFS('Prepare Gantt Chart'!AI65=12,'Project types'!$O66*('Prepare Gantt Chart'!$I65*'Prepare Gantt Chart'!$J65),'Prepare Gantt Chart'!AI65=11,'Project types'!$Q66*('Prepare Gantt Chart'!$I65*'Prepare Gantt Chart'!$J65),'Prepare Gantt Chart'!AI65=0,0)</f>
        <v>0</v>
      </c>
      <c r="W66" s="45">
        <f>_xlfn.IFS('Prepare Gantt Chart'!AJ65=12,'Project types'!$O66*('Prepare Gantt Chart'!$I65*'Prepare Gantt Chart'!$J65),'Prepare Gantt Chart'!AJ65=11,'Project types'!$Q66*('Prepare Gantt Chart'!$I65*'Prepare Gantt Chart'!$J65),'Prepare Gantt Chart'!AJ65=0,0)</f>
        <v>0</v>
      </c>
      <c r="X66" s="45">
        <f>_xlfn.IFS('Prepare Gantt Chart'!AK65=12,'Project types'!$O66*('Prepare Gantt Chart'!$I65*'Prepare Gantt Chart'!$J65),'Prepare Gantt Chart'!AK65=11,'Project types'!$Q66*('Prepare Gantt Chart'!$I65*'Prepare Gantt Chart'!$J65),'Prepare Gantt Chart'!AK65=0,0)</f>
        <v>0</v>
      </c>
      <c r="Y66" s="45">
        <f>_xlfn.IFS('Prepare Gantt Chart'!AL65=12,'Project types'!$O66*('Prepare Gantt Chart'!$I65*'Prepare Gantt Chart'!$J65),'Prepare Gantt Chart'!AL65=11,'Project types'!$Q66*('Prepare Gantt Chart'!$I65*'Prepare Gantt Chart'!$J65),'Prepare Gantt Chart'!AL65=0,0)</f>
        <v>0</v>
      </c>
      <c r="Z66" s="45">
        <f>_xlfn.IFS('Prepare Gantt Chart'!AM65=12,'Project types'!$O66*('Prepare Gantt Chart'!$I65*'Prepare Gantt Chart'!$J65),'Prepare Gantt Chart'!AM65=11,'Project types'!$Q66*('Prepare Gantt Chart'!$I65*'Prepare Gantt Chart'!$J65),'Prepare Gantt Chart'!AM65=0,0)</f>
        <v>0</v>
      </c>
      <c r="AA66" s="45">
        <f>_xlfn.IFS('Prepare Gantt Chart'!AN65=12,'Project types'!$O66*('Prepare Gantt Chart'!$I65*'Prepare Gantt Chart'!$J65),'Prepare Gantt Chart'!AN65=11,'Project types'!$Q66*('Prepare Gantt Chart'!$I65*'Prepare Gantt Chart'!$J65),'Prepare Gantt Chart'!AN65=0,0)</f>
        <v>0</v>
      </c>
      <c r="AB66" s="45">
        <f>_xlfn.IFS('Prepare Gantt Chart'!AO65=12,'Project types'!$O66*('Prepare Gantt Chart'!$I65*'Prepare Gantt Chart'!$J65),'Prepare Gantt Chart'!AO65=11,'Project types'!$Q66*('Prepare Gantt Chart'!$I65*'Prepare Gantt Chart'!$J65),'Prepare Gantt Chart'!AO65=0,0)</f>
        <v>0</v>
      </c>
      <c r="AC66" s="45">
        <f>'Prepare Gantt Chart'!J65*'Prepare Gantt Chart'!I65*(AD66/26)</f>
        <v>0</v>
      </c>
      <c r="AD66" s="46">
        <f t="shared" si="0"/>
        <v>0</v>
      </c>
      <c r="AE66" s="72">
        <f>IF('Prepare Gantt Chart'!$J65=0,0,SUM(C66:H66)/6/'Prepare Gantt Chart'!$J65)</f>
        <v>0</v>
      </c>
      <c r="AF66" s="72">
        <f>IF('Prepare Gantt Chart'!$J65=0,0,SUM(I66:M66)/5/'Prepare Gantt Chart'!$J65)</f>
        <v>0</v>
      </c>
      <c r="AG66" s="72">
        <f>IF('Prepare Gantt Chart'!$J65=0,0,SUM(N66:R66)/5/'Prepare Gantt Chart'!$J65)</f>
        <v>0</v>
      </c>
      <c r="AH66" s="72">
        <f>IF('Prepare Gantt Chart'!$J65=0,0,SUM(S66:W66)/5/'Prepare Gantt Chart'!$J65)</f>
        <v>0</v>
      </c>
      <c r="AI66" s="72">
        <f>IF('Prepare Gantt Chart'!$J65=0,0,SUM(X66:AB66)/5/'Prepare Gantt Chart'!$J65)</f>
        <v>0</v>
      </c>
      <c r="AK66" s="33" t="s">
        <v>58</v>
      </c>
      <c r="AL66" s="45">
        <f>_xlfn.IFS('Prepare Gantt Chart'!P65=12,'Project types'!$L66*('Prepare Gantt Chart'!$I65*'Prepare Gantt Chart'!$J65),'Prepare Gantt Chart'!P65=11,'Project types'!$L66*('Prepare Gantt Chart'!$I65*'Prepare Gantt Chart'!$J65),'Prepare Gantt Chart'!P65=0,0)</f>
        <v>0</v>
      </c>
      <c r="AM66" s="45">
        <f>_xlfn.IFS('Prepare Gantt Chart'!Q65=12,'Project types'!$L66*('Prepare Gantt Chart'!$I65*'Prepare Gantt Chart'!$J65),'Prepare Gantt Chart'!Q65=11,'Project types'!$L66*('Prepare Gantt Chart'!$I65*'Prepare Gantt Chart'!$J65),'Prepare Gantt Chart'!Q65=0,0)</f>
        <v>0</v>
      </c>
      <c r="AN66" s="45">
        <f>_xlfn.IFS('Prepare Gantt Chart'!R65=12,'Project types'!$L66*('Prepare Gantt Chart'!$I65*'Prepare Gantt Chart'!$J65),'Prepare Gantt Chart'!R65=11,'Project types'!$L66*('Prepare Gantt Chart'!$I65*'Prepare Gantt Chart'!$J65),'Prepare Gantt Chart'!R65=0,0)</f>
        <v>0</v>
      </c>
      <c r="AO66" s="45">
        <f>_xlfn.IFS('Prepare Gantt Chart'!S65=12,'Project types'!$L66*('Prepare Gantt Chart'!$I65*'Prepare Gantt Chart'!$J65),'Prepare Gantt Chart'!S65=11,'Project types'!$L66*('Prepare Gantt Chart'!$I65*'Prepare Gantt Chart'!$J65),'Prepare Gantt Chart'!S65=0,0)</f>
        <v>0</v>
      </c>
      <c r="AP66" s="45">
        <f>_xlfn.IFS('Prepare Gantt Chart'!T65=12,'Project types'!$L66*('Prepare Gantt Chart'!$I65*'Prepare Gantt Chart'!$J65),'Prepare Gantt Chart'!T65=11,'Project types'!$L66*('Prepare Gantt Chart'!$I65*'Prepare Gantt Chart'!$J65),'Prepare Gantt Chart'!T65=0,0)</f>
        <v>0</v>
      </c>
      <c r="AQ66" s="45">
        <f>_xlfn.IFS('Prepare Gantt Chart'!U65=12,'Project types'!$L66*('Prepare Gantt Chart'!$I65*'Prepare Gantt Chart'!$J65),'Prepare Gantt Chart'!U65=11,'Project types'!$L66*('Prepare Gantt Chart'!$I65*'Prepare Gantt Chart'!$J65),'Prepare Gantt Chart'!U65=0,0)</f>
        <v>0</v>
      </c>
      <c r="AR66" s="45">
        <f>_xlfn.IFS('Prepare Gantt Chart'!V65=12,'Project types'!$L66*('Prepare Gantt Chart'!$I65*'Prepare Gantt Chart'!$J65),'Prepare Gantt Chart'!V65=11,'Project types'!$L66*('Prepare Gantt Chart'!$I65*'Prepare Gantt Chart'!$J65),'Prepare Gantt Chart'!V65=0,0)</f>
        <v>0</v>
      </c>
      <c r="AS66" s="45">
        <f>_xlfn.IFS('Prepare Gantt Chart'!W65=12,'Project types'!$L66*('Prepare Gantt Chart'!$I65*'Prepare Gantt Chart'!$J65),'Prepare Gantt Chart'!W65=11,'Project types'!$L66*('Prepare Gantt Chart'!$I65*'Prepare Gantt Chart'!$J65),'Prepare Gantt Chart'!W65=0,0)</f>
        <v>0</v>
      </c>
      <c r="AT66" s="45">
        <f>_xlfn.IFS('Prepare Gantt Chart'!X65=12,'Project types'!$L66*('Prepare Gantt Chart'!$I65*'Prepare Gantt Chart'!$J65),'Prepare Gantt Chart'!X65=11,'Project types'!$L66*('Prepare Gantt Chart'!$I65*'Prepare Gantt Chart'!$J65),'Prepare Gantt Chart'!X65=0,0)</f>
        <v>0</v>
      </c>
      <c r="AU66" s="45">
        <f>_xlfn.IFS('Prepare Gantt Chart'!Y65=12,'Project types'!$L66*('Prepare Gantt Chart'!$I65*'Prepare Gantt Chart'!$J65),'Prepare Gantt Chart'!Y65=11,'Project types'!$L66*('Prepare Gantt Chart'!$I65*'Prepare Gantt Chart'!$J65),'Prepare Gantt Chart'!Y65=0,0)</f>
        <v>0</v>
      </c>
      <c r="AV66" s="45">
        <f>_xlfn.IFS('Prepare Gantt Chart'!Z65=12,'Project types'!$L66*('Prepare Gantt Chart'!$I65*'Prepare Gantt Chart'!$J65),'Prepare Gantt Chart'!Z65=11,'Project types'!$L66*('Prepare Gantt Chart'!$I65*'Prepare Gantt Chart'!$J65),'Prepare Gantt Chart'!Z65=0,0)</f>
        <v>0</v>
      </c>
      <c r="AW66" s="45">
        <f>_xlfn.IFS('Prepare Gantt Chart'!AA65=12,'Project types'!$L66*('Prepare Gantt Chart'!$I65*'Prepare Gantt Chart'!$J65),'Prepare Gantt Chart'!AA65=11,'Project types'!$L66*('Prepare Gantt Chart'!$I65*'Prepare Gantt Chart'!$J65),'Prepare Gantt Chart'!AA65=0,0)</f>
        <v>0</v>
      </c>
      <c r="AX66" s="45">
        <f>_xlfn.IFS('Prepare Gantt Chart'!AB65=12,'Project types'!$L66*('Prepare Gantt Chart'!$I65*'Prepare Gantt Chart'!$J65),'Prepare Gantt Chart'!AB65=11,'Project types'!$L66*('Prepare Gantt Chart'!$I65*'Prepare Gantt Chart'!$J65),'Prepare Gantt Chart'!AB65=0,0)</f>
        <v>0</v>
      </c>
      <c r="AY66" s="45">
        <f>_xlfn.IFS('Prepare Gantt Chart'!AC65=12,'Project types'!$L66*('Prepare Gantt Chart'!$I65*'Prepare Gantt Chart'!$J65),'Prepare Gantt Chart'!AC65=11,'Project types'!$L66*('Prepare Gantt Chart'!$I65*'Prepare Gantt Chart'!$J65),'Prepare Gantt Chart'!AC65=0,0)</f>
        <v>0</v>
      </c>
      <c r="AZ66" s="45">
        <f>_xlfn.IFS('Prepare Gantt Chart'!AD65=12,'Project types'!$L66*('Prepare Gantt Chart'!$I65*'Prepare Gantt Chart'!$J65),'Prepare Gantt Chart'!AD65=11,'Project types'!$L66*('Prepare Gantt Chart'!$I65*'Prepare Gantt Chart'!$J65),'Prepare Gantt Chart'!AD65=0,0)</f>
        <v>0</v>
      </c>
      <c r="BA66" s="45">
        <f>_xlfn.IFS('Prepare Gantt Chart'!AE65=12,'Project types'!$L66*('Prepare Gantt Chart'!$I65*'Prepare Gantt Chart'!$J65),'Prepare Gantt Chart'!AE65=11,'Project types'!$L66*('Prepare Gantt Chart'!$I65*'Prepare Gantt Chart'!$J65),'Prepare Gantt Chart'!AE65=0,0)</f>
        <v>0</v>
      </c>
      <c r="BB66" s="45">
        <f>_xlfn.IFS('Prepare Gantt Chart'!AF65=12,'Project types'!$L66*('Prepare Gantt Chart'!$I65*'Prepare Gantt Chart'!$J65),'Prepare Gantt Chart'!AF65=11,'Project types'!$L66*('Prepare Gantt Chart'!$I65*'Prepare Gantt Chart'!$J65),'Prepare Gantt Chart'!AF65=0,0)</f>
        <v>0</v>
      </c>
      <c r="BC66" s="45">
        <f>_xlfn.IFS('Prepare Gantt Chart'!AG65=12,'Project types'!$L66*('Prepare Gantt Chart'!$I65*'Prepare Gantt Chart'!$J65),'Prepare Gantt Chart'!AG65=11,'Project types'!$L66*('Prepare Gantt Chart'!$I65*'Prepare Gantt Chart'!$J65),'Prepare Gantt Chart'!AG65=0,0)</f>
        <v>0</v>
      </c>
      <c r="BD66" s="45">
        <f>_xlfn.IFS('Prepare Gantt Chart'!AH65=12,'Project types'!$L66*('Prepare Gantt Chart'!$I65*'Prepare Gantt Chart'!$J65),'Prepare Gantt Chart'!AH65=11,'Project types'!$L66*('Prepare Gantt Chart'!$I65*'Prepare Gantt Chart'!$J65),'Prepare Gantt Chart'!AH65=0,0)</f>
        <v>0</v>
      </c>
      <c r="BE66" s="45">
        <f>_xlfn.IFS('Prepare Gantt Chart'!AI65=12,'Project types'!$L66*('Prepare Gantt Chart'!$I65*'Prepare Gantt Chart'!$J65),'Prepare Gantt Chart'!AI65=11,'Project types'!$L66*('Prepare Gantt Chart'!$I65*'Prepare Gantt Chart'!$J65),'Prepare Gantt Chart'!AI65=0,0)</f>
        <v>0</v>
      </c>
      <c r="BF66" s="45">
        <f>_xlfn.IFS('Prepare Gantt Chart'!AJ65=12,'Project types'!$L66*('Prepare Gantt Chart'!$I65*'Prepare Gantt Chart'!$J65),'Prepare Gantt Chart'!AJ65=11,'Project types'!$L66*('Prepare Gantt Chart'!$I65*'Prepare Gantt Chart'!$J65),'Prepare Gantt Chart'!AJ65=0,0)</f>
        <v>0</v>
      </c>
      <c r="BG66" s="45">
        <f>_xlfn.IFS('Prepare Gantt Chart'!AK65=12,'Project types'!$L66*('Prepare Gantt Chart'!$I65*'Prepare Gantt Chart'!$J65),'Prepare Gantt Chart'!AK65=11,'Project types'!$L66*('Prepare Gantt Chart'!$I65*'Prepare Gantt Chart'!$J65),'Prepare Gantt Chart'!AK65=0,0)</f>
        <v>0</v>
      </c>
      <c r="BH66" s="45">
        <f>_xlfn.IFS('Prepare Gantt Chart'!AL65=12,'Project types'!$L66*('Prepare Gantt Chart'!$I65*'Prepare Gantt Chart'!$J65),'Prepare Gantt Chart'!AL65=11,'Project types'!$L66*('Prepare Gantt Chart'!$I65*'Prepare Gantt Chart'!$J65),'Prepare Gantt Chart'!AL65=0,0)</f>
        <v>0</v>
      </c>
      <c r="BI66" s="45">
        <f>_xlfn.IFS('Prepare Gantt Chart'!AM65=12,'Project types'!$L66*('Prepare Gantt Chart'!$I65*'Prepare Gantt Chart'!$J65),'Prepare Gantt Chart'!AM65=11,'Project types'!$L66*('Prepare Gantt Chart'!$I65*'Prepare Gantt Chart'!$J65),'Prepare Gantt Chart'!AM65=0,0)</f>
        <v>0</v>
      </c>
      <c r="BJ66" s="45">
        <f>_xlfn.IFS('Prepare Gantt Chart'!AN65=12,'Project types'!$L66*('Prepare Gantt Chart'!$I65*'Prepare Gantt Chart'!$J65),'Prepare Gantt Chart'!AN65=11,'Project types'!$L66*('Prepare Gantt Chart'!$I65*'Prepare Gantt Chart'!$J65),'Prepare Gantt Chart'!AN65=0,0)</f>
        <v>0</v>
      </c>
      <c r="BK66" s="45">
        <f>_xlfn.IFS('Prepare Gantt Chart'!AO65=12,'Project types'!$L66*('Prepare Gantt Chart'!$I65*'Prepare Gantt Chart'!$J65),'Prepare Gantt Chart'!AO65=11,'Project types'!$L66*('Prepare Gantt Chart'!$I65*'Prepare Gantt Chart'!$J65),'Prepare Gantt Chart'!AO65=0,0)</f>
        <v>0</v>
      </c>
      <c r="BL66" s="46">
        <f t="shared" si="1"/>
        <v>0</v>
      </c>
      <c r="BM66" s="75">
        <f>IF('Prepare Gantt Chart'!$J65=0,0,SUM(AL66:AQ66)/6/'Prepare Gantt Chart'!$J65)</f>
        <v>0</v>
      </c>
      <c r="BN66" s="75">
        <f>IF('Prepare Gantt Chart'!$J65=0,0,SUM(AR66:AV66)/5/'Prepare Gantt Chart'!$J65)</f>
        <v>0</v>
      </c>
      <c r="BO66" s="75">
        <f>IF('Prepare Gantt Chart'!$J65=0,0,SUM(AW66:BA66)/5/'Prepare Gantt Chart'!$J65)</f>
        <v>0</v>
      </c>
      <c r="BP66" s="75">
        <f>IF('Prepare Gantt Chart'!$J65=0,0,SUM(BB66:BF66)/5/'Prepare Gantt Chart'!$J65)</f>
        <v>0</v>
      </c>
      <c r="BQ66" s="75">
        <f>IF('Prepare Gantt Chart'!$J65=0,0,SUM(BG66:BK66)/5/'Prepare Gantt Chart'!$J65)</f>
        <v>0</v>
      </c>
    </row>
    <row r="67" spans="1:69" x14ac:dyDescent="0.2">
      <c r="A67" s="33" t="s">
        <v>59</v>
      </c>
      <c r="B67" s="1" t="s">
        <v>144</v>
      </c>
      <c r="C67" s="45">
        <f>_xlfn.IFS('Prepare Gantt Chart'!P66=12,'Project types'!$O67*('Prepare Gantt Chart'!$I66*'Prepare Gantt Chart'!$J66),'Prepare Gantt Chart'!P66=11,'Project types'!$Q67*('Prepare Gantt Chart'!$I66*'Prepare Gantt Chart'!$J66),'Prepare Gantt Chart'!P66=0,0)</f>
        <v>0</v>
      </c>
      <c r="D67" s="45">
        <f>_xlfn.IFS('Prepare Gantt Chart'!Q66=12,'Project types'!$O67*('Prepare Gantt Chart'!$I66*'Prepare Gantt Chart'!$J66),'Prepare Gantt Chart'!Q66=11,'Project types'!$Q67*('Prepare Gantt Chart'!$I66*'Prepare Gantt Chart'!$J66),'Prepare Gantt Chart'!Q66=0,0)</f>
        <v>0</v>
      </c>
      <c r="E67" s="45">
        <f>_xlfn.IFS('Prepare Gantt Chart'!R66=12,'Project types'!$O67*('Prepare Gantt Chart'!$I66*'Prepare Gantt Chart'!$J66),'Prepare Gantt Chart'!R66=11,'Project types'!$Q67*('Prepare Gantt Chart'!$I66*'Prepare Gantt Chart'!$J66),'Prepare Gantt Chart'!R66=0,0)</f>
        <v>0</v>
      </c>
      <c r="F67" s="45">
        <f>_xlfn.IFS('Prepare Gantt Chart'!S66=12,'Project types'!$O67*('Prepare Gantt Chart'!$I66*'Prepare Gantt Chart'!$J66),'Prepare Gantt Chart'!S66=11,'Project types'!$Q67*('Prepare Gantt Chart'!$I66*'Prepare Gantt Chart'!$J66),'Prepare Gantt Chart'!S66=0,0)</f>
        <v>0</v>
      </c>
      <c r="G67" s="45">
        <f>_xlfn.IFS('Prepare Gantt Chart'!T66=12,'Project types'!$O67*('Prepare Gantt Chart'!$I66*'Prepare Gantt Chart'!$J66),'Prepare Gantt Chart'!T66=11,'Project types'!$Q67*('Prepare Gantt Chart'!$I66*'Prepare Gantt Chart'!$J66),'Prepare Gantt Chart'!T66=0,0)</f>
        <v>0</v>
      </c>
      <c r="H67" s="45">
        <f>_xlfn.IFS('Prepare Gantt Chart'!U66=12,'Project types'!$O67*('Prepare Gantt Chart'!$I66*'Prepare Gantt Chart'!$J66),'Prepare Gantt Chart'!U66=11,'Project types'!$Q67*('Prepare Gantt Chart'!$I66*'Prepare Gantt Chart'!$J66),'Prepare Gantt Chart'!U66=0,0)</f>
        <v>0</v>
      </c>
      <c r="I67" s="45">
        <f>_xlfn.IFS('Prepare Gantt Chart'!V66=12,'Project types'!$O67*('Prepare Gantt Chart'!$I66*'Prepare Gantt Chart'!$J66),'Prepare Gantt Chart'!V66=11,'Project types'!$Q67*('Prepare Gantt Chart'!$I66*'Prepare Gantt Chart'!$J66),'Prepare Gantt Chart'!V66=0,0)</f>
        <v>0</v>
      </c>
      <c r="J67" s="45">
        <f>_xlfn.IFS('Prepare Gantt Chart'!W66=12,'Project types'!$O67*('Prepare Gantt Chart'!$I66*'Prepare Gantt Chart'!$J66),'Prepare Gantt Chart'!W66=11,'Project types'!$Q67*('Prepare Gantt Chart'!$I66*'Prepare Gantt Chart'!$J66),'Prepare Gantt Chart'!W66=0,0)</f>
        <v>0</v>
      </c>
      <c r="K67" s="45">
        <f>_xlfn.IFS('Prepare Gantt Chart'!X66=12,'Project types'!$O67*('Prepare Gantt Chart'!$I66*'Prepare Gantt Chart'!$J66),'Prepare Gantt Chart'!X66=11,'Project types'!$Q67*('Prepare Gantt Chart'!$I66*'Prepare Gantt Chart'!$J66),'Prepare Gantt Chart'!X66=0,0)</f>
        <v>0</v>
      </c>
      <c r="L67" s="45">
        <f>_xlfn.IFS('Prepare Gantt Chart'!Y66=12,'Project types'!$O67*('Prepare Gantt Chart'!$I66*'Prepare Gantt Chart'!$J66),'Prepare Gantt Chart'!Y66=11,'Project types'!$Q67*('Prepare Gantt Chart'!$I66*'Prepare Gantt Chart'!$J66),'Prepare Gantt Chart'!Y66=0,0)</f>
        <v>0</v>
      </c>
      <c r="M67" s="45">
        <f>_xlfn.IFS('Prepare Gantt Chart'!Z66=12,'Project types'!$O67*('Prepare Gantt Chart'!$I66*'Prepare Gantt Chart'!$J66),'Prepare Gantt Chart'!Z66=11,'Project types'!$Q67*('Prepare Gantt Chart'!$I66*'Prepare Gantt Chart'!$J66),'Prepare Gantt Chart'!Z66=0,0)</f>
        <v>0</v>
      </c>
      <c r="N67" s="45">
        <f>_xlfn.IFS('Prepare Gantt Chart'!AA66=12,'Project types'!$O67*('Prepare Gantt Chart'!$I66*'Prepare Gantt Chart'!$J66),'Prepare Gantt Chart'!AA66=11,'Project types'!$Q67*('Prepare Gantt Chart'!$I66*'Prepare Gantt Chart'!$J66),'Prepare Gantt Chart'!AA66=0,0)</f>
        <v>0</v>
      </c>
      <c r="O67" s="45">
        <f>_xlfn.IFS('Prepare Gantt Chart'!AB66=12,'Project types'!$O67*('Prepare Gantt Chart'!$I66*'Prepare Gantt Chart'!$J66),'Prepare Gantt Chart'!AB66=11,'Project types'!$Q67*('Prepare Gantt Chart'!$I66*'Prepare Gantt Chart'!$J66),'Prepare Gantt Chart'!AB66=0,0)</f>
        <v>0</v>
      </c>
      <c r="P67" s="45">
        <f>_xlfn.IFS('Prepare Gantt Chart'!AC66=12,'Project types'!$O67*('Prepare Gantt Chart'!$I66*'Prepare Gantt Chart'!$J66),'Prepare Gantt Chart'!AC66=11,'Project types'!$Q67*('Prepare Gantt Chart'!$I66*'Prepare Gantt Chart'!$J66),'Prepare Gantt Chart'!AC66=0,0)</f>
        <v>0</v>
      </c>
      <c r="Q67" s="45">
        <f>_xlfn.IFS('Prepare Gantt Chart'!AD66=12,'Project types'!$O67*('Prepare Gantt Chart'!$I66*'Prepare Gantt Chart'!$J66),'Prepare Gantt Chart'!AD66=11,'Project types'!$Q67*('Prepare Gantt Chart'!$I66*'Prepare Gantt Chart'!$J66),'Prepare Gantt Chart'!AD66=0,0)</f>
        <v>0</v>
      </c>
      <c r="R67" s="45">
        <f>_xlfn.IFS('Prepare Gantt Chart'!AE66=12,'Project types'!$O67*('Prepare Gantt Chart'!$I66*'Prepare Gantt Chart'!$J66),'Prepare Gantt Chart'!AE66=11,'Project types'!$Q67*('Prepare Gantt Chart'!$I66*'Prepare Gantt Chart'!$J66),'Prepare Gantt Chart'!AE66=0,0)</f>
        <v>0</v>
      </c>
      <c r="S67" s="45">
        <f>_xlfn.IFS('Prepare Gantt Chart'!AF66=12,'Project types'!$O67*('Prepare Gantt Chart'!$I66*'Prepare Gantt Chart'!$J66),'Prepare Gantt Chart'!AF66=11,'Project types'!$Q67*('Prepare Gantt Chart'!$I66*'Prepare Gantt Chart'!$J66),'Prepare Gantt Chart'!AF66=0,0)</f>
        <v>0</v>
      </c>
      <c r="T67" s="45">
        <f>_xlfn.IFS('Prepare Gantt Chart'!AG66=12,'Project types'!$O67*('Prepare Gantt Chart'!$I66*'Prepare Gantt Chart'!$J66),'Prepare Gantt Chart'!AG66=11,'Project types'!$Q67*('Prepare Gantt Chart'!$I66*'Prepare Gantt Chart'!$J66),'Prepare Gantt Chart'!AG66=0,0)</f>
        <v>0</v>
      </c>
      <c r="U67" s="45">
        <f>_xlfn.IFS('Prepare Gantt Chart'!AH66=12,'Project types'!$O67*('Prepare Gantt Chart'!$I66*'Prepare Gantt Chart'!$J66),'Prepare Gantt Chart'!AH66=11,'Project types'!$Q67*('Prepare Gantt Chart'!$I66*'Prepare Gantt Chart'!$J66),'Prepare Gantt Chart'!AH66=0,0)</f>
        <v>0</v>
      </c>
      <c r="V67" s="45">
        <f>_xlfn.IFS('Prepare Gantt Chart'!AI66=12,'Project types'!$O67*('Prepare Gantt Chart'!$I66*'Prepare Gantt Chart'!$J66),'Prepare Gantt Chart'!AI66=11,'Project types'!$Q67*('Prepare Gantt Chart'!$I66*'Prepare Gantt Chart'!$J66),'Prepare Gantt Chart'!AI66=0,0)</f>
        <v>0</v>
      </c>
      <c r="W67" s="45">
        <f>_xlfn.IFS('Prepare Gantt Chart'!AJ66=12,'Project types'!$O67*('Prepare Gantt Chart'!$I66*'Prepare Gantt Chart'!$J66),'Prepare Gantt Chart'!AJ66=11,'Project types'!$Q67*('Prepare Gantt Chart'!$I66*'Prepare Gantt Chart'!$J66),'Prepare Gantt Chart'!AJ66=0,0)</f>
        <v>0</v>
      </c>
      <c r="X67" s="45">
        <f>_xlfn.IFS('Prepare Gantt Chart'!AK66=12,'Project types'!$O67*('Prepare Gantt Chart'!$I66*'Prepare Gantt Chart'!$J66),'Prepare Gantt Chart'!AK66=11,'Project types'!$Q67*('Prepare Gantt Chart'!$I66*'Prepare Gantt Chart'!$J66),'Prepare Gantt Chart'!AK66=0,0)</f>
        <v>0</v>
      </c>
      <c r="Y67" s="45">
        <f>_xlfn.IFS('Prepare Gantt Chart'!AL66=12,'Project types'!$O67*('Prepare Gantt Chart'!$I66*'Prepare Gantt Chart'!$J66),'Prepare Gantt Chart'!AL66=11,'Project types'!$Q67*('Prepare Gantt Chart'!$I66*'Prepare Gantt Chart'!$J66),'Prepare Gantt Chart'!AL66=0,0)</f>
        <v>0</v>
      </c>
      <c r="Z67" s="45">
        <f>_xlfn.IFS('Prepare Gantt Chart'!AM66=12,'Project types'!$O67*('Prepare Gantt Chart'!$I66*'Prepare Gantt Chart'!$J66),'Prepare Gantt Chart'!AM66=11,'Project types'!$Q67*('Prepare Gantt Chart'!$I66*'Prepare Gantt Chart'!$J66),'Prepare Gantt Chart'!AM66=0,0)</f>
        <v>0</v>
      </c>
      <c r="AA67" s="45">
        <f>_xlfn.IFS('Prepare Gantt Chart'!AN66=12,'Project types'!$O67*('Prepare Gantt Chart'!$I66*'Prepare Gantt Chart'!$J66),'Prepare Gantt Chart'!AN66=11,'Project types'!$Q67*('Prepare Gantt Chart'!$I66*'Prepare Gantt Chart'!$J66),'Prepare Gantt Chart'!AN66=0,0)</f>
        <v>0</v>
      </c>
      <c r="AB67" s="45">
        <f>_xlfn.IFS('Prepare Gantt Chart'!AO66=12,'Project types'!$O67*('Prepare Gantt Chart'!$I66*'Prepare Gantt Chart'!$J66),'Prepare Gantt Chart'!AO66=11,'Project types'!$Q67*('Prepare Gantt Chart'!$I66*'Prepare Gantt Chart'!$J66),'Prepare Gantt Chart'!AO66=0,0)</f>
        <v>0</v>
      </c>
      <c r="AC67" s="45">
        <f>'Prepare Gantt Chart'!J66*'Prepare Gantt Chart'!I66*(AD67/26)</f>
        <v>0</v>
      </c>
      <c r="AD67" s="46">
        <f t="shared" si="0"/>
        <v>0</v>
      </c>
      <c r="AE67" s="72">
        <f>IF('Prepare Gantt Chart'!$J66=0,0,SUM(C67:H67)/6/'Prepare Gantt Chart'!$J66)</f>
        <v>0</v>
      </c>
      <c r="AF67" s="72">
        <f>IF('Prepare Gantt Chart'!$J66=0,0,SUM(I67:M67)/5/'Prepare Gantt Chart'!$J66)</f>
        <v>0</v>
      </c>
      <c r="AG67" s="72">
        <f>IF('Prepare Gantt Chart'!$J66=0,0,SUM(N67:R67)/5/'Prepare Gantt Chart'!$J66)</f>
        <v>0</v>
      </c>
      <c r="AH67" s="72">
        <f>IF('Prepare Gantt Chart'!$J66=0,0,SUM(S67:W67)/5/'Prepare Gantt Chart'!$J66)</f>
        <v>0</v>
      </c>
      <c r="AI67" s="72">
        <f>IF('Prepare Gantt Chart'!$J66=0,0,SUM(X67:AB67)/5/'Prepare Gantt Chart'!$J66)</f>
        <v>0</v>
      </c>
      <c r="AK67" s="33" t="s">
        <v>59</v>
      </c>
      <c r="AL67" s="45">
        <f>_xlfn.IFS('Prepare Gantt Chart'!P66=12,'Project types'!$L67*('Prepare Gantt Chart'!$I66*'Prepare Gantt Chart'!$J66),'Prepare Gantt Chart'!P66=11,'Project types'!$L67*('Prepare Gantt Chart'!$I66*'Prepare Gantt Chart'!$J66),'Prepare Gantt Chart'!P66=0,0)</f>
        <v>0</v>
      </c>
      <c r="AM67" s="45">
        <f>_xlfn.IFS('Prepare Gantt Chart'!Q66=12,'Project types'!$L67*('Prepare Gantt Chart'!$I66*'Prepare Gantt Chart'!$J66),'Prepare Gantt Chart'!Q66=11,'Project types'!$L67*('Prepare Gantt Chart'!$I66*'Prepare Gantt Chart'!$J66),'Prepare Gantt Chart'!Q66=0,0)</f>
        <v>0</v>
      </c>
      <c r="AN67" s="45">
        <f>_xlfn.IFS('Prepare Gantt Chart'!R66=12,'Project types'!$L67*('Prepare Gantt Chart'!$I66*'Prepare Gantt Chart'!$J66),'Prepare Gantt Chart'!R66=11,'Project types'!$L67*('Prepare Gantt Chart'!$I66*'Prepare Gantt Chart'!$J66),'Prepare Gantt Chart'!R66=0,0)</f>
        <v>0</v>
      </c>
      <c r="AO67" s="45">
        <f>_xlfn.IFS('Prepare Gantt Chart'!S66=12,'Project types'!$L67*('Prepare Gantt Chart'!$I66*'Prepare Gantt Chart'!$J66),'Prepare Gantt Chart'!S66=11,'Project types'!$L67*('Prepare Gantt Chart'!$I66*'Prepare Gantt Chart'!$J66),'Prepare Gantt Chart'!S66=0,0)</f>
        <v>0</v>
      </c>
      <c r="AP67" s="45">
        <f>_xlfn.IFS('Prepare Gantt Chart'!T66=12,'Project types'!$L67*('Prepare Gantt Chart'!$I66*'Prepare Gantt Chart'!$J66),'Prepare Gantt Chart'!T66=11,'Project types'!$L67*('Prepare Gantt Chart'!$I66*'Prepare Gantt Chart'!$J66),'Prepare Gantt Chart'!T66=0,0)</f>
        <v>0</v>
      </c>
      <c r="AQ67" s="45">
        <f>_xlfn.IFS('Prepare Gantt Chart'!U66=12,'Project types'!$L67*('Prepare Gantt Chart'!$I66*'Prepare Gantt Chart'!$J66),'Prepare Gantt Chart'!U66=11,'Project types'!$L67*('Prepare Gantt Chart'!$I66*'Prepare Gantt Chart'!$J66),'Prepare Gantt Chart'!U66=0,0)</f>
        <v>0</v>
      </c>
      <c r="AR67" s="45">
        <f>_xlfn.IFS('Prepare Gantt Chart'!V66=12,'Project types'!$L67*('Prepare Gantt Chart'!$I66*'Prepare Gantt Chart'!$J66),'Prepare Gantt Chart'!V66=11,'Project types'!$L67*('Prepare Gantt Chart'!$I66*'Prepare Gantt Chart'!$J66),'Prepare Gantt Chart'!V66=0,0)</f>
        <v>0</v>
      </c>
      <c r="AS67" s="45">
        <f>_xlfn.IFS('Prepare Gantt Chart'!W66=12,'Project types'!$L67*('Prepare Gantt Chart'!$I66*'Prepare Gantt Chart'!$J66),'Prepare Gantt Chart'!W66=11,'Project types'!$L67*('Prepare Gantt Chart'!$I66*'Prepare Gantt Chart'!$J66),'Prepare Gantt Chart'!W66=0,0)</f>
        <v>0</v>
      </c>
      <c r="AT67" s="45">
        <f>_xlfn.IFS('Prepare Gantt Chart'!X66=12,'Project types'!$L67*('Prepare Gantt Chart'!$I66*'Prepare Gantt Chart'!$J66),'Prepare Gantt Chart'!X66=11,'Project types'!$L67*('Prepare Gantt Chart'!$I66*'Prepare Gantt Chart'!$J66),'Prepare Gantt Chart'!X66=0,0)</f>
        <v>0</v>
      </c>
      <c r="AU67" s="45">
        <f>_xlfn.IFS('Prepare Gantt Chart'!Y66=12,'Project types'!$L67*('Prepare Gantt Chart'!$I66*'Prepare Gantt Chart'!$J66),'Prepare Gantt Chart'!Y66=11,'Project types'!$L67*('Prepare Gantt Chart'!$I66*'Prepare Gantt Chart'!$J66),'Prepare Gantt Chart'!Y66=0,0)</f>
        <v>0</v>
      </c>
      <c r="AV67" s="45">
        <f>_xlfn.IFS('Prepare Gantt Chart'!Z66=12,'Project types'!$L67*('Prepare Gantt Chart'!$I66*'Prepare Gantt Chart'!$J66),'Prepare Gantt Chart'!Z66=11,'Project types'!$L67*('Prepare Gantt Chart'!$I66*'Prepare Gantt Chart'!$J66),'Prepare Gantt Chart'!Z66=0,0)</f>
        <v>0</v>
      </c>
      <c r="AW67" s="45">
        <f>_xlfn.IFS('Prepare Gantt Chart'!AA66=12,'Project types'!$L67*('Prepare Gantt Chart'!$I66*'Prepare Gantt Chart'!$J66),'Prepare Gantt Chart'!AA66=11,'Project types'!$L67*('Prepare Gantt Chart'!$I66*'Prepare Gantt Chart'!$J66),'Prepare Gantt Chart'!AA66=0,0)</f>
        <v>0</v>
      </c>
      <c r="AX67" s="45">
        <f>_xlfn.IFS('Prepare Gantt Chart'!AB66=12,'Project types'!$L67*('Prepare Gantt Chart'!$I66*'Prepare Gantt Chart'!$J66),'Prepare Gantt Chart'!AB66=11,'Project types'!$L67*('Prepare Gantt Chart'!$I66*'Prepare Gantt Chart'!$J66),'Prepare Gantt Chart'!AB66=0,0)</f>
        <v>0</v>
      </c>
      <c r="AY67" s="45">
        <f>_xlfn.IFS('Prepare Gantt Chart'!AC66=12,'Project types'!$L67*('Prepare Gantt Chart'!$I66*'Prepare Gantt Chart'!$J66),'Prepare Gantt Chart'!AC66=11,'Project types'!$L67*('Prepare Gantt Chart'!$I66*'Prepare Gantt Chart'!$J66),'Prepare Gantt Chart'!AC66=0,0)</f>
        <v>0</v>
      </c>
      <c r="AZ67" s="45">
        <f>_xlfn.IFS('Prepare Gantt Chart'!AD66=12,'Project types'!$L67*('Prepare Gantt Chart'!$I66*'Prepare Gantt Chart'!$J66),'Prepare Gantt Chart'!AD66=11,'Project types'!$L67*('Prepare Gantt Chart'!$I66*'Prepare Gantt Chart'!$J66),'Prepare Gantt Chart'!AD66=0,0)</f>
        <v>0</v>
      </c>
      <c r="BA67" s="45">
        <f>_xlfn.IFS('Prepare Gantt Chart'!AE66=12,'Project types'!$L67*('Prepare Gantt Chart'!$I66*'Prepare Gantt Chart'!$J66),'Prepare Gantt Chart'!AE66=11,'Project types'!$L67*('Prepare Gantt Chart'!$I66*'Prepare Gantt Chart'!$J66),'Prepare Gantt Chart'!AE66=0,0)</f>
        <v>0</v>
      </c>
      <c r="BB67" s="45">
        <f>_xlfn.IFS('Prepare Gantt Chart'!AF66=12,'Project types'!$L67*('Prepare Gantt Chart'!$I66*'Prepare Gantt Chart'!$J66),'Prepare Gantt Chart'!AF66=11,'Project types'!$L67*('Prepare Gantt Chart'!$I66*'Prepare Gantt Chart'!$J66),'Prepare Gantt Chart'!AF66=0,0)</f>
        <v>0</v>
      </c>
      <c r="BC67" s="45">
        <f>_xlfn.IFS('Prepare Gantt Chart'!AG66=12,'Project types'!$L67*('Prepare Gantt Chart'!$I66*'Prepare Gantt Chart'!$J66),'Prepare Gantt Chart'!AG66=11,'Project types'!$L67*('Prepare Gantt Chart'!$I66*'Prepare Gantt Chart'!$J66),'Prepare Gantt Chart'!AG66=0,0)</f>
        <v>0</v>
      </c>
      <c r="BD67" s="45">
        <f>_xlfn.IFS('Prepare Gantt Chart'!AH66=12,'Project types'!$L67*('Prepare Gantt Chart'!$I66*'Prepare Gantt Chart'!$J66),'Prepare Gantt Chart'!AH66=11,'Project types'!$L67*('Prepare Gantt Chart'!$I66*'Prepare Gantt Chart'!$J66),'Prepare Gantt Chart'!AH66=0,0)</f>
        <v>0</v>
      </c>
      <c r="BE67" s="45">
        <f>_xlfn.IFS('Prepare Gantt Chart'!AI66=12,'Project types'!$L67*('Prepare Gantt Chart'!$I66*'Prepare Gantt Chart'!$J66),'Prepare Gantt Chart'!AI66=11,'Project types'!$L67*('Prepare Gantt Chart'!$I66*'Prepare Gantt Chart'!$J66),'Prepare Gantt Chart'!AI66=0,0)</f>
        <v>0</v>
      </c>
      <c r="BF67" s="45">
        <f>_xlfn.IFS('Prepare Gantt Chart'!AJ66=12,'Project types'!$L67*('Prepare Gantt Chart'!$I66*'Prepare Gantt Chart'!$J66),'Prepare Gantt Chart'!AJ66=11,'Project types'!$L67*('Prepare Gantt Chart'!$I66*'Prepare Gantt Chart'!$J66),'Prepare Gantt Chart'!AJ66=0,0)</f>
        <v>0</v>
      </c>
      <c r="BG67" s="45">
        <f>_xlfn.IFS('Prepare Gantt Chart'!AK66=12,'Project types'!$L67*('Prepare Gantt Chart'!$I66*'Prepare Gantt Chart'!$J66),'Prepare Gantt Chart'!AK66=11,'Project types'!$L67*('Prepare Gantt Chart'!$I66*'Prepare Gantt Chart'!$J66),'Prepare Gantt Chart'!AK66=0,0)</f>
        <v>0</v>
      </c>
      <c r="BH67" s="45">
        <f>_xlfn.IFS('Prepare Gantt Chart'!AL66=12,'Project types'!$L67*('Prepare Gantt Chart'!$I66*'Prepare Gantt Chart'!$J66),'Prepare Gantt Chart'!AL66=11,'Project types'!$L67*('Prepare Gantt Chart'!$I66*'Prepare Gantt Chart'!$J66),'Prepare Gantt Chart'!AL66=0,0)</f>
        <v>0</v>
      </c>
      <c r="BI67" s="45">
        <f>_xlfn.IFS('Prepare Gantt Chart'!AM66=12,'Project types'!$L67*('Prepare Gantt Chart'!$I66*'Prepare Gantt Chart'!$J66),'Prepare Gantt Chart'!AM66=11,'Project types'!$L67*('Prepare Gantt Chart'!$I66*'Prepare Gantt Chart'!$J66),'Prepare Gantt Chart'!AM66=0,0)</f>
        <v>0</v>
      </c>
      <c r="BJ67" s="45">
        <f>_xlfn.IFS('Prepare Gantt Chart'!AN66=12,'Project types'!$L67*('Prepare Gantt Chart'!$I66*'Prepare Gantt Chart'!$J66),'Prepare Gantt Chart'!AN66=11,'Project types'!$L67*('Prepare Gantt Chart'!$I66*'Prepare Gantt Chart'!$J66),'Prepare Gantt Chart'!AN66=0,0)</f>
        <v>0</v>
      </c>
      <c r="BK67" s="45">
        <f>_xlfn.IFS('Prepare Gantt Chart'!AO66=12,'Project types'!$L67*('Prepare Gantt Chart'!$I66*'Prepare Gantt Chart'!$J66),'Prepare Gantt Chart'!AO66=11,'Project types'!$L67*('Prepare Gantt Chart'!$I66*'Prepare Gantt Chart'!$J66),'Prepare Gantt Chart'!AO66=0,0)</f>
        <v>0</v>
      </c>
      <c r="BL67" s="46">
        <f t="shared" si="1"/>
        <v>0</v>
      </c>
      <c r="BM67" s="75">
        <f>IF('Prepare Gantt Chart'!$J66=0,0,SUM(AL67:AQ67)/6/'Prepare Gantt Chart'!$J66)</f>
        <v>0</v>
      </c>
      <c r="BN67" s="75">
        <f>IF('Prepare Gantt Chart'!$J66=0,0,SUM(AR67:AV67)/5/'Prepare Gantt Chart'!$J66)</f>
        <v>0</v>
      </c>
      <c r="BO67" s="75">
        <f>IF('Prepare Gantt Chart'!$J66=0,0,SUM(AW67:BA67)/5/'Prepare Gantt Chart'!$J66)</f>
        <v>0</v>
      </c>
      <c r="BP67" s="75">
        <f>IF('Prepare Gantt Chart'!$J66=0,0,SUM(BB67:BF67)/5/'Prepare Gantt Chart'!$J66)</f>
        <v>0</v>
      </c>
      <c r="BQ67" s="75">
        <f>IF('Prepare Gantt Chart'!$J66=0,0,SUM(BG67:BK67)/5/'Prepare Gantt Chart'!$J66)</f>
        <v>0</v>
      </c>
    </row>
    <row r="68" spans="1:69" x14ac:dyDescent="0.2">
      <c r="A68" s="33" t="s">
        <v>60</v>
      </c>
      <c r="B68" s="1" t="s">
        <v>123</v>
      </c>
      <c r="C68" s="45">
        <f>_xlfn.IFS('Prepare Gantt Chart'!P67=12,'Project types'!$O68*('Prepare Gantt Chart'!$I67*'Prepare Gantt Chart'!$J67),'Prepare Gantt Chart'!P67=11,'Project types'!$Q68*('Prepare Gantt Chart'!$I67*'Prepare Gantt Chart'!$J67),'Prepare Gantt Chart'!P67=0,0)</f>
        <v>0</v>
      </c>
      <c r="D68" s="45">
        <f>_xlfn.IFS('Prepare Gantt Chart'!Q67=12,'Project types'!$O68*('Prepare Gantt Chart'!$I67*'Prepare Gantt Chart'!$J67),'Prepare Gantt Chart'!Q67=11,'Project types'!$Q68*('Prepare Gantt Chart'!$I67*'Prepare Gantt Chart'!$J67),'Prepare Gantt Chart'!Q67=0,0)</f>
        <v>0</v>
      </c>
      <c r="E68" s="45">
        <f>_xlfn.IFS('Prepare Gantt Chart'!R67=12,'Project types'!$O68*('Prepare Gantt Chart'!$I67*'Prepare Gantt Chart'!$J67),'Prepare Gantt Chart'!R67=11,'Project types'!$Q68*('Prepare Gantt Chart'!$I67*'Prepare Gantt Chart'!$J67),'Prepare Gantt Chart'!R67=0,0)</f>
        <v>0</v>
      </c>
      <c r="F68" s="45">
        <f>_xlfn.IFS('Prepare Gantt Chart'!S67=12,'Project types'!$O68*('Prepare Gantt Chart'!$I67*'Prepare Gantt Chart'!$J67),'Prepare Gantt Chart'!S67=11,'Project types'!$Q68*('Prepare Gantt Chart'!$I67*'Prepare Gantt Chart'!$J67),'Prepare Gantt Chart'!S67=0,0)</f>
        <v>0</v>
      </c>
      <c r="G68" s="45">
        <f>_xlfn.IFS('Prepare Gantt Chart'!T67=12,'Project types'!$O68*('Prepare Gantt Chart'!$I67*'Prepare Gantt Chart'!$J67),'Prepare Gantt Chart'!T67=11,'Project types'!$Q68*('Prepare Gantt Chart'!$I67*'Prepare Gantt Chart'!$J67),'Prepare Gantt Chart'!T67=0,0)</f>
        <v>0</v>
      </c>
      <c r="H68" s="45">
        <f>_xlfn.IFS('Prepare Gantt Chart'!U67=12,'Project types'!$O68*('Prepare Gantt Chart'!$I67*'Prepare Gantt Chart'!$J67),'Prepare Gantt Chart'!U67=11,'Project types'!$Q68*('Prepare Gantt Chart'!$I67*'Prepare Gantt Chart'!$J67),'Prepare Gantt Chart'!U67=0,0)</f>
        <v>0</v>
      </c>
      <c r="I68" s="45">
        <f>_xlfn.IFS('Prepare Gantt Chart'!V67=12,'Project types'!$O68*('Prepare Gantt Chart'!$I67*'Prepare Gantt Chart'!$J67),'Prepare Gantt Chart'!V67=11,'Project types'!$Q68*('Prepare Gantt Chart'!$I67*'Prepare Gantt Chart'!$J67),'Prepare Gantt Chart'!V67=0,0)</f>
        <v>0</v>
      </c>
      <c r="J68" s="45">
        <f>_xlfn.IFS('Prepare Gantt Chart'!W67=12,'Project types'!$O68*('Prepare Gantt Chart'!$I67*'Prepare Gantt Chart'!$J67),'Prepare Gantt Chart'!W67=11,'Project types'!$Q68*('Prepare Gantt Chart'!$I67*'Prepare Gantt Chart'!$J67),'Prepare Gantt Chart'!W67=0,0)</f>
        <v>0</v>
      </c>
      <c r="K68" s="45">
        <f>_xlfn.IFS('Prepare Gantt Chart'!X67=12,'Project types'!$O68*('Prepare Gantt Chart'!$I67*'Prepare Gantt Chart'!$J67),'Prepare Gantt Chart'!X67=11,'Project types'!$Q68*('Prepare Gantt Chart'!$I67*'Prepare Gantt Chart'!$J67),'Prepare Gantt Chart'!X67=0,0)</f>
        <v>0</v>
      </c>
      <c r="L68" s="45">
        <f>_xlfn.IFS('Prepare Gantt Chart'!Y67=12,'Project types'!$O68*('Prepare Gantt Chart'!$I67*'Prepare Gantt Chart'!$J67),'Prepare Gantt Chart'!Y67=11,'Project types'!$Q68*('Prepare Gantt Chart'!$I67*'Prepare Gantt Chart'!$J67),'Prepare Gantt Chart'!Y67=0,0)</f>
        <v>0</v>
      </c>
      <c r="M68" s="45">
        <f>_xlfn.IFS('Prepare Gantt Chart'!Z67=12,'Project types'!$O68*('Prepare Gantt Chart'!$I67*'Prepare Gantt Chart'!$J67),'Prepare Gantt Chart'!Z67=11,'Project types'!$Q68*('Prepare Gantt Chart'!$I67*'Prepare Gantt Chart'!$J67),'Prepare Gantt Chart'!Z67=0,0)</f>
        <v>0</v>
      </c>
      <c r="N68" s="45">
        <f>_xlfn.IFS('Prepare Gantt Chart'!AA67=12,'Project types'!$O68*('Prepare Gantt Chart'!$I67*'Prepare Gantt Chart'!$J67),'Prepare Gantt Chart'!AA67=11,'Project types'!$Q68*('Prepare Gantt Chart'!$I67*'Prepare Gantt Chart'!$J67),'Prepare Gantt Chart'!AA67=0,0)</f>
        <v>0</v>
      </c>
      <c r="O68" s="45">
        <f>_xlfn.IFS('Prepare Gantt Chart'!AB67=12,'Project types'!$O68*('Prepare Gantt Chart'!$I67*'Prepare Gantt Chart'!$J67),'Prepare Gantt Chart'!AB67=11,'Project types'!$Q68*('Prepare Gantt Chart'!$I67*'Prepare Gantt Chart'!$J67),'Prepare Gantt Chart'!AB67=0,0)</f>
        <v>0</v>
      </c>
      <c r="P68" s="45">
        <f>_xlfn.IFS('Prepare Gantt Chart'!AC67=12,'Project types'!$O68*('Prepare Gantt Chart'!$I67*'Prepare Gantt Chart'!$J67),'Prepare Gantt Chart'!AC67=11,'Project types'!$Q68*('Prepare Gantt Chart'!$I67*'Prepare Gantt Chart'!$J67),'Prepare Gantt Chart'!AC67=0,0)</f>
        <v>0</v>
      </c>
      <c r="Q68" s="45">
        <f>_xlfn.IFS('Prepare Gantt Chart'!AD67=12,'Project types'!$O68*('Prepare Gantt Chart'!$I67*'Prepare Gantt Chart'!$J67),'Prepare Gantt Chart'!AD67=11,'Project types'!$Q68*('Prepare Gantt Chart'!$I67*'Prepare Gantt Chart'!$J67),'Prepare Gantt Chart'!AD67=0,0)</f>
        <v>0</v>
      </c>
      <c r="R68" s="45">
        <f>_xlfn.IFS('Prepare Gantt Chart'!AE67=12,'Project types'!$O68*('Prepare Gantt Chart'!$I67*'Prepare Gantt Chart'!$J67),'Prepare Gantt Chart'!AE67=11,'Project types'!$Q68*('Prepare Gantt Chart'!$I67*'Prepare Gantt Chart'!$J67),'Prepare Gantt Chart'!AE67=0,0)</f>
        <v>0</v>
      </c>
      <c r="S68" s="45">
        <f>_xlfn.IFS('Prepare Gantt Chart'!AF67=12,'Project types'!$O68*('Prepare Gantt Chart'!$I67*'Prepare Gantt Chart'!$J67),'Prepare Gantt Chart'!AF67=11,'Project types'!$Q68*('Prepare Gantt Chart'!$I67*'Prepare Gantt Chart'!$J67),'Prepare Gantt Chart'!AF67=0,0)</f>
        <v>0</v>
      </c>
      <c r="T68" s="45">
        <f>_xlfn.IFS('Prepare Gantt Chart'!AG67=12,'Project types'!$O68*('Prepare Gantt Chart'!$I67*'Prepare Gantt Chart'!$J67),'Prepare Gantt Chart'!AG67=11,'Project types'!$Q68*('Prepare Gantt Chart'!$I67*'Prepare Gantt Chart'!$J67),'Prepare Gantt Chart'!AG67=0,0)</f>
        <v>0</v>
      </c>
      <c r="U68" s="45">
        <f>_xlfn.IFS('Prepare Gantt Chart'!AH67=12,'Project types'!$O68*('Prepare Gantt Chart'!$I67*'Prepare Gantt Chart'!$J67),'Prepare Gantt Chart'!AH67=11,'Project types'!$Q68*('Prepare Gantt Chart'!$I67*'Prepare Gantt Chart'!$J67),'Prepare Gantt Chart'!AH67=0,0)</f>
        <v>0</v>
      </c>
      <c r="V68" s="45">
        <f>_xlfn.IFS('Prepare Gantt Chart'!AI67=12,'Project types'!$O68*('Prepare Gantt Chart'!$I67*'Prepare Gantt Chart'!$J67),'Prepare Gantt Chart'!AI67=11,'Project types'!$Q68*('Prepare Gantt Chart'!$I67*'Prepare Gantt Chart'!$J67),'Prepare Gantt Chart'!AI67=0,0)</f>
        <v>0</v>
      </c>
      <c r="W68" s="45">
        <f>_xlfn.IFS('Prepare Gantt Chart'!AJ67=12,'Project types'!$O68*('Prepare Gantt Chart'!$I67*'Prepare Gantt Chart'!$J67),'Prepare Gantt Chart'!AJ67=11,'Project types'!$Q68*('Prepare Gantt Chart'!$I67*'Prepare Gantt Chart'!$J67),'Prepare Gantt Chart'!AJ67=0,0)</f>
        <v>0</v>
      </c>
      <c r="X68" s="45">
        <f>_xlfn.IFS('Prepare Gantt Chart'!AK67=12,'Project types'!$O68*('Prepare Gantt Chart'!$I67*'Prepare Gantt Chart'!$J67),'Prepare Gantt Chart'!AK67=11,'Project types'!$Q68*('Prepare Gantt Chart'!$I67*'Prepare Gantt Chart'!$J67),'Prepare Gantt Chart'!AK67=0,0)</f>
        <v>0</v>
      </c>
      <c r="Y68" s="45">
        <f>_xlfn.IFS('Prepare Gantt Chart'!AL67=12,'Project types'!$O68*('Prepare Gantt Chart'!$I67*'Prepare Gantt Chart'!$J67),'Prepare Gantt Chart'!AL67=11,'Project types'!$Q68*('Prepare Gantt Chart'!$I67*'Prepare Gantt Chart'!$J67),'Prepare Gantt Chart'!AL67=0,0)</f>
        <v>0</v>
      </c>
      <c r="Z68" s="45">
        <f>_xlfn.IFS('Prepare Gantt Chart'!AM67=12,'Project types'!$O68*('Prepare Gantt Chart'!$I67*'Prepare Gantt Chart'!$J67),'Prepare Gantt Chart'!AM67=11,'Project types'!$Q68*('Prepare Gantt Chart'!$I67*'Prepare Gantt Chart'!$J67),'Prepare Gantt Chart'!AM67=0,0)</f>
        <v>0</v>
      </c>
      <c r="AA68" s="45">
        <f>_xlfn.IFS('Prepare Gantt Chart'!AN67=12,'Project types'!$O68*('Prepare Gantt Chart'!$I67*'Prepare Gantt Chart'!$J67),'Prepare Gantt Chart'!AN67=11,'Project types'!$Q68*('Prepare Gantt Chart'!$I67*'Prepare Gantt Chart'!$J67),'Prepare Gantt Chart'!AN67=0,0)</f>
        <v>0</v>
      </c>
      <c r="AB68" s="45">
        <f>_xlfn.IFS('Prepare Gantt Chart'!AO67=12,'Project types'!$O68*('Prepare Gantt Chart'!$I67*'Prepare Gantt Chart'!$J67),'Prepare Gantt Chart'!AO67=11,'Project types'!$Q68*('Prepare Gantt Chart'!$I67*'Prepare Gantt Chart'!$J67),'Prepare Gantt Chart'!AO67=0,0)</f>
        <v>0</v>
      </c>
      <c r="AC68" s="45">
        <f>'Prepare Gantt Chart'!J67*'Prepare Gantt Chart'!I67*(AD68/26)</f>
        <v>0</v>
      </c>
      <c r="AD68" s="46">
        <f t="shared" si="0"/>
        <v>0</v>
      </c>
      <c r="AE68" s="72">
        <f>IF('Prepare Gantt Chart'!$J67=0,0,SUM(C68:H68)/6/'Prepare Gantt Chart'!$J67)</f>
        <v>0</v>
      </c>
      <c r="AF68" s="72">
        <f>IF('Prepare Gantt Chart'!$J67=0,0,SUM(I68:M68)/5/'Prepare Gantt Chart'!$J67)</f>
        <v>0</v>
      </c>
      <c r="AG68" s="72">
        <f>IF('Prepare Gantt Chart'!$J67=0,0,SUM(N68:R68)/5/'Prepare Gantt Chart'!$J67)</f>
        <v>0</v>
      </c>
      <c r="AH68" s="72">
        <f>IF('Prepare Gantt Chart'!$J67=0,0,SUM(S68:W68)/5/'Prepare Gantt Chart'!$J67)</f>
        <v>0</v>
      </c>
      <c r="AI68" s="72">
        <f>IF('Prepare Gantt Chart'!$J67=0,0,SUM(X68:AB68)/5/'Prepare Gantt Chart'!$J67)</f>
        <v>0</v>
      </c>
      <c r="AK68" s="33" t="s">
        <v>60</v>
      </c>
      <c r="AL68" s="45">
        <f>_xlfn.IFS('Prepare Gantt Chart'!P67=12,'Project types'!$L68*('Prepare Gantt Chart'!$I67*'Prepare Gantt Chart'!$J67),'Prepare Gantt Chart'!P67=11,'Project types'!$L68*('Prepare Gantt Chart'!$I67*'Prepare Gantt Chart'!$J67),'Prepare Gantt Chart'!P67=0,0)</f>
        <v>0</v>
      </c>
      <c r="AM68" s="45">
        <f>_xlfn.IFS('Prepare Gantt Chart'!Q67=12,'Project types'!$L68*('Prepare Gantt Chart'!$I67*'Prepare Gantt Chart'!$J67),'Prepare Gantt Chart'!Q67=11,'Project types'!$L68*('Prepare Gantt Chart'!$I67*'Prepare Gantt Chart'!$J67),'Prepare Gantt Chart'!Q67=0,0)</f>
        <v>0</v>
      </c>
      <c r="AN68" s="45">
        <f>_xlfn.IFS('Prepare Gantt Chart'!R67=12,'Project types'!$L68*('Prepare Gantt Chart'!$I67*'Prepare Gantt Chart'!$J67),'Prepare Gantt Chart'!R67=11,'Project types'!$L68*('Prepare Gantt Chart'!$I67*'Prepare Gantt Chart'!$J67),'Prepare Gantt Chart'!R67=0,0)</f>
        <v>0</v>
      </c>
      <c r="AO68" s="45">
        <f>_xlfn.IFS('Prepare Gantt Chart'!S67=12,'Project types'!$L68*('Prepare Gantt Chart'!$I67*'Prepare Gantt Chart'!$J67),'Prepare Gantt Chart'!S67=11,'Project types'!$L68*('Prepare Gantt Chart'!$I67*'Prepare Gantt Chart'!$J67),'Prepare Gantt Chart'!S67=0,0)</f>
        <v>0</v>
      </c>
      <c r="AP68" s="45">
        <f>_xlfn.IFS('Prepare Gantt Chart'!T67=12,'Project types'!$L68*('Prepare Gantt Chart'!$I67*'Prepare Gantt Chart'!$J67),'Prepare Gantt Chart'!T67=11,'Project types'!$L68*('Prepare Gantt Chart'!$I67*'Prepare Gantt Chart'!$J67),'Prepare Gantt Chart'!T67=0,0)</f>
        <v>0</v>
      </c>
      <c r="AQ68" s="45">
        <f>_xlfn.IFS('Prepare Gantt Chart'!U67=12,'Project types'!$L68*('Prepare Gantt Chart'!$I67*'Prepare Gantt Chart'!$J67),'Prepare Gantt Chart'!U67=11,'Project types'!$L68*('Prepare Gantt Chart'!$I67*'Prepare Gantt Chart'!$J67),'Prepare Gantt Chart'!U67=0,0)</f>
        <v>0</v>
      </c>
      <c r="AR68" s="45">
        <f>_xlfn.IFS('Prepare Gantt Chart'!V67=12,'Project types'!$L68*('Prepare Gantt Chart'!$I67*'Prepare Gantt Chart'!$J67),'Prepare Gantt Chart'!V67=11,'Project types'!$L68*('Prepare Gantt Chart'!$I67*'Prepare Gantt Chart'!$J67),'Prepare Gantt Chart'!V67=0,0)</f>
        <v>0</v>
      </c>
      <c r="AS68" s="45">
        <f>_xlfn.IFS('Prepare Gantt Chart'!W67=12,'Project types'!$L68*('Prepare Gantt Chart'!$I67*'Prepare Gantt Chart'!$J67),'Prepare Gantt Chart'!W67=11,'Project types'!$L68*('Prepare Gantt Chart'!$I67*'Prepare Gantt Chart'!$J67),'Prepare Gantt Chart'!W67=0,0)</f>
        <v>0</v>
      </c>
      <c r="AT68" s="45">
        <f>_xlfn.IFS('Prepare Gantt Chart'!X67=12,'Project types'!$L68*('Prepare Gantt Chart'!$I67*'Prepare Gantt Chart'!$J67),'Prepare Gantt Chart'!X67=11,'Project types'!$L68*('Prepare Gantt Chart'!$I67*'Prepare Gantt Chart'!$J67),'Prepare Gantt Chart'!X67=0,0)</f>
        <v>0</v>
      </c>
      <c r="AU68" s="45">
        <f>_xlfn.IFS('Prepare Gantt Chart'!Y67=12,'Project types'!$L68*('Prepare Gantt Chart'!$I67*'Prepare Gantt Chart'!$J67),'Prepare Gantt Chart'!Y67=11,'Project types'!$L68*('Prepare Gantt Chart'!$I67*'Prepare Gantt Chart'!$J67),'Prepare Gantt Chart'!Y67=0,0)</f>
        <v>0</v>
      </c>
      <c r="AV68" s="45">
        <f>_xlfn.IFS('Prepare Gantt Chart'!Z67=12,'Project types'!$L68*('Prepare Gantt Chart'!$I67*'Prepare Gantt Chart'!$J67),'Prepare Gantt Chart'!Z67=11,'Project types'!$L68*('Prepare Gantt Chart'!$I67*'Prepare Gantt Chart'!$J67),'Prepare Gantt Chart'!Z67=0,0)</f>
        <v>0</v>
      </c>
      <c r="AW68" s="45">
        <f>_xlfn.IFS('Prepare Gantt Chart'!AA67=12,'Project types'!$L68*('Prepare Gantt Chart'!$I67*'Prepare Gantt Chart'!$J67),'Prepare Gantt Chart'!AA67=11,'Project types'!$L68*('Prepare Gantt Chart'!$I67*'Prepare Gantt Chart'!$J67),'Prepare Gantt Chart'!AA67=0,0)</f>
        <v>0</v>
      </c>
      <c r="AX68" s="45">
        <f>_xlfn.IFS('Prepare Gantt Chart'!AB67=12,'Project types'!$L68*('Prepare Gantt Chart'!$I67*'Prepare Gantt Chart'!$J67),'Prepare Gantt Chart'!AB67=11,'Project types'!$L68*('Prepare Gantt Chart'!$I67*'Prepare Gantt Chart'!$J67),'Prepare Gantt Chart'!AB67=0,0)</f>
        <v>0</v>
      </c>
      <c r="AY68" s="45">
        <f>_xlfn.IFS('Prepare Gantt Chart'!AC67=12,'Project types'!$L68*('Prepare Gantt Chart'!$I67*'Prepare Gantt Chart'!$J67),'Prepare Gantt Chart'!AC67=11,'Project types'!$L68*('Prepare Gantt Chart'!$I67*'Prepare Gantt Chart'!$J67),'Prepare Gantt Chart'!AC67=0,0)</f>
        <v>0</v>
      </c>
      <c r="AZ68" s="45">
        <f>_xlfn.IFS('Prepare Gantt Chart'!AD67=12,'Project types'!$L68*('Prepare Gantt Chart'!$I67*'Prepare Gantt Chart'!$J67),'Prepare Gantt Chart'!AD67=11,'Project types'!$L68*('Prepare Gantt Chart'!$I67*'Prepare Gantt Chart'!$J67),'Prepare Gantt Chart'!AD67=0,0)</f>
        <v>0</v>
      </c>
      <c r="BA68" s="45">
        <f>_xlfn.IFS('Prepare Gantt Chart'!AE67=12,'Project types'!$L68*('Prepare Gantt Chart'!$I67*'Prepare Gantt Chart'!$J67),'Prepare Gantt Chart'!AE67=11,'Project types'!$L68*('Prepare Gantt Chart'!$I67*'Prepare Gantt Chart'!$J67),'Prepare Gantt Chart'!AE67=0,0)</f>
        <v>0</v>
      </c>
      <c r="BB68" s="45">
        <f>_xlfn.IFS('Prepare Gantt Chart'!AF67=12,'Project types'!$L68*('Prepare Gantt Chart'!$I67*'Prepare Gantt Chart'!$J67),'Prepare Gantt Chart'!AF67=11,'Project types'!$L68*('Prepare Gantt Chart'!$I67*'Prepare Gantt Chart'!$J67),'Prepare Gantt Chart'!AF67=0,0)</f>
        <v>0</v>
      </c>
      <c r="BC68" s="45">
        <f>_xlfn.IFS('Prepare Gantt Chart'!AG67=12,'Project types'!$L68*('Prepare Gantt Chart'!$I67*'Prepare Gantt Chart'!$J67),'Prepare Gantt Chart'!AG67=11,'Project types'!$L68*('Prepare Gantt Chart'!$I67*'Prepare Gantt Chart'!$J67),'Prepare Gantt Chart'!AG67=0,0)</f>
        <v>0</v>
      </c>
      <c r="BD68" s="45">
        <f>_xlfn.IFS('Prepare Gantt Chart'!AH67=12,'Project types'!$L68*('Prepare Gantt Chart'!$I67*'Prepare Gantt Chart'!$J67),'Prepare Gantt Chart'!AH67=11,'Project types'!$L68*('Prepare Gantt Chart'!$I67*'Prepare Gantt Chart'!$J67),'Prepare Gantt Chart'!AH67=0,0)</f>
        <v>0</v>
      </c>
      <c r="BE68" s="45">
        <f>_xlfn.IFS('Prepare Gantt Chart'!AI67=12,'Project types'!$L68*('Prepare Gantt Chart'!$I67*'Prepare Gantt Chart'!$J67),'Prepare Gantt Chart'!AI67=11,'Project types'!$L68*('Prepare Gantt Chart'!$I67*'Prepare Gantt Chart'!$J67),'Prepare Gantt Chart'!AI67=0,0)</f>
        <v>0</v>
      </c>
      <c r="BF68" s="45">
        <f>_xlfn.IFS('Prepare Gantt Chart'!AJ67=12,'Project types'!$L68*('Prepare Gantt Chart'!$I67*'Prepare Gantt Chart'!$J67),'Prepare Gantt Chart'!AJ67=11,'Project types'!$L68*('Prepare Gantt Chart'!$I67*'Prepare Gantt Chart'!$J67),'Prepare Gantt Chart'!AJ67=0,0)</f>
        <v>0</v>
      </c>
      <c r="BG68" s="45">
        <f>_xlfn.IFS('Prepare Gantt Chart'!AK67=12,'Project types'!$L68*('Prepare Gantt Chart'!$I67*'Prepare Gantt Chart'!$J67),'Prepare Gantt Chart'!AK67=11,'Project types'!$L68*('Prepare Gantt Chart'!$I67*'Prepare Gantt Chart'!$J67),'Prepare Gantt Chart'!AK67=0,0)</f>
        <v>0</v>
      </c>
      <c r="BH68" s="45">
        <f>_xlfn.IFS('Prepare Gantt Chart'!AL67=12,'Project types'!$L68*('Prepare Gantt Chart'!$I67*'Prepare Gantt Chart'!$J67),'Prepare Gantt Chart'!AL67=11,'Project types'!$L68*('Prepare Gantt Chart'!$I67*'Prepare Gantt Chart'!$J67),'Prepare Gantt Chart'!AL67=0,0)</f>
        <v>0</v>
      </c>
      <c r="BI68" s="45">
        <f>_xlfn.IFS('Prepare Gantt Chart'!AM67=12,'Project types'!$L68*('Prepare Gantt Chart'!$I67*'Prepare Gantt Chart'!$J67),'Prepare Gantt Chart'!AM67=11,'Project types'!$L68*('Prepare Gantt Chart'!$I67*'Prepare Gantt Chart'!$J67),'Prepare Gantt Chart'!AM67=0,0)</f>
        <v>0</v>
      </c>
      <c r="BJ68" s="45">
        <f>_xlfn.IFS('Prepare Gantt Chart'!AN67=12,'Project types'!$L68*('Prepare Gantt Chart'!$I67*'Prepare Gantt Chart'!$J67),'Prepare Gantt Chart'!AN67=11,'Project types'!$L68*('Prepare Gantt Chart'!$I67*'Prepare Gantt Chart'!$J67),'Prepare Gantt Chart'!AN67=0,0)</f>
        <v>0</v>
      </c>
      <c r="BK68" s="45">
        <f>_xlfn.IFS('Prepare Gantt Chart'!AO67=12,'Project types'!$L68*('Prepare Gantt Chart'!$I67*'Prepare Gantt Chart'!$J67),'Prepare Gantt Chart'!AO67=11,'Project types'!$L68*('Prepare Gantt Chart'!$I67*'Prepare Gantt Chart'!$J67),'Prepare Gantt Chart'!AO67=0,0)</f>
        <v>0</v>
      </c>
      <c r="BL68" s="46">
        <f t="shared" si="1"/>
        <v>0</v>
      </c>
      <c r="BM68" s="75">
        <f>IF('Prepare Gantt Chart'!$J67=0,0,SUM(AL68:AQ68)/6/'Prepare Gantt Chart'!$J67)</f>
        <v>0</v>
      </c>
      <c r="BN68" s="75">
        <f>IF('Prepare Gantt Chart'!$J67=0,0,SUM(AR68:AV68)/5/'Prepare Gantt Chart'!$J67)</f>
        <v>0</v>
      </c>
      <c r="BO68" s="75">
        <f>IF('Prepare Gantt Chart'!$J67=0,0,SUM(AW68:BA68)/5/'Prepare Gantt Chart'!$J67)</f>
        <v>0</v>
      </c>
      <c r="BP68" s="75">
        <f>IF('Prepare Gantt Chart'!$J67=0,0,SUM(BB68:BF68)/5/'Prepare Gantt Chart'!$J67)</f>
        <v>0</v>
      </c>
      <c r="BQ68" s="75">
        <f>IF('Prepare Gantt Chart'!$J67=0,0,SUM(BG68:BK68)/5/'Prepare Gantt Chart'!$J67)</f>
        <v>0</v>
      </c>
    </row>
    <row r="69" spans="1:69" x14ac:dyDescent="0.2">
      <c r="A69" s="33" t="s">
        <v>61</v>
      </c>
      <c r="B69" s="1" t="s">
        <v>145</v>
      </c>
      <c r="C69" s="45">
        <f>_xlfn.IFS('Prepare Gantt Chart'!P68=12,'Project types'!$O69*('Prepare Gantt Chart'!$I68*'Prepare Gantt Chart'!$J68),'Prepare Gantt Chart'!P68=11,'Project types'!$Q69*('Prepare Gantt Chart'!$I68*'Prepare Gantt Chart'!$J68),'Prepare Gantt Chart'!P68=0,0)</f>
        <v>0</v>
      </c>
      <c r="D69" s="45">
        <f>_xlfn.IFS('Prepare Gantt Chart'!Q68=12,'Project types'!$O69*('Prepare Gantt Chart'!$I68*'Prepare Gantt Chart'!$J68),'Prepare Gantt Chart'!Q68=11,'Project types'!$Q69*('Prepare Gantt Chart'!$I68*'Prepare Gantt Chart'!$J68),'Prepare Gantt Chart'!Q68=0,0)</f>
        <v>0</v>
      </c>
      <c r="E69" s="45">
        <f>_xlfn.IFS('Prepare Gantt Chart'!R68=12,'Project types'!$O69*('Prepare Gantt Chart'!$I68*'Prepare Gantt Chart'!$J68),'Prepare Gantt Chart'!R68=11,'Project types'!$Q69*('Prepare Gantt Chart'!$I68*'Prepare Gantt Chart'!$J68),'Prepare Gantt Chart'!R68=0,0)</f>
        <v>0</v>
      </c>
      <c r="F69" s="45">
        <f>_xlfn.IFS('Prepare Gantt Chart'!S68=12,'Project types'!$O69*('Prepare Gantt Chart'!$I68*'Prepare Gantt Chart'!$J68),'Prepare Gantt Chart'!S68=11,'Project types'!$Q69*('Prepare Gantt Chart'!$I68*'Prepare Gantt Chart'!$J68),'Prepare Gantt Chart'!S68=0,0)</f>
        <v>0</v>
      </c>
      <c r="G69" s="45">
        <f>_xlfn.IFS('Prepare Gantt Chart'!T68=12,'Project types'!$O69*('Prepare Gantt Chart'!$I68*'Prepare Gantt Chart'!$J68),'Prepare Gantt Chart'!T68=11,'Project types'!$Q69*('Prepare Gantt Chart'!$I68*'Prepare Gantt Chart'!$J68),'Prepare Gantt Chart'!T68=0,0)</f>
        <v>0</v>
      </c>
      <c r="H69" s="45">
        <f>_xlfn.IFS('Prepare Gantt Chart'!U68=12,'Project types'!$O69*('Prepare Gantt Chart'!$I68*'Prepare Gantt Chart'!$J68),'Prepare Gantt Chart'!U68=11,'Project types'!$Q69*('Prepare Gantt Chart'!$I68*'Prepare Gantt Chart'!$J68),'Prepare Gantt Chart'!U68=0,0)</f>
        <v>0</v>
      </c>
      <c r="I69" s="45">
        <f>_xlfn.IFS('Prepare Gantt Chart'!V68=12,'Project types'!$O69*('Prepare Gantt Chart'!$I68*'Prepare Gantt Chart'!$J68),'Prepare Gantt Chart'!V68=11,'Project types'!$Q69*('Prepare Gantt Chart'!$I68*'Prepare Gantt Chart'!$J68),'Prepare Gantt Chart'!V68=0,0)</f>
        <v>0</v>
      </c>
      <c r="J69" s="45">
        <f>_xlfn.IFS('Prepare Gantt Chart'!W68=12,'Project types'!$O69*('Prepare Gantt Chart'!$I68*'Prepare Gantt Chart'!$J68),'Prepare Gantt Chart'!W68=11,'Project types'!$Q69*('Prepare Gantt Chart'!$I68*'Prepare Gantt Chart'!$J68),'Prepare Gantt Chart'!W68=0,0)</f>
        <v>0</v>
      </c>
      <c r="K69" s="45">
        <f>_xlfn.IFS('Prepare Gantt Chart'!X68=12,'Project types'!$O69*('Prepare Gantt Chart'!$I68*'Prepare Gantt Chart'!$J68),'Prepare Gantt Chart'!X68=11,'Project types'!$Q69*('Prepare Gantt Chart'!$I68*'Prepare Gantt Chart'!$J68),'Prepare Gantt Chart'!X68=0,0)</f>
        <v>0</v>
      </c>
      <c r="L69" s="45">
        <f>_xlfn.IFS('Prepare Gantt Chart'!Y68=12,'Project types'!$O69*('Prepare Gantt Chart'!$I68*'Prepare Gantt Chart'!$J68),'Prepare Gantt Chart'!Y68=11,'Project types'!$Q69*('Prepare Gantt Chart'!$I68*'Prepare Gantt Chart'!$J68),'Prepare Gantt Chart'!Y68=0,0)</f>
        <v>0</v>
      </c>
      <c r="M69" s="45">
        <f>_xlfn.IFS('Prepare Gantt Chart'!Z68=12,'Project types'!$O69*('Prepare Gantt Chart'!$I68*'Prepare Gantt Chart'!$J68),'Prepare Gantt Chart'!Z68=11,'Project types'!$Q69*('Prepare Gantt Chart'!$I68*'Prepare Gantt Chart'!$J68),'Prepare Gantt Chart'!Z68=0,0)</f>
        <v>0</v>
      </c>
      <c r="N69" s="45">
        <f>_xlfn.IFS('Prepare Gantt Chart'!AA68=12,'Project types'!$O69*('Prepare Gantt Chart'!$I68*'Prepare Gantt Chart'!$J68),'Prepare Gantt Chart'!AA68=11,'Project types'!$Q69*('Prepare Gantt Chart'!$I68*'Prepare Gantt Chart'!$J68),'Prepare Gantt Chart'!AA68=0,0)</f>
        <v>0</v>
      </c>
      <c r="O69" s="45">
        <f>_xlfn.IFS('Prepare Gantt Chart'!AB68=12,'Project types'!$O69*('Prepare Gantt Chart'!$I68*'Prepare Gantt Chart'!$J68),'Prepare Gantt Chart'!AB68=11,'Project types'!$Q69*('Prepare Gantt Chart'!$I68*'Prepare Gantt Chart'!$J68),'Prepare Gantt Chart'!AB68=0,0)</f>
        <v>0</v>
      </c>
      <c r="P69" s="45">
        <f>_xlfn.IFS('Prepare Gantt Chart'!AC68=12,'Project types'!$O69*('Prepare Gantt Chart'!$I68*'Prepare Gantt Chart'!$J68),'Prepare Gantt Chart'!AC68=11,'Project types'!$Q69*('Prepare Gantt Chart'!$I68*'Prepare Gantt Chart'!$J68),'Prepare Gantt Chart'!AC68=0,0)</f>
        <v>0</v>
      </c>
      <c r="Q69" s="45">
        <f>_xlfn.IFS('Prepare Gantt Chart'!AD68=12,'Project types'!$O69*('Prepare Gantt Chart'!$I68*'Prepare Gantt Chart'!$J68),'Prepare Gantt Chart'!AD68=11,'Project types'!$Q69*('Prepare Gantt Chart'!$I68*'Prepare Gantt Chart'!$J68),'Prepare Gantt Chart'!AD68=0,0)</f>
        <v>0</v>
      </c>
      <c r="R69" s="45">
        <f>_xlfn.IFS('Prepare Gantt Chart'!AE68=12,'Project types'!$O69*('Prepare Gantt Chart'!$I68*'Prepare Gantt Chart'!$J68),'Prepare Gantt Chart'!AE68=11,'Project types'!$Q69*('Prepare Gantt Chart'!$I68*'Prepare Gantt Chart'!$J68),'Prepare Gantt Chart'!AE68=0,0)</f>
        <v>0</v>
      </c>
      <c r="S69" s="45">
        <f>_xlfn.IFS('Prepare Gantt Chart'!AF68=12,'Project types'!$O69*('Prepare Gantt Chart'!$I68*'Prepare Gantt Chart'!$J68),'Prepare Gantt Chart'!AF68=11,'Project types'!$Q69*('Prepare Gantt Chart'!$I68*'Prepare Gantt Chart'!$J68),'Prepare Gantt Chart'!AF68=0,0)</f>
        <v>0</v>
      </c>
      <c r="T69" s="45">
        <f>_xlfn.IFS('Prepare Gantt Chart'!AG68=12,'Project types'!$O69*('Prepare Gantt Chart'!$I68*'Prepare Gantt Chart'!$J68),'Prepare Gantt Chart'!AG68=11,'Project types'!$Q69*('Prepare Gantt Chart'!$I68*'Prepare Gantt Chart'!$J68),'Prepare Gantt Chart'!AG68=0,0)</f>
        <v>0</v>
      </c>
      <c r="U69" s="45">
        <f>_xlfn.IFS('Prepare Gantt Chart'!AH68=12,'Project types'!$O69*('Prepare Gantt Chart'!$I68*'Prepare Gantt Chart'!$J68),'Prepare Gantt Chart'!AH68=11,'Project types'!$Q69*('Prepare Gantt Chart'!$I68*'Prepare Gantt Chart'!$J68),'Prepare Gantt Chart'!AH68=0,0)</f>
        <v>0</v>
      </c>
      <c r="V69" s="45">
        <f>_xlfn.IFS('Prepare Gantt Chart'!AI68=12,'Project types'!$O69*('Prepare Gantt Chart'!$I68*'Prepare Gantt Chart'!$J68),'Prepare Gantt Chart'!AI68=11,'Project types'!$Q69*('Prepare Gantt Chart'!$I68*'Prepare Gantt Chart'!$J68),'Prepare Gantt Chart'!AI68=0,0)</f>
        <v>0</v>
      </c>
      <c r="W69" s="45">
        <f>_xlfn.IFS('Prepare Gantt Chart'!AJ68=12,'Project types'!$O69*('Prepare Gantt Chart'!$I68*'Prepare Gantt Chart'!$J68),'Prepare Gantt Chart'!AJ68=11,'Project types'!$Q69*('Prepare Gantt Chart'!$I68*'Prepare Gantt Chart'!$J68),'Prepare Gantt Chart'!AJ68=0,0)</f>
        <v>0</v>
      </c>
      <c r="X69" s="45">
        <f>_xlfn.IFS('Prepare Gantt Chart'!AK68=12,'Project types'!$O69*('Prepare Gantt Chart'!$I68*'Prepare Gantt Chart'!$J68),'Prepare Gantt Chart'!AK68=11,'Project types'!$Q69*('Prepare Gantt Chart'!$I68*'Prepare Gantt Chart'!$J68),'Prepare Gantt Chart'!AK68=0,0)</f>
        <v>0</v>
      </c>
      <c r="Y69" s="45">
        <f>_xlfn.IFS('Prepare Gantt Chart'!AL68=12,'Project types'!$O69*('Prepare Gantt Chart'!$I68*'Prepare Gantt Chart'!$J68),'Prepare Gantt Chart'!AL68=11,'Project types'!$Q69*('Prepare Gantt Chart'!$I68*'Prepare Gantt Chart'!$J68),'Prepare Gantt Chart'!AL68=0,0)</f>
        <v>0</v>
      </c>
      <c r="Z69" s="45">
        <f>_xlfn.IFS('Prepare Gantt Chart'!AM68=12,'Project types'!$O69*('Prepare Gantt Chart'!$I68*'Prepare Gantt Chart'!$J68),'Prepare Gantt Chart'!AM68=11,'Project types'!$Q69*('Prepare Gantt Chart'!$I68*'Prepare Gantt Chart'!$J68),'Prepare Gantt Chart'!AM68=0,0)</f>
        <v>0</v>
      </c>
      <c r="AA69" s="45">
        <f>_xlfn.IFS('Prepare Gantt Chart'!AN68=12,'Project types'!$O69*('Prepare Gantt Chart'!$I68*'Prepare Gantt Chart'!$J68),'Prepare Gantt Chart'!AN68=11,'Project types'!$Q69*('Prepare Gantt Chart'!$I68*'Prepare Gantt Chart'!$J68),'Prepare Gantt Chart'!AN68=0,0)</f>
        <v>0</v>
      </c>
      <c r="AB69" s="45">
        <f>_xlfn.IFS('Prepare Gantt Chart'!AO68=12,'Project types'!$O69*('Prepare Gantt Chart'!$I68*'Prepare Gantt Chart'!$J68),'Prepare Gantt Chart'!AO68=11,'Project types'!$Q69*('Prepare Gantt Chart'!$I68*'Prepare Gantt Chart'!$J68),'Prepare Gantt Chart'!AO68=0,0)</f>
        <v>0</v>
      </c>
      <c r="AC69" s="45">
        <f>'Prepare Gantt Chart'!J68*'Prepare Gantt Chart'!I68*(AD69/26)</f>
        <v>0</v>
      </c>
      <c r="AD69" s="46">
        <f t="shared" si="0"/>
        <v>0</v>
      </c>
      <c r="AE69" s="72">
        <f>IF('Prepare Gantt Chart'!$J68=0,0,SUM(C69:H69)/6/'Prepare Gantt Chart'!$J68)</f>
        <v>0</v>
      </c>
      <c r="AF69" s="72">
        <f>IF('Prepare Gantt Chart'!$J68=0,0,SUM(I69:M69)/5/'Prepare Gantt Chart'!$J68)</f>
        <v>0</v>
      </c>
      <c r="AG69" s="72">
        <f>IF('Prepare Gantt Chart'!$J68=0,0,SUM(N69:R69)/5/'Prepare Gantt Chart'!$J68)</f>
        <v>0</v>
      </c>
      <c r="AH69" s="72">
        <f>IF('Prepare Gantt Chart'!$J68=0,0,SUM(S69:W69)/5/'Prepare Gantt Chart'!$J68)</f>
        <v>0</v>
      </c>
      <c r="AI69" s="72">
        <f>IF('Prepare Gantt Chart'!$J68=0,0,SUM(X69:AB69)/5/'Prepare Gantt Chart'!$J68)</f>
        <v>0</v>
      </c>
      <c r="AK69" s="33" t="s">
        <v>61</v>
      </c>
      <c r="AL69" s="45">
        <f>_xlfn.IFS('Prepare Gantt Chart'!P68=12,'Project types'!$L69*('Prepare Gantt Chart'!$I68*'Prepare Gantt Chart'!$J68),'Prepare Gantt Chart'!P68=11,'Project types'!$L69*('Prepare Gantt Chart'!$I68*'Prepare Gantt Chart'!$J68),'Prepare Gantt Chart'!P68=0,0)</f>
        <v>0</v>
      </c>
      <c r="AM69" s="45">
        <f>_xlfn.IFS('Prepare Gantt Chart'!Q68=12,'Project types'!$L69*('Prepare Gantt Chart'!$I68*'Prepare Gantt Chart'!$J68),'Prepare Gantt Chart'!Q68=11,'Project types'!$L69*('Prepare Gantt Chart'!$I68*'Prepare Gantt Chart'!$J68),'Prepare Gantt Chart'!Q68=0,0)</f>
        <v>0</v>
      </c>
      <c r="AN69" s="45">
        <f>_xlfn.IFS('Prepare Gantt Chart'!R68=12,'Project types'!$L69*('Prepare Gantt Chart'!$I68*'Prepare Gantt Chart'!$J68),'Prepare Gantt Chart'!R68=11,'Project types'!$L69*('Prepare Gantt Chart'!$I68*'Prepare Gantt Chart'!$J68),'Prepare Gantt Chart'!R68=0,0)</f>
        <v>0</v>
      </c>
      <c r="AO69" s="45">
        <f>_xlfn.IFS('Prepare Gantt Chart'!S68=12,'Project types'!$L69*('Prepare Gantt Chart'!$I68*'Prepare Gantt Chart'!$J68),'Prepare Gantt Chart'!S68=11,'Project types'!$L69*('Prepare Gantt Chart'!$I68*'Prepare Gantt Chart'!$J68),'Prepare Gantt Chart'!S68=0,0)</f>
        <v>0</v>
      </c>
      <c r="AP69" s="45">
        <f>_xlfn.IFS('Prepare Gantt Chart'!T68=12,'Project types'!$L69*('Prepare Gantt Chart'!$I68*'Prepare Gantt Chart'!$J68),'Prepare Gantt Chart'!T68=11,'Project types'!$L69*('Prepare Gantt Chart'!$I68*'Prepare Gantt Chart'!$J68),'Prepare Gantt Chart'!T68=0,0)</f>
        <v>0</v>
      </c>
      <c r="AQ69" s="45">
        <f>_xlfn.IFS('Prepare Gantt Chart'!U68=12,'Project types'!$L69*('Prepare Gantt Chart'!$I68*'Prepare Gantt Chart'!$J68),'Prepare Gantt Chart'!U68=11,'Project types'!$L69*('Prepare Gantt Chart'!$I68*'Prepare Gantt Chart'!$J68),'Prepare Gantt Chart'!U68=0,0)</f>
        <v>0</v>
      </c>
      <c r="AR69" s="45">
        <f>_xlfn.IFS('Prepare Gantt Chart'!V68=12,'Project types'!$L69*('Prepare Gantt Chart'!$I68*'Prepare Gantt Chart'!$J68),'Prepare Gantt Chart'!V68=11,'Project types'!$L69*('Prepare Gantt Chart'!$I68*'Prepare Gantt Chart'!$J68),'Prepare Gantt Chart'!V68=0,0)</f>
        <v>0</v>
      </c>
      <c r="AS69" s="45">
        <f>_xlfn.IFS('Prepare Gantt Chart'!W68=12,'Project types'!$L69*('Prepare Gantt Chart'!$I68*'Prepare Gantt Chart'!$J68),'Prepare Gantt Chart'!W68=11,'Project types'!$L69*('Prepare Gantt Chart'!$I68*'Prepare Gantt Chart'!$J68),'Prepare Gantt Chart'!W68=0,0)</f>
        <v>0</v>
      </c>
      <c r="AT69" s="45">
        <f>_xlfn.IFS('Prepare Gantt Chart'!X68=12,'Project types'!$L69*('Prepare Gantt Chart'!$I68*'Prepare Gantt Chart'!$J68),'Prepare Gantt Chart'!X68=11,'Project types'!$L69*('Prepare Gantt Chart'!$I68*'Prepare Gantt Chart'!$J68),'Prepare Gantt Chart'!X68=0,0)</f>
        <v>0</v>
      </c>
      <c r="AU69" s="45">
        <f>_xlfn.IFS('Prepare Gantt Chart'!Y68=12,'Project types'!$L69*('Prepare Gantt Chart'!$I68*'Prepare Gantt Chart'!$J68),'Prepare Gantt Chart'!Y68=11,'Project types'!$L69*('Prepare Gantt Chart'!$I68*'Prepare Gantt Chart'!$J68),'Prepare Gantt Chart'!Y68=0,0)</f>
        <v>0</v>
      </c>
      <c r="AV69" s="45">
        <f>_xlfn.IFS('Prepare Gantt Chart'!Z68=12,'Project types'!$L69*('Prepare Gantt Chart'!$I68*'Prepare Gantt Chart'!$J68),'Prepare Gantt Chart'!Z68=11,'Project types'!$L69*('Prepare Gantt Chart'!$I68*'Prepare Gantt Chart'!$J68),'Prepare Gantt Chart'!Z68=0,0)</f>
        <v>0</v>
      </c>
      <c r="AW69" s="45">
        <f>_xlfn.IFS('Prepare Gantt Chart'!AA68=12,'Project types'!$L69*('Prepare Gantt Chart'!$I68*'Prepare Gantt Chart'!$J68),'Prepare Gantt Chart'!AA68=11,'Project types'!$L69*('Prepare Gantt Chart'!$I68*'Prepare Gantt Chart'!$J68),'Prepare Gantt Chart'!AA68=0,0)</f>
        <v>0</v>
      </c>
      <c r="AX69" s="45">
        <f>_xlfn.IFS('Prepare Gantt Chart'!AB68=12,'Project types'!$L69*('Prepare Gantt Chart'!$I68*'Prepare Gantt Chart'!$J68),'Prepare Gantt Chart'!AB68=11,'Project types'!$L69*('Prepare Gantt Chart'!$I68*'Prepare Gantt Chart'!$J68),'Prepare Gantt Chart'!AB68=0,0)</f>
        <v>0</v>
      </c>
      <c r="AY69" s="45">
        <f>_xlfn.IFS('Prepare Gantt Chart'!AC68=12,'Project types'!$L69*('Prepare Gantt Chart'!$I68*'Prepare Gantt Chart'!$J68),'Prepare Gantt Chart'!AC68=11,'Project types'!$L69*('Prepare Gantt Chart'!$I68*'Prepare Gantt Chart'!$J68),'Prepare Gantt Chart'!AC68=0,0)</f>
        <v>0</v>
      </c>
      <c r="AZ69" s="45">
        <f>_xlfn.IFS('Prepare Gantt Chart'!AD68=12,'Project types'!$L69*('Prepare Gantt Chart'!$I68*'Prepare Gantt Chart'!$J68),'Prepare Gantt Chart'!AD68=11,'Project types'!$L69*('Prepare Gantt Chart'!$I68*'Prepare Gantt Chart'!$J68),'Prepare Gantt Chart'!AD68=0,0)</f>
        <v>0</v>
      </c>
      <c r="BA69" s="45">
        <f>_xlfn.IFS('Prepare Gantt Chart'!AE68=12,'Project types'!$L69*('Prepare Gantt Chart'!$I68*'Prepare Gantt Chart'!$J68),'Prepare Gantt Chart'!AE68=11,'Project types'!$L69*('Prepare Gantt Chart'!$I68*'Prepare Gantt Chart'!$J68),'Prepare Gantt Chart'!AE68=0,0)</f>
        <v>0</v>
      </c>
      <c r="BB69" s="45">
        <f>_xlfn.IFS('Prepare Gantt Chart'!AF68=12,'Project types'!$L69*('Prepare Gantt Chart'!$I68*'Prepare Gantt Chart'!$J68),'Prepare Gantt Chart'!AF68=11,'Project types'!$L69*('Prepare Gantt Chart'!$I68*'Prepare Gantt Chart'!$J68),'Prepare Gantt Chart'!AF68=0,0)</f>
        <v>0</v>
      </c>
      <c r="BC69" s="45">
        <f>_xlfn.IFS('Prepare Gantt Chart'!AG68=12,'Project types'!$L69*('Prepare Gantt Chart'!$I68*'Prepare Gantt Chart'!$J68),'Prepare Gantt Chart'!AG68=11,'Project types'!$L69*('Prepare Gantt Chart'!$I68*'Prepare Gantt Chart'!$J68),'Prepare Gantt Chart'!AG68=0,0)</f>
        <v>0</v>
      </c>
      <c r="BD69" s="45">
        <f>_xlfn.IFS('Prepare Gantt Chart'!AH68=12,'Project types'!$L69*('Prepare Gantt Chart'!$I68*'Prepare Gantt Chart'!$J68),'Prepare Gantt Chart'!AH68=11,'Project types'!$L69*('Prepare Gantt Chart'!$I68*'Prepare Gantt Chart'!$J68),'Prepare Gantt Chart'!AH68=0,0)</f>
        <v>0</v>
      </c>
      <c r="BE69" s="45">
        <f>_xlfn.IFS('Prepare Gantt Chart'!AI68=12,'Project types'!$L69*('Prepare Gantt Chart'!$I68*'Prepare Gantt Chart'!$J68),'Prepare Gantt Chart'!AI68=11,'Project types'!$L69*('Prepare Gantt Chart'!$I68*'Prepare Gantt Chart'!$J68),'Prepare Gantt Chart'!AI68=0,0)</f>
        <v>0</v>
      </c>
      <c r="BF69" s="45">
        <f>_xlfn.IFS('Prepare Gantt Chart'!AJ68=12,'Project types'!$L69*('Prepare Gantt Chart'!$I68*'Prepare Gantt Chart'!$J68),'Prepare Gantt Chart'!AJ68=11,'Project types'!$L69*('Prepare Gantt Chart'!$I68*'Prepare Gantt Chart'!$J68),'Prepare Gantt Chart'!AJ68=0,0)</f>
        <v>0</v>
      </c>
      <c r="BG69" s="45">
        <f>_xlfn.IFS('Prepare Gantt Chart'!AK68=12,'Project types'!$L69*('Prepare Gantt Chart'!$I68*'Prepare Gantt Chart'!$J68),'Prepare Gantt Chart'!AK68=11,'Project types'!$L69*('Prepare Gantt Chart'!$I68*'Prepare Gantt Chart'!$J68),'Prepare Gantt Chart'!AK68=0,0)</f>
        <v>0</v>
      </c>
      <c r="BH69" s="45">
        <f>_xlfn.IFS('Prepare Gantt Chart'!AL68=12,'Project types'!$L69*('Prepare Gantt Chart'!$I68*'Prepare Gantt Chart'!$J68),'Prepare Gantt Chart'!AL68=11,'Project types'!$L69*('Prepare Gantt Chart'!$I68*'Prepare Gantt Chart'!$J68),'Prepare Gantt Chart'!AL68=0,0)</f>
        <v>0</v>
      </c>
      <c r="BI69" s="45">
        <f>_xlfn.IFS('Prepare Gantt Chart'!AM68=12,'Project types'!$L69*('Prepare Gantt Chart'!$I68*'Prepare Gantt Chart'!$J68),'Prepare Gantt Chart'!AM68=11,'Project types'!$L69*('Prepare Gantt Chart'!$I68*'Prepare Gantt Chart'!$J68),'Prepare Gantt Chart'!AM68=0,0)</f>
        <v>0</v>
      </c>
      <c r="BJ69" s="45">
        <f>_xlfn.IFS('Prepare Gantt Chart'!AN68=12,'Project types'!$L69*('Prepare Gantt Chart'!$I68*'Prepare Gantt Chart'!$J68),'Prepare Gantt Chart'!AN68=11,'Project types'!$L69*('Prepare Gantt Chart'!$I68*'Prepare Gantt Chart'!$J68),'Prepare Gantt Chart'!AN68=0,0)</f>
        <v>0</v>
      </c>
      <c r="BK69" s="45">
        <f>_xlfn.IFS('Prepare Gantt Chart'!AO68=12,'Project types'!$L69*('Prepare Gantt Chart'!$I68*'Prepare Gantt Chart'!$J68),'Prepare Gantt Chart'!AO68=11,'Project types'!$L69*('Prepare Gantt Chart'!$I68*'Prepare Gantt Chart'!$J68),'Prepare Gantt Chart'!AO68=0,0)</f>
        <v>0</v>
      </c>
      <c r="BL69" s="46">
        <f t="shared" si="1"/>
        <v>0</v>
      </c>
      <c r="BM69" s="75">
        <f>IF('Prepare Gantt Chart'!$J68=0,0,SUM(AL69:AQ69)/6/'Prepare Gantt Chart'!$J68)</f>
        <v>0</v>
      </c>
      <c r="BN69" s="75">
        <f>IF('Prepare Gantt Chart'!$J68=0,0,SUM(AR69:AV69)/5/'Prepare Gantt Chart'!$J68)</f>
        <v>0</v>
      </c>
      <c r="BO69" s="75">
        <f>IF('Prepare Gantt Chart'!$J68=0,0,SUM(AW69:BA69)/5/'Prepare Gantt Chart'!$J68)</f>
        <v>0</v>
      </c>
      <c r="BP69" s="75">
        <f>IF('Prepare Gantt Chart'!$J68=0,0,SUM(BB69:BF69)/5/'Prepare Gantt Chart'!$J68)</f>
        <v>0</v>
      </c>
      <c r="BQ69" s="75">
        <f>IF('Prepare Gantt Chart'!$J68=0,0,SUM(BG69:BK69)/5/'Prepare Gantt Chart'!$J68)</f>
        <v>0</v>
      </c>
    </row>
    <row r="70" spans="1:69" x14ac:dyDescent="0.2">
      <c r="A70" s="33" t="s">
        <v>62</v>
      </c>
      <c r="B70" s="1" t="s">
        <v>146</v>
      </c>
      <c r="C70" s="45">
        <f>_xlfn.IFS('Prepare Gantt Chart'!P69=12,'Project types'!$O70*('Prepare Gantt Chart'!$I69*'Prepare Gantt Chart'!$J69),'Prepare Gantt Chart'!P69=11,'Project types'!$Q70*('Prepare Gantt Chart'!$I69*'Prepare Gantt Chart'!$J69),'Prepare Gantt Chart'!P69=0,0)</f>
        <v>0</v>
      </c>
      <c r="D70" s="45">
        <f>_xlfn.IFS('Prepare Gantt Chart'!Q69=12,'Project types'!$O70*('Prepare Gantt Chart'!$I69*'Prepare Gantt Chart'!$J69),'Prepare Gantt Chart'!Q69=11,'Project types'!$Q70*('Prepare Gantt Chart'!$I69*'Prepare Gantt Chart'!$J69),'Prepare Gantt Chart'!Q69=0,0)</f>
        <v>0</v>
      </c>
      <c r="E70" s="45">
        <f>_xlfn.IFS('Prepare Gantt Chart'!R69=12,'Project types'!$O70*('Prepare Gantt Chart'!$I69*'Prepare Gantt Chart'!$J69),'Prepare Gantt Chart'!R69=11,'Project types'!$Q70*('Prepare Gantt Chart'!$I69*'Prepare Gantt Chart'!$J69),'Prepare Gantt Chart'!R69=0,0)</f>
        <v>0</v>
      </c>
      <c r="F70" s="45">
        <f>_xlfn.IFS('Prepare Gantt Chart'!S69=12,'Project types'!$O70*('Prepare Gantt Chart'!$I69*'Prepare Gantt Chart'!$J69),'Prepare Gantt Chart'!S69=11,'Project types'!$Q70*('Prepare Gantt Chart'!$I69*'Prepare Gantt Chart'!$J69),'Prepare Gantt Chart'!S69=0,0)</f>
        <v>0</v>
      </c>
      <c r="G70" s="45">
        <f>_xlfn.IFS('Prepare Gantt Chart'!T69=12,'Project types'!$O70*('Prepare Gantt Chart'!$I69*'Prepare Gantt Chart'!$J69),'Prepare Gantt Chart'!T69=11,'Project types'!$Q70*('Prepare Gantt Chart'!$I69*'Prepare Gantt Chart'!$J69),'Prepare Gantt Chart'!T69=0,0)</f>
        <v>0</v>
      </c>
      <c r="H70" s="45">
        <f>_xlfn.IFS('Prepare Gantt Chart'!U69=12,'Project types'!$O70*('Prepare Gantt Chart'!$I69*'Prepare Gantt Chart'!$J69),'Prepare Gantt Chart'!U69=11,'Project types'!$Q70*('Prepare Gantt Chart'!$I69*'Prepare Gantt Chart'!$J69),'Prepare Gantt Chart'!U69=0,0)</f>
        <v>0</v>
      </c>
      <c r="I70" s="45">
        <f>_xlfn.IFS('Prepare Gantt Chart'!V69=12,'Project types'!$O70*('Prepare Gantt Chart'!$I69*'Prepare Gantt Chart'!$J69),'Prepare Gantt Chart'!V69=11,'Project types'!$Q70*('Prepare Gantt Chart'!$I69*'Prepare Gantt Chart'!$J69),'Prepare Gantt Chart'!V69=0,0)</f>
        <v>0</v>
      </c>
      <c r="J70" s="45">
        <f>_xlfn.IFS('Prepare Gantt Chart'!W69=12,'Project types'!$O70*('Prepare Gantt Chart'!$I69*'Prepare Gantt Chart'!$J69),'Prepare Gantt Chart'!W69=11,'Project types'!$Q70*('Prepare Gantt Chart'!$I69*'Prepare Gantt Chart'!$J69),'Prepare Gantt Chart'!W69=0,0)</f>
        <v>0</v>
      </c>
      <c r="K70" s="45">
        <f>_xlfn.IFS('Prepare Gantt Chart'!X69=12,'Project types'!$O70*('Prepare Gantt Chart'!$I69*'Prepare Gantt Chart'!$J69),'Prepare Gantt Chart'!X69=11,'Project types'!$Q70*('Prepare Gantt Chart'!$I69*'Prepare Gantt Chart'!$J69),'Prepare Gantt Chart'!X69=0,0)</f>
        <v>0</v>
      </c>
      <c r="L70" s="45">
        <f>_xlfn.IFS('Prepare Gantt Chart'!Y69=12,'Project types'!$O70*('Prepare Gantt Chart'!$I69*'Prepare Gantt Chart'!$J69),'Prepare Gantt Chart'!Y69=11,'Project types'!$Q70*('Prepare Gantt Chart'!$I69*'Prepare Gantt Chart'!$J69),'Prepare Gantt Chart'!Y69=0,0)</f>
        <v>0</v>
      </c>
      <c r="M70" s="45">
        <f>_xlfn.IFS('Prepare Gantt Chart'!Z69=12,'Project types'!$O70*('Prepare Gantt Chart'!$I69*'Prepare Gantt Chart'!$J69),'Prepare Gantt Chart'!Z69=11,'Project types'!$Q70*('Prepare Gantt Chart'!$I69*'Prepare Gantt Chart'!$J69),'Prepare Gantt Chart'!Z69=0,0)</f>
        <v>0</v>
      </c>
      <c r="N70" s="45">
        <f>_xlfn.IFS('Prepare Gantt Chart'!AA69=12,'Project types'!$O70*('Prepare Gantt Chart'!$I69*'Prepare Gantt Chart'!$J69),'Prepare Gantt Chart'!AA69=11,'Project types'!$Q70*('Prepare Gantt Chart'!$I69*'Prepare Gantt Chart'!$J69),'Prepare Gantt Chart'!AA69=0,0)</f>
        <v>0</v>
      </c>
      <c r="O70" s="45">
        <f>_xlfn.IFS('Prepare Gantt Chart'!AB69=12,'Project types'!$O70*('Prepare Gantt Chart'!$I69*'Prepare Gantt Chart'!$J69),'Prepare Gantt Chart'!AB69=11,'Project types'!$Q70*('Prepare Gantt Chart'!$I69*'Prepare Gantt Chart'!$J69),'Prepare Gantt Chart'!AB69=0,0)</f>
        <v>0</v>
      </c>
      <c r="P70" s="45">
        <f>_xlfn.IFS('Prepare Gantt Chart'!AC69=12,'Project types'!$O70*('Prepare Gantt Chart'!$I69*'Prepare Gantt Chart'!$J69),'Prepare Gantt Chart'!AC69=11,'Project types'!$Q70*('Prepare Gantt Chart'!$I69*'Prepare Gantt Chart'!$J69),'Prepare Gantt Chart'!AC69=0,0)</f>
        <v>0</v>
      </c>
      <c r="Q70" s="45">
        <f>_xlfn.IFS('Prepare Gantt Chart'!AD69=12,'Project types'!$O70*('Prepare Gantt Chart'!$I69*'Prepare Gantt Chart'!$J69),'Prepare Gantt Chart'!AD69=11,'Project types'!$Q70*('Prepare Gantt Chart'!$I69*'Prepare Gantt Chart'!$J69),'Prepare Gantt Chart'!AD69=0,0)</f>
        <v>0</v>
      </c>
      <c r="R70" s="45">
        <f>_xlfn.IFS('Prepare Gantt Chart'!AE69=12,'Project types'!$O70*('Prepare Gantt Chart'!$I69*'Prepare Gantt Chart'!$J69),'Prepare Gantt Chart'!AE69=11,'Project types'!$Q70*('Prepare Gantt Chart'!$I69*'Prepare Gantt Chart'!$J69),'Prepare Gantt Chart'!AE69=0,0)</f>
        <v>0</v>
      </c>
      <c r="S70" s="45">
        <f>_xlfn.IFS('Prepare Gantt Chart'!AF69=12,'Project types'!$O70*('Prepare Gantt Chart'!$I69*'Prepare Gantt Chart'!$J69),'Prepare Gantt Chart'!AF69=11,'Project types'!$Q70*('Prepare Gantt Chart'!$I69*'Prepare Gantt Chart'!$J69),'Prepare Gantt Chart'!AF69=0,0)</f>
        <v>0</v>
      </c>
      <c r="T70" s="45">
        <f>_xlfn.IFS('Prepare Gantt Chart'!AG69=12,'Project types'!$O70*('Prepare Gantt Chart'!$I69*'Prepare Gantt Chart'!$J69),'Prepare Gantt Chart'!AG69=11,'Project types'!$Q70*('Prepare Gantt Chart'!$I69*'Prepare Gantt Chart'!$J69),'Prepare Gantt Chart'!AG69=0,0)</f>
        <v>0</v>
      </c>
      <c r="U70" s="45">
        <f>_xlfn.IFS('Prepare Gantt Chart'!AH69=12,'Project types'!$O70*('Prepare Gantt Chart'!$I69*'Prepare Gantt Chart'!$J69),'Prepare Gantt Chart'!AH69=11,'Project types'!$Q70*('Prepare Gantt Chart'!$I69*'Prepare Gantt Chart'!$J69),'Prepare Gantt Chart'!AH69=0,0)</f>
        <v>0</v>
      </c>
      <c r="V70" s="45">
        <f>_xlfn.IFS('Prepare Gantt Chart'!AI69=12,'Project types'!$O70*('Prepare Gantt Chart'!$I69*'Prepare Gantt Chart'!$J69),'Prepare Gantt Chart'!AI69=11,'Project types'!$Q70*('Prepare Gantt Chart'!$I69*'Prepare Gantt Chart'!$J69),'Prepare Gantt Chart'!AI69=0,0)</f>
        <v>0</v>
      </c>
      <c r="W70" s="45">
        <f>_xlfn.IFS('Prepare Gantt Chart'!AJ69=12,'Project types'!$O70*('Prepare Gantt Chart'!$I69*'Prepare Gantt Chart'!$J69),'Prepare Gantt Chart'!AJ69=11,'Project types'!$Q70*('Prepare Gantt Chart'!$I69*'Prepare Gantt Chart'!$J69),'Prepare Gantt Chart'!AJ69=0,0)</f>
        <v>0</v>
      </c>
      <c r="X70" s="45">
        <f>_xlfn.IFS('Prepare Gantt Chart'!AK69=12,'Project types'!$O70*('Prepare Gantt Chart'!$I69*'Prepare Gantt Chart'!$J69),'Prepare Gantt Chart'!AK69=11,'Project types'!$Q70*('Prepare Gantt Chart'!$I69*'Prepare Gantt Chart'!$J69),'Prepare Gantt Chart'!AK69=0,0)</f>
        <v>0</v>
      </c>
      <c r="Y70" s="45">
        <f>_xlfn.IFS('Prepare Gantt Chart'!AL69=12,'Project types'!$O70*('Prepare Gantt Chart'!$I69*'Prepare Gantt Chart'!$J69),'Prepare Gantt Chart'!AL69=11,'Project types'!$Q70*('Prepare Gantt Chart'!$I69*'Prepare Gantt Chart'!$J69),'Prepare Gantt Chart'!AL69=0,0)</f>
        <v>0</v>
      </c>
      <c r="Z70" s="45">
        <f>_xlfn.IFS('Prepare Gantt Chart'!AM69=12,'Project types'!$O70*('Prepare Gantt Chart'!$I69*'Prepare Gantt Chart'!$J69),'Prepare Gantt Chart'!AM69=11,'Project types'!$Q70*('Prepare Gantt Chart'!$I69*'Prepare Gantt Chart'!$J69),'Prepare Gantt Chart'!AM69=0,0)</f>
        <v>0</v>
      </c>
      <c r="AA70" s="45">
        <f>_xlfn.IFS('Prepare Gantt Chart'!AN69=12,'Project types'!$O70*('Prepare Gantt Chart'!$I69*'Prepare Gantt Chart'!$J69),'Prepare Gantt Chart'!AN69=11,'Project types'!$Q70*('Prepare Gantt Chart'!$I69*'Prepare Gantt Chart'!$J69),'Prepare Gantt Chart'!AN69=0,0)</f>
        <v>0</v>
      </c>
      <c r="AB70" s="45">
        <f>_xlfn.IFS('Prepare Gantt Chart'!AO69=12,'Project types'!$O70*('Prepare Gantt Chart'!$I69*'Prepare Gantt Chart'!$J69),'Prepare Gantt Chart'!AO69=11,'Project types'!$Q70*('Prepare Gantt Chart'!$I69*'Prepare Gantt Chart'!$J69),'Prepare Gantt Chart'!AO69=0,0)</f>
        <v>0</v>
      </c>
      <c r="AC70" s="45">
        <f>'Prepare Gantt Chart'!J69*'Prepare Gantt Chart'!I69*(AD70/26)</f>
        <v>0</v>
      </c>
      <c r="AD70" s="46">
        <f t="shared" si="0"/>
        <v>0</v>
      </c>
      <c r="AE70" s="72">
        <f>IF('Prepare Gantt Chart'!$J69=0,0,SUM(C70:H70)/6/'Prepare Gantt Chart'!$J69)</f>
        <v>0</v>
      </c>
      <c r="AF70" s="72">
        <f>IF('Prepare Gantt Chart'!$J69=0,0,SUM(I70:M70)/5/'Prepare Gantt Chart'!$J69)</f>
        <v>0</v>
      </c>
      <c r="AG70" s="72">
        <f>IF('Prepare Gantt Chart'!$J69=0,0,SUM(N70:R70)/5/'Prepare Gantt Chart'!$J69)</f>
        <v>0</v>
      </c>
      <c r="AH70" s="72">
        <f>IF('Prepare Gantt Chart'!$J69=0,0,SUM(S70:W70)/5/'Prepare Gantt Chart'!$J69)</f>
        <v>0</v>
      </c>
      <c r="AI70" s="72">
        <f>IF('Prepare Gantt Chart'!$J69=0,0,SUM(X70:AB70)/5/'Prepare Gantt Chart'!$J69)</f>
        <v>0</v>
      </c>
      <c r="AK70" s="33" t="s">
        <v>62</v>
      </c>
      <c r="AL70" s="45">
        <f>_xlfn.IFS('Prepare Gantt Chart'!P69=12,'Project types'!$L70*('Prepare Gantt Chart'!$I69*'Prepare Gantt Chart'!$J69),'Prepare Gantt Chart'!P69=11,'Project types'!$L70*('Prepare Gantt Chart'!$I69*'Prepare Gantt Chart'!$J69),'Prepare Gantt Chart'!P69=0,0)</f>
        <v>0</v>
      </c>
      <c r="AM70" s="45">
        <f>_xlfn.IFS('Prepare Gantt Chart'!Q69=12,'Project types'!$L70*('Prepare Gantt Chart'!$I69*'Prepare Gantt Chart'!$J69),'Prepare Gantt Chart'!Q69=11,'Project types'!$L70*('Prepare Gantt Chart'!$I69*'Prepare Gantt Chart'!$J69),'Prepare Gantt Chart'!Q69=0,0)</f>
        <v>0</v>
      </c>
      <c r="AN70" s="45">
        <f>_xlfn.IFS('Prepare Gantt Chart'!R69=12,'Project types'!$L70*('Prepare Gantt Chart'!$I69*'Prepare Gantt Chart'!$J69),'Prepare Gantt Chart'!R69=11,'Project types'!$L70*('Prepare Gantt Chart'!$I69*'Prepare Gantt Chart'!$J69),'Prepare Gantt Chart'!R69=0,0)</f>
        <v>0</v>
      </c>
      <c r="AO70" s="45">
        <f>_xlfn.IFS('Prepare Gantt Chart'!S69=12,'Project types'!$L70*('Prepare Gantt Chart'!$I69*'Prepare Gantt Chart'!$J69),'Prepare Gantt Chart'!S69=11,'Project types'!$L70*('Prepare Gantt Chart'!$I69*'Prepare Gantt Chart'!$J69),'Prepare Gantt Chart'!S69=0,0)</f>
        <v>0</v>
      </c>
      <c r="AP70" s="45">
        <f>_xlfn.IFS('Prepare Gantt Chart'!T69=12,'Project types'!$L70*('Prepare Gantt Chart'!$I69*'Prepare Gantt Chart'!$J69),'Prepare Gantt Chart'!T69=11,'Project types'!$L70*('Prepare Gantt Chart'!$I69*'Prepare Gantt Chart'!$J69),'Prepare Gantt Chart'!T69=0,0)</f>
        <v>0</v>
      </c>
      <c r="AQ70" s="45">
        <f>_xlfn.IFS('Prepare Gantt Chart'!U69=12,'Project types'!$L70*('Prepare Gantt Chart'!$I69*'Prepare Gantt Chart'!$J69),'Prepare Gantt Chart'!U69=11,'Project types'!$L70*('Prepare Gantt Chart'!$I69*'Prepare Gantt Chart'!$J69),'Prepare Gantt Chart'!U69=0,0)</f>
        <v>0</v>
      </c>
      <c r="AR70" s="45">
        <f>_xlfn.IFS('Prepare Gantt Chart'!V69=12,'Project types'!$L70*('Prepare Gantt Chart'!$I69*'Prepare Gantt Chart'!$J69),'Prepare Gantt Chart'!V69=11,'Project types'!$L70*('Prepare Gantt Chart'!$I69*'Prepare Gantt Chart'!$J69),'Prepare Gantt Chart'!V69=0,0)</f>
        <v>0</v>
      </c>
      <c r="AS70" s="45">
        <f>_xlfn.IFS('Prepare Gantt Chart'!W69=12,'Project types'!$L70*('Prepare Gantt Chart'!$I69*'Prepare Gantt Chart'!$J69),'Prepare Gantt Chart'!W69=11,'Project types'!$L70*('Prepare Gantt Chart'!$I69*'Prepare Gantt Chart'!$J69),'Prepare Gantt Chart'!W69=0,0)</f>
        <v>0</v>
      </c>
      <c r="AT70" s="45">
        <f>_xlfn.IFS('Prepare Gantt Chart'!X69=12,'Project types'!$L70*('Prepare Gantt Chart'!$I69*'Prepare Gantt Chart'!$J69),'Prepare Gantt Chart'!X69=11,'Project types'!$L70*('Prepare Gantt Chart'!$I69*'Prepare Gantt Chart'!$J69),'Prepare Gantt Chart'!X69=0,0)</f>
        <v>0</v>
      </c>
      <c r="AU70" s="45">
        <f>_xlfn.IFS('Prepare Gantt Chart'!Y69=12,'Project types'!$L70*('Prepare Gantt Chart'!$I69*'Prepare Gantt Chart'!$J69),'Prepare Gantt Chart'!Y69=11,'Project types'!$L70*('Prepare Gantt Chart'!$I69*'Prepare Gantt Chart'!$J69),'Prepare Gantt Chart'!Y69=0,0)</f>
        <v>0</v>
      </c>
      <c r="AV70" s="45">
        <f>_xlfn.IFS('Prepare Gantt Chart'!Z69=12,'Project types'!$L70*('Prepare Gantt Chart'!$I69*'Prepare Gantt Chart'!$J69),'Prepare Gantt Chart'!Z69=11,'Project types'!$L70*('Prepare Gantt Chart'!$I69*'Prepare Gantt Chart'!$J69),'Prepare Gantt Chart'!Z69=0,0)</f>
        <v>0</v>
      </c>
      <c r="AW70" s="45">
        <f>_xlfn.IFS('Prepare Gantt Chart'!AA69=12,'Project types'!$L70*('Prepare Gantt Chart'!$I69*'Prepare Gantt Chart'!$J69),'Prepare Gantt Chart'!AA69=11,'Project types'!$L70*('Prepare Gantt Chart'!$I69*'Prepare Gantt Chart'!$J69),'Prepare Gantt Chart'!AA69=0,0)</f>
        <v>0</v>
      </c>
      <c r="AX70" s="45">
        <f>_xlfn.IFS('Prepare Gantt Chart'!AB69=12,'Project types'!$L70*('Prepare Gantt Chart'!$I69*'Prepare Gantt Chart'!$J69),'Prepare Gantt Chart'!AB69=11,'Project types'!$L70*('Prepare Gantt Chart'!$I69*'Prepare Gantt Chart'!$J69),'Prepare Gantt Chart'!AB69=0,0)</f>
        <v>0</v>
      </c>
      <c r="AY70" s="45">
        <f>_xlfn.IFS('Prepare Gantt Chart'!AC69=12,'Project types'!$L70*('Prepare Gantt Chart'!$I69*'Prepare Gantt Chart'!$J69),'Prepare Gantt Chart'!AC69=11,'Project types'!$L70*('Prepare Gantt Chart'!$I69*'Prepare Gantt Chart'!$J69),'Prepare Gantt Chart'!AC69=0,0)</f>
        <v>0</v>
      </c>
      <c r="AZ70" s="45">
        <f>_xlfn.IFS('Prepare Gantt Chart'!AD69=12,'Project types'!$L70*('Prepare Gantt Chart'!$I69*'Prepare Gantt Chart'!$J69),'Prepare Gantt Chart'!AD69=11,'Project types'!$L70*('Prepare Gantt Chart'!$I69*'Prepare Gantt Chart'!$J69),'Prepare Gantt Chart'!AD69=0,0)</f>
        <v>0</v>
      </c>
      <c r="BA70" s="45">
        <f>_xlfn.IFS('Prepare Gantt Chart'!AE69=12,'Project types'!$L70*('Prepare Gantt Chart'!$I69*'Prepare Gantt Chart'!$J69),'Prepare Gantt Chart'!AE69=11,'Project types'!$L70*('Prepare Gantt Chart'!$I69*'Prepare Gantt Chart'!$J69),'Prepare Gantt Chart'!AE69=0,0)</f>
        <v>0</v>
      </c>
      <c r="BB70" s="45">
        <f>_xlfn.IFS('Prepare Gantt Chart'!AF69=12,'Project types'!$L70*('Prepare Gantt Chart'!$I69*'Prepare Gantt Chart'!$J69),'Prepare Gantt Chart'!AF69=11,'Project types'!$L70*('Prepare Gantt Chart'!$I69*'Prepare Gantt Chart'!$J69),'Prepare Gantt Chart'!AF69=0,0)</f>
        <v>0</v>
      </c>
      <c r="BC70" s="45">
        <f>_xlfn.IFS('Prepare Gantt Chart'!AG69=12,'Project types'!$L70*('Prepare Gantt Chart'!$I69*'Prepare Gantt Chart'!$J69),'Prepare Gantt Chart'!AG69=11,'Project types'!$L70*('Prepare Gantt Chart'!$I69*'Prepare Gantt Chart'!$J69),'Prepare Gantt Chart'!AG69=0,0)</f>
        <v>0</v>
      </c>
      <c r="BD70" s="45">
        <f>_xlfn.IFS('Prepare Gantt Chart'!AH69=12,'Project types'!$L70*('Prepare Gantt Chart'!$I69*'Prepare Gantt Chart'!$J69),'Prepare Gantt Chart'!AH69=11,'Project types'!$L70*('Prepare Gantt Chart'!$I69*'Prepare Gantt Chart'!$J69),'Prepare Gantt Chart'!AH69=0,0)</f>
        <v>0</v>
      </c>
      <c r="BE70" s="45">
        <f>_xlfn.IFS('Prepare Gantt Chart'!AI69=12,'Project types'!$L70*('Prepare Gantt Chart'!$I69*'Prepare Gantt Chart'!$J69),'Prepare Gantt Chart'!AI69=11,'Project types'!$L70*('Prepare Gantt Chart'!$I69*'Prepare Gantt Chart'!$J69),'Prepare Gantt Chart'!AI69=0,0)</f>
        <v>0</v>
      </c>
      <c r="BF70" s="45">
        <f>_xlfn.IFS('Prepare Gantt Chart'!AJ69=12,'Project types'!$L70*('Prepare Gantt Chart'!$I69*'Prepare Gantt Chart'!$J69),'Prepare Gantt Chart'!AJ69=11,'Project types'!$L70*('Prepare Gantt Chart'!$I69*'Prepare Gantt Chart'!$J69),'Prepare Gantt Chart'!AJ69=0,0)</f>
        <v>0</v>
      </c>
      <c r="BG70" s="45">
        <f>_xlfn.IFS('Prepare Gantt Chart'!AK69=12,'Project types'!$L70*('Prepare Gantt Chart'!$I69*'Prepare Gantt Chart'!$J69),'Prepare Gantt Chart'!AK69=11,'Project types'!$L70*('Prepare Gantt Chart'!$I69*'Prepare Gantt Chart'!$J69),'Prepare Gantt Chart'!AK69=0,0)</f>
        <v>0</v>
      </c>
      <c r="BH70" s="45">
        <f>_xlfn.IFS('Prepare Gantt Chart'!AL69=12,'Project types'!$L70*('Prepare Gantt Chart'!$I69*'Prepare Gantt Chart'!$J69),'Prepare Gantt Chart'!AL69=11,'Project types'!$L70*('Prepare Gantt Chart'!$I69*'Prepare Gantt Chart'!$J69),'Prepare Gantt Chart'!AL69=0,0)</f>
        <v>0</v>
      </c>
      <c r="BI70" s="45">
        <f>_xlfn.IFS('Prepare Gantt Chart'!AM69=12,'Project types'!$L70*('Prepare Gantt Chart'!$I69*'Prepare Gantt Chart'!$J69),'Prepare Gantt Chart'!AM69=11,'Project types'!$L70*('Prepare Gantt Chart'!$I69*'Prepare Gantt Chart'!$J69),'Prepare Gantt Chart'!AM69=0,0)</f>
        <v>0</v>
      </c>
      <c r="BJ70" s="45">
        <f>_xlfn.IFS('Prepare Gantt Chart'!AN69=12,'Project types'!$L70*('Prepare Gantt Chart'!$I69*'Prepare Gantt Chart'!$J69),'Prepare Gantt Chart'!AN69=11,'Project types'!$L70*('Prepare Gantt Chart'!$I69*'Prepare Gantt Chart'!$J69),'Prepare Gantt Chart'!AN69=0,0)</f>
        <v>0</v>
      </c>
      <c r="BK70" s="45">
        <f>_xlfn.IFS('Prepare Gantt Chart'!AO69=12,'Project types'!$L70*('Prepare Gantt Chart'!$I69*'Prepare Gantt Chart'!$J69),'Prepare Gantt Chart'!AO69=11,'Project types'!$L70*('Prepare Gantt Chart'!$I69*'Prepare Gantt Chart'!$J69),'Prepare Gantt Chart'!AO69=0,0)</f>
        <v>0</v>
      </c>
      <c r="BL70" s="46">
        <f t="shared" si="1"/>
        <v>0</v>
      </c>
      <c r="BM70" s="75">
        <f>IF('Prepare Gantt Chart'!$J69=0,0,SUM(AL70:AQ70)/6/'Prepare Gantt Chart'!$J69)</f>
        <v>0</v>
      </c>
      <c r="BN70" s="75">
        <f>IF('Prepare Gantt Chart'!$J69=0,0,SUM(AR70:AV70)/5/'Prepare Gantt Chart'!$J69)</f>
        <v>0</v>
      </c>
      <c r="BO70" s="75">
        <f>IF('Prepare Gantt Chart'!$J69=0,0,SUM(AW70:BA70)/5/'Prepare Gantt Chart'!$J69)</f>
        <v>0</v>
      </c>
      <c r="BP70" s="75">
        <f>IF('Prepare Gantt Chart'!$J69=0,0,SUM(BB70:BF70)/5/'Prepare Gantt Chart'!$J69)</f>
        <v>0</v>
      </c>
      <c r="BQ70" s="75">
        <f>IF('Prepare Gantt Chart'!$J69=0,0,SUM(BG70:BK70)/5/'Prepare Gantt Chart'!$J69)</f>
        <v>0</v>
      </c>
    </row>
    <row r="71" spans="1:69" x14ac:dyDescent="0.2">
      <c r="A71" s="33" t="s">
        <v>63</v>
      </c>
      <c r="B71" s="1" t="s">
        <v>147</v>
      </c>
      <c r="C71" s="45">
        <f>_xlfn.IFS('Prepare Gantt Chart'!P70=12,'Project types'!$O71*('Prepare Gantt Chart'!$I70*'Prepare Gantt Chart'!$J70),'Prepare Gantt Chart'!P70=11,'Project types'!$Q71*('Prepare Gantt Chart'!$I70*'Prepare Gantt Chart'!$J70),'Prepare Gantt Chart'!P70=0,0)</f>
        <v>0</v>
      </c>
      <c r="D71" s="45">
        <f>_xlfn.IFS('Prepare Gantt Chart'!Q70=12,'Project types'!$O71*('Prepare Gantt Chart'!$I70*'Prepare Gantt Chart'!$J70),'Prepare Gantt Chart'!Q70=11,'Project types'!$Q71*('Prepare Gantt Chart'!$I70*'Prepare Gantt Chart'!$J70),'Prepare Gantt Chart'!Q70=0,0)</f>
        <v>0</v>
      </c>
      <c r="E71" s="45">
        <f>_xlfn.IFS('Prepare Gantt Chart'!R70=12,'Project types'!$O71*('Prepare Gantt Chart'!$I70*'Prepare Gantt Chart'!$J70),'Prepare Gantt Chart'!R70=11,'Project types'!$Q71*('Prepare Gantt Chart'!$I70*'Prepare Gantt Chart'!$J70),'Prepare Gantt Chart'!R70=0,0)</f>
        <v>0</v>
      </c>
      <c r="F71" s="45">
        <f>_xlfn.IFS('Prepare Gantt Chart'!S70=12,'Project types'!$O71*('Prepare Gantt Chart'!$I70*'Prepare Gantt Chart'!$J70),'Prepare Gantt Chart'!S70=11,'Project types'!$Q71*('Prepare Gantt Chart'!$I70*'Prepare Gantt Chart'!$J70),'Prepare Gantt Chart'!S70=0,0)</f>
        <v>0</v>
      </c>
      <c r="G71" s="45">
        <f>_xlfn.IFS('Prepare Gantt Chart'!T70=12,'Project types'!$O71*('Prepare Gantt Chart'!$I70*'Prepare Gantt Chart'!$J70),'Prepare Gantt Chart'!T70=11,'Project types'!$Q71*('Prepare Gantt Chart'!$I70*'Prepare Gantt Chart'!$J70),'Prepare Gantt Chart'!T70=0,0)</f>
        <v>0</v>
      </c>
      <c r="H71" s="45">
        <f>_xlfn.IFS('Prepare Gantt Chart'!U70=12,'Project types'!$O71*('Prepare Gantt Chart'!$I70*'Prepare Gantt Chart'!$J70),'Prepare Gantt Chart'!U70=11,'Project types'!$Q71*('Prepare Gantt Chart'!$I70*'Prepare Gantt Chart'!$J70),'Prepare Gantt Chart'!U70=0,0)</f>
        <v>0</v>
      </c>
      <c r="I71" s="45">
        <f>_xlfn.IFS('Prepare Gantt Chart'!V70=12,'Project types'!$O71*('Prepare Gantt Chart'!$I70*'Prepare Gantt Chart'!$J70),'Prepare Gantt Chart'!V70=11,'Project types'!$Q71*('Prepare Gantt Chart'!$I70*'Prepare Gantt Chart'!$J70),'Prepare Gantt Chart'!V70=0,0)</f>
        <v>0</v>
      </c>
      <c r="J71" s="45">
        <f>_xlfn.IFS('Prepare Gantt Chart'!W70=12,'Project types'!$O71*('Prepare Gantt Chart'!$I70*'Prepare Gantt Chart'!$J70),'Prepare Gantt Chart'!W70=11,'Project types'!$Q71*('Prepare Gantt Chart'!$I70*'Prepare Gantt Chart'!$J70),'Prepare Gantt Chart'!W70=0,0)</f>
        <v>0</v>
      </c>
      <c r="K71" s="45">
        <f>_xlfn.IFS('Prepare Gantt Chart'!X70=12,'Project types'!$O71*('Prepare Gantt Chart'!$I70*'Prepare Gantt Chart'!$J70),'Prepare Gantt Chart'!X70=11,'Project types'!$Q71*('Prepare Gantt Chart'!$I70*'Prepare Gantt Chart'!$J70),'Prepare Gantt Chart'!X70=0,0)</f>
        <v>0</v>
      </c>
      <c r="L71" s="45">
        <f>_xlfn.IFS('Prepare Gantt Chart'!Y70=12,'Project types'!$O71*('Prepare Gantt Chart'!$I70*'Prepare Gantt Chart'!$J70),'Prepare Gantt Chart'!Y70=11,'Project types'!$Q71*('Prepare Gantt Chart'!$I70*'Prepare Gantt Chart'!$J70),'Prepare Gantt Chart'!Y70=0,0)</f>
        <v>0</v>
      </c>
      <c r="M71" s="45">
        <f>_xlfn.IFS('Prepare Gantt Chart'!Z70=12,'Project types'!$O71*('Prepare Gantt Chart'!$I70*'Prepare Gantt Chart'!$J70),'Prepare Gantt Chart'!Z70=11,'Project types'!$Q71*('Prepare Gantt Chart'!$I70*'Prepare Gantt Chart'!$J70),'Prepare Gantt Chart'!Z70=0,0)</f>
        <v>0</v>
      </c>
      <c r="N71" s="45">
        <f>_xlfn.IFS('Prepare Gantt Chart'!AA70=12,'Project types'!$O71*('Prepare Gantt Chart'!$I70*'Prepare Gantt Chart'!$J70),'Prepare Gantt Chart'!AA70=11,'Project types'!$Q71*('Prepare Gantt Chart'!$I70*'Prepare Gantt Chart'!$J70),'Prepare Gantt Chart'!AA70=0,0)</f>
        <v>0</v>
      </c>
      <c r="O71" s="45">
        <f>_xlfn.IFS('Prepare Gantt Chart'!AB70=12,'Project types'!$O71*('Prepare Gantt Chart'!$I70*'Prepare Gantt Chart'!$J70),'Prepare Gantt Chart'!AB70=11,'Project types'!$Q71*('Prepare Gantt Chart'!$I70*'Prepare Gantt Chart'!$J70),'Prepare Gantt Chart'!AB70=0,0)</f>
        <v>0</v>
      </c>
      <c r="P71" s="45">
        <f>_xlfn.IFS('Prepare Gantt Chart'!AC70=12,'Project types'!$O71*('Prepare Gantt Chart'!$I70*'Prepare Gantt Chart'!$J70),'Prepare Gantt Chart'!AC70=11,'Project types'!$Q71*('Prepare Gantt Chart'!$I70*'Prepare Gantt Chart'!$J70),'Prepare Gantt Chart'!AC70=0,0)</f>
        <v>0</v>
      </c>
      <c r="Q71" s="45">
        <f>_xlfn.IFS('Prepare Gantt Chart'!AD70=12,'Project types'!$O71*('Prepare Gantt Chart'!$I70*'Prepare Gantt Chart'!$J70),'Prepare Gantt Chart'!AD70=11,'Project types'!$Q71*('Prepare Gantt Chart'!$I70*'Prepare Gantt Chart'!$J70),'Prepare Gantt Chart'!AD70=0,0)</f>
        <v>0</v>
      </c>
      <c r="R71" s="45">
        <f>_xlfn.IFS('Prepare Gantt Chart'!AE70=12,'Project types'!$O71*('Prepare Gantt Chart'!$I70*'Prepare Gantt Chart'!$J70),'Prepare Gantt Chart'!AE70=11,'Project types'!$Q71*('Prepare Gantt Chart'!$I70*'Prepare Gantt Chart'!$J70),'Prepare Gantt Chart'!AE70=0,0)</f>
        <v>0</v>
      </c>
      <c r="S71" s="45">
        <f>_xlfn.IFS('Prepare Gantt Chart'!AF70=12,'Project types'!$O71*('Prepare Gantt Chart'!$I70*'Prepare Gantt Chart'!$J70),'Prepare Gantt Chart'!AF70=11,'Project types'!$Q71*('Prepare Gantt Chart'!$I70*'Prepare Gantt Chart'!$J70),'Prepare Gantt Chart'!AF70=0,0)</f>
        <v>0</v>
      </c>
      <c r="T71" s="45">
        <f>_xlfn.IFS('Prepare Gantt Chart'!AG70=12,'Project types'!$O71*('Prepare Gantt Chart'!$I70*'Prepare Gantt Chart'!$J70),'Prepare Gantt Chart'!AG70=11,'Project types'!$Q71*('Prepare Gantt Chart'!$I70*'Prepare Gantt Chart'!$J70),'Prepare Gantt Chart'!AG70=0,0)</f>
        <v>0</v>
      </c>
      <c r="U71" s="45">
        <f>_xlfn.IFS('Prepare Gantt Chart'!AH70=12,'Project types'!$O71*('Prepare Gantt Chart'!$I70*'Prepare Gantt Chart'!$J70),'Prepare Gantt Chart'!AH70=11,'Project types'!$Q71*('Prepare Gantt Chart'!$I70*'Prepare Gantt Chart'!$J70),'Prepare Gantt Chart'!AH70=0,0)</f>
        <v>0</v>
      </c>
      <c r="V71" s="45">
        <f>_xlfn.IFS('Prepare Gantt Chart'!AI70=12,'Project types'!$O71*('Prepare Gantt Chart'!$I70*'Prepare Gantt Chart'!$J70),'Prepare Gantt Chart'!AI70=11,'Project types'!$Q71*('Prepare Gantt Chart'!$I70*'Prepare Gantt Chart'!$J70),'Prepare Gantt Chart'!AI70=0,0)</f>
        <v>0</v>
      </c>
      <c r="W71" s="45">
        <f>_xlfn.IFS('Prepare Gantt Chart'!AJ70=12,'Project types'!$O71*('Prepare Gantt Chart'!$I70*'Prepare Gantt Chart'!$J70),'Prepare Gantt Chart'!AJ70=11,'Project types'!$Q71*('Prepare Gantt Chart'!$I70*'Prepare Gantt Chart'!$J70),'Prepare Gantt Chart'!AJ70=0,0)</f>
        <v>0</v>
      </c>
      <c r="X71" s="45">
        <f>_xlfn.IFS('Prepare Gantt Chart'!AK70=12,'Project types'!$O71*('Prepare Gantt Chart'!$I70*'Prepare Gantt Chart'!$J70),'Prepare Gantt Chart'!AK70=11,'Project types'!$Q71*('Prepare Gantt Chart'!$I70*'Prepare Gantt Chart'!$J70),'Prepare Gantt Chart'!AK70=0,0)</f>
        <v>0</v>
      </c>
      <c r="Y71" s="45">
        <f>_xlfn.IFS('Prepare Gantt Chart'!AL70=12,'Project types'!$O71*('Prepare Gantt Chart'!$I70*'Prepare Gantt Chart'!$J70),'Prepare Gantt Chart'!AL70=11,'Project types'!$Q71*('Prepare Gantt Chart'!$I70*'Prepare Gantt Chart'!$J70),'Prepare Gantt Chart'!AL70=0,0)</f>
        <v>0</v>
      </c>
      <c r="Z71" s="45">
        <f>_xlfn.IFS('Prepare Gantt Chart'!AM70=12,'Project types'!$O71*('Prepare Gantt Chart'!$I70*'Prepare Gantt Chart'!$J70),'Prepare Gantt Chart'!AM70=11,'Project types'!$Q71*('Prepare Gantt Chart'!$I70*'Prepare Gantt Chart'!$J70),'Prepare Gantt Chart'!AM70=0,0)</f>
        <v>0</v>
      </c>
      <c r="AA71" s="45">
        <f>_xlfn.IFS('Prepare Gantt Chart'!AN70=12,'Project types'!$O71*('Prepare Gantt Chart'!$I70*'Prepare Gantt Chart'!$J70),'Prepare Gantt Chart'!AN70=11,'Project types'!$Q71*('Prepare Gantt Chart'!$I70*'Prepare Gantt Chart'!$J70),'Prepare Gantt Chart'!AN70=0,0)</f>
        <v>0</v>
      </c>
      <c r="AB71" s="45">
        <f>_xlfn.IFS('Prepare Gantt Chart'!AO70=12,'Project types'!$O71*('Prepare Gantt Chart'!$I70*'Prepare Gantt Chart'!$J70),'Prepare Gantt Chart'!AO70=11,'Project types'!$Q71*('Prepare Gantt Chart'!$I70*'Prepare Gantt Chart'!$J70),'Prepare Gantt Chart'!AO70=0,0)</f>
        <v>0</v>
      </c>
      <c r="AC71" s="45">
        <f>'Prepare Gantt Chart'!J70*'Prepare Gantt Chart'!I70*(AD71/26)</f>
        <v>0</v>
      </c>
      <c r="AD71" s="46">
        <f t="shared" ref="AD71:AD122" si="2">SUM(C71:AB71)</f>
        <v>0</v>
      </c>
      <c r="AE71" s="72">
        <f>IF('Prepare Gantt Chart'!$J70=0,0,SUM(C71:H71)/6/'Prepare Gantt Chart'!$J70)</f>
        <v>0</v>
      </c>
      <c r="AF71" s="72">
        <f>IF('Prepare Gantt Chart'!$J70=0,0,SUM(I71:M71)/5/'Prepare Gantt Chart'!$J70)</f>
        <v>0</v>
      </c>
      <c r="AG71" s="72">
        <f>IF('Prepare Gantt Chart'!$J70=0,0,SUM(N71:R71)/5/'Prepare Gantt Chart'!$J70)</f>
        <v>0</v>
      </c>
      <c r="AH71" s="72">
        <f>IF('Prepare Gantt Chart'!$J70=0,0,SUM(S71:W71)/5/'Prepare Gantt Chart'!$J70)</f>
        <v>0</v>
      </c>
      <c r="AI71" s="72">
        <f>IF('Prepare Gantt Chart'!$J70=0,0,SUM(X71:AB71)/5/'Prepare Gantt Chart'!$J70)</f>
        <v>0</v>
      </c>
      <c r="AK71" s="33" t="s">
        <v>63</v>
      </c>
      <c r="AL71" s="45">
        <f>_xlfn.IFS('Prepare Gantt Chart'!P70=12,'Project types'!$L71*('Prepare Gantt Chart'!$I70*'Prepare Gantt Chart'!$J70),'Prepare Gantt Chart'!P70=11,'Project types'!$L71*('Prepare Gantt Chart'!$I70*'Prepare Gantt Chart'!$J70),'Prepare Gantt Chart'!P70=0,0)</f>
        <v>0</v>
      </c>
      <c r="AM71" s="45">
        <f>_xlfn.IFS('Prepare Gantt Chart'!Q70=12,'Project types'!$L71*('Prepare Gantt Chart'!$I70*'Prepare Gantt Chart'!$J70),'Prepare Gantt Chart'!Q70=11,'Project types'!$L71*('Prepare Gantt Chart'!$I70*'Prepare Gantt Chart'!$J70),'Prepare Gantt Chart'!Q70=0,0)</f>
        <v>0</v>
      </c>
      <c r="AN71" s="45">
        <f>_xlfn.IFS('Prepare Gantt Chart'!R70=12,'Project types'!$L71*('Prepare Gantt Chart'!$I70*'Prepare Gantt Chart'!$J70),'Prepare Gantt Chart'!R70=11,'Project types'!$L71*('Prepare Gantt Chart'!$I70*'Prepare Gantt Chart'!$J70),'Prepare Gantt Chart'!R70=0,0)</f>
        <v>0</v>
      </c>
      <c r="AO71" s="45">
        <f>_xlfn.IFS('Prepare Gantt Chart'!S70=12,'Project types'!$L71*('Prepare Gantt Chart'!$I70*'Prepare Gantt Chart'!$J70),'Prepare Gantt Chart'!S70=11,'Project types'!$L71*('Prepare Gantt Chart'!$I70*'Prepare Gantt Chart'!$J70),'Prepare Gantt Chart'!S70=0,0)</f>
        <v>0</v>
      </c>
      <c r="AP71" s="45">
        <f>_xlfn.IFS('Prepare Gantt Chart'!T70=12,'Project types'!$L71*('Prepare Gantt Chart'!$I70*'Prepare Gantt Chart'!$J70),'Prepare Gantt Chart'!T70=11,'Project types'!$L71*('Prepare Gantt Chart'!$I70*'Prepare Gantt Chart'!$J70),'Prepare Gantt Chart'!T70=0,0)</f>
        <v>0</v>
      </c>
      <c r="AQ71" s="45">
        <f>_xlfn.IFS('Prepare Gantt Chart'!U70=12,'Project types'!$L71*('Prepare Gantt Chart'!$I70*'Prepare Gantt Chart'!$J70),'Prepare Gantt Chart'!U70=11,'Project types'!$L71*('Prepare Gantt Chart'!$I70*'Prepare Gantt Chart'!$J70),'Prepare Gantt Chart'!U70=0,0)</f>
        <v>0</v>
      </c>
      <c r="AR71" s="45">
        <f>_xlfn.IFS('Prepare Gantt Chart'!V70=12,'Project types'!$L71*('Prepare Gantt Chart'!$I70*'Prepare Gantt Chart'!$J70),'Prepare Gantt Chart'!V70=11,'Project types'!$L71*('Prepare Gantt Chart'!$I70*'Prepare Gantt Chart'!$J70),'Prepare Gantt Chart'!V70=0,0)</f>
        <v>0</v>
      </c>
      <c r="AS71" s="45">
        <f>_xlfn.IFS('Prepare Gantt Chart'!W70=12,'Project types'!$L71*('Prepare Gantt Chart'!$I70*'Prepare Gantt Chart'!$J70),'Prepare Gantt Chart'!W70=11,'Project types'!$L71*('Prepare Gantt Chart'!$I70*'Prepare Gantt Chart'!$J70),'Prepare Gantt Chart'!W70=0,0)</f>
        <v>0</v>
      </c>
      <c r="AT71" s="45">
        <f>_xlfn.IFS('Prepare Gantt Chart'!X70=12,'Project types'!$L71*('Prepare Gantt Chart'!$I70*'Prepare Gantt Chart'!$J70),'Prepare Gantt Chart'!X70=11,'Project types'!$L71*('Prepare Gantt Chart'!$I70*'Prepare Gantt Chart'!$J70),'Prepare Gantt Chart'!X70=0,0)</f>
        <v>0</v>
      </c>
      <c r="AU71" s="45">
        <f>_xlfn.IFS('Prepare Gantt Chart'!Y70=12,'Project types'!$L71*('Prepare Gantt Chart'!$I70*'Prepare Gantt Chart'!$J70),'Prepare Gantt Chart'!Y70=11,'Project types'!$L71*('Prepare Gantt Chart'!$I70*'Prepare Gantt Chart'!$J70),'Prepare Gantt Chart'!Y70=0,0)</f>
        <v>0</v>
      </c>
      <c r="AV71" s="45">
        <f>_xlfn.IFS('Prepare Gantt Chart'!Z70=12,'Project types'!$L71*('Prepare Gantt Chart'!$I70*'Prepare Gantt Chart'!$J70),'Prepare Gantt Chart'!Z70=11,'Project types'!$L71*('Prepare Gantt Chart'!$I70*'Prepare Gantt Chart'!$J70),'Prepare Gantt Chart'!Z70=0,0)</f>
        <v>0</v>
      </c>
      <c r="AW71" s="45">
        <f>_xlfn.IFS('Prepare Gantt Chart'!AA70=12,'Project types'!$L71*('Prepare Gantt Chart'!$I70*'Prepare Gantt Chart'!$J70),'Prepare Gantt Chart'!AA70=11,'Project types'!$L71*('Prepare Gantt Chart'!$I70*'Prepare Gantt Chart'!$J70),'Prepare Gantt Chart'!AA70=0,0)</f>
        <v>0</v>
      </c>
      <c r="AX71" s="45">
        <f>_xlfn.IFS('Prepare Gantt Chart'!AB70=12,'Project types'!$L71*('Prepare Gantt Chart'!$I70*'Prepare Gantt Chart'!$J70),'Prepare Gantt Chart'!AB70=11,'Project types'!$L71*('Prepare Gantt Chart'!$I70*'Prepare Gantt Chart'!$J70),'Prepare Gantt Chart'!AB70=0,0)</f>
        <v>0</v>
      </c>
      <c r="AY71" s="45">
        <f>_xlfn.IFS('Prepare Gantt Chart'!AC70=12,'Project types'!$L71*('Prepare Gantt Chart'!$I70*'Prepare Gantt Chart'!$J70),'Prepare Gantt Chart'!AC70=11,'Project types'!$L71*('Prepare Gantt Chart'!$I70*'Prepare Gantt Chart'!$J70),'Prepare Gantt Chart'!AC70=0,0)</f>
        <v>0</v>
      </c>
      <c r="AZ71" s="45">
        <f>_xlfn.IFS('Prepare Gantt Chart'!AD70=12,'Project types'!$L71*('Prepare Gantt Chart'!$I70*'Prepare Gantt Chart'!$J70),'Prepare Gantt Chart'!AD70=11,'Project types'!$L71*('Prepare Gantt Chart'!$I70*'Prepare Gantt Chart'!$J70),'Prepare Gantt Chart'!AD70=0,0)</f>
        <v>0</v>
      </c>
      <c r="BA71" s="45">
        <f>_xlfn.IFS('Prepare Gantt Chart'!AE70=12,'Project types'!$L71*('Prepare Gantt Chart'!$I70*'Prepare Gantt Chart'!$J70),'Prepare Gantt Chart'!AE70=11,'Project types'!$L71*('Prepare Gantt Chart'!$I70*'Prepare Gantt Chart'!$J70),'Prepare Gantt Chart'!AE70=0,0)</f>
        <v>0</v>
      </c>
      <c r="BB71" s="45">
        <f>_xlfn.IFS('Prepare Gantt Chart'!AF70=12,'Project types'!$L71*('Prepare Gantt Chart'!$I70*'Prepare Gantt Chart'!$J70),'Prepare Gantt Chart'!AF70=11,'Project types'!$L71*('Prepare Gantt Chart'!$I70*'Prepare Gantt Chart'!$J70),'Prepare Gantt Chart'!AF70=0,0)</f>
        <v>0</v>
      </c>
      <c r="BC71" s="45">
        <f>_xlfn.IFS('Prepare Gantt Chart'!AG70=12,'Project types'!$L71*('Prepare Gantt Chart'!$I70*'Prepare Gantt Chart'!$J70),'Prepare Gantt Chart'!AG70=11,'Project types'!$L71*('Prepare Gantt Chart'!$I70*'Prepare Gantt Chart'!$J70),'Prepare Gantt Chart'!AG70=0,0)</f>
        <v>0</v>
      </c>
      <c r="BD71" s="45">
        <f>_xlfn.IFS('Prepare Gantt Chart'!AH70=12,'Project types'!$L71*('Prepare Gantt Chart'!$I70*'Prepare Gantt Chart'!$J70),'Prepare Gantt Chart'!AH70=11,'Project types'!$L71*('Prepare Gantt Chart'!$I70*'Prepare Gantt Chart'!$J70),'Prepare Gantt Chart'!AH70=0,0)</f>
        <v>0</v>
      </c>
      <c r="BE71" s="45">
        <f>_xlfn.IFS('Prepare Gantt Chart'!AI70=12,'Project types'!$L71*('Prepare Gantt Chart'!$I70*'Prepare Gantt Chart'!$J70),'Prepare Gantt Chart'!AI70=11,'Project types'!$L71*('Prepare Gantt Chart'!$I70*'Prepare Gantt Chart'!$J70),'Prepare Gantt Chart'!AI70=0,0)</f>
        <v>0</v>
      </c>
      <c r="BF71" s="45">
        <f>_xlfn.IFS('Prepare Gantt Chart'!AJ70=12,'Project types'!$L71*('Prepare Gantt Chart'!$I70*'Prepare Gantt Chart'!$J70),'Prepare Gantt Chart'!AJ70=11,'Project types'!$L71*('Prepare Gantt Chart'!$I70*'Prepare Gantt Chart'!$J70),'Prepare Gantt Chart'!AJ70=0,0)</f>
        <v>0</v>
      </c>
      <c r="BG71" s="45">
        <f>_xlfn.IFS('Prepare Gantt Chart'!AK70=12,'Project types'!$L71*('Prepare Gantt Chart'!$I70*'Prepare Gantt Chart'!$J70),'Prepare Gantt Chart'!AK70=11,'Project types'!$L71*('Prepare Gantt Chart'!$I70*'Prepare Gantt Chart'!$J70),'Prepare Gantt Chart'!AK70=0,0)</f>
        <v>0</v>
      </c>
      <c r="BH71" s="45">
        <f>_xlfn.IFS('Prepare Gantt Chart'!AL70=12,'Project types'!$L71*('Prepare Gantt Chart'!$I70*'Prepare Gantt Chart'!$J70),'Prepare Gantt Chart'!AL70=11,'Project types'!$L71*('Prepare Gantt Chart'!$I70*'Prepare Gantt Chart'!$J70),'Prepare Gantt Chart'!AL70=0,0)</f>
        <v>0</v>
      </c>
      <c r="BI71" s="45">
        <f>_xlfn.IFS('Prepare Gantt Chart'!AM70=12,'Project types'!$L71*('Prepare Gantt Chart'!$I70*'Prepare Gantt Chart'!$J70),'Prepare Gantt Chart'!AM70=11,'Project types'!$L71*('Prepare Gantt Chart'!$I70*'Prepare Gantt Chart'!$J70),'Prepare Gantt Chart'!AM70=0,0)</f>
        <v>0</v>
      </c>
      <c r="BJ71" s="45">
        <f>_xlfn.IFS('Prepare Gantt Chart'!AN70=12,'Project types'!$L71*('Prepare Gantt Chart'!$I70*'Prepare Gantt Chart'!$J70),'Prepare Gantt Chart'!AN70=11,'Project types'!$L71*('Prepare Gantt Chart'!$I70*'Prepare Gantt Chart'!$J70),'Prepare Gantt Chart'!AN70=0,0)</f>
        <v>0</v>
      </c>
      <c r="BK71" s="45">
        <f>_xlfn.IFS('Prepare Gantt Chart'!AO70=12,'Project types'!$L71*('Prepare Gantt Chart'!$I70*'Prepare Gantt Chart'!$J70),'Prepare Gantt Chart'!AO70=11,'Project types'!$L71*('Prepare Gantt Chart'!$I70*'Prepare Gantt Chart'!$J70),'Prepare Gantt Chart'!AO70=0,0)</f>
        <v>0</v>
      </c>
      <c r="BL71" s="46">
        <f t="shared" ref="BL71:BL122" si="3">SUM(AL71:BK71)</f>
        <v>0</v>
      </c>
      <c r="BM71" s="75">
        <f>IF('Prepare Gantt Chart'!$J70=0,0,SUM(AL71:AQ71)/6/'Prepare Gantt Chart'!$J70)</f>
        <v>0</v>
      </c>
      <c r="BN71" s="75">
        <f>IF('Prepare Gantt Chart'!$J70=0,0,SUM(AR71:AV71)/5/'Prepare Gantt Chart'!$J70)</f>
        <v>0</v>
      </c>
      <c r="BO71" s="75">
        <f>IF('Prepare Gantt Chart'!$J70=0,0,SUM(AW71:BA71)/5/'Prepare Gantt Chart'!$J70)</f>
        <v>0</v>
      </c>
      <c r="BP71" s="75">
        <f>IF('Prepare Gantt Chart'!$J70=0,0,SUM(BB71:BF71)/5/'Prepare Gantt Chart'!$J70)</f>
        <v>0</v>
      </c>
      <c r="BQ71" s="75">
        <f>IF('Prepare Gantt Chart'!$J70=0,0,SUM(BG71:BK71)/5/'Prepare Gantt Chart'!$J70)</f>
        <v>0</v>
      </c>
    </row>
    <row r="72" spans="1:69" x14ac:dyDescent="0.2">
      <c r="A72" s="33" t="s">
        <v>64</v>
      </c>
      <c r="B72" s="1" t="s">
        <v>148</v>
      </c>
      <c r="C72" s="45">
        <f>_xlfn.IFS('Prepare Gantt Chart'!P71=12,'Project types'!$O72*('Prepare Gantt Chart'!$I71*'Prepare Gantt Chart'!$J71),'Prepare Gantt Chart'!P71=11,'Project types'!$Q72*('Prepare Gantt Chart'!$I71*'Prepare Gantt Chart'!$J71),'Prepare Gantt Chart'!P71=0,0)</f>
        <v>0</v>
      </c>
      <c r="D72" s="45">
        <f>_xlfn.IFS('Prepare Gantt Chart'!Q71=12,'Project types'!$O72*('Prepare Gantt Chart'!$I71*'Prepare Gantt Chart'!$J71),'Prepare Gantt Chart'!Q71=11,'Project types'!$Q72*('Prepare Gantt Chart'!$I71*'Prepare Gantt Chart'!$J71),'Prepare Gantt Chart'!Q71=0,0)</f>
        <v>0</v>
      </c>
      <c r="E72" s="45">
        <f>_xlfn.IFS('Prepare Gantt Chart'!R71=12,'Project types'!$O72*('Prepare Gantt Chart'!$I71*'Prepare Gantt Chart'!$J71),'Prepare Gantt Chart'!R71=11,'Project types'!$Q72*('Prepare Gantt Chart'!$I71*'Prepare Gantt Chart'!$J71),'Prepare Gantt Chart'!R71=0,0)</f>
        <v>0</v>
      </c>
      <c r="F72" s="45">
        <f>_xlfn.IFS('Prepare Gantt Chart'!S71=12,'Project types'!$O72*('Prepare Gantt Chart'!$I71*'Prepare Gantt Chart'!$J71),'Prepare Gantt Chart'!S71=11,'Project types'!$Q72*('Prepare Gantt Chart'!$I71*'Prepare Gantt Chart'!$J71),'Prepare Gantt Chart'!S71=0,0)</f>
        <v>0</v>
      </c>
      <c r="G72" s="45">
        <f>_xlfn.IFS('Prepare Gantt Chart'!T71=12,'Project types'!$O72*('Prepare Gantt Chart'!$I71*'Prepare Gantt Chart'!$J71),'Prepare Gantt Chart'!T71=11,'Project types'!$Q72*('Prepare Gantt Chart'!$I71*'Prepare Gantt Chart'!$J71),'Prepare Gantt Chart'!T71=0,0)</f>
        <v>0</v>
      </c>
      <c r="H72" s="45">
        <f>_xlfn.IFS('Prepare Gantt Chart'!U71=12,'Project types'!$O72*('Prepare Gantt Chart'!$I71*'Prepare Gantt Chart'!$J71),'Prepare Gantt Chart'!U71=11,'Project types'!$Q72*('Prepare Gantt Chart'!$I71*'Prepare Gantt Chart'!$J71),'Prepare Gantt Chart'!U71=0,0)</f>
        <v>0</v>
      </c>
      <c r="I72" s="45">
        <f>_xlfn.IFS('Prepare Gantt Chart'!V71=12,'Project types'!$O72*('Prepare Gantt Chart'!$I71*'Prepare Gantt Chart'!$J71),'Prepare Gantt Chart'!V71=11,'Project types'!$Q72*('Prepare Gantt Chart'!$I71*'Prepare Gantt Chart'!$J71),'Prepare Gantt Chart'!V71=0,0)</f>
        <v>0</v>
      </c>
      <c r="J72" s="45">
        <f>_xlfn.IFS('Prepare Gantt Chart'!W71=12,'Project types'!$O72*('Prepare Gantt Chart'!$I71*'Prepare Gantt Chart'!$J71),'Prepare Gantt Chart'!W71=11,'Project types'!$Q72*('Prepare Gantt Chart'!$I71*'Prepare Gantt Chart'!$J71),'Prepare Gantt Chart'!W71=0,0)</f>
        <v>0</v>
      </c>
      <c r="K72" s="45">
        <f>_xlfn.IFS('Prepare Gantt Chart'!X71=12,'Project types'!$O72*('Prepare Gantt Chart'!$I71*'Prepare Gantt Chart'!$J71),'Prepare Gantt Chart'!X71=11,'Project types'!$Q72*('Prepare Gantt Chart'!$I71*'Prepare Gantt Chart'!$J71),'Prepare Gantt Chart'!X71=0,0)</f>
        <v>0</v>
      </c>
      <c r="L72" s="45">
        <f>_xlfn.IFS('Prepare Gantt Chart'!Y71=12,'Project types'!$O72*('Prepare Gantt Chart'!$I71*'Prepare Gantt Chart'!$J71),'Prepare Gantt Chart'!Y71=11,'Project types'!$Q72*('Prepare Gantt Chart'!$I71*'Prepare Gantt Chart'!$J71),'Prepare Gantt Chart'!Y71=0,0)</f>
        <v>0</v>
      </c>
      <c r="M72" s="45">
        <f>_xlfn.IFS('Prepare Gantt Chart'!Z71=12,'Project types'!$O72*('Prepare Gantt Chart'!$I71*'Prepare Gantt Chart'!$J71),'Prepare Gantt Chart'!Z71=11,'Project types'!$Q72*('Prepare Gantt Chart'!$I71*'Prepare Gantt Chart'!$J71),'Prepare Gantt Chart'!Z71=0,0)</f>
        <v>0</v>
      </c>
      <c r="N72" s="45">
        <f>_xlfn.IFS('Prepare Gantt Chart'!AA71=12,'Project types'!$O72*('Prepare Gantt Chart'!$I71*'Prepare Gantt Chart'!$J71),'Prepare Gantt Chart'!AA71=11,'Project types'!$Q72*('Prepare Gantt Chart'!$I71*'Prepare Gantt Chart'!$J71),'Prepare Gantt Chart'!AA71=0,0)</f>
        <v>0</v>
      </c>
      <c r="O72" s="45">
        <f>_xlfn.IFS('Prepare Gantt Chart'!AB71=12,'Project types'!$O72*('Prepare Gantt Chart'!$I71*'Prepare Gantt Chart'!$J71),'Prepare Gantt Chart'!AB71=11,'Project types'!$Q72*('Prepare Gantt Chart'!$I71*'Prepare Gantt Chart'!$J71),'Prepare Gantt Chart'!AB71=0,0)</f>
        <v>0</v>
      </c>
      <c r="P72" s="45">
        <f>_xlfn.IFS('Prepare Gantt Chart'!AC71=12,'Project types'!$O72*('Prepare Gantt Chart'!$I71*'Prepare Gantt Chart'!$J71),'Prepare Gantt Chart'!AC71=11,'Project types'!$Q72*('Prepare Gantt Chart'!$I71*'Prepare Gantt Chart'!$J71),'Prepare Gantt Chart'!AC71=0,0)</f>
        <v>0</v>
      </c>
      <c r="Q72" s="45">
        <f>_xlfn.IFS('Prepare Gantt Chart'!AD71=12,'Project types'!$O72*('Prepare Gantt Chart'!$I71*'Prepare Gantt Chart'!$J71),'Prepare Gantt Chart'!AD71=11,'Project types'!$Q72*('Prepare Gantt Chart'!$I71*'Prepare Gantt Chart'!$J71),'Prepare Gantt Chart'!AD71=0,0)</f>
        <v>0</v>
      </c>
      <c r="R72" s="45">
        <f>_xlfn.IFS('Prepare Gantt Chart'!AE71=12,'Project types'!$O72*('Prepare Gantt Chart'!$I71*'Prepare Gantt Chart'!$J71),'Prepare Gantt Chart'!AE71=11,'Project types'!$Q72*('Prepare Gantt Chart'!$I71*'Prepare Gantt Chart'!$J71),'Prepare Gantt Chart'!AE71=0,0)</f>
        <v>0</v>
      </c>
      <c r="S72" s="45">
        <f>_xlfn.IFS('Prepare Gantt Chart'!AF71=12,'Project types'!$O72*('Prepare Gantt Chart'!$I71*'Prepare Gantt Chart'!$J71),'Prepare Gantt Chart'!AF71=11,'Project types'!$Q72*('Prepare Gantt Chart'!$I71*'Prepare Gantt Chart'!$J71),'Prepare Gantt Chart'!AF71=0,0)</f>
        <v>0</v>
      </c>
      <c r="T72" s="45">
        <f>_xlfn.IFS('Prepare Gantt Chart'!AG71=12,'Project types'!$O72*('Prepare Gantt Chart'!$I71*'Prepare Gantt Chart'!$J71),'Prepare Gantt Chart'!AG71=11,'Project types'!$Q72*('Prepare Gantt Chart'!$I71*'Prepare Gantt Chart'!$J71),'Prepare Gantt Chart'!AG71=0,0)</f>
        <v>0</v>
      </c>
      <c r="U72" s="45">
        <f>_xlfn.IFS('Prepare Gantt Chart'!AH71=12,'Project types'!$O72*('Prepare Gantt Chart'!$I71*'Prepare Gantt Chart'!$J71),'Prepare Gantt Chart'!AH71=11,'Project types'!$Q72*('Prepare Gantt Chart'!$I71*'Prepare Gantt Chart'!$J71),'Prepare Gantt Chart'!AH71=0,0)</f>
        <v>0</v>
      </c>
      <c r="V72" s="45">
        <f>_xlfn.IFS('Prepare Gantt Chart'!AI71=12,'Project types'!$O72*('Prepare Gantt Chart'!$I71*'Prepare Gantt Chart'!$J71),'Prepare Gantt Chart'!AI71=11,'Project types'!$Q72*('Prepare Gantt Chart'!$I71*'Prepare Gantt Chart'!$J71),'Prepare Gantt Chart'!AI71=0,0)</f>
        <v>0</v>
      </c>
      <c r="W72" s="45">
        <f>_xlfn.IFS('Prepare Gantt Chart'!AJ71=12,'Project types'!$O72*('Prepare Gantt Chart'!$I71*'Prepare Gantt Chart'!$J71),'Prepare Gantt Chart'!AJ71=11,'Project types'!$Q72*('Prepare Gantt Chart'!$I71*'Prepare Gantt Chart'!$J71),'Prepare Gantt Chart'!AJ71=0,0)</f>
        <v>0</v>
      </c>
      <c r="X72" s="45">
        <f>_xlfn.IFS('Prepare Gantt Chart'!AK71=12,'Project types'!$O72*('Prepare Gantt Chart'!$I71*'Prepare Gantt Chart'!$J71),'Prepare Gantt Chart'!AK71=11,'Project types'!$Q72*('Prepare Gantt Chart'!$I71*'Prepare Gantt Chart'!$J71),'Prepare Gantt Chart'!AK71=0,0)</f>
        <v>0</v>
      </c>
      <c r="Y72" s="45">
        <f>_xlfn.IFS('Prepare Gantt Chart'!AL71=12,'Project types'!$O72*('Prepare Gantt Chart'!$I71*'Prepare Gantt Chart'!$J71),'Prepare Gantt Chart'!AL71=11,'Project types'!$Q72*('Prepare Gantt Chart'!$I71*'Prepare Gantt Chart'!$J71),'Prepare Gantt Chart'!AL71=0,0)</f>
        <v>0</v>
      </c>
      <c r="Z72" s="45">
        <f>_xlfn.IFS('Prepare Gantt Chart'!AM71=12,'Project types'!$O72*('Prepare Gantt Chart'!$I71*'Prepare Gantt Chart'!$J71),'Prepare Gantt Chart'!AM71=11,'Project types'!$Q72*('Prepare Gantt Chart'!$I71*'Prepare Gantt Chart'!$J71),'Prepare Gantt Chart'!AM71=0,0)</f>
        <v>0</v>
      </c>
      <c r="AA72" s="45">
        <f>_xlfn.IFS('Prepare Gantt Chart'!AN71=12,'Project types'!$O72*('Prepare Gantt Chart'!$I71*'Prepare Gantt Chart'!$J71),'Prepare Gantt Chart'!AN71=11,'Project types'!$Q72*('Prepare Gantt Chart'!$I71*'Prepare Gantt Chart'!$J71),'Prepare Gantt Chart'!AN71=0,0)</f>
        <v>0</v>
      </c>
      <c r="AB72" s="45">
        <f>_xlfn.IFS('Prepare Gantt Chart'!AO71=12,'Project types'!$O72*('Prepare Gantt Chart'!$I71*'Prepare Gantt Chart'!$J71),'Prepare Gantt Chart'!AO71=11,'Project types'!$Q72*('Prepare Gantt Chart'!$I71*'Prepare Gantt Chart'!$J71),'Prepare Gantt Chart'!AO71=0,0)</f>
        <v>0</v>
      </c>
      <c r="AC72" s="45">
        <f>'Prepare Gantt Chart'!J71*'Prepare Gantt Chart'!I71*(AD72/26)</f>
        <v>0</v>
      </c>
      <c r="AD72" s="46">
        <f t="shared" si="2"/>
        <v>0</v>
      </c>
      <c r="AE72" s="72">
        <f>IF('Prepare Gantt Chart'!$J71=0,0,SUM(C72:H72)/6/'Prepare Gantt Chart'!$J71)</f>
        <v>0</v>
      </c>
      <c r="AF72" s="72">
        <f>IF('Prepare Gantt Chart'!$J71=0,0,SUM(I72:M72)/5/'Prepare Gantt Chart'!$J71)</f>
        <v>0</v>
      </c>
      <c r="AG72" s="72">
        <f>IF('Prepare Gantt Chart'!$J71=0,0,SUM(N72:R72)/5/'Prepare Gantt Chart'!$J71)</f>
        <v>0</v>
      </c>
      <c r="AH72" s="72">
        <f>IF('Prepare Gantt Chart'!$J71=0,0,SUM(S72:W72)/5/'Prepare Gantt Chart'!$J71)</f>
        <v>0</v>
      </c>
      <c r="AI72" s="72">
        <f>IF('Prepare Gantt Chart'!$J71=0,0,SUM(X72:AB72)/5/'Prepare Gantt Chart'!$J71)</f>
        <v>0</v>
      </c>
      <c r="AK72" s="33" t="s">
        <v>64</v>
      </c>
      <c r="AL72" s="45">
        <f>_xlfn.IFS('Prepare Gantt Chart'!P71=12,'Project types'!$L72*('Prepare Gantt Chart'!$I71*'Prepare Gantt Chart'!$J71),'Prepare Gantt Chart'!P71=11,'Project types'!$L72*('Prepare Gantt Chart'!$I71*'Prepare Gantt Chart'!$J71),'Prepare Gantt Chart'!P71=0,0)</f>
        <v>0</v>
      </c>
      <c r="AM72" s="45">
        <f>_xlfn.IFS('Prepare Gantt Chart'!Q71=12,'Project types'!$L72*('Prepare Gantt Chart'!$I71*'Prepare Gantt Chart'!$J71),'Prepare Gantt Chart'!Q71=11,'Project types'!$L72*('Prepare Gantt Chart'!$I71*'Prepare Gantt Chart'!$J71),'Prepare Gantt Chart'!Q71=0,0)</f>
        <v>0</v>
      </c>
      <c r="AN72" s="45">
        <f>_xlfn.IFS('Prepare Gantt Chart'!R71=12,'Project types'!$L72*('Prepare Gantt Chart'!$I71*'Prepare Gantt Chart'!$J71),'Prepare Gantt Chart'!R71=11,'Project types'!$L72*('Prepare Gantt Chart'!$I71*'Prepare Gantt Chart'!$J71),'Prepare Gantt Chart'!R71=0,0)</f>
        <v>0</v>
      </c>
      <c r="AO72" s="45">
        <f>_xlfn.IFS('Prepare Gantt Chart'!S71=12,'Project types'!$L72*('Prepare Gantt Chart'!$I71*'Prepare Gantt Chart'!$J71),'Prepare Gantt Chart'!S71=11,'Project types'!$L72*('Prepare Gantt Chart'!$I71*'Prepare Gantt Chart'!$J71),'Prepare Gantt Chart'!S71=0,0)</f>
        <v>0</v>
      </c>
      <c r="AP72" s="45">
        <f>_xlfn.IFS('Prepare Gantt Chart'!T71=12,'Project types'!$L72*('Prepare Gantt Chart'!$I71*'Prepare Gantt Chart'!$J71),'Prepare Gantt Chart'!T71=11,'Project types'!$L72*('Prepare Gantt Chart'!$I71*'Prepare Gantt Chart'!$J71),'Prepare Gantt Chart'!T71=0,0)</f>
        <v>0</v>
      </c>
      <c r="AQ72" s="45">
        <f>_xlfn.IFS('Prepare Gantt Chart'!U71=12,'Project types'!$L72*('Prepare Gantt Chart'!$I71*'Prepare Gantt Chart'!$J71),'Prepare Gantt Chart'!U71=11,'Project types'!$L72*('Prepare Gantt Chart'!$I71*'Prepare Gantt Chart'!$J71),'Prepare Gantt Chart'!U71=0,0)</f>
        <v>0</v>
      </c>
      <c r="AR72" s="45">
        <f>_xlfn.IFS('Prepare Gantt Chart'!V71=12,'Project types'!$L72*('Prepare Gantt Chart'!$I71*'Prepare Gantt Chart'!$J71),'Prepare Gantt Chart'!V71=11,'Project types'!$L72*('Prepare Gantt Chart'!$I71*'Prepare Gantt Chart'!$J71),'Prepare Gantt Chart'!V71=0,0)</f>
        <v>0</v>
      </c>
      <c r="AS72" s="45">
        <f>_xlfn.IFS('Prepare Gantt Chart'!W71=12,'Project types'!$L72*('Prepare Gantt Chart'!$I71*'Prepare Gantt Chart'!$J71),'Prepare Gantt Chart'!W71=11,'Project types'!$L72*('Prepare Gantt Chart'!$I71*'Prepare Gantt Chart'!$J71),'Prepare Gantt Chart'!W71=0,0)</f>
        <v>0</v>
      </c>
      <c r="AT72" s="45">
        <f>_xlfn.IFS('Prepare Gantt Chart'!X71=12,'Project types'!$L72*('Prepare Gantt Chart'!$I71*'Prepare Gantt Chart'!$J71),'Prepare Gantt Chart'!X71=11,'Project types'!$L72*('Prepare Gantt Chart'!$I71*'Prepare Gantt Chart'!$J71),'Prepare Gantt Chart'!X71=0,0)</f>
        <v>0</v>
      </c>
      <c r="AU72" s="45">
        <f>_xlfn.IFS('Prepare Gantt Chart'!Y71=12,'Project types'!$L72*('Prepare Gantt Chart'!$I71*'Prepare Gantt Chart'!$J71),'Prepare Gantt Chart'!Y71=11,'Project types'!$L72*('Prepare Gantt Chart'!$I71*'Prepare Gantt Chart'!$J71),'Prepare Gantt Chart'!Y71=0,0)</f>
        <v>0</v>
      </c>
      <c r="AV72" s="45">
        <f>_xlfn.IFS('Prepare Gantt Chart'!Z71=12,'Project types'!$L72*('Prepare Gantt Chart'!$I71*'Prepare Gantt Chart'!$J71),'Prepare Gantt Chart'!Z71=11,'Project types'!$L72*('Prepare Gantt Chart'!$I71*'Prepare Gantt Chart'!$J71),'Prepare Gantt Chart'!Z71=0,0)</f>
        <v>0</v>
      </c>
      <c r="AW72" s="45">
        <f>_xlfn.IFS('Prepare Gantt Chart'!AA71=12,'Project types'!$L72*('Prepare Gantt Chart'!$I71*'Prepare Gantt Chart'!$J71),'Prepare Gantt Chart'!AA71=11,'Project types'!$L72*('Prepare Gantt Chart'!$I71*'Prepare Gantt Chart'!$J71),'Prepare Gantt Chart'!AA71=0,0)</f>
        <v>0</v>
      </c>
      <c r="AX72" s="45">
        <f>_xlfn.IFS('Prepare Gantt Chart'!AB71=12,'Project types'!$L72*('Prepare Gantt Chart'!$I71*'Prepare Gantt Chart'!$J71),'Prepare Gantt Chart'!AB71=11,'Project types'!$L72*('Prepare Gantt Chart'!$I71*'Prepare Gantt Chart'!$J71),'Prepare Gantt Chart'!AB71=0,0)</f>
        <v>0</v>
      </c>
      <c r="AY72" s="45">
        <f>_xlfn.IFS('Prepare Gantt Chart'!AC71=12,'Project types'!$L72*('Prepare Gantt Chart'!$I71*'Prepare Gantt Chart'!$J71),'Prepare Gantt Chart'!AC71=11,'Project types'!$L72*('Prepare Gantt Chart'!$I71*'Prepare Gantt Chart'!$J71),'Prepare Gantt Chart'!AC71=0,0)</f>
        <v>0</v>
      </c>
      <c r="AZ72" s="45">
        <f>_xlfn.IFS('Prepare Gantt Chart'!AD71=12,'Project types'!$L72*('Prepare Gantt Chart'!$I71*'Prepare Gantt Chart'!$J71),'Prepare Gantt Chart'!AD71=11,'Project types'!$L72*('Prepare Gantt Chart'!$I71*'Prepare Gantt Chart'!$J71),'Prepare Gantt Chart'!AD71=0,0)</f>
        <v>0</v>
      </c>
      <c r="BA72" s="45">
        <f>_xlfn.IFS('Prepare Gantt Chart'!AE71=12,'Project types'!$L72*('Prepare Gantt Chart'!$I71*'Prepare Gantt Chart'!$J71),'Prepare Gantt Chart'!AE71=11,'Project types'!$L72*('Prepare Gantt Chart'!$I71*'Prepare Gantt Chart'!$J71),'Prepare Gantt Chart'!AE71=0,0)</f>
        <v>0</v>
      </c>
      <c r="BB72" s="45">
        <f>_xlfn.IFS('Prepare Gantt Chart'!AF71=12,'Project types'!$L72*('Prepare Gantt Chart'!$I71*'Prepare Gantt Chart'!$J71),'Prepare Gantt Chart'!AF71=11,'Project types'!$L72*('Prepare Gantt Chart'!$I71*'Prepare Gantt Chart'!$J71),'Prepare Gantt Chart'!AF71=0,0)</f>
        <v>0</v>
      </c>
      <c r="BC72" s="45">
        <f>_xlfn.IFS('Prepare Gantt Chart'!AG71=12,'Project types'!$L72*('Prepare Gantt Chart'!$I71*'Prepare Gantt Chart'!$J71),'Prepare Gantt Chart'!AG71=11,'Project types'!$L72*('Prepare Gantt Chart'!$I71*'Prepare Gantt Chart'!$J71),'Prepare Gantt Chart'!AG71=0,0)</f>
        <v>0</v>
      </c>
      <c r="BD72" s="45">
        <f>_xlfn.IFS('Prepare Gantt Chart'!AH71=12,'Project types'!$L72*('Prepare Gantt Chart'!$I71*'Prepare Gantt Chart'!$J71),'Prepare Gantt Chart'!AH71=11,'Project types'!$L72*('Prepare Gantt Chart'!$I71*'Prepare Gantt Chart'!$J71),'Prepare Gantt Chart'!AH71=0,0)</f>
        <v>0</v>
      </c>
      <c r="BE72" s="45">
        <f>_xlfn.IFS('Prepare Gantt Chart'!AI71=12,'Project types'!$L72*('Prepare Gantt Chart'!$I71*'Prepare Gantt Chart'!$J71),'Prepare Gantt Chart'!AI71=11,'Project types'!$L72*('Prepare Gantt Chart'!$I71*'Prepare Gantt Chart'!$J71),'Prepare Gantt Chart'!AI71=0,0)</f>
        <v>0</v>
      </c>
      <c r="BF72" s="45">
        <f>_xlfn.IFS('Prepare Gantt Chart'!AJ71=12,'Project types'!$L72*('Prepare Gantt Chart'!$I71*'Prepare Gantt Chart'!$J71),'Prepare Gantt Chart'!AJ71=11,'Project types'!$L72*('Prepare Gantt Chart'!$I71*'Prepare Gantt Chart'!$J71),'Prepare Gantt Chart'!AJ71=0,0)</f>
        <v>0</v>
      </c>
      <c r="BG72" s="45">
        <f>_xlfn.IFS('Prepare Gantt Chart'!AK71=12,'Project types'!$L72*('Prepare Gantt Chart'!$I71*'Prepare Gantt Chart'!$J71),'Prepare Gantt Chart'!AK71=11,'Project types'!$L72*('Prepare Gantt Chart'!$I71*'Prepare Gantt Chart'!$J71),'Prepare Gantt Chart'!AK71=0,0)</f>
        <v>0</v>
      </c>
      <c r="BH72" s="45">
        <f>_xlfn.IFS('Prepare Gantt Chart'!AL71=12,'Project types'!$L72*('Prepare Gantt Chart'!$I71*'Prepare Gantt Chart'!$J71),'Prepare Gantt Chart'!AL71=11,'Project types'!$L72*('Prepare Gantt Chart'!$I71*'Prepare Gantt Chart'!$J71),'Prepare Gantt Chart'!AL71=0,0)</f>
        <v>0</v>
      </c>
      <c r="BI72" s="45">
        <f>_xlfn.IFS('Prepare Gantt Chart'!AM71=12,'Project types'!$L72*('Prepare Gantt Chart'!$I71*'Prepare Gantt Chart'!$J71),'Prepare Gantt Chart'!AM71=11,'Project types'!$L72*('Prepare Gantt Chart'!$I71*'Prepare Gantt Chart'!$J71),'Prepare Gantt Chart'!AM71=0,0)</f>
        <v>0</v>
      </c>
      <c r="BJ72" s="45">
        <f>_xlfn.IFS('Prepare Gantt Chart'!AN71=12,'Project types'!$L72*('Prepare Gantt Chart'!$I71*'Prepare Gantt Chart'!$J71),'Prepare Gantt Chart'!AN71=11,'Project types'!$L72*('Prepare Gantt Chart'!$I71*'Prepare Gantt Chart'!$J71),'Prepare Gantt Chart'!AN71=0,0)</f>
        <v>0</v>
      </c>
      <c r="BK72" s="45">
        <f>_xlfn.IFS('Prepare Gantt Chart'!AO71=12,'Project types'!$L72*('Prepare Gantt Chart'!$I71*'Prepare Gantt Chart'!$J71),'Prepare Gantt Chart'!AO71=11,'Project types'!$L72*('Prepare Gantt Chart'!$I71*'Prepare Gantt Chart'!$J71),'Prepare Gantt Chart'!AO71=0,0)</f>
        <v>0</v>
      </c>
      <c r="BL72" s="46">
        <f t="shared" si="3"/>
        <v>0</v>
      </c>
      <c r="BM72" s="75">
        <f>IF('Prepare Gantt Chart'!$J71=0,0,SUM(AL72:AQ72)/6/'Prepare Gantt Chart'!$J71)</f>
        <v>0</v>
      </c>
      <c r="BN72" s="75">
        <f>IF('Prepare Gantt Chart'!$J71=0,0,SUM(AR72:AV72)/5/'Prepare Gantt Chart'!$J71)</f>
        <v>0</v>
      </c>
      <c r="BO72" s="75">
        <f>IF('Prepare Gantt Chart'!$J71=0,0,SUM(AW72:BA72)/5/'Prepare Gantt Chart'!$J71)</f>
        <v>0</v>
      </c>
      <c r="BP72" s="75">
        <f>IF('Prepare Gantt Chart'!$J71=0,0,SUM(BB72:BF72)/5/'Prepare Gantt Chart'!$J71)</f>
        <v>0</v>
      </c>
      <c r="BQ72" s="75">
        <f>IF('Prepare Gantt Chart'!$J71=0,0,SUM(BG72:BK72)/5/'Prepare Gantt Chart'!$J71)</f>
        <v>0</v>
      </c>
    </row>
    <row r="73" spans="1:69" x14ac:dyDescent="0.2">
      <c r="A73" s="33" t="s">
        <v>65</v>
      </c>
      <c r="B73" s="1" t="s">
        <v>411</v>
      </c>
      <c r="C73" s="45">
        <f>_xlfn.IFS('Prepare Gantt Chart'!P72=12,'Project types'!$O73*('Prepare Gantt Chart'!$I72*'Prepare Gantt Chart'!$J72),'Prepare Gantt Chart'!P72=11,'Project types'!$Q73*('Prepare Gantt Chart'!$I72*'Prepare Gantt Chart'!$J72),'Prepare Gantt Chart'!P72=0,0)</f>
        <v>0</v>
      </c>
      <c r="D73" s="45">
        <f>_xlfn.IFS('Prepare Gantt Chart'!Q72=12,'Project types'!$O73*('Prepare Gantt Chart'!$I72*'Prepare Gantt Chart'!$J72),'Prepare Gantt Chart'!Q72=11,'Project types'!$Q73*('Prepare Gantt Chart'!$I72*'Prepare Gantt Chart'!$J72),'Prepare Gantt Chart'!Q72=0,0)</f>
        <v>0</v>
      </c>
      <c r="E73" s="45">
        <f>_xlfn.IFS('Prepare Gantt Chart'!R72=12,'Project types'!$O73*('Prepare Gantt Chart'!$I72*'Prepare Gantt Chart'!$J72),'Prepare Gantt Chart'!R72=11,'Project types'!$Q73*('Prepare Gantt Chart'!$I72*'Prepare Gantt Chart'!$J72),'Prepare Gantt Chart'!R72=0,0)</f>
        <v>0</v>
      </c>
      <c r="F73" s="45">
        <f>_xlfn.IFS('Prepare Gantt Chart'!S72=12,'Project types'!$O73*('Prepare Gantt Chart'!$I72*'Prepare Gantt Chart'!$J72),'Prepare Gantt Chart'!S72=11,'Project types'!$Q73*('Prepare Gantt Chart'!$I72*'Prepare Gantt Chart'!$J72),'Prepare Gantt Chart'!S72=0,0)</f>
        <v>0</v>
      </c>
      <c r="G73" s="45">
        <f>_xlfn.IFS('Prepare Gantt Chart'!T72=12,'Project types'!$O73*('Prepare Gantt Chart'!$I72*'Prepare Gantt Chart'!$J72),'Prepare Gantt Chart'!T72=11,'Project types'!$Q73*('Prepare Gantt Chart'!$I72*'Prepare Gantt Chart'!$J72),'Prepare Gantt Chart'!T72=0,0)</f>
        <v>0</v>
      </c>
      <c r="H73" s="45">
        <f>_xlfn.IFS('Prepare Gantt Chart'!U72=12,'Project types'!$O73*('Prepare Gantt Chart'!$I72*'Prepare Gantt Chart'!$J72),'Prepare Gantt Chart'!U72=11,'Project types'!$Q73*('Prepare Gantt Chart'!$I72*'Prepare Gantt Chart'!$J72),'Prepare Gantt Chart'!U72=0,0)</f>
        <v>0</v>
      </c>
      <c r="I73" s="45">
        <f>_xlfn.IFS('Prepare Gantt Chart'!V72=12,'Project types'!$O73*('Prepare Gantt Chart'!$I72*'Prepare Gantt Chart'!$J72),'Prepare Gantt Chart'!V72=11,'Project types'!$Q73*('Prepare Gantt Chart'!$I72*'Prepare Gantt Chart'!$J72),'Prepare Gantt Chart'!V72=0,0)</f>
        <v>0</v>
      </c>
      <c r="J73" s="45">
        <f>_xlfn.IFS('Prepare Gantt Chart'!W72=12,'Project types'!$O73*('Prepare Gantt Chart'!$I72*'Prepare Gantt Chart'!$J72),'Prepare Gantt Chart'!W72=11,'Project types'!$Q73*('Prepare Gantt Chart'!$I72*'Prepare Gantt Chart'!$J72),'Prepare Gantt Chart'!W72=0,0)</f>
        <v>0</v>
      </c>
      <c r="K73" s="45">
        <f>_xlfn.IFS('Prepare Gantt Chart'!X72=12,'Project types'!$O73*('Prepare Gantt Chart'!$I72*'Prepare Gantt Chart'!$J72),'Prepare Gantt Chart'!X72=11,'Project types'!$Q73*('Prepare Gantt Chart'!$I72*'Prepare Gantt Chart'!$J72),'Prepare Gantt Chart'!X72=0,0)</f>
        <v>0</v>
      </c>
      <c r="L73" s="45">
        <f>_xlfn.IFS('Prepare Gantt Chart'!Y72=12,'Project types'!$O73*('Prepare Gantt Chart'!$I72*'Prepare Gantt Chart'!$J72),'Prepare Gantt Chart'!Y72=11,'Project types'!$Q73*('Prepare Gantt Chart'!$I72*'Prepare Gantt Chart'!$J72),'Prepare Gantt Chart'!Y72=0,0)</f>
        <v>0</v>
      </c>
      <c r="M73" s="45">
        <f>_xlfn.IFS('Prepare Gantt Chart'!Z72=12,'Project types'!$O73*('Prepare Gantt Chart'!$I72*'Prepare Gantt Chart'!$J72),'Prepare Gantt Chart'!Z72=11,'Project types'!$Q73*('Prepare Gantt Chart'!$I72*'Prepare Gantt Chart'!$J72),'Prepare Gantt Chart'!Z72=0,0)</f>
        <v>0</v>
      </c>
      <c r="N73" s="45">
        <f>_xlfn.IFS('Prepare Gantt Chart'!AA72=12,'Project types'!$O73*('Prepare Gantt Chart'!$I72*'Prepare Gantt Chart'!$J72),'Prepare Gantt Chart'!AA72=11,'Project types'!$Q73*('Prepare Gantt Chart'!$I72*'Prepare Gantt Chart'!$J72),'Prepare Gantt Chart'!AA72=0,0)</f>
        <v>0</v>
      </c>
      <c r="O73" s="45">
        <f>_xlfn.IFS('Prepare Gantt Chart'!AB72=12,'Project types'!$O73*('Prepare Gantt Chart'!$I72*'Prepare Gantt Chart'!$J72),'Prepare Gantt Chart'!AB72=11,'Project types'!$Q73*('Prepare Gantt Chart'!$I72*'Prepare Gantt Chart'!$J72),'Prepare Gantt Chart'!AB72=0,0)</f>
        <v>0</v>
      </c>
      <c r="P73" s="45">
        <f>_xlfn.IFS('Prepare Gantt Chart'!AC72=12,'Project types'!$O73*('Prepare Gantt Chart'!$I72*'Prepare Gantt Chart'!$J72),'Prepare Gantt Chart'!AC72=11,'Project types'!$Q73*('Prepare Gantt Chart'!$I72*'Prepare Gantt Chart'!$J72),'Prepare Gantt Chart'!AC72=0,0)</f>
        <v>0</v>
      </c>
      <c r="Q73" s="45">
        <f>_xlfn.IFS('Prepare Gantt Chart'!AD72=12,'Project types'!$O73*('Prepare Gantt Chart'!$I72*'Prepare Gantt Chart'!$J72),'Prepare Gantt Chart'!AD72=11,'Project types'!$Q73*('Prepare Gantt Chart'!$I72*'Prepare Gantt Chart'!$J72),'Prepare Gantt Chart'!AD72=0,0)</f>
        <v>0</v>
      </c>
      <c r="R73" s="45">
        <f>_xlfn.IFS('Prepare Gantt Chart'!AE72=12,'Project types'!$O73*('Prepare Gantt Chart'!$I72*'Prepare Gantt Chart'!$J72),'Prepare Gantt Chart'!AE72=11,'Project types'!$Q73*('Prepare Gantt Chart'!$I72*'Prepare Gantt Chart'!$J72),'Prepare Gantt Chart'!AE72=0,0)</f>
        <v>0</v>
      </c>
      <c r="S73" s="45">
        <f>_xlfn.IFS('Prepare Gantt Chart'!AF72=12,'Project types'!$O73*('Prepare Gantt Chart'!$I72*'Prepare Gantt Chart'!$J72),'Prepare Gantt Chart'!AF72=11,'Project types'!$Q73*('Prepare Gantt Chart'!$I72*'Prepare Gantt Chart'!$J72),'Prepare Gantt Chart'!AF72=0,0)</f>
        <v>0</v>
      </c>
      <c r="T73" s="45">
        <f>_xlfn.IFS('Prepare Gantt Chart'!AG72=12,'Project types'!$O73*('Prepare Gantt Chart'!$I72*'Prepare Gantt Chart'!$J72),'Prepare Gantt Chart'!AG72=11,'Project types'!$Q73*('Prepare Gantt Chart'!$I72*'Prepare Gantt Chart'!$J72),'Prepare Gantt Chart'!AG72=0,0)</f>
        <v>0</v>
      </c>
      <c r="U73" s="45">
        <f>_xlfn.IFS('Prepare Gantt Chart'!AH72=12,'Project types'!$O73*('Prepare Gantt Chart'!$I72*'Prepare Gantt Chart'!$J72),'Prepare Gantt Chart'!AH72=11,'Project types'!$Q73*('Prepare Gantt Chart'!$I72*'Prepare Gantt Chart'!$J72),'Prepare Gantt Chart'!AH72=0,0)</f>
        <v>0</v>
      </c>
      <c r="V73" s="45">
        <f>_xlfn.IFS('Prepare Gantt Chart'!AI72=12,'Project types'!$O73*('Prepare Gantt Chart'!$I72*'Prepare Gantt Chart'!$J72),'Prepare Gantt Chart'!AI72=11,'Project types'!$Q73*('Prepare Gantt Chart'!$I72*'Prepare Gantt Chart'!$J72),'Prepare Gantt Chart'!AI72=0,0)</f>
        <v>0</v>
      </c>
      <c r="W73" s="45">
        <f>_xlfn.IFS('Prepare Gantt Chart'!AJ72=12,'Project types'!$O73*('Prepare Gantt Chart'!$I72*'Prepare Gantt Chart'!$J72),'Prepare Gantt Chart'!AJ72=11,'Project types'!$Q73*('Prepare Gantt Chart'!$I72*'Prepare Gantt Chart'!$J72),'Prepare Gantt Chart'!AJ72=0,0)</f>
        <v>0</v>
      </c>
      <c r="X73" s="45">
        <f>_xlfn.IFS('Prepare Gantt Chart'!AK72=12,'Project types'!$O73*('Prepare Gantt Chart'!$I72*'Prepare Gantt Chart'!$J72),'Prepare Gantt Chart'!AK72=11,'Project types'!$Q73*('Prepare Gantt Chart'!$I72*'Prepare Gantt Chart'!$J72),'Prepare Gantt Chart'!AK72=0,0)</f>
        <v>0</v>
      </c>
      <c r="Y73" s="45">
        <f>_xlfn.IFS('Prepare Gantt Chart'!AL72=12,'Project types'!$O73*('Prepare Gantt Chart'!$I72*'Prepare Gantt Chart'!$J72),'Prepare Gantt Chart'!AL72=11,'Project types'!$Q73*('Prepare Gantt Chart'!$I72*'Prepare Gantt Chart'!$J72),'Prepare Gantt Chart'!AL72=0,0)</f>
        <v>0</v>
      </c>
      <c r="Z73" s="45">
        <f>_xlfn.IFS('Prepare Gantt Chart'!AM72=12,'Project types'!$O73*('Prepare Gantt Chart'!$I72*'Prepare Gantt Chart'!$J72),'Prepare Gantt Chart'!AM72=11,'Project types'!$Q73*('Prepare Gantt Chart'!$I72*'Prepare Gantt Chart'!$J72),'Prepare Gantt Chart'!AM72=0,0)</f>
        <v>0</v>
      </c>
      <c r="AA73" s="45">
        <f>_xlfn.IFS('Prepare Gantt Chart'!AN72=12,'Project types'!$O73*('Prepare Gantt Chart'!$I72*'Prepare Gantt Chart'!$J72),'Prepare Gantt Chart'!AN72=11,'Project types'!$Q73*('Prepare Gantt Chart'!$I72*'Prepare Gantt Chart'!$J72),'Prepare Gantt Chart'!AN72=0,0)</f>
        <v>0</v>
      </c>
      <c r="AB73" s="45">
        <f>_xlfn.IFS('Prepare Gantt Chart'!AO72=12,'Project types'!$O73*('Prepare Gantt Chart'!$I72*'Prepare Gantt Chart'!$J72),'Prepare Gantt Chart'!AO72=11,'Project types'!$Q73*('Prepare Gantt Chart'!$I72*'Prepare Gantt Chart'!$J72),'Prepare Gantt Chart'!AO72=0,0)</f>
        <v>0</v>
      </c>
      <c r="AC73" s="45">
        <f>'Prepare Gantt Chart'!J72*'Prepare Gantt Chart'!I72*(AD73/26)</f>
        <v>0</v>
      </c>
      <c r="AD73" s="46">
        <f t="shared" si="2"/>
        <v>0</v>
      </c>
      <c r="AE73" s="72">
        <f>IF('Prepare Gantt Chart'!$J72=0,0,SUM(C73:H73)/6/'Prepare Gantt Chart'!$J72)</f>
        <v>0</v>
      </c>
      <c r="AF73" s="72">
        <f>IF('Prepare Gantt Chart'!$J72=0,0,SUM(I73:M73)/5/'Prepare Gantt Chart'!$J72)</f>
        <v>0</v>
      </c>
      <c r="AG73" s="72">
        <f>IF('Prepare Gantt Chart'!$J72=0,0,SUM(N73:R73)/5/'Prepare Gantt Chart'!$J72)</f>
        <v>0</v>
      </c>
      <c r="AH73" s="72">
        <f>IF('Prepare Gantt Chart'!$J72=0,0,SUM(S73:W73)/5/'Prepare Gantt Chart'!$J72)</f>
        <v>0</v>
      </c>
      <c r="AI73" s="72">
        <f>IF('Prepare Gantt Chart'!$J72=0,0,SUM(X73:AB73)/5/'Prepare Gantt Chart'!$J72)</f>
        <v>0</v>
      </c>
      <c r="AK73" s="33" t="s">
        <v>65</v>
      </c>
      <c r="AL73" s="45">
        <f>_xlfn.IFS('Prepare Gantt Chart'!P72=12,'Project types'!$L73*('Prepare Gantt Chart'!$I72*'Prepare Gantt Chart'!$J72),'Prepare Gantt Chart'!P72=11,'Project types'!$L73*('Prepare Gantt Chart'!$I72*'Prepare Gantt Chart'!$J72),'Prepare Gantt Chart'!P72=0,0)</f>
        <v>0</v>
      </c>
      <c r="AM73" s="45">
        <f>_xlfn.IFS('Prepare Gantt Chart'!Q72=12,'Project types'!$L73*('Prepare Gantt Chart'!$I72*'Prepare Gantt Chart'!$J72),'Prepare Gantt Chart'!Q72=11,'Project types'!$L73*('Prepare Gantt Chart'!$I72*'Prepare Gantt Chart'!$J72),'Prepare Gantt Chart'!Q72=0,0)</f>
        <v>0</v>
      </c>
      <c r="AN73" s="45">
        <f>_xlfn.IFS('Prepare Gantt Chart'!R72=12,'Project types'!$L73*('Prepare Gantt Chart'!$I72*'Prepare Gantt Chart'!$J72),'Prepare Gantt Chart'!R72=11,'Project types'!$L73*('Prepare Gantt Chart'!$I72*'Prepare Gantt Chart'!$J72),'Prepare Gantt Chart'!R72=0,0)</f>
        <v>0</v>
      </c>
      <c r="AO73" s="45">
        <f>_xlfn.IFS('Prepare Gantt Chart'!S72=12,'Project types'!$L73*('Prepare Gantt Chart'!$I72*'Prepare Gantt Chart'!$J72),'Prepare Gantt Chart'!S72=11,'Project types'!$L73*('Prepare Gantt Chart'!$I72*'Prepare Gantt Chart'!$J72),'Prepare Gantt Chart'!S72=0,0)</f>
        <v>0</v>
      </c>
      <c r="AP73" s="45">
        <f>_xlfn.IFS('Prepare Gantt Chart'!T72=12,'Project types'!$L73*('Prepare Gantt Chart'!$I72*'Prepare Gantt Chart'!$J72),'Prepare Gantt Chart'!T72=11,'Project types'!$L73*('Prepare Gantt Chart'!$I72*'Prepare Gantt Chart'!$J72),'Prepare Gantt Chart'!T72=0,0)</f>
        <v>0</v>
      </c>
      <c r="AQ73" s="45">
        <f>_xlfn.IFS('Prepare Gantt Chart'!U72=12,'Project types'!$L73*('Prepare Gantt Chart'!$I72*'Prepare Gantt Chart'!$J72),'Prepare Gantt Chart'!U72=11,'Project types'!$L73*('Prepare Gantt Chart'!$I72*'Prepare Gantt Chart'!$J72),'Prepare Gantt Chart'!U72=0,0)</f>
        <v>0</v>
      </c>
      <c r="AR73" s="45">
        <f>_xlfn.IFS('Prepare Gantt Chart'!V72=12,'Project types'!$L73*('Prepare Gantt Chart'!$I72*'Prepare Gantt Chart'!$J72),'Prepare Gantt Chart'!V72=11,'Project types'!$L73*('Prepare Gantt Chart'!$I72*'Prepare Gantt Chart'!$J72),'Prepare Gantt Chart'!V72=0,0)</f>
        <v>0</v>
      </c>
      <c r="AS73" s="45">
        <f>_xlfn.IFS('Prepare Gantt Chart'!W72=12,'Project types'!$L73*('Prepare Gantt Chart'!$I72*'Prepare Gantt Chart'!$J72),'Prepare Gantt Chart'!W72=11,'Project types'!$L73*('Prepare Gantt Chart'!$I72*'Prepare Gantt Chart'!$J72),'Prepare Gantt Chart'!W72=0,0)</f>
        <v>0</v>
      </c>
      <c r="AT73" s="45">
        <f>_xlfn.IFS('Prepare Gantt Chart'!X72=12,'Project types'!$L73*('Prepare Gantt Chart'!$I72*'Prepare Gantt Chart'!$J72),'Prepare Gantt Chart'!X72=11,'Project types'!$L73*('Prepare Gantt Chart'!$I72*'Prepare Gantt Chart'!$J72),'Prepare Gantt Chart'!X72=0,0)</f>
        <v>0</v>
      </c>
      <c r="AU73" s="45">
        <f>_xlfn.IFS('Prepare Gantt Chart'!Y72=12,'Project types'!$L73*('Prepare Gantt Chart'!$I72*'Prepare Gantt Chart'!$J72),'Prepare Gantt Chart'!Y72=11,'Project types'!$L73*('Prepare Gantt Chart'!$I72*'Prepare Gantt Chart'!$J72),'Prepare Gantt Chart'!Y72=0,0)</f>
        <v>0</v>
      </c>
      <c r="AV73" s="45">
        <f>_xlfn.IFS('Prepare Gantt Chart'!Z72=12,'Project types'!$L73*('Prepare Gantt Chart'!$I72*'Prepare Gantt Chart'!$J72),'Prepare Gantt Chart'!Z72=11,'Project types'!$L73*('Prepare Gantt Chart'!$I72*'Prepare Gantt Chart'!$J72),'Prepare Gantt Chart'!Z72=0,0)</f>
        <v>0</v>
      </c>
      <c r="AW73" s="45">
        <f>_xlfn.IFS('Prepare Gantt Chart'!AA72=12,'Project types'!$L73*('Prepare Gantt Chart'!$I72*'Prepare Gantt Chart'!$J72),'Prepare Gantt Chart'!AA72=11,'Project types'!$L73*('Prepare Gantt Chart'!$I72*'Prepare Gantt Chart'!$J72),'Prepare Gantt Chart'!AA72=0,0)</f>
        <v>0</v>
      </c>
      <c r="AX73" s="45">
        <f>_xlfn.IFS('Prepare Gantt Chart'!AB72=12,'Project types'!$L73*('Prepare Gantt Chart'!$I72*'Prepare Gantt Chart'!$J72),'Prepare Gantt Chart'!AB72=11,'Project types'!$L73*('Prepare Gantt Chart'!$I72*'Prepare Gantt Chart'!$J72),'Prepare Gantt Chart'!AB72=0,0)</f>
        <v>0</v>
      </c>
      <c r="AY73" s="45">
        <f>_xlfn.IFS('Prepare Gantt Chart'!AC72=12,'Project types'!$L73*('Prepare Gantt Chart'!$I72*'Prepare Gantt Chart'!$J72),'Prepare Gantt Chart'!AC72=11,'Project types'!$L73*('Prepare Gantt Chart'!$I72*'Prepare Gantt Chart'!$J72),'Prepare Gantt Chart'!AC72=0,0)</f>
        <v>0</v>
      </c>
      <c r="AZ73" s="45">
        <f>_xlfn.IFS('Prepare Gantt Chart'!AD72=12,'Project types'!$L73*('Prepare Gantt Chart'!$I72*'Prepare Gantt Chart'!$J72),'Prepare Gantt Chart'!AD72=11,'Project types'!$L73*('Prepare Gantt Chart'!$I72*'Prepare Gantt Chart'!$J72),'Prepare Gantt Chart'!AD72=0,0)</f>
        <v>0</v>
      </c>
      <c r="BA73" s="45">
        <f>_xlfn.IFS('Prepare Gantt Chart'!AE72=12,'Project types'!$L73*('Prepare Gantt Chart'!$I72*'Prepare Gantt Chart'!$J72),'Prepare Gantt Chart'!AE72=11,'Project types'!$L73*('Prepare Gantt Chart'!$I72*'Prepare Gantt Chart'!$J72),'Prepare Gantt Chart'!AE72=0,0)</f>
        <v>0</v>
      </c>
      <c r="BB73" s="45">
        <f>_xlfn.IFS('Prepare Gantt Chart'!AF72=12,'Project types'!$L73*('Prepare Gantt Chart'!$I72*'Prepare Gantt Chart'!$J72),'Prepare Gantt Chart'!AF72=11,'Project types'!$L73*('Prepare Gantt Chart'!$I72*'Prepare Gantt Chart'!$J72),'Prepare Gantt Chart'!AF72=0,0)</f>
        <v>0</v>
      </c>
      <c r="BC73" s="45">
        <f>_xlfn.IFS('Prepare Gantt Chart'!AG72=12,'Project types'!$L73*('Prepare Gantt Chart'!$I72*'Prepare Gantt Chart'!$J72),'Prepare Gantt Chart'!AG72=11,'Project types'!$L73*('Prepare Gantt Chart'!$I72*'Prepare Gantt Chart'!$J72),'Prepare Gantt Chart'!AG72=0,0)</f>
        <v>0</v>
      </c>
      <c r="BD73" s="45">
        <f>_xlfn.IFS('Prepare Gantt Chart'!AH72=12,'Project types'!$L73*('Prepare Gantt Chart'!$I72*'Prepare Gantt Chart'!$J72),'Prepare Gantt Chart'!AH72=11,'Project types'!$L73*('Prepare Gantt Chart'!$I72*'Prepare Gantt Chart'!$J72),'Prepare Gantt Chart'!AH72=0,0)</f>
        <v>0</v>
      </c>
      <c r="BE73" s="45">
        <f>_xlfn.IFS('Prepare Gantt Chart'!AI72=12,'Project types'!$L73*('Prepare Gantt Chart'!$I72*'Prepare Gantt Chart'!$J72),'Prepare Gantt Chart'!AI72=11,'Project types'!$L73*('Prepare Gantt Chart'!$I72*'Prepare Gantt Chart'!$J72),'Prepare Gantt Chart'!AI72=0,0)</f>
        <v>0</v>
      </c>
      <c r="BF73" s="45">
        <f>_xlfn.IFS('Prepare Gantt Chart'!AJ72=12,'Project types'!$L73*('Prepare Gantt Chart'!$I72*'Prepare Gantt Chart'!$J72),'Prepare Gantt Chart'!AJ72=11,'Project types'!$L73*('Prepare Gantt Chart'!$I72*'Prepare Gantt Chart'!$J72),'Prepare Gantt Chart'!AJ72=0,0)</f>
        <v>0</v>
      </c>
      <c r="BG73" s="45">
        <f>_xlfn.IFS('Prepare Gantt Chart'!AK72=12,'Project types'!$L73*('Prepare Gantt Chart'!$I72*'Prepare Gantt Chart'!$J72),'Prepare Gantt Chart'!AK72=11,'Project types'!$L73*('Prepare Gantt Chart'!$I72*'Prepare Gantt Chart'!$J72),'Prepare Gantt Chart'!AK72=0,0)</f>
        <v>0</v>
      </c>
      <c r="BH73" s="45">
        <f>_xlfn.IFS('Prepare Gantt Chart'!AL72=12,'Project types'!$L73*('Prepare Gantt Chart'!$I72*'Prepare Gantt Chart'!$J72),'Prepare Gantt Chart'!AL72=11,'Project types'!$L73*('Prepare Gantt Chart'!$I72*'Prepare Gantt Chart'!$J72),'Prepare Gantt Chart'!AL72=0,0)</f>
        <v>0</v>
      </c>
      <c r="BI73" s="45">
        <f>_xlfn.IFS('Prepare Gantt Chart'!AM72=12,'Project types'!$L73*('Prepare Gantt Chart'!$I72*'Prepare Gantt Chart'!$J72),'Prepare Gantt Chart'!AM72=11,'Project types'!$L73*('Prepare Gantt Chart'!$I72*'Prepare Gantt Chart'!$J72),'Prepare Gantt Chart'!AM72=0,0)</f>
        <v>0</v>
      </c>
      <c r="BJ73" s="45">
        <f>_xlfn.IFS('Prepare Gantt Chart'!AN72=12,'Project types'!$L73*('Prepare Gantt Chart'!$I72*'Prepare Gantt Chart'!$J72),'Prepare Gantt Chart'!AN72=11,'Project types'!$L73*('Prepare Gantt Chart'!$I72*'Prepare Gantt Chart'!$J72),'Prepare Gantt Chart'!AN72=0,0)</f>
        <v>0</v>
      </c>
      <c r="BK73" s="45">
        <f>_xlfn.IFS('Prepare Gantt Chart'!AO72=12,'Project types'!$L73*('Prepare Gantt Chart'!$I72*'Prepare Gantt Chart'!$J72),'Prepare Gantt Chart'!AO72=11,'Project types'!$L73*('Prepare Gantt Chart'!$I72*'Prepare Gantt Chart'!$J72),'Prepare Gantt Chart'!AO72=0,0)</f>
        <v>0</v>
      </c>
      <c r="BL73" s="46">
        <f t="shared" si="3"/>
        <v>0</v>
      </c>
      <c r="BM73" s="75">
        <f>IF('Prepare Gantt Chart'!$J72=0,0,SUM(AL73:AQ73)/6/'Prepare Gantt Chart'!$J72)</f>
        <v>0</v>
      </c>
      <c r="BN73" s="75">
        <f>IF('Prepare Gantt Chart'!$J72=0,0,SUM(AR73:AV73)/5/'Prepare Gantt Chart'!$J72)</f>
        <v>0</v>
      </c>
      <c r="BO73" s="75">
        <f>IF('Prepare Gantt Chart'!$J72=0,0,SUM(AW73:BA73)/5/'Prepare Gantt Chart'!$J72)</f>
        <v>0</v>
      </c>
      <c r="BP73" s="75">
        <f>IF('Prepare Gantt Chart'!$J72=0,0,SUM(BB73:BF73)/5/'Prepare Gantt Chart'!$J72)</f>
        <v>0</v>
      </c>
      <c r="BQ73" s="75">
        <f>IF('Prepare Gantt Chart'!$J72=0,0,SUM(BG73:BK73)/5/'Prepare Gantt Chart'!$J72)</f>
        <v>0</v>
      </c>
    </row>
    <row r="74" spans="1:69" x14ac:dyDescent="0.2">
      <c r="A74" s="33" t="s">
        <v>66</v>
      </c>
      <c r="B74" s="1" t="s">
        <v>149</v>
      </c>
      <c r="C74" s="45">
        <f>_xlfn.IFS('Prepare Gantt Chart'!P73=12,'Project types'!$O74*('Prepare Gantt Chart'!$I73*'Prepare Gantt Chart'!$J73),'Prepare Gantt Chart'!P73=11,'Project types'!$Q74*('Prepare Gantt Chart'!$I73*'Prepare Gantt Chart'!$J73),'Prepare Gantt Chart'!P73=0,0)</f>
        <v>0</v>
      </c>
      <c r="D74" s="45">
        <f>_xlfn.IFS('Prepare Gantt Chart'!Q73=12,'Project types'!$O74*('Prepare Gantt Chart'!$I73*'Prepare Gantt Chart'!$J73),'Prepare Gantt Chart'!Q73=11,'Project types'!$Q74*('Prepare Gantt Chart'!$I73*'Prepare Gantt Chart'!$J73),'Prepare Gantt Chart'!Q73=0,0)</f>
        <v>0</v>
      </c>
      <c r="E74" s="45">
        <f>_xlfn.IFS('Prepare Gantt Chart'!R73=12,'Project types'!$O74*('Prepare Gantt Chart'!$I73*'Prepare Gantt Chart'!$J73),'Prepare Gantt Chart'!R73=11,'Project types'!$Q74*('Prepare Gantt Chart'!$I73*'Prepare Gantt Chart'!$J73),'Prepare Gantt Chart'!R73=0,0)</f>
        <v>0</v>
      </c>
      <c r="F74" s="45">
        <f>_xlfn.IFS('Prepare Gantt Chart'!S73=12,'Project types'!$O74*('Prepare Gantt Chart'!$I73*'Prepare Gantt Chart'!$J73),'Prepare Gantt Chart'!S73=11,'Project types'!$Q74*('Prepare Gantt Chart'!$I73*'Prepare Gantt Chart'!$J73),'Prepare Gantt Chart'!S73=0,0)</f>
        <v>0</v>
      </c>
      <c r="G74" s="45">
        <f>_xlfn.IFS('Prepare Gantt Chart'!T73=12,'Project types'!$O74*('Prepare Gantt Chart'!$I73*'Prepare Gantt Chart'!$J73),'Prepare Gantt Chart'!T73=11,'Project types'!$Q74*('Prepare Gantt Chart'!$I73*'Prepare Gantt Chart'!$J73),'Prepare Gantt Chart'!T73=0,0)</f>
        <v>0</v>
      </c>
      <c r="H74" s="45">
        <f>_xlfn.IFS('Prepare Gantt Chart'!U73=12,'Project types'!$O74*('Prepare Gantt Chart'!$I73*'Prepare Gantt Chart'!$J73),'Prepare Gantt Chart'!U73=11,'Project types'!$Q74*('Prepare Gantt Chart'!$I73*'Prepare Gantt Chart'!$J73),'Prepare Gantt Chart'!U73=0,0)</f>
        <v>0</v>
      </c>
      <c r="I74" s="45">
        <f>_xlfn.IFS('Prepare Gantt Chart'!V73=12,'Project types'!$O74*('Prepare Gantt Chart'!$I73*'Prepare Gantt Chart'!$J73),'Prepare Gantt Chart'!V73=11,'Project types'!$Q74*('Prepare Gantt Chart'!$I73*'Prepare Gantt Chart'!$J73),'Prepare Gantt Chart'!V73=0,0)</f>
        <v>0</v>
      </c>
      <c r="J74" s="45">
        <f>_xlfn.IFS('Prepare Gantt Chart'!W73=12,'Project types'!$O74*('Prepare Gantt Chart'!$I73*'Prepare Gantt Chart'!$J73),'Prepare Gantt Chart'!W73=11,'Project types'!$Q74*('Prepare Gantt Chart'!$I73*'Prepare Gantt Chart'!$J73),'Prepare Gantt Chart'!W73=0,0)</f>
        <v>0</v>
      </c>
      <c r="K74" s="45">
        <f>_xlfn.IFS('Prepare Gantt Chart'!X73=12,'Project types'!$O74*('Prepare Gantt Chart'!$I73*'Prepare Gantt Chart'!$J73),'Prepare Gantt Chart'!X73=11,'Project types'!$Q74*('Prepare Gantt Chart'!$I73*'Prepare Gantt Chart'!$J73),'Prepare Gantt Chart'!X73=0,0)</f>
        <v>0</v>
      </c>
      <c r="L74" s="45">
        <f>_xlfn.IFS('Prepare Gantt Chart'!Y73=12,'Project types'!$O74*('Prepare Gantt Chart'!$I73*'Prepare Gantt Chart'!$J73),'Prepare Gantt Chart'!Y73=11,'Project types'!$Q74*('Prepare Gantt Chart'!$I73*'Prepare Gantt Chart'!$J73),'Prepare Gantt Chart'!Y73=0,0)</f>
        <v>0</v>
      </c>
      <c r="M74" s="45">
        <f>_xlfn.IFS('Prepare Gantt Chart'!Z73=12,'Project types'!$O74*('Prepare Gantt Chart'!$I73*'Prepare Gantt Chart'!$J73),'Prepare Gantt Chart'!Z73=11,'Project types'!$Q74*('Prepare Gantt Chart'!$I73*'Prepare Gantt Chart'!$J73),'Prepare Gantt Chart'!Z73=0,0)</f>
        <v>0</v>
      </c>
      <c r="N74" s="45">
        <f>_xlfn.IFS('Prepare Gantt Chart'!AA73=12,'Project types'!$O74*('Prepare Gantt Chart'!$I73*'Prepare Gantt Chart'!$J73),'Prepare Gantt Chart'!AA73=11,'Project types'!$Q74*('Prepare Gantt Chart'!$I73*'Prepare Gantt Chart'!$J73),'Prepare Gantt Chart'!AA73=0,0)</f>
        <v>0</v>
      </c>
      <c r="O74" s="45">
        <f>_xlfn.IFS('Prepare Gantt Chart'!AB73=12,'Project types'!$O74*('Prepare Gantt Chart'!$I73*'Prepare Gantt Chart'!$J73),'Prepare Gantt Chart'!AB73=11,'Project types'!$Q74*('Prepare Gantt Chart'!$I73*'Prepare Gantt Chart'!$J73),'Prepare Gantt Chart'!AB73=0,0)</f>
        <v>0</v>
      </c>
      <c r="P74" s="45">
        <f>_xlfn.IFS('Prepare Gantt Chart'!AC73=12,'Project types'!$O74*('Prepare Gantt Chart'!$I73*'Prepare Gantt Chart'!$J73),'Prepare Gantt Chart'!AC73=11,'Project types'!$Q74*('Prepare Gantt Chart'!$I73*'Prepare Gantt Chart'!$J73),'Prepare Gantt Chart'!AC73=0,0)</f>
        <v>0</v>
      </c>
      <c r="Q74" s="45">
        <f>_xlfn.IFS('Prepare Gantt Chart'!AD73=12,'Project types'!$O74*('Prepare Gantt Chart'!$I73*'Prepare Gantt Chart'!$J73),'Prepare Gantt Chart'!AD73=11,'Project types'!$Q74*('Prepare Gantt Chart'!$I73*'Prepare Gantt Chart'!$J73),'Prepare Gantt Chart'!AD73=0,0)</f>
        <v>0</v>
      </c>
      <c r="R74" s="45">
        <f>_xlfn.IFS('Prepare Gantt Chart'!AE73=12,'Project types'!$O74*('Prepare Gantt Chart'!$I73*'Prepare Gantt Chart'!$J73),'Prepare Gantt Chart'!AE73=11,'Project types'!$Q74*('Prepare Gantt Chart'!$I73*'Prepare Gantt Chart'!$J73),'Prepare Gantt Chart'!AE73=0,0)</f>
        <v>0</v>
      </c>
      <c r="S74" s="45">
        <f>_xlfn.IFS('Prepare Gantt Chart'!AF73=12,'Project types'!$O74*('Prepare Gantt Chart'!$I73*'Prepare Gantt Chart'!$J73),'Prepare Gantt Chart'!AF73=11,'Project types'!$Q74*('Prepare Gantt Chart'!$I73*'Prepare Gantt Chart'!$J73),'Prepare Gantt Chart'!AF73=0,0)</f>
        <v>0</v>
      </c>
      <c r="T74" s="45">
        <f>_xlfn.IFS('Prepare Gantt Chart'!AG73=12,'Project types'!$O74*('Prepare Gantt Chart'!$I73*'Prepare Gantt Chart'!$J73),'Prepare Gantt Chart'!AG73=11,'Project types'!$Q74*('Prepare Gantt Chart'!$I73*'Prepare Gantt Chart'!$J73),'Prepare Gantt Chart'!AG73=0,0)</f>
        <v>0</v>
      </c>
      <c r="U74" s="45">
        <f>_xlfn.IFS('Prepare Gantt Chart'!AH73=12,'Project types'!$O74*('Prepare Gantt Chart'!$I73*'Prepare Gantt Chart'!$J73),'Prepare Gantt Chart'!AH73=11,'Project types'!$Q74*('Prepare Gantt Chart'!$I73*'Prepare Gantt Chart'!$J73),'Prepare Gantt Chart'!AH73=0,0)</f>
        <v>0</v>
      </c>
      <c r="V74" s="45">
        <f>_xlfn.IFS('Prepare Gantt Chart'!AI73=12,'Project types'!$O74*('Prepare Gantt Chart'!$I73*'Prepare Gantt Chart'!$J73),'Prepare Gantt Chart'!AI73=11,'Project types'!$Q74*('Prepare Gantt Chart'!$I73*'Prepare Gantt Chart'!$J73),'Prepare Gantt Chart'!AI73=0,0)</f>
        <v>0</v>
      </c>
      <c r="W74" s="45">
        <f>_xlfn.IFS('Prepare Gantt Chart'!AJ73=12,'Project types'!$O74*('Prepare Gantt Chart'!$I73*'Prepare Gantt Chart'!$J73),'Prepare Gantt Chart'!AJ73=11,'Project types'!$Q74*('Prepare Gantt Chart'!$I73*'Prepare Gantt Chart'!$J73),'Prepare Gantt Chart'!AJ73=0,0)</f>
        <v>0</v>
      </c>
      <c r="X74" s="45">
        <f>_xlfn.IFS('Prepare Gantt Chart'!AK73=12,'Project types'!$O74*('Prepare Gantt Chart'!$I73*'Prepare Gantt Chart'!$J73),'Prepare Gantt Chart'!AK73=11,'Project types'!$Q74*('Prepare Gantt Chart'!$I73*'Prepare Gantt Chart'!$J73),'Prepare Gantt Chart'!AK73=0,0)</f>
        <v>0</v>
      </c>
      <c r="Y74" s="45">
        <f>_xlfn.IFS('Prepare Gantt Chart'!AL73=12,'Project types'!$O74*('Prepare Gantt Chart'!$I73*'Prepare Gantt Chart'!$J73),'Prepare Gantt Chart'!AL73=11,'Project types'!$Q74*('Prepare Gantt Chart'!$I73*'Prepare Gantt Chart'!$J73),'Prepare Gantt Chart'!AL73=0,0)</f>
        <v>0</v>
      </c>
      <c r="Z74" s="45">
        <f>_xlfn.IFS('Prepare Gantt Chart'!AM73=12,'Project types'!$O74*('Prepare Gantt Chart'!$I73*'Prepare Gantt Chart'!$J73),'Prepare Gantt Chart'!AM73=11,'Project types'!$Q74*('Prepare Gantt Chart'!$I73*'Prepare Gantt Chart'!$J73),'Prepare Gantt Chart'!AM73=0,0)</f>
        <v>0</v>
      </c>
      <c r="AA74" s="45">
        <f>_xlfn.IFS('Prepare Gantt Chart'!AN73=12,'Project types'!$O74*('Prepare Gantt Chart'!$I73*'Prepare Gantt Chart'!$J73),'Prepare Gantt Chart'!AN73=11,'Project types'!$Q74*('Prepare Gantt Chart'!$I73*'Prepare Gantt Chart'!$J73),'Prepare Gantt Chart'!AN73=0,0)</f>
        <v>0</v>
      </c>
      <c r="AB74" s="45">
        <f>_xlfn.IFS('Prepare Gantt Chart'!AO73=12,'Project types'!$O74*('Prepare Gantt Chart'!$I73*'Prepare Gantt Chart'!$J73),'Prepare Gantt Chart'!AO73=11,'Project types'!$Q74*('Prepare Gantt Chart'!$I73*'Prepare Gantt Chart'!$J73),'Prepare Gantt Chart'!AO73=0,0)</f>
        <v>0</v>
      </c>
      <c r="AC74" s="45">
        <f>'Prepare Gantt Chart'!J73*'Prepare Gantt Chart'!I73*(AD74/26)</f>
        <v>0</v>
      </c>
      <c r="AD74" s="46">
        <f t="shared" si="2"/>
        <v>0</v>
      </c>
      <c r="AE74" s="72">
        <f>IF('Prepare Gantt Chart'!$J73=0,0,SUM(C74:H74)/6/'Prepare Gantt Chart'!$J73)</f>
        <v>0</v>
      </c>
      <c r="AF74" s="72">
        <f>IF('Prepare Gantt Chart'!$J73=0,0,SUM(I74:M74)/5/'Prepare Gantt Chart'!$J73)</f>
        <v>0</v>
      </c>
      <c r="AG74" s="72">
        <f>IF('Prepare Gantt Chart'!$J73=0,0,SUM(N74:R74)/5/'Prepare Gantt Chart'!$J73)</f>
        <v>0</v>
      </c>
      <c r="AH74" s="72">
        <f>IF('Prepare Gantt Chart'!$J73=0,0,SUM(S74:W74)/5/'Prepare Gantt Chart'!$J73)</f>
        <v>0</v>
      </c>
      <c r="AI74" s="72">
        <f>IF('Prepare Gantt Chart'!$J73=0,0,SUM(X74:AB74)/5/'Prepare Gantt Chart'!$J73)</f>
        <v>0</v>
      </c>
      <c r="AK74" s="33" t="s">
        <v>66</v>
      </c>
      <c r="AL74" s="45">
        <f>_xlfn.IFS('Prepare Gantt Chart'!P73=12,'Project types'!$L74*('Prepare Gantt Chart'!$I73*'Prepare Gantt Chart'!$J73),'Prepare Gantt Chart'!P73=11,'Project types'!$L74*('Prepare Gantt Chart'!$I73*'Prepare Gantt Chart'!$J73),'Prepare Gantt Chart'!P73=0,0)</f>
        <v>0</v>
      </c>
      <c r="AM74" s="45">
        <f>_xlfn.IFS('Prepare Gantt Chart'!Q73=12,'Project types'!$L74*('Prepare Gantt Chart'!$I73*'Prepare Gantt Chart'!$J73),'Prepare Gantt Chart'!Q73=11,'Project types'!$L74*('Prepare Gantt Chart'!$I73*'Prepare Gantt Chart'!$J73),'Prepare Gantt Chart'!Q73=0,0)</f>
        <v>0</v>
      </c>
      <c r="AN74" s="45">
        <f>_xlfn.IFS('Prepare Gantt Chart'!R73=12,'Project types'!$L74*('Prepare Gantt Chart'!$I73*'Prepare Gantt Chart'!$J73),'Prepare Gantt Chart'!R73=11,'Project types'!$L74*('Prepare Gantt Chart'!$I73*'Prepare Gantt Chart'!$J73),'Prepare Gantt Chart'!R73=0,0)</f>
        <v>0</v>
      </c>
      <c r="AO74" s="45">
        <f>_xlfn.IFS('Prepare Gantt Chart'!S73=12,'Project types'!$L74*('Prepare Gantt Chart'!$I73*'Prepare Gantt Chart'!$J73),'Prepare Gantt Chart'!S73=11,'Project types'!$L74*('Prepare Gantt Chart'!$I73*'Prepare Gantt Chart'!$J73),'Prepare Gantt Chart'!S73=0,0)</f>
        <v>0</v>
      </c>
      <c r="AP74" s="45">
        <f>_xlfn.IFS('Prepare Gantt Chart'!T73=12,'Project types'!$L74*('Prepare Gantt Chart'!$I73*'Prepare Gantt Chart'!$J73),'Prepare Gantt Chart'!T73=11,'Project types'!$L74*('Prepare Gantt Chart'!$I73*'Prepare Gantt Chart'!$J73),'Prepare Gantt Chart'!T73=0,0)</f>
        <v>0</v>
      </c>
      <c r="AQ74" s="45">
        <f>_xlfn.IFS('Prepare Gantt Chart'!U73=12,'Project types'!$L74*('Prepare Gantt Chart'!$I73*'Prepare Gantt Chart'!$J73),'Prepare Gantt Chart'!U73=11,'Project types'!$L74*('Prepare Gantt Chart'!$I73*'Prepare Gantt Chart'!$J73),'Prepare Gantt Chart'!U73=0,0)</f>
        <v>0</v>
      </c>
      <c r="AR74" s="45">
        <f>_xlfn.IFS('Prepare Gantt Chart'!V73=12,'Project types'!$L74*('Prepare Gantt Chart'!$I73*'Prepare Gantt Chart'!$J73),'Prepare Gantt Chart'!V73=11,'Project types'!$L74*('Prepare Gantt Chart'!$I73*'Prepare Gantt Chart'!$J73),'Prepare Gantt Chart'!V73=0,0)</f>
        <v>0</v>
      </c>
      <c r="AS74" s="45">
        <f>_xlfn.IFS('Prepare Gantt Chart'!W73=12,'Project types'!$L74*('Prepare Gantt Chart'!$I73*'Prepare Gantt Chart'!$J73),'Prepare Gantt Chart'!W73=11,'Project types'!$L74*('Prepare Gantt Chart'!$I73*'Prepare Gantt Chart'!$J73),'Prepare Gantt Chart'!W73=0,0)</f>
        <v>0</v>
      </c>
      <c r="AT74" s="45">
        <f>_xlfn.IFS('Prepare Gantt Chart'!X73=12,'Project types'!$L74*('Prepare Gantt Chart'!$I73*'Prepare Gantt Chart'!$J73),'Prepare Gantt Chart'!X73=11,'Project types'!$L74*('Prepare Gantt Chart'!$I73*'Prepare Gantt Chart'!$J73),'Prepare Gantt Chart'!X73=0,0)</f>
        <v>0</v>
      </c>
      <c r="AU74" s="45">
        <f>_xlfn.IFS('Prepare Gantt Chart'!Y73=12,'Project types'!$L74*('Prepare Gantt Chart'!$I73*'Prepare Gantt Chart'!$J73),'Prepare Gantt Chart'!Y73=11,'Project types'!$L74*('Prepare Gantt Chart'!$I73*'Prepare Gantt Chart'!$J73),'Prepare Gantt Chart'!Y73=0,0)</f>
        <v>0</v>
      </c>
      <c r="AV74" s="45">
        <f>_xlfn.IFS('Prepare Gantt Chart'!Z73=12,'Project types'!$L74*('Prepare Gantt Chart'!$I73*'Prepare Gantt Chart'!$J73),'Prepare Gantt Chart'!Z73=11,'Project types'!$L74*('Prepare Gantt Chart'!$I73*'Prepare Gantt Chart'!$J73),'Prepare Gantt Chart'!Z73=0,0)</f>
        <v>0</v>
      </c>
      <c r="AW74" s="45">
        <f>_xlfn.IFS('Prepare Gantt Chart'!AA73=12,'Project types'!$L74*('Prepare Gantt Chart'!$I73*'Prepare Gantt Chart'!$J73),'Prepare Gantt Chart'!AA73=11,'Project types'!$L74*('Prepare Gantt Chart'!$I73*'Prepare Gantt Chart'!$J73),'Prepare Gantt Chart'!AA73=0,0)</f>
        <v>0</v>
      </c>
      <c r="AX74" s="45">
        <f>_xlfn.IFS('Prepare Gantt Chart'!AB73=12,'Project types'!$L74*('Prepare Gantt Chart'!$I73*'Prepare Gantt Chart'!$J73),'Prepare Gantt Chart'!AB73=11,'Project types'!$L74*('Prepare Gantt Chart'!$I73*'Prepare Gantt Chart'!$J73),'Prepare Gantt Chart'!AB73=0,0)</f>
        <v>0</v>
      </c>
      <c r="AY74" s="45">
        <f>_xlfn.IFS('Prepare Gantt Chart'!AC73=12,'Project types'!$L74*('Prepare Gantt Chart'!$I73*'Prepare Gantt Chart'!$J73),'Prepare Gantt Chart'!AC73=11,'Project types'!$L74*('Prepare Gantt Chart'!$I73*'Prepare Gantt Chart'!$J73),'Prepare Gantt Chart'!AC73=0,0)</f>
        <v>0</v>
      </c>
      <c r="AZ74" s="45">
        <f>_xlfn.IFS('Prepare Gantt Chart'!AD73=12,'Project types'!$L74*('Prepare Gantt Chart'!$I73*'Prepare Gantt Chart'!$J73),'Prepare Gantt Chart'!AD73=11,'Project types'!$L74*('Prepare Gantt Chart'!$I73*'Prepare Gantt Chart'!$J73),'Prepare Gantt Chart'!AD73=0,0)</f>
        <v>0</v>
      </c>
      <c r="BA74" s="45">
        <f>_xlfn.IFS('Prepare Gantt Chart'!AE73=12,'Project types'!$L74*('Prepare Gantt Chart'!$I73*'Prepare Gantt Chart'!$J73),'Prepare Gantt Chart'!AE73=11,'Project types'!$L74*('Prepare Gantt Chart'!$I73*'Prepare Gantt Chart'!$J73),'Prepare Gantt Chart'!AE73=0,0)</f>
        <v>0</v>
      </c>
      <c r="BB74" s="45">
        <f>_xlfn.IFS('Prepare Gantt Chart'!AF73=12,'Project types'!$L74*('Prepare Gantt Chart'!$I73*'Prepare Gantt Chart'!$J73),'Prepare Gantt Chart'!AF73=11,'Project types'!$L74*('Prepare Gantt Chart'!$I73*'Prepare Gantt Chart'!$J73),'Prepare Gantt Chart'!AF73=0,0)</f>
        <v>0</v>
      </c>
      <c r="BC74" s="45">
        <f>_xlfn.IFS('Prepare Gantt Chart'!AG73=12,'Project types'!$L74*('Prepare Gantt Chart'!$I73*'Prepare Gantt Chart'!$J73),'Prepare Gantt Chart'!AG73=11,'Project types'!$L74*('Prepare Gantt Chart'!$I73*'Prepare Gantt Chart'!$J73),'Prepare Gantt Chart'!AG73=0,0)</f>
        <v>0</v>
      </c>
      <c r="BD74" s="45">
        <f>_xlfn.IFS('Prepare Gantt Chart'!AH73=12,'Project types'!$L74*('Prepare Gantt Chart'!$I73*'Prepare Gantt Chart'!$J73),'Prepare Gantt Chart'!AH73=11,'Project types'!$L74*('Prepare Gantt Chart'!$I73*'Prepare Gantt Chart'!$J73),'Prepare Gantt Chart'!AH73=0,0)</f>
        <v>0</v>
      </c>
      <c r="BE74" s="45">
        <f>_xlfn.IFS('Prepare Gantt Chart'!AI73=12,'Project types'!$L74*('Prepare Gantt Chart'!$I73*'Prepare Gantt Chart'!$J73),'Prepare Gantt Chart'!AI73=11,'Project types'!$L74*('Prepare Gantt Chart'!$I73*'Prepare Gantt Chart'!$J73),'Prepare Gantt Chart'!AI73=0,0)</f>
        <v>0</v>
      </c>
      <c r="BF74" s="45">
        <f>_xlfn.IFS('Prepare Gantt Chart'!AJ73=12,'Project types'!$L74*('Prepare Gantt Chart'!$I73*'Prepare Gantt Chart'!$J73),'Prepare Gantt Chart'!AJ73=11,'Project types'!$L74*('Prepare Gantt Chart'!$I73*'Prepare Gantt Chart'!$J73),'Prepare Gantt Chart'!AJ73=0,0)</f>
        <v>0</v>
      </c>
      <c r="BG74" s="45">
        <f>_xlfn.IFS('Prepare Gantt Chart'!AK73=12,'Project types'!$L74*('Prepare Gantt Chart'!$I73*'Prepare Gantt Chart'!$J73),'Prepare Gantt Chart'!AK73=11,'Project types'!$L74*('Prepare Gantt Chart'!$I73*'Prepare Gantt Chart'!$J73),'Prepare Gantt Chart'!AK73=0,0)</f>
        <v>0</v>
      </c>
      <c r="BH74" s="45">
        <f>_xlfn.IFS('Prepare Gantt Chart'!AL73=12,'Project types'!$L74*('Prepare Gantt Chart'!$I73*'Prepare Gantt Chart'!$J73),'Prepare Gantt Chart'!AL73=11,'Project types'!$L74*('Prepare Gantt Chart'!$I73*'Prepare Gantt Chart'!$J73),'Prepare Gantt Chart'!AL73=0,0)</f>
        <v>0</v>
      </c>
      <c r="BI74" s="45">
        <f>_xlfn.IFS('Prepare Gantt Chart'!AM73=12,'Project types'!$L74*('Prepare Gantt Chart'!$I73*'Prepare Gantt Chart'!$J73),'Prepare Gantt Chart'!AM73=11,'Project types'!$L74*('Prepare Gantt Chart'!$I73*'Prepare Gantt Chart'!$J73),'Prepare Gantt Chart'!AM73=0,0)</f>
        <v>0</v>
      </c>
      <c r="BJ74" s="45">
        <f>_xlfn.IFS('Prepare Gantt Chart'!AN73=12,'Project types'!$L74*('Prepare Gantt Chart'!$I73*'Prepare Gantt Chart'!$J73),'Prepare Gantt Chart'!AN73=11,'Project types'!$L74*('Prepare Gantt Chart'!$I73*'Prepare Gantt Chart'!$J73),'Prepare Gantt Chart'!AN73=0,0)</f>
        <v>0</v>
      </c>
      <c r="BK74" s="45">
        <f>_xlfn.IFS('Prepare Gantt Chart'!AO73=12,'Project types'!$L74*('Prepare Gantt Chart'!$I73*'Prepare Gantt Chart'!$J73),'Prepare Gantt Chart'!AO73=11,'Project types'!$L74*('Prepare Gantt Chart'!$I73*'Prepare Gantt Chart'!$J73),'Prepare Gantt Chart'!AO73=0,0)</f>
        <v>0</v>
      </c>
      <c r="BL74" s="46">
        <f t="shared" si="3"/>
        <v>0</v>
      </c>
      <c r="BM74" s="75">
        <f>IF('Prepare Gantt Chart'!$J73=0,0,SUM(AL74:AQ74)/6/'Prepare Gantt Chart'!$J73)</f>
        <v>0</v>
      </c>
      <c r="BN74" s="75">
        <f>IF('Prepare Gantt Chart'!$J73=0,0,SUM(AR74:AV74)/5/'Prepare Gantt Chart'!$J73)</f>
        <v>0</v>
      </c>
      <c r="BO74" s="75">
        <f>IF('Prepare Gantt Chart'!$J73=0,0,SUM(AW74:BA74)/5/'Prepare Gantt Chart'!$J73)</f>
        <v>0</v>
      </c>
      <c r="BP74" s="75">
        <f>IF('Prepare Gantt Chart'!$J73=0,0,SUM(BB74:BF74)/5/'Prepare Gantt Chart'!$J73)</f>
        <v>0</v>
      </c>
      <c r="BQ74" s="75">
        <f>IF('Prepare Gantt Chart'!$J73=0,0,SUM(BG74:BK74)/5/'Prepare Gantt Chart'!$J73)</f>
        <v>0</v>
      </c>
    </row>
    <row r="75" spans="1:69" ht="16" thickBot="1" x14ac:dyDescent="0.25">
      <c r="A75" s="34" t="s">
        <v>67</v>
      </c>
      <c r="B75" s="8" t="s">
        <v>118</v>
      </c>
      <c r="C75" s="50">
        <f>_xlfn.IFS('Prepare Gantt Chart'!P74=12,'Project types'!$O75*('Prepare Gantt Chart'!$I74*'Prepare Gantt Chart'!$J74),'Prepare Gantt Chart'!P74=11,'Project types'!$Q75*('Prepare Gantt Chart'!$I74*'Prepare Gantt Chart'!$J74),'Prepare Gantt Chart'!P74=0,0)</f>
        <v>0</v>
      </c>
      <c r="D75" s="50">
        <f>_xlfn.IFS('Prepare Gantt Chart'!Q74=12,'Project types'!$O75*('Prepare Gantt Chart'!$I74*'Prepare Gantt Chart'!$J74),'Prepare Gantt Chart'!Q74=11,'Project types'!$Q75*('Prepare Gantt Chart'!$I74*'Prepare Gantt Chart'!$J74),'Prepare Gantt Chart'!Q74=0,0)</f>
        <v>0</v>
      </c>
      <c r="E75" s="50">
        <f>_xlfn.IFS('Prepare Gantt Chart'!R74=12,'Project types'!$O75*('Prepare Gantt Chart'!$I74*'Prepare Gantt Chart'!$J74),'Prepare Gantt Chart'!R74=11,'Project types'!$Q75*('Prepare Gantt Chart'!$I74*'Prepare Gantt Chart'!$J74),'Prepare Gantt Chart'!R74=0,0)</f>
        <v>0</v>
      </c>
      <c r="F75" s="50">
        <f>_xlfn.IFS('Prepare Gantt Chart'!S74=12,'Project types'!$O75*('Prepare Gantt Chart'!$I74*'Prepare Gantt Chart'!$J74),'Prepare Gantt Chart'!S74=11,'Project types'!$Q75*('Prepare Gantt Chart'!$I74*'Prepare Gantt Chart'!$J74),'Prepare Gantt Chart'!S74=0,0)</f>
        <v>0</v>
      </c>
      <c r="G75" s="50">
        <f>_xlfn.IFS('Prepare Gantt Chart'!T74=12,'Project types'!$O75*('Prepare Gantt Chart'!$I74*'Prepare Gantt Chart'!$J74),'Prepare Gantt Chart'!T74=11,'Project types'!$Q75*('Prepare Gantt Chart'!$I74*'Prepare Gantt Chart'!$J74),'Prepare Gantt Chart'!T74=0,0)</f>
        <v>0</v>
      </c>
      <c r="H75" s="50">
        <f>_xlfn.IFS('Prepare Gantt Chart'!U74=12,'Project types'!$O75*('Prepare Gantt Chart'!$I74*'Prepare Gantt Chart'!$J74),'Prepare Gantt Chart'!U74=11,'Project types'!$Q75*('Prepare Gantt Chart'!$I74*'Prepare Gantt Chart'!$J74),'Prepare Gantt Chart'!U74=0,0)</f>
        <v>0</v>
      </c>
      <c r="I75" s="50">
        <f>_xlfn.IFS('Prepare Gantt Chart'!V74=12,'Project types'!$O75*('Prepare Gantt Chart'!$I74*'Prepare Gantt Chart'!$J74),'Prepare Gantt Chart'!V74=11,'Project types'!$Q75*('Prepare Gantt Chart'!$I74*'Prepare Gantt Chart'!$J74),'Prepare Gantt Chart'!V74=0,0)</f>
        <v>0</v>
      </c>
      <c r="J75" s="50">
        <f>_xlfn.IFS('Prepare Gantt Chart'!W74=12,'Project types'!$O75*('Prepare Gantt Chart'!$I74*'Prepare Gantt Chart'!$J74),'Prepare Gantt Chart'!W74=11,'Project types'!$Q75*('Prepare Gantt Chart'!$I74*'Prepare Gantt Chart'!$J74),'Prepare Gantt Chart'!W74=0,0)</f>
        <v>0</v>
      </c>
      <c r="K75" s="50">
        <f>_xlfn.IFS('Prepare Gantt Chart'!X74=12,'Project types'!$O75*('Prepare Gantt Chart'!$I74*'Prepare Gantt Chart'!$J74),'Prepare Gantt Chart'!X74=11,'Project types'!$Q75*('Prepare Gantt Chart'!$I74*'Prepare Gantt Chart'!$J74),'Prepare Gantt Chart'!X74=0,0)</f>
        <v>0</v>
      </c>
      <c r="L75" s="50">
        <f>_xlfn.IFS('Prepare Gantt Chart'!Y74=12,'Project types'!$O75*('Prepare Gantt Chart'!$I74*'Prepare Gantt Chart'!$J74),'Prepare Gantt Chart'!Y74=11,'Project types'!$Q75*('Prepare Gantt Chart'!$I74*'Prepare Gantt Chart'!$J74),'Prepare Gantt Chart'!Y74=0,0)</f>
        <v>0</v>
      </c>
      <c r="M75" s="50">
        <f>_xlfn.IFS('Prepare Gantt Chart'!Z74=12,'Project types'!$O75*('Prepare Gantt Chart'!$I74*'Prepare Gantt Chart'!$J74),'Prepare Gantt Chart'!Z74=11,'Project types'!$Q75*('Prepare Gantt Chart'!$I74*'Prepare Gantt Chart'!$J74),'Prepare Gantt Chart'!Z74=0,0)</f>
        <v>0</v>
      </c>
      <c r="N75" s="50">
        <f>_xlfn.IFS('Prepare Gantt Chart'!AA74=12,'Project types'!$O75*('Prepare Gantt Chart'!$I74*'Prepare Gantt Chart'!$J74),'Prepare Gantt Chart'!AA74=11,'Project types'!$Q75*('Prepare Gantt Chart'!$I74*'Prepare Gantt Chart'!$J74),'Prepare Gantt Chart'!AA74=0,0)</f>
        <v>0</v>
      </c>
      <c r="O75" s="50">
        <f>_xlfn.IFS('Prepare Gantt Chart'!AB74=12,'Project types'!$O75*('Prepare Gantt Chart'!$I74*'Prepare Gantt Chart'!$J74),'Prepare Gantt Chart'!AB74=11,'Project types'!$Q75*('Prepare Gantt Chart'!$I74*'Prepare Gantt Chart'!$J74),'Prepare Gantt Chart'!AB74=0,0)</f>
        <v>0</v>
      </c>
      <c r="P75" s="50">
        <f>_xlfn.IFS('Prepare Gantt Chart'!AC74=12,'Project types'!$O75*('Prepare Gantt Chart'!$I74*'Prepare Gantt Chart'!$J74),'Prepare Gantt Chart'!AC74=11,'Project types'!$Q75*('Prepare Gantt Chart'!$I74*'Prepare Gantt Chart'!$J74),'Prepare Gantt Chart'!AC74=0,0)</f>
        <v>0</v>
      </c>
      <c r="Q75" s="50">
        <f>_xlfn.IFS('Prepare Gantt Chart'!AD74=12,'Project types'!$O75*('Prepare Gantt Chart'!$I74*'Prepare Gantt Chart'!$J74),'Prepare Gantt Chart'!AD74=11,'Project types'!$Q75*('Prepare Gantt Chart'!$I74*'Prepare Gantt Chart'!$J74),'Prepare Gantt Chart'!AD74=0,0)</f>
        <v>0</v>
      </c>
      <c r="R75" s="50">
        <f>_xlfn.IFS('Prepare Gantt Chart'!AE74=12,'Project types'!$O75*('Prepare Gantt Chart'!$I74*'Prepare Gantt Chart'!$J74),'Prepare Gantt Chart'!AE74=11,'Project types'!$Q75*('Prepare Gantt Chart'!$I74*'Prepare Gantt Chart'!$J74),'Prepare Gantt Chart'!AE74=0,0)</f>
        <v>0</v>
      </c>
      <c r="S75" s="50">
        <f>_xlfn.IFS('Prepare Gantt Chart'!AF74=12,'Project types'!$O75*('Prepare Gantt Chart'!$I74*'Prepare Gantt Chart'!$J74),'Prepare Gantt Chart'!AF74=11,'Project types'!$Q75*('Prepare Gantt Chart'!$I74*'Prepare Gantt Chart'!$J74),'Prepare Gantt Chart'!AF74=0,0)</f>
        <v>0</v>
      </c>
      <c r="T75" s="50">
        <f>_xlfn.IFS('Prepare Gantt Chart'!AG74=12,'Project types'!$O75*('Prepare Gantt Chart'!$I74*'Prepare Gantt Chart'!$J74),'Prepare Gantt Chart'!AG74=11,'Project types'!$Q75*('Prepare Gantt Chart'!$I74*'Prepare Gantt Chart'!$J74),'Prepare Gantt Chart'!AG74=0,0)</f>
        <v>0</v>
      </c>
      <c r="U75" s="50">
        <f>_xlfn.IFS('Prepare Gantt Chart'!AH74=12,'Project types'!$O75*('Prepare Gantt Chart'!$I74*'Prepare Gantt Chart'!$J74),'Prepare Gantt Chart'!AH74=11,'Project types'!$Q75*('Prepare Gantt Chart'!$I74*'Prepare Gantt Chart'!$J74),'Prepare Gantt Chart'!AH74=0,0)</f>
        <v>0</v>
      </c>
      <c r="V75" s="50">
        <f>_xlfn.IFS('Prepare Gantt Chart'!AI74=12,'Project types'!$O75*('Prepare Gantt Chart'!$I74*'Prepare Gantt Chart'!$J74),'Prepare Gantt Chart'!AI74=11,'Project types'!$Q75*('Prepare Gantt Chart'!$I74*'Prepare Gantt Chart'!$J74),'Prepare Gantt Chart'!AI74=0,0)</f>
        <v>0</v>
      </c>
      <c r="W75" s="50">
        <f>_xlfn.IFS('Prepare Gantt Chart'!AJ74=12,'Project types'!$O75*('Prepare Gantt Chart'!$I74*'Prepare Gantt Chart'!$J74),'Prepare Gantt Chart'!AJ74=11,'Project types'!$Q75*('Prepare Gantt Chart'!$I74*'Prepare Gantt Chart'!$J74),'Prepare Gantt Chart'!AJ74=0,0)</f>
        <v>0</v>
      </c>
      <c r="X75" s="50">
        <f>_xlfn.IFS('Prepare Gantt Chart'!AK74=12,'Project types'!$O75*('Prepare Gantt Chart'!$I74*'Prepare Gantt Chart'!$J74),'Prepare Gantt Chart'!AK74=11,'Project types'!$Q75*('Prepare Gantt Chart'!$I74*'Prepare Gantt Chart'!$J74),'Prepare Gantt Chart'!AK74=0,0)</f>
        <v>0</v>
      </c>
      <c r="Y75" s="50">
        <f>_xlfn.IFS('Prepare Gantt Chart'!AL74=12,'Project types'!$O75*('Prepare Gantt Chart'!$I74*'Prepare Gantt Chart'!$J74),'Prepare Gantt Chart'!AL74=11,'Project types'!$Q75*('Prepare Gantt Chart'!$I74*'Prepare Gantt Chart'!$J74),'Prepare Gantt Chart'!AL74=0,0)</f>
        <v>0</v>
      </c>
      <c r="Z75" s="50">
        <f>_xlfn.IFS('Prepare Gantt Chart'!AM74=12,'Project types'!$O75*('Prepare Gantt Chart'!$I74*'Prepare Gantt Chart'!$J74),'Prepare Gantt Chart'!AM74=11,'Project types'!$Q75*('Prepare Gantt Chart'!$I74*'Prepare Gantt Chart'!$J74),'Prepare Gantt Chart'!AM74=0,0)</f>
        <v>0</v>
      </c>
      <c r="AA75" s="50">
        <f>_xlfn.IFS('Prepare Gantt Chart'!AN74=12,'Project types'!$O75*('Prepare Gantt Chart'!$I74*'Prepare Gantt Chart'!$J74),'Prepare Gantt Chart'!AN74=11,'Project types'!$Q75*('Prepare Gantt Chart'!$I74*'Prepare Gantt Chart'!$J74),'Prepare Gantt Chart'!AN74=0,0)</f>
        <v>0</v>
      </c>
      <c r="AB75" s="50">
        <f>_xlfn.IFS('Prepare Gantt Chart'!AO74=12,'Project types'!$O75*('Prepare Gantt Chart'!$I74*'Prepare Gantt Chart'!$J74),'Prepare Gantt Chart'!AO74=11,'Project types'!$Q75*('Prepare Gantt Chart'!$I74*'Prepare Gantt Chart'!$J74),'Prepare Gantt Chart'!AO74=0,0)</f>
        <v>0</v>
      </c>
      <c r="AC75" s="50">
        <f>'Prepare Gantt Chart'!J74*'Prepare Gantt Chart'!I74*(AD75/26)</f>
        <v>0</v>
      </c>
      <c r="AD75" s="51">
        <f t="shared" si="2"/>
        <v>0</v>
      </c>
      <c r="AE75" s="73">
        <f>IF('Prepare Gantt Chart'!$J74=0,0,SUM(C75:H75)/6/'Prepare Gantt Chart'!$J74)</f>
        <v>0</v>
      </c>
      <c r="AF75" s="73">
        <f>IF('Prepare Gantt Chart'!$J74=0,0,SUM(I75:M75)/5/'Prepare Gantt Chart'!$J74)</f>
        <v>0</v>
      </c>
      <c r="AG75" s="73">
        <f>IF('Prepare Gantt Chart'!$J74=0,0,SUM(N75:R75)/5/'Prepare Gantt Chart'!$J74)</f>
        <v>0</v>
      </c>
      <c r="AH75" s="73">
        <f>IF('Prepare Gantt Chart'!$J74=0,0,SUM(S75:W75)/5/'Prepare Gantt Chart'!$J74)</f>
        <v>0</v>
      </c>
      <c r="AI75" s="73">
        <f>IF('Prepare Gantt Chart'!$J74=0,0,SUM(X75:AB75)/5/'Prepare Gantt Chart'!$J74)</f>
        <v>0</v>
      </c>
      <c r="AK75" s="34" t="s">
        <v>67</v>
      </c>
      <c r="AL75" s="50">
        <f>_xlfn.IFS('Prepare Gantt Chart'!P74=12,'Project types'!$L75*('Prepare Gantt Chart'!$I74*'Prepare Gantt Chart'!$J74),'Prepare Gantt Chart'!P74=11,'Project types'!$L75*('Prepare Gantt Chart'!$I74*'Prepare Gantt Chart'!$J74),'Prepare Gantt Chart'!P74=0,0)</f>
        <v>0</v>
      </c>
      <c r="AM75" s="50">
        <f>_xlfn.IFS('Prepare Gantt Chart'!Q74=12,'Project types'!$L75*('Prepare Gantt Chart'!$I74*'Prepare Gantt Chart'!$J74),'Prepare Gantt Chart'!Q74=11,'Project types'!$L75*('Prepare Gantt Chart'!$I74*'Prepare Gantt Chart'!$J74),'Prepare Gantt Chart'!Q74=0,0)</f>
        <v>0</v>
      </c>
      <c r="AN75" s="50">
        <f>_xlfn.IFS('Prepare Gantt Chart'!R74=12,'Project types'!$L75*('Prepare Gantt Chart'!$I74*'Prepare Gantt Chart'!$J74),'Prepare Gantt Chart'!R74=11,'Project types'!$L75*('Prepare Gantt Chart'!$I74*'Prepare Gantt Chart'!$J74),'Prepare Gantt Chart'!R74=0,0)</f>
        <v>0</v>
      </c>
      <c r="AO75" s="50">
        <f>_xlfn.IFS('Prepare Gantt Chart'!S74=12,'Project types'!$L75*('Prepare Gantt Chart'!$I74*'Prepare Gantt Chart'!$J74),'Prepare Gantt Chart'!S74=11,'Project types'!$L75*('Prepare Gantt Chart'!$I74*'Prepare Gantt Chart'!$J74),'Prepare Gantt Chart'!S74=0,0)</f>
        <v>0</v>
      </c>
      <c r="AP75" s="50">
        <f>_xlfn.IFS('Prepare Gantt Chart'!T74=12,'Project types'!$L75*('Prepare Gantt Chart'!$I74*'Prepare Gantt Chart'!$J74),'Prepare Gantt Chart'!T74=11,'Project types'!$L75*('Prepare Gantt Chart'!$I74*'Prepare Gantt Chart'!$J74),'Prepare Gantt Chart'!T74=0,0)</f>
        <v>0</v>
      </c>
      <c r="AQ75" s="50">
        <f>_xlfn.IFS('Prepare Gantt Chart'!U74=12,'Project types'!$L75*('Prepare Gantt Chart'!$I74*'Prepare Gantt Chart'!$J74),'Prepare Gantt Chart'!U74=11,'Project types'!$L75*('Prepare Gantt Chart'!$I74*'Prepare Gantt Chart'!$J74),'Prepare Gantt Chart'!U74=0,0)</f>
        <v>0</v>
      </c>
      <c r="AR75" s="50">
        <f>_xlfn.IFS('Prepare Gantt Chart'!V74=12,'Project types'!$L75*('Prepare Gantt Chart'!$I74*'Prepare Gantt Chart'!$J74),'Prepare Gantt Chart'!V74=11,'Project types'!$L75*('Prepare Gantt Chart'!$I74*'Prepare Gantt Chart'!$J74),'Prepare Gantt Chart'!V74=0,0)</f>
        <v>0</v>
      </c>
      <c r="AS75" s="50">
        <f>_xlfn.IFS('Prepare Gantt Chart'!W74=12,'Project types'!$L75*('Prepare Gantt Chart'!$I74*'Prepare Gantt Chart'!$J74),'Prepare Gantt Chart'!W74=11,'Project types'!$L75*('Prepare Gantt Chart'!$I74*'Prepare Gantt Chart'!$J74),'Prepare Gantt Chart'!W74=0,0)</f>
        <v>0</v>
      </c>
      <c r="AT75" s="50">
        <f>_xlfn.IFS('Prepare Gantt Chart'!X74=12,'Project types'!$L75*('Prepare Gantt Chart'!$I74*'Prepare Gantt Chart'!$J74),'Prepare Gantt Chart'!X74=11,'Project types'!$L75*('Prepare Gantt Chart'!$I74*'Prepare Gantt Chart'!$J74),'Prepare Gantt Chart'!X74=0,0)</f>
        <v>0</v>
      </c>
      <c r="AU75" s="50">
        <f>_xlfn.IFS('Prepare Gantt Chart'!Y74=12,'Project types'!$L75*('Prepare Gantt Chart'!$I74*'Prepare Gantt Chart'!$J74),'Prepare Gantt Chart'!Y74=11,'Project types'!$L75*('Prepare Gantt Chart'!$I74*'Prepare Gantt Chart'!$J74),'Prepare Gantt Chart'!Y74=0,0)</f>
        <v>0</v>
      </c>
      <c r="AV75" s="50">
        <f>_xlfn.IFS('Prepare Gantt Chart'!Z74=12,'Project types'!$L75*('Prepare Gantt Chart'!$I74*'Prepare Gantt Chart'!$J74),'Prepare Gantt Chart'!Z74=11,'Project types'!$L75*('Prepare Gantt Chart'!$I74*'Prepare Gantt Chart'!$J74),'Prepare Gantt Chart'!Z74=0,0)</f>
        <v>0</v>
      </c>
      <c r="AW75" s="50">
        <f>_xlfn.IFS('Prepare Gantt Chart'!AA74=12,'Project types'!$L75*('Prepare Gantt Chart'!$I74*'Prepare Gantt Chart'!$J74),'Prepare Gantt Chart'!AA74=11,'Project types'!$L75*('Prepare Gantt Chart'!$I74*'Prepare Gantt Chart'!$J74),'Prepare Gantt Chart'!AA74=0,0)</f>
        <v>0</v>
      </c>
      <c r="AX75" s="50">
        <f>_xlfn.IFS('Prepare Gantt Chart'!AB74=12,'Project types'!$L75*('Prepare Gantt Chart'!$I74*'Prepare Gantt Chart'!$J74),'Prepare Gantt Chart'!AB74=11,'Project types'!$L75*('Prepare Gantt Chart'!$I74*'Prepare Gantt Chart'!$J74),'Prepare Gantt Chart'!AB74=0,0)</f>
        <v>0</v>
      </c>
      <c r="AY75" s="50">
        <f>_xlfn.IFS('Prepare Gantt Chart'!AC74=12,'Project types'!$L75*('Prepare Gantt Chart'!$I74*'Prepare Gantt Chart'!$J74),'Prepare Gantt Chart'!AC74=11,'Project types'!$L75*('Prepare Gantt Chart'!$I74*'Prepare Gantt Chart'!$J74),'Prepare Gantt Chart'!AC74=0,0)</f>
        <v>0</v>
      </c>
      <c r="AZ75" s="50">
        <f>_xlfn.IFS('Prepare Gantt Chart'!AD74=12,'Project types'!$L75*('Prepare Gantt Chart'!$I74*'Prepare Gantt Chart'!$J74),'Prepare Gantt Chart'!AD74=11,'Project types'!$L75*('Prepare Gantt Chart'!$I74*'Prepare Gantt Chart'!$J74),'Prepare Gantt Chart'!AD74=0,0)</f>
        <v>0</v>
      </c>
      <c r="BA75" s="50">
        <f>_xlfn.IFS('Prepare Gantt Chart'!AE74=12,'Project types'!$L75*('Prepare Gantt Chart'!$I74*'Prepare Gantt Chart'!$J74),'Prepare Gantt Chart'!AE74=11,'Project types'!$L75*('Prepare Gantt Chart'!$I74*'Prepare Gantt Chart'!$J74),'Prepare Gantt Chart'!AE74=0,0)</f>
        <v>0</v>
      </c>
      <c r="BB75" s="50">
        <f>_xlfn.IFS('Prepare Gantt Chart'!AF74=12,'Project types'!$L75*('Prepare Gantt Chart'!$I74*'Prepare Gantt Chart'!$J74),'Prepare Gantt Chart'!AF74=11,'Project types'!$L75*('Prepare Gantt Chart'!$I74*'Prepare Gantt Chart'!$J74),'Prepare Gantt Chart'!AF74=0,0)</f>
        <v>0</v>
      </c>
      <c r="BC75" s="50">
        <f>_xlfn.IFS('Prepare Gantt Chart'!AG74=12,'Project types'!$L75*('Prepare Gantt Chart'!$I74*'Prepare Gantt Chart'!$J74),'Prepare Gantt Chart'!AG74=11,'Project types'!$L75*('Prepare Gantt Chart'!$I74*'Prepare Gantt Chart'!$J74),'Prepare Gantt Chart'!AG74=0,0)</f>
        <v>0</v>
      </c>
      <c r="BD75" s="50">
        <f>_xlfn.IFS('Prepare Gantt Chart'!AH74=12,'Project types'!$L75*('Prepare Gantt Chart'!$I74*'Prepare Gantt Chart'!$J74),'Prepare Gantt Chart'!AH74=11,'Project types'!$L75*('Prepare Gantt Chart'!$I74*'Prepare Gantt Chart'!$J74),'Prepare Gantt Chart'!AH74=0,0)</f>
        <v>0</v>
      </c>
      <c r="BE75" s="50">
        <f>_xlfn.IFS('Prepare Gantt Chart'!AI74=12,'Project types'!$L75*('Prepare Gantt Chart'!$I74*'Prepare Gantt Chart'!$J74),'Prepare Gantt Chart'!AI74=11,'Project types'!$L75*('Prepare Gantt Chart'!$I74*'Prepare Gantt Chart'!$J74),'Prepare Gantt Chart'!AI74=0,0)</f>
        <v>0</v>
      </c>
      <c r="BF75" s="50">
        <f>_xlfn.IFS('Prepare Gantt Chart'!AJ74=12,'Project types'!$L75*('Prepare Gantt Chart'!$I74*'Prepare Gantt Chart'!$J74),'Prepare Gantt Chart'!AJ74=11,'Project types'!$L75*('Prepare Gantt Chart'!$I74*'Prepare Gantt Chart'!$J74),'Prepare Gantt Chart'!AJ74=0,0)</f>
        <v>0</v>
      </c>
      <c r="BG75" s="50">
        <f>_xlfn.IFS('Prepare Gantt Chart'!AK74=12,'Project types'!$L75*('Prepare Gantt Chart'!$I74*'Prepare Gantt Chart'!$J74),'Prepare Gantt Chart'!AK74=11,'Project types'!$L75*('Prepare Gantt Chart'!$I74*'Prepare Gantt Chart'!$J74),'Prepare Gantt Chart'!AK74=0,0)</f>
        <v>0</v>
      </c>
      <c r="BH75" s="50">
        <f>_xlfn.IFS('Prepare Gantt Chart'!AL74=12,'Project types'!$L75*('Prepare Gantt Chart'!$I74*'Prepare Gantt Chart'!$J74),'Prepare Gantt Chart'!AL74=11,'Project types'!$L75*('Prepare Gantt Chart'!$I74*'Prepare Gantt Chart'!$J74),'Prepare Gantt Chart'!AL74=0,0)</f>
        <v>0</v>
      </c>
      <c r="BI75" s="50">
        <f>_xlfn.IFS('Prepare Gantt Chart'!AM74=12,'Project types'!$L75*('Prepare Gantt Chart'!$I74*'Prepare Gantt Chart'!$J74),'Prepare Gantt Chart'!AM74=11,'Project types'!$L75*('Prepare Gantt Chart'!$I74*'Prepare Gantt Chart'!$J74),'Prepare Gantt Chart'!AM74=0,0)</f>
        <v>0</v>
      </c>
      <c r="BJ75" s="50">
        <f>_xlfn.IFS('Prepare Gantt Chart'!AN74=12,'Project types'!$L75*('Prepare Gantt Chart'!$I74*'Prepare Gantt Chart'!$J74),'Prepare Gantt Chart'!AN74=11,'Project types'!$L75*('Prepare Gantt Chart'!$I74*'Prepare Gantt Chart'!$J74),'Prepare Gantt Chart'!AN74=0,0)</f>
        <v>0</v>
      </c>
      <c r="BK75" s="50">
        <f>_xlfn.IFS('Prepare Gantt Chart'!AO74=12,'Project types'!$L75*('Prepare Gantt Chart'!$I74*'Prepare Gantt Chart'!$J74),'Prepare Gantt Chart'!AO74=11,'Project types'!$L75*('Prepare Gantt Chart'!$I74*'Prepare Gantt Chart'!$J74),'Prepare Gantt Chart'!AO74=0,0)</f>
        <v>0</v>
      </c>
      <c r="BL75" s="51">
        <f t="shared" si="3"/>
        <v>0</v>
      </c>
      <c r="BM75" s="76">
        <f>IF('Prepare Gantt Chart'!$J74=0,0,SUM(AL75:AQ75)/6/'Prepare Gantt Chart'!$J74)</f>
        <v>0</v>
      </c>
      <c r="BN75" s="76">
        <f>IF('Prepare Gantt Chart'!$J74=0,0,SUM(AR75:AV75)/5/'Prepare Gantt Chart'!$J74)</f>
        <v>0</v>
      </c>
      <c r="BO75" s="76">
        <f>IF('Prepare Gantt Chart'!$J74=0,0,SUM(AW75:BA75)/5/'Prepare Gantt Chart'!$J74)</f>
        <v>0</v>
      </c>
      <c r="BP75" s="76">
        <f>IF('Prepare Gantt Chart'!$J74=0,0,SUM(BB75:BF75)/5/'Prepare Gantt Chart'!$J74)</f>
        <v>0</v>
      </c>
      <c r="BQ75" s="76">
        <f>IF('Prepare Gantt Chart'!$J74=0,0,SUM(BG75:BK75)/5/'Prepare Gantt Chart'!$J74)</f>
        <v>0</v>
      </c>
    </row>
    <row r="76" spans="1:69" x14ac:dyDescent="0.2">
      <c r="A76" s="35" t="s">
        <v>68</v>
      </c>
      <c r="B76" s="1" t="s">
        <v>150</v>
      </c>
      <c r="C76" s="45">
        <f>_xlfn.IFS('Prepare Gantt Chart'!P75=14,'Project types'!$O76*('Prepare Gantt Chart'!$I75*'Prepare Gantt Chart'!$J75),'Prepare Gantt Chart'!P75=13,'Project types'!$Q76*('Prepare Gantt Chart'!$I75*'Prepare Gantt Chart'!$J75),'Prepare Gantt Chart'!P75=0,0)</f>
        <v>0</v>
      </c>
      <c r="D76" s="45">
        <f>_xlfn.IFS('Prepare Gantt Chart'!Q75=14,'Project types'!$O76*('Prepare Gantt Chart'!$I75*'Prepare Gantt Chart'!$J75),'Prepare Gantt Chart'!Q75=13,'Project types'!$Q76*('Prepare Gantt Chart'!$I75*'Prepare Gantt Chart'!$J75),'Prepare Gantt Chart'!Q75=0,0)</f>
        <v>0</v>
      </c>
      <c r="E76" s="45">
        <f>_xlfn.IFS('Prepare Gantt Chart'!R75=14,'Project types'!$O76*('Prepare Gantt Chart'!$I75*'Prepare Gantt Chart'!$J75),'Prepare Gantt Chart'!R75=13,'Project types'!$Q76*('Prepare Gantt Chart'!$I75*'Prepare Gantt Chart'!$J75),'Prepare Gantt Chart'!R75=0,0)</f>
        <v>0</v>
      </c>
      <c r="F76" s="45">
        <f>_xlfn.IFS('Prepare Gantt Chart'!S75=14,'Project types'!$O76*('Prepare Gantt Chart'!$I75*'Prepare Gantt Chart'!$J75),'Prepare Gantt Chart'!S75=13,'Project types'!$Q76*('Prepare Gantt Chart'!$I75*'Prepare Gantt Chart'!$J75),'Prepare Gantt Chart'!S75=0,0)</f>
        <v>0</v>
      </c>
      <c r="G76" s="45">
        <f>_xlfn.IFS('Prepare Gantt Chart'!T75=14,'Project types'!$O76*('Prepare Gantt Chart'!$I75*'Prepare Gantt Chart'!$J75),'Prepare Gantt Chart'!T75=13,'Project types'!$Q76*('Prepare Gantt Chart'!$I75*'Prepare Gantt Chart'!$J75),'Prepare Gantt Chart'!T75=0,0)</f>
        <v>0</v>
      </c>
      <c r="H76" s="45">
        <f>_xlfn.IFS('Prepare Gantt Chart'!U75=14,'Project types'!$O76*('Prepare Gantt Chart'!$I75*'Prepare Gantt Chart'!$J75),'Prepare Gantt Chart'!U75=13,'Project types'!$Q76*('Prepare Gantt Chart'!$I75*'Prepare Gantt Chart'!$J75),'Prepare Gantt Chart'!U75=0,0)</f>
        <v>0</v>
      </c>
      <c r="I76" s="45">
        <f>_xlfn.IFS('Prepare Gantt Chart'!V75=14,'Project types'!$O76*('Prepare Gantt Chart'!$I75*'Prepare Gantt Chart'!$J75),'Prepare Gantt Chart'!V75=13,'Project types'!$Q76*('Prepare Gantt Chart'!$I75*'Prepare Gantt Chart'!$J75),'Prepare Gantt Chart'!V75=0,0)</f>
        <v>0</v>
      </c>
      <c r="J76" s="45">
        <f>_xlfn.IFS('Prepare Gantt Chart'!W75=14,'Project types'!$O76*('Prepare Gantt Chart'!$I75*'Prepare Gantt Chart'!$J75),'Prepare Gantt Chart'!W75=13,'Project types'!$Q76*('Prepare Gantt Chart'!$I75*'Prepare Gantt Chart'!$J75),'Prepare Gantt Chart'!W75=0,0)</f>
        <v>0</v>
      </c>
      <c r="K76" s="45">
        <f>_xlfn.IFS('Prepare Gantt Chart'!X75=14,'Project types'!$O76*('Prepare Gantt Chart'!$I75*'Prepare Gantt Chart'!$J75),'Prepare Gantt Chart'!X75=13,'Project types'!$Q76*('Prepare Gantt Chart'!$I75*'Prepare Gantt Chart'!$J75),'Prepare Gantt Chart'!X75=0,0)</f>
        <v>0</v>
      </c>
      <c r="L76" s="45">
        <f>_xlfn.IFS('Prepare Gantt Chart'!Y75=14,'Project types'!$O76*('Prepare Gantt Chart'!$I75*'Prepare Gantt Chart'!$J75),'Prepare Gantt Chart'!Y75=13,'Project types'!$Q76*('Prepare Gantt Chart'!$I75*'Prepare Gantt Chart'!$J75),'Prepare Gantt Chart'!Y75=0,0)</f>
        <v>0</v>
      </c>
      <c r="M76" s="45">
        <f>_xlfn.IFS('Prepare Gantt Chart'!Z75=14,'Project types'!$O76*('Prepare Gantt Chart'!$I75*'Prepare Gantt Chart'!$J75),'Prepare Gantt Chart'!Z75=13,'Project types'!$Q76*('Prepare Gantt Chart'!$I75*'Prepare Gantt Chart'!$J75),'Prepare Gantt Chart'!Z75=0,0)</f>
        <v>0</v>
      </c>
      <c r="N76" s="45">
        <f>_xlfn.IFS('Prepare Gantt Chart'!AA75=14,'Project types'!$O76*('Prepare Gantt Chart'!$I75*'Prepare Gantt Chart'!$J75),'Prepare Gantt Chart'!AA75=13,'Project types'!$Q76*('Prepare Gantt Chart'!$I75*'Prepare Gantt Chart'!$J75),'Prepare Gantt Chart'!AA75=0,0)</f>
        <v>0</v>
      </c>
      <c r="O76" s="45">
        <f>_xlfn.IFS('Prepare Gantt Chart'!AB75=14,'Project types'!$O76*('Prepare Gantt Chart'!$I75*'Prepare Gantt Chart'!$J75),'Prepare Gantt Chart'!AB75=13,'Project types'!$Q76*('Prepare Gantt Chart'!$I75*'Prepare Gantt Chart'!$J75),'Prepare Gantt Chart'!AB75=0,0)</f>
        <v>0</v>
      </c>
      <c r="P76" s="45">
        <f>_xlfn.IFS('Prepare Gantt Chart'!AC75=14,'Project types'!$O76*('Prepare Gantt Chart'!$I75*'Prepare Gantt Chart'!$J75),'Prepare Gantt Chart'!AC75=13,'Project types'!$Q76*('Prepare Gantt Chart'!$I75*'Prepare Gantt Chart'!$J75),'Prepare Gantt Chart'!AC75=0,0)</f>
        <v>0</v>
      </c>
      <c r="Q76" s="45">
        <f>_xlfn.IFS('Prepare Gantt Chart'!AD75=14,'Project types'!$O76*('Prepare Gantt Chart'!$I75*'Prepare Gantt Chart'!$J75),'Prepare Gantt Chart'!AD75=13,'Project types'!$Q76*('Prepare Gantt Chart'!$I75*'Prepare Gantt Chart'!$J75),'Prepare Gantt Chart'!AD75=0,0)</f>
        <v>0</v>
      </c>
      <c r="R76" s="45">
        <f>_xlfn.IFS('Prepare Gantt Chart'!AE75=14,'Project types'!$O76*('Prepare Gantt Chart'!$I75*'Prepare Gantt Chart'!$J75),'Prepare Gantt Chart'!AE75=13,'Project types'!$Q76*('Prepare Gantt Chart'!$I75*'Prepare Gantt Chart'!$J75),'Prepare Gantt Chart'!AE75=0,0)</f>
        <v>0</v>
      </c>
      <c r="S76" s="45">
        <f>_xlfn.IFS('Prepare Gantt Chart'!AF75=14,'Project types'!$O76*('Prepare Gantt Chart'!$I75*'Prepare Gantt Chart'!$J75),'Prepare Gantt Chart'!AF75=13,'Project types'!$Q76*('Prepare Gantt Chart'!$I75*'Prepare Gantt Chart'!$J75),'Prepare Gantt Chart'!AF75=0,0)</f>
        <v>0</v>
      </c>
      <c r="T76" s="45">
        <f>_xlfn.IFS('Prepare Gantt Chart'!AG75=14,'Project types'!$O76*('Prepare Gantt Chart'!$I75*'Prepare Gantt Chart'!$J75),'Prepare Gantt Chart'!AG75=13,'Project types'!$Q76*('Prepare Gantt Chart'!$I75*'Prepare Gantt Chart'!$J75),'Prepare Gantt Chart'!AG75=0,0)</f>
        <v>0</v>
      </c>
      <c r="U76" s="45">
        <f>_xlfn.IFS('Prepare Gantt Chart'!AH75=14,'Project types'!$O76*('Prepare Gantt Chart'!$I75*'Prepare Gantt Chart'!$J75),'Prepare Gantt Chart'!AH75=13,'Project types'!$Q76*('Prepare Gantt Chart'!$I75*'Prepare Gantt Chart'!$J75),'Prepare Gantt Chart'!AH75=0,0)</f>
        <v>0</v>
      </c>
      <c r="V76" s="45">
        <f>_xlfn.IFS('Prepare Gantt Chart'!AI75=14,'Project types'!$O76*('Prepare Gantt Chart'!$I75*'Prepare Gantt Chart'!$J75),'Prepare Gantt Chart'!AI75=13,'Project types'!$Q76*('Prepare Gantt Chart'!$I75*'Prepare Gantt Chart'!$J75),'Prepare Gantt Chart'!AI75=0,0)</f>
        <v>0</v>
      </c>
      <c r="W76" s="45">
        <f>_xlfn.IFS('Prepare Gantt Chart'!AJ75=14,'Project types'!$O76*('Prepare Gantt Chart'!$I75*'Prepare Gantt Chart'!$J75),'Prepare Gantt Chart'!AJ75=13,'Project types'!$Q76*('Prepare Gantt Chart'!$I75*'Prepare Gantt Chart'!$J75),'Prepare Gantt Chart'!AJ75=0,0)</f>
        <v>0</v>
      </c>
      <c r="X76" s="45">
        <f>_xlfn.IFS('Prepare Gantt Chart'!AK75=14,'Project types'!$O76*('Prepare Gantt Chart'!$I75*'Prepare Gantt Chart'!$J75),'Prepare Gantt Chart'!AK75=13,'Project types'!$Q76*('Prepare Gantt Chart'!$I75*'Prepare Gantt Chart'!$J75),'Prepare Gantt Chart'!AK75=0,0)</f>
        <v>0</v>
      </c>
      <c r="Y76" s="45">
        <f>_xlfn.IFS('Prepare Gantt Chart'!AL75=14,'Project types'!$O76*('Prepare Gantt Chart'!$I75*'Prepare Gantt Chart'!$J75),'Prepare Gantt Chart'!AL75=13,'Project types'!$Q76*('Prepare Gantt Chart'!$I75*'Prepare Gantt Chart'!$J75),'Prepare Gantt Chart'!AL75=0,0)</f>
        <v>0</v>
      </c>
      <c r="Z76" s="45">
        <f>_xlfn.IFS('Prepare Gantt Chart'!AM75=14,'Project types'!$O76*('Prepare Gantt Chart'!$I75*'Prepare Gantt Chart'!$J75),'Prepare Gantt Chart'!AM75=13,'Project types'!$Q76*('Prepare Gantt Chart'!$I75*'Prepare Gantt Chart'!$J75),'Prepare Gantt Chart'!AM75=0,0)</f>
        <v>0</v>
      </c>
      <c r="AA76" s="45">
        <f>_xlfn.IFS('Prepare Gantt Chart'!AN75=14,'Project types'!$O76*('Prepare Gantt Chart'!$I75*'Prepare Gantt Chart'!$J75),'Prepare Gantt Chart'!AN75=13,'Project types'!$Q76*('Prepare Gantt Chart'!$I75*'Prepare Gantt Chart'!$J75),'Prepare Gantt Chart'!AN75=0,0)</f>
        <v>0</v>
      </c>
      <c r="AB76" s="45">
        <f>_xlfn.IFS('Prepare Gantt Chart'!AO75=14,'Project types'!$O76*('Prepare Gantt Chart'!$I75*'Prepare Gantt Chart'!$J75),'Prepare Gantt Chart'!AO75=13,'Project types'!$Q76*('Prepare Gantt Chart'!$I75*'Prepare Gantt Chart'!$J75),'Prepare Gantt Chart'!AO75=0,0)</f>
        <v>0</v>
      </c>
      <c r="AC76" s="45">
        <f>'Prepare Gantt Chart'!J75*'Prepare Gantt Chart'!I75*(AD76/26)</f>
        <v>0</v>
      </c>
      <c r="AD76" s="46">
        <f t="shared" si="2"/>
        <v>0</v>
      </c>
      <c r="AE76" s="72">
        <f>IF('Prepare Gantt Chart'!$J75=0,0,SUM(C76:H76)/6/'Prepare Gantt Chart'!$J75)</f>
        <v>0</v>
      </c>
      <c r="AF76" s="72">
        <f>IF('Prepare Gantt Chart'!$J75=0,0,SUM(I76:M76)/5/'Prepare Gantt Chart'!$J75)</f>
        <v>0</v>
      </c>
      <c r="AG76" s="72">
        <f>IF('Prepare Gantt Chart'!$J75=0,0,SUM(N76:R76)/5/'Prepare Gantt Chart'!$J75)</f>
        <v>0</v>
      </c>
      <c r="AH76" s="72">
        <f>IF('Prepare Gantt Chart'!$J75=0,0,SUM(S76:W76)/5/'Prepare Gantt Chart'!$J75)</f>
        <v>0</v>
      </c>
      <c r="AI76" s="72">
        <f>IF('Prepare Gantt Chart'!$J75=0,0,SUM(X76:AB76)/5/'Prepare Gantt Chart'!$J75)</f>
        <v>0</v>
      </c>
      <c r="AK76" s="35" t="s">
        <v>68</v>
      </c>
      <c r="AL76" s="45">
        <f>_xlfn.IFS('Prepare Gantt Chart'!P75=14,'Project types'!$L76*('Prepare Gantt Chart'!$I75*'Prepare Gantt Chart'!$J75),'Prepare Gantt Chart'!P75=13,'Project types'!$L76*('Prepare Gantt Chart'!$I75*'Prepare Gantt Chart'!$J75),'Prepare Gantt Chart'!P75=0,0)</f>
        <v>0</v>
      </c>
      <c r="AM76" s="45">
        <f>_xlfn.IFS('Prepare Gantt Chart'!Q75=14,'Project types'!$L76*('Prepare Gantt Chart'!$I75*'Prepare Gantt Chart'!$J75),'Prepare Gantt Chart'!Q75=13,'Project types'!$L76*('Prepare Gantt Chart'!$I75*'Prepare Gantt Chart'!$J75),'Prepare Gantt Chart'!Q75=0,0)</f>
        <v>0</v>
      </c>
      <c r="AN76" s="45">
        <f>_xlfn.IFS('Prepare Gantt Chart'!R75=14,'Project types'!$L76*('Prepare Gantt Chart'!$I75*'Prepare Gantt Chart'!$J75),'Prepare Gantt Chart'!R75=13,'Project types'!$L76*('Prepare Gantt Chart'!$I75*'Prepare Gantt Chart'!$J75),'Prepare Gantt Chart'!R75=0,0)</f>
        <v>0</v>
      </c>
      <c r="AO76" s="45">
        <f>_xlfn.IFS('Prepare Gantt Chart'!S75=14,'Project types'!$L76*('Prepare Gantt Chart'!$I75*'Prepare Gantt Chart'!$J75),'Prepare Gantt Chart'!S75=13,'Project types'!$L76*('Prepare Gantt Chart'!$I75*'Prepare Gantt Chart'!$J75),'Prepare Gantt Chart'!S75=0,0)</f>
        <v>0</v>
      </c>
      <c r="AP76" s="45">
        <f>_xlfn.IFS('Prepare Gantt Chart'!T75=14,'Project types'!$L76*('Prepare Gantt Chart'!$I75*'Prepare Gantt Chart'!$J75),'Prepare Gantt Chart'!T75=13,'Project types'!$L76*('Prepare Gantt Chart'!$I75*'Prepare Gantt Chart'!$J75),'Prepare Gantt Chart'!T75=0,0)</f>
        <v>0</v>
      </c>
      <c r="AQ76" s="45">
        <f>_xlfn.IFS('Prepare Gantt Chart'!U75=14,'Project types'!$L76*('Prepare Gantt Chart'!$I75*'Prepare Gantt Chart'!$J75),'Prepare Gantt Chart'!U75=13,'Project types'!$L76*('Prepare Gantt Chart'!$I75*'Prepare Gantt Chart'!$J75),'Prepare Gantt Chart'!U75=0,0)</f>
        <v>0</v>
      </c>
      <c r="AR76" s="45">
        <f>_xlfn.IFS('Prepare Gantt Chart'!V75=14,'Project types'!$L76*('Prepare Gantt Chart'!$I75*'Prepare Gantt Chart'!$J75),'Prepare Gantt Chart'!V75=13,'Project types'!$L76*('Prepare Gantt Chart'!$I75*'Prepare Gantt Chart'!$J75),'Prepare Gantt Chart'!V75=0,0)</f>
        <v>0</v>
      </c>
      <c r="AS76" s="45">
        <f>_xlfn.IFS('Prepare Gantt Chart'!W75=14,'Project types'!$L76*('Prepare Gantt Chart'!$I75*'Prepare Gantt Chart'!$J75),'Prepare Gantt Chart'!W75=13,'Project types'!$L76*('Prepare Gantt Chart'!$I75*'Prepare Gantt Chart'!$J75),'Prepare Gantt Chart'!W75=0,0)</f>
        <v>0</v>
      </c>
      <c r="AT76" s="45">
        <f>_xlfn.IFS('Prepare Gantt Chart'!X75=14,'Project types'!$L76*('Prepare Gantt Chart'!$I75*'Prepare Gantt Chart'!$J75),'Prepare Gantt Chart'!X75=13,'Project types'!$L76*('Prepare Gantt Chart'!$I75*'Prepare Gantt Chart'!$J75),'Prepare Gantt Chart'!X75=0,0)</f>
        <v>0</v>
      </c>
      <c r="AU76" s="45">
        <f>_xlfn.IFS('Prepare Gantt Chart'!Y75=14,'Project types'!$L76*('Prepare Gantt Chart'!$I75*'Prepare Gantt Chart'!$J75),'Prepare Gantt Chart'!Y75=13,'Project types'!$L76*('Prepare Gantt Chart'!$I75*'Prepare Gantt Chart'!$J75),'Prepare Gantt Chart'!Y75=0,0)</f>
        <v>0</v>
      </c>
      <c r="AV76" s="45">
        <f>_xlfn.IFS('Prepare Gantt Chart'!Z75=14,'Project types'!$L76*('Prepare Gantt Chart'!$I75*'Prepare Gantt Chart'!$J75),'Prepare Gantt Chart'!Z75=13,'Project types'!$L76*('Prepare Gantt Chart'!$I75*'Prepare Gantt Chart'!$J75),'Prepare Gantt Chart'!Z75=0,0)</f>
        <v>0</v>
      </c>
      <c r="AW76" s="45">
        <f>_xlfn.IFS('Prepare Gantt Chart'!AA75=14,'Project types'!$L76*('Prepare Gantt Chart'!$I75*'Prepare Gantt Chart'!$J75),'Prepare Gantt Chart'!AA75=13,'Project types'!$L76*('Prepare Gantt Chart'!$I75*'Prepare Gantt Chart'!$J75),'Prepare Gantt Chart'!AA75=0,0)</f>
        <v>0</v>
      </c>
      <c r="AX76" s="45">
        <f>_xlfn.IFS('Prepare Gantt Chart'!AB75=14,'Project types'!$L76*('Prepare Gantt Chart'!$I75*'Prepare Gantt Chart'!$J75),'Prepare Gantt Chart'!AB75=13,'Project types'!$L76*('Prepare Gantt Chart'!$I75*'Prepare Gantt Chart'!$J75),'Prepare Gantt Chart'!AB75=0,0)</f>
        <v>0</v>
      </c>
      <c r="AY76" s="45">
        <f>_xlfn.IFS('Prepare Gantt Chart'!AC75=14,'Project types'!$L76*('Prepare Gantt Chart'!$I75*'Prepare Gantt Chart'!$J75),'Prepare Gantt Chart'!AC75=13,'Project types'!$L76*('Prepare Gantt Chart'!$I75*'Prepare Gantt Chart'!$J75),'Prepare Gantt Chart'!AC75=0,0)</f>
        <v>0</v>
      </c>
      <c r="AZ76" s="45">
        <f>_xlfn.IFS('Prepare Gantt Chart'!AD75=14,'Project types'!$L76*('Prepare Gantt Chart'!$I75*'Prepare Gantt Chart'!$J75),'Prepare Gantt Chart'!AD75=13,'Project types'!$L76*('Prepare Gantt Chart'!$I75*'Prepare Gantt Chart'!$J75),'Prepare Gantt Chart'!AD75=0,0)</f>
        <v>0</v>
      </c>
      <c r="BA76" s="45">
        <f>_xlfn.IFS('Prepare Gantt Chart'!AE75=14,'Project types'!$L76*('Prepare Gantt Chart'!$I75*'Prepare Gantt Chart'!$J75),'Prepare Gantt Chart'!AE75=13,'Project types'!$L76*('Prepare Gantt Chart'!$I75*'Prepare Gantt Chart'!$J75),'Prepare Gantt Chart'!AE75=0,0)</f>
        <v>0</v>
      </c>
      <c r="BB76" s="45">
        <f>_xlfn.IFS('Prepare Gantt Chart'!AF75=14,'Project types'!$L76*('Prepare Gantt Chart'!$I75*'Prepare Gantt Chart'!$J75),'Prepare Gantt Chart'!AF75=13,'Project types'!$L76*('Prepare Gantt Chart'!$I75*'Prepare Gantt Chart'!$J75),'Prepare Gantt Chart'!AF75=0,0)</f>
        <v>0</v>
      </c>
      <c r="BC76" s="45">
        <f>_xlfn.IFS('Prepare Gantt Chart'!AG75=14,'Project types'!$L76*('Prepare Gantt Chart'!$I75*'Prepare Gantt Chart'!$J75),'Prepare Gantt Chart'!AG75=13,'Project types'!$L76*('Prepare Gantt Chart'!$I75*'Prepare Gantt Chart'!$J75),'Prepare Gantt Chart'!AG75=0,0)</f>
        <v>0</v>
      </c>
      <c r="BD76" s="45">
        <f>_xlfn.IFS('Prepare Gantt Chart'!AH75=14,'Project types'!$L76*('Prepare Gantt Chart'!$I75*'Prepare Gantt Chart'!$J75),'Prepare Gantt Chart'!AH75=13,'Project types'!$L76*('Prepare Gantt Chart'!$I75*'Prepare Gantt Chart'!$J75),'Prepare Gantt Chart'!AH75=0,0)</f>
        <v>0</v>
      </c>
      <c r="BE76" s="45">
        <f>_xlfn.IFS('Prepare Gantt Chart'!AI75=14,'Project types'!$L76*('Prepare Gantt Chart'!$I75*'Prepare Gantt Chart'!$J75),'Prepare Gantt Chart'!AI75=13,'Project types'!$L76*('Prepare Gantt Chart'!$I75*'Prepare Gantt Chart'!$J75),'Prepare Gantt Chart'!AI75=0,0)</f>
        <v>0</v>
      </c>
      <c r="BF76" s="45">
        <f>_xlfn.IFS('Prepare Gantt Chart'!AJ75=14,'Project types'!$L76*('Prepare Gantt Chart'!$I75*'Prepare Gantt Chart'!$J75),'Prepare Gantt Chart'!AJ75=13,'Project types'!$L76*('Prepare Gantt Chart'!$I75*'Prepare Gantt Chart'!$J75),'Prepare Gantt Chart'!AJ75=0,0)</f>
        <v>0</v>
      </c>
      <c r="BG76" s="45">
        <f>_xlfn.IFS('Prepare Gantt Chart'!AK75=14,'Project types'!$L76*('Prepare Gantt Chart'!$I75*'Prepare Gantt Chart'!$J75),'Prepare Gantt Chart'!AK75=13,'Project types'!$L76*('Prepare Gantt Chart'!$I75*'Prepare Gantt Chart'!$J75),'Prepare Gantt Chart'!AK75=0,0)</f>
        <v>0</v>
      </c>
      <c r="BH76" s="45">
        <f>_xlfn.IFS('Prepare Gantt Chart'!AL75=14,'Project types'!$L76*('Prepare Gantt Chart'!$I75*'Prepare Gantt Chart'!$J75),'Prepare Gantt Chart'!AL75=13,'Project types'!$L76*('Prepare Gantt Chart'!$I75*'Prepare Gantt Chart'!$J75),'Prepare Gantt Chart'!AL75=0,0)</f>
        <v>0</v>
      </c>
      <c r="BI76" s="45">
        <f>_xlfn.IFS('Prepare Gantt Chart'!AM75=14,'Project types'!$L76*('Prepare Gantt Chart'!$I75*'Prepare Gantt Chart'!$J75),'Prepare Gantt Chart'!AM75=13,'Project types'!$L76*('Prepare Gantt Chart'!$I75*'Prepare Gantt Chart'!$J75),'Prepare Gantt Chart'!AM75=0,0)</f>
        <v>0</v>
      </c>
      <c r="BJ76" s="45">
        <f>_xlfn.IFS('Prepare Gantt Chart'!AN75=14,'Project types'!$L76*('Prepare Gantt Chart'!$I75*'Prepare Gantt Chart'!$J75),'Prepare Gantt Chart'!AN75=13,'Project types'!$L76*('Prepare Gantt Chart'!$I75*'Prepare Gantt Chart'!$J75),'Prepare Gantt Chart'!AN75=0,0)</f>
        <v>0</v>
      </c>
      <c r="BK76" s="45">
        <f>_xlfn.IFS('Prepare Gantt Chart'!AO75=14,'Project types'!$L76*('Prepare Gantt Chart'!$I75*'Prepare Gantt Chart'!$J75),'Prepare Gantt Chart'!AO75=13,'Project types'!$L76*('Prepare Gantt Chart'!$I75*'Prepare Gantt Chart'!$J75),'Prepare Gantt Chart'!AO75=0,0)</f>
        <v>0</v>
      </c>
      <c r="BL76" s="46">
        <f t="shared" si="3"/>
        <v>0</v>
      </c>
      <c r="BM76" s="75">
        <f>IF('Prepare Gantt Chart'!$J75=0,0,SUM(AL76:AQ76)/6/'Prepare Gantt Chart'!$J75)</f>
        <v>0</v>
      </c>
      <c r="BN76" s="75">
        <f>IF('Prepare Gantt Chart'!$J75=0,0,SUM(AR76:AV76)/5/'Prepare Gantt Chart'!$J75)</f>
        <v>0</v>
      </c>
      <c r="BO76" s="75">
        <f>IF('Prepare Gantt Chart'!$J75=0,0,SUM(AW76:BA76)/5/'Prepare Gantt Chart'!$J75)</f>
        <v>0</v>
      </c>
      <c r="BP76" s="75">
        <f>IF('Prepare Gantt Chart'!$J75=0,0,SUM(BB76:BF76)/5/'Prepare Gantt Chart'!$J75)</f>
        <v>0</v>
      </c>
      <c r="BQ76" s="75">
        <f>IF('Prepare Gantt Chart'!$J75=0,0,SUM(BG76:BK76)/5/'Prepare Gantt Chart'!$J75)</f>
        <v>0</v>
      </c>
    </row>
    <row r="77" spans="1:69" x14ac:dyDescent="0.2">
      <c r="A77" s="36" t="s">
        <v>69</v>
      </c>
      <c r="B77" s="1" t="s">
        <v>151</v>
      </c>
      <c r="C77" s="45">
        <f>_xlfn.IFS('Prepare Gantt Chart'!P76=14,'Project types'!$O77*('Prepare Gantt Chart'!$I76*'Prepare Gantt Chart'!$J76),'Prepare Gantt Chart'!P76=13,'Project types'!$Q77*('Prepare Gantt Chart'!$I76*'Prepare Gantt Chart'!$J76),'Prepare Gantt Chart'!P76=0,0)</f>
        <v>0</v>
      </c>
      <c r="D77" s="45">
        <f>_xlfn.IFS('Prepare Gantt Chart'!Q76=14,'Project types'!$O77*('Prepare Gantt Chart'!$I76*'Prepare Gantt Chart'!$J76),'Prepare Gantt Chart'!Q76=13,'Project types'!$Q77*('Prepare Gantt Chart'!$I76*'Prepare Gantt Chart'!$J76),'Prepare Gantt Chart'!Q76=0,0)</f>
        <v>0</v>
      </c>
      <c r="E77" s="45">
        <f>_xlfn.IFS('Prepare Gantt Chart'!R76=14,'Project types'!$O77*('Prepare Gantt Chart'!$I76*'Prepare Gantt Chart'!$J76),'Prepare Gantt Chart'!R76=13,'Project types'!$Q77*('Prepare Gantt Chart'!$I76*'Prepare Gantt Chart'!$J76),'Prepare Gantt Chart'!R76=0,0)</f>
        <v>0</v>
      </c>
      <c r="F77" s="45">
        <f>_xlfn.IFS('Prepare Gantt Chart'!S76=14,'Project types'!$O77*('Prepare Gantt Chart'!$I76*'Prepare Gantt Chart'!$J76),'Prepare Gantt Chart'!S76=13,'Project types'!$Q77*('Prepare Gantt Chart'!$I76*'Prepare Gantt Chart'!$J76),'Prepare Gantt Chart'!S76=0,0)</f>
        <v>0</v>
      </c>
      <c r="G77" s="45">
        <f>_xlfn.IFS('Prepare Gantt Chart'!T76=14,'Project types'!$O77*('Prepare Gantt Chart'!$I76*'Prepare Gantt Chart'!$J76),'Prepare Gantt Chart'!T76=13,'Project types'!$Q77*('Prepare Gantt Chart'!$I76*'Prepare Gantt Chart'!$J76),'Prepare Gantt Chart'!T76=0,0)</f>
        <v>0</v>
      </c>
      <c r="H77" s="45">
        <f>_xlfn.IFS('Prepare Gantt Chart'!U76=14,'Project types'!$O77*('Prepare Gantt Chart'!$I76*'Prepare Gantt Chart'!$J76),'Prepare Gantt Chart'!U76=13,'Project types'!$Q77*('Prepare Gantt Chart'!$I76*'Prepare Gantt Chart'!$J76),'Prepare Gantt Chart'!U76=0,0)</f>
        <v>0</v>
      </c>
      <c r="I77" s="45">
        <f>_xlfn.IFS('Prepare Gantt Chart'!V76=14,'Project types'!$O77*('Prepare Gantt Chart'!$I76*'Prepare Gantt Chart'!$J76),'Prepare Gantt Chart'!V76=13,'Project types'!$Q77*('Prepare Gantt Chart'!$I76*'Prepare Gantt Chart'!$J76),'Prepare Gantt Chart'!V76=0,0)</f>
        <v>0</v>
      </c>
      <c r="J77" s="45">
        <f>_xlfn.IFS('Prepare Gantt Chart'!W76=14,'Project types'!$O77*('Prepare Gantt Chart'!$I76*'Prepare Gantt Chart'!$J76),'Prepare Gantt Chart'!W76=13,'Project types'!$Q77*('Prepare Gantt Chart'!$I76*'Prepare Gantt Chart'!$J76),'Prepare Gantt Chart'!W76=0,0)</f>
        <v>0</v>
      </c>
      <c r="K77" s="45">
        <f>_xlfn.IFS('Prepare Gantt Chart'!X76=14,'Project types'!$O77*('Prepare Gantt Chart'!$I76*'Prepare Gantt Chart'!$J76),'Prepare Gantt Chart'!X76=13,'Project types'!$Q77*('Prepare Gantt Chart'!$I76*'Prepare Gantt Chart'!$J76),'Prepare Gantt Chart'!X76=0,0)</f>
        <v>0</v>
      </c>
      <c r="L77" s="45">
        <f>_xlfn.IFS('Prepare Gantt Chart'!Y76=14,'Project types'!$O77*('Prepare Gantt Chart'!$I76*'Prepare Gantt Chart'!$J76),'Prepare Gantt Chart'!Y76=13,'Project types'!$Q77*('Prepare Gantt Chart'!$I76*'Prepare Gantt Chart'!$J76),'Prepare Gantt Chart'!Y76=0,0)</f>
        <v>0</v>
      </c>
      <c r="M77" s="45">
        <f>_xlfn.IFS('Prepare Gantt Chart'!Z76=14,'Project types'!$O77*('Prepare Gantt Chart'!$I76*'Prepare Gantt Chart'!$J76),'Prepare Gantt Chart'!Z76=13,'Project types'!$Q77*('Prepare Gantt Chart'!$I76*'Prepare Gantt Chart'!$J76),'Prepare Gantt Chart'!Z76=0,0)</f>
        <v>0</v>
      </c>
      <c r="N77" s="45">
        <f>_xlfn.IFS('Prepare Gantt Chart'!AA76=14,'Project types'!$O77*('Prepare Gantt Chart'!$I76*'Prepare Gantt Chart'!$J76),'Prepare Gantt Chart'!AA76=13,'Project types'!$Q77*('Prepare Gantt Chart'!$I76*'Prepare Gantt Chart'!$J76),'Prepare Gantt Chart'!AA76=0,0)</f>
        <v>0</v>
      </c>
      <c r="O77" s="45">
        <f>_xlfn.IFS('Prepare Gantt Chart'!AB76=14,'Project types'!$O77*('Prepare Gantt Chart'!$I76*'Prepare Gantt Chart'!$J76),'Prepare Gantt Chart'!AB76=13,'Project types'!$Q77*('Prepare Gantt Chart'!$I76*'Prepare Gantt Chart'!$J76),'Prepare Gantt Chart'!AB76=0,0)</f>
        <v>0</v>
      </c>
      <c r="P77" s="45">
        <f>_xlfn.IFS('Prepare Gantt Chart'!AC76=14,'Project types'!$O77*('Prepare Gantt Chart'!$I76*'Prepare Gantt Chart'!$J76),'Prepare Gantt Chart'!AC76=13,'Project types'!$Q77*('Prepare Gantt Chart'!$I76*'Prepare Gantt Chart'!$J76),'Prepare Gantt Chart'!AC76=0,0)</f>
        <v>0</v>
      </c>
      <c r="Q77" s="45">
        <f>_xlfn.IFS('Prepare Gantt Chart'!AD76=14,'Project types'!$O77*('Prepare Gantt Chart'!$I76*'Prepare Gantt Chart'!$J76),'Prepare Gantt Chart'!AD76=13,'Project types'!$Q77*('Prepare Gantt Chart'!$I76*'Prepare Gantt Chart'!$J76),'Prepare Gantt Chart'!AD76=0,0)</f>
        <v>0</v>
      </c>
      <c r="R77" s="45">
        <f>_xlfn.IFS('Prepare Gantt Chart'!AE76=14,'Project types'!$O77*('Prepare Gantt Chart'!$I76*'Prepare Gantt Chart'!$J76),'Prepare Gantt Chart'!AE76=13,'Project types'!$Q77*('Prepare Gantt Chart'!$I76*'Prepare Gantt Chart'!$J76),'Prepare Gantt Chart'!AE76=0,0)</f>
        <v>0</v>
      </c>
      <c r="S77" s="45">
        <f>_xlfn.IFS('Prepare Gantt Chart'!AF76=14,'Project types'!$O77*('Prepare Gantt Chart'!$I76*'Prepare Gantt Chart'!$J76),'Prepare Gantt Chart'!AF76=13,'Project types'!$Q77*('Prepare Gantt Chart'!$I76*'Prepare Gantt Chart'!$J76),'Prepare Gantt Chart'!AF76=0,0)</f>
        <v>0</v>
      </c>
      <c r="T77" s="45">
        <f>_xlfn.IFS('Prepare Gantt Chart'!AG76=14,'Project types'!$O77*('Prepare Gantt Chart'!$I76*'Prepare Gantt Chart'!$J76),'Prepare Gantt Chart'!AG76=13,'Project types'!$Q77*('Prepare Gantt Chart'!$I76*'Prepare Gantt Chart'!$J76),'Prepare Gantt Chart'!AG76=0,0)</f>
        <v>0</v>
      </c>
      <c r="U77" s="45">
        <f>_xlfn.IFS('Prepare Gantt Chart'!AH76=14,'Project types'!$O77*('Prepare Gantt Chart'!$I76*'Prepare Gantt Chart'!$J76),'Prepare Gantt Chart'!AH76=13,'Project types'!$Q77*('Prepare Gantt Chart'!$I76*'Prepare Gantt Chart'!$J76),'Prepare Gantt Chart'!AH76=0,0)</f>
        <v>0</v>
      </c>
      <c r="V77" s="45">
        <f>_xlfn.IFS('Prepare Gantt Chart'!AI76=14,'Project types'!$O77*('Prepare Gantt Chart'!$I76*'Prepare Gantt Chart'!$J76),'Prepare Gantt Chart'!AI76=13,'Project types'!$Q77*('Prepare Gantt Chart'!$I76*'Prepare Gantt Chart'!$J76),'Prepare Gantt Chart'!AI76=0,0)</f>
        <v>0</v>
      </c>
      <c r="W77" s="45">
        <f>_xlfn.IFS('Prepare Gantt Chart'!AJ76=14,'Project types'!$O77*('Prepare Gantt Chart'!$I76*'Prepare Gantt Chart'!$J76),'Prepare Gantt Chart'!AJ76=13,'Project types'!$Q77*('Prepare Gantt Chart'!$I76*'Prepare Gantt Chart'!$J76),'Prepare Gantt Chart'!AJ76=0,0)</f>
        <v>0</v>
      </c>
      <c r="X77" s="45">
        <f>_xlfn.IFS('Prepare Gantt Chart'!AK76=14,'Project types'!$O77*('Prepare Gantt Chart'!$I76*'Prepare Gantt Chart'!$J76),'Prepare Gantt Chart'!AK76=13,'Project types'!$Q77*('Prepare Gantt Chart'!$I76*'Prepare Gantt Chart'!$J76),'Prepare Gantt Chart'!AK76=0,0)</f>
        <v>0</v>
      </c>
      <c r="Y77" s="45">
        <f>_xlfn.IFS('Prepare Gantt Chart'!AL76=14,'Project types'!$O77*('Prepare Gantt Chart'!$I76*'Prepare Gantt Chart'!$J76),'Prepare Gantt Chart'!AL76=13,'Project types'!$Q77*('Prepare Gantt Chart'!$I76*'Prepare Gantt Chart'!$J76),'Prepare Gantt Chart'!AL76=0,0)</f>
        <v>0</v>
      </c>
      <c r="Z77" s="45">
        <f>_xlfn.IFS('Prepare Gantt Chart'!AM76=14,'Project types'!$O77*('Prepare Gantt Chart'!$I76*'Prepare Gantt Chart'!$J76),'Prepare Gantt Chart'!AM76=13,'Project types'!$Q77*('Prepare Gantt Chart'!$I76*'Prepare Gantt Chart'!$J76),'Prepare Gantt Chart'!AM76=0,0)</f>
        <v>0</v>
      </c>
      <c r="AA77" s="45">
        <f>_xlfn.IFS('Prepare Gantt Chart'!AN76=14,'Project types'!$O77*('Prepare Gantt Chart'!$I76*'Prepare Gantt Chart'!$J76),'Prepare Gantt Chart'!AN76=13,'Project types'!$Q77*('Prepare Gantt Chart'!$I76*'Prepare Gantt Chart'!$J76),'Prepare Gantt Chart'!AN76=0,0)</f>
        <v>0</v>
      </c>
      <c r="AB77" s="45">
        <f>_xlfn.IFS('Prepare Gantt Chart'!AO76=14,'Project types'!$O77*('Prepare Gantt Chart'!$I76*'Prepare Gantt Chart'!$J76),'Prepare Gantt Chart'!AO76=13,'Project types'!$Q77*('Prepare Gantt Chart'!$I76*'Prepare Gantt Chart'!$J76),'Prepare Gantt Chart'!AO76=0,0)</f>
        <v>0</v>
      </c>
      <c r="AC77" s="45">
        <f>'Prepare Gantt Chart'!J76*'Prepare Gantt Chart'!I76*(AD77/26)</f>
        <v>0</v>
      </c>
      <c r="AD77" s="46">
        <f t="shared" si="2"/>
        <v>0</v>
      </c>
      <c r="AE77" s="72">
        <f>IF('Prepare Gantt Chart'!$J76=0,0,SUM(C77:H77)/6/'Prepare Gantt Chart'!$J76)</f>
        <v>0</v>
      </c>
      <c r="AF77" s="72">
        <f>IF('Prepare Gantt Chart'!$J76=0,0,SUM(I77:M77)/5/'Prepare Gantt Chart'!$J76)</f>
        <v>0</v>
      </c>
      <c r="AG77" s="72">
        <f>IF('Prepare Gantt Chart'!$J76=0,0,SUM(N77:R77)/5/'Prepare Gantt Chart'!$J76)</f>
        <v>0</v>
      </c>
      <c r="AH77" s="72">
        <f>IF('Prepare Gantt Chart'!$J76=0,0,SUM(S77:W77)/5/'Prepare Gantt Chart'!$J76)</f>
        <v>0</v>
      </c>
      <c r="AI77" s="72">
        <f>IF('Prepare Gantt Chart'!$J76=0,0,SUM(X77:AB77)/5/'Prepare Gantt Chart'!$J76)</f>
        <v>0</v>
      </c>
      <c r="AK77" s="36" t="s">
        <v>69</v>
      </c>
      <c r="AL77" s="45">
        <f>_xlfn.IFS('Prepare Gantt Chart'!P76=14,'Project types'!$L77*('Prepare Gantt Chart'!$I76*'Prepare Gantt Chart'!$J76),'Prepare Gantt Chart'!P76=13,'Project types'!$L77*('Prepare Gantt Chart'!$I76*'Prepare Gantt Chart'!$J76),'Prepare Gantt Chart'!P76=0,0)</f>
        <v>0</v>
      </c>
      <c r="AM77" s="45">
        <f>_xlfn.IFS('Prepare Gantt Chart'!Q76=14,'Project types'!$L77*('Prepare Gantt Chart'!$I76*'Prepare Gantt Chart'!$J76),'Prepare Gantt Chart'!Q76=13,'Project types'!$L77*('Prepare Gantt Chart'!$I76*'Prepare Gantt Chart'!$J76),'Prepare Gantt Chart'!Q76=0,0)</f>
        <v>0</v>
      </c>
      <c r="AN77" s="45">
        <f>_xlfn.IFS('Prepare Gantt Chart'!R76=14,'Project types'!$L77*('Prepare Gantt Chart'!$I76*'Prepare Gantt Chart'!$J76),'Prepare Gantt Chart'!R76=13,'Project types'!$L77*('Prepare Gantt Chart'!$I76*'Prepare Gantt Chart'!$J76),'Prepare Gantt Chart'!R76=0,0)</f>
        <v>0</v>
      </c>
      <c r="AO77" s="45">
        <f>_xlfn.IFS('Prepare Gantt Chart'!S76=14,'Project types'!$L77*('Prepare Gantt Chart'!$I76*'Prepare Gantt Chart'!$J76),'Prepare Gantt Chart'!S76=13,'Project types'!$L77*('Prepare Gantt Chart'!$I76*'Prepare Gantt Chart'!$J76),'Prepare Gantt Chart'!S76=0,0)</f>
        <v>0</v>
      </c>
      <c r="AP77" s="45">
        <f>_xlfn.IFS('Prepare Gantt Chart'!T76=14,'Project types'!$L77*('Prepare Gantt Chart'!$I76*'Prepare Gantt Chart'!$J76),'Prepare Gantt Chart'!T76=13,'Project types'!$L77*('Prepare Gantt Chart'!$I76*'Prepare Gantt Chart'!$J76),'Prepare Gantt Chart'!T76=0,0)</f>
        <v>0</v>
      </c>
      <c r="AQ77" s="45">
        <f>_xlfn.IFS('Prepare Gantt Chart'!U76=14,'Project types'!$L77*('Prepare Gantt Chart'!$I76*'Prepare Gantt Chart'!$J76),'Prepare Gantt Chart'!U76=13,'Project types'!$L77*('Prepare Gantt Chart'!$I76*'Prepare Gantt Chart'!$J76),'Prepare Gantt Chart'!U76=0,0)</f>
        <v>0</v>
      </c>
      <c r="AR77" s="45">
        <f>_xlfn.IFS('Prepare Gantt Chart'!V76=14,'Project types'!$L77*('Prepare Gantt Chart'!$I76*'Prepare Gantt Chart'!$J76),'Prepare Gantt Chart'!V76=13,'Project types'!$L77*('Prepare Gantt Chart'!$I76*'Prepare Gantt Chart'!$J76),'Prepare Gantt Chart'!V76=0,0)</f>
        <v>0</v>
      </c>
      <c r="AS77" s="45">
        <f>_xlfn.IFS('Prepare Gantt Chart'!W76=14,'Project types'!$L77*('Prepare Gantt Chart'!$I76*'Prepare Gantt Chart'!$J76),'Prepare Gantt Chart'!W76=13,'Project types'!$L77*('Prepare Gantt Chart'!$I76*'Prepare Gantt Chart'!$J76),'Prepare Gantt Chart'!W76=0,0)</f>
        <v>0</v>
      </c>
      <c r="AT77" s="45">
        <f>_xlfn.IFS('Prepare Gantt Chart'!X76=14,'Project types'!$L77*('Prepare Gantt Chart'!$I76*'Prepare Gantt Chart'!$J76),'Prepare Gantt Chart'!X76=13,'Project types'!$L77*('Prepare Gantt Chart'!$I76*'Prepare Gantt Chart'!$J76),'Prepare Gantt Chart'!X76=0,0)</f>
        <v>0</v>
      </c>
      <c r="AU77" s="45">
        <f>_xlfn.IFS('Prepare Gantt Chart'!Y76=14,'Project types'!$L77*('Prepare Gantt Chart'!$I76*'Prepare Gantt Chart'!$J76),'Prepare Gantt Chart'!Y76=13,'Project types'!$L77*('Prepare Gantt Chart'!$I76*'Prepare Gantt Chart'!$J76),'Prepare Gantt Chart'!Y76=0,0)</f>
        <v>0</v>
      </c>
      <c r="AV77" s="45">
        <f>_xlfn.IFS('Prepare Gantt Chart'!Z76=14,'Project types'!$L77*('Prepare Gantt Chart'!$I76*'Prepare Gantt Chart'!$J76),'Prepare Gantt Chart'!Z76=13,'Project types'!$L77*('Prepare Gantt Chart'!$I76*'Prepare Gantt Chart'!$J76),'Prepare Gantt Chart'!Z76=0,0)</f>
        <v>0</v>
      </c>
      <c r="AW77" s="45">
        <f>_xlfn.IFS('Prepare Gantt Chart'!AA76=14,'Project types'!$L77*('Prepare Gantt Chart'!$I76*'Prepare Gantt Chart'!$J76),'Prepare Gantt Chart'!AA76=13,'Project types'!$L77*('Prepare Gantt Chart'!$I76*'Prepare Gantt Chart'!$J76),'Prepare Gantt Chart'!AA76=0,0)</f>
        <v>0</v>
      </c>
      <c r="AX77" s="45">
        <f>_xlfn.IFS('Prepare Gantt Chart'!AB76=14,'Project types'!$L77*('Prepare Gantt Chart'!$I76*'Prepare Gantt Chart'!$J76),'Prepare Gantt Chart'!AB76=13,'Project types'!$L77*('Prepare Gantt Chart'!$I76*'Prepare Gantt Chart'!$J76),'Prepare Gantt Chart'!AB76=0,0)</f>
        <v>0</v>
      </c>
      <c r="AY77" s="45">
        <f>_xlfn.IFS('Prepare Gantt Chart'!AC76=14,'Project types'!$L77*('Prepare Gantt Chart'!$I76*'Prepare Gantt Chart'!$J76),'Prepare Gantt Chart'!AC76=13,'Project types'!$L77*('Prepare Gantt Chart'!$I76*'Prepare Gantt Chart'!$J76),'Prepare Gantt Chart'!AC76=0,0)</f>
        <v>0</v>
      </c>
      <c r="AZ77" s="45">
        <f>_xlfn.IFS('Prepare Gantt Chart'!AD76=14,'Project types'!$L77*('Prepare Gantt Chart'!$I76*'Prepare Gantt Chart'!$J76),'Prepare Gantt Chart'!AD76=13,'Project types'!$L77*('Prepare Gantt Chart'!$I76*'Prepare Gantt Chart'!$J76),'Prepare Gantt Chart'!AD76=0,0)</f>
        <v>0</v>
      </c>
      <c r="BA77" s="45">
        <f>_xlfn.IFS('Prepare Gantt Chart'!AE76=14,'Project types'!$L77*('Prepare Gantt Chart'!$I76*'Prepare Gantt Chart'!$J76),'Prepare Gantt Chart'!AE76=13,'Project types'!$L77*('Prepare Gantt Chart'!$I76*'Prepare Gantt Chart'!$J76),'Prepare Gantt Chart'!AE76=0,0)</f>
        <v>0</v>
      </c>
      <c r="BB77" s="45">
        <f>_xlfn.IFS('Prepare Gantt Chart'!AF76=14,'Project types'!$L77*('Prepare Gantt Chart'!$I76*'Prepare Gantt Chart'!$J76),'Prepare Gantt Chart'!AF76=13,'Project types'!$L77*('Prepare Gantt Chart'!$I76*'Prepare Gantt Chart'!$J76),'Prepare Gantt Chart'!AF76=0,0)</f>
        <v>0</v>
      </c>
      <c r="BC77" s="45">
        <f>_xlfn.IFS('Prepare Gantt Chart'!AG76=14,'Project types'!$L77*('Prepare Gantt Chart'!$I76*'Prepare Gantt Chart'!$J76),'Prepare Gantt Chart'!AG76=13,'Project types'!$L77*('Prepare Gantt Chart'!$I76*'Prepare Gantt Chart'!$J76),'Prepare Gantt Chart'!AG76=0,0)</f>
        <v>0</v>
      </c>
      <c r="BD77" s="45">
        <f>_xlfn.IFS('Prepare Gantt Chart'!AH76=14,'Project types'!$L77*('Prepare Gantt Chart'!$I76*'Prepare Gantt Chart'!$J76),'Prepare Gantt Chart'!AH76=13,'Project types'!$L77*('Prepare Gantt Chart'!$I76*'Prepare Gantt Chart'!$J76),'Prepare Gantt Chart'!AH76=0,0)</f>
        <v>0</v>
      </c>
      <c r="BE77" s="45">
        <f>_xlfn.IFS('Prepare Gantt Chart'!AI76=14,'Project types'!$L77*('Prepare Gantt Chart'!$I76*'Prepare Gantt Chart'!$J76),'Prepare Gantt Chart'!AI76=13,'Project types'!$L77*('Prepare Gantt Chart'!$I76*'Prepare Gantt Chart'!$J76),'Prepare Gantt Chart'!AI76=0,0)</f>
        <v>0</v>
      </c>
      <c r="BF77" s="45">
        <f>_xlfn.IFS('Prepare Gantt Chart'!AJ76=14,'Project types'!$L77*('Prepare Gantt Chart'!$I76*'Prepare Gantt Chart'!$J76),'Prepare Gantt Chart'!AJ76=13,'Project types'!$L77*('Prepare Gantt Chart'!$I76*'Prepare Gantt Chart'!$J76),'Prepare Gantt Chart'!AJ76=0,0)</f>
        <v>0</v>
      </c>
      <c r="BG77" s="45">
        <f>_xlfn.IFS('Prepare Gantt Chart'!AK76=14,'Project types'!$L77*('Prepare Gantt Chart'!$I76*'Prepare Gantt Chart'!$J76),'Prepare Gantt Chart'!AK76=13,'Project types'!$L77*('Prepare Gantt Chart'!$I76*'Prepare Gantt Chart'!$J76),'Prepare Gantt Chart'!AK76=0,0)</f>
        <v>0</v>
      </c>
      <c r="BH77" s="45">
        <f>_xlfn.IFS('Prepare Gantt Chart'!AL76=14,'Project types'!$L77*('Prepare Gantt Chart'!$I76*'Prepare Gantt Chart'!$J76),'Prepare Gantt Chart'!AL76=13,'Project types'!$L77*('Prepare Gantt Chart'!$I76*'Prepare Gantt Chart'!$J76),'Prepare Gantt Chart'!AL76=0,0)</f>
        <v>0</v>
      </c>
      <c r="BI77" s="45">
        <f>_xlfn.IFS('Prepare Gantt Chart'!AM76=14,'Project types'!$L77*('Prepare Gantt Chart'!$I76*'Prepare Gantt Chart'!$J76),'Prepare Gantt Chart'!AM76=13,'Project types'!$L77*('Prepare Gantt Chart'!$I76*'Prepare Gantt Chart'!$J76),'Prepare Gantt Chart'!AM76=0,0)</f>
        <v>0</v>
      </c>
      <c r="BJ77" s="45">
        <f>_xlfn.IFS('Prepare Gantt Chart'!AN76=14,'Project types'!$L77*('Prepare Gantt Chart'!$I76*'Prepare Gantt Chart'!$J76),'Prepare Gantt Chart'!AN76=13,'Project types'!$L77*('Prepare Gantt Chart'!$I76*'Prepare Gantt Chart'!$J76),'Prepare Gantt Chart'!AN76=0,0)</f>
        <v>0</v>
      </c>
      <c r="BK77" s="45">
        <f>_xlfn.IFS('Prepare Gantt Chart'!AO76=14,'Project types'!$L77*('Prepare Gantt Chart'!$I76*'Prepare Gantt Chart'!$J76),'Prepare Gantt Chart'!AO76=13,'Project types'!$L77*('Prepare Gantt Chart'!$I76*'Prepare Gantt Chart'!$J76),'Prepare Gantt Chart'!AO76=0,0)</f>
        <v>0</v>
      </c>
      <c r="BL77" s="46">
        <f t="shared" si="3"/>
        <v>0</v>
      </c>
      <c r="BM77" s="75">
        <f>IF('Prepare Gantt Chart'!$J76=0,0,SUM(AL77:AQ77)/6/'Prepare Gantt Chart'!$J76)</f>
        <v>0</v>
      </c>
      <c r="BN77" s="75">
        <f>IF('Prepare Gantt Chart'!$J76=0,0,SUM(AR77:AV77)/5/'Prepare Gantt Chart'!$J76)</f>
        <v>0</v>
      </c>
      <c r="BO77" s="75">
        <f>IF('Prepare Gantt Chart'!$J76=0,0,SUM(AW77:BA77)/5/'Prepare Gantt Chart'!$J76)</f>
        <v>0</v>
      </c>
      <c r="BP77" s="75">
        <f>IF('Prepare Gantt Chart'!$J76=0,0,SUM(BB77:BF77)/5/'Prepare Gantt Chart'!$J76)</f>
        <v>0</v>
      </c>
      <c r="BQ77" s="75">
        <f>IF('Prepare Gantt Chart'!$J76=0,0,SUM(BG77:BK77)/5/'Prepare Gantt Chart'!$J76)</f>
        <v>0</v>
      </c>
    </row>
    <row r="78" spans="1:69" x14ac:dyDescent="0.2">
      <c r="A78" s="36" t="s">
        <v>70</v>
      </c>
      <c r="B78" s="1" t="s">
        <v>412</v>
      </c>
      <c r="C78" s="45">
        <f>_xlfn.IFS('Prepare Gantt Chart'!P77=14,'Project types'!$O78*('Prepare Gantt Chart'!$I77*'Prepare Gantt Chart'!$J77),'Prepare Gantt Chart'!P77=13,'Project types'!$Q78*('Prepare Gantt Chart'!$I77*'Prepare Gantt Chart'!$J77),'Prepare Gantt Chart'!P77=0,0)</f>
        <v>0</v>
      </c>
      <c r="D78" s="45">
        <f>_xlfn.IFS('Prepare Gantt Chart'!Q77=14,'Project types'!$O78*('Prepare Gantt Chart'!$I77*'Prepare Gantt Chart'!$J77),'Prepare Gantt Chart'!Q77=13,'Project types'!$Q78*('Prepare Gantt Chart'!$I77*'Prepare Gantt Chart'!$J77),'Prepare Gantt Chart'!Q77=0,0)</f>
        <v>0</v>
      </c>
      <c r="E78" s="45">
        <f>_xlfn.IFS('Prepare Gantt Chart'!R77=14,'Project types'!$O78*('Prepare Gantt Chart'!$I77*'Prepare Gantt Chart'!$J77),'Prepare Gantt Chart'!R77=13,'Project types'!$Q78*('Prepare Gantt Chart'!$I77*'Prepare Gantt Chart'!$J77),'Prepare Gantt Chart'!R77=0,0)</f>
        <v>0</v>
      </c>
      <c r="F78" s="45">
        <f>_xlfn.IFS('Prepare Gantt Chart'!S77=14,'Project types'!$O78*('Prepare Gantt Chart'!$I77*'Prepare Gantt Chart'!$J77),'Prepare Gantt Chart'!S77=13,'Project types'!$Q78*('Prepare Gantt Chart'!$I77*'Prepare Gantt Chart'!$J77),'Prepare Gantt Chart'!S77=0,0)</f>
        <v>0</v>
      </c>
      <c r="G78" s="45">
        <f>_xlfn.IFS('Prepare Gantt Chart'!T77=14,'Project types'!$O78*('Prepare Gantt Chart'!$I77*'Prepare Gantt Chart'!$J77),'Prepare Gantt Chart'!T77=13,'Project types'!$Q78*('Prepare Gantt Chart'!$I77*'Prepare Gantt Chart'!$J77),'Prepare Gantt Chart'!T77=0,0)</f>
        <v>0</v>
      </c>
      <c r="H78" s="45">
        <f>_xlfn.IFS('Prepare Gantt Chart'!U77=14,'Project types'!$O78*('Prepare Gantt Chart'!$I77*'Prepare Gantt Chart'!$J77),'Prepare Gantt Chart'!U77=13,'Project types'!$Q78*('Prepare Gantt Chart'!$I77*'Prepare Gantt Chart'!$J77),'Prepare Gantt Chart'!U77=0,0)</f>
        <v>0</v>
      </c>
      <c r="I78" s="45">
        <f>_xlfn.IFS('Prepare Gantt Chart'!V77=14,'Project types'!$O78*('Prepare Gantt Chart'!$I77*'Prepare Gantt Chart'!$J77),'Prepare Gantt Chart'!V77=13,'Project types'!$Q78*('Prepare Gantt Chart'!$I77*'Prepare Gantt Chart'!$J77),'Prepare Gantt Chart'!V77=0,0)</f>
        <v>0</v>
      </c>
      <c r="J78" s="45">
        <f>_xlfn.IFS('Prepare Gantt Chart'!W77=14,'Project types'!$O78*('Prepare Gantt Chart'!$I77*'Prepare Gantt Chart'!$J77),'Prepare Gantt Chart'!W77=13,'Project types'!$Q78*('Prepare Gantt Chart'!$I77*'Prepare Gantt Chart'!$J77),'Prepare Gantt Chart'!W77=0,0)</f>
        <v>0</v>
      </c>
      <c r="K78" s="45">
        <f>_xlfn.IFS('Prepare Gantt Chart'!X77=14,'Project types'!$O78*('Prepare Gantt Chart'!$I77*'Prepare Gantt Chart'!$J77),'Prepare Gantt Chart'!X77=13,'Project types'!$Q78*('Prepare Gantt Chart'!$I77*'Prepare Gantt Chart'!$J77),'Prepare Gantt Chart'!X77=0,0)</f>
        <v>0</v>
      </c>
      <c r="L78" s="45">
        <f>_xlfn.IFS('Prepare Gantt Chart'!Y77=14,'Project types'!$O78*('Prepare Gantt Chart'!$I77*'Prepare Gantt Chart'!$J77),'Prepare Gantt Chart'!Y77=13,'Project types'!$Q78*('Prepare Gantt Chart'!$I77*'Prepare Gantt Chart'!$J77),'Prepare Gantt Chart'!Y77=0,0)</f>
        <v>0</v>
      </c>
      <c r="M78" s="45">
        <f>_xlfn.IFS('Prepare Gantt Chart'!Z77=14,'Project types'!$O78*('Prepare Gantt Chart'!$I77*'Prepare Gantt Chart'!$J77),'Prepare Gantt Chart'!Z77=13,'Project types'!$Q78*('Prepare Gantt Chart'!$I77*'Prepare Gantt Chart'!$J77),'Prepare Gantt Chart'!Z77=0,0)</f>
        <v>0</v>
      </c>
      <c r="N78" s="45">
        <f>_xlfn.IFS('Prepare Gantt Chart'!AA77=14,'Project types'!$O78*('Prepare Gantt Chart'!$I77*'Prepare Gantt Chart'!$J77),'Prepare Gantt Chart'!AA77=13,'Project types'!$Q78*('Prepare Gantt Chart'!$I77*'Prepare Gantt Chart'!$J77),'Prepare Gantt Chart'!AA77=0,0)</f>
        <v>0</v>
      </c>
      <c r="O78" s="45">
        <f>_xlfn.IFS('Prepare Gantt Chart'!AB77=14,'Project types'!$O78*('Prepare Gantt Chart'!$I77*'Prepare Gantt Chart'!$J77),'Prepare Gantt Chart'!AB77=13,'Project types'!$Q78*('Prepare Gantt Chart'!$I77*'Prepare Gantt Chart'!$J77),'Prepare Gantt Chart'!AB77=0,0)</f>
        <v>0</v>
      </c>
      <c r="P78" s="45">
        <f>_xlfn.IFS('Prepare Gantt Chart'!AC77=14,'Project types'!$O78*('Prepare Gantt Chart'!$I77*'Prepare Gantt Chart'!$J77),'Prepare Gantt Chart'!AC77=13,'Project types'!$Q78*('Prepare Gantt Chart'!$I77*'Prepare Gantt Chart'!$J77),'Prepare Gantt Chart'!AC77=0,0)</f>
        <v>0</v>
      </c>
      <c r="Q78" s="45">
        <f>_xlfn.IFS('Prepare Gantt Chart'!AD77=14,'Project types'!$O78*('Prepare Gantt Chart'!$I77*'Prepare Gantt Chart'!$J77),'Prepare Gantt Chart'!AD77=13,'Project types'!$Q78*('Prepare Gantt Chart'!$I77*'Prepare Gantt Chart'!$J77),'Prepare Gantt Chart'!AD77=0,0)</f>
        <v>0</v>
      </c>
      <c r="R78" s="45">
        <f>_xlfn.IFS('Prepare Gantt Chart'!AE77=14,'Project types'!$O78*('Prepare Gantt Chart'!$I77*'Prepare Gantt Chart'!$J77),'Prepare Gantt Chart'!AE77=13,'Project types'!$Q78*('Prepare Gantt Chart'!$I77*'Prepare Gantt Chart'!$J77),'Prepare Gantt Chart'!AE77=0,0)</f>
        <v>0</v>
      </c>
      <c r="S78" s="45">
        <f>_xlfn.IFS('Prepare Gantt Chart'!AF77=14,'Project types'!$O78*('Prepare Gantt Chart'!$I77*'Prepare Gantt Chart'!$J77),'Prepare Gantt Chart'!AF77=13,'Project types'!$Q78*('Prepare Gantt Chart'!$I77*'Prepare Gantt Chart'!$J77),'Prepare Gantt Chart'!AF77=0,0)</f>
        <v>0</v>
      </c>
      <c r="T78" s="45">
        <f>_xlfn.IFS('Prepare Gantt Chart'!AG77=14,'Project types'!$O78*('Prepare Gantt Chart'!$I77*'Prepare Gantt Chart'!$J77),'Prepare Gantt Chart'!AG77=13,'Project types'!$Q78*('Prepare Gantt Chart'!$I77*'Prepare Gantt Chart'!$J77),'Prepare Gantt Chart'!AG77=0,0)</f>
        <v>0</v>
      </c>
      <c r="U78" s="45">
        <f>_xlfn.IFS('Prepare Gantt Chart'!AH77=14,'Project types'!$O78*('Prepare Gantt Chart'!$I77*'Prepare Gantt Chart'!$J77),'Prepare Gantt Chart'!AH77=13,'Project types'!$Q78*('Prepare Gantt Chart'!$I77*'Prepare Gantt Chart'!$J77),'Prepare Gantt Chart'!AH77=0,0)</f>
        <v>0</v>
      </c>
      <c r="V78" s="45">
        <f>_xlfn.IFS('Prepare Gantt Chart'!AI77=14,'Project types'!$O78*('Prepare Gantt Chart'!$I77*'Prepare Gantt Chart'!$J77),'Prepare Gantt Chart'!AI77=13,'Project types'!$Q78*('Prepare Gantt Chart'!$I77*'Prepare Gantt Chart'!$J77),'Prepare Gantt Chart'!AI77=0,0)</f>
        <v>0</v>
      </c>
      <c r="W78" s="45">
        <f>_xlfn.IFS('Prepare Gantt Chart'!AJ77=14,'Project types'!$O78*('Prepare Gantt Chart'!$I77*'Prepare Gantt Chart'!$J77),'Prepare Gantt Chart'!AJ77=13,'Project types'!$Q78*('Prepare Gantt Chart'!$I77*'Prepare Gantt Chart'!$J77),'Prepare Gantt Chart'!AJ77=0,0)</f>
        <v>0</v>
      </c>
      <c r="X78" s="45">
        <f>_xlfn.IFS('Prepare Gantt Chart'!AK77=14,'Project types'!$O78*('Prepare Gantt Chart'!$I77*'Prepare Gantt Chart'!$J77),'Prepare Gantt Chart'!AK77=13,'Project types'!$Q78*('Prepare Gantt Chart'!$I77*'Prepare Gantt Chart'!$J77),'Prepare Gantt Chart'!AK77=0,0)</f>
        <v>0</v>
      </c>
      <c r="Y78" s="45">
        <f>_xlfn.IFS('Prepare Gantt Chart'!AL77=14,'Project types'!$O78*('Prepare Gantt Chart'!$I77*'Prepare Gantt Chart'!$J77),'Prepare Gantt Chart'!AL77=13,'Project types'!$Q78*('Prepare Gantt Chart'!$I77*'Prepare Gantt Chart'!$J77),'Prepare Gantt Chart'!AL77=0,0)</f>
        <v>0</v>
      </c>
      <c r="Z78" s="45">
        <f>_xlfn.IFS('Prepare Gantt Chart'!AM77=14,'Project types'!$O78*('Prepare Gantt Chart'!$I77*'Prepare Gantt Chart'!$J77),'Prepare Gantt Chart'!AM77=13,'Project types'!$Q78*('Prepare Gantt Chart'!$I77*'Prepare Gantt Chart'!$J77),'Prepare Gantt Chart'!AM77=0,0)</f>
        <v>0</v>
      </c>
      <c r="AA78" s="45">
        <f>_xlfn.IFS('Prepare Gantt Chart'!AN77=14,'Project types'!$O78*('Prepare Gantt Chart'!$I77*'Prepare Gantt Chart'!$J77),'Prepare Gantt Chart'!AN77=13,'Project types'!$Q78*('Prepare Gantt Chart'!$I77*'Prepare Gantt Chart'!$J77),'Prepare Gantt Chart'!AN77=0,0)</f>
        <v>0</v>
      </c>
      <c r="AB78" s="45">
        <f>_xlfn.IFS('Prepare Gantt Chart'!AO77=14,'Project types'!$O78*('Prepare Gantt Chart'!$I77*'Prepare Gantt Chart'!$J77),'Prepare Gantt Chart'!AO77=13,'Project types'!$Q78*('Prepare Gantt Chart'!$I77*'Prepare Gantt Chart'!$J77),'Prepare Gantt Chart'!AO77=0,0)</f>
        <v>0</v>
      </c>
      <c r="AC78" s="45">
        <f>'Prepare Gantt Chart'!J77*'Prepare Gantt Chart'!I77*(AD78/26)</f>
        <v>0</v>
      </c>
      <c r="AD78" s="46">
        <f t="shared" si="2"/>
        <v>0</v>
      </c>
      <c r="AE78" s="72">
        <f>IF('Prepare Gantt Chart'!$J77=0,0,SUM(C78:H78)/6/'Prepare Gantt Chart'!$J77)</f>
        <v>0</v>
      </c>
      <c r="AF78" s="72">
        <f>IF('Prepare Gantt Chart'!$J77=0,0,SUM(I78:M78)/5/'Prepare Gantt Chart'!$J77)</f>
        <v>0</v>
      </c>
      <c r="AG78" s="72">
        <f>IF('Prepare Gantt Chart'!$J77=0,0,SUM(N78:R78)/5/'Prepare Gantt Chart'!$J77)</f>
        <v>0</v>
      </c>
      <c r="AH78" s="72">
        <f>IF('Prepare Gantt Chart'!$J77=0,0,SUM(S78:W78)/5/'Prepare Gantt Chart'!$J77)</f>
        <v>0</v>
      </c>
      <c r="AI78" s="72">
        <f>IF('Prepare Gantt Chart'!$J77=0,0,SUM(X78:AB78)/5/'Prepare Gantt Chart'!$J77)</f>
        <v>0</v>
      </c>
      <c r="AK78" s="36" t="s">
        <v>70</v>
      </c>
      <c r="AL78" s="45">
        <f>_xlfn.IFS('Prepare Gantt Chart'!P77=14,'Project types'!$L78*('Prepare Gantt Chart'!$I77*'Prepare Gantt Chart'!$J77),'Prepare Gantt Chart'!P77=13,'Project types'!$L78*('Prepare Gantt Chart'!$I77*'Prepare Gantt Chart'!$J77),'Prepare Gantt Chart'!P77=0,0)</f>
        <v>0</v>
      </c>
      <c r="AM78" s="45">
        <f>_xlfn.IFS('Prepare Gantt Chart'!Q77=14,'Project types'!$L78*('Prepare Gantt Chart'!$I77*'Prepare Gantt Chart'!$J77),'Prepare Gantt Chart'!Q77=13,'Project types'!$L78*('Prepare Gantt Chart'!$I77*'Prepare Gantt Chart'!$J77),'Prepare Gantt Chart'!Q77=0,0)</f>
        <v>0</v>
      </c>
      <c r="AN78" s="45">
        <f>_xlfn.IFS('Prepare Gantt Chart'!R77=14,'Project types'!$L78*('Prepare Gantt Chart'!$I77*'Prepare Gantt Chart'!$J77),'Prepare Gantt Chart'!R77=13,'Project types'!$L78*('Prepare Gantt Chart'!$I77*'Prepare Gantt Chart'!$J77),'Prepare Gantt Chart'!R77=0,0)</f>
        <v>0</v>
      </c>
      <c r="AO78" s="45">
        <f>_xlfn.IFS('Prepare Gantt Chart'!S77=14,'Project types'!$L78*('Prepare Gantt Chart'!$I77*'Prepare Gantt Chart'!$J77),'Prepare Gantt Chart'!S77=13,'Project types'!$L78*('Prepare Gantt Chart'!$I77*'Prepare Gantt Chart'!$J77),'Prepare Gantt Chart'!S77=0,0)</f>
        <v>0</v>
      </c>
      <c r="AP78" s="45">
        <f>_xlfn.IFS('Prepare Gantt Chart'!T77=14,'Project types'!$L78*('Prepare Gantt Chart'!$I77*'Prepare Gantt Chart'!$J77),'Prepare Gantt Chart'!T77=13,'Project types'!$L78*('Prepare Gantt Chart'!$I77*'Prepare Gantt Chart'!$J77),'Prepare Gantt Chart'!T77=0,0)</f>
        <v>0</v>
      </c>
      <c r="AQ78" s="45">
        <f>_xlfn.IFS('Prepare Gantt Chart'!U77=14,'Project types'!$L78*('Prepare Gantt Chart'!$I77*'Prepare Gantt Chart'!$J77),'Prepare Gantt Chart'!U77=13,'Project types'!$L78*('Prepare Gantt Chart'!$I77*'Prepare Gantt Chart'!$J77),'Prepare Gantt Chart'!U77=0,0)</f>
        <v>0</v>
      </c>
      <c r="AR78" s="45">
        <f>_xlfn.IFS('Prepare Gantt Chart'!V77=14,'Project types'!$L78*('Prepare Gantt Chart'!$I77*'Prepare Gantt Chart'!$J77),'Prepare Gantt Chart'!V77=13,'Project types'!$L78*('Prepare Gantt Chart'!$I77*'Prepare Gantt Chart'!$J77),'Prepare Gantt Chart'!V77=0,0)</f>
        <v>0</v>
      </c>
      <c r="AS78" s="45">
        <f>_xlfn.IFS('Prepare Gantt Chart'!W77=14,'Project types'!$L78*('Prepare Gantt Chart'!$I77*'Prepare Gantt Chart'!$J77),'Prepare Gantt Chart'!W77=13,'Project types'!$L78*('Prepare Gantt Chart'!$I77*'Prepare Gantt Chart'!$J77),'Prepare Gantt Chart'!W77=0,0)</f>
        <v>0</v>
      </c>
      <c r="AT78" s="45">
        <f>_xlfn.IFS('Prepare Gantt Chart'!X77=14,'Project types'!$L78*('Prepare Gantt Chart'!$I77*'Prepare Gantt Chart'!$J77),'Prepare Gantt Chart'!X77=13,'Project types'!$L78*('Prepare Gantt Chart'!$I77*'Prepare Gantt Chart'!$J77),'Prepare Gantt Chart'!X77=0,0)</f>
        <v>0</v>
      </c>
      <c r="AU78" s="45">
        <f>_xlfn.IFS('Prepare Gantt Chart'!Y77=14,'Project types'!$L78*('Prepare Gantt Chart'!$I77*'Prepare Gantt Chart'!$J77),'Prepare Gantt Chart'!Y77=13,'Project types'!$L78*('Prepare Gantt Chart'!$I77*'Prepare Gantt Chart'!$J77),'Prepare Gantt Chart'!Y77=0,0)</f>
        <v>0</v>
      </c>
      <c r="AV78" s="45">
        <f>_xlfn.IFS('Prepare Gantt Chart'!Z77=14,'Project types'!$L78*('Prepare Gantt Chart'!$I77*'Prepare Gantt Chart'!$J77),'Prepare Gantt Chart'!Z77=13,'Project types'!$L78*('Prepare Gantt Chart'!$I77*'Prepare Gantt Chart'!$J77),'Prepare Gantt Chart'!Z77=0,0)</f>
        <v>0</v>
      </c>
      <c r="AW78" s="45">
        <f>_xlfn.IFS('Prepare Gantt Chart'!AA77=14,'Project types'!$L78*('Prepare Gantt Chart'!$I77*'Prepare Gantt Chart'!$J77),'Prepare Gantt Chart'!AA77=13,'Project types'!$L78*('Prepare Gantt Chart'!$I77*'Prepare Gantt Chart'!$J77),'Prepare Gantt Chart'!AA77=0,0)</f>
        <v>0</v>
      </c>
      <c r="AX78" s="45">
        <f>_xlfn.IFS('Prepare Gantt Chart'!AB77=14,'Project types'!$L78*('Prepare Gantt Chart'!$I77*'Prepare Gantt Chart'!$J77),'Prepare Gantt Chart'!AB77=13,'Project types'!$L78*('Prepare Gantt Chart'!$I77*'Prepare Gantt Chart'!$J77),'Prepare Gantt Chart'!AB77=0,0)</f>
        <v>0</v>
      </c>
      <c r="AY78" s="45">
        <f>_xlfn.IFS('Prepare Gantt Chart'!AC77=14,'Project types'!$L78*('Prepare Gantt Chart'!$I77*'Prepare Gantt Chart'!$J77),'Prepare Gantt Chart'!AC77=13,'Project types'!$L78*('Prepare Gantt Chart'!$I77*'Prepare Gantt Chart'!$J77),'Prepare Gantt Chart'!AC77=0,0)</f>
        <v>0</v>
      </c>
      <c r="AZ78" s="45">
        <f>_xlfn.IFS('Prepare Gantt Chart'!AD77=14,'Project types'!$L78*('Prepare Gantt Chart'!$I77*'Prepare Gantt Chart'!$J77),'Prepare Gantt Chart'!AD77=13,'Project types'!$L78*('Prepare Gantt Chart'!$I77*'Prepare Gantt Chart'!$J77),'Prepare Gantt Chart'!AD77=0,0)</f>
        <v>0</v>
      </c>
      <c r="BA78" s="45">
        <f>_xlfn.IFS('Prepare Gantt Chart'!AE77=14,'Project types'!$L78*('Prepare Gantt Chart'!$I77*'Prepare Gantt Chart'!$J77),'Prepare Gantt Chart'!AE77=13,'Project types'!$L78*('Prepare Gantt Chart'!$I77*'Prepare Gantt Chart'!$J77),'Prepare Gantt Chart'!AE77=0,0)</f>
        <v>0</v>
      </c>
      <c r="BB78" s="45">
        <f>_xlfn.IFS('Prepare Gantt Chart'!AF77=14,'Project types'!$L78*('Prepare Gantt Chart'!$I77*'Prepare Gantt Chart'!$J77),'Prepare Gantt Chart'!AF77=13,'Project types'!$L78*('Prepare Gantt Chart'!$I77*'Prepare Gantt Chart'!$J77),'Prepare Gantt Chart'!AF77=0,0)</f>
        <v>0</v>
      </c>
      <c r="BC78" s="45">
        <f>_xlfn.IFS('Prepare Gantt Chart'!AG77=14,'Project types'!$L78*('Prepare Gantt Chart'!$I77*'Prepare Gantt Chart'!$J77),'Prepare Gantt Chart'!AG77=13,'Project types'!$L78*('Prepare Gantt Chart'!$I77*'Prepare Gantt Chart'!$J77),'Prepare Gantt Chart'!AG77=0,0)</f>
        <v>0</v>
      </c>
      <c r="BD78" s="45">
        <f>_xlfn.IFS('Prepare Gantt Chart'!AH77=14,'Project types'!$L78*('Prepare Gantt Chart'!$I77*'Prepare Gantt Chart'!$J77),'Prepare Gantt Chart'!AH77=13,'Project types'!$L78*('Prepare Gantt Chart'!$I77*'Prepare Gantt Chart'!$J77),'Prepare Gantt Chart'!AH77=0,0)</f>
        <v>0</v>
      </c>
      <c r="BE78" s="45">
        <f>_xlfn.IFS('Prepare Gantt Chart'!AI77=14,'Project types'!$L78*('Prepare Gantt Chart'!$I77*'Prepare Gantt Chart'!$J77),'Prepare Gantt Chart'!AI77=13,'Project types'!$L78*('Prepare Gantt Chart'!$I77*'Prepare Gantt Chart'!$J77),'Prepare Gantt Chart'!AI77=0,0)</f>
        <v>0</v>
      </c>
      <c r="BF78" s="45">
        <f>_xlfn.IFS('Prepare Gantt Chart'!AJ77=14,'Project types'!$L78*('Prepare Gantt Chart'!$I77*'Prepare Gantt Chart'!$J77),'Prepare Gantt Chart'!AJ77=13,'Project types'!$L78*('Prepare Gantt Chart'!$I77*'Prepare Gantt Chart'!$J77),'Prepare Gantt Chart'!AJ77=0,0)</f>
        <v>0</v>
      </c>
      <c r="BG78" s="45">
        <f>_xlfn.IFS('Prepare Gantt Chart'!AK77=14,'Project types'!$L78*('Prepare Gantt Chart'!$I77*'Prepare Gantt Chart'!$J77),'Prepare Gantt Chart'!AK77=13,'Project types'!$L78*('Prepare Gantt Chart'!$I77*'Prepare Gantt Chart'!$J77),'Prepare Gantt Chart'!AK77=0,0)</f>
        <v>0</v>
      </c>
      <c r="BH78" s="45">
        <f>_xlfn.IFS('Prepare Gantt Chart'!AL77=14,'Project types'!$L78*('Prepare Gantt Chart'!$I77*'Prepare Gantt Chart'!$J77),'Prepare Gantt Chart'!AL77=13,'Project types'!$L78*('Prepare Gantt Chart'!$I77*'Prepare Gantt Chart'!$J77),'Prepare Gantt Chart'!AL77=0,0)</f>
        <v>0</v>
      </c>
      <c r="BI78" s="45">
        <f>_xlfn.IFS('Prepare Gantt Chart'!AM77=14,'Project types'!$L78*('Prepare Gantt Chart'!$I77*'Prepare Gantt Chart'!$J77),'Prepare Gantt Chart'!AM77=13,'Project types'!$L78*('Prepare Gantt Chart'!$I77*'Prepare Gantt Chart'!$J77),'Prepare Gantt Chart'!AM77=0,0)</f>
        <v>0</v>
      </c>
      <c r="BJ78" s="45">
        <f>_xlfn.IFS('Prepare Gantt Chart'!AN77=14,'Project types'!$L78*('Prepare Gantt Chart'!$I77*'Prepare Gantt Chart'!$J77),'Prepare Gantt Chart'!AN77=13,'Project types'!$L78*('Prepare Gantt Chart'!$I77*'Prepare Gantt Chart'!$J77),'Prepare Gantt Chart'!AN77=0,0)</f>
        <v>0</v>
      </c>
      <c r="BK78" s="45">
        <f>_xlfn.IFS('Prepare Gantt Chart'!AO77=14,'Project types'!$L78*('Prepare Gantt Chart'!$I77*'Prepare Gantt Chart'!$J77),'Prepare Gantt Chart'!AO77=13,'Project types'!$L78*('Prepare Gantt Chart'!$I77*'Prepare Gantt Chart'!$J77),'Prepare Gantt Chart'!AO77=0,0)</f>
        <v>0</v>
      </c>
      <c r="BL78" s="46">
        <f t="shared" si="3"/>
        <v>0</v>
      </c>
      <c r="BM78" s="75">
        <f>IF('Prepare Gantt Chart'!$J77=0,0,SUM(AL78:AQ78)/6/'Prepare Gantt Chart'!$J77)</f>
        <v>0</v>
      </c>
      <c r="BN78" s="75">
        <f>IF('Prepare Gantt Chart'!$J77=0,0,SUM(AR78:AV78)/5/'Prepare Gantt Chart'!$J77)</f>
        <v>0</v>
      </c>
      <c r="BO78" s="75">
        <f>IF('Prepare Gantt Chart'!$J77=0,0,SUM(AW78:BA78)/5/'Prepare Gantt Chart'!$J77)</f>
        <v>0</v>
      </c>
      <c r="BP78" s="75">
        <f>IF('Prepare Gantt Chart'!$J77=0,0,SUM(BB78:BF78)/5/'Prepare Gantt Chart'!$J77)</f>
        <v>0</v>
      </c>
      <c r="BQ78" s="75">
        <f>IF('Prepare Gantt Chart'!$J77=0,0,SUM(BG78:BK78)/5/'Prepare Gantt Chart'!$J77)</f>
        <v>0</v>
      </c>
    </row>
    <row r="79" spans="1:69" x14ac:dyDescent="0.2">
      <c r="A79" s="36" t="s">
        <v>71</v>
      </c>
      <c r="B79" s="1" t="s">
        <v>152</v>
      </c>
      <c r="C79" s="45">
        <f>_xlfn.IFS('Prepare Gantt Chart'!P78=14,'Project types'!$O79*('Prepare Gantt Chart'!$I78*'Prepare Gantt Chart'!$J78),'Prepare Gantt Chart'!P78=13,'Project types'!$Q79*('Prepare Gantt Chart'!$I78*'Prepare Gantt Chart'!$J78),'Prepare Gantt Chart'!P78=0,0)</f>
        <v>0</v>
      </c>
      <c r="D79" s="45">
        <f>_xlfn.IFS('Prepare Gantt Chart'!Q78=14,'Project types'!$O79*('Prepare Gantt Chart'!$I78*'Prepare Gantt Chart'!$J78),'Prepare Gantt Chart'!Q78=13,'Project types'!$Q79*('Prepare Gantt Chart'!$I78*'Prepare Gantt Chart'!$J78),'Prepare Gantt Chart'!Q78=0,0)</f>
        <v>0</v>
      </c>
      <c r="E79" s="45">
        <f>_xlfn.IFS('Prepare Gantt Chart'!R78=14,'Project types'!$O79*('Prepare Gantt Chart'!$I78*'Prepare Gantt Chart'!$J78),'Prepare Gantt Chart'!R78=13,'Project types'!$Q79*('Prepare Gantt Chart'!$I78*'Prepare Gantt Chart'!$J78),'Prepare Gantt Chart'!R78=0,0)</f>
        <v>0</v>
      </c>
      <c r="F79" s="45">
        <f>_xlfn.IFS('Prepare Gantt Chart'!S78=14,'Project types'!$O79*('Prepare Gantt Chart'!$I78*'Prepare Gantt Chart'!$J78),'Prepare Gantt Chart'!S78=13,'Project types'!$Q79*('Prepare Gantt Chart'!$I78*'Prepare Gantt Chart'!$J78),'Prepare Gantt Chart'!S78=0,0)</f>
        <v>0</v>
      </c>
      <c r="G79" s="45">
        <f>_xlfn.IFS('Prepare Gantt Chart'!T78=14,'Project types'!$O79*('Prepare Gantt Chart'!$I78*'Prepare Gantt Chart'!$J78),'Prepare Gantt Chart'!T78=13,'Project types'!$Q79*('Prepare Gantt Chart'!$I78*'Prepare Gantt Chart'!$J78),'Prepare Gantt Chart'!T78=0,0)</f>
        <v>0</v>
      </c>
      <c r="H79" s="45">
        <f>_xlfn.IFS('Prepare Gantt Chart'!U78=14,'Project types'!$O79*('Prepare Gantt Chart'!$I78*'Prepare Gantt Chart'!$J78),'Prepare Gantt Chart'!U78=13,'Project types'!$Q79*('Prepare Gantt Chart'!$I78*'Prepare Gantt Chart'!$J78),'Prepare Gantt Chart'!U78=0,0)</f>
        <v>0</v>
      </c>
      <c r="I79" s="45">
        <f>_xlfn.IFS('Prepare Gantt Chart'!V78=14,'Project types'!$O79*('Prepare Gantt Chart'!$I78*'Prepare Gantt Chart'!$J78),'Prepare Gantt Chart'!V78=13,'Project types'!$Q79*('Prepare Gantt Chart'!$I78*'Prepare Gantt Chart'!$J78),'Prepare Gantt Chart'!V78=0,0)</f>
        <v>0</v>
      </c>
      <c r="J79" s="45">
        <f>_xlfn.IFS('Prepare Gantt Chart'!W78=14,'Project types'!$O79*('Prepare Gantt Chart'!$I78*'Prepare Gantt Chart'!$J78),'Prepare Gantt Chart'!W78=13,'Project types'!$Q79*('Prepare Gantt Chart'!$I78*'Prepare Gantt Chart'!$J78),'Prepare Gantt Chart'!W78=0,0)</f>
        <v>0</v>
      </c>
      <c r="K79" s="45">
        <f>_xlfn.IFS('Prepare Gantt Chart'!X78=14,'Project types'!$O79*('Prepare Gantt Chart'!$I78*'Prepare Gantt Chart'!$J78),'Prepare Gantt Chart'!X78=13,'Project types'!$Q79*('Prepare Gantt Chart'!$I78*'Prepare Gantt Chart'!$J78),'Prepare Gantt Chart'!X78=0,0)</f>
        <v>0</v>
      </c>
      <c r="L79" s="45">
        <f>_xlfn.IFS('Prepare Gantt Chart'!Y78=14,'Project types'!$O79*('Prepare Gantt Chart'!$I78*'Prepare Gantt Chart'!$J78),'Prepare Gantt Chart'!Y78=13,'Project types'!$Q79*('Prepare Gantt Chart'!$I78*'Prepare Gantt Chart'!$J78),'Prepare Gantt Chart'!Y78=0,0)</f>
        <v>0</v>
      </c>
      <c r="M79" s="45">
        <f>_xlfn.IFS('Prepare Gantt Chart'!Z78=14,'Project types'!$O79*('Prepare Gantt Chart'!$I78*'Prepare Gantt Chart'!$J78),'Prepare Gantt Chart'!Z78=13,'Project types'!$Q79*('Prepare Gantt Chart'!$I78*'Prepare Gantt Chart'!$J78),'Prepare Gantt Chart'!Z78=0,0)</f>
        <v>0</v>
      </c>
      <c r="N79" s="45">
        <f>_xlfn.IFS('Prepare Gantt Chart'!AA78=14,'Project types'!$O79*('Prepare Gantt Chart'!$I78*'Prepare Gantt Chart'!$J78),'Prepare Gantt Chart'!AA78=13,'Project types'!$Q79*('Prepare Gantt Chart'!$I78*'Prepare Gantt Chart'!$J78),'Prepare Gantt Chart'!AA78=0,0)</f>
        <v>0</v>
      </c>
      <c r="O79" s="45">
        <f>_xlfn.IFS('Prepare Gantt Chart'!AB78=14,'Project types'!$O79*('Prepare Gantt Chart'!$I78*'Prepare Gantt Chart'!$J78),'Prepare Gantt Chart'!AB78=13,'Project types'!$Q79*('Prepare Gantt Chart'!$I78*'Prepare Gantt Chart'!$J78),'Prepare Gantt Chart'!AB78=0,0)</f>
        <v>0</v>
      </c>
      <c r="P79" s="45">
        <f>_xlfn.IFS('Prepare Gantt Chart'!AC78=14,'Project types'!$O79*('Prepare Gantt Chart'!$I78*'Prepare Gantt Chart'!$J78),'Prepare Gantt Chart'!AC78=13,'Project types'!$Q79*('Prepare Gantt Chart'!$I78*'Prepare Gantt Chart'!$J78),'Prepare Gantt Chart'!AC78=0,0)</f>
        <v>0</v>
      </c>
      <c r="Q79" s="45">
        <f>_xlfn.IFS('Prepare Gantt Chart'!AD78=14,'Project types'!$O79*('Prepare Gantt Chart'!$I78*'Prepare Gantt Chart'!$J78),'Prepare Gantt Chart'!AD78=13,'Project types'!$Q79*('Prepare Gantt Chart'!$I78*'Prepare Gantt Chart'!$J78),'Prepare Gantt Chart'!AD78=0,0)</f>
        <v>0</v>
      </c>
      <c r="R79" s="45">
        <f>_xlfn.IFS('Prepare Gantt Chart'!AE78=14,'Project types'!$O79*('Prepare Gantt Chart'!$I78*'Prepare Gantt Chart'!$J78),'Prepare Gantt Chart'!AE78=13,'Project types'!$Q79*('Prepare Gantt Chart'!$I78*'Prepare Gantt Chart'!$J78),'Prepare Gantt Chart'!AE78=0,0)</f>
        <v>0</v>
      </c>
      <c r="S79" s="45">
        <f>_xlfn.IFS('Prepare Gantt Chart'!AF78=14,'Project types'!$O79*('Prepare Gantt Chart'!$I78*'Prepare Gantt Chart'!$J78),'Prepare Gantt Chart'!AF78=13,'Project types'!$Q79*('Prepare Gantt Chart'!$I78*'Prepare Gantt Chart'!$J78),'Prepare Gantt Chart'!AF78=0,0)</f>
        <v>0</v>
      </c>
      <c r="T79" s="45">
        <f>_xlfn.IFS('Prepare Gantt Chart'!AG78=14,'Project types'!$O79*('Prepare Gantt Chart'!$I78*'Prepare Gantt Chart'!$J78),'Prepare Gantt Chart'!AG78=13,'Project types'!$Q79*('Prepare Gantt Chart'!$I78*'Prepare Gantt Chart'!$J78),'Prepare Gantt Chart'!AG78=0,0)</f>
        <v>0</v>
      </c>
      <c r="U79" s="45">
        <f>_xlfn.IFS('Prepare Gantt Chart'!AH78=14,'Project types'!$O79*('Prepare Gantt Chart'!$I78*'Prepare Gantt Chart'!$J78),'Prepare Gantt Chart'!AH78=13,'Project types'!$Q79*('Prepare Gantt Chart'!$I78*'Prepare Gantt Chart'!$J78),'Prepare Gantt Chart'!AH78=0,0)</f>
        <v>0</v>
      </c>
      <c r="V79" s="45">
        <f>_xlfn.IFS('Prepare Gantt Chart'!AI78=14,'Project types'!$O79*('Prepare Gantt Chart'!$I78*'Prepare Gantt Chart'!$J78),'Prepare Gantt Chart'!AI78=13,'Project types'!$Q79*('Prepare Gantt Chart'!$I78*'Prepare Gantt Chart'!$J78),'Prepare Gantt Chart'!AI78=0,0)</f>
        <v>0</v>
      </c>
      <c r="W79" s="45">
        <f>_xlfn.IFS('Prepare Gantt Chart'!AJ78=14,'Project types'!$O79*('Prepare Gantt Chart'!$I78*'Prepare Gantt Chart'!$J78),'Prepare Gantt Chart'!AJ78=13,'Project types'!$Q79*('Prepare Gantt Chart'!$I78*'Prepare Gantt Chart'!$J78),'Prepare Gantt Chart'!AJ78=0,0)</f>
        <v>0</v>
      </c>
      <c r="X79" s="45">
        <f>_xlfn.IFS('Prepare Gantt Chart'!AK78=14,'Project types'!$O79*('Prepare Gantt Chart'!$I78*'Prepare Gantt Chart'!$J78),'Prepare Gantt Chart'!AK78=13,'Project types'!$Q79*('Prepare Gantt Chart'!$I78*'Prepare Gantt Chart'!$J78),'Prepare Gantt Chart'!AK78=0,0)</f>
        <v>0</v>
      </c>
      <c r="Y79" s="45">
        <f>_xlfn.IFS('Prepare Gantt Chart'!AL78=14,'Project types'!$O79*('Prepare Gantt Chart'!$I78*'Prepare Gantt Chart'!$J78),'Prepare Gantt Chart'!AL78=13,'Project types'!$Q79*('Prepare Gantt Chart'!$I78*'Prepare Gantt Chart'!$J78),'Prepare Gantt Chart'!AL78=0,0)</f>
        <v>0</v>
      </c>
      <c r="Z79" s="45">
        <f>_xlfn.IFS('Prepare Gantt Chart'!AM78=14,'Project types'!$O79*('Prepare Gantt Chart'!$I78*'Prepare Gantt Chart'!$J78),'Prepare Gantt Chart'!AM78=13,'Project types'!$Q79*('Prepare Gantt Chart'!$I78*'Prepare Gantt Chart'!$J78),'Prepare Gantt Chart'!AM78=0,0)</f>
        <v>0</v>
      </c>
      <c r="AA79" s="45">
        <f>_xlfn.IFS('Prepare Gantt Chart'!AN78=14,'Project types'!$O79*('Prepare Gantt Chart'!$I78*'Prepare Gantt Chart'!$J78),'Prepare Gantt Chart'!AN78=13,'Project types'!$Q79*('Prepare Gantt Chart'!$I78*'Prepare Gantt Chart'!$J78),'Prepare Gantt Chart'!AN78=0,0)</f>
        <v>0</v>
      </c>
      <c r="AB79" s="45">
        <f>_xlfn.IFS('Prepare Gantt Chart'!AO78=14,'Project types'!$O79*('Prepare Gantt Chart'!$I78*'Prepare Gantt Chart'!$J78),'Prepare Gantt Chart'!AO78=13,'Project types'!$Q79*('Prepare Gantt Chart'!$I78*'Prepare Gantt Chart'!$J78),'Prepare Gantt Chart'!AO78=0,0)</f>
        <v>0</v>
      </c>
      <c r="AC79" s="45">
        <f>'Prepare Gantt Chart'!J78*'Prepare Gantt Chart'!I78*(AD79/26)</f>
        <v>0</v>
      </c>
      <c r="AD79" s="46">
        <f t="shared" si="2"/>
        <v>0</v>
      </c>
      <c r="AE79" s="72">
        <f>IF('Prepare Gantt Chart'!$J78=0,0,SUM(C79:H79)/6/'Prepare Gantt Chart'!$J78)</f>
        <v>0</v>
      </c>
      <c r="AF79" s="72">
        <f>IF('Prepare Gantt Chart'!$J78=0,0,SUM(I79:M79)/5/'Prepare Gantt Chart'!$J78)</f>
        <v>0</v>
      </c>
      <c r="AG79" s="72">
        <f>IF('Prepare Gantt Chart'!$J78=0,0,SUM(N79:R79)/5/'Prepare Gantt Chart'!$J78)</f>
        <v>0</v>
      </c>
      <c r="AH79" s="72">
        <f>IF('Prepare Gantt Chart'!$J78=0,0,SUM(S79:W79)/5/'Prepare Gantt Chart'!$J78)</f>
        <v>0</v>
      </c>
      <c r="AI79" s="72">
        <f>IF('Prepare Gantt Chart'!$J78=0,0,SUM(X79:AB79)/5/'Prepare Gantt Chart'!$J78)</f>
        <v>0</v>
      </c>
      <c r="AK79" s="36" t="s">
        <v>71</v>
      </c>
      <c r="AL79" s="45">
        <f>_xlfn.IFS('Prepare Gantt Chart'!P78=14,'Project types'!$L79*('Prepare Gantt Chart'!$I78*'Prepare Gantt Chart'!$J78),'Prepare Gantt Chart'!P78=13,'Project types'!$L79*('Prepare Gantt Chart'!$I78*'Prepare Gantt Chart'!$J78),'Prepare Gantt Chart'!P78=0,0)</f>
        <v>0</v>
      </c>
      <c r="AM79" s="45">
        <f>_xlfn.IFS('Prepare Gantt Chart'!Q78=14,'Project types'!$L79*('Prepare Gantt Chart'!$I78*'Prepare Gantt Chart'!$J78),'Prepare Gantt Chart'!Q78=13,'Project types'!$L79*('Prepare Gantt Chart'!$I78*'Prepare Gantt Chart'!$J78),'Prepare Gantt Chart'!Q78=0,0)</f>
        <v>0</v>
      </c>
      <c r="AN79" s="45">
        <f>_xlfn.IFS('Prepare Gantt Chart'!R78=14,'Project types'!$L79*('Prepare Gantt Chart'!$I78*'Prepare Gantt Chart'!$J78),'Prepare Gantt Chart'!R78=13,'Project types'!$L79*('Prepare Gantt Chart'!$I78*'Prepare Gantt Chart'!$J78),'Prepare Gantt Chart'!R78=0,0)</f>
        <v>0</v>
      </c>
      <c r="AO79" s="45">
        <f>_xlfn.IFS('Prepare Gantt Chart'!S78=14,'Project types'!$L79*('Prepare Gantt Chart'!$I78*'Prepare Gantt Chart'!$J78),'Prepare Gantt Chart'!S78=13,'Project types'!$L79*('Prepare Gantt Chart'!$I78*'Prepare Gantt Chart'!$J78),'Prepare Gantt Chart'!S78=0,0)</f>
        <v>0</v>
      </c>
      <c r="AP79" s="45">
        <f>_xlfn.IFS('Prepare Gantt Chart'!T78=14,'Project types'!$L79*('Prepare Gantt Chart'!$I78*'Prepare Gantt Chart'!$J78),'Prepare Gantt Chart'!T78=13,'Project types'!$L79*('Prepare Gantt Chart'!$I78*'Prepare Gantt Chart'!$J78),'Prepare Gantt Chart'!T78=0,0)</f>
        <v>0</v>
      </c>
      <c r="AQ79" s="45">
        <f>_xlfn.IFS('Prepare Gantt Chart'!U78=14,'Project types'!$L79*('Prepare Gantt Chart'!$I78*'Prepare Gantt Chart'!$J78),'Prepare Gantt Chart'!U78=13,'Project types'!$L79*('Prepare Gantt Chart'!$I78*'Prepare Gantt Chart'!$J78),'Prepare Gantt Chart'!U78=0,0)</f>
        <v>0</v>
      </c>
      <c r="AR79" s="45">
        <f>_xlfn.IFS('Prepare Gantt Chart'!V78=14,'Project types'!$L79*('Prepare Gantt Chart'!$I78*'Prepare Gantt Chart'!$J78),'Prepare Gantt Chart'!V78=13,'Project types'!$L79*('Prepare Gantt Chart'!$I78*'Prepare Gantt Chart'!$J78),'Prepare Gantt Chart'!V78=0,0)</f>
        <v>0</v>
      </c>
      <c r="AS79" s="45">
        <f>_xlfn.IFS('Prepare Gantt Chart'!W78=14,'Project types'!$L79*('Prepare Gantt Chart'!$I78*'Prepare Gantt Chart'!$J78),'Prepare Gantt Chart'!W78=13,'Project types'!$L79*('Prepare Gantt Chart'!$I78*'Prepare Gantt Chart'!$J78),'Prepare Gantt Chart'!W78=0,0)</f>
        <v>0</v>
      </c>
      <c r="AT79" s="45">
        <f>_xlfn.IFS('Prepare Gantt Chart'!X78=14,'Project types'!$L79*('Prepare Gantt Chart'!$I78*'Prepare Gantt Chart'!$J78),'Prepare Gantt Chart'!X78=13,'Project types'!$L79*('Prepare Gantt Chart'!$I78*'Prepare Gantt Chart'!$J78),'Prepare Gantt Chart'!X78=0,0)</f>
        <v>0</v>
      </c>
      <c r="AU79" s="45">
        <f>_xlfn.IFS('Prepare Gantt Chart'!Y78=14,'Project types'!$L79*('Prepare Gantt Chart'!$I78*'Prepare Gantt Chart'!$J78),'Prepare Gantt Chart'!Y78=13,'Project types'!$L79*('Prepare Gantt Chart'!$I78*'Prepare Gantt Chart'!$J78),'Prepare Gantt Chart'!Y78=0,0)</f>
        <v>0</v>
      </c>
      <c r="AV79" s="45">
        <f>_xlfn.IFS('Prepare Gantt Chart'!Z78=14,'Project types'!$L79*('Prepare Gantt Chart'!$I78*'Prepare Gantt Chart'!$J78),'Prepare Gantt Chart'!Z78=13,'Project types'!$L79*('Prepare Gantt Chart'!$I78*'Prepare Gantt Chart'!$J78),'Prepare Gantt Chart'!Z78=0,0)</f>
        <v>0</v>
      </c>
      <c r="AW79" s="45">
        <f>_xlfn.IFS('Prepare Gantt Chart'!AA78=14,'Project types'!$L79*('Prepare Gantt Chart'!$I78*'Prepare Gantt Chart'!$J78),'Prepare Gantt Chart'!AA78=13,'Project types'!$L79*('Prepare Gantt Chart'!$I78*'Prepare Gantt Chart'!$J78),'Prepare Gantt Chart'!AA78=0,0)</f>
        <v>0</v>
      </c>
      <c r="AX79" s="45">
        <f>_xlfn.IFS('Prepare Gantt Chart'!AB78=14,'Project types'!$L79*('Prepare Gantt Chart'!$I78*'Prepare Gantt Chart'!$J78),'Prepare Gantt Chart'!AB78=13,'Project types'!$L79*('Prepare Gantt Chart'!$I78*'Prepare Gantt Chart'!$J78),'Prepare Gantt Chart'!AB78=0,0)</f>
        <v>0</v>
      </c>
      <c r="AY79" s="45">
        <f>_xlfn.IFS('Prepare Gantt Chart'!AC78=14,'Project types'!$L79*('Prepare Gantt Chart'!$I78*'Prepare Gantt Chart'!$J78),'Prepare Gantt Chart'!AC78=13,'Project types'!$L79*('Prepare Gantt Chart'!$I78*'Prepare Gantt Chart'!$J78),'Prepare Gantt Chart'!AC78=0,0)</f>
        <v>0</v>
      </c>
      <c r="AZ79" s="45">
        <f>_xlfn.IFS('Prepare Gantt Chart'!AD78=14,'Project types'!$L79*('Prepare Gantt Chart'!$I78*'Prepare Gantt Chart'!$J78),'Prepare Gantt Chart'!AD78=13,'Project types'!$L79*('Prepare Gantt Chart'!$I78*'Prepare Gantt Chart'!$J78),'Prepare Gantt Chart'!AD78=0,0)</f>
        <v>0</v>
      </c>
      <c r="BA79" s="45">
        <f>_xlfn.IFS('Prepare Gantt Chart'!AE78=14,'Project types'!$L79*('Prepare Gantt Chart'!$I78*'Prepare Gantt Chart'!$J78),'Prepare Gantt Chart'!AE78=13,'Project types'!$L79*('Prepare Gantt Chart'!$I78*'Prepare Gantt Chart'!$J78),'Prepare Gantt Chart'!AE78=0,0)</f>
        <v>0</v>
      </c>
      <c r="BB79" s="45">
        <f>_xlfn.IFS('Prepare Gantt Chart'!AF78=14,'Project types'!$L79*('Prepare Gantt Chart'!$I78*'Prepare Gantt Chart'!$J78),'Prepare Gantt Chart'!AF78=13,'Project types'!$L79*('Prepare Gantt Chart'!$I78*'Prepare Gantt Chart'!$J78),'Prepare Gantt Chart'!AF78=0,0)</f>
        <v>0</v>
      </c>
      <c r="BC79" s="45">
        <f>_xlfn.IFS('Prepare Gantt Chart'!AG78=14,'Project types'!$L79*('Prepare Gantt Chart'!$I78*'Prepare Gantt Chart'!$J78),'Prepare Gantt Chart'!AG78=13,'Project types'!$L79*('Prepare Gantt Chart'!$I78*'Prepare Gantt Chart'!$J78),'Prepare Gantt Chart'!AG78=0,0)</f>
        <v>0</v>
      </c>
      <c r="BD79" s="45">
        <f>_xlfn.IFS('Prepare Gantt Chart'!AH78=14,'Project types'!$L79*('Prepare Gantt Chart'!$I78*'Prepare Gantt Chart'!$J78),'Prepare Gantt Chart'!AH78=13,'Project types'!$L79*('Prepare Gantt Chart'!$I78*'Prepare Gantt Chart'!$J78),'Prepare Gantt Chart'!AH78=0,0)</f>
        <v>0</v>
      </c>
      <c r="BE79" s="45">
        <f>_xlfn.IFS('Prepare Gantt Chart'!AI78=14,'Project types'!$L79*('Prepare Gantt Chart'!$I78*'Prepare Gantt Chart'!$J78),'Prepare Gantt Chart'!AI78=13,'Project types'!$L79*('Prepare Gantt Chart'!$I78*'Prepare Gantt Chart'!$J78),'Prepare Gantt Chart'!AI78=0,0)</f>
        <v>0</v>
      </c>
      <c r="BF79" s="45">
        <f>_xlfn.IFS('Prepare Gantt Chart'!AJ78=14,'Project types'!$L79*('Prepare Gantt Chart'!$I78*'Prepare Gantt Chart'!$J78),'Prepare Gantt Chart'!AJ78=13,'Project types'!$L79*('Prepare Gantt Chart'!$I78*'Prepare Gantt Chart'!$J78),'Prepare Gantt Chart'!AJ78=0,0)</f>
        <v>0</v>
      </c>
      <c r="BG79" s="45">
        <f>_xlfn.IFS('Prepare Gantt Chart'!AK78=14,'Project types'!$L79*('Prepare Gantt Chart'!$I78*'Prepare Gantt Chart'!$J78),'Prepare Gantt Chart'!AK78=13,'Project types'!$L79*('Prepare Gantt Chart'!$I78*'Prepare Gantt Chart'!$J78),'Prepare Gantt Chart'!AK78=0,0)</f>
        <v>0</v>
      </c>
      <c r="BH79" s="45">
        <f>_xlfn.IFS('Prepare Gantt Chart'!AL78=14,'Project types'!$L79*('Prepare Gantt Chart'!$I78*'Prepare Gantt Chart'!$J78),'Prepare Gantt Chart'!AL78=13,'Project types'!$L79*('Prepare Gantt Chart'!$I78*'Prepare Gantt Chart'!$J78),'Prepare Gantt Chart'!AL78=0,0)</f>
        <v>0</v>
      </c>
      <c r="BI79" s="45">
        <f>_xlfn.IFS('Prepare Gantt Chart'!AM78=14,'Project types'!$L79*('Prepare Gantt Chart'!$I78*'Prepare Gantt Chart'!$J78),'Prepare Gantt Chart'!AM78=13,'Project types'!$L79*('Prepare Gantt Chart'!$I78*'Prepare Gantt Chart'!$J78),'Prepare Gantt Chart'!AM78=0,0)</f>
        <v>0</v>
      </c>
      <c r="BJ79" s="45">
        <f>_xlfn.IFS('Prepare Gantt Chart'!AN78=14,'Project types'!$L79*('Prepare Gantt Chart'!$I78*'Prepare Gantt Chart'!$J78),'Prepare Gantt Chart'!AN78=13,'Project types'!$L79*('Prepare Gantt Chart'!$I78*'Prepare Gantt Chart'!$J78),'Prepare Gantt Chart'!AN78=0,0)</f>
        <v>0</v>
      </c>
      <c r="BK79" s="45">
        <f>_xlfn.IFS('Prepare Gantt Chart'!AO78=14,'Project types'!$L79*('Prepare Gantt Chart'!$I78*'Prepare Gantt Chart'!$J78),'Prepare Gantt Chart'!AO78=13,'Project types'!$L79*('Prepare Gantt Chart'!$I78*'Prepare Gantt Chart'!$J78),'Prepare Gantt Chart'!AO78=0,0)</f>
        <v>0</v>
      </c>
      <c r="BL79" s="46">
        <f t="shared" si="3"/>
        <v>0</v>
      </c>
      <c r="BM79" s="75">
        <f>IF('Prepare Gantt Chart'!$J78=0,0,SUM(AL79:AQ79)/6/'Prepare Gantt Chart'!$J78)</f>
        <v>0</v>
      </c>
      <c r="BN79" s="75">
        <f>IF('Prepare Gantt Chart'!$J78=0,0,SUM(AR79:AV79)/5/'Prepare Gantt Chart'!$J78)</f>
        <v>0</v>
      </c>
      <c r="BO79" s="75">
        <f>IF('Prepare Gantt Chart'!$J78=0,0,SUM(AW79:BA79)/5/'Prepare Gantt Chart'!$J78)</f>
        <v>0</v>
      </c>
      <c r="BP79" s="75">
        <f>IF('Prepare Gantt Chart'!$J78=0,0,SUM(BB79:BF79)/5/'Prepare Gantt Chart'!$J78)</f>
        <v>0</v>
      </c>
      <c r="BQ79" s="75">
        <f>IF('Prepare Gantt Chart'!$J78=0,0,SUM(BG79:BK79)/5/'Prepare Gantt Chart'!$J78)</f>
        <v>0</v>
      </c>
    </row>
    <row r="80" spans="1:69" x14ac:dyDescent="0.2">
      <c r="A80" s="36" t="s">
        <v>72</v>
      </c>
      <c r="B80" s="1" t="s">
        <v>413</v>
      </c>
      <c r="C80" s="45">
        <f>_xlfn.IFS('Prepare Gantt Chart'!P79=14,'Project types'!$O80*('Prepare Gantt Chart'!$I79*'Prepare Gantt Chart'!$J79),'Prepare Gantt Chart'!P79=13,'Project types'!$Q80*('Prepare Gantt Chart'!$I79*'Prepare Gantt Chart'!$J79),'Prepare Gantt Chart'!P79=0,0)</f>
        <v>0</v>
      </c>
      <c r="D80" s="45">
        <f>_xlfn.IFS('Prepare Gantt Chart'!Q79=14,'Project types'!$O80*('Prepare Gantt Chart'!$I79*'Prepare Gantt Chart'!$J79),'Prepare Gantt Chart'!Q79=13,'Project types'!$Q80*('Prepare Gantt Chart'!$I79*'Prepare Gantt Chart'!$J79),'Prepare Gantt Chart'!Q79=0,0)</f>
        <v>0</v>
      </c>
      <c r="E80" s="45">
        <f>_xlfn.IFS('Prepare Gantt Chart'!R79=14,'Project types'!$O80*('Prepare Gantt Chart'!$I79*'Prepare Gantt Chart'!$J79),'Prepare Gantt Chart'!R79=13,'Project types'!$Q80*('Prepare Gantt Chart'!$I79*'Prepare Gantt Chart'!$J79),'Prepare Gantt Chart'!R79=0,0)</f>
        <v>0</v>
      </c>
      <c r="F80" s="45">
        <f>_xlfn.IFS('Prepare Gantt Chart'!S79=14,'Project types'!$O80*('Prepare Gantt Chart'!$I79*'Prepare Gantt Chart'!$J79),'Prepare Gantt Chart'!S79=13,'Project types'!$Q80*('Prepare Gantt Chart'!$I79*'Prepare Gantt Chart'!$J79),'Prepare Gantt Chart'!S79=0,0)</f>
        <v>0</v>
      </c>
      <c r="G80" s="45">
        <f>_xlfn.IFS('Prepare Gantt Chart'!T79=14,'Project types'!$O80*('Prepare Gantt Chart'!$I79*'Prepare Gantt Chart'!$J79),'Prepare Gantt Chart'!T79=13,'Project types'!$Q80*('Prepare Gantt Chart'!$I79*'Prepare Gantt Chart'!$J79),'Prepare Gantt Chart'!T79=0,0)</f>
        <v>0</v>
      </c>
      <c r="H80" s="45">
        <f>_xlfn.IFS('Prepare Gantt Chart'!U79=14,'Project types'!$O80*('Prepare Gantt Chart'!$I79*'Prepare Gantt Chart'!$J79),'Prepare Gantt Chart'!U79=13,'Project types'!$Q80*('Prepare Gantt Chart'!$I79*'Prepare Gantt Chart'!$J79),'Prepare Gantt Chart'!U79=0,0)</f>
        <v>0</v>
      </c>
      <c r="I80" s="45">
        <f>_xlfn.IFS('Prepare Gantt Chart'!V79=14,'Project types'!$O80*('Prepare Gantt Chart'!$I79*'Prepare Gantt Chart'!$J79),'Prepare Gantt Chart'!V79=13,'Project types'!$Q80*('Prepare Gantt Chart'!$I79*'Prepare Gantt Chart'!$J79),'Prepare Gantt Chart'!V79=0,0)</f>
        <v>0</v>
      </c>
      <c r="J80" s="45">
        <f>_xlfn.IFS('Prepare Gantt Chart'!W79=14,'Project types'!$O80*('Prepare Gantt Chart'!$I79*'Prepare Gantt Chart'!$J79),'Prepare Gantt Chart'!W79=13,'Project types'!$Q80*('Prepare Gantt Chart'!$I79*'Prepare Gantt Chart'!$J79),'Prepare Gantt Chart'!W79=0,0)</f>
        <v>0</v>
      </c>
      <c r="K80" s="45">
        <f>_xlfn.IFS('Prepare Gantt Chart'!X79=14,'Project types'!$O80*('Prepare Gantt Chart'!$I79*'Prepare Gantt Chart'!$J79),'Prepare Gantt Chart'!X79=13,'Project types'!$Q80*('Prepare Gantt Chart'!$I79*'Prepare Gantt Chart'!$J79),'Prepare Gantt Chart'!X79=0,0)</f>
        <v>0</v>
      </c>
      <c r="L80" s="45">
        <f>_xlfn.IFS('Prepare Gantt Chart'!Y79=14,'Project types'!$O80*('Prepare Gantt Chart'!$I79*'Prepare Gantt Chart'!$J79),'Prepare Gantt Chart'!Y79=13,'Project types'!$Q80*('Prepare Gantt Chart'!$I79*'Prepare Gantt Chart'!$J79),'Prepare Gantt Chart'!Y79=0,0)</f>
        <v>0</v>
      </c>
      <c r="M80" s="45">
        <f>_xlfn.IFS('Prepare Gantt Chart'!Z79=14,'Project types'!$O80*('Prepare Gantt Chart'!$I79*'Prepare Gantt Chart'!$J79),'Prepare Gantt Chart'!Z79=13,'Project types'!$Q80*('Prepare Gantt Chart'!$I79*'Prepare Gantt Chart'!$J79),'Prepare Gantt Chart'!Z79=0,0)</f>
        <v>0</v>
      </c>
      <c r="N80" s="45">
        <f>_xlfn.IFS('Prepare Gantt Chart'!AA79=14,'Project types'!$O80*('Prepare Gantt Chart'!$I79*'Prepare Gantt Chart'!$J79),'Prepare Gantt Chart'!AA79=13,'Project types'!$Q80*('Prepare Gantt Chart'!$I79*'Prepare Gantt Chart'!$J79),'Prepare Gantt Chart'!AA79=0,0)</f>
        <v>0</v>
      </c>
      <c r="O80" s="45">
        <f>_xlfn.IFS('Prepare Gantt Chart'!AB79=14,'Project types'!$O80*('Prepare Gantt Chart'!$I79*'Prepare Gantt Chart'!$J79),'Prepare Gantt Chart'!AB79=13,'Project types'!$Q80*('Prepare Gantt Chart'!$I79*'Prepare Gantt Chart'!$J79),'Prepare Gantt Chart'!AB79=0,0)</f>
        <v>0</v>
      </c>
      <c r="P80" s="45">
        <f>_xlfn.IFS('Prepare Gantt Chart'!AC79=14,'Project types'!$O80*('Prepare Gantt Chart'!$I79*'Prepare Gantt Chart'!$J79),'Prepare Gantt Chart'!AC79=13,'Project types'!$Q80*('Prepare Gantt Chart'!$I79*'Prepare Gantt Chart'!$J79),'Prepare Gantt Chart'!AC79=0,0)</f>
        <v>0</v>
      </c>
      <c r="Q80" s="45">
        <f>_xlfn.IFS('Prepare Gantt Chart'!AD79=14,'Project types'!$O80*('Prepare Gantt Chart'!$I79*'Prepare Gantt Chart'!$J79),'Prepare Gantt Chart'!AD79=13,'Project types'!$Q80*('Prepare Gantt Chart'!$I79*'Prepare Gantt Chart'!$J79),'Prepare Gantt Chart'!AD79=0,0)</f>
        <v>0</v>
      </c>
      <c r="R80" s="45">
        <f>_xlfn.IFS('Prepare Gantt Chart'!AE79=14,'Project types'!$O80*('Prepare Gantt Chart'!$I79*'Prepare Gantt Chart'!$J79),'Prepare Gantt Chart'!AE79=13,'Project types'!$Q80*('Prepare Gantt Chart'!$I79*'Prepare Gantt Chart'!$J79),'Prepare Gantt Chart'!AE79=0,0)</f>
        <v>0</v>
      </c>
      <c r="S80" s="45">
        <f>_xlfn.IFS('Prepare Gantt Chart'!AF79=14,'Project types'!$O80*('Prepare Gantt Chart'!$I79*'Prepare Gantt Chart'!$J79),'Prepare Gantt Chart'!AF79=13,'Project types'!$Q80*('Prepare Gantt Chart'!$I79*'Prepare Gantt Chart'!$J79),'Prepare Gantt Chart'!AF79=0,0)</f>
        <v>0</v>
      </c>
      <c r="T80" s="45">
        <f>_xlfn.IFS('Prepare Gantt Chart'!AG79=14,'Project types'!$O80*('Prepare Gantt Chart'!$I79*'Prepare Gantt Chart'!$J79),'Prepare Gantt Chart'!AG79=13,'Project types'!$Q80*('Prepare Gantt Chart'!$I79*'Prepare Gantt Chart'!$J79),'Prepare Gantt Chart'!AG79=0,0)</f>
        <v>0</v>
      </c>
      <c r="U80" s="45">
        <f>_xlfn.IFS('Prepare Gantt Chart'!AH79=14,'Project types'!$O80*('Prepare Gantt Chart'!$I79*'Prepare Gantt Chart'!$J79),'Prepare Gantt Chart'!AH79=13,'Project types'!$Q80*('Prepare Gantt Chart'!$I79*'Prepare Gantt Chart'!$J79),'Prepare Gantt Chart'!AH79=0,0)</f>
        <v>0</v>
      </c>
      <c r="V80" s="45">
        <f>_xlfn.IFS('Prepare Gantt Chart'!AI79=14,'Project types'!$O80*('Prepare Gantt Chart'!$I79*'Prepare Gantt Chart'!$J79),'Prepare Gantt Chart'!AI79=13,'Project types'!$Q80*('Prepare Gantt Chart'!$I79*'Prepare Gantt Chart'!$J79),'Prepare Gantt Chart'!AI79=0,0)</f>
        <v>0</v>
      </c>
      <c r="W80" s="45">
        <f>_xlfn.IFS('Prepare Gantt Chart'!AJ79=14,'Project types'!$O80*('Prepare Gantt Chart'!$I79*'Prepare Gantt Chart'!$J79),'Prepare Gantt Chart'!AJ79=13,'Project types'!$Q80*('Prepare Gantt Chart'!$I79*'Prepare Gantt Chart'!$J79),'Prepare Gantt Chart'!AJ79=0,0)</f>
        <v>0</v>
      </c>
      <c r="X80" s="45">
        <f>_xlfn.IFS('Prepare Gantt Chart'!AK79=14,'Project types'!$O80*('Prepare Gantt Chart'!$I79*'Prepare Gantt Chart'!$J79),'Prepare Gantt Chart'!AK79=13,'Project types'!$Q80*('Prepare Gantt Chart'!$I79*'Prepare Gantt Chart'!$J79),'Prepare Gantt Chart'!AK79=0,0)</f>
        <v>0</v>
      </c>
      <c r="Y80" s="45">
        <f>_xlfn.IFS('Prepare Gantt Chart'!AL79=14,'Project types'!$O80*('Prepare Gantt Chart'!$I79*'Prepare Gantt Chart'!$J79),'Prepare Gantt Chart'!AL79=13,'Project types'!$Q80*('Prepare Gantt Chart'!$I79*'Prepare Gantt Chart'!$J79),'Prepare Gantt Chart'!AL79=0,0)</f>
        <v>0</v>
      </c>
      <c r="Z80" s="45">
        <f>_xlfn.IFS('Prepare Gantt Chart'!AM79=14,'Project types'!$O80*('Prepare Gantt Chart'!$I79*'Prepare Gantt Chart'!$J79),'Prepare Gantt Chart'!AM79=13,'Project types'!$Q80*('Prepare Gantt Chart'!$I79*'Prepare Gantt Chart'!$J79),'Prepare Gantt Chart'!AM79=0,0)</f>
        <v>0</v>
      </c>
      <c r="AA80" s="45">
        <f>_xlfn.IFS('Prepare Gantt Chart'!AN79=14,'Project types'!$O80*('Prepare Gantt Chart'!$I79*'Prepare Gantt Chart'!$J79),'Prepare Gantt Chart'!AN79=13,'Project types'!$Q80*('Prepare Gantt Chart'!$I79*'Prepare Gantt Chart'!$J79),'Prepare Gantt Chart'!AN79=0,0)</f>
        <v>0</v>
      </c>
      <c r="AB80" s="45">
        <f>_xlfn.IFS('Prepare Gantt Chart'!AO79=14,'Project types'!$O80*('Prepare Gantt Chart'!$I79*'Prepare Gantt Chart'!$J79),'Prepare Gantt Chart'!AO79=13,'Project types'!$Q80*('Prepare Gantt Chart'!$I79*'Prepare Gantt Chart'!$J79),'Prepare Gantt Chart'!AO79=0,0)</f>
        <v>0</v>
      </c>
      <c r="AC80" s="45">
        <f>'Prepare Gantt Chart'!J79*'Prepare Gantt Chart'!I79*(AD80/26)</f>
        <v>0</v>
      </c>
      <c r="AD80" s="46">
        <f t="shared" si="2"/>
        <v>0</v>
      </c>
      <c r="AE80" s="72">
        <f>IF('Prepare Gantt Chart'!$J79=0,0,SUM(C80:H80)/6/'Prepare Gantt Chart'!$J79)</f>
        <v>0</v>
      </c>
      <c r="AF80" s="72">
        <f>IF('Prepare Gantt Chart'!$J79=0,0,SUM(I80:M80)/5/'Prepare Gantt Chart'!$J79)</f>
        <v>0</v>
      </c>
      <c r="AG80" s="72">
        <f>IF('Prepare Gantt Chart'!$J79=0,0,SUM(N80:R80)/5/'Prepare Gantt Chart'!$J79)</f>
        <v>0</v>
      </c>
      <c r="AH80" s="72">
        <f>IF('Prepare Gantt Chart'!$J79=0,0,SUM(S80:W80)/5/'Prepare Gantt Chart'!$J79)</f>
        <v>0</v>
      </c>
      <c r="AI80" s="72">
        <f>IF('Prepare Gantt Chart'!$J79=0,0,SUM(X80:AB80)/5/'Prepare Gantt Chart'!$J79)</f>
        <v>0</v>
      </c>
      <c r="AK80" s="36" t="s">
        <v>72</v>
      </c>
      <c r="AL80" s="45">
        <f>_xlfn.IFS('Prepare Gantt Chart'!P79=14,'Project types'!$L80*('Prepare Gantt Chart'!$I79*'Prepare Gantt Chart'!$J79),'Prepare Gantt Chart'!P79=13,'Project types'!$L80*('Prepare Gantt Chart'!$I79*'Prepare Gantt Chart'!$J79),'Prepare Gantt Chart'!P79=0,0)</f>
        <v>0</v>
      </c>
      <c r="AM80" s="45">
        <f>_xlfn.IFS('Prepare Gantt Chart'!Q79=14,'Project types'!$L80*('Prepare Gantt Chart'!$I79*'Prepare Gantt Chart'!$J79),'Prepare Gantt Chart'!Q79=13,'Project types'!$L80*('Prepare Gantt Chart'!$I79*'Prepare Gantt Chart'!$J79),'Prepare Gantt Chart'!Q79=0,0)</f>
        <v>0</v>
      </c>
      <c r="AN80" s="45">
        <f>_xlfn.IFS('Prepare Gantt Chart'!R79=14,'Project types'!$L80*('Prepare Gantt Chart'!$I79*'Prepare Gantt Chart'!$J79),'Prepare Gantt Chart'!R79=13,'Project types'!$L80*('Prepare Gantt Chart'!$I79*'Prepare Gantt Chart'!$J79),'Prepare Gantt Chart'!R79=0,0)</f>
        <v>0</v>
      </c>
      <c r="AO80" s="45">
        <f>_xlfn.IFS('Prepare Gantt Chart'!S79=14,'Project types'!$L80*('Prepare Gantt Chart'!$I79*'Prepare Gantt Chart'!$J79),'Prepare Gantt Chart'!S79=13,'Project types'!$L80*('Prepare Gantt Chart'!$I79*'Prepare Gantt Chart'!$J79),'Prepare Gantt Chart'!S79=0,0)</f>
        <v>0</v>
      </c>
      <c r="AP80" s="45">
        <f>_xlfn.IFS('Prepare Gantt Chart'!T79=14,'Project types'!$L80*('Prepare Gantt Chart'!$I79*'Prepare Gantt Chart'!$J79),'Prepare Gantt Chart'!T79=13,'Project types'!$L80*('Prepare Gantt Chart'!$I79*'Prepare Gantt Chart'!$J79),'Prepare Gantt Chart'!T79=0,0)</f>
        <v>0</v>
      </c>
      <c r="AQ80" s="45">
        <f>_xlfn.IFS('Prepare Gantt Chart'!U79=14,'Project types'!$L80*('Prepare Gantt Chart'!$I79*'Prepare Gantt Chart'!$J79),'Prepare Gantt Chart'!U79=13,'Project types'!$L80*('Prepare Gantt Chart'!$I79*'Prepare Gantt Chart'!$J79),'Prepare Gantt Chart'!U79=0,0)</f>
        <v>0</v>
      </c>
      <c r="AR80" s="45">
        <f>_xlfn.IFS('Prepare Gantt Chart'!V79=14,'Project types'!$L80*('Prepare Gantt Chart'!$I79*'Prepare Gantt Chart'!$J79),'Prepare Gantt Chart'!V79=13,'Project types'!$L80*('Prepare Gantt Chart'!$I79*'Prepare Gantt Chart'!$J79),'Prepare Gantt Chart'!V79=0,0)</f>
        <v>0</v>
      </c>
      <c r="AS80" s="45">
        <f>_xlfn.IFS('Prepare Gantt Chart'!W79=14,'Project types'!$L80*('Prepare Gantt Chart'!$I79*'Prepare Gantt Chart'!$J79),'Prepare Gantt Chart'!W79=13,'Project types'!$L80*('Prepare Gantt Chart'!$I79*'Prepare Gantt Chart'!$J79),'Prepare Gantt Chart'!W79=0,0)</f>
        <v>0</v>
      </c>
      <c r="AT80" s="45">
        <f>_xlfn.IFS('Prepare Gantt Chart'!X79=14,'Project types'!$L80*('Prepare Gantt Chart'!$I79*'Prepare Gantt Chart'!$J79),'Prepare Gantt Chart'!X79=13,'Project types'!$L80*('Prepare Gantt Chart'!$I79*'Prepare Gantt Chart'!$J79),'Prepare Gantt Chart'!X79=0,0)</f>
        <v>0</v>
      </c>
      <c r="AU80" s="45">
        <f>_xlfn.IFS('Prepare Gantt Chart'!Y79=14,'Project types'!$L80*('Prepare Gantt Chart'!$I79*'Prepare Gantt Chart'!$J79),'Prepare Gantt Chart'!Y79=13,'Project types'!$L80*('Prepare Gantt Chart'!$I79*'Prepare Gantt Chart'!$J79),'Prepare Gantt Chart'!Y79=0,0)</f>
        <v>0</v>
      </c>
      <c r="AV80" s="45">
        <f>_xlfn.IFS('Prepare Gantt Chart'!Z79=14,'Project types'!$L80*('Prepare Gantt Chart'!$I79*'Prepare Gantt Chart'!$J79),'Prepare Gantt Chart'!Z79=13,'Project types'!$L80*('Prepare Gantt Chart'!$I79*'Prepare Gantt Chart'!$J79),'Prepare Gantt Chart'!Z79=0,0)</f>
        <v>0</v>
      </c>
      <c r="AW80" s="45">
        <f>_xlfn.IFS('Prepare Gantt Chart'!AA79=14,'Project types'!$L80*('Prepare Gantt Chart'!$I79*'Prepare Gantt Chart'!$J79),'Prepare Gantt Chart'!AA79=13,'Project types'!$L80*('Prepare Gantt Chart'!$I79*'Prepare Gantt Chart'!$J79),'Prepare Gantt Chart'!AA79=0,0)</f>
        <v>0</v>
      </c>
      <c r="AX80" s="45">
        <f>_xlfn.IFS('Prepare Gantt Chart'!AB79=14,'Project types'!$L80*('Prepare Gantt Chart'!$I79*'Prepare Gantt Chart'!$J79),'Prepare Gantt Chart'!AB79=13,'Project types'!$L80*('Prepare Gantt Chart'!$I79*'Prepare Gantt Chart'!$J79),'Prepare Gantt Chart'!AB79=0,0)</f>
        <v>0</v>
      </c>
      <c r="AY80" s="45">
        <f>_xlfn.IFS('Prepare Gantt Chart'!AC79=14,'Project types'!$L80*('Prepare Gantt Chart'!$I79*'Prepare Gantt Chart'!$J79),'Prepare Gantt Chart'!AC79=13,'Project types'!$L80*('Prepare Gantt Chart'!$I79*'Prepare Gantt Chart'!$J79),'Prepare Gantt Chart'!AC79=0,0)</f>
        <v>0</v>
      </c>
      <c r="AZ80" s="45">
        <f>_xlfn.IFS('Prepare Gantt Chart'!AD79=14,'Project types'!$L80*('Prepare Gantt Chart'!$I79*'Prepare Gantt Chart'!$J79),'Prepare Gantt Chart'!AD79=13,'Project types'!$L80*('Prepare Gantt Chart'!$I79*'Prepare Gantt Chart'!$J79),'Prepare Gantt Chart'!AD79=0,0)</f>
        <v>0</v>
      </c>
      <c r="BA80" s="45">
        <f>_xlfn.IFS('Prepare Gantt Chart'!AE79=14,'Project types'!$L80*('Prepare Gantt Chart'!$I79*'Prepare Gantt Chart'!$J79),'Prepare Gantt Chart'!AE79=13,'Project types'!$L80*('Prepare Gantt Chart'!$I79*'Prepare Gantt Chart'!$J79),'Prepare Gantt Chart'!AE79=0,0)</f>
        <v>0</v>
      </c>
      <c r="BB80" s="45">
        <f>_xlfn.IFS('Prepare Gantt Chart'!AF79=14,'Project types'!$L80*('Prepare Gantt Chart'!$I79*'Prepare Gantt Chart'!$J79),'Prepare Gantt Chart'!AF79=13,'Project types'!$L80*('Prepare Gantt Chart'!$I79*'Prepare Gantt Chart'!$J79),'Prepare Gantt Chart'!AF79=0,0)</f>
        <v>0</v>
      </c>
      <c r="BC80" s="45">
        <f>_xlfn.IFS('Prepare Gantt Chart'!AG79=14,'Project types'!$L80*('Prepare Gantt Chart'!$I79*'Prepare Gantt Chart'!$J79),'Prepare Gantt Chart'!AG79=13,'Project types'!$L80*('Prepare Gantt Chart'!$I79*'Prepare Gantt Chart'!$J79),'Prepare Gantt Chart'!AG79=0,0)</f>
        <v>0</v>
      </c>
      <c r="BD80" s="45">
        <f>_xlfn.IFS('Prepare Gantt Chart'!AH79=14,'Project types'!$L80*('Prepare Gantt Chart'!$I79*'Prepare Gantt Chart'!$J79),'Prepare Gantt Chart'!AH79=13,'Project types'!$L80*('Prepare Gantt Chart'!$I79*'Prepare Gantt Chart'!$J79),'Prepare Gantt Chart'!AH79=0,0)</f>
        <v>0</v>
      </c>
      <c r="BE80" s="45">
        <f>_xlfn.IFS('Prepare Gantt Chart'!AI79=14,'Project types'!$L80*('Prepare Gantt Chart'!$I79*'Prepare Gantt Chart'!$J79),'Prepare Gantt Chart'!AI79=13,'Project types'!$L80*('Prepare Gantt Chart'!$I79*'Prepare Gantt Chart'!$J79),'Prepare Gantt Chart'!AI79=0,0)</f>
        <v>0</v>
      </c>
      <c r="BF80" s="45">
        <f>_xlfn.IFS('Prepare Gantt Chart'!AJ79=14,'Project types'!$L80*('Prepare Gantt Chart'!$I79*'Prepare Gantt Chart'!$J79),'Prepare Gantt Chart'!AJ79=13,'Project types'!$L80*('Prepare Gantt Chart'!$I79*'Prepare Gantt Chart'!$J79),'Prepare Gantt Chart'!AJ79=0,0)</f>
        <v>0</v>
      </c>
      <c r="BG80" s="45">
        <f>_xlfn.IFS('Prepare Gantt Chart'!AK79=14,'Project types'!$L80*('Prepare Gantt Chart'!$I79*'Prepare Gantt Chart'!$J79),'Prepare Gantt Chart'!AK79=13,'Project types'!$L80*('Prepare Gantt Chart'!$I79*'Prepare Gantt Chart'!$J79),'Prepare Gantt Chart'!AK79=0,0)</f>
        <v>0</v>
      </c>
      <c r="BH80" s="45">
        <f>_xlfn.IFS('Prepare Gantt Chart'!AL79=14,'Project types'!$L80*('Prepare Gantt Chart'!$I79*'Prepare Gantt Chart'!$J79),'Prepare Gantt Chart'!AL79=13,'Project types'!$L80*('Prepare Gantt Chart'!$I79*'Prepare Gantt Chart'!$J79),'Prepare Gantt Chart'!AL79=0,0)</f>
        <v>0</v>
      </c>
      <c r="BI80" s="45">
        <f>_xlfn.IFS('Prepare Gantt Chart'!AM79=14,'Project types'!$L80*('Prepare Gantt Chart'!$I79*'Prepare Gantt Chart'!$J79),'Prepare Gantt Chart'!AM79=13,'Project types'!$L80*('Prepare Gantt Chart'!$I79*'Prepare Gantt Chart'!$J79),'Prepare Gantt Chart'!AM79=0,0)</f>
        <v>0</v>
      </c>
      <c r="BJ80" s="45">
        <f>_xlfn.IFS('Prepare Gantt Chart'!AN79=14,'Project types'!$L80*('Prepare Gantt Chart'!$I79*'Prepare Gantt Chart'!$J79),'Prepare Gantt Chart'!AN79=13,'Project types'!$L80*('Prepare Gantt Chart'!$I79*'Prepare Gantt Chart'!$J79),'Prepare Gantt Chart'!AN79=0,0)</f>
        <v>0</v>
      </c>
      <c r="BK80" s="45">
        <f>_xlfn.IFS('Prepare Gantt Chart'!AO79=14,'Project types'!$L80*('Prepare Gantt Chart'!$I79*'Prepare Gantt Chart'!$J79),'Prepare Gantt Chart'!AO79=13,'Project types'!$L80*('Prepare Gantt Chart'!$I79*'Prepare Gantt Chart'!$J79),'Prepare Gantt Chart'!AO79=0,0)</f>
        <v>0</v>
      </c>
      <c r="BL80" s="46">
        <f t="shared" si="3"/>
        <v>0</v>
      </c>
      <c r="BM80" s="75">
        <f>IF('Prepare Gantt Chart'!$J79=0,0,SUM(AL80:AQ80)/6/'Prepare Gantt Chart'!$J79)</f>
        <v>0</v>
      </c>
      <c r="BN80" s="75">
        <f>IF('Prepare Gantt Chart'!$J79=0,0,SUM(AR80:AV80)/5/'Prepare Gantt Chart'!$J79)</f>
        <v>0</v>
      </c>
      <c r="BO80" s="75">
        <f>IF('Prepare Gantt Chart'!$J79=0,0,SUM(AW80:BA80)/5/'Prepare Gantt Chart'!$J79)</f>
        <v>0</v>
      </c>
      <c r="BP80" s="75">
        <f>IF('Prepare Gantt Chart'!$J79=0,0,SUM(BB80:BF80)/5/'Prepare Gantt Chart'!$J79)</f>
        <v>0</v>
      </c>
      <c r="BQ80" s="75">
        <f>IF('Prepare Gantt Chart'!$J79=0,0,SUM(BG80:BK80)/5/'Prepare Gantt Chart'!$J79)</f>
        <v>0</v>
      </c>
    </row>
    <row r="81" spans="1:69" x14ac:dyDescent="0.2">
      <c r="A81" s="36" t="s">
        <v>73</v>
      </c>
      <c r="B81" s="1" t="s">
        <v>470</v>
      </c>
      <c r="C81" s="45">
        <f>_xlfn.IFS('Prepare Gantt Chart'!P80=14,'Project types'!$O81*('Prepare Gantt Chart'!$I80*'Prepare Gantt Chart'!$J80),'Prepare Gantt Chart'!P80=13,'Project types'!$Q81*('Prepare Gantt Chart'!$I80*'Prepare Gantt Chart'!$J80),'Prepare Gantt Chart'!P80=0,0)</f>
        <v>0</v>
      </c>
      <c r="D81" s="45">
        <f>_xlfn.IFS('Prepare Gantt Chart'!Q80=14,'Project types'!$O81*('Prepare Gantt Chart'!$I80*'Prepare Gantt Chart'!$J80),'Prepare Gantt Chart'!Q80=13,'Project types'!$Q81*('Prepare Gantt Chart'!$I80*'Prepare Gantt Chart'!$J80),'Prepare Gantt Chart'!Q80=0,0)</f>
        <v>0</v>
      </c>
      <c r="E81" s="45">
        <f>_xlfn.IFS('Prepare Gantt Chart'!R80=14,'Project types'!$O81*('Prepare Gantt Chart'!$I80*'Prepare Gantt Chart'!$J80),'Prepare Gantt Chart'!R80=13,'Project types'!$Q81*('Prepare Gantt Chart'!$I80*'Prepare Gantt Chart'!$J80),'Prepare Gantt Chart'!R80=0,0)</f>
        <v>0</v>
      </c>
      <c r="F81" s="45">
        <f>_xlfn.IFS('Prepare Gantt Chart'!S80=14,'Project types'!$O81*('Prepare Gantt Chart'!$I80*'Prepare Gantt Chart'!$J80),'Prepare Gantt Chart'!S80=13,'Project types'!$Q81*('Prepare Gantt Chart'!$I80*'Prepare Gantt Chart'!$J80),'Prepare Gantt Chart'!S80=0,0)</f>
        <v>0</v>
      </c>
      <c r="G81" s="45">
        <f>_xlfn.IFS('Prepare Gantt Chart'!T80=14,'Project types'!$O81*('Prepare Gantt Chart'!$I80*'Prepare Gantt Chart'!$J80),'Prepare Gantt Chart'!T80=13,'Project types'!$Q81*('Prepare Gantt Chart'!$I80*'Prepare Gantt Chart'!$J80),'Prepare Gantt Chart'!T80=0,0)</f>
        <v>0</v>
      </c>
      <c r="H81" s="45">
        <f>_xlfn.IFS('Prepare Gantt Chart'!U80=14,'Project types'!$O81*('Prepare Gantt Chart'!$I80*'Prepare Gantt Chart'!$J80),'Prepare Gantt Chart'!U80=13,'Project types'!$Q81*('Prepare Gantt Chart'!$I80*'Prepare Gantt Chart'!$J80),'Prepare Gantt Chart'!U80=0,0)</f>
        <v>0</v>
      </c>
      <c r="I81" s="45">
        <f>_xlfn.IFS('Prepare Gantt Chart'!V80=14,'Project types'!$O81*('Prepare Gantt Chart'!$I80*'Prepare Gantt Chart'!$J80),'Prepare Gantt Chart'!V80=13,'Project types'!$Q81*('Prepare Gantt Chart'!$I80*'Prepare Gantt Chart'!$J80),'Prepare Gantt Chart'!V80=0,0)</f>
        <v>0</v>
      </c>
      <c r="J81" s="45">
        <f>_xlfn.IFS('Prepare Gantt Chart'!W80=14,'Project types'!$O81*('Prepare Gantt Chart'!$I80*'Prepare Gantt Chart'!$J80),'Prepare Gantt Chart'!W80=13,'Project types'!$Q81*('Prepare Gantt Chart'!$I80*'Prepare Gantt Chart'!$J80),'Prepare Gantt Chart'!W80=0,0)</f>
        <v>0</v>
      </c>
      <c r="K81" s="45">
        <f>_xlfn.IFS('Prepare Gantt Chart'!X80=14,'Project types'!$O81*('Prepare Gantt Chart'!$I80*'Prepare Gantt Chart'!$J80),'Prepare Gantt Chart'!X80=13,'Project types'!$Q81*('Prepare Gantt Chart'!$I80*'Prepare Gantt Chart'!$J80),'Prepare Gantt Chart'!X80=0,0)</f>
        <v>0</v>
      </c>
      <c r="L81" s="45">
        <f>_xlfn.IFS('Prepare Gantt Chart'!Y80=14,'Project types'!$O81*('Prepare Gantt Chart'!$I80*'Prepare Gantt Chart'!$J80),'Prepare Gantt Chart'!Y80=13,'Project types'!$Q81*('Prepare Gantt Chart'!$I80*'Prepare Gantt Chart'!$J80),'Prepare Gantt Chart'!Y80=0,0)</f>
        <v>0</v>
      </c>
      <c r="M81" s="45">
        <f>_xlfn.IFS('Prepare Gantt Chart'!Z80=14,'Project types'!$O81*('Prepare Gantt Chart'!$I80*'Prepare Gantt Chart'!$J80),'Prepare Gantt Chart'!Z80=13,'Project types'!$Q81*('Prepare Gantt Chart'!$I80*'Prepare Gantt Chart'!$J80),'Prepare Gantt Chart'!Z80=0,0)</f>
        <v>0</v>
      </c>
      <c r="N81" s="45">
        <f>_xlfn.IFS('Prepare Gantt Chart'!AA80=14,'Project types'!$O81*('Prepare Gantt Chart'!$I80*'Prepare Gantt Chart'!$J80),'Prepare Gantt Chart'!AA80=13,'Project types'!$Q81*('Prepare Gantt Chart'!$I80*'Prepare Gantt Chart'!$J80),'Prepare Gantt Chart'!AA80=0,0)</f>
        <v>0</v>
      </c>
      <c r="O81" s="45">
        <f>_xlfn.IFS('Prepare Gantt Chart'!AB80=14,'Project types'!$O81*('Prepare Gantt Chart'!$I80*'Prepare Gantt Chart'!$J80),'Prepare Gantt Chart'!AB80=13,'Project types'!$Q81*('Prepare Gantt Chart'!$I80*'Prepare Gantt Chart'!$J80),'Prepare Gantt Chart'!AB80=0,0)</f>
        <v>0</v>
      </c>
      <c r="P81" s="45">
        <f>_xlfn.IFS('Prepare Gantt Chart'!AC80=14,'Project types'!$O81*('Prepare Gantt Chart'!$I80*'Prepare Gantt Chart'!$J80),'Prepare Gantt Chart'!AC80=13,'Project types'!$Q81*('Prepare Gantt Chart'!$I80*'Prepare Gantt Chart'!$J80),'Prepare Gantt Chart'!AC80=0,0)</f>
        <v>0</v>
      </c>
      <c r="Q81" s="45">
        <f>_xlfn.IFS('Prepare Gantt Chart'!AD80=14,'Project types'!$O81*('Prepare Gantt Chart'!$I80*'Prepare Gantt Chart'!$J80),'Prepare Gantt Chart'!AD80=13,'Project types'!$Q81*('Prepare Gantt Chart'!$I80*'Prepare Gantt Chart'!$J80),'Prepare Gantt Chart'!AD80=0,0)</f>
        <v>0</v>
      </c>
      <c r="R81" s="45">
        <f>_xlfn.IFS('Prepare Gantt Chart'!AE80=14,'Project types'!$O81*('Prepare Gantt Chart'!$I80*'Prepare Gantt Chart'!$J80),'Prepare Gantt Chart'!AE80=13,'Project types'!$Q81*('Prepare Gantt Chart'!$I80*'Prepare Gantt Chart'!$J80),'Prepare Gantt Chart'!AE80=0,0)</f>
        <v>0</v>
      </c>
      <c r="S81" s="45">
        <f>_xlfn.IFS('Prepare Gantt Chart'!AF80=14,'Project types'!$O81*('Prepare Gantt Chart'!$I80*'Prepare Gantt Chart'!$J80),'Prepare Gantt Chart'!AF80=13,'Project types'!$Q81*('Prepare Gantt Chart'!$I80*'Prepare Gantt Chart'!$J80),'Prepare Gantt Chart'!AF80=0,0)</f>
        <v>0</v>
      </c>
      <c r="T81" s="45">
        <f>_xlfn.IFS('Prepare Gantt Chart'!AG80=14,'Project types'!$O81*('Prepare Gantt Chart'!$I80*'Prepare Gantt Chart'!$J80),'Prepare Gantt Chart'!AG80=13,'Project types'!$Q81*('Prepare Gantt Chart'!$I80*'Prepare Gantt Chart'!$J80),'Prepare Gantt Chart'!AG80=0,0)</f>
        <v>0</v>
      </c>
      <c r="U81" s="45">
        <f>_xlfn.IFS('Prepare Gantt Chart'!AH80=14,'Project types'!$O81*('Prepare Gantt Chart'!$I80*'Prepare Gantt Chart'!$J80),'Prepare Gantt Chart'!AH80=13,'Project types'!$Q81*('Prepare Gantt Chart'!$I80*'Prepare Gantt Chart'!$J80),'Prepare Gantt Chart'!AH80=0,0)</f>
        <v>0</v>
      </c>
      <c r="V81" s="45">
        <f>_xlfn.IFS('Prepare Gantt Chart'!AI80=14,'Project types'!$O81*('Prepare Gantt Chart'!$I80*'Prepare Gantt Chart'!$J80),'Prepare Gantt Chart'!AI80=13,'Project types'!$Q81*('Prepare Gantt Chart'!$I80*'Prepare Gantt Chart'!$J80),'Prepare Gantt Chart'!AI80=0,0)</f>
        <v>0</v>
      </c>
      <c r="W81" s="45">
        <f>_xlfn.IFS('Prepare Gantt Chart'!AJ80=14,'Project types'!$O81*('Prepare Gantt Chart'!$I80*'Prepare Gantt Chart'!$J80),'Prepare Gantt Chart'!AJ80=13,'Project types'!$Q81*('Prepare Gantt Chart'!$I80*'Prepare Gantt Chart'!$J80),'Prepare Gantt Chart'!AJ80=0,0)</f>
        <v>0</v>
      </c>
      <c r="X81" s="45">
        <f>_xlfn.IFS('Prepare Gantt Chart'!AK80=14,'Project types'!$O81*('Prepare Gantt Chart'!$I80*'Prepare Gantt Chart'!$J80),'Prepare Gantt Chart'!AK80=13,'Project types'!$Q81*('Prepare Gantt Chart'!$I80*'Prepare Gantt Chart'!$J80),'Prepare Gantt Chart'!AK80=0,0)</f>
        <v>0</v>
      </c>
      <c r="Y81" s="45">
        <f>_xlfn.IFS('Prepare Gantt Chart'!AL80=14,'Project types'!$O81*('Prepare Gantt Chart'!$I80*'Prepare Gantt Chart'!$J80),'Prepare Gantt Chart'!AL80=13,'Project types'!$Q81*('Prepare Gantt Chart'!$I80*'Prepare Gantt Chart'!$J80),'Prepare Gantt Chart'!AL80=0,0)</f>
        <v>0</v>
      </c>
      <c r="Z81" s="45">
        <f>_xlfn.IFS('Prepare Gantt Chart'!AM80=14,'Project types'!$O81*('Prepare Gantt Chart'!$I80*'Prepare Gantt Chart'!$J80),'Prepare Gantt Chart'!AM80=13,'Project types'!$Q81*('Prepare Gantt Chart'!$I80*'Prepare Gantt Chart'!$J80),'Prepare Gantt Chart'!AM80=0,0)</f>
        <v>0</v>
      </c>
      <c r="AA81" s="45">
        <f>_xlfn.IFS('Prepare Gantt Chart'!AN80=14,'Project types'!$O81*('Prepare Gantt Chart'!$I80*'Prepare Gantt Chart'!$J80),'Prepare Gantt Chart'!AN80=13,'Project types'!$Q81*('Prepare Gantt Chart'!$I80*'Prepare Gantt Chart'!$J80),'Prepare Gantt Chart'!AN80=0,0)</f>
        <v>0</v>
      </c>
      <c r="AB81" s="45">
        <f>_xlfn.IFS('Prepare Gantt Chart'!AO80=14,'Project types'!$O81*('Prepare Gantt Chart'!$I80*'Prepare Gantt Chart'!$J80),'Prepare Gantt Chart'!AO80=13,'Project types'!$Q81*('Prepare Gantt Chart'!$I80*'Prepare Gantt Chart'!$J80),'Prepare Gantt Chart'!AO80=0,0)</f>
        <v>0</v>
      </c>
      <c r="AC81" s="45">
        <f>'Prepare Gantt Chart'!J80*'Prepare Gantt Chart'!I80*(AD81/26)</f>
        <v>0</v>
      </c>
      <c r="AD81" s="46">
        <f t="shared" si="2"/>
        <v>0</v>
      </c>
      <c r="AE81" s="72">
        <f>IF('Prepare Gantt Chart'!$J80=0,0,SUM(C81:H81)/6/'Prepare Gantt Chart'!$J80)</f>
        <v>0</v>
      </c>
      <c r="AF81" s="72">
        <f>IF('Prepare Gantt Chart'!$J80=0,0,SUM(I81:M81)/5/'Prepare Gantt Chart'!$J80)</f>
        <v>0</v>
      </c>
      <c r="AG81" s="72">
        <f>IF('Prepare Gantt Chart'!$J80=0,0,SUM(N81:R81)/5/'Prepare Gantt Chart'!$J80)</f>
        <v>0</v>
      </c>
      <c r="AH81" s="72">
        <f>IF('Prepare Gantt Chart'!$J80=0,0,SUM(S81:W81)/5/'Prepare Gantt Chart'!$J80)</f>
        <v>0</v>
      </c>
      <c r="AI81" s="72">
        <f>IF('Prepare Gantt Chart'!$J80=0,0,SUM(X81:AB81)/5/'Prepare Gantt Chart'!$J80)</f>
        <v>0</v>
      </c>
      <c r="AK81" s="36" t="s">
        <v>73</v>
      </c>
      <c r="AL81" s="45">
        <f>_xlfn.IFS('Prepare Gantt Chart'!P80=14,'Project types'!$L81*('Prepare Gantt Chart'!$I80*'Prepare Gantt Chart'!$J80),'Prepare Gantt Chart'!P80=13,'Project types'!$L81*('Prepare Gantt Chart'!$I80*'Prepare Gantt Chart'!$J80),'Prepare Gantt Chart'!P80=0,0)</f>
        <v>0</v>
      </c>
      <c r="AM81" s="45">
        <f>_xlfn.IFS('Prepare Gantt Chart'!Q80=14,'Project types'!$L81*('Prepare Gantt Chart'!$I80*'Prepare Gantt Chart'!$J80),'Prepare Gantt Chart'!Q80=13,'Project types'!$L81*('Prepare Gantt Chart'!$I80*'Prepare Gantt Chart'!$J80),'Prepare Gantt Chart'!Q80=0,0)</f>
        <v>0</v>
      </c>
      <c r="AN81" s="45">
        <f>_xlfn.IFS('Prepare Gantt Chart'!R80=14,'Project types'!$L81*('Prepare Gantt Chart'!$I80*'Prepare Gantt Chart'!$J80),'Prepare Gantt Chart'!R80=13,'Project types'!$L81*('Prepare Gantt Chart'!$I80*'Prepare Gantt Chart'!$J80),'Prepare Gantt Chart'!R80=0,0)</f>
        <v>0</v>
      </c>
      <c r="AO81" s="45">
        <f>_xlfn.IFS('Prepare Gantt Chart'!S80=14,'Project types'!$L81*('Prepare Gantt Chart'!$I80*'Prepare Gantt Chart'!$J80),'Prepare Gantt Chart'!S80=13,'Project types'!$L81*('Prepare Gantt Chart'!$I80*'Prepare Gantt Chart'!$J80),'Prepare Gantt Chart'!S80=0,0)</f>
        <v>0</v>
      </c>
      <c r="AP81" s="45">
        <f>_xlfn.IFS('Prepare Gantt Chart'!T80=14,'Project types'!$L81*('Prepare Gantt Chart'!$I80*'Prepare Gantt Chart'!$J80),'Prepare Gantt Chart'!T80=13,'Project types'!$L81*('Prepare Gantt Chart'!$I80*'Prepare Gantt Chart'!$J80),'Prepare Gantt Chart'!T80=0,0)</f>
        <v>0</v>
      </c>
      <c r="AQ81" s="45">
        <f>_xlfn.IFS('Prepare Gantt Chart'!U80=14,'Project types'!$L81*('Prepare Gantt Chart'!$I80*'Prepare Gantt Chart'!$J80),'Prepare Gantt Chart'!U80=13,'Project types'!$L81*('Prepare Gantt Chart'!$I80*'Prepare Gantt Chart'!$J80),'Prepare Gantt Chart'!U80=0,0)</f>
        <v>0</v>
      </c>
      <c r="AR81" s="45">
        <f>_xlfn.IFS('Prepare Gantt Chart'!V80=14,'Project types'!$L81*('Prepare Gantt Chart'!$I80*'Prepare Gantt Chart'!$J80),'Prepare Gantt Chart'!V80=13,'Project types'!$L81*('Prepare Gantt Chart'!$I80*'Prepare Gantt Chart'!$J80),'Prepare Gantt Chart'!V80=0,0)</f>
        <v>0</v>
      </c>
      <c r="AS81" s="45">
        <f>_xlfn.IFS('Prepare Gantt Chart'!W80=14,'Project types'!$L81*('Prepare Gantt Chart'!$I80*'Prepare Gantt Chart'!$J80),'Prepare Gantt Chart'!W80=13,'Project types'!$L81*('Prepare Gantt Chart'!$I80*'Prepare Gantt Chart'!$J80),'Prepare Gantt Chart'!W80=0,0)</f>
        <v>0</v>
      </c>
      <c r="AT81" s="45">
        <f>_xlfn.IFS('Prepare Gantt Chart'!X80=14,'Project types'!$L81*('Prepare Gantt Chart'!$I80*'Prepare Gantt Chart'!$J80),'Prepare Gantt Chart'!X80=13,'Project types'!$L81*('Prepare Gantt Chart'!$I80*'Prepare Gantt Chart'!$J80),'Prepare Gantt Chart'!X80=0,0)</f>
        <v>0</v>
      </c>
      <c r="AU81" s="45">
        <f>_xlfn.IFS('Prepare Gantt Chart'!Y80=14,'Project types'!$L81*('Prepare Gantt Chart'!$I80*'Prepare Gantt Chart'!$J80),'Prepare Gantt Chart'!Y80=13,'Project types'!$L81*('Prepare Gantt Chart'!$I80*'Prepare Gantt Chart'!$J80),'Prepare Gantt Chart'!Y80=0,0)</f>
        <v>0</v>
      </c>
      <c r="AV81" s="45">
        <f>_xlfn.IFS('Prepare Gantt Chart'!Z80=14,'Project types'!$L81*('Prepare Gantt Chart'!$I80*'Prepare Gantt Chart'!$J80),'Prepare Gantt Chart'!Z80=13,'Project types'!$L81*('Prepare Gantt Chart'!$I80*'Prepare Gantt Chart'!$J80),'Prepare Gantt Chart'!Z80=0,0)</f>
        <v>0</v>
      </c>
      <c r="AW81" s="45">
        <f>_xlfn.IFS('Prepare Gantt Chart'!AA80=14,'Project types'!$L81*('Prepare Gantt Chart'!$I80*'Prepare Gantt Chart'!$J80),'Prepare Gantt Chart'!AA80=13,'Project types'!$L81*('Prepare Gantt Chart'!$I80*'Prepare Gantt Chart'!$J80),'Prepare Gantt Chart'!AA80=0,0)</f>
        <v>0</v>
      </c>
      <c r="AX81" s="45">
        <f>_xlfn.IFS('Prepare Gantt Chart'!AB80=14,'Project types'!$L81*('Prepare Gantt Chart'!$I80*'Prepare Gantt Chart'!$J80),'Prepare Gantt Chart'!AB80=13,'Project types'!$L81*('Prepare Gantt Chart'!$I80*'Prepare Gantt Chart'!$J80),'Prepare Gantt Chart'!AB80=0,0)</f>
        <v>0</v>
      </c>
      <c r="AY81" s="45">
        <f>_xlfn.IFS('Prepare Gantt Chart'!AC80=14,'Project types'!$L81*('Prepare Gantt Chart'!$I80*'Prepare Gantt Chart'!$J80),'Prepare Gantt Chart'!AC80=13,'Project types'!$L81*('Prepare Gantt Chart'!$I80*'Prepare Gantt Chart'!$J80),'Prepare Gantt Chart'!AC80=0,0)</f>
        <v>0</v>
      </c>
      <c r="AZ81" s="45">
        <f>_xlfn.IFS('Prepare Gantt Chart'!AD80=14,'Project types'!$L81*('Prepare Gantt Chart'!$I80*'Prepare Gantt Chart'!$J80),'Prepare Gantt Chart'!AD80=13,'Project types'!$L81*('Prepare Gantt Chart'!$I80*'Prepare Gantt Chart'!$J80),'Prepare Gantt Chart'!AD80=0,0)</f>
        <v>0</v>
      </c>
      <c r="BA81" s="45">
        <f>_xlfn.IFS('Prepare Gantt Chart'!AE80=14,'Project types'!$L81*('Prepare Gantt Chart'!$I80*'Prepare Gantt Chart'!$J80),'Prepare Gantt Chart'!AE80=13,'Project types'!$L81*('Prepare Gantt Chart'!$I80*'Prepare Gantt Chart'!$J80),'Prepare Gantt Chart'!AE80=0,0)</f>
        <v>0</v>
      </c>
      <c r="BB81" s="45">
        <f>_xlfn.IFS('Prepare Gantt Chart'!AF80=14,'Project types'!$L81*('Prepare Gantt Chart'!$I80*'Prepare Gantt Chart'!$J80),'Prepare Gantt Chart'!AF80=13,'Project types'!$L81*('Prepare Gantt Chart'!$I80*'Prepare Gantt Chart'!$J80),'Prepare Gantt Chart'!AF80=0,0)</f>
        <v>0</v>
      </c>
      <c r="BC81" s="45">
        <f>_xlfn.IFS('Prepare Gantt Chart'!AG80=14,'Project types'!$L81*('Prepare Gantt Chart'!$I80*'Prepare Gantt Chart'!$J80),'Prepare Gantt Chart'!AG80=13,'Project types'!$L81*('Prepare Gantt Chart'!$I80*'Prepare Gantt Chart'!$J80),'Prepare Gantt Chart'!AG80=0,0)</f>
        <v>0</v>
      </c>
      <c r="BD81" s="45">
        <f>_xlfn.IFS('Prepare Gantt Chart'!AH80=14,'Project types'!$L81*('Prepare Gantt Chart'!$I80*'Prepare Gantt Chart'!$J80),'Prepare Gantt Chart'!AH80=13,'Project types'!$L81*('Prepare Gantt Chart'!$I80*'Prepare Gantt Chart'!$J80),'Prepare Gantt Chart'!AH80=0,0)</f>
        <v>0</v>
      </c>
      <c r="BE81" s="45">
        <f>_xlfn.IFS('Prepare Gantt Chart'!AI80=14,'Project types'!$L81*('Prepare Gantt Chart'!$I80*'Prepare Gantt Chart'!$J80),'Prepare Gantt Chart'!AI80=13,'Project types'!$L81*('Prepare Gantt Chart'!$I80*'Prepare Gantt Chart'!$J80),'Prepare Gantt Chart'!AI80=0,0)</f>
        <v>0</v>
      </c>
      <c r="BF81" s="45">
        <f>_xlfn.IFS('Prepare Gantt Chart'!AJ80=14,'Project types'!$L81*('Prepare Gantt Chart'!$I80*'Prepare Gantt Chart'!$J80),'Prepare Gantt Chart'!AJ80=13,'Project types'!$L81*('Prepare Gantt Chart'!$I80*'Prepare Gantt Chart'!$J80),'Prepare Gantt Chart'!AJ80=0,0)</f>
        <v>0</v>
      </c>
      <c r="BG81" s="45">
        <f>_xlfn.IFS('Prepare Gantt Chart'!AK80=14,'Project types'!$L81*('Prepare Gantt Chart'!$I80*'Prepare Gantt Chart'!$J80),'Prepare Gantt Chart'!AK80=13,'Project types'!$L81*('Prepare Gantt Chart'!$I80*'Prepare Gantt Chart'!$J80),'Prepare Gantt Chart'!AK80=0,0)</f>
        <v>0</v>
      </c>
      <c r="BH81" s="45">
        <f>_xlfn.IFS('Prepare Gantt Chart'!AL80=14,'Project types'!$L81*('Prepare Gantt Chart'!$I80*'Prepare Gantt Chart'!$J80),'Prepare Gantt Chart'!AL80=13,'Project types'!$L81*('Prepare Gantt Chart'!$I80*'Prepare Gantt Chart'!$J80),'Prepare Gantt Chart'!AL80=0,0)</f>
        <v>0</v>
      </c>
      <c r="BI81" s="45">
        <f>_xlfn.IFS('Prepare Gantt Chart'!AM80=14,'Project types'!$L81*('Prepare Gantt Chart'!$I80*'Prepare Gantt Chart'!$J80),'Prepare Gantt Chart'!AM80=13,'Project types'!$L81*('Prepare Gantt Chart'!$I80*'Prepare Gantt Chart'!$J80),'Prepare Gantt Chart'!AM80=0,0)</f>
        <v>0</v>
      </c>
      <c r="BJ81" s="45">
        <f>_xlfn.IFS('Prepare Gantt Chart'!AN80=14,'Project types'!$L81*('Prepare Gantt Chart'!$I80*'Prepare Gantt Chart'!$J80),'Prepare Gantt Chart'!AN80=13,'Project types'!$L81*('Prepare Gantt Chart'!$I80*'Prepare Gantt Chart'!$J80),'Prepare Gantt Chart'!AN80=0,0)</f>
        <v>0</v>
      </c>
      <c r="BK81" s="45">
        <f>_xlfn.IFS('Prepare Gantt Chart'!AO80=14,'Project types'!$L81*('Prepare Gantt Chart'!$I80*'Prepare Gantt Chart'!$J80),'Prepare Gantt Chart'!AO80=13,'Project types'!$L81*('Prepare Gantt Chart'!$I80*'Prepare Gantt Chart'!$J80),'Prepare Gantt Chart'!AO80=0,0)</f>
        <v>0</v>
      </c>
      <c r="BL81" s="46">
        <f t="shared" si="3"/>
        <v>0</v>
      </c>
      <c r="BM81" s="75">
        <f>IF('Prepare Gantt Chart'!$J80=0,0,SUM(AL81:AQ81)/6/'Prepare Gantt Chart'!$J80)</f>
        <v>0</v>
      </c>
      <c r="BN81" s="75">
        <f>IF('Prepare Gantt Chart'!$J80=0,0,SUM(AR81:AV81)/5/'Prepare Gantt Chart'!$J80)</f>
        <v>0</v>
      </c>
      <c r="BO81" s="75">
        <f>IF('Prepare Gantt Chart'!$J80=0,0,SUM(AW81:BA81)/5/'Prepare Gantt Chart'!$J80)</f>
        <v>0</v>
      </c>
      <c r="BP81" s="75">
        <f>IF('Prepare Gantt Chart'!$J80=0,0,SUM(BB81:BF81)/5/'Prepare Gantt Chart'!$J80)</f>
        <v>0</v>
      </c>
      <c r="BQ81" s="75">
        <f>IF('Prepare Gantt Chart'!$J80=0,0,SUM(BG81:BK81)/5/'Prepare Gantt Chart'!$J80)</f>
        <v>0</v>
      </c>
    </row>
    <row r="82" spans="1:69" x14ac:dyDescent="0.2">
      <c r="A82" s="36" t="s">
        <v>74</v>
      </c>
      <c r="B82" s="1" t="s">
        <v>153</v>
      </c>
      <c r="C82" s="45">
        <f>_xlfn.IFS('Prepare Gantt Chart'!P81=14,'Project types'!$O82*('Prepare Gantt Chart'!$I81*'Prepare Gantt Chart'!$J81),'Prepare Gantt Chart'!P81=13,'Project types'!$Q82*('Prepare Gantt Chart'!$I81*'Prepare Gantt Chart'!$J81),'Prepare Gantt Chart'!P81=0,0)</f>
        <v>0</v>
      </c>
      <c r="D82" s="45">
        <f>_xlfn.IFS('Prepare Gantt Chart'!Q81=14,'Project types'!$O82*('Prepare Gantt Chart'!$I81*'Prepare Gantt Chart'!$J81),'Prepare Gantt Chart'!Q81=13,'Project types'!$Q82*('Prepare Gantt Chart'!$I81*'Prepare Gantt Chart'!$J81),'Prepare Gantt Chart'!Q81=0,0)</f>
        <v>0</v>
      </c>
      <c r="E82" s="45">
        <f>_xlfn.IFS('Prepare Gantt Chart'!R81=14,'Project types'!$O82*('Prepare Gantt Chart'!$I81*'Prepare Gantt Chart'!$J81),'Prepare Gantt Chart'!R81=13,'Project types'!$Q82*('Prepare Gantt Chart'!$I81*'Prepare Gantt Chart'!$J81),'Prepare Gantt Chart'!R81=0,0)</f>
        <v>0</v>
      </c>
      <c r="F82" s="45">
        <f>_xlfn.IFS('Prepare Gantt Chart'!S81=14,'Project types'!$O82*('Prepare Gantt Chart'!$I81*'Prepare Gantt Chart'!$J81),'Prepare Gantt Chart'!S81=13,'Project types'!$Q82*('Prepare Gantt Chart'!$I81*'Prepare Gantt Chart'!$J81),'Prepare Gantt Chart'!S81=0,0)</f>
        <v>0</v>
      </c>
      <c r="G82" s="45">
        <f>_xlfn.IFS('Prepare Gantt Chart'!T81=14,'Project types'!$O82*('Prepare Gantt Chart'!$I81*'Prepare Gantt Chart'!$J81),'Prepare Gantt Chart'!T81=13,'Project types'!$Q82*('Prepare Gantt Chart'!$I81*'Prepare Gantt Chart'!$J81),'Prepare Gantt Chart'!T81=0,0)</f>
        <v>0</v>
      </c>
      <c r="H82" s="45">
        <f>_xlfn.IFS('Prepare Gantt Chart'!U81=14,'Project types'!$O82*('Prepare Gantt Chart'!$I81*'Prepare Gantt Chart'!$J81),'Prepare Gantt Chart'!U81=13,'Project types'!$Q82*('Prepare Gantt Chart'!$I81*'Prepare Gantt Chart'!$J81),'Prepare Gantt Chart'!U81=0,0)</f>
        <v>0</v>
      </c>
      <c r="I82" s="45">
        <f>_xlfn.IFS('Prepare Gantt Chart'!V81=14,'Project types'!$O82*('Prepare Gantt Chart'!$I81*'Prepare Gantt Chart'!$J81),'Prepare Gantt Chart'!V81=13,'Project types'!$Q82*('Prepare Gantt Chart'!$I81*'Prepare Gantt Chart'!$J81),'Prepare Gantt Chart'!V81=0,0)</f>
        <v>0</v>
      </c>
      <c r="J82" s="45">
        <f>_xlfn.IFS('Prepare Gantt Chart'!W81=14,'Project types'!$O82*('Prepare Gantt Chart'!$I81*'Prepare Gantt Chart'!$J81),'Prepare Gantt Chart'!W81=13,'Project types'!$Q82*('Prepare Gantt Chart'!$I81*'Prepare Gantt Chart'!$J81),'Prepare Gantt Chart'!W81=0,0)</f>
        <v>0</v>
      </c>
      <c r="K82" s="45">
        <f>_xlfn.IFS('Prepare Gantt Chart'!X81=14,'Project types'!$O82*('Prepare Gantt Chart'!$I81*'Prepare Gantt Chart'!$J81),'Prepare Gantt Chart'!X81=13,'Project types'!$Q82*('Prepare Gantt Chart'!$I81*'Prepare Gantt Chart'!$J81),'Prepare Gantt Chart'!X81=0,0)</f>
        <v>0</v>
      </c>
      <c r="L82" s="45">
        <f>_xlfn.IFS('Prepare Gantt Chart'!Y81=14,'Project types'!$O82*('Prepare Gantt Chart'!$I81*'Prepare Gantt Chart'!$J81),'Prepare Gantt Chart'!Y81=13,'Project types'!$Q82*('Prepare Gantt Chart'!$I81*'Prepare Gantt Chart'!$J81),'Prepare Gantt Chart'!Y81=0,0)</f>
        <v>0</v>
      </c>
      <c r="M82" s="45">
        <f>_xlfn.IFS('Prepare Gantt Chart'!Z81=14,'Project types'!$O82*('Prepare Gantt Chart'!$I81*'Prepare Gantt Chart'!$J81),'Prepare Gantt Chart'!Z81=13,'Project types'!$Q82*('Prepare Gantt Chart'!$I81*'Prepare Gantt Chart'!$J81),'Prepare Gantt Chart'!Z81=0,0)</f>
        <v>0</v>
      </c>
      <c r="N82" s="45">
        <f>_xlfn.IFS('Prepare Gantt Chart'!AA81=14,'Project types'!$O82*('Prepare Gantt Chart'!$I81*'Prepare Gantt Chart'!$J81),'Prepare Gantt Chart'!AA81=13,'Project types'!$Q82*('Prepare Gantt Chart'!$I81*'Prepare Gantt Chart'!$J81),'Prepare Gantt Chart'!AA81=0,0)</f>
        <v>0</v>
      </c>
      <c r="O82" s="45">
        <f>_xlfn.IFS('Prepare Gantt Chart'!AB81=14,'Project types'!$O82*('Prepare Gantt Chart'!$I81*'Prepare Gantt Chart'!$J81),'Prepare Gantt Chart'!AB81=13,'Project types'!$Q82*('Prepare Gantt Chart'!$I81*'Prepare Gantt Chart'!$J81),'Prepare Gantt Chart'!AB81=0,0)</f>
        <v>0</v>
      </c>
      <c r="P82" s="45">
        <f>_xlfn.IFS('Prepare Gantt Chart'!AC81=14,'Project types'!$O82*('Prepare Gantt Chart'!$I81*'Prepare Gantt Chart'!$J81),'Prepare Gantt Chart'!AC81=13,'Project types'!$Q82*('Prepare Gantt Chart'!$I81*'Prepare Gantt Chart'!$J81),'Prepare Gantt Chart'!AC81=0,0)</f>
        <v>0</v>
      </c>
      <c r="Q82" s="45">
        <f>_xlfn.IFS('Prepare Gantt Chart'!AD81=14,'Project types'!$O82*('Prepare Gantt Chart'!$I81*'Prepare Gantt Chart'!$J81),'Prepare Gantt Chart'!AD81=13,'Project types'!$Q82*('Prepare Gantt Chart'!$I81*'Prepare Gantt Chart'!$J81),'Prepare Gantt Chart'!AD81=0,0)</f>
        <v>0</v>
      </c>
      <c r="R82" s="45">
        <f>_xlfn.IFS('Prepare Gantt Chart'!AE81=14,'Project types'!$O82*('Prepare Gantt Chart'!$I81*'Prepare Gantt Chart'!$J81),'Prepare Gantt Chart'!AE81=13,'Project types'!$Q82*('Prepare Gantt Chart'!$I81*'Prepare Gantt Chart'!$J81),'Prepare Gantt Chart'!AE81=0,0)</f>
        <v>0</v>
      </c>
      <c r="S82" s="45">
        <f>_xlfn.IFS('Prepare Gantt Chart'!AF81=14,'Project types'!$O82*('Prepare Gantt Chart'!$I81*'Prepare Gantt Chart'!$J81),'Prepare Gantt Chart'!AF81=13,'Project types'!$Q82*('Prepare Gantt Chart'!$I81*'Prepare Gantt Chart'!$J81),'Prepare Gantt Chart'!AF81=0,0)</f>
        <v>0</v>
      </c>
      <c r="T82" s="45">
        <f>_xlfn.IFS('Prepare Gantt Chart'!AG81=14,'Project types'!$O82*('Prepare Gantt Chart'!$I81*'Prepare Gantt Chart'!$J81),'Prepare Gantt Chart'!AG81=13,'Project types'!$Q82*('Prepare Gantt Chart'!$I81*'Prepare Gantt Chart'!$J81),'Prepare Gantt Chart'!AG81=0,0)</f>
        <v>0</v>
      </c>
      <c r="U82" s="45">
        <f>_xlfn.IFS('Prepare Gantt Chart'!AH81=14,'Project types'!$O82*('Prepare Gantt Chart'!$I81*'Prepare Gantt Chart'!$J81),'Prepare Gantt Chart'!AH81=13,'Project types'!$Q82*('Prepare Gantt Chart'!$I81*'Prepare Gantt Chart'!$J81),'Prepare Gantt Chart'!AH81=0,0)</f>
        <v>0</v>
      </c>
      <c r="V82" s="45">
        <f>_xlfn.IFS('Prepare Gantt Chart'!AI81=14,'Project types'!$O82*('Prepare Gantt Chart'!$I81*'Prepare Gantt Chart'!$J81),'Prepare Gantt Chart'!AI81=13,'Project types'!$Q82*('Prepare Gantt Chart'!$I81*'Prepare Gantt Chart'!$J81),'Prepare Gantt Chart'!AI81=0,0)</f>
        <v>0</v>
      </c>
      <c r="W82" s="45">
        <f>_xlfn.IFS('Prepare Gantt Chart'!AJ81=14,'Project types'!$O82*('Prepare Gantt Chart'!$I81*'Prepare Gantt Chart'!$J81),'Prepare Gantt Chart'!AJ81=13,'Project types'!$Q82*('Prepare Gantt Chart'!$I81*'Prepare Gantt Chart'!$J81),'Prepare Gantt Chart'!AJ81=0,0)</f>
        <v>0</v>
      </c>
      <c r="X82" s="45">
        <f>_xlfn.IFS('Prepare Gantt Chart'!AK81=14,'Project types'!$O82*('Prepare Gantt Chart'!$I81*'Prepare Gantt Chart'!$J81),'Prepare Gantt Chart'!AK81=13,'Project types'!$Q82*('Prepare Gantt Chart'!$I81*'Prepare Gantt Chart'!$J81),'Prepare Gantt Chart'!AK81=0,0)</f>
        <v>0</v>
      </c>
      <c r="Y82" s="45">
        <f>_xlfn.IFS('Prepare Gantt Chart'!AL81=14,'Project types'!$O82*('Prepare Gantt Chart'!$I81*'Prepare Gantt Chart'!$J81),'Prepare Gantt Chart'!AL81=13,'Project types'!$Q82*('Prepare Gantt Chart'!$I81*'Prepare Gantt Chart'!$J81),'Prepare Gantt Chart'!AL81=0,0)</f>
        <v>0</v>
      </c>
      <c r="Z82" s="45">
        <f>_xlfn.IFS('Prepare Gantt Chart'!AM81=14,'Project types'!$O82*('Prepare Gantt Chart'!$I81*'Prepare Gantt Chart'!$J81),'Prepare Gantt Chart'!AM81=13,'Project types'!$Q82*('Prepare Gantt Chart'!$I81*'Prepare Gantt Chart'!$J81),'Prepare Gantt Chart'!AM81=0,0)</f>
        <v>0</v>
      </c>
      <c r="AA82" s="45">
        <f>_xlfn.IFS('Prepare Gantt Chart'!AN81=14,'Project types'!$O82*('Prepare Gantt Chart'!$I81*'Prepare Gantt Chart'!$J81),'Prepare Gantt Chart'!AN81=13,'Project types'!$Q82*('Prepare Gantt Chart'!$I81*'Prepare Gantt Chart'!$J81),'Prepare Gantt Chart'!AN81=0,0)</f>
        <v>0</v>
      </c>
      <c r="AB82" s="45">
        <f>_xlfn.IFS('Prepare Gantt Chart'!AO81=14,'Project types'!$O82*('Prepare Gantt Chart'!$I81*'Prepare Gantt Chart'!$J81),'Prepare Gantt Chart'!AO81=13,'Project types'!$Q82*('Prepare Gantt Chart'!$I81*'Prepare Gantt Chart'!$J81),'Prepare Gantt Chart'!AO81=0,0)</f>
        <v>0</v>
      </c>
      <c r="AC82" s="45">
        <f>'Prepare Gantt Chart'!J81*'Prepare Gantt Chart'!I81*(AD82/26)</f>
        <v>0</v>
      </c>
      <c r="AD82" s="46">
        <f t="shared" si="2"/>
        <v>0</v>
      </c>
      <c r="AE82" s="72">
        <f>IF('Prepare Gantt Chart'!$J81=0,0,SUM(C82:H82)/6/'Prepare Gantt Chart'!$J81)</f>
        <v>0</v>
      </c>
      <c r="AF82" s="72">
        <f>IF('Prepare Gantt Chart'!$J81=0,0,SUM(I82:M82)/5/'Prepare Gantt Chart'!$J81)</f>
        <v>0</v>
      </c>
      <c r="AG82" s="72">
        <f>IF('Prepare Gantt Chart'!$J81=0,0,SUM(N82:R82)/5/'Prepare Gantt Chart'!$J81)</f>
        <v>0</v>
      </c>
      <c r="AH82" s="72">
        <f>IF('Prepare Gantt Chart'!$J81=0,0,SUM(S82:W82)/5/'Prepare Gantt Chart'!$J81)</f>
        <v>0</v>
      </c>
      <c r="AI82" s="72">
        <f>IF('Prepare Gantt Chart'!$J81=0,0,SUM(X82:AB82)/5/'Prepare Gantt Chart'!$J81)</f>
        <v>0</v>
      </c>
      <c r="AK82" s="36" t="s">
        <v>74</v>
      </c>
      <c r="AL82" s="45">
        <f>_xlfn.IFS('Prepare Gantt Chart'!P81=14,'Project types'!$L82*('Prepare Gantt Chart'!$I81*'Prepare Gantt Chart'!$J81),'Prepare Gantt Chart'!P81=13,'Project types'!$L82*('Prepare Gantt Chart'!$I81*'Prepare Gantt Chart'!$J81),'Prepare Gantt Chart'!P81=0,0)</f>
        <v>0</v>
      </c>
      <c r="AM82" s="45">
        <f>_xlfn.IFS('Prepare Gantt Chart'!Q81=14,'Project types'!$L82*('Prepare Gantt Chart'!$I81*'Prepare Gantt Chart'!$J81),'Prepare Gantt Chart'!Q81=13,'Project types'!$L82*('Prepare Gantt Chart'!$I81*'Prepare Gantt Chart'!$J81),'Prepare Gantt Chart'!Q81=0,0)</f>
        <v>0</v>
      </c>
      <c r="AN82" s="45">
        <f>_xlfn.IFS('Prepare Gantt Chart'!R81=14,'Project types'!$L82*('Prepare Gantt Chart'!$I81*'Prepare Gantt Chart'!$J81),'Prepare Gantt Chart'!R81=13,'Project types'!$L82*('Prepare Gantt Chart'!$I81*'Prepare Gantt Chart'!$J81),'Prepare Gantt Chart'!R81=0,0)</f>
        <v>0</v>
      </c>
      <c r="AO82" s="45">
        <f>_xlfn.IFS('Prepare Gantt Chart'!S81=14,'Project types'!$L82*('Prepare Gantt Chart'!$I81*'Prepare Gantt Chart'!$J81),'Prepare Gantt Chart'!S81=13,'Project types'!$L82*('Prepare Gantt Chart'!$I81*'Prepare Gantt Chart'!$J81),'Prepare Gantt Chart'!S81=0,0)</f>
        <v>0</v>
      </c>
      <c r="AP82" s="45">
        <f>_xlfn.IFS('Prepare Gantt Chart'!T81=14,'Project types'!$L82*('Prepare Gantt Chart'!$I81*'Prepare Gantt Chart'!$J81),'Prepare Gantt Chart'!T81=13,'Project types'!$L82*('Prepare Gantt Chart'!$I81*'Prepare Gantt Chart'!$J81),'Prepare Gantt Chart'!T81=0,0)</f>
        <v>0</v>
      </c>
      <c r="AQ82" s="45">
        <f>_xlfn.IFS('Prepare Gantt Chart'!U81=14,'Project types'!$L82*('Prepare Gantt Chart'!$I81*'Prepare Gantt Chart'!$J81),'Prepare Gantt Chart'!U81=13,'Project types'!$L82*('Prepare Gantt Chart'!$I81*'Prepare Gantt Chart'!$J81),'Prepare Gantt Chart'!U81=0,0)</f>
        <v>0</v>
      </c>
      <c r="AR82" s="45">
        <f>_xlfn.IFS('Prepare Gantt Chart'!V81=14,'Project types'!$L82*('Prepare Gantt Chart'!$I81*'Prepare Gantt Chart'!$J81),'Prepare Gantt Chart'!V81=13,'Project types'!$L82*('Prepare Gantt Chart'!$I81*'Prepare Gantt Chart'!$J81),'Prepare Gantt Chart'!V81=0,0)</f>
        <v>0</v>
      </c>
      <c r="AS82" s="45">
        <f>_xlfn.IFS('Prepare Gantt Chart'!W81=14,'Project types'!$L82*('Prepare Gantt Chart'!$I81*'Prepare Gantt Chart'!$J81),'Prepare Gantt Chart'!W81=13,'Project types'!$L82*('Prepare Gantt Chart'!$I81*'Prepare Gantt Chart'!$J81),'Prepare Gantt Chart'!W81=0,0)</f>
        <v>0</v>
      </c>
      <c r="AT82" s="45">
        <f>_xlfn.IFS('Prepare Gantt Chart'!X81=14,'Project types'!$L82*('Prepare Gantt Chart'!$I81*'Prepare Gantt Chart'!$J81),'Prepare Gantt Chart'!X81=13,'Project types'!$L82*('Prepare Gantt Chart'!$I81*'Prepare Gantt Chart'!$J81),'Prepare Gantt Chart'!X81=0,0)</f>
        <v>0</v>
      </c>
      <c r="AU82" s="45">
        <f>_xlfn.IFS('Prepare Gantt Chart'!Y81=14,'Project types'!$L82*('Prepare Gantt Chart'!$I81*'Prepare Gantt Chart'!$J81),'Prepare Gantt Chart'!Y81=13,'Project types'!$L82*('Prepare Gantt Chart'!$I81*'Prepare Gantt Chart'!$J81),'Prepare Gantt Chart'!Y81=0,0)</f>
        <v>0</v>
      </c>
      <c r="AV82" s="45">
        <f>_xlfn.IFS('Prepare Gantt Chart'!Z81=14,'Project types'!$L82*('Prepare Gantt Chart'!$I81*'Prepare Gantt Chart'!$J81),'Prepare Gantt Chart'!Z81=13,'Project types'!$L82*('Prepare Gantt Chart'!$I81*'Prepare Gantt Chart'!$J81),'Prepare Gantt Chart'!Z81=0,0)</f>
        <v>0</v>
      </c>
      <c r="AW82" s="45">
        <f>_xlfn.IFS('Prepare Gantt Chart'!AA81=14,'Project types'!$L82*('Prepare Gantt Chart'!$I81*'Prepare Gantt Chart'!$J81),'Prepare Gantt Chart'!AA81=13,'Project types'!$L82*('Prepare Gantt Chart'!$I81*'Prepare Gantt Chart'!$J81),'Prepare Gantt Chart'!AA81=0,0)</f>
        <v>0</v>
      </c>
      <c r="AX82" s="45">
        <f>_xlfn.IFS('Prepare Gantt Chart'!AB81=14,'Project types'!$L82*('Prepare Gantt Chart'!$I81*'Prepare Gantt Chart'!$J81),'Prepare Gantt Chart'!AB81=13,'Project types'!$L82*('Prepare Gantt Chart'!$I81*'Prepare Gantt Chart'!$J81),'Prepare Gantt Chart'!AB81=0,0)</f>
        <v>0</v>
      </c>
      <c r="AY82" s="45">
        <f>_xlfn.IFS('Prepare Gantt Chart'!AC81=14,'Project types'!$L82*('Prepare Gantt Chart'!$I81*'Prepare Gantt Chart'!$J81),'Prepare Gantt Chart'!AC81=13,'Project types'!$L82*('Prepare Gantt Chart'!$I81*'Prepare Gantt Chart'!$J81),'Prepare Gantt Chart'!AC81=0,0)</f>
        <v>0</v>
      </c>
      <c r="AZ82" s="45">
        <f>_xlfn.IFS('Prepare Gantt Chart'!AD81=14,'Project types'!$L82*('Prepare Gantt Chart'!$I81*'Prepare Gantt Chart'!$J81),'Prepare Gantt Chart'!AD81=13,'Project types'!$L82*('Prepare Gantt Chart'!$I81*'Prepare Gantt Chart'!$J81),'Prepare Gantt Chart'!AD81=0,0)</f>
        <v>0</v>
      </c>
      <c r="BA82" s="45">
        <f>_xlfn.IFS('Prepare Gantt Chart'!AE81=14,'Project types'!$L82*('Prepare Gantt Chart'!$I81*'Prepare Gantt Chart'!$J81),'Prepare Gantt Chart'!AE81=13,'Project types'!$L82*('Prepare Gantt Chart'!$I81*'Prepare Gantt Chart'!$J81),'Prepare Gantt Chart'!AE81=0,0)</f>
        <v>0</v>
      </c>
      <c r="BB82" s="45">
        <f>_xlfn.IFS('Prepare Gantt Chart'!AF81=14,'Project types'!$L82*('Prepare Gantt Chart'!$I81*'Prepare Gantt Chart'!$J81),'Prepare Gantt Chart'!AF81=13,'Project types'!$L82*('Prepare Gantt Chart'!$I81*'Prepare Gantt Chart'!$J81),'Prepare Gantt Chart'!AF81=0,0)</f>
        <v>0</v>
      </c>
      <c r="BC82" s="45">
        <f>_xlfn.IFS('Prepare Gantt Chart'!AG81=14,'Project types'!$L82*('Prepare Gantt Chart'!$I81*'Prepare Gantt Chart'!$J81),'Prepare Gantt Chart'!AG81=13,'Project types'!$L82*('Prepare Gantt Chart'!$I81*'Prepare Gantt Chart'!$J81),'Prepare Gantt Chart'!AG81=0,0)</f>
        <v>0</v>
      </c>
      <c r="BD82" s="45">
        <f>_xlfn.IFS('Prepare Gantt Chart'!AH81=14,'Project types'!$L82*('Prepare Gantt Chart'!$I81*'Prepare Gantt Chart'!$J81),'Prepare Gantt Chart'!AH81=13,'Project types'!$L82*('Prepare Gantt Chart'!$I81*'Prepare Gantt Chart'!$J81),'Prepare Gantt Chart'!AH81=0,0)</f>
        <v>0</v>
      </c>
      <c r="BE82" s="45">
        <f>_xlfn.IFS('Prepare Gantt Chart'!AI81=14,'Project types'!$L82*('Prepare Gantt Chart'!$I81*'Prepare Gantt Chart'!$J81),'Prepare Gantt Chart'!AI81=13,'Project types'!$L82*('Prepare Gantt Chart'!$I81*'Prepare Gantt Chart'!$J81),'Prepare Gantt Chart'!AI81=0,0)</f>
        <v>0</v>
      </c>
      <c r="BF82" s="45">
        <f>_xlfn.IFS('Prepare Gantt Chart'!AJ81=14,'Project types'!$L82*('Prepare Gantt Chart'!$I81*'Prepare Gantt Chart'!$J81),'Prepare Gantt Chart'!AJ81=13,'Project types'!$L82*('Prepare Gantt Chart'!$I81*'Prepare Gantt Chart'!$J81),'Prepare Gantt Chart'!AJ81=0,0)</f>
        <v>0</v>
      </c>
      <c r="BG82" s="45">
        <f>_xlfn.IFS('Prepare Gantt Chart'!AK81=14,'Project types'!$L82*('Prepare Gantt Chart'!$I81*'Prepare Gantt Chart'!$J81),'Prepare Gantt Chart'!AK81=13,'Project types'!$L82*('Prepare Gantt Chart'!$I81*'Prepare Gantt Chart'!$J81),'Prepare Gantt Chart'!AK81=0,0)</f>
        <v>0</v>
      </c>
      <c r="BH82" s="45">
        <f>_xlfn.IFS('Prepare Gantt Chart'!AL81=14,'Project types'!$L82*('Prepare Gantt Chart'!$I81*'Prepare Gantt Chart'!$J81),'Prepare Gantt Chart'!AL81=13,'Project types'!$L82*('Prepare Gantt Chart'!$I81*'Prepare Gantt Chart'!$J81),'Prepare Gantt Chart'!AL81=0,0)</f>
        <v>0</v>
      </c>
      <c r="BI82" s="45">
        <f>_xlfn.IFS('Prepare Gantt Chart'!AM81=14,'Project types'!$L82*('Prepare Gantt Chart'!$I81*'Prepare Gantt Chart'!$J81),'Prepare Gantt Chart'!AM81=13,'Project types'!$L82*('Prepare Gantt Chart'!$I81*'Prepare Gantt Chart'!$J81),'Prepare Gantt Chart'!AM81=0,0)</f>
        <v>0</v>
      </c>
      <c r="BJ82" s="45">
        <f>_xlfn.IFS('Prepare Gantt Chart'!AN81=14,'Project types'!$L82*('Prepare Gantt Chart'!$I81*'Prepare Gantt Chart'!$J81),'Prepare Gantt Chart'!AN81=13,'Project types'!$L82*('Prepare Gantt Chart'!$I81*'Prepare Gantt Chart'!$J81),'Prepare Gantt Chart'!AN81=0,0)</f>
        <v>0</v>
      </c>
      <c r="BK82" s="45">
        <f>_xlfn.IFS('Prepare Gantt Chart'!AO81=14,'Project types'!$L82*('Prepare Gantt Chart'!$I81*'Prepare Gantt Chart'!$J81),'Prepare Gantt Chart'!AO81=13,'Project types'!$L82*('Prepare Gantt Chart'!$I81*'Prepare Gantt Chart'!$J81),'Prepare Gantt Chart'!AO81=0,0)</f>
        <v>0</v>
      </c>
      <c r="BL82" s="46">
        <f t="shared" si="3"/>
        <v>0</v>
      </c>
      <c r="BM82" s="75">
        <f>IF('Prepare Gantt Chart'!$J81=0,0,SUM(AL82:AQ82)/6/'Prepare Gantt Chart'!$J81)</f>
        <v>0</v>
      </c>
      <c r="BN82" s="75">
        <f>IF('Prepare Gantt Chart'!$J81=0,0,SUM(AR82:AV82)/5/'Prepare Gantt Chart'!$J81)</f>
        <v>0</v>
      </c>
      <c r="BO82" s="75">
        <f>IF('Prepare Gantt Chart'!$J81=0,0,SUM(AW82:BA82)/5/'Prepare Gantt Chart'!$J81)</f>
        <v>0</v>
      </c>
      <c r="BP82" s="75">
        <f>IF('Prepare Gantt Chart'!$J81=0,0,SUM(BB82:BF82)/5/'Prepare Gantt Chart'!$J81)</f>
        <v>0</v>
      </c>
      <c r="BQ82" s="75">
        <f>IF('Prepare Gantt Chart'!$J81=0,0,SUM(BG82:BK82)/5/'Prepare Gantt Chart'!$J81)</f>
        <v>0</v>
      </c>
    </row>
    <row r="83" spans="1:69" x14ac:dyDescent="0.2">
      <c r="A83" s="36" t="s">
        <v>75</v>
      </c>
      <c r="B83" s="1" t="s">
        <v>154</v>
      </c>
      <c r="C83" s="45">
        <f>_xlfn.IFS('Prepare Gantt Chart'!P82=14,'Project types'!$O83*('Prepare Gantt Chart'!$I82*'Prepare Gantt Chart'!$J82),'Prepare Gantt Chart'!P82=13,'Project types'!$Q83*('Prepare Gantt Chart'!$I82*'Prepare Gantt Chart'!$J82),'Prepare Gantt Chart'!P82=0,0)</f>
        <v>0</v>
      </c>
      <c r="D83" s="45">
        <f>_xlfn.IFS('Prepare Gantt Chart'!Q82=14,'Project types'!$O83*('Prepare Gantt Chart'!$I82*'Prepare Gantt Chart'!$J82),'Prepare Gantt Chart'!Q82=13,'Project types'!$Q83*('Prepare Gantt Chart'!$I82*'Prepare Gantt Chart'!$J82),'Prepare Gantt Chart'!Q82=0,0)</f>
        <v>0</v>
      </c>
      <c r="E83" s="45">
        <f>_xlfn.IFS('Prepare Gantt Chart'!R82=14,'Project types'!$O83*('Prepare Gantt Chart'!$I82*'Prepare Gantt Chart'!$J82),'Prepare Gantt Chart'!R82=13,'Project types'!$Q83*('Prepare Gantt Chart'!$I82*'Prepare Gantt Chart'!$J82),'Prepare Gantt Chart'!R82=0,0)</f>
        <v>0</v>
      </c>
      <c r="F83" s="45">
        <f>_xlfn.IFS('Prepare Gantt Chart'!S82=14,'Project types'!$O83*('Prepare Gantt Chart'!$I82*'Prepare Gantt Chart'!$J82),'Prepare Gantt Chart'!S82=13,'Project types'!$Q83*('Prepare Gantt Chart'!$I82*'Prepare Gantt Chart'!$J82),'Prepare Gantt Chart'!S82=0,0)</f>
        <v>0</v>
      </c>
      <c r="G83" s="45">
        <f>_xlfn.IFS('Prepare Gantt Chart'!T82=14,'Project types'!$O83*('Prepare Gantt Chart'!$I82*'Prepare Gantt Chart'!$J82),'Prepare Gantt Chart'!T82=13,'Project types'!$Q83*('Prepare Gantt Chart'!$I82*'Prepare Gantt Chart'!$J82),'Prepare Gantt Chart'!T82=0,0)</f>
        <v>0</v>
      </c>
      <c r="H83" s="45">
        <f>_xlfn.IFS('Prepare Gantt Chart'!U82=14,'Project types'!$O83*('Prepare Gantt Chart'!$I82*'Prepare Gantt Chart'!$J82),'Prepare Gantt Chart'!U82=13,'Project types'!$Q83*('Prepare Gantt Chart'!$I82*'Prepare Gantt Chart'!$J82),'Prepare Gantt Chart'!U82=0,0)</f>
        <v>0</v>
      </c>
      <c r="I83" s="45">
        <f>_xlfn.IFS('Prepare Gantt Chart'!V82=14,'Project types'!$O83*('Prepare Gantt Chart'!$I82*'Prepare Gantt Chart'!$J82),'Prepare Gantt Chart'!V82=13,'Project types'!$Q83*('Prepare Gantt Chart'!$I82*'Prepare Gantt Chart'!$J82),'Prepare Gantt Chart'!V82=0,0)</f>
        <v>0</v>
      </c>
      <c r="J83" s="45">
        <f>_xlfn.IFS('Prepare Gantt Chart'!W82=14,'Project types'!$O83*('Prepare Gantt Chart'!$I82*'Prepare Gantt Chart'!$J82),'Prepare Gantt Chart'!W82=13,'Project types'!$Q83*('Prepare Gantt Chart'!$I82*'Prepare Gantt Chart'!$J82),'Prepare Gantt Chart'!W82=0,0)</f>
        <v>0</v>
      </c>
      <c r="K83" s="45">
        <f>_xlfn.IFS('Prepare Gantt Chart'!X82=14,'Project types'!$O83*('Prepare Gantt Chart'!$I82*'Prepare Gantt Chart'!$J82),'Prepare Gantt Chart'!X82=13,'Project types'!$Q83*('Prepare Gantt Chart'!$I82*'Prepare Gantt Chart'!$J82),'Prepare Gantt Chart'!X82=0,0)</f>
        <v>0</v>
      </c>
      <c r="L83" s="45">
        <f>_xlfn.IFS('Prepare Gantt Chart'!Y82=14,'Project types'!$O83*('Prepare Gantt Chart'!$I82*'Prepare Gantt Chart'!$J82),'Prepare Gantt Chart'!Y82=13,'Project types'!$Q83*('Prepare Gantt Chart'!$I82*'Prepare Gantt Chart'!$J82),'Prepare Gantt Chart'!Y82=0,0)</f>
        <v>0</v>
      </c>
      <c r="M83" s="45">
        <f>_xlfn.IFS('Prepare Gantt Chart'!Z82=14,'Project types'!$O83*('Prepare Gantt Chart'!$I82*'Prepare Gantt Chart'!$J82),'Prepare Gantt Chart'!Z82=13,'Project types'!$Q83*('Prepare Gantt Chart'!$I82*'Prepare Gantt Chart'!$J82),'Prepare Gantt Chart'!Z82=0,0)</f>
        <v>0</v>
      </c>
      <c r="N83" s="45">
        <f>_xlfn.IFS('Prepare Gantt Chart'!AA82=14,'Project types'!$O83*('Prepare Gantt Chart'!$I82*'Prepare Gantt Chart'!$J82),'Prepare Gantt Chart'!AA82=13,'Project types'!$Q83*('Prepare Gantt Chart'!$I82*'Prepare Gantt Chart'!$J82),'Prepare Gantt Chart'!AA82=0,0)</f>
        <v>0</v>
      </c>
      <c r="O83" s="45">
        <f>_xlfn.IFS('Prepare Gantt Chart'!AB82=14,'Project types'!$O83*('Prepare Gantt Chart'!$I82*'Prepare Gantt Chart'!$J82),'Prepare Gantt Chart'!AB82=13,'Project types'!$Q83*('Prepare Gantt Chart'!$I82*'Prepare Gantt Chart'!$J82),'Prepare Gantt Chart'!AB82=0,0)</f>
        <v>0</v>
      </c>
      <c r="P83" s="45">
        <f>_xlfn.IFS('Prepare Gantt Chart'!AC82=14,'Project types'!$O83*('Prepare Gantt Chart'!$I82*'Prepare Gantt Chart'!$J82),'Prepare Gantt Chart'!AC82=13,'Project types'!$Q83*('Prepare Gantt Chart'!$I82*'Prepare Gantt Chart'!$J82),'Prepare Gantt Chart'!AC82=0,0)</f>
        <v>0</v>
      </c>
      <c r="Q83" s="45">
        <f>_xlfn.IFS('Prepare Gantt Chart'!AD82=14,'Project types'!$O83*('Prepare Gantt Chart'!$I82*'Prepare Gantt Chart'!$J82),'Prepare Gantt Chart'!AD82=13,'Project types'!$Q83*('Prepare Gantt Chart'!$I82*'Prepare Gantt Chart'!$J82),'Prepare Gantt Chart'!AD82=0,0)</f>
        <v>0</v>
      </c>
      <c r="R83" s="45">
        <f>_xlfn.IFS('Prepare Gantt Chart'!AE82=14,'Project types'!$O83*('Prepare Gantt Chart'!$I82*'Prepare Gantt Chart'!$J82),'Prepare Gantt Chart'!AE82=13,'Project types'!$Q83*('Prepare Gantt Chart'!$I82*'Prepare Gantt Chart'!$J82),'Prepare Gantt Chart'!AE82=0,0)</f>
        <v>0</v>
      </c>
      <c r="S83" s="45">
        <f>_xlfn.IFS('Prepare Gantt Chart'!AF82=14,'Project types'!$O83*('Prepare Gantt Chart'!$I82*'Prepare Gantt Chart'!$J82),'Prepare Gantt Chart'!AF82=13,'Project types'!$Q83*('Prepare Gantt Chart'!$I82*'Prepare Gantt Chart'!$J82),'Prepare Gantt Chart'!AF82=0,0)</f>
        <v>0</v>
      </c>
      <c r="T83" s="45">
        <f>_xlfn.IFS('Prepare Gantt Chart'!AG82=14,'Project types'!$O83*('Prepare Gantt Chart'!$I82*'Prepare Gantt Chart'!$J82),'Prepare Gantt Chart'!AG82=13,'Project types'!$Q83*('Prepare Gantt Chart'!$I82*'Prepare Gantt Chart'!$J82),'Prepare Gantt Chart'!AG82=0,0)</f>
        <v>0</v>
      </c>
      <c r="U83" s="45">
        <f>_xlfn.IFS('Prepare Gantt Chart'!AH82=14,'Project types'!$O83*('Prepare Gantt Chart'!$I82*'Prepare Gantt Chart'!$J82),'Prepare Gantt Chart'!AH82=13,'Project types'!$Q83*('Prepare Gantt Chart'!$I82*'Prepare Gantt Chart'!$J82),'Prepare Gantt Chart'!AH82=0,0)</f>
        <v>0</v>
      </c>
      <c r="V83" s="45">
        <f>_xlfn.IFS('Prepare Gantt Chart'!AI82=14,'Project types'!$O83*('Prepare Gantt Chart'!$I82*'Prepare Gantt Chart'!$J82),'Prepare Gantt Chart'!AI82=13,'Project types'!$Q83*('Prepare Gantt Chart'!$I82*'Prepare Gantt Chart'!$J82),'Prepare Gantt Chart'!AI82=0,0)</f>
        <v>0</v>
      </c>
      <c r="W83" s="45">
        <f>_xlfn.IFS('Prepare Gantt Chart'!AJ82=14,'Project types'!$O83*('Prepare Gantt Chart'!$I82*'Prepare Gantt Chart'!$J82),'Prepare Gantt Chart'!AJ82=13,'Project types'!$Q83*('Prepare Gantt Chart'!$I82*'Prepare Gantt Chart'!$J82),'Prepare Gantt Chart'!AJ82=0,0)</f>
        <v>0</v>
      </c>
      <c r="X83" s="45">
        <f>_xlfn.IFS('Prepare Gantt Chart'!AK82=14,'Project types'!$O83*('Prepare Gantt Chart'!$I82*'Prepare Gantt Chart'!$J82),'Prepare Gantt Chart'!AK82=13,'Project types'!$Q83*('Prepare Gantt Chart'!$I82*'Prepare Gantt Chart'!$J82),'Prepare Gantt Chart'!AK82=0,0)</f>
        <v>0</v>
      </c>
      <c r="Y83" s="45">
        <f>_xlfn.IFS('Prepare Gantt Chart'!AL82=14,'Project types'!$O83*('Prepare Gantt Chart'!$I82*'Prepare Gantt Chart'!$J82),'Prepare Gantt Chart'!AL82=13,'Project types'!$Q83*('Prepare Gantt Chart'!$I82*'Prepare Gantt Chart'!$J82),'Prepare Gantt Chart'!AL82=0,0)</f>
        <v>0</v>
      </c>
      <c r="Z83" s="45">
        <f>_xlfn.IFS('Prepare Gantt Chart'!AM82=14,'Project types'!$O83*('Prepare Gantt Chart'!$I82*'Prepare Gantt Chart'!$J82),'Prepare Gantt Chart'!AM82=13,'Project types'!$Q83*('Prepare Gantt Chart'!$I82*'Prepare Gantt Chart'!$J82),'Prepare Gantt Chart'!AM82=0,0)</f>
        <v>0</v>
      </c>
      <c r="AA83" s="45">
        <f>_xlfn.IFS('Prepare Gantt Chart'!AN82=14,'Project types'!$O83*('Prepare Gantt Chart'!$I82*'Prepare Gantt Chart'!$J82),'Prepare Gantt Chart'!AN82=13,'Project types'!$Q83*('Prepare Gantt Chart'!$I82*'Prepare Gantt Chart'!$J82),'Prepare Gantt Chart'!AN82=0,0)</f>
        <v>0</v>
      </c>
      <c r="AB83" s="45">
        <f>_xlfn.IFS('Prepare Gantt Chart'!AO82=14,'Project types'!$O83*('Prepare Gantt Chart'!$I82*'Prepare Gantt Chart'!$J82),'Prepare Gantt Chart'!AO82=13,'Project types'!$Q83*('Prepare Gantt Chart'!$I82*'Prepare Gantt Chart'!$J82),'Prepare Gantt Chart'!AO82=0,0)</f>
        <v>0</v>
      </c>
      <c r="AC83" s="45">
        <f>'Prepare Gantt Chart'!J82*'Prepare Gantt Chart'!I82*(AD83/26)</f>
        <v>0</v>
      </c>
      <c r="AD83" s="46">
        <f t="shared" si="2"/>
        <v>0</v>
      </c>
      <c r="AE83" s="72">
        <f>IF('Prepare Gantt Chart'!$J82=0,0,SUM(C83:H83)/6/'Prepare Gantt Chart'!$J82)</f>
        <v>0</v>
      </c>
      <c r="AF83" s="72">
        <f>IF('Prepare Gantt Chart'!$J82=0,0,SUM(I83:M83)/5/'Prepare Gantt Chart'!$J82)</f>
        <v>0</v>
      </c>
      <c r="AG83" s="72">
        <f>IF('Prepare Gantt Chart'!$J82=0,0,SUM(N83:R83)/5/'Prepare Gantt Chart'!$J82)</f>
        <v>0</v>
      </c>
      <c r="AH83" s="72">
        <f>IF('Prepare Gantt Chart'!$J82=0,0,SUM(S83:W83)/5/'Prepare Gantt Chart'!$J82)</f>
        <v>0</v>
      </c>
      <c r="AI83" s="72">
        <f>IF('Prepare Gantt Chart'!$J82=0,0,SUM(X83:AB83)/5/'Prepare Gantt Chart'!$J82)</f>
        <v>0</v>
      </c>
      <c r="AK83" s="36" t="s">
        <v>75</v>
      </c>
      <c r="AL83" s="45">
        <f>_xlfn.IFS('Prepare Gantt Chart'!P82=14,'Project types'!$L83*('Prepare Gantt Chart'!$I82*'Prepare Gantt Chart'!$J82),'Prepare Gantt Chart'!P82=13,'Project types'!$L83*('Prepare Gantt Chart'!$I82*'Prepare Gantt Chart'!$J82),'Prepare Gantt Chart'!P82=0,0)</f>
        <v>0</v>
      </c>
      <c r="AM83" s="45">
        <f>_xlfn.IFS('Prepare Gantt Chart'!Q82=14,'Project types'!$L83*('Prepare Gantt Chart'!$I82*'Prepare Gantt Chart'!$J82),'Prepare Gantt Chart'!Q82=13,'Project types'!$L83*('Prepare Gantt Chart'!$I82*'Prepare Gantt Chart'!$J82),'Prepare Gantt Chart'!Q82=0,0)</f>
        <v>0</v>
      </c>
      <c r="AN83" s="45">
        <f>_xlfn.IFS('Prepare Gantt Chart'!R82=14,'Project types'!$L83*('Prepare Gantt Chart'!$I82*'Prepare Gantt Chart'!$J82),'Prepare Gantt Chart'!R82=13,'Project types'!$L83*('Prepare Gantt Chart'!$I82*'Prepare Gantt Chart'!$J82),'Prepare Gantt Chart'!R82=0,0)</f>
        <v>0</v>
      </c>
      <c r="AO83" s="45">
        <f>_xlfn.IFS('Prepare Gantt Chart'!S82=14,'Project types'!$L83*('Prepare Gantt Chart'!$I82*'Prepare Gantt Chart'!$J82),'Prepare Gantt Chart'!S82=13,'Project types'!$L83*('Prepare Gantt Chart'!$I82*'Prepare Gantt Chart'!$J82),'Prepare Gantt Chart'!S82=0,0)</f>
        <v>0</v>
      </c>
      <c r="AP83" s="45">
        <f>_xlfn.IFS('Prepare Gantt Chart'!T82=14,'Project types'!$L83*('Prepare Gantt Chart'!$I82*'Prepare Gantt Chart'!$J82),'Prepare Gantt Chart'!T82=13,'Project types'!$L83*('Prepare Gantt Chart'!$I82*'Prepare Gantt Chart'!$J82),'Prepare Gantt Chart'!T82=0,0)</f>
        <v>0</v>
      </c>
      <c r="AQ83" s="45">
        <f>_xlfn.IFS('Prepare Gantt Chart'!U82=14,'Project types'!$L83*('Prepare Gantt Chart'!$I82*'Prepare Gantt Chart'!$J82),'Prepare Gantt Chart'!U82=13,'Project types'!$L83*('Prepare Gantt Chart'!$I82*'Prepare Gantt Chart'!$J82),'Prepare Gantt Chart'!U82=0,0)</f>
        <v>0</v>
      </c>
      <c r="AR83" s="45">
        <f>_xlfn.IFS('Prepare Gantt Chart'!V82=14,'Project types'!$L83*('Prepare Gantt Chart'!$I82*'Prepare Gantt Chart'!$J82),'Prepare Gantt Chart'!V82=13,'Project types'!$L83*('Prepare Gantt Chart'!$I82*'Prepare Gantt Chart'!$J82),'Prepare Gantt Chart'!V82=0,0)</f>
        <v>0</v>
      </c>
      <c r="AS83" s="45">
        <f>_xlfn.IFS('Prepare Gantt Chart'!W82=14,'Project types'!$L83*('Prepare Gantt Chart'!$I82*'Prepare Gantt Chart'!$J82),'Prepare Gantt Chart'!W82=13,'Project types'!$L83*('Prepare Gantt Chart'!$I82*'Prepare Gantt Chart'!$J82),'Prepare Gantt Chart'!W82=0,0)</f>
        <v>0</v>
      </c>
      <c r="AT83" s="45">
        <f>_xlfn.IFS('Prepare Gantt Chart'!X82=14,'Project types'!$L83*('Prepare Gantt Chart'!$I82*'Prepare Gantt Chart'!$J82),'Prepare Gantt Chart'!X82=13,'Project types'!$L83*('Prepare Gantt Chart'!$I82*'Prepare Gantt Chart'!$J82),'Prepare Gantt Chart'!X82=0,0)</f>
        <v>0</v>
      </c>
      <c r="AU83" s="45">
        <f>_xlfn.IFS('Prepare Gantt Chart'!Y82=14,'Project types'!$L83*('Prepare Gantt Chart'!$I82*'Prepare Gantt Chart'!$J82),'Prepare Gantt Chart'!Y82=13,'Project types'!$L83*('Prepare Gantt Chart'!$I82*'Prepare Gantt Chart'!$J82),'Prepare Gantt Chart'!Y82=0,0)</f>
        <v>0</v>
      </c>
      <c r="AV83" s="45">
        <f>_xlfn.IFS('Prepare Gantt Chart'!Z82=14,'Project types'!$L83*('Prepare Gantt Chart'!$I82*'Prepare Gantt Chart'!$J82),'Prepare Gantt Chart'!Z82=13,'Project types'!$L83*('Prepare Gantt Chart'!$I82*'Prepare Gantt Chart'!$J82),'Prepare Gantt Chart'!Z82=0,0)</f>
        <v>0</v>
      </c>
      <c r="AW83" s="45">
        <f>_xlfn.IFS('Prepare Gantt Chart'!AA82=14,'Project types'!$L83*('Prepare Gantt Chart'!$I82*'Prepare Gantt Chart'!$J82),'Prepare Gantt Chart'!AA82=13,'Project types'!$L83*('Prepare Gantt Chart'!$I82*'Prepare Gantt Chart'!$J82),'Prepare Gantt Chart'!AA82=0,0)</f>
        <v>0</v>
      </c>
      <c r="AX83" s="45">
        <f>_xlfn.IFS('Prepare Gantt Chart'!AB82=14,'Project types'!$L83*('Prepare Gantt Chart'!$I82*'Prepare Gantt Chart'!$J82),'Prepare Gantt Chart'!AB82=13,'Project types'!$L83*('Prepare Gantt Chart'!$I82*'Prepare Gantt Chart'!$J82),'Prepare Gantt Chart'!AB82=0,0)</f>
        <v>0</v>
      </c>
      <c r="AY83" s="45">
        <f>_xlfn.IFS('Prepare Gantt Chart'!AC82=14,'Project types'!$L83*('Prepare Gantt Chart'!$I82*'Prepare Gantt Chart'!$J82),'Prepare Gantt Chart'!AC82=13,'Project types'!$L83*('Prepare Gantt Chart'!$I82*'Prepare Gantt Chart'!$J82),'Prepare Gantt Chart'!AC82=0,0)</f>
        <v>0</v>
      </c>
      <c r="AZ83" s="45">
        <f>_xlfn.IFS('Prepare Gantt Chart'!AD82=14,'Project types'!$L83*('Prepare Gantt Chart'!$I82*'Prepare Gantt Chart'!$J82),'Prepare Gantt Chart'!AD82=13,'Project types'!$L83*('Prepare Gantt Chart'!$I82*'Prepare Gantt Chart'!$J82),'Prepare Gantt Chart'!AD82=0,0)</f>
        <v>0</v>
      </c>
      <c r="BA83" s="45">
        <f>_xlfn.IFS('Prepare Gantt Chart'!AE82=14,'Project types'!$L83*('Prepare Gantt Chart'!$I82*'Prepare Gantt Chart'!$J82),'Prepare Gantt Chart'!AE82=13,'Project types'!$L83*('Prepare Gantt Chart'!$I82*'Prepare Gantt Chart'!$J82),'Prepare Gantt Chart'!AE82=0,0)</f>
        <v>0</v>
      </c>
      <c r="BB83" s="45">
        <f>_xlfn.IFS('Prepare Gantt Chart'!AF82=14,'Project types'!$L83*('Prepare Gantt Chart'!$I82*'Prepare Gantt Chart'!$J82),'Prepare Gantt Chart'!AF82=13,'Project types'!$L83*('Prepare Gantt Chart'!$I82*'Prepare Gantt Chart'!$J82),'Prepare Gantt Chart'!AF82=0,0)</f>
        <v>0</v>
      </c>
      <c r="BC83" s="45">
        <f>_xlfn.IFS('Prepare Gantt Chart'!AG82=14,'Project types'!$L83*('Prepare Gantt Chart'!$I82*'Prepare Gantt Chart'!$J82),'Prepare Gantt Chart'!AG82=13,'Project types'!$L83*('Prepare Gantt Chart'!$I82*'Prepare Gantt Chart'!$J82),'Prepare Gantt Chart'!AG82=0,0)</f>
        <v>0</v>
      </c>
      <c r="BD83" s="45">
        <f>_xlfn.IFS('Prepare Gantt Chart'!AH82=14,'Project types'!$L83*('Prepare Gantt Chart'!$I82*'Prepare Gantt Chart'!$J82),'Prepare Gantt Chart'!AH82=13,'Project types'!$L83*('Prepare Gantt Chart'!$I82*'Prepare Gantt Chart'!$J82),'Prepare Gantt Chart'!AH82=0,0)</f>
        <v>0</v>
      </c>
      <c r="BE83" s="45">
        <f>_xlfn.IFS('Prepare Gantt Chart'!AI82=14,'Project types'!$L83*('Prepare Gantt Chart'!$I82*'Prepare Gantt Chart'!$J82),'Prepare Gantt Chart'!AI82=13,'Project types'!$L83*('Prepare Gantt Chart'!$I82*'Prepare Gantt Chart'!$J82),'Prepare Gantt Chart'!AI82=0,0)</f>
        <v>0</v>
      </c>
      <c r="BF83" s="45">
        <f>_xlfn.IFS('Prepare Gantt Chart'!AJ82=14,'Project types'!$L83*('Prepare Gantt Chart'!$I82*'Prepare Gantt Chart'!$J82),'Prepare Gantt Chart'!AJ82=13,'Project types'!$L83*('Prepare Gantt Chart'!$I82*'Prepare Gantt Chart'!$J82),'Prepare Gantt Chart'!AJ82=0,0)</f>
        <v>0</v>
      </c>
      <c r="BG83" s="45">
        <f>_xlfn.IFS('Prepare Gantt Chart'!AK82=14,'Project types'!$L83*('Prepare Gantt Chart'!$I82*'Prepare Gantt Chart'!$J82),'Prepare Gantt Chart'!AK82=13,'Project types'!$L83*('Prepare Gantt Chart'!$I82*'Prepare Gantt Chart'!$J82),'Prepare Gantt Chart'!AK82=0,0)</f>
        <v>0</v>
      </c>
      <c r="BH83" s="45">
        <f>_xlfn.IFS('Prepare Gantt Chart'!AL82=14,'Project types'!$L83*('Prepare Gantt Chart'!$I82*'Prepare Gantt Chart'!$J82),'Prepare Gantt Chart'!AL82=13,'Project types'!$L83*('Prepare Gantt Chart'!$I82*'Prepare Gantt Chart'!$J82),'Prepare Gantt Chart'!AL82=0,0)</f>
        <v>0</v>
      </c>
      <c r="BI83" s="45">
        <f>_xlfn.IFS('Prepare Gantt Chart'!AM82=14,'Project types'!$L83*('Prepare Gantt Chart'!$I82*'Prepare Gantt Chart'!$J82),'Prepare Gantt Chart'!AM82=13,'Project types'!$L83*('Prepare Gantt Chart'!$I82*'Prepare Gantt Chart'!$J82),'Prepare Gantt Chart'!AM82=0,0)</f>
        <v>0</v>
      </c>
      <c r="BJ83" s="45">
        <f>_xlfn.IFS('Prepare Gantt Chart'!AN82=14,'Project types'!$L83*('Prepare Gantt Chart'!$I82*'Prepare Gantt Chart'!$J82),'Prepare Gantt Chart'!AN82=13,'Project types'!$L83*('Prepare Gantt Chart'!$I82*'Prepare Gantt Chart'!$J82),'Prepare Gantt Chart'!AN82=0,0)</f>
        <v>0</v>
      </c>
      <c r="BK83" s="45">
        <f>_xlfn.IFS('Prepare Gantt Chart'!AO82=14,'Project types'!$L83*('Prepare Gantt Chart'!$I82*'Prepare Gantt Chart'!$J82),'Prepare Gantt Chart'!AO82=13,'Project types'!$L83*('Prepare Gantt Chart'!$I82*'Prepare Gantt Chart'!$J82),'Prepare Gantt Chart'!AO82=0,0)</f>
        <v>0</v>
      </c>
      <c r="BL83" s="46">
        <f t="shared" si="3"/>
        <v>0</v>
      </c>
      <c r="BM83" s="75">
        <f>IF('Prepare Gantt Chart'!$J82=0,0,SUM(AL83:AQ83)/6/'Prepare Gantt Chart'!$J82)</f>
        <v>0</v>
      </c>
      <c r="BN83" s="75">
        <f>IF('Prepare Gantt Chart'!$J82=0,0,SUM(AR83:AV83)/5/'Prepare Gantt Chart'!$J82)</f>
        <v>0</v>
      </c>
      <c r="BO83" s="75">
        <f>IF('Prepare Gantt Chart'!$J82=0,0,SUM(AW83:BA83)/5/'Prepare Gantt Chart'!$J82)</f>
        <v>0</v>
      </c>
      <c r="BP83" s="75">
        <f>IF('Prepare Gantt Chart'!$J82=0,0,SUM(BB83:BF83)/5/'Prepare Gantt Chart'!$J82)</f>
        <v>0</v>
      </c>
      <c r="BQ83" s="75">
        <f>IF('Prepare Gantt Chart'!$J82=0,0,SUM(BG83:BK83)/5/'Prepare Gantt Chart'!$J82)</f>
        <v>0</v>
      </c>
    </row>
    <row r="84" spans="1:69" x14ac:dyDescent="0.2">
      <c r="A84" s="36" t="s">
        <v>76</v>
      </c>
      <c r="B84" s="1" t="s">
        <v>155</v>
      </c>
      <c r="C84" s="45">
        <f>_xlfn.IFS('Prepare Gantt Chart'!P83=14,'Project types'!$O84*('Prepare Gantt Chart'!$I83*'Prepare Gantt Chart'!$J83),'Prepare Gantt Chart'!P83=13,'Project types'!$Q84*('Prepare Gantt Chart'!$I83*'Prepare Gantt Chart'!$J83),'Prepare Gantt Chart'!P83=0,0)</f>
        <v>0</v>
      </c>
      <c r="D84" s="45">
        <f>_xlfn.IFS('Prepare Gantt Chart'!Q83=14,'Project types'!$O84*('Prepare Gantt Chart'!$I83*'Prepare Gantt Chart'!$J83),'Prepare Gantt Chart'!Q83=13,'Project types'!$Q84*('Prepare Gantt Chart'!$I83*'Prepare Gantt Chart'!$J83),'Prepare Gantt Chart'!Q83=0,0)</f>
        <v>0</v>
      </c>
      <c r="E84" s="45">
        <f>_xlfn.IFS('Prepare Gantt Chart'!R83=14,'Project types'!$O84*('Prepare Gantt Chart'!$I83*'Prepare Gantt Chart'!$J83),'Prepare Gantt Chart'!R83=13,'Project types'!$Q84*('Prepare Gantt Chart'!$I83*'Prepare Gantt Chart'!$J83),'Prepare Gantt Chart'!R83=0,0)</f>
        <v>0</v>
      </c>
      <c r="F84" s="45">
        <f>_xlfn.IFS('Prepare Gantt Chart'!S83=14,'Project types'!$O84*('Prepare Gantt Chart'!$I83*'Prepare Gantt Chart'!$J83),'Prepare Gantt Chart'!S83=13,'Project types'!$Q84*('Prepare Gantt Chart'!$I83*'Prepare Gantt Chart'!$J83),'Prepare Gantt Chart'!S83=0,0)</f>
        <v>0</v>
      </c>
      <c r="G84" s="45">
        <f>_xlfn.IFS('Prepare Gantt Chart'!T83=14,'Project types'!$O84*('Prepare Gantt Chart'!$I83*'Prepare Gantt Chart'!$J83),'Prepare Gantt Chart'!T83=13,'Project types'!$Q84*('Prepare Gantt Chart'!$I83*'Prepare Gantt Chart'!$J83),'Prepare Gantt Chart'!T83=0,0)</f>
        <v>0</v>
      </c>
      <c r="H84" s="45">
        <f>_xlfn.IFS('Prepare Gantt Chart'!U83=14,'Project types'!$O84*('Prepare Gantt Chart'!$I83*'Prepare Gantt Chart'!$J83),'Prepare Gantt Chart'!U83=13,'Project types'!$Q84*('Prepare Gantt Chart'!$I83*'Prepare Gantt Chart'!$J83),'Prepare Gantt Chart'!U83=0,0)</f>
        <v>0</v>
      </c>
      <c r="I84" s="45">
        <f>_xlfn.IFS('Prepare Gantt Chart'!V83=14,'Project types'!$O84*('Prepare Gantt Chart'!$I83*'Prepare Gantt Chart'!$J83),'Prepare Gantt Chart'!V83=13,'Project types'!$Q84*('Prepare Gantt Chart'!$I83*'Prepare Gantt Chart'!$J83),'Prepare Gantt Chart'!V83=0,0)</f>
        <v>0</v>
      </c>
      <c r="J84" s="45">
        <f>_xlfn.IFS('Prepare Gantt Chart'!W83=14,'Project types'!$O84*('Prepare Gantt Chart'!$I83*'Prepare Gantt Chart'!$J83),'Prepare Gantt Chart'!W83=13,'Project types'!$Q84*('Prepare Gantt Chart'!$I83*'Prepare Gantt Chart'!$J83),'Prepare Gantt Chart'!W83=0,0)</f>
        <v>0</v>
      </c>
      <c r="K84" s="45">
        <f>_xlfn.IFS('Prepare Gantt Chart'!X83=14,'Project types'!$O84*('Prepare Gantt Chart'!$I83*'Prepare Gantt Chart'!$J83),'Prepare Gantt Chart'!X83=13,'Project types'!$Q84*('Prepare Gantt Chart'!$I83*'Prepare Gantt Chart'!$J83),'Prepare Gantt Chart'!X83=0,0)</f>
        <v>0</v>
      </c>
      <c r="L84" s="45">
        <f>_xlfn.IFS('Prepare Gantt Chart'!Y83=14,'Project types'!$O84*('Prepare Gantt Chart'!$I83*'Prepare Gantt Chart'!$J83),'Prepare Gantt Chart'!Y83=13,'Project types'!$Q84*('Prepare Gantt Chart'!$I83*'Prepare Gantt Chart'!$J83),'Prepare Gantt Chart'!Y83=0,0)</f>
        <v>0</v>
      </c>
      <c r="M84" s="45">
        <f>_xlfn.IFS('Prepare Gantt Chart'!Z83=14,'Project types'!$O84*('Prepare Gantt Chart'!$I83*'Prepare Gantt Chart'!$J83),'Prepare Gantt Chart'!Z83=13,'Project types'!$Q84*('Prepare Gantt Chart'!$I83*'Prepare Gantt Chart'!$J83),'Prepare Gantt Chart'!Z83=0,0)</f>
        <v>0</v>
      </c>
      <c r="N84" s="45">
        <f>_xlfn.IFS('Prepare Gantt Chart'!AA83=14,'Project types'!$O84*('Prepare Gantt Chart'!$I83*'Prepare Gantt Chart'!$J83),'Prepare Gantt Chart'!AA83=13,'Project types'!$Q84*('Prepare Gantt Chart'!$I83*'Prepare Gantt Chart'!$J83),'Prepare Gantt Chart'!AA83=0,0)</f>
        <v>0</v>
      </c>
      <c r="O84" s="45">
        <f>_xlfn.IFS('Prepare Gantt Chart'!AB83=14,'Project types'!$O84*('Prepare Gantt Chart'!$I83*'Prepare Gantt Chart'!$J83),'Prepare Gantt Chart'!AB83=13,'Project types'!$Q84*('Prepare Gantt Chart'!$I83*'Prepare Gantt Chart'!$J83),'Prepare Gantt Chart'!AB83=0,0)</f>
        <v>0</v>
      </c>
      <c r="P84" s="45">
        <f>_xlfn.IFS('Prepare Gantt Chart'!AC83=14,'Project types'!$O84*('Prepare Gantt Chart'!$I83*'Prepare Gantt Chart'!$J83),'Prepare Gantt Chart'!AC83=13,'Project types'!$Q84*('Prepare Gantt Chart'!$I83*'Prepare Gantt Chart'!$J83),'Prepare Gantt Chart'!AC83=0,0)</f>
        <v>0</v>
      </c>
      <c r="Q84" s="45">
        <f>_xlfn.IFS('Prepare Gantt Chart'!AD83=14,'Project types'!$O84*('Prepare Gantt Chart'!$I83*'Prepare Gantt Chart'!$J83),'Prepare Gantt Chart'!AD83=13,'Project types'!$Q84*('Prepare Gantt Chart'!$I83*'Prepare Gantt Chart'!$J83),'Prepare Gantt Chart'!AD83=0,0)</f>
        <v>0</v>
      </c>
      <c r="R84" s="45">
        <f>_xlfn.IFS('Prepare Gantt Chart'!AE83=14,'Project types'!$O84*('Prepare Gantt Chart'!$I83*'Prepare Gantt Chart'!$J83),'Prepare Gantt Chart'!AE83=13,'Project types'!$Q84*('Prepare Gantt Chart'!$I83*'Prepare Gantt Chart'!$J83),'Prepare Gantt Chart'!AE83=0,0)</f>
        <v>0</v>
      </c>
      <c r="S84" s="45">
        <f>_xlfn.IFS('Prepare Gantt Chart'!AF83=14,'Project types'!$O84*('Prepare Gantt Chart'!$I83*'Prepare Gantt Chart'!$J83),'Prepare Gantt Chart'!AF83=13,'Project types'!$Q84*('Prepare Gantt Chart'!$I83*'Prepare Gantt Chart'!$J83),'Prepare Gantt Chart'!AF83=0,0)</f>
        <v>0</v>
      </c>
      <c r="T84" s="45">
        <f>_xlfn.IFS('Prepare Gantt Chart'!AG83=14,'Project types'!$O84*('Prepare Gantt Chart'!$I83*'Prepare Gantt Chart'!$J83),'Prepare Gantt Chart'!AG83=13,'Project types'!$Q84*('Prepare Gantt Chart'!$I83*'Prepare Gantt Chart'!$J83),'Prepare Gantt Chart'!AG83=0,0)</f>
        <v>0</v>
      </c>
      <c r="U84" s="45">
        <f>_xlfn.IFS('Prepare Gantt Chart'!AH83=14,'Project types'!$O84*('Prepare Gantt Chart'!$I83*'Prepare Gantt Chart'!$J83),'Prepare Gantt Chart'!AH83=13,'Project types'!$Q84*('Prepare Gantt Chart'!$I83*'Prepare Gantt Chart'!$J83),'Prepare Gantt Chart'!AH83=0,0)</f>
        <v>0</v>
      </c>
      <c r="V84" s="45">
        <f>_xlfn.IFS('Prepare Gantt Chart'!AI83=14,'Project types'!$O84*('Prepare Gantt Chart'!$I83*'Prepare Gantt Chart'!$J83),'Prepare Gantt Chart'!AI83=13,'Project types'!$Q84*('Prepare Gantt Chart'!$I83*'Prepare Gantt Chart'!$J83),'Prepare Gantt Chart'!AI83=0,0)</f>
        <v>0</v>
      </c>
      <c r="W84" s="45">
        <f>_xlfn.IFS('Prepare Gantt Chart'!AJ83=14,'Project types'!$O84*('Prepare Gantt Chart'!$I83*'Prepare Gantt Chart'!$J83),'Prepare Gantt Chart'!AJ83=13,'Project types'!$Q84*('Prepare Gantt Chart'!$I83*'Prepare Gantt Chart'!$J83),'Prepare Gantt Chart'!AJ83=0,0)</f>
        <v>0</v>
      </c>
      <c r="X84" s="45">
        <f>_xlfn.IFS('Prepare Gantt Chart'!AK83=14,'Project types'!$O84*('Prepare Gantt Chart'!$I83*'Prepare Gantt Chart'!$J83),'Prepare Gantt Chart'!AK83=13,'Project types'!$Q84*('Prepare Gantt Chart'!$I83*'Prepare Gantt Chart'!$J83),'Prepare Gantt Chart'!AK83=0,0)</f>
        <v>0</v>
      </c>
      <c r="Y84" s="45">
        <f>_xlfn.IFS('Prepare Gantt Chart'!AL83=14,'Project types'!$O84*('Prepare Gantt Chart'!$I83*'Prepare Gantt Chart'!$J83),'Prepare Gantt Chart'!AL83=13,'Project types'!$Q84*('Prepare Gantt Chart'!$I83*'Prepare Gantt Chart'!$J83),'Prepare Gantt Chart'!AL83=0,0)</f>
        <v>0</v>
      </c>
      <c r="Z84" s="45">
        <f>_xlfn.IFS('Prepare Gantt Chart'!AM83=14,'Project types'!$O84*('Prepare Gantt Chart'!$I83*'Prepare Gantt Chart'!$J83),'Prepare Gantt Chart'!AM83=13,'Project types'!$Q84*('Prepare Gantt Chart'!$I83*'Prepare Gantt Chart'!$J83),'Prepare Gantt Chart'!AM83=0,0)</f>
        <v>0</v>
      </c>
      <c r="AA84" s="45">
        <f>_xlfn.IFS('Prepare Gantt Chart'!AN83=14,'Project types'!$O84*('Prepare Gantt Chart'!$I83*'Prepare Gantt Chart'!$J83),'Prepare Gantt Chart'!AN83=13,'Project types'!$Q84*('Prepare Gantt Chart'!$I83*'Prepare Gantt Chart'!$J83),'Prepare Gantt Chart'!AN83=0,0)</f>
        <v>0</v>
      </c>
      <c r="AB84" s="45">
        <f>_xlfn.IFS('Prepare Gantt Chart'!AO83=14,'Project types'!$O84*('Prepare Gantt Chart'!$I83*'Prepare Gantt Chart'!$J83),'Prepare Gantt Chart'!AO83=13,'Project types'!$Q84*('Prepare Gantt Chart'!$I83*'Prepare Gantt Chart'!$J83),'Prepare Gantt Chart'!AO83=0,0)</f>
        <v>0</v>
      </c>
      <c r="AC84" s="45">
        <f>'Prepare Gantt Chart'!J83*'Prepare Gantt Chart'!I83*(AD84/26)</f>
        <v>0</v>
      </c>
      <c r="AD84" s="46">
        <f t="shared" si="2"/>
        <v>0</v>
      </c>
      <c r="AE84" s="72">
        <f>IF('Prepare Gantt Chart'!$J83=0,0,SUM(C84:H84)/6/'Prepare Gantt Chart'!$J83)</f>
        <v>0</v>
      </c>
      <c r="AF84" s="72">
        <f>IF('Prepare Gantt Chart'!$J83=0,0,SUM(I84:M84)/5/'Prepare Gantt Chart'!$J83)</f>
        <v>0</v>
      </c>
      <c r="AG84" s="72">
        <f>IF('Prepare Gantt Chart'!$J83=0,0,SUM(N84:R84)/5/'Prepare Gantt Chart'!$J83)</f>
        <v>0</v>
      </c>
      <c r="AH84" s="72">
        <f>IF('Prepare Gantt Chart'!$J83=0,0,SUM(S84:W84)/5/'Prepare Gantt Chart'!$J83)</f>
        <v>0</v>
      </c>
      <c r="AI84" s="72">
        <f>IF('Prepare Gantt Chart'!$J83=0,0,SUM(X84:AB84)/5/'Prepare Gantt Chart'!$J83)</f>
        <v>0</v>
      </c>
      <c r="AK84" s="36" t="s">
        <v>76</v>
      </c>
      <c r="AL84" s="45">
        <f>_xlfn.IFS('Prepare Gantt Chart'!P83=14,'Project types'!$L84*('Prepare Gantt Chart'!$I83*'Prepare Gantt Chart'!$J83),'Prepare Gantt Chart'!P83=13,'Project types'!$L84*('Prepare Gantt Chart'!$I83*'Prepare Gantt Chart'!$J83),'Prepare Gantt Chart'!P83=0,0)</f>
        <v>0</v>
      </c>
      <c r="AM84" s="45">
        <f>_xlfn.IFS('Prepare Gantt Chart'!Q83=14,'Project types'!$L84*('Prepare Gantt Chart'!$I83*'Prepare Gantt Chart'!$J83),'Prepare Gantt Chart'!Q83=13,'Project types'!$L84*('Prepare Gantt Chart'!$I83*'Prepare Gantt Chart'!$J83),'Prepare Gantt Chart'!Q83=0,0)</f>
        <v>0</v>
      </c>
      <c r="AN84" s="45">
        <f>_xlfn.IFS('Prepare Gantt Chart'!R83=14,'Project types'!$L84*('Prepare Gantt Chart'!$I83*'Prepare Gantt Chart'!$J83),'Prepare Gantt Chart'!R83=13,'Project types'!$L84*('Prepare Gantt Chart'!$I83*'Prepare Gantt Chart'!$J83),'Prepare Gantt Chart'!R83=0,0)</f>
        <v>0</v>
      </c>
      <c r="AO84" s="45">
        <f>_xlfn.IFS('Prepare Gantt Chart'!S83=14,'Project types'!$L84*('Prepare Gantt Chart'!$I83*'Prepare Gantt Chart'!$J83),'Prepare Gantt Chart'!S83=13,'Project types'!$L84*('Prepare Gantt Chart'!$I83*'Prepare Gantt Chart'!$J83),'Prepare Gantt Chart'!S83=0,0)</f>
        <v>0</v>
      </c>
      <c r="AP84" s="45">
        <f>_xlfn.IFS('Prepare Gantt Chart'!T83=14,'Project types'!$L84*('Prepare Gantt Chart'!$I83*'Prepare Gantt Chart'!$J83),'Prepare Gantt Chart'!T83=13,'Project types'!$L84*('Prepare Gantt Chart'!$I83*'Prepare Gantt Chart'!$J83),'Prepare Gantt Chart'!T83=0,0)</f>
        <v>0</v>
      </c>
      <c r="AQ84" s="45">
        <f>_xlfn.IFS('Prepare Gantt Chart'!U83=14,'Project types'!$L84*('Prepare Gantt Chart'!$I83*'Prepare Gantt Chart'!$J83),'Prepare Gantt Chart'!U83=13,'Project types'!$L84*('Prepare Gantt Chart'!$I83*'Prepare Gantt Chart'!$J83),'Prepare Gantt Chart'!U83=0,0)</f>
        <v>0</v>
      </c>
      <c r="AR84" s="45">
        <f>_xlfn.IFS('Prepare Gantt Chart'!V83=14,'Project types'!$L84*('Prepare Gantt Chart'!$I83*'Prepare Gantt Chart'!$J83),'Prepare Gantt Chart'!V83=13,'Project types'!$L84*('Prepare Gantt Chart'!$I83*'Prepare Gantt Chart'!$J83),'Prepare Gantt Chart'!V83=0,0)</f>
        <v>0</v>
      </c>
      <c r="AS84" s="45">
        <f>_xlfn.IFS('Prepare Gantt Chart'!W83=14,'Project types'!$L84*('Prepare Gantt Chart'!$I83*'Prepare Gantt Chart'!$J83),'Prepare Gantt Chart'!W83=13,'Project types'!$L84*('Prepare Gantt Chart'!$I83*'Prepare Gantt Chart'!$J83),'Prepare Gantt Chart'!W83=0,0)</f>
        <v>0</v>
      </c>
      <c r="AT84" s="45">
        <f>_xlfn.IFS('Prepare Gantt Chart'!X83=14,'Project types'!$L84*('Prepare Gantt Chart'!$I83*'Prepare Gantt Chart'!$J83),'Prepare Gantt Chart'!X83=13,'Project types'!$L84*('Prepare Gantt Chart'!$I83*'Prepare Gantt Chart'!$J83),'Prepare Gantt Chart'!X83=0,0)</f>
        <v>0</v>
      </c>
      <c r="AU84" s="45">
        <f>_xlfn.IFS('Prepare Gantt Chart'!Y83=14,'Project types'!$L84*('Prepare Gantt Chart'!$I83*'Prepare Gantt Chart'!$J83),'Prepare Gantt Chart'!Y83=13,'Project types'!$L84*('Prepare Gantt Chart'!$I83*'Prepare Gantt Chart'!$J83),'Prepare Gantt Chart'!Y83=0,0)</f>
        <v>0</v>
      </c>
      <c r="AV84" s="45">
        <f>_xlfn.IFS('Prepare Gantt Chart'!Z83=14,'Project types'!$L84*('Prepare Gantt Chart'!$I83*'Prepare Gantt Chart'!$J83),'Prepare Gantt Chart'!Z83=13,'Project types'!$L84*('Prepare Gantt Chart'!$I83*'Prepare Gantt Chart'!$J83),'Prepare Gantt Chart'!Z83=0,0)</f>
        <v>0</v>
      </c>
      <c r="AW84" s="45">
        <f>_xlfn.IFS('Prepare Gantt Chart'!AA83=14,'Project types'!$L84*('Prepare Gantt Chart'!$I83*'Prepare Gantt Chart'!$J83),'Prepare Gantt Chart'!AA83=13,'Project types'!$L84*('Prepare Gantt Chart'!$I83*'Prepare Gantt Chart'!$J83),'Prepare Gantt Chart'!AA83=0,0)</f>
        <v>0</v>
      </c>
      <c r="AX84" s="45">
        <f>_xlfn.IFS('Prepare Gantt Chart'!AB83=14,'Project types'!$L84*('Prepare Gantt Chart'!$I83*'Prepare Gantt Chart'!$J83),'Prepare Gantt Chart'!AB83=13,'Project types'!$L84*('Prepare Gantt Chart'!$I83*'Prepare Gantt Chart'!$J83),'Prepare Gantt Chart'!AB83=0,0)</f>
        <v>0</v>
      </c>
      <c r="AY84" s="45">
        <f>_xlfn.IFS('Prepare Gantt Chart'!AC83=14,'Project types'!$L84*('Prepare Gantt Chart'!$I83*'Prepare Gantt Chart'!$J83),'Prepare Gantt Chart'!AC83=13,'Project types'!$L84*('Prepare Gantt Chart'!$I83*'Prepare Gantt Chart'!$J83),'Prepare Gantt Chart'!AC83=0,0)</f>
        <v>0</v>
      </c>
      <c r="AZ84" s="45">
        <f>_xlfn.IFS('Prepare Gantt Chart'!AD83=14,'Project types'!$L84*('Prepare Gantt Chart'!$I83*'Prepare Gantt Chart'!$J83),'Prepare Gantt Chart'!AD83=13,'Project types'!$L84*('Prepare Gantt Chart'!$I83*'Prepare Gantt Chart'!$J83),'Prepare Gantt Chart'!AD83=0,0)</f>
        <v>0</v>
      </c>
      <c r="BA84" s="45">
        <f>_xlfn.IFS('Prepare Gantt Chart'!AE83=14,'Project types'!$L84*('Prepare Gantt Chart'!$I83*'Prepare Gantt Chart'!$J83),'Prepare Gantt Chart'!AE83=13,'Project types'!$L84*('Prepare Gantt Chart'!$I83*'Prepare Gantt Chart'!$J83),'Prepare Gantt Chart'!AE83=0,0)</f>
        <v>0</v>
      </c>
      <c r="BB84" s="45">
        <f>_xlfn.IFS('Prepare Gantt Chart'!AF83=14,'Project types'!$L84*('Prepare Gantt Chart'!$I83*'Prepare Gantt Chart'!$J83),'Prepare Gantt Chart'!AF83=13,'Project types'!$L84*('Prepare Gantt Chart'!$I83*'Prepare Gantt Chart'!$J83),'Prepare Gantt Chart'!AF83=0,0)</f>
        <v>0</v>
      </c>
      <c r="BC84" s="45">
        <f>_xlfn.IFS('Prepare Gantt Chart'!AG83=14,'Project types'!$L84*('Prepare Gantt Chart'!$I83*'Prepare Gantt Chart'!$J83),'Prepare Gantt Chart'!AG83=13,'Project types'!$L84*('Prepare Gantt Chart'!$I83*'Prepare Gantt Chart'!$J83),'Prepare Gantt Chart'!AG83=0,0)</f>
        <v>0</v>
      </c>
      <c r="BD84" s="45">
        <f>_xlfn.IFS('Prepare Gantt Chart'!AH83=14,'Project types'!$L84*('Prepare Gantt Chart'!$I83*'Prepare Gantt Chart'!$J83),'Prepare Gantt Chart'!AH83=13,'Project types'!$L84*('Prepare Gantt Chart'!$I83*'Prepare Gantt Chart'!$J83),'Prepare Gantt Chart'!AH83=0,0)</f>
        <v>0</v>
      </c>
      <c r="BE84" s="45">
        <f>_xlfn.IFS('Prepare Gantt Chart'!AI83=14,'Project types'!$L84*('Prepare Gantt Chart'!$I83*'Prepare Gantt Chart'!$J83),'Prepare Gantt Chart'!AI83=13,'Project types'!$L84*('Prepare Gantt Chart'!$I83*'Prepare Gantt Chart'!$J83),'Prepare Gantt Chart'!AI83=0,0)</f>
        <v>0</v>
      </c>
      <c r="BF84" s="45">
        <f>_xlfn.IFS('Prepare Gantt Chart'!AJ83=14,'Project types'!$L84*('Prepare Gantt Chart'!$I83*'Prepare Gantt Chart'!$J83),'Prepare Gantt Chart'!AJ83=13,'Project types'!$L84*('Prepare Gantt Chart'!$I83*'Prepare Gantt Chart'!$J83),'Prepare Gantt Chart'!AJ83=0,0)</f>
        <v>0</v>
      </c>
      <c r="BG84" s="45">
        <f>_xlfn.IFS('Prepare Gantt Chart'!AK83=14,'Project types'!$L84*('Prepare Gantt Chart'!$I83*'Prepare Gantt Chart'!$J83),'Prepare Gantt Chart'!AK83=13,'Project types'!$L84*('Prepare Gantt Chart'!$I83*'Prepare Gantt Chart'!$J83),'Prepare Gantt Chart'!AK83=0,0)</f>
        <v>0</v>
      </c>
      <c r="BH84" s="45">
        <f>_xlfn.IFS('Prepare Gantt Chart'!AL83=14,'Project types'!$L84*('Prepare Gantt Chart'!$I83*'Prepare Gantt Chart'!$J83),'Prepare Gantt Chart'!AL83=13,'Project types'!$L84*('Prepare Gantt Chart'!$I83*'Prepare Gantt Chart'!$J83),'Prepare Gantt Chart'!AL83=0,0)</f>
        <v>0</v>
      </c>
      <c r="BI84" s="45">
        <f>_xlfn.IFS('Prepare Gantt Chart'!AM83=14,'Project types'!$L84*('Prepare Gantt Chart'!$I83*'Prepare Gantt Chart'!$J83),'Prepare Gantt Chart'!AM83=13,'Project types'!$L84*('Prepare Gantt Chart'!$I83*'Prepare Gantt Chart'!$J83),'Prepare Gantt Chart'!AM83=0,0)</f>
        <v>0</v>
      </c>
      <c r="BJ84" s="45">
        <f>_xlfn.IFS('Prepare Gantt Chart'!AN83=14,'Project types'!$L84*('Prepare Gantt Chart'!$I83*'Prepare Gantt Chart'!$J83),'Prepare Gantt Chart'!AN83=13,'Project types'!$L84*('Prepare Gantt Chart'!$I83*'Prepare Gantt Chart'!$J83),'Prepare Gantt Chart'!AN83=0,0)</f>
        <v>0</v>
      </c>
      <c r="BK84" s="45">
        <f>_xlfn.IFS('Prepare Gantt Chart'!AO83=14,'Project types'!$L84*('Prepare Gantt Chart'!$I83*'Prepare Gantt Chart'!$J83),'Prepare Gantt Chart'!AO83=13,'Project types'!$L84*('Prepare Gantt Chart'!$I83*'Prepare Gantt Chart'!$J83),'Prepare Gantt Chart'!AO83=0,0)</f>
        <v>0</v>
      </c>
      <c r="BL84" s="46">
        <f t="shared" si="3"/>
        <v>0</v>
      </c>
      <c r="BM84" s="75">
        <f>IF('Prepare Gantt Chart'!$J83=0,0,SUM(AL84:AQ84)/6/'Prepare Gantt Chart'!$J83)</f>
        <v>0</v>
      </c>
      <c r="BN84" s="75">
        <f>IF('Prepare Gantt Chart'!$J83=0,0,SUM(AR84:AV84)/5/'Prepare Gantt Chart'!$J83)</f>
        <v>0</v>
      </c>
      <c r="BO84" s="75">
        <f>IF('Prepare Gantt Chart'!$J83=0,0,SUM(AW84:BA84)/5/'Prepare Gantt Chart'!$J83)</f>
        <v>0</v>
      </c>
      <c r="BP84" s="75">
        <f>IF('Prepare Gantt Chart'!$J83=0,0,SUM(BB84:BF84)/5/'Prepare Gantt Chart'!$J83)</f>
        <v>0</v>
      </c>
      <c r="BQ84" s="75">
        <f>IF('Prepare Gantt Chart'!$J83=0,0,SUM(BG84:BK84)/5/'Prepare Gantt Chart'!$J83)</f>
        <v>0</v>
      </c>
    </row>
    <row r="85" spans="1:69" x14ac:dyDescent="0.2">
      <c r="A85" s="36" t="s">
        <v>77</v>
      </c>
      <c r="B85" s="1" t="s">
        <v>156</v>
      </c>
      <c r="C85" s="45">
        <f>_xlfn.IFS('Prepare Gantt Chart'!P84=14,'Project types'!$O85*('Prepare Gantt Chart'!$I84*'Prepare Gantt Chart'!$J84),'Prepare Gantt Chart'!P84=13,'Project types'!$Q85*('Prepare Gantt Chart'!$I84*'Prepare Gantt Chart'!$J84),'Prepare Gantt Chart'!P84=0,0)</f>
        <v>0</v>
      </c>
      <c r="D85" s="45">
        <f>_xlfn.IFS('Prepare Gantt Chart'!Q84=14,'Project types'!$O85*('Prepare Gantt Chart'!$I84*'Prepare Gantt Chart'!$J84),'Prepare Gantt Chart'!Q84=13,'Project types'!$Q85*('Prepare Gantt Chart'!$I84*'Prepare Gantt Chart'!$J84),'Prepare Gantt Chart'!Q84=0,0)</f>
        <v>0</v>
      </c>
      <c r="E85" s="45">
        <f>_xlfn.IFS('Prepare Gantt Chart'!R84=14,'Project types'!$O85*('Prepare Gantt Chart'!$I84*'Prepare Gantt Chart'!$J84),'Prepare Gantt Chart'!R84=13,'Project types'!$Q85*('Prepare Gantt Chart'!$I84*'Prepare Gantt Chart'!$J84),'Prepare Gantt Chart'!R84=0,0)</f>
        <v>0</v>
      </c>
      <c r="F85" s="45">
        <f>_xlfn.IFS('Prepare Gantt Chart'!S84=14,'Project types'!$O85*('Prepare Gantt Chart'!$I84*'Prepare Gantt Chart'!$J84),'Prepare Gantt Chart'!S84=13,'Project types'!$Q85*('Prepare Gantt Chart'!$I84*'Prepare Gantt Chart'!$J84),'Prepare Gantt Chart'!S84=0,0)</f>
        <v>0</v>
      </c>
      <c r="G85" s="45">
        <f>_xlfn.IFS('Prepare Gantt Chart'!T84=14,'Project types'!$O85*('Prepare Gantt Chart'!$I84*'Prepare Gantt Chart'!$J84),'Prepare Gantt Chart'!T84=13,'Project types'!$Q85*('Prepare Gantt Chart'!$I84*'Prepare Gantt Chart'!$J84),'Prepare Gantt Chart'!T84=0,0)</f>
        <v>0</v>
      </c>
      <c r="H85" s="45">
        <f>_xlfn.IFS('Prepare Gantt Chart'!U84=14,'Project types'!$O85*('Prepare Gantt Chart'!$I84*'Prepare Gantt Chart'!$J84),'Prepare Gantt Chart'!U84=13,'Project types'!$Q85*('Prepare Gantt Chart'!$I84*'Prepare Gantt Chart'!$J84),'Prepare Gantt Chart'!U84=0,0)</f>
        <v>0</v>
      </c>
      <c r="I85" s="45">
        <f>_xlfn.IFS('Prepare Gantt Chart'!V84=14,'Project types'!$O85*('Prepare Gantt Chart'!$I84*'Prepare Gantt Chart'!$J84),'Prepare Gantt Chart'!V84=13,'Project types'!$Q85*('Prepare Gantt Chart'!$I84*'Prepare Gantt Chart'!$J84),'Prepare Gantt Chart'!V84=0,0)</f>
        <v>0</v>
      </c>
      <c r="J85" s="45">
        <f>_xlfn.IFS('Prepare Gantt Chart'!W84=14,'Project types'!$O85*('Prepare Gantt Chart'!$I84*'Prepare Gantt Chart'!$J84),'Prepare Gantt Chart'!W84=13,'Project types'!$Q85*('Prepare Gantt Chart'!$I84*'Prepare Gantt Chart'!$J84),'Prepare Gantt Chart'!W84=0,0)</f>
        <v>0</v>
      </c>
      <c r="K85" s="45">
        <f>_xlfn.IFS('Prepare Gantt Chart'!X84=14,'Project types'!$O85*('Prepare Gantt Chart'!$I84*'Prepare Gantt Chart'!$J84),'Prepare Gantt Chart'!X84=13,'Project types'!$Q85*('Prepare Gantt Chart'!$I84*'Prepare Gantt Chart'!$J84),'Prepare Gantt Chart'!X84=0,0)</f>
        <v>0</v>
      </c>
      <c r="L85" s="45">
        <f>_xlfn.IFS('Prepare Gantt Chart'!Y84=14,'Project types'!$O85*('Prepare Gantt Chart'!$I84*'Prepare Gantt Chart'!$J84),'Prepare Gantt Chart'!Y84=13,'Project types'!$Q85*('Prepare Gantt Chart'!$I84*'Prepare Gantt Chart'!$J84),'Prepare Gantt Chart'!Y84=0,0)</f>
        <v>0</v>
      </c>
      <c r="M85" s="45">
        <f>_xlfn.IFS('Prepare Gantt Chart'!Z84=14,'Project types'!$O85*('Prepare Gantt Chart'!$I84*'Prepare Gantt Chart'!$J84),'Prepare Gantt Chart'!Z84=13,'Project types'!$Q85*('Prepare Gantt Chart'!$I84*'Prepare Gantt Chart'!$J84),'Prepare Gantt Chart'!Z84=0,0)</f>
        <v>0</v>
      </c>
      <c r="N85" s="45">
        <f>_xlfn.IFS('Prepare Gantt Chart'!AA84=14,'Project types'!$O85*('Prepare Gantt Chart'!$I84*'Prepare Gantt Chart'!$J84),'Prepare Gantt Chart'!AA84=13,'Project types'!$Q85*('Prepare Gantt Chart'!$I84*'Prepare Gantt Chart'!$J84),'Prepare Gantt Chart'!AA84=0,0)</f>
        <v>0</v>
      </c>
      <c r="O85" s="45">
        <f>_xlfn.IFS('Prepare Gantt Chart'!AB84=14,'Project types'!$O85*('Prepare Gantt Chart'!$I84*'Prepare Gantt Chart'!$J84),'Prepare Gantt Chart'!AB84=13,'Project types'!$Q85*('Prepare Gantt Chart'!$I84*'Prepare Gantt Chart'!$J84),'Prepare Gantt Chart'!AB84=0,0)</f>
        <v>0</v>
      </c>
      <c r="P85" s="45">
        <f>_xlfn.IFS('Prepare Gantt Chart'!AC84=14,'Project types'!$O85*('Prepare Gantt Chart'!$I84*'Prepare Gantt Chart'!$J84),'Prepare Gantt Chart'!AC84=13,'Project types'!$Q85*('Prepare Gantt Chart'!$I84*'Prepare Gantt Chart'!$J84),'Prepare Gantt Chart'!AC84=0,0)</f>
        <v>0</v>
      </c>
      <c r="Q85" s="45">
        <f>_xlfn.IFS('Prepare Gantt Chart'!AD84=14,'Project types'!$O85*('Prepare Gantt Chart'!$I84*'Prepare Gantt Chart'!$J84),'Prepare Gantt Chart'!AD84=13,'Project types'!$Q85*('Prepare Gantt Chart'!$I84*'Prepare Gantt Chart'!$J84),'Prepare Gantt Chart'!AD84=0,0)</f>
        <v>0</v>
      </c>
      <c r="R85" s="45">
        <f>_xlfn.IFS('Prepare Gantt Chart'!AE84=14,'Project types'!$O85*('Prepare Gantt Chart'!$I84*'Prepare Gantt Chart'!$J84),'Prepare Gantt Chart'!AE84=13,'Project types'!$Q85*('Prepare Gantt Chart'!$I84*'Prepare Gantt Chart'!$J84),'Prepare Gantt Chart'!AE84=0,0)</f>
        <v>0</v>
      </c>
      <c r="S85" s="45">
        <f>_xlfn.IFS('Prepare Gantt Chart'!AF84=14,'Project types'!$O85*('Prepare Gantt Chart'!$I84*'Prepare Gantt Chart'!$J84),'Prepare Gantt Chart'!AF84=13,'Project types'!$Q85*('Prepare Gantt Chart'!$I84*'Prepare Gantt Chart'!$J84),'Prepare Gantt Chart'!AF84=0,0)</f>
        <v>0</v>
      </c>
      <c r="T85" s="45">
        <f>_xlfn.IFS('Prepare Gantt Chart'!AG84=14,'Project types'!$O85*('Prepare Gantt Chart'!$I84*'Prepare Gantt Chart'!$J84),'Prepare Gantt Chart'!AG84=13,'Project types'!$Q85*('Prepare Gantt Chart'!$I84*'Prepare Gantt Chart'!$J84),'Prepare Gantt Chart'!AG84=0,0)</f>
        <v>0</v>
      </c>
      <c r="U85" s="45">
        <f>_xlfn.IFS('Prepare Gantt Chart'!AH84=14,'Project types'!$O85*('Prepare Gantt Chart'!$I84*'Prepare Gantt Chart'!$J84),'Prepare Gantt Chart'!AH84=13,'Project types'!$Q85*('Prepare Gantt Chart'!$I84*'Prepare Gantt Chart'!$J84),'Prepare Gantt Chart'!AH84=0,0)</f>
        <v>0</v>
      </c>
      <c r="V85" s="45">
        <f>_xlfn.IFS('Prepare Gantt Chart'!AI84=14,'Project types'!$O85*('Prepare Gantt Chart'!$I84*'Prepare Gantt Chart'!$J84),'Prepare Gantt Chart'!AI84=13,'Project types'!$Q85*('Prepare Gantt Chart'!$I84*'Prepare Gantt Chart'!$J84),'Prepare Gantt Chart'!AI84=0,0)</f>
        <v>0</v>
      </c>
      <c r="W85" s="45">
        <f>_xlfn.IFS('Prepare Gantt Chart'!AJ84=14,'Project types'!$O85*('Prepare Gantt Chart'!$I84*'Prepare Gantt Chart'!$J84),'Prepare Gantt Chart'!AJ84=13,'Project types'!$Q85*('Prepare Gantt Chart'!$I84*'Prepare Gantt Chart'!$J84),'Prepare Gantt Chart'!AJ84=0,0)</f>
        <v>0</v>
      </c>
      <c r="X85" s="45">
        <f>_xlfn.IFS('Prepare Gantt Chart'!AK84=14,'Project types'!$O85*('Prepare Gantt Chart'!$I84*'Prepare Gantt Chart'!$J84),'Prepare Gantt Chart'!AK84=13,'Project types'!$Q85*('Prepare Gantt Chart'!$I84*'Prepare Gantt Chart'!$J84),'Prepare Gantt Chart'!AK84=0,0)</f>
        <v>0</v>
      </c>
      <c r="Y85" s="45">
        <f>_xlfn.IFS('Prepare Gantt Chart'!AL84=14,'Project types'!$O85*('Prepare Gantt Chart'!$I84*'Prepare Gantt Chart'!$J84),'Prepare Gantt Chart'!AL84=13,'Project types'!$Q85*('Prepare Gantt Chart'!$I84*'Prepare Gantt Chart'!$J84),'Prepare Gantt Chart'!AL84=0,0)</f>
        <v>0</v>
      </c>
      <c r="Z85" s="45">
        <f>_xlfn.IFS('Prepare Gantt Chart'!AM84=14,'Project types'!$O85*('Prepare Gantt Chart'!$I84*'Prepare Gantt Chart'!$J84),'Prepare Gantt Chart'!AM84=13,'Project types'!$Q85*('Prepare Gantt Chart'!$I84*'Prepare Gantt Chart'!$J84),'Prepare Gantt Chart'!AM84=0,0)</f>
        <v>0</v>
      </c>
      <c r="AA85" s="45">
        <f>_xlfn.IFS('Prepare Gantt Chart'!AN84=14,'Project types'!$O85*('Prepare Gantt Chart'!$I84*'Prepare Gantt Chart'!$J84),'Prepare Gantt Chart'!AN84=13,'Project types'!$Q85*('Prepare Gantt Chart'!$I84*'Prepare Gantt Chart'!$J84),'Prepare Gantt Chart'!AN84=0,0)</f>
        <v>0</v>
      </c>
      <c r="AB85" s="45">
        <f>_xlfn.IFS('Prepare Gantt Chart'!AO84=14,'Project types'!$O85*('Prepare Gantt Chart'!$I84*'Prepare Gantt Chart'!$J84),'Prepare Gantt Chart'!AO84=13,'Project types'!$Q85*('Prepare Gantt Chart'!$I84*'Prepare Gantt Chart'!$J84),'Prepare Gantt Chart'!AO84=0,0)</f>
        <v>0</v>
      </c>
      <c r="AC85" s="45">
        <f>'Prepare Gantt Chart'!J84*'Prepare Gantt Chart'!I84*(AD85/26)</f>
        <v>0</v>
      </c>
      <c r="AD85" s="46">
        <f t="shared" si="2"/>
        <v>0</v>
      </c>
      <c r="AE85" s="72">
        <f>IF('Prepare Gantt Chart'!$J84=0,0,SUM(C85:H85)/6/'Prepare Gantt Chart'!$J84)</f>
        <v>0</v>
      </c>
      <c r="AF85" s="72">
        <f>IF('Prepare Gantt Chart'!$J84=0,0,SUM(I85:M85)/5/'Prepare Gantt Chart'!$J84)</f>
        <v>0</v>
      </c>
      <c r="AG85" s="72">
        <f>IF('Prepare Gantt Chart'!$J84=0,0,SUM(N85:R85)/5/'Prepare Gantt Chart'!$J84)</f>
        <v>0</v>
      </c>
      <c r="AH85" s="72">
        <f>IF('Prepare Gantt Chart'!$J84=0,0,SUM(S85:W85)/5/'Prepare Gantt Chart'!$J84)</f>
        <v>0</v>
      </c>
      <c r="AI85" s="72">
        <f>IF('Prepare Gantt Chart'!$J84=0,0,SUM(X85:AB85)/5/'Prepare Gantt Chart'!$J84)</f>
        <v>0</v>
      </c>
      <c r="AK85" s="36" t="s">
        <v>77</v>
      </c>
      <c r="AL85" s="45">
        <f>_xlfn.IFS('Prepare Gantt Chart'!P84=14,'Project types'!$L85*('Prepare Gantt Chart'!$I84*'Prepare Gantt Chart'!$J84),'Prepare Gantt Chart'!P84=13,'Project types'!$L85*('Prepare Gantt Chart'!$I84*'Prepare Gantt Chart'!$J84),'Prepare Gantt Chart'!P84=0,0)</f>
        <v>0</v>
      </c>
      <c r="AM85" s="45">
        <f>_xlfn.IFS('Prepare Gantt Chart'!Q84=14,'Project types'!$L85*('Prepare Gantt Chart'!$I84*'Prepare Gantt Chart'!$J84),'Prepare Gantt Chart'!Q84=13,'Project types'!$L85*('Prepare Gantt Chart'!$I84*'Prepare Gantt Chart'!$J84),'Prepare Gantt Chart'!Q84=0,0)</f>
        <v>0</v>
      </c>
      <c r="AN85" s="45">
        <f>_xlfn.IFS('Prepare Gantt Chart'!R84=14,'Project types'!$L85*('Prepare Gantt Chart'!$I84*'Prepare Gantt Chart'!$J84),'Prepare Gantt Chart'!R84=13,'Project types'!$L85*('Prepare Gantt Chart'!$I84*'Prepare Gantt Chart'!$J84),'Prepare Gantt Chart'!R84=0,0)</f>
        <v>0</v>
      </c>
      <c r="AO85" s="45">
        <f>_xlfn.IFS('Prepare Gantt Chart'!S84=14,'Project types'!$L85*('Prepare Gantt Chart'!$I84*'Prepare Gantt Chart'!$J84),'Prepare Gantt Chart'!S84=13,'Project types'!$L85*('Prepare Gantt Chart'!$I84*'Prepare Gantt Chart'!$J84),'Prepare Gantt Chart'!S84=0,0)</f>
        <v>0</v>
      </c>
      <c r="AP85" s="45">
        <f>_xlfn.IFS('Prepare Gantt Chart'!T84=14,'Project types'!$L85*('Prepare Gantt Chart'!$I84*'Prepare Gantt Chart'!$J84),'Prepare Gantt Chart'!T84=13,'Project types'!$L85*('Prepare Gantt Chart'!$I84*'Prepare Gantt Chart'!$J84),'Prepare Gantt Chart'!T84=0,0)</f>
        <v>0</v>
      </c>
      <c r="AQ85" s="45">
        <f>_xlfn.IFS('Prepare Gantt Chart'!U84=14,'Project types'!$L85*('Prepare Gantt Chart'!$I84*'Prepare Gantt Chart'!$J84),'Prepare Gantt Chart'!U84=13,'Project types'!$L85*('Prepare Gantt Chart'!$I84*'Prepare Gantt Chart'!$J84),'Prepare Gantt Chart'!U84=0,0)</f>
        <v>0</v>
      </c>
      <c r="AR85" s="45">
        <f>_xlfn.IFS('Prepare Gantt Chart'!V84=14,'Project types'!$L85*('Prepare Gantt Chart'!$I84*'Prepare Gantt Chart'!$J84),'Prepare Gantt Chart'!V84=13,'Project types'!$L85*('Prepare Gantt Chart'!$I84*'Prepare Gantt Chart'!$J84),'Prepare Gantt Chart'!V84=0,0)</f>
        <v>0</v>
      </c>
      <c r="AS85" s="45">
        <f>_xlfn.IFS('Prepare Gantt Chart'!W84=14,'Project types'!$L85*('Prepare Gantt Chart'!$I84*'Prepare Gantt Chart'!$J84),'Prepare Gantt Chart'!W84=13,'Project types'!$L85*('Prepare Gantt Chart'!$I84*'Prepare Gantt Chart'!$J84),'Prepare Gantt Chart'!W84=0,0)</f>
        <v>0</v>
      </c>
      <c r="AT85" s="45">
        <f>_xlfn.IFS('Prepare Gantt Chart'!X84=14,'Project types'!$L85*('Prepare Gantt Chart'!$I84*'Prepare Gantt Chart'!$J84),'Prepare Gantt Chart'!X84=13,'Project types'!$L85*('Prepare Gantt Chart'!$I84*'Prepare Gantt Chart'!$J84),'Prepare Gantt Chart'!X84=0,0)</f>
        <v>0</v>
      </c>
      <c r="AU85" s="45">
        <f>_xlfn.IFS('Prepare Gantt Chart'!Y84=14,'Project types'!$L85*('Prepare Gantt Chart'!$I84*'Prepare Gantt Chart'!$J84),'Prepare Gantt Chart'!Y84=13,'Project types'!$L85*('Prepare Gantt Chart'!$I84*'Prepare Gantt Chart'!$J84),'Prepare Gantt Chart'!Y84=0,0)</f>
        <v>0</v>
      </c>
      <c r="AV85" s="45">
        <f>_xlfn.IFS('Prepare Gantt Chart'!Z84=14,'Project types'!$L85*('Prepare Gantt Chart'!$I84*'Prepare Gantt Chart'!$J84),'Prepare Gantt Chart'!Z84=13,'Project types'!$L85*('Prepare Gantt Chart'!$I84*'Prepare Gantt Chart'!$J84),'Prepare Gantt Chart'!Z84=0,0)</f>
        <v>0</v>
      </c>
      <c r="AW85" s="45">
        <f>_xlfn.IFS('Prepare Gantt Chart'!AA84=14,'Project types'!$L85*('Prepare Gantt Chart'!$I84*'Prepare Gantt Chart'!$J84),'Prepare Gantt Chart'!AA84=13,'Project types'!$L85*('Prepare Gantt Chart'!$I84*'Prepare Gantt Chart'!$J84),'Prepare Gantt Chart'!AA84=0,0)</f>
        <v>0</v>
      </c>
      <c r="AX85" s="45">
        <f>_xlfn.IFS('Prepare Gantt Chart'!AB84=14,'Project types'!$L85*('Prepare Gantt Chart'!$I84*'Prepare Gantt Chart'!$J84),'Prepare Gantt Chart'!AB84=13,'Project types'!$L85*('Prepare Gantt Chart'!$I84*'Prepare Gantt Chart'!$J84),'Prepare Gantt Chart'!AB84=0,0)</f>
        <v>0</v>
      </c>
      <c r="AY85" s="45">
        <f>_xlfn.IFS('Prepare Gantt Chart'!AC84=14,'Project types'!$L85*('Prepare Gantt Chart'!$I84*'Prepare Gantt Chart'!$J84),'Prepare Gantt Chart'!AC84=13,'Project types'!$L85*('Prepare Gantt Chart'!$I84*'Prepare Gantt Chart'!$J84),'Prepare Gantt Chart'!AC84=0,0)</f>
        <v>0</v>
      </c>
      <c r="AZ85" s="45">
        <f>_xlfn.IFS('Prepare Gantt Chart'!AD84=14,'Project types'!$L85*('Prepare Gantt Chart'!$I84*'Prepare Gantt Chart'!$J84),'Prepare Gantt Chart'!AD84=13,'Project types'!$L85*('Prepare Gantt Chart'!$I84*'Prepare Gantt Chart'!$J84),'Prepare Gantt Chart'!AD84=0,0)</f>
        <v>0</v>
      </c>
      <c r="BA85" s="45">
        <f>_xlfn.IFS('Prepare Gantt Chart'!AE84=14,'Project types'!$L85*('Prepare Gantt Chart'!$I84*'Prepare Gantt Chart'!$J84),'Prepare Gantt Chart'!AE84=13,'Project types'!$L85*('Prepare Gantt Chart'!$I84*'Prepare Gantt Chart'!$J84),'Prepare Gantt Chart'!AE84=0,0)</f>
        <v>0</v>
      </c>
      <c r="BB85" s="45">
        <f>_xlfn.IFS('Prepare Gantt Chart'!AF84=14,'Project types'!$L85*('Prepare Gantt Chart'!$I84*'Prepare Gantt Chart'!$J84),'Prepare Gantt Chart'!AF84=13,'Project types'!$L85*('Prepare Gantt Chart'!$I84*'Prepare Gantt Chart'!$J84),'Prepare Gantt Chart'!AF84=0,0)</f>
        <v>0</v>
      </c>
      <c r="BC85" s="45">
        <f>_xlfn.IFS('Prepare Gantt Chart'!AG84=14,'Project types'!$L85*('Prepare Gantt Chart'!$I84*'Prepare Gantt Chart'!$J84),'Prepare Gantt Chart'!AG84=13,'Project types'!$L85*('Prepare Gantt Chart'!$I84*'Prepare Gantt Chart'!$J84),'Prepare Gantt Chart'!AG84=0,0)</f>
        <v>0</v>
      </c>
      <c r="BD85" s="45">
        <f>_xlfn.IFS('Prepare Gantt Chart'!AH84=14,'Project types'!$L85*('Prepare Gantt Chart'!$I84*'Prepare Gantt Chart'!$J84),'Prepare Gantt Chart'!AH84=13,'Project types'!$L85*('Prepare Gantt Chart'!$I84*'Prepare Gantt Chart'!$J84),'Prepare Gantt Chart'!AH84=0,0)</f>
        <v>0</v>
      </c>
      <c r="BE85" s="45">
        <f>_xlfn.IFS('Prepare Gantt Chart'!AI84=14,'Project types'!$L85*('Prepare Gantt Chart'!$I84*'Prepare Gantt Chart'!$J84),'Prepare Gantt Chart'!AI84=13,'Project types'!$L85*('Prepare Gantt Chart'!$I84*'Prepare Gantt Chart'!$J84),'Prepare Gantt Chart'!AI84=0,0)</f>
        <v>0</v>
      </c>
      <c r="BF85" s="45">
        <f>_xlfn.IFS('Prepare Gantt Chart'!AJ84=14,'Project types'!$L85*('Prepare Gantt Chart'!$I84*'Prepare Gantt Chart'!$J84),'Prepare Gantt Chart'!AJ84=13,'Project types'!$L85*('Prepare Gantt Chart'!$I84*'Prepare Gantt Chart'!$J84),'Prepare Gantt Chart'!AJ84=0,0)</f>
        <v>0</v>
      </c>
      <c r="BG85" s="45">
        <f>_xlfn.IFS('Prepare Gantt Chart'!AK84=14,'Project types'!$L85*('Prepare Gantt Chart'!$I84*'Prepare Gantt Chart'!$J84),'Prepare Gantt Chart'!AK84=13,'Project types'!$L85*('Prepare Gantt Chart'!$I84*'Prepare Gantt Chart'!$J84),'Prepare Gantt Chart'!AK84=0,0)</f>
        <v>0</v>
      </c>
      <c r="BH85" s="45">
        <f>_xlfn.IFS('Prepare Gantt Chart'!AL84=14,'Project types'!$L85*('Prepare Gantt Chart'!$I84*'Prepare Gantt Chart'!$J84),'Prepare Gantt Chart'!AL84=13,'Project types'!$L85*('Prepare Gantt Chart'!$I84*'Prepare Gantt Chart'!$J84),'Prepare Gantt Chart'!AL84=0,0)</f>
        <v>0</v>
      </c>
      <c r="BI85" s="45">
        <f>_xlfn.IFS('Prepare Gantt Chart'!AM84=14,'Project types'!$L85*('Prepare Gantt Chart'!$I84*'Prepare Gantt Chart'!$J84),'Prepare Gantt Chart'!AM84=13,'Project types'!$L85*('Prepare Gantt Chart'!$I84*'Prepare Gantt Chart'!$J84),'Prepare Gantt Chart'!AM84=0,0)</f>
        <v>0</v>
      </c>
      <c r="BJ85" s="45">
        <f>_xlfn.IFS('Prepare Gantt Chart'!AN84=14,'Project types'!$L85*('Prepare Gantt Chart'!$I84*'Prepare Gantt Chart'!$J84),'Prepare Gantt Chart'!AN84=13,'Project types'!$L85*('Prepare Gantt Chart'!$I84*'Prepare Gantt Chart'!$J84),'Prepare Gantt Chart'!AN84=0,0)</f>
        <v>0</v>
      </c>
      <c r="BK85" s="45">
        <f>_xlfn.IFS('Prepare Gantt Chart'!AO84=14,'Project types'!$L85*('Prepare Gantt Chart'!$I84*'Prepare Gantt Chart'!$J84),'Prepare Gantt Chart'!AO84=13,'Project types'!$L85*('Prepare Gantt Chart'!$I84*'Prepare Gantt Chart'!$J84),'Prepare Gantt Chart'!AO84=0,0)</f>
        <v>0</v>
      </c>
      <c r="BL85" s="46">
        <f t="shared" si="3"/>
        <v>0</v>
      </c>
      <c r="BM85" s="75">
        <f>IF('Prepare Gantt Chart'!$J84=0,0,SUM(AL85:AQ85)/6/'Prepare Gantt Chart'!$J84)</f>
        <v>0</v>
      </c>
      <c r="BN85" s="75">
        <f>IF('Prepare Gantt Chart'!$J84=0,0,SUM(AR85:AV85)/5/'Prepare Gantt Chart'!$J84)</f>
        <v>0</v>
      </c>
      <c r="BO85" s="75">
        <f>IF('Prepare Gantt Chart'!$J84=0,0,SUM(AW85:BA85)/5/'Prepare Gantt Chart'!$J84)</f>
        <v>0</v>
      </c>
      <c r="BP85" s="75">
        <f>IF('Prepare Gantt Chart'!$J84=0,0,SUM(BB85:BF85)/5/'Prepare Gantt Chart'!$J84)</f>
        <v>0</v>
      </c>
      <c r="BQ85" s="75">
        <f>IF('Prepare Gantt Chart'!$J84=0,0,SUM(BG85:BK85)/5/'Prepare Gantt Chart'!$J84)</f>
        <v>0</v>
      </c>
    </row>
    <row r="86" spans="1:69" ht="16" thickBot="1" x14ac:dyDescent="0.25">
      <c r="A86" s="37" t="s">
        <v>78</v>
      </c>
      <c r="B86" s="8" t="s">
        <v>118</v>
      </c>
      <c r="C86" s="50">
        <f>_xlfn.IFS('Prepare Gantt Chart'!P85=14,'Project types'!$O86*('Prepare Gantt Chart'!$I85*'Prepare Gantt Chart'!$J85),'Prepare Gantt Chart'!P85=13,'Project types'!$Q86*('Prepare Gantt Chart'!$I85*'Prepare Gantt Chart'!$J85),'Prepare Gantt Chart'!P85=0,0)</f>
        <v>0</v>
      </c>
      <c r="D86" s="50">
        <f>_xlfn.IFS('Prepare Gantt Chart'!Q85=14,'Project types'!$O86*('Prepare Gantt Chart'!$I85*'Prepare Gantt Chart'!$J85),'Prepare Gantt Chart'!Q85=13,'Project types'!$Q86*('Prepare Gantt Chart'!$I85*'Prepare Gantt Chart'!$J85),'Prepare Gantt Chart'!Q85=0,0)</f>
        <v>0</v>
      </c>
      <c r="E86" s="50">
        <f>_xlfn.IFS('Prepare Gantt Chart'!R85=14,'Project types'!$O86*('Prepare Gantt Chart'!$I85*'Prepare Gantt Chart'!$J85),'Prepare Gantt Chart'!R85=13,'Project types'!$Q86*('Prepare Gantt Chart'!$I85*'Prepare Gantt Chart'!$J85),'Prepare Gantt Chart'!R85=0,0)</f>
        <v>0</v>
      </c>
      <c r="F86" s="50">
        <f>_xlfn.IFS('Prepare Gantt Chart'!S85=14,'Project types'!$O86*('Prepare Gantt Chart'!$I85*'Prepare Gantt Chart'!$J85),'Prepare Gantt Chart'!S85=13,'Project types'!$Q86*('Prepare Gantt Chart'!$I85*'Prepare Gantt Chart'!$J85),'Prepare Gantt Chart'!S85=0,0)</f>
        <v>0</v>
      </c>
      <c r="G86" s="50">
        <f>_xlfn.IFS('Prepare Gantt Chart'!T85=14,'Project types'!$O86*('Prepare Gantt Chart'!$I85*'Prepare Gantt Chart'!$J85),'Prepare Gantt Chart'!T85=13,'Project types'!$Q86*('Prepare Gantt Chart'!$I85*'Prepare Gantt Chart'!$J85),'Prepare Gantt Chart'!T85=0,0)</f>
        <v>0</v>
      </c>
      <c r="H86" s="50">
        <f>_xlfn.IFS('Prepare Gantt Chart'!U85=14,'Project types'!$O86*('Prepare Gantt Chart'!$I85*'Prepare Gantt Chart'!$J85),'Prepare Gantt Chart'!U85=13,'Project types'!$Q86*('Prepare Gantt Chart'!$I85*'Prepare Gantt Chart'!$J85),'Prepare Gantt Chart'!U85=0,0)</f>
        <v>0</v>
      </c>
      <c r="I86" s="50">
        <f>_xlfn.IFS('Prepare Gantt Chart'!V85=14,'Project types'!$O86*('Prepare Gantt Chart'!$I85*'Prepare Gantt Chart'!$J85),'Prepare Gantt Chart'!V85=13,'Project types'!$Q86*('Prepare Gantt Chart'!$I85*'Prepare Gantt Chart'!$J85),'Prepare Gantt Chart'!V85=0,0)</f>
        <v>0</v>
      </c>
      <c r="J86" s="50">
        <f>_xlfn.IFS('Prepare Gantt Chart'!W85=14,'Project types'!$O86*('Prepare Gantt Chart'!$I85*'Prepare Gantt Chart'!$J85),'Prepare Gantt Chart'!W85=13,'Project types'!$Q86*('Prepare Gantt Chart'!$I85*'Prepare Gantt Chart'!$J85),'Prepare Gantt Chart'!W85=0,0)</f>
        <v>0</v>
      </c>
      <c r="K86" s="50">
        <f>_xlfn.IFS('Prepare Gantt Chart'!X85=14,'Project types'!$O86*('Prepare Gantt Chart'!$I85*'Prepare Gantt Chart'!$J85),'Prepare Gantt Chart'!X85=13,'Project types'!$Q86*('Prepare Gantt Chart'!$I85*'Prepare Gantt Chart'!$J85),'Prepare Gantt Chart'!X85=0,0)</f>
        <v>0</v>
      </c>
      <c r="L86" s="50">
        <f>_xlfn.IFS('Prepare Gantt Chart'!Y85=14,'Project types'!$O86*('Prepare Gantt Chart'!$I85*'Prepare Gantt Chart'!$J85),'Prepare Gantt Chart'!Y85=13,'Project types'!$Q86*('Prepare Gantt Chart'!$I85*'Prepare Gantt Chart'!$J85),'Prepare Gantt Chart'!Y85=0,0)</f>
        <v>0</v>
      </c>
      <c r="M86" s="50">
        <f>_xlfn.IFS('Prepare Gantt Chart'!Z85=14,'Project types'!$O86*('Prepare Gantt Chart'!$I85*'Prepare Gantt Chart'!$J85),'Prepare Gantt Chart'!Z85=13,'Project types'!$Q86*('Prepare Gantt Chart'!$I85*'Prepare Gantt Chart'!$J85),'Prepare Gantt Chart'!Z85=0,0)</f>
        <v>0</v>
      </c>
      <c r="N86" s="50">
        <f>_xlfn.IFS('Prepare Gantt Chart'!AA85=14,'Project types'!$O86*('Prepare Gantt Chart'!$I85*'Prepare Gantt Chart'!$J85),'Prepare Gantt Chart'!AA85=13,'Project types'!$Q86*('Prepare Gantt Chart'!$I85*'Prepare Gantt Chart'!$J85),'Prepare Gantt Chart'!AA85=0,0)</f>
        <v>0</v>
      </c>
      <c r="O86" s="50">
        <f>_xlfn.IFS('Prepare Gantt Chart'!AB85=14,'Project types'!$O86*('Prepare Gantt Chart'!$I85*'Prepare Gantt Chart'!$J85),'Prepare Gantt Chart'!AB85=13,'Project types'!$Q86*('Prepare Gantt Chart'!$I85*'Prepare Gantt Chart'!$J85),'Prepare Gantt Chart'!AB85=0,0)</f>
        <v>0</v>
      </c>
      <c r="P86" s="50">
        <f>_xlfn.IFS('Prepare Gantt Chart'!AC85=14,'Project types'!$O86*('Prepare Gantt Chart'!$I85*'Prepare Gantt Chart'!$J85),'Prepare Gantt Chart'!AC85=13,'Project types'!$Q86*('Prepare Gantt Chart'!$I85*'Prepare Gantt Chart'!$J85),'Prepare Gantt Chart'!AC85=0,0)</f>
        <v>0</v>
      </c>
      <c r="Q86" s="50">
        <f>_xlfn.IFS('Prepare Gantt Chart'!AD85=14,'Project types'!$O86*('Prepare Gantt Chart'!$I85*'Prepare Gantt Chart'!$J85),'Prepare Gantt Chart'!AD85=13,'Project types'!$Q86*('Prepare Gantt Chart'!$I85*'Prepare Gantt Chart'!$J85),'Prepare Gantt Chart'!AD85=0,0)</f>
        <v>0</v>
      </c>
      <c r="R86" s="50">
        <f>_xlfn.IFS('Prepare Gantt Chart'!AE85=14,'Project types'!$O86*('Prepare Gantt Chart'!$I85*'Prepare Gantt Chart'!$J85),'Prepare Gantt Chart'!AE85=13,'Project types'!$Q86*('Prepare Gantt Chart'!$I85*'Prepare Gantt Chart'!$J85),'Prepare Gantt Chart'!AE85=0,0)</f>
        <v>0</v>
      </c>
      <c r="S86" s="50">
        <f>_xlfn.IFS('Prepare Gantt Chart'!AF85=14,'Project types'!$O86*('Prepare Gantt Chart'!$I85*'Prepare Gantt Chart'!$J85),'Prepare Gantt Chart'!AF85=13,'Project types'!$Q86*('Prepare Gantt Chart'!$I85*'Prepare Gantt Chart'!$J85),'Prepare Gantt Chart'!AF85=0,0)</f>
        <v>0</v>
      </c>
      <c r="T86" s="50">
        <f>_xlfn.IFS('Prepare Gantt Chart'!AG85=14,'Project types'!$O86*('Prepare Gantt Chart'!$I85*'Prepare Gantt Chart'!$J85),'Prepare Gantt Chart'!AG85=13,'Project types'!$Q86*('Prepare Gantt Chart'!$I85*'Prepare Gantt Chart'!$J85),'Prepare Gantt Chart'!AG85=0,0)</f>
        <v>0</v>
      </c>
      <c r="U86" s="50">
        <f>_xlfn.IFS('Prepare Gantt Chart'!AH85=14,'Project types'!$O86*('Prepare Gantt Chart'!$I85*'Prepare Gantt Chart'!$J85),'Prepare Gantt Chart'!AH85=13,'Project types'!$Q86*('Prepare Gantt Chart'!$I85*'Prepare Gantt Chart'!$J85),'Prepare Gantt Chart'!AH85=0,0)</f>
        <v>0</v>
      </c>
      <c r="V86" s="50">
        <f>_xlfn.IFS('Prepare Gantt Chart'!AI85=14,'Project types'!$O86*('Prepare Gantt Chart'!$I85*'Prepare Gantt Chart'!$J85),'Prepare Gantt Chart'!AI85=13,'Project types'!$Q86*('Prepare Gantt Chart'!$I85*'Prepare Gantt Chart'!$J85),'Prepare Gantt Chart'!AI85=0,0)</f>
        <v>0</v>
      </c>
      <c r="W86" s="50">
        <f>_xlfn.IFS('Prepare Gantt Chart'!AJ85=14,'Project types'!$O86*('Prepare Gantt Chart'!$I85*'Prepare Gantt Chart'!$J85),'Prepare Gantt Chart'!AJ85=13,'Project types'!$Q86*('Prepare Gantt Chart'!$I85*'Prepare Gantt Chart'!$J85),'Prepare Gantt Chart'!AJ85=0,0)</f>
        <v>0</v>
      </c>
      <c r="X86" s="50">
        <f>_xlfn.IFS('Prepare Gantt Chart'!AK85=14,'Project types'!$O86*('Prepare Gantt Chart'!$I85*'Prepare Gantt Chart'!$J85),'Prepare Gantt Chart'!AK85=13,'Project types'!$Q86*('Prepare Gantt Chart'!$I85*'Prepare Gantt Chart'!$J85),'Prepare Gantt Chart'!AK85=0,0)</f>
        <v>0</v>
      </c>
      <c r="Y86" s="50">
        <f>_xlfn.IFS('Prepare Gantt Chart'!AL85=14,'Project types'!$O86*('Prepare Gantt Chart'!$I85*'Prepare Gantt Chart'!$J85),'Prepare Gantt Chart'!AL85=13,'Project types'!$Q86*('Prepare Gantt Chart'!$I85*'Prepare Gantt Chart'!$J85),'Prepare Gantt Chart'!AL85=0,0)</f>
        <v>0</v>
      </c>
      <c r="Z86" s="50">
        <f>_xlfn.IFS('Prepare Gantt Chart'!AM85=14,'Project types'!$O86*('Prepare Gantt Chart'!$I85*'Prepare Gantt Chart'!$J85),'Prepare Gantt Chart'!AM85=13,'Project types'!$Q86*('Prepare Gantt Chart'!$I85*'Prepare Gantt Chart'!$J85),'Prepare Gantt Chart'!AM85=0,0)</f>
        <v>0</v>
      </c>
      <c r="AA86" s="50">
        <f>_xlfn.IFS('Prepare Gantt Chart'!AN85=14,'Project types'!$O86*('Prepare Gantt Chart'!$I85*'Prepare Gantt Chart'!$J85),'Prepare Gantt Chart'!AN85=13,'Project types'!$Q86*('Prepare Gantt Chart'!$I85*'Prepare Gantt Chart'!$J85),'Prepare Gantt Chart'!AN85=0,0)</f>
        <v>0</v>
      </c>
      <c r="AB86" s="50">
        <f>_xlfn.IFS('Prepare Gantt Chart'!AO85=14,'Project types'!$O86*('Prepare Gantt Chart'!$I85*'Prepare Gantt Chart'!$J85),'Prepare Gantt Chart'!AO85=13,'Project types'!$Q86*('Prepare Gantt Chart'!$I85*'Prepare Gantt Chart'!$J85),'Prepare Gantt Chart'!AO85=0,0)</f>
        <v>0</v>
      </c>
      <c r="AC86" s="50">
        <f>'Prepare Gantt Chart'!J85*'Prepare Gantt Chart'!I85*(AD86/26)</f>
        <v>0</v>
      </c>
      <c r="AD86" s="51">
        <f t="shared" si="2"/>
        <v>0</v>
      </c>
      <c r="AE86" s="73">
        <f>IF('Prepare Gantt Chart'!$J85=0,0,SUM(C86:H86)/6/'Prepare Gantt Chart'!$J85)</f>
        <v>0</v>
      </c>
      <c r="AF86" s="73">
        <f>IF('Prepare Gantt Chart'!$J85=0,0,SUM(I86:M86)/5/'Prepare Gantt Chart'!$J85)</f>
        <v>0</v>
      </c>
      <c r="AG86" s="73">
        <f>IF('Prepare Gantt Chart'!$J85=0,0,SUM(N86:R86)/5/'Prepare Gantt Chart'!$J85)</f>
        <v>0</v>
      </c>
      <c r="AH86" s="73">
        <f>IF('Prepare Gantt Chart'!$J85=0,0,SUM(S86:W86)/5/'Prepare Gantt Chart'!$J85)</f>
        <v>0</v>
      </c>
      <c r="AI86" s="73">
        <f>IF('Prepare Gantt Chart'!$J85=0,0,SUM(X86:AB86)/5/'Prepare Gantt Chart'!$J85)</f>
        <v>0</v>
      </c>
      <c r="AK86" s="37" t="s">
        <v>78</v>
      </c>
      <c r="AL86" s="50">
        <f>_xlfn.IFS('Prepare Gantt Chart'!P85=14,'Project types'!$L86*('Prepare Gantt Chart'!$I85*'Prepare Gantt Chart'!$J85),'Prepare Gantt Chart'!P85=13,'Project types'!$L86*('Prepare Gantt Chart'!$I85*'Prepare Gantt Chart'!$J85),'Prepare Gantt Chart'!P85=0,0)</f>
        <v>0</v>
      </c>
      <c r="AM86" s="50">
        <f>_xlfn.IFS('Prepare Gantt Chart'!Q85=14,'Project types'!$L86*('Prepare Gantt Chart'!$I85*'Prepare Gantt Chart'!$J85),'Prepare Gantt Chart'!Q85=13,'Project types'!$L86*('Prepare Gantt Chart'!$I85*'Prepare Gantt Chart'!$J85),'Prepare Gantt Chart'!Q85=0,0)</f>
        <v>0</v>
      </c>
      <c r="AN86" s="50">
        <f>_xlfn.IFS('Prepare Gantt Chart'!R85=14,'Project types'!$L86*('Prepare Gantt Chart'!$I85*'Prepare Gantt Chart'!$J85),'Prepare Gantt Chart'!R85=13,'Project types'!$L86*('Prepare Gantt Chart'!$I85*'Prepare Gantt Chart'!$J85),'Prepare Gantt Chart'!R85=0,0)</f>
        <v>0</v>
      </c>
      <c r="AO86" s="50">
        <f>_xlfn.IFS('Prepare Gantt Chart'!S85=14,'Project types'!$L86*('Prepare Gantt Chart'!$I85*'Prepare Gantt Chart'!$J85),'Prepare Gantt Chart'!S85=13,'Project types'!$L86*('Prepare Gantt Chart'!$I85*'Prepare Gantt Chart'!$J85),'Prepare Gantt Chart'!S85=0,0)</f>
        <v>0</v>
      </c>
      <c r="AP86" s="50">
        <f>_xlfn.IFS('Prepare Gantt Chart'!T85=14,'Project types'!$L86*('Prepare Gantt Chart'!$I85*'Prepare Gantt Chart'!$J85),'Prepare Gantt Chart'!T85=13,'Project types'!$L86*('Prepare Gantt Chart'!$I85*'Prepare Gantt Chart'!$J85),'Prepare Gantt Chart'!T85=0,0)</f>
        <v>0</v>
      </c>
      <c r="AQ86" s="50">
        <f>_xlfn.IFS('Prepare Gantt Chart'!U85=14,'Project types'!$L86*('Prepare Gantt Chart'!$I85*'Prepare Gantt Chart'!$J85),'Prepare Gantt Chart'!U85=13,'Project types'!$L86*('Prepare Gantt Chart'!$I85*'Prepare Gantt Chart'!$J85),'Prepare Gantt Chart'!U85=0,0)</f>
        <v>0</v>
      </c>
      <c r="AR86" s="50">
        <f>_xlfn.IFS('Prepare Gantt Chart'!V85=14,'Project types'!$L86*('Prepare Gantt Chart'!$I85*'Prepare Gantt Chart'!$J85),'Prepare Gantt Chart'!V85=13,'Project types'!$L86*('Prepare Gantt Chart'!$I85*'Prepare Gantt Chart'!$J85),'Prepare Gantt Chart'!V85=0,0)</f>
        <v>0</v>
      </c>
      <c r="AS86" s="50">
        <f>_xlfn.IFS('Prepare Gantt Chart'!W85=14,'Project types'!$L86*('Prepare Gantt Chart'!$I85*'Prepare Gantt Chart'!$J85),'Prepare Gantt Chart'!W85=13,'Project types'!$L86*('Prepare Gantt Chart'!$I85*'Prepare Gantt Chart'!$J85),'Prepare Gantt Chart'!W85=0,0)</f>
        <v>0</v>
      </c>
      <c r="AT86" s="50">
        <f>_xlfn.IFS('Prepare Gantt Chart'!X85=14,'Project types'!$L86*('Prepare Gantt Chart'!$I85*'Prepare Gantt Chart'!$J85),'Prepare Gantt Chart'!X85=13,'Project types'!$L86*('Prepare Gantt Chart'!$I85*'Prepare Gantt Chart'!$J85),'Prepare Gantt Chart'!X85=0,0)</f>
        <v>0</v>
      </c>
      <c r="AU86" s="50">
        <f>_xlfn.IFS('Prepare Gantt Chart'!Y85=14,'Project types'!$L86*('Prepare Gantt Chart'!$I85*'Prepare Gantt Chart'!$J85),'Prepare Gantt Chart'!Y85=13,'Project types'!$L86*('Prepare Gantt Chart'!$I85*'Prepare Gantt Chart'!$J85),'Prepare Gantt Chart'!Y85=0,0)</f>
        <v>0</v>
      </c>
      <c r="AV86" s="50">
        <f>_xlfn.IFS('Prepare Gantt Chart'!Z85=14,'Project types'!$L86*('Prepare Gantt Chart'!$I85*'Prepare Gantt Chart'!$J85),'Prepare Gantt Chart'!Z85=13,'Project types'!$L86*('Prepare Gantt Chart'!$I85*'Prepare Gantt Chart'!$J85),'Prepare Gantt Chart'!Z85=0,0)</f>
        <v>0</v>
      </c>
      <c r="AW86" s="50">
        <f>_xlfn.IFS('Prepare Gantt Chart'!AA85=14,'Project types'!$L86*('Prepare Gantt Chart'!$I85*'Prepare Gantt Chart'!$J85),'Prepare Gantt Chart'!AA85=13,'Project types'!$L86*('Prepare Gantt Chart'!$I85*'Prepare Gantt Chart'!$J85),'Prepare Gantt Chart'!AA85=0,0)</f>
        <v>0</v>
      </c>
      <c r="AX86" s="50">
        <f>_xlfn.IFS('Prepare Gantt Chart'!AB85=14,'Project types'!$L86*('Prepare Gantt Chart'!$I85*'Prepare Gantt Chart'!$J85),'Prepare Gantt Chart'!AB85=13,'Project types'!$L86*('Prepare Gantt Chart'!$I85*'Prepare Gantt Chart'!$J85),'Prepare Gantt Chart'!AB85=0,0)</f>
        <v>0</v>
      </c>
      <c r="AY86" s="50">
        <f>_xlfn.IFS('Prepare Gantt Chart'!AC85=14,'Project types'!$L86*('Prepare Gantt Chart'!$I85*'Prepare Gantt Chart'!$J85),'Prepare Gantt Chart'!AC85=13,'Project types'!$L86*('Prepare Gantt Chart'!$I85*'Prepare Gantt Chart'!$J85),'Prepare Gantt Chart'!AC85=0,0)</f>
        <v>0</v>
      </c>
      <c r="AZ86" s="50">
        <f>_xlfn.IFS('Prepare Gantt Chart'!AD85=14,'Project types'!$L86*('Prepare Gantt Chart'!$I85*'Prepare Gantt Chart'!$J85),'Prepare Gantt Chart'!AD85=13,'Project types'!$L86*('Prepare Gantt Chart'!$I85*'Prepare Gantt Chart'!$J85),'Prepare Gantt Chart'!AD85=0,0)</f>
        <v>0</v>
      </c>
      <c r="BA86" s="50">
        <f>_xlfn.IFS('Prepare Gantt Chart'!AE85=14,'Project types'!$L86*('Prepare Gantt Chart'!$I85*'Prepare Gantt Chart'!$J85),'Prepare Gantt Chart'!AE85=13,'Project types'!$L86*('Prepare Gantt Chart'!$I85*'Prepare Gantt Chart'!$J85),'Prepare Gantt Chart'!AE85=0,0)</f>
        <v>0</v>
      </c>
      <c r="BB86" s="50">
        <f>_xlfn.IFS('Prepare Gantt Chart'!AF85=14,'Project types'!$L86*('Prepare Gantt Chart'!$I85*'Prepare Gantt Chart'!$J85),'Prepare Gantt Chart'!AF85=13,'Project types'!$L86*('Prepare Gantt Chart'!$I85*'Prepare Gantt Chart'!$J85),'Prepare Gantt Chart'!AF85=0,0)</f>
        <v>0</v>
      </c>
      <c r="BC86" s="50">
        <f>_xlfn.IFS('Prepare Gantt Chart'!AG85=14,'Project types'!$L86*('Prepare Gantt Chart'!$I85*'Prepare Gantt Chart'!$J85),'Prepare Gantt Chart'!AG85=13,'Project types'!$L86*('Prepare Gantt Chart'!$I85*'Prepare Gantt Chart'!$J85),'Prepare Gantt Chart'!AG85=0,0)</f>
        <v>0</v>
      </c>
      <c r="BD86" s="50">
        <f>_xlfn.IFS('Prepare Gantt Chart'!AH85=14,'Project types'!$L86*('Prepare Gantt Chart'!$I85*'Prepare Gantt Chart'!$J85),'Prepare Gantt Chart'!AH85=13,'Project types'!$L86*('Prepare Gantt Chart'!$I85*'Prepare Gantt Chart'!$J85),'Prepare Gantt Chart'!AH85=0,0)</f>
        <v>0</v>
      </c>
      <c r="BE86" s="50">
        <f>_xlfn.IFS('Prepare Gantt Chart'!AI85=14,'Project types'!$L86*('Prepare Gantt Chart'!$I85*'Prepare Gantt Chart'!$J85),'Prepare Gantt Chart'!AI85=13,'Project types'!$L86*('Prepare Gantt Chart'!$I85*'Prepare Gantt Chart'!$J85),'Prepare Gantt Chart'!AI85=0,0)</f>
        <v>0</v>
      </c>
      <c r="BF86" s="50">
        <f>_xlfn.IFS('Prepare Gantt Chart'!AJ85=14,'Project types'!$L86*('Prepare Gantt Chart'!$I85*'Prepare Gantt Chart'!$J85),'Prepare Gantt Chart'!AJ85=13,'Project types'!$L86*('Prepare Gantt Chart'!$I85*'Prepare Gantt Chart'!$J85),'Prepare Gantt Chart'!AJ85=0,0)</f>
        <v>0</v>
      </c>
      <c r="BG86" s="50">
        <f>_xlfn.IFS('Prepare Gantt Chart'!AK85=14,'Project types'!$L86*('Prepare Gantt Chart'!$I85*'Prepare Gantt Chart'!$J85),'Prepare Gantt Chart'!AK85=13,'Project types'!$L86*('Prepare Gantt Chart'!$I85*'Prepare Gantt Chart'!$J85),'Prepare Gantt Chart'!AK85=0,0)</f>
        <v>0</v>
      </c>
      <c r="BH86" s="50">
        <f>_xlfn.IFS('Prepare Gantt Chart'!AL85=14,'Project types'!$L86*('Prepare Gantt Chart'!$I85*'Prepare Gantt Chart'!$J85),'Prepare Gantt Chart'!AL85=13,'Project types'!$L86*('Prepare Gantt Chart'!$I85*'Prepare Gantt Chart'!$J85),'Prepare Gantt Chart'!AL85=0,0)</f>
        <v>0</v>
      </c>
      <c r="BI86" s="50">
        <f>_xlfn.IFS('Prepare Gantt Chart'!AM85=14,'Project types'!$L86*('Prepare Gantt Chart'!$I85*'Prepare Gantt Chart'!$J85),'Prepare Gantt Chart'!AM85=13,'Project types'!$L86*('Prepare Gantt Chart'!$I85*'Prepare Gantt Chart'!$J85),'Prepare Gantt Chart'!AM85=0,0)</f>
        <v>0</v>
      </c>
      <c r="BJ86" s="50">
        <f>_xlfn.IFS('Prepare Gantt Chart'!AN85=14,'Project types'!$L86*('Prepare Gantt Chart'!$I85*'Prepare Gantt Chart'!$J85),'Prepare Gantt Chart'!AN85=13,'Project types'!$L86*('Prepare Gantt Chart'!$I85*'Prepare Gantt Chart'!$J85),'Prepare Gantt Chart'!AN85=0,0)</f>
        <v>0</v>
      </c>
      <c r="BK86" s="50">
        <f>_xlfn.IFS('Prepare Gantt Chart'!AO85=14,'Project types'!$L86*('Prepare Gantt Chart'!$I85*'Prepare Gantt Chart'!$J85),'Prepare Gantt Chart'!AO85=13,'Project types'!$L86*('Prepare Gantt Chart'!$I85*'Prepare Gantt Chart'!$J85),'Prepare Gantt Chart'!AO85=0,0)</f>
        <v>0</v>
      </c>
      <c r="BL86" s="51">
        <f t="shared" si="3"/>
        <v>0</v>
      </c>
      <c r="BM86" s="76">
        <f>IF('Prepare Gantt Chart'!$J85=0,0,SUM(AL86:AQ86)/6/'Prepare Gantt Chart'!$J85)</f>
        <v>0</v>
      </c>
      <c r="BN86" s="76">
        <f>IF('Prepare Gantt Chart'!$J85=0,0,SUM(AR86:AV86)/5/'Prepare Gantt Chart'!$J85)</f>
        <v>0</v>
      </c>
      <c r="BO86" s="76">
        <f>IF('Prepare Gantt Chart'!$J85=0,0,SUM(AW86:BA86)/5/'Prepare Gantt Chart'!$J85)</f>
        <v>0</v>
      </c>
      <c r="BP86" s="76">
        <f>IF('Prepare Gantt Chart'!$J85=0,0,SUM(BB86:BF86)/5/'Prepare Gantt Chart'!$J85)</f>
        <v>0</v>
      </c>
      <c r="BQ86" s="76">
        <f>IF('Prepare Gantt Chart'!$J85=0,0,SUM(BG86:BK86)/5/'Prepare Gantt Chart'!$J85)</f>
        <v>0</v>
      </c>
    </row>
    <row r="87" spans="1:69" x14ac:dyDescent="0.2">
      <c r="A87" s="38" t="s">
        <v>79</v>
      </c>
      <c r="B87" s="1" t="s">
        <v>471</v>
      </c>
      <c r="C87" s="45">
        <f>_xlfn.IFS('Prepare Gantt Chart'!P86=16,'Project types'!$O87*('Prepare Gantt Chart'!$I86*'Prepare Gantt Chart'!$J86),'Prepare Gantt Chart'!P86=15,'Project types'!$Q87*('Prepare Gantt Chart'!$I86*'Prepare Gantt Chart'!$J86),'Prepare Gantt Chart'!P86=0,0)</f>
        <v>0</v>
      </c>
      <c r="D87" s="45">
        <f>_xlfn.IFS('Prepare Gantt Chart'!Q86=16,'Project types'!$O87*('Prepare Gantt Chart'!$I86*'Prepare Gantt Chart'!$J86),'Prepare Gantt Chart'!Q86=15,'Project types'!$Q87*('Prepare Gantt Chart'!$I86*'Prepare Gantt Chart'!$J86),'Prepare Gantt Chart'!Q86=0,0)</f>
        <v>0</v>
      </c>
      <c r="E87" s="45">
        <f>_xlfn.IFS('Prepare Gantt Chart'!R86=16,'Project types'!$O87*('Prepare Gantt Chart'!$I86*'Prepare Gantt Chart'!$J86),'Prepare Gantt Chart'!R86=15,'Project types'!$Q87*('Prepare Gantt Chart'!$I86*'Prepare Gantt Chart'!$J86),'Prepare Gantt Chart'!R86=0,0)</f>
        <v>0</v>
      </c>
      <c r="F87" s="45">
        <f>_xlfn.IFS('Prepare Gantt Chart'!S86=16,'Project types'!$O87*('Prepare Gantt Chart'!$I86*'Prepare Gantt Chart'!$J86),'Prepare Gantt Chart'!S86=15,'Project types'!$Q87*('Prepare Gantt Chart'!$I86*'Prepare Gantt Chart'!$J86),'Prepare Gantt Chart'!S86=0,0)</f>
        <v>0</v>
      </c>
      <c r="G87" s="45">
        <f>_xlfn.IFS('Prepare Gantt Chart'!T86=16,'Project types'!$O87*('Prepare Gantt Chart'!$I86*'Prepare Gantt Chart'!$J86),'Prepare Gantt Chart'!T86=15,'Project types'!$Q87*('Prepare Gantt Chart'!$I86*'Prepare Gantt Chart'!$J86),'Prepare Gantt Chart'!T86=0,0)</f>
        <v>0</v>
      </c>
      <c r="H87" s="45">
        <f>_xlfn.IFS('Prepare Gantt Chart'!U86=16,'Project types'!$O87*('Prepare Gantt Chart'!$I86*'Prepare Gantt Chart'!$J86),'Prepare Gantt Chart'!U86=15,'Project types'!$Q87*('Prepare Gantt Chart'!$I86*'Prepare Gantt Chart'!$J86),'Prepare Gantt Chart'!U86=0,0)</f>
        <v>0</v>
      </c>
      <c r="I87" s="45">
        <f>_xlfn.IFS('Prepare Gantt Chart'!V86=16,'Project types'!$O87*('Prepare Gantt Chart'!$I86*'Prepare Gantt Chart'!$J86),'Prepare Gantt Chart'!V86=15,'Project types'!$Q87*('Prepare Gantt Chart'!$I86*'Prepare Gantt Chart'!$J86),'Prepare Gantt Chart'!V86=0,0)</f>
        <v>0</v>
      </c>
      <c r="J87" s="45">
        <f>_xlfn.IFS('Prepare Gantt Chart'!W86=16,'Project types'!$O87*('Prepare Gantt Chart'!$I86*'Prepare Gantt Chart'!$J86),'Prepare Gantt Chart'!W86=15,'Project types'!$Q87*('Prepare Gantt Chart'!$I86*'Prepare Gantt Chart'!$J86),'Prepare Gantt Chart'!W86=0,0)</f>
        <v>0</v>
      </c>
      <c r="K87" s="45">
        <f>_xlfn.IFS('Prepare Gantt Chart'!X86=16,'Project types'!$O87*('Prepare Gantt Chart'!$I86*'Prepare Gantt Chart'!$J86),'Prepare Gantt Chart'!X86=15,'Project types'!$Q87*('Prepare Gantt Chart'!$I86*'Prepare Gantt Chart'!$J86),'Prepare Gantt Chart'!X86=0,0)</f>
        <v>0</v>
      </c>
      <c r="L87" s="45">
        <f>_xlfn.IFS('Prepare Gantt Chart'!Y86=16,'Project types'!$O87*('Prepare Gantt Chart'!$I86*'Prepare Gantt Chart'!$J86),'Prepare Gantt Chart'!Y86=15,'Project types'!$Q87*('Prepare Gantt Chart'!$I86*'Prepare Gantt Chart'!$J86),'Prepare Gantt Chart'!Y86=0,0)</f>
        <v>0</v>
      </c>
      <c r="M87" s="45">
        <f>_xlfn.IFS('Prepare Gantt Chart'!Z86=16,'Project types'!$O87*('Prepare Gantt Chart'!$I86*'Prepare Gantt Chart'!$J86),'Prepare Gantt Chart'!Z86=15,'Project types'!$Q87*('Prepare Gantt Chart'!$I86*'Prepare Gantt Chart'!$J86),'Prepare Gantt Chart'!Z86=0,0)</f>
        <v>0</v>
      </c>
      <c r="N87" s="45">
        <f>_xlfn.IFS('Prepare Gantt Chart'!AA86=16,'Project types'!$O87*('Prepare Gantt Chart'!$I86*'Prepare Gantt Chart'!$J86),'Prepare Gantt Chart'!AA86=15,'Project types'!$Q87*('Prepare Gantt Chart'!$I86*'Prepare Gantt Chart'!$J86),'Prepare Gantt Chart'!AA86=0,0)</f>
        <v>0</v>
      </c>
      <c r="O87" s="45">
        <f>_xlfn.IFS('Prepare Gantt Chart'!AB86=16,'Project types'!$O87*('Prepare Gantt Chart'!$I86*'Prepare Gantt Chart'!$J86),'Prepare Gantt Chart'!AB86=15,'Project types'!$Q87*('Prepare Gantt Chart'!$I86*'Prepare Gantt Chart'!$J86),'Prepare Gantt Chart'!AB86=0,0)</f>
        <v>0</v>
      </c>
      <c r="P87" s="45">
        <f>_xlfn.IFS('Prepare Gantt Chart'!AC86=16,'Project types'!$O87*('Prepare Gantt Chart'!$I86*'Prepare Gantt Chart'!$J86),'Prepare Gantt Chart'!AC86=15,'Project types'!$Q87*('Prepare Gantt Chart'!$I86*'Prepare Gantt Chart'!$J86),'Prepare Gantt Chart'!AC86=0,0)</f>
        <v>0</v>
      </c>
      <c r="Q87" s="45">
        <f>_xlfn.IFS('Prepare Gantt Chart'!AD86=16,'Project types'!$O87*('Prepare Gantt Chart'!$I86*'Prepare Gantt Chart'!$J86),'Prepare Gantt Chart'!AD86=15,'Project types'!$Q87*('Prepare Gantt Chart'!$I86*'Prepare Gantt Chart'!$J86),'Prepare Gantt Chart'!AD86=0,0)</f>
        <v>0</v>
      </c>
      <c r="R87" s="45">
        <f>_xlfn.IFS('Prepare Gantt Chart'!AE86=16,'Project types'!$O87*('Prepare Gantt Chart'!$I86*'Prepare Gantt Chart'!$J86),'Prepare Gantt Chart'!AE86=15,'Project types'!$Q87*('Prepare Gantt Chart'!$I86*'Prepare Gantt Chart'!$J86),'Prepare Gantt Chart'!AE86=0,0)</f>
        <v>0</v>
      </c>
      <c r="S87" s="45">
        <f>_xlfn.IFS('Prepare Gantt Chart'!AF86=16,'Project types'!$O87*('Prepare Gantt Chart'!$I86*'Prepare Gantt Chart'!$J86),'Prepare Gantt Chart'!AF86=15,'Project types'!$Q87*('Prepare Gantt Chart'!$I86*'Prepare Gantt Chart'!$J86),'Prepare Gantt Chart'!AF86=0,0)</f>
        <v>0</v>
      </c>
      <c r="T87" s="45">
        <f>_xlfn.IFS('Prepare Gantt Chart'!AG86=16,'Project types'!$O87*('Prepare Gantt Chart'!$I86*'Prepare Gantt Chart'!$J86),'Prepare Gantt Chart'!AG86=15,'Project types'!$Q87*('Prepare Gantt Chart'!$I86*'Prepare Gantt Chart'!$J86),'Prepare Gantt Chart'!AG86=0,0)</f>
        <v>0</v>
      </c>
      <c r="U87" s="45">
        <f>_xlfn.IFS('Prepare Gantt Chart'!AH86=16,'Project types'!$O87*('Prepare Gantt Chart'!$I86*'Prepare Gantt Chart'!$J86),'Prepare Gantt Chart'!AH86=15,'Project types'!$Q87*('Prepare Gantt Chart'!$I86*'Prepare Gantt Chart'!$J86),'Prepare Gantt Chart'!AH86=0,0)</f>
        <v>0</v>
      </c>
      <c r="V87" s="45">
        <f>_xlfn.IFS('Prepare Gantt Chart'!AI86=16,'Project types'!$O87*('Prepare Gantt Chart'!$I86*'Prepare Gantt Chart'!$J86),'Prepare Gantt Chart'!AI86=15,'Project types'!$Q87*('Prepare Gantt Chart'!$I86*'Prepare Gantt Chart'!$J86),'Prepare Gantt Chart'!AI86=0,0)</f>
        <v>0</v>
      </c>
      <c r="W87" s="45">
        <f>_xlfn.IFS('Prepare Gantt Chart'!AJ86=16,'Project types'!$O87*('Prepare Gantt Chart'!$I86*'Prepare Gantt Chart'!$J86),'Prepare Gantt Chart'!AJ86=15,'Project types'!$Q87*('Prepare Gantt Chart'!$I86*'Prepare Gantt Chart'!$J86),'Prepare Gantt Chart'!AJ86=0,0)</f>
        <v>0</v>
      </c>
      <c r="X87" s="45">
        <f>_xlfn.IFS('Prepare Gantt Chart'!AK86=16,'Project types'!$O87*('Prepare Gantt Chart'!$I86*'Prepare Gantt Chart'!$J86),'Prepare Gantt Chart'!AK86=15,'Project types'!$Q87*('Prepare Gantt Chart'!$I86*'Prepare Gantt Chart'!$J86),'Prepare Gantt Chart'!AK86=0,0)</f>
        <v>0</v>
      </c>
      <c r="Y87" s="45">
        <f>_xlfn.IFS('Prepare Gantt Chart'!AL86=16,'Project types'!$O87*('Prepare Gantt Chart'!$I86*'Prepare Gantt Chart'!$J86),'Prepare Gantt Chart'!AL86=15,'Project types'!$Q87*('Prepare Gantt Chart'!$I86*'Prepare Gantt Chart'!$J86),'Prepare Gantt Chart'!AL86=0,0)</f>
        <v>0</v>
      </c>
      <c r="Z87" s="45">
        <f>_xlfn.IFS('Prepare Gantt Chart'!AM86=16,'Project types'!$O87*('Prepare Gantt Chart'!$I86*'Prepare Gantt Chart'!$J86),'Prepare Gantt Chart'!AM86=15,'Project types'!$Q87*('Prepare Gantt Chart'!$I86*'Prepare Gantt Chart'!$J86),'Prepare Gantt Chart'!AM86=0,0)</f>
        <v>0</v>
      </c>
      <c r="AA87" s="45">
        <f>_xlfn.IFS('Prepare Gantt Chart'!AN86=16,'Project types'!$O87*('Prepare Gantt Chart'!$I86*'Prepare Gantt Chart'!$J86),'Prepare Gantt Chart'!AN86=15,'Project types'!$Q87*('Prepare Gantt Chart'!$I86*'Prepare Gantt Chart'!$J86),'Prepare Gantt Chart'!AN86=0,0)</f>
        <v>0</v>
      </c>
      <c r="AB87" s="45">
        <f>_xlfn.IFS('Prepare Gantt Chart'!AO86=16,'Project types'!$O87*('Prepare Gantt Chart'!$I86*'Prepare Gantt Chart'!$J86),'Prepare Gantt Chart'!AO86=15,'Project types'!$Q87*('Prepare Gantt Chart'!$I86*'Prepare Gantt Chart'!$J86),'Prepare Gantt Chart'!AO86=0,0)</f>
        <v>0</v>
      </c>
      <c r="AC87" s="45">
        <f>'Prepare Gantt Chart'!J86*'Prepare Gantt Chart'!I86*(AD87/26)</f>
        <v>0</v>
      </c>
      <c r="AD87" s="46">
        <f t="shared" si="2"/>
        <v>0</v>
      </c>
      <c r="AE87" s="72">
        <f>IF('Prepare Gantt Chart'!$J86=0,0,SUM(C87:H87)/6/'Prepare Gantt Chart'!$J86)</f>
        <v>0</v>
      </c>
      <c r="AF87" s="72">
        <f>IF('Prepare Gantt Chart'!$J86=0,0,SUM(I87:M87)/5/'Prepare Gantt Chart'!$J86)</f>
        <v>0</v>
      </c>
      <c r="AG87" s="72">
        <f>IF('Prepare Gantt Chart'!$J86=0,0,SUM(N87:R87)/5/'Prepare Gantt Chart'!$J86)</f>
        <v>0</v>
      </c>
      <c r="AH87" s="72">
        <f>IF('Prepare Gantt Chart'!$J86=0,0,SUM(S87:W87)/5/'Prepare Gantt Chart'!$J86)</f>
        <v>0</v>
      </c>
      <c r="AI87" s="72">
        <f>IF('Prepare Gantt Chart'!$J86=0,0,SUM(X87:AB87)/5/'Prepare Gantt Chart'!$J86)</f>
        <v>0</v>
      </c>
      <c r="AK87" s="38" t="s">
        <v>79</v>
      </c>
      <c r="AL87" s="45">
        <f>_xlfn.IFS('Prepare Gantt Chart'!P86=16,'Project types'!$L87*('Prepare Gantt Chart'!$I86*'Prepare Gantt Chart'!$J86),'Prepare Gantt Chart'!P86=15,'Project types'!$L87*('Prepare Gantt Chart'!$I86*'Prepare Gantt Chart'!$J86),'Prepare Gantt Chart'!P86=0,0)</f>
        <v>0</v>
      </c>
      <c r="AM87" s="45">
        <f>_xlfn.IFS('Prepare Gantt Chart'!Q86=16,'Project types'!$L87*('Prepare Gantt Chart'!$I86*'Prepare Gantt Chart'!$J86),'Prepare Gantt Chart'!Q86=15,'Project types'!$L87*('Prepare Gantt Chart'!$I86*'Prepare Gantt Chart'!$J86),'Prepare Gantt Chart'!Q86=0,0)</f>
        <v>0</v>
      </c>
      <c r="AN87" s="45">
        <f>_xlfn.IFS('Prepare Gantt Chart'!R86=16,'Project types'!$L87*('Prepare Gantt Chart'!$I86*'Prepare Gantt Chart'!$J86),'Prepare Gantt Chart'!R86=15,'Project types'!$L87*('Prepare Gantt Chart'!$I86*'Prepare Gantt Chart'!$J86),'Prepare Gantt Chart'!R86=0,0)</f>
        <v>0</v>
      </c>
      <c r="AO87" s="45">
        <f>_xlfn.IFS('Prepare Gantt Chart'!S86=16,'Project types'!$L87*('Prepare Gantt Chart'!$I86*'Prepare Gantt Chart'!$J86),'Prepare Gantt Chart'!S86=15,'Project types'!$L87*('Prepare Gantt Chart'!$I86*'Prepare Gantt Chart'!$J86),'Prepare Gantt Chart'!S86=0,0)</f>
        <v>0</v>
      </c>
      <c r="AP87" s="45">
        <f>_xlfn.IFS('Prepare Gantt Chart'!T86=16,'Project types'!$L87*('Prepare Gantt Chart'!$I86*'Prepare Gantt Chart'!$J86),'Prepare Gantt Chart'!T86=15,'Project types'!$L87*('Prepare Gantt Chart'!$I86*'Prepare Gantt Chart'!$J86),'Prepare Gantt Chart'!T86=0,0)</f>
        <v>0</v>
      </c>
      <c r="AQ87" s="45">
        <f>_xlfn.IFS('Prepare Gantt Chart'!U86=16,'Project types'!$L87*('Prepare Gantt Chart'!$I86*'Prepare Gantt Chart'!$J86),'Prepare Gantt Chart'!U86=15,'Project types'!$L87*('Prepare Gantt Chart'!$I86*'Prepare Gantt Chart'!$J86),'Prepare Gantt Chart'!U86=0,0)</f>
        <v>0</v>
      </c>
      <c r="AR87" s="45">
        <f>_xlfn.IFS('Prepare Gantt Chart'!V86=16,'Project types'!$L87*('Prepare Gantt Chart'!$I86*'Prepare Gantt Chart'!$J86),'Prepare Gantt Chart'!V86=15,'Project types'!$L87*('Prepare Gantt Chart'!$I86*'Prepare Gantt Chart'!$J86),'Prepare Gantt Chart'!V86=0,0)</f>
        <v>0</v>
      </c>
      <c r="AS87" s="45">
        <f>_xlfn.IFS('Prepare Gantt Chart'!W86=16,'Project types'!$L87*('Prepare Gantt Chart'!$I86*'Prepare Gantt Chart'!$J86),'Prepare Gantt Chart'!W86=15,'Project types'!$L87*('Prepare Gantt Chart'!$I86*'Prepare Gantt Chart'!$J86),'Prepare Gantt Chart'!W86=0,0)</f>
        <v>0</v>
      </c>
      <c r="AT87" s="45">
        <f>_xlfn.IFS('Prepare Gantt Chart'!X86=16,'Project types'!$L87*('Prepare Gantt Chart'!$I86*'Prepare Gantt Chart'!$J86),'Prepare Gantt Chart'!X86=15,'Project types'!$L87*('Prepare Gantt Chart'!$I86*'Prepare Gantt Chart'!$J86),'Prepare Gantt Chart'!X86=0,0)</f>
        <v>0</v>
      </c>
      <c r="AU87" s="45">
        <f>_xlfn.IFS('Prepare Gantt Chart'!Y86=16,'Project types'!$L87*('Prepare Gantt Chart'!$I86*'Prepare Gantt Chart'!$J86),'Prepare Gantt Chart'!Y86=15,'Project types'!$L87*('Prepare Gantt Chart'!$I86*'Prepare Gantt Chart'!$J86),'Prepare Gantt Chart'!Y86=0,0)</f>
        <v>0</v>
      </c>
      <c r="AV87" s="45">
        <f>_xlfn.IFS('Prepare Gantt Chart'!Z86=16,'Project types'!$L87*('Prepare Gantt Chart'!$I86*'Prepare Gantt Chart'!$J86),'Prepare Gantt Chart'!Z86=15,'Project types'!$L87*('Prepare Gantt Chart'!$I86*'Prepare Gantt Chart'!$J86),'Prepare Gantt Chart'!Z86=0,0)</f>
        <v>0</v>
      </c>
      <c r="AW87" s="45">
        <f>_xlfn.IFS('Prepare Gantt Chart'!AA86=16,'Project types'!$L87*('Prepare Gantt Chart'!$I86*'Prepare Gantt Chart'!$J86),'Prepare Gantt Chart'!AA86=15,'Project types'!$L87*('Prepare Gantt Chart'!$I86*'Prepare Gantt Chart'!$J86),'Prepare Gantt Chart'!AA86=0,0)</f>
        <v>0</v>
      </c>
      <c r="AX87" s="45">
        <f>_xlfn.IFS('Prepare Gantt Chart'!AB86=16,'Project types'!$L87*('Prepare Gantt Chart'!$I86*'Prepare Gantt Chart'!$J86),'Prepare Gantt Chart'!AB86=15,'Project types'!$L87*('Prepare Gantt Chart'!$I86*'Prepare Gantt Chart'!$J86),'Prepare Gantt Chart'!AB86=0,0)</f>
        <v>0</v>
      </c>
      <c r="AY87" s="45">
        <f>_xlfn.IFS('Prepare Gantt Chart'!AC86=16,'Project types'!$L87*('Prepare Gantt Chart'!$I86*'Prepare Gantt Chart'!$J86),'Prepare Gantt Chart'!AC86=15,'Project types'!$L87*('Prepare Gantt Chart'!$I86*'Prepare Gantt Chart'!$J86),'Prepare Gantt Chart'!AC86=0,0)</f>
        <v>0</v>
      </c>
      <c r="AZ87" s="45">
        <f>_xlfn.IFS('Prepare Gantt Chart'!AD86=16,'Project types'!$L87*('Prepare Gantt Chart'!$I86*'Prepare Gantt Chart'!$J86),'Prepare Gantt Chart'!AD86=15,'Project types'!$L87*('Prepare Gantt Chart'!$I86*'Prepare Gantt Chart'!$J86),'Prepare Gantt Chart'!AD86=0,0)</f>
        <v>0</v>
      </c>
      <c r="BA87" s="45">
        <f>_xlfn.IFS('Prepare Gantt Chart'!AE86=16,'Project types'!$L87*('Prepare Gantt Chart'!$I86*'Prepare Gantt Chart'!$J86),'Prepare Gantt Chart'!AE86=15,'Project types'!$L87*('Prepare Gantt Chart'!$I86*'Prepare Gantt Chart'!$J86),'Prepare Gantt Chart'!AE86=0,0)</f>
        <v>0</v>
      </c>
      <c r="BB87" s="45">
        <f>_xlfn.IFS('Prepare Gantt Chart'!AF86=16,'Project types'!$L87*('Prepare Gantt Chart'!$I86*'Prepare Gantt Chart'!$J86),'Prepare Gantt Chart'!AF86=15,'Project types'!$L87*('Prepare Gantt Chart'!$I86*'Prepare Gantt Chart'!$J86),'Prepare Gantt Chart'!AF86=0,0)</f>
        <v>0</v>
      </c>
      <c r="BC87" s="45">
        <f>_xlfn.IFS('Prepare Gantt Chart'!AG86=16,'Project types'!$L87*('Prepare Gantt Chart'!$I86*'Prepare Gantt Chart'!$J86),'Prepare Gantt Chart'!AG86=15,'Project types'!$L87*('Prepare Gantt Chart'!$I86*'Prepare Gantt Chart'!$J86),'Prepare Gantt Chart'!AG86=0,0)</f>
        <v>0</v>
      </c>
      <c r="BD87" s="45">
        <f>_xlfn.IFS('Prepare Gantt Chart'!AH86=16,'Project types'!$L87*('Prepare Gantt Chart'!$I86*'Prepare Gantt Chart'!$J86),'Prepare Gantt Chart'!AH86=15,'Project types'!$L87*('Prepare Gantt Chart'!$I86*'Prepare Gantt Chart'!$J86),'Prepare Gantt Chart'!AH86=0,0)</f>
        <v>0</v>
      </c>
      <c r="BE87" s="45">
        <f>_xlfn.IFS('Prepare Gantt Chart'!AI86=16,'Project types'!$L87*('Prepare Gantt Chart'!$I86*'Prepare Gantt Chart'!$J86),'Prepare Gantt Chart'!AI86=15,'Project types'!$L87*('Prepare Gantt Chart'!$I86*'Prepare Gantt Chart'!$J86),'Prepare Gantt Chart'!AI86=0,0)</f>
        <v>0</v>
      </c>
      <c r="BF87" s="45">
        <f>_xlfn.IFS('Prepare Gantt Chart'!AJ86=16,'Project types'!$L87*('Prepare Gantt Chart'!$I86*'Prepare Gantt Chart'!$J86),'Prepare Gantt Chart'!AJ86=15,'Project types'!$L87*('Prepare Gantt Chart'!$I86*'Prepare Gantt Chart'!$J86),'Prepare Gantt Chart'!AJ86=0,0)</f>
        <v>0</v>
      </c>
      <c r="BG87" s="45">
        <f>_xlfn.IFS('Prepare Gantt Chart'!AK86=16,'Project types'!$L87*('Prepare Gantt Chart'!$I86*'Prepare Gantt Chart'!$J86),'Prepare Gantt Chart'!AK86=15,'Project types'!$L87*('Prepare Gantt Chart'!$I86*'Prepare Gantt Chart'!$J86),'Prepare Gantt Chart'!AK86=0,0)</f>
        <v>0</v>
      </c>
      <c r="BH87" s="45">
        <f>_xlfn.IFS('Prepare Gantt Chart'!AL86=16,'Project types'!$L87*('Prepare Gantt Chart'!$I86*'Prepare Gantt Chart'!$J86),'Prepare Gantt Chart'!AL86=15,'Project types'!$L87*('Prepare Gantt Chart'!$I86*'Prepare Gantt Chart'!$J86),'Prepare Gantt Chart'!AL86=0,0)</f>
        <v>0</v>
      </c>
      <c r="BI87" s="45">
        <f>_xlfn.IFS('Prepare Gantt Chart'!AM86=16,'Project types'!$L87*('Prepare Gantt Chart'!$I86*'Prepare Gantt Chart'!$J86),'Prepare Gantt Chart'!AM86=15,'Project types'!$L87*('Prepare Gantt Chart'!$I86*'Prepare Gantt Chart'!$J86),'Prepare Gantt Chart'!AM86=0,0)</f>
        <v>0</v>
      </c>
      <c r="BJ87" s="45">
        <f>_xlfn.IFS('Prepare Gantt Chart'!AN86=16,'Project types'!$L87*('Prepare Gantt Chart'!$I86*'Prepare Gantt Chart'!$J86),'Prepare Gantt Chart'!AN86=15,'Project types'!$L87*('Prepare Gantt Chart'!$I86*'Prepare Gantt Chart'!$J86),'Prepare Gantt Chart'!AN86=0,0)</f>
        <v>0</v>
      </c>
      <c r="BK87" s="45">
        <f>_xlfn.IFS('Prepare Gantt Chart'!AO86=16,'Project types'!$L87*('Prepare Gantt Chart'!$I86*'Prepare Gantt Chart'!$J86),'Prepare Gantt Chart'!AO86=15,'Project types'!$L87*('Prepare Gantt Chart'!$I86*'Prepare Gantt Chart'!$J86),'Prepare Gantt Chart'!AO86=0,0)</f>
        <v>0</v>
      </c>
      <c r="BL87" s="46">
        <f t="shared" si="3"/>
        <v>0</v>
      </c>
      <c r="BM87" s="75">
        <f>IF('Prepare Gantt Chart'!$J86=0,0,SUM(AL87:AQ87)/6/'Prepare Gantt Chart'!$J86)</f>
        <v>0</v>
      </c>
      <c r="BN87" s="75">
        <f>IF('Prepare Gantt Chart'!$J86=0,0,SUM(AR87:AV87)/5/'Prepare Gantt Chart'!$J86)</f>
        <v>0</v>
      </c>
      <c r="BO87" s="75">
        <f>IF('Prepare Gantt Chart'!$J86=0,0,SUM(AW87:BA87)/5/'Prepare Gantt Chart'!$J86)</f>
        <v>0</v>
      </c>
      <c r="BP87" s="75">
        <f>IF('Prepare Gantt Chart'!$J86=0,0,SUM(BB87:BF87)/5/'Prepare Gantt Chart'!$J86)</f>
        <v>0</v>
      </c>
      <c r="BQ87" s="75">
        <f>IF('Prepare Gantt Chart'!$J86=0,0,SUM(BG87:BK87)/5/'Prepare Gantt Chart'!$J86)</f>
        <v>0</v>
      </c>
    </row>
    <row r="88" spans="1:69" x14ac:dyDescent="0.2">
      <c r="A88" s="39" t="s">
        <v>80</v>
      </c>
      <c r="B88" s="1" t="s">
        <v>472</v>
      </c>
      <c r="C88" s="45">
        <f>_xlfn.IFS('Prepare Gantt Chart'!P87=16,'Project types'!$O88*('Prepare Gantt Chart'!$I87*'Prepare Gantt Chart'!$J87),'Prepare Gantt Chart'!P87=15,'Project types'!$Q88*('Prepare Gantt Chart'!$I87*'Prepare Gantt Chart'!$J87),'Prepare Gantt Chart'!P87=0,0)</f>
        <v>0</v>
      </c>
      <c r="D88" s="45">
        <f>_xlfn.IFS('Prepare Gantt Chart'!Q87=16,'Project types'!$O88*('Prepare Gantt Chart'!$I87*'Prepare Gantt Chart'!$J87),'Prepare Gantt Chart'!Q87=15,'Project types'!$Q88*('Prepare Gantt Chart'!$I87*'Prepare Gantt Chart'!$J87),'Prepare Gantt Chart'!Q87=0,0)</f>
        <v>0</v>
      </c>
      <c r="E88" s="45">
        <f>_xlfn.IFS('Prepare Gantt Chart'!R87=16,'Project types'!$O88*('Prepare Gantt Chart'!$I87*'Prepare Gantt Chart'!$J87),'Prepare Gantt Chart'!R87=15,'Project types'!$Q88*('Prepare Gantt Chart'!$I87*'Prepare Gantt Chart'!$J87),'Prepare Gantt Chart'!R87=0,0)</f>
        <v>0</v>
      </c>
      <c r="F88" s="45">
        <f>_xlfn.IFS('Prepare Gantt Chart'!S87=16,'Project types'!$O88*('Prepare Gantt Chart'!$I87*'Prepare Gantt Chart'!$J87),'Prepare Gantt Chart'!S87=15,'Project types'!$Q88*('Prepare Gantt Chart'!$I87*'Prepare Gantt Chart'!$J87),'Prepare Gantt Chart'!S87=0,0)</f>
        <v>0</v>
      </c>
      <c r="G88" s="45">
        <f>_xlfn.IFS('Prepare Gantt Chart'!T87=16,'Project types'!$O88*('Prepare Gantt Chart'!$I87*'Prepare Gantt Chart'!$J87),'Prepare Gantt Chart'!T87=15,'Project types'!$Q88*('Prepare Gantt Chart'!$I87*'Prepare Gantt Chart'!$J87),'Prepare Gantt Chart'!T87=0,0)</f>
        <v>0</v>
      </c>
      <c r="H88" s="45">
        <f>_xlfn.IFS('Prepare Gantt Chart'!U87=16,'Project types'!$O88*('Prepare Gantt Chart'!$I87*'Prepare Gantt Chart'!$J87),'Prepare Gantt Chart'!U87=15,'Project types'!$Q88*('Prepare Gantt Chart'!$I87*'Prepare Gantt Chart'!$J87),'Prepare Gantt Chart'!U87=0,0)</f>
        <v>0</v>
      </c>
      <c r="I88" s="45">
        <f>_xlfn.IFS('Prepare Gantt Chart'!V87=16,'Project types'!$O88*('Prepare Gantt Chart'!$I87*'Prepare Gantt Chart'!$J87),'Prepare Gantt Chart'!V87=15,'Project types'!$Q88*('Prepare Gantt Chart'!$I87*'Prepare Gantt Chart'!$J87),'Prepare Gantt Chart'!V87=0,0)</f>
        <v>0</v>
      </c>
      <c r="J88" s="45">
        <f>_xlfn.IFS('Prepare Gantt Chart'!W87=16,'Project types'!$O88*('Prepare Gantt Chart'!$I87*'Prepare Gantt Chart'!$J87),'Prepare Gantt Chart'!W87=15,'Project types'!$Q88*('Prepare Gantt Chart'!$I87*'Prepare Gantt Chart'!$J87),'Prepare Gantt Chart'!W87=0,0)</f>
        <v>0</v>
      </c>
      <c r="K88" s="45">
        <f>_xlfn.IFS('Prepare Gantt Chart'!X87=16,'Project types'!$O88*('Prepare Gantt Chart'!$I87*'Prepare Gantt Chart'!$J87),'Prepare Gantt Chart'!X87=15,'Project types'!$Q88*('Prepare Gantt Chart'!$I87*'Prepare Gantt Chart'!$J87),'Prepare Gantt Chart'!X87=0,0)</f>
        <v>0</v>
      </c>
      <c r="L88" s="45">
        <f>_xlfn.IFS('Prepare Gantt Chart'!Y87=16,'Project types'!$O88*('Prepare Gantt Chart'!$I87*'Prepare Gantt Chart'!$J87),'Prepare Gantt Chart'!Y87=15,'Project types'!$Q88*('Prepare Gantt Chart'!$I87*'Prepare Gantt Chart'!$J87),'Prepare Gantt Chart'!Y87=0,0)</f>
        <v>0</v>
      </c>
      <c r="M88" s="45">
        <f>_xlfn.IFS('Prepare Gantt Chart'!Z87=16,'Project types'!$O88*('Prepare Gantt Chart'!$I87*'Prepare Gantt Chart'!$J87),'Prepare Gantt Chart'!Z87=15,'Project types'!$Q88*('Prepare Gantt Chart'!$I87*'Prepare Gantt Chart'!$J87),'Prepare Gantt Chart'!Z87=0,0)</f>
        <v>0</v>
      </c>
      <c r="N88" s="45">
        <f>_xlfn.IFS('Prepare Gantt Chart'!AA87=16,'Project types'!$O88*('Prepare Gantt Chart'!$I87*'Prepare Gantt Chart'!$J87),'Prepare Gantt Chart'!AA87=15,'Project types'!$Q88*('Prepare Gantt Chart'!$I87*'Prepare Gantt Chart'!$J87),'Prepare Gantt Chart'!AA87=0,0)</f>
        <v>0</v>
      </c>
      <c r="O88" s="45">
        <f>_xlfn.IFS('Prepare Gantt Chart'!AB87=16,'Project types'!$O88*('Prepare Gantt Chart'!$I87*'Prepare Gantt Chart'!$J87),'Prepare Gantt Chart'!AB87=15,'Project types'!$Q88*('Prepare Gantt Chart'!$I87*'Prepare Gantt Chart'!$J87),'Prepare Gantt Chart'!AB87=0,0)</f>
        <v>0</v>
      </c>
      <c r="P88" s="45">
        <f>_xlfn.IFS('Prepare Gantt Chart'!AC87=16,'Project types'!$O88*('Prepare Gantt Chart'!$I87*'Prepare Gantt Chart'!$J87),'Prepare Gantt Chart'!AC87=15,'Project types'!$Q88*('Prepare Gantt Chart'!$I87*'Prepare Gantt Chart'!$J87),'Prepare Gantt Chart'!AC87=0,0)</f>
        <v>0</v>
      </c>
      <c r="Q88" s="45">
        <f>_xlfn.IFS('Prepare Gantt Chart'!AD87=16,'Project types'!$O88*('Prepare Gantt Chart'!$I87*'Prepare Gantt Chart'!$J87),'Prepare Gantt Chart'!AD87=15,'Project types'!$Q88*('Prepare Gantt Chart'!$I87*'Prepare Gantt Chart'!$J87),'Prepare Gantt Chart'!AD87=0,0)</f>
        <v>0</v>
      </c>
      <c r="R88" s="45">
        <f>_xlfn.IFS('Prepare Gantt Chart'!AE87=16,'Project types'!$O88*('Prepare Gantt Chart'!$I87*'Prepare Gantt Chart'!$J87),'Prepare Gantt Chart'!AE87=15,'Project types'!$Q88*('Prepare Gantt Chart'!$I87*'Prepare Gantt Chart'!$J87),'Prepare Gantt Chart'!AE87=0,0)</f>
        <v>0</v>
      </c>
      <c r="S88" s="45">
        <f>_xlfn.IFS('Prepare Gantt Chart'!AF87=16,'Project types'!$O88*('Prepare Gantt Chart'!$I87*'Prepare Gantt Chart'!$J87),'Prepare Gantt Chart'!AF87=15,'Project types'!$Q88*('Prepare Gantt Chart'!$I87*'Prepare Gantt Chart'!$J87),'Prepare Gantt Chart'!AF87=0,0)</f>
        <v>0</v>
      </c>
      <c r="T88" s="45">
        <f>_xlfn.IFS('Prepare Gantt Chart'!AG87=16,'Project types'!$O88*('Prepare Gantt Chart'!$I87*'Prepare Gantt Chart'!$J87),'Prepare Gantt Chart'!AG87=15,'Project types'!$Q88*('Prepare Gantt Chart'!$I87*'Prepare Gantt Chart'!$J87),'Prepare Gantt Chart'!AG87=0,0)</f>
        <v>0</v>
      </c>
      <c r="U88" s="45">
        <f>_xlfn.IFS('Prepare Gantt Chart'!AH87=16,'Project types'!$O88*('Prepare Gantt Chart'!$I87*'Prepare Gantt Chart'!$J87),'Prepare Gantt Chart'!AH87=15,'Project types'!$Q88*('Prepare Gantt Chart'!$I87*'Prepare Gantt Chart'!$J87),'Prepare Gantt Chart'!AH87=0,0)</f>
        <v>0</v>
      </c>
      <c r="V88" s="45">
        <f>_xlfn.IFS('Prepare Gantt Chart'!AI87=16,'Project types'!$O88*('Prepare Gantt Chart'!$I87*'Prepare Gantt Chart'!$J87),'Prepare Gantt Chart'!AI87=15,'Project types'!$Q88*('Prepare Gantt Chart'!$I87*'Prepare Gantt Chart'!$J87),'Prepare Gantt Chart'!AI87=0,0)</f>
        <v>0</v>
      </c>
      <c r="W88" s="45">
        <f>_xlfn.IFS('Prepare Gantt Chart'!AJ87=16,'Project types'!$O88*('Prepare Gantt Chart'!$I87*'Prepare Gantt Chart'!$J87),'Prepare Gantt Chart'!AJ87=15,'Project types'!$Q88*('Prepare Gantt Chart'!$I87*'Prepare Gantt Chart'!$J87),'Prepare Gantt Chart'!AJ87=0,0)</f>
        <v>0</v>
      </c>
      <c r="X88" s="45">
        <f>_xlfn.IFS('Prepare Gantt Chart'!AK87=16,'Project types'!$O88*('Prepare Gantt Chart'!$I87*'Prepare Gantt Chart'!$J87),'Prepare Gantt Chart'!AK87=15,'Project types'!$Q88*('Prepare Gantt Chart'!$I87*'Prepare Gantt Chart'!$J87),'Prepare Gantt Chart'!AK87=0,0)</f>
        <v>0</v>
      </c>
      <c r="Y88" s="45">
        <f>_xlfn.IFS('Prepare Gantt Chart'!AL87=16,'Project types'!$O88*('Prepare Gantt Chart'!$I87*'Prepare Gantt Chart'!$J87),'Prepare Gantt Chart'!AL87=15,'Project types'!$Q88*('Prepare Gantt Chart'!$I87*'Prepare Gantt Chart'!$J87),'Prepare Gantt Chart'!AL87=0,0)</f>
        <v>0</v>
      </c>
      <c r="Z88" s="45">
        <f>_xlfn.IFS('Prepare Gantt Chart'!AM87=16,'Project types'!$O88*('Prepare Gantt Chart'!$I87*'Prepare Gantt Chart'!$J87),'Prepare Gantt Chart'!AM87=15,'Project types'!$Q88*('Prepare Gantt Chart'!$I87*'Prepare Gantt Chart'!$J87),'Prepare Gantt Chart'!AM87=0,0)</f>
        <v>0</v>
      </c>
      <c r="AA88" s="45">
        <f>_xlfn.IFS('Prepare Gantt Chart'!AN87=16,'Project types'!$O88*('Prepare Gantt Chart'!$I87*'Prepare Gantt Chart'!$J87),'Prepare Gantt Chart'!AN87=15,'Project types'!$Q88*('Prepare Gantt Chart'!$I87*'Prepare Gantt Chart'!$J87),'Prepare Gantt Chart'!AN87=0,0)</f>
        <v>0</v>
      </c>
      <c r="AB88" s="45">
        <f>_xlfn.IFS('Prepare Gantt Chart'!AO87=16,'Project types'!$O88*('Prepare Gantt Chart'!$I87*'Prepare Gantt Chart'!$J87),'Prepare Gantt Chart'!AO87=15,'Project types'!$Q88*('Prepare Gantt Chart'!$I87*'Prepare Gantt Chart'!$J87),'Prepare Gantt Chart'!AO87=0,0)</f>
        <v>0</v>
      </c>
      <c r="AC88" s="45">
        <f>'Prepare Gantt Chart'!J87*'Prepare Gantt Chart'!I87*(AD88/26)</f>
        <v>0</v>
      </c>
      <c r="AD88" s="46">
        <f t="shared" si="2"/>
        <v>0</v>
      </c>
      <c r="AE88" s="72">
        <f>IF('Prepare Gantt Chart'!$J87=0,0,SUM(C88:H88)/6/'Prepare Gantt Chart'!$J87)</f>
        <v>0</v>
      </c>
      <c r="AF88" s="72">
        <f>IF('Prepare Gantt Chart'!$J87=0,0,SUM(I88:M88)/5/'Prepare Gantt Chart'!$J87)</f>
        <v>0</v>
      </c>
      <c r="AG88" s="72">
        <f>IF('Prepare Gantt Chart'!$J87=0,0,SUM(N88:R88)/5/'Prepare Gantt Chart'!$J87)</f>
        <v>0</v>
      </c>
      <c r="AH88" s="72">
        <f>IF('Prepare Gantt Chart'!$J87=0,0,SUM(S88:W88)/5/'Prepare Gantt Chart'!$J87)</f>
        <v>0</v>
      </c>
      <c r="AI88" s="72">
        <f>IF('Prepare Gantt Chart'!$J87=0,0,SUM(X88:AB88)/5/'Prepare Gantt Chart'!$J87)</f>
        <v>0</v>
      </c>
      <c r="AK88" s="39" t="s">
        <v>80</v>
      </c>
      <c r="AL88" s="45">
        <f>_xlfn.IFS('Prepare Gantt Chart'!P87=16,'Project types'!$L88*('Prepare Gantt Chart'!$I87*'Prepare Gantt Chart'!$J87),'Prepare Gantt Chart'!P87=15,'Project types'!$L88*('Prepare Gantt Chart'!$I87*'Prepare Gantt Chart'!$J87),'Prepare Gantt Chart'!P87=0,0)</f>
        <v>0</v>
      </c>
      <c r="AM88" s="45">
        <f>_xlfn.IFS('Prepare Gantt Chart'!Q87=16,'Project types'!$L88*('Prepare Gantt Chart'!$I87*'Prepare Gantt Chart'!$J87),'Prepare Gantt Chart'!Q87=15,'Project types'!$L88*('Prepare Gantt Chart'!$I87*'Prepare Gantt Chart'!$J87),'Prepare Gantt Chart'!Q87=0,0)</f>
        <v>0</v>
      </c>
      <c r="AN88" s="45">
        <f>_xlfn.IFS('Prepare Gantt Chart'!R87=16,'Project types'!$L88*('Prepare Gantt Chart'!$I87*'Prepare Gantt Chart'!$J87),'Prepare Gantt Chart'!R87=15,'Project types'!$L88*('Prepare Gantt Chart'!$I87*'Prepare Gantt Chart'!$J87),'Prepare Gantt Chart'!R87=0,0)</f>
        <v>0</v>
      </c>
      <c r="AO88" s="45">
        <f>_xlfn.IFS('Prepare Gantt Chart'!S87=16,'Project types'!$L88*('Prepare Gantt Chart'!$I87*'Prepare Gantt Chart'!$J87),'Prepare Gantt Chart'!S87=15,'Project types'!$L88*('Prepare Gantt Chart'!$I87*'Prepare Gantt Chart'!$J87),'Prepare Gantt Chart'!S87=0,0)</f>
        <v>0</v>
      </c>
      <c r="AP88" s="45">
        <f>_xlfn.IFS('Prepare Gantt Chart'!T87=16,'Project types'!$L88*('Prepare Gantt Chart'!$I87*'Prepare Gantt Chart'!$J87),'Prepare Gantt Chart'!T87=15,'Project types'!$L88*('Prepare Gantt Chart'!$I87*'Prepare Gantt Chart'!$J87),'Prepare Gantt Chart'!T87=0,0)</f>
        <v>0</v>
      </c>
      <c r="AQ88" s="45">
        <f>_xlfn.IFS('Prepare Gantt Chart'!U87=16,'Project types'!$L88*('Prepare Gantt Chart'!$I87*'Prepare Gantt Chart'!$J87),'Prepare Gantt Chart'!U87=15,'Project types'!$L88*('Prepare Gantt Chart'!$I87*'Prepare Gantt Chart'!$J87),'Prepare Gantt Chart'!U87=0,0)</f>
        <v>0</v>
      </c>
      <c r="AR88" s="45">
        <f>_xlfn.IFS('Prepare Gantt Chart'!V87=16,'Project types'!$L88*('Prepare Gantt Chart'!$I87*'Prepare Gantt Chart'!$J87),'Prepare Gantt Chart'!V87=15,'Project types'!$L88*('Prepare Gantt Chart'!$I87*'Prepare Gantt Chart'!$J87),'Prepare Gantt Chart'!V87=0,0)</f>
        <v>0</v>
      </c>
      <c r="AS88" s="45">
        <f>_xlfn.IFS('Prepare Gantt Chart'!W87=16,'Project types'!$L88*('Prepare Gantt Chart'!$I87*'Prepare Gantt Chart'!$J87),'Prepare Gantt Chart'!W87=15,'Project types'!$L88*('Prepare Gantt Chart'!$I87*'Prepare Gantt Chart'!$J87),'Prepare Gantt Chart'!W87=0,0)</f>
        <v>0</v>
      </c>
      <c r="AT88" s="45">
        <f>_xlfn.IFS('Prepare Gantt Chart'!X87=16,'Project types'!$L88*('Prepare Gantt Chart'!$I87*'Prepare Gantt Chart'!$J87),'Prepare Gantt Chart'!X87=15,'Project types'!$L88*('Prepare Gantt Chart'!$I87*'Prepare Gantt Chart'!$J87),'Prepare Gantt Chart'!X87=0,0)</f>
        <v>0</v>
      </c>
      <c r="AU88" s="45">
        <f>_xlfn.IFS('Prepare Gantt Chart'!Y87=16,'Project types'!$L88*('Prepare Gantt Chart'!$I87*'Prepare Gantt Chart'!$J87),'Prepare Gantt Chart'!Y87=15,'Project types'!$L88*('Prepare Gantt Chart'!$I87*'Prepare Gantt Chart'!$J87),'Prepare Gantt Chart'!Y87=0,0)</f>
        <v>0</v>
      </c>
      <c r="AV88" s="45">
        <f>_xlfn.IFS('Prepare Gantt Chart'!Z87=16,'Project types'!$L88*('Prepare Gantt Chart'!$I87*'Prepare Gantt Chart'!$J87),'Prepare Gantt Chart'!Z87=15,'Project types'!$L88*('Prepare Gantt Chart'!$I87*'Prepare Gantt Chart'!$J87),'Prepare Gantt Chart'!Z87=0,0)</f>
        <v>0</v>
      </c>
      <c r="AW88" s="45">
        <f>_xlfn.IFS('Prepare Gantt Chart'!AA87=16,'Project types'!$L88*('Prepare Gantt Chart'!$I87*'Prepare Gantt Chart'!$J87),'Prepare Gantt Chart'!AA87=15,'Project types'!$L88*('Prepare Gantt Chart'!$I87*'Prepare Gantt Chart'!$J87),'Prepare Gantt Chart'!AA87=0,0)</f>
        <v>0</v>
      </c>
      <c r="AX88" s="45">
        <f>_xlfn.IFS('Prepare Gantt Chart'!AB87=16,'Project types'!$L88*('Prepare Gantt Chart'!$I87*'Prepare Gantt Chart'!$J87),'Prepare Gantt Chart'!AB87=15,'Project types'!$L88*('Prepare Gantt Chart'!$I87*'Prepare Gantt Chart'!$J87),'Prepare Gantt Chart'!AB87=0,0)</f>
        <v>0</v>
      </c>
      <c r="AY88" s="45">
        <f>_xlfn.IFS('Prepare Gantt Chart'!AC87=16,'Project types'!$L88*('Prepare Gantt Chart'!$I87*'Prepare Gantt Chart'!$J87),'Prepare Gantt Chart'!AC87=15,'Project types'!$L88*('Prepare Gantt Chart'!$I87*'Prepare Gantt Chart'!$J87),'Prepare Gantt Chart'!AC87=0,0)</f>
        <v>0</v>
      </c>
      <c r="AZ88" s="45">
        <f>_xlfn.IFS('Prepare Gantt Chart'!AD87=16,'Project types'!$L88*('Prepare Gantt Chart'!$I87*'Prepare Gantt Chart'!$J87),'Prepare Gantt Chart'!AD87=15,'Project types'!$L88*('Prepare Gantt Chart'!$I87*'Prepare Gantt Chart'!$J87),'Prepare Gantt Chart'!AD87=0,0)</f>
        <v>0</v>
      </c>
      <c r="BA88" s="45">
        <f>_xlfn.IFS('Prepare Gantt Chart'!AE87=16,'Project types'!$L88*('Prepare Gantt Chart'!$I87*'Prepare Gantt Chart'!$J87),'Prepare Gantt Chart'!AE87=15,'Project types'!$L88*('Prepare Gantt Chart'!$I87*'Prepare Gantt Chart'!$J87),'Prepare Gantt Chart'!AE87=0,0)</f>
        <v>0</v>
      </c>
      <c r="BB88" s="45">
        <f>_xlfn.IFS('Prepare Gantt Chart'!AF87=16,'Project types'!$L88*('Prepare Gantt Chart'!$I87*'Prepare Gantt Chart'!$J87),'Prepare Gantt Chart'!AF87=15,'Project types'!$L88*('Prepare Gantt Chart'!$I87*'Prepare Gantt Chart'!$J87),'Prepare Gantt Chart'!AF87=0,0)</f>
        <v>0</v>
      </c>
      <c r="BC88" s="45">
        <f>_xlfn.IFS('Prepare Gantt Chart'!AG87=16,'Project types'!$L88*('Prepare Gantt Chart'!$I87*'Prepare Gantt Chart'!$J87),'Prepare Gantt Chart'!AG87=15,'Project types'!$L88*('Prepare Gantt Chart'!$I87*'Prepare Gantt Chart'!$J87),'Prepare Gantt Chart'!AG87=0,0)</f>
        <v>0</v>
      </c>
      <c r="BD88" s="45">
        <f>_xlfn.IFS('Prepare Gantt Chart'!AH87=16,'Project types'!$L88*('Prepare Gantt Chart'!$I87*'Prepare Gantt Chart'!$J87),'Prepare Gantt Chart'!AH87=15,'Project types'!$L88*('Prepare Gantt Chart'!$I87*'Prepare Gantt Chart'!$J87),'Prepare Gantt Chart'!AH87=0,0)</f>
        <v>0</v>
      </c>
      <c r="BE88" s="45">
        <f>_xlfn.IFS('Prepare Gantt Chart'!AI87=16,'Project types'!$L88*('Prepare Gantt Chart'!$I87*'Prepare Gantt Chart'!$J87),'Prepare Gantt Chart'!AI87=15,'Project types'!$L88*('Prepare Gantt Chart'!$I87*'Prepare Gantt Chart'!$J87),'Prepare Gantt Chart'!AI87=0,0)</f>
        <v>0</v>
      </c>
      <c r="BF88" s="45">
        <f>_xlfn.IFS('Prepare Gantt Chart'!AJ87=16,'Project types'!$L88*('Prepare Gantt Chart'!$I87*'Prepare Gantt Chart'!$J87),'Prepare Gantt Chart'!AJ87=15,'Project types'!$L88*('Prepare Gantt Chart'!$I87*'Prepare Gantt Chart'!$J87),'Prepare Gantt Chart'!AJ87=0,0)</f>
        <v>0</v>
      </c>
      <c r="BG88" s="45">
        <f>_xlfn.IFS('Prepare Gantt Chart'!AK87=16,'Project types'!$L88*('Prepare Gantt Chart'!$I87*'Prepare Gantt Chart'!$J87),'Prepare Gantt Chart'!AK87=15,'Project types'!$L88*('Prepare Gantt Chart'!$I87*'Prepare Gantt Chart'!$J87),'Prepare Gantt Chart'!AK87=0,0)</f>
        <v>0</v>
      </c>
      <c r="BH88" s="45">
        <f>_xlfn.IFS('Prepare Gantt Chart'!AL87=16,'Project types'!$L88*('Prepare Gantt Chart'!$I87*'Prepare Gantt Chart'!$J87),'Prepare Gantt Chart'!AL87=15,'Project types'!$L88*('Prepare Gantt Chart'!$I87*'Prepare Gantt Chart'!$J87),'Prepare Gantt Chart'!AL87=0,0)</f>
        <v>0</v>
      </c>
      <c r="BI88" s="45">
        <f>_xlfn.IFS('Prepare Gantt Chart'!AM87=16,'Project types'!$L88*('Prepare Gantt Chart'!$I87*'Prepare Gantt Chart'!$J87),'Prepare Gantt Chart'!AM87=15,'Project types'!$L88*('Prepare Gantt Chart'!$I87*'Prepare Gantt Chart'!$J87),'Prepare Gantt Chart'!AM87=0,0)</f>
        <v>0</v>
      </c>
      <c r="BJ88" s="45">
        <f>_xlfn.IFS('Prepare Gantt Chart'!AN87=16,'Project types'!$L88*('Prepare Gantt Chart'!$I87*'Prepare Gantt Chart'!$J87),'Prepare Gantt Chart'!AN87=15,'Project types'!$L88*('Prepare Gantt Chart'!$I87*'Prepare Gantt Chart'!$J87),'Prepare Gantt Chart'!AN87=0,0)</f>
        <v>0</v>
      </c>
      <c r="BK88" s="45">
        <f>_xlfn.IFS('Prepare Gantt Chart'!AO87=16,'Project types'!$L88*('Prepare Gantt Chart'!$I87*'Prepare Gantt Chart'!$J87),'Prepare Gantt Chart'!AO87=15,'Project types'!$L88*('Prepare Gantt Chart'!$I87*'Prepare Gantt Chart'!$J87),'Prepare Gantt Chart'!AO87=0,0)</f>
        <v>0</v>
      </c>
      <c r="BL88" s="46">
        <f t="shared" si="3"/>
        <v>0</v>
      </c>
      <c r="BM88" s="75">
        <f>IF('Prepare Gantt Chart'!$J87=0,0,SUM(AL88:AQ88)/6/'Prepare Gantt Chart'!$J87)</f>
        <v>0</v>
      </c>
      <c r="BN88" s="75">
        <f>IF('Prepare Gantt Chart'!$J87=0,0,SUM(AR88:AV88)/5/'Prepare Gantt Chart'!$J87)</f>
        <v>0</v>
      </c>
      <c r="BO88" s="75">
        <f>IF('Prepare Gantt Chart'!$J87=0,0,SUM(AW88:BA88)/5/'Prepare Gantt Chart'!$J87)</f>
        <v>0</v>
      </c>
      <c r="BP88" s="75">
        <f>IF('Prepare Gantt Chart'!$J87=0,0,SUM(BB88:BF88)/5/'Prepare Gantt Chart'!$J87)</f>
        <v>0</v>
      </c>
      <c r="BQ88" s="75">
        <f>IF('Prepare Gantt Chart'!$J87=0,0,SUM(BG88:BK88)/5/'Prepare Gantt Chart'!$J87)</f>
        <v>0</v>
      </c>
    </row>
    <row r="89" spans="1:69" x14ac:dyDescent="0.2">
      <c r="A89" s="39" t="s">
        <v>81</v>
      </c>
      <c r="B89" s="1" t="s">
        <v>473</v>
      </c>
      <c r="C89" s="45">
        <f>_xlfn.IFS('Prepare Gantt Chart'!P88=16,'Project types'!$O89*('Prepare Gantt Chart'!$I88*'Prepare Gantt Chart'!$J88),'Prepare Gantt Chart'!P88=15,'Project types'!$Q89*('Prepare Gantt Chart'!$I88*'Prepare Gantt Chart'!$J88),'Prepare Gantt Chart'!P88=0,0)</f>
        <v>0</v>
      </c>
      <c r="D89" s="45">
        <f>_xlfn.IFS('Prepare Gantt Chart'!Q88=16,'Project types'!$O89*('Prepare Gantt Chart'!$I88*'Prepare Gantt Chart'!$J88),'Prepare Gantt Chart'!Q88=15,'Project types'!$Q89*('Prepare Gantt Chart'!$I88*'Prepare Gantt Chart'!$J88),'Prepare Gantt Chart'!Q88=0,0)</f>
        <v>0</v>
      </c>
      <c r="E89" s="45">
        <f>_xlfn.IFS('Prepare Gantt Chart'!R88=16,'Project types'!$O89*('Prepare Gantt Chart'!$I88*'Prepare Gantt Chart'!$J88),'Prepare Gantt Chart'!R88=15,'Project types'!$Q89*('Prepare Gantt Chart'!$I88*'Prepare Gantt Chart'!$J88),'Prepare Gantt Chart'!R88=0,0)</f>
        <v>0</v>
      </c>
      <c r="F89" s="45">
        <f>_xlfn.IFS('Prepare Gantt Chart'!S88=16,'Project types'!$O89*('Prepare Gantt Chart'!$I88*'Prepare Gantt Chart'!$J88),'Prepare Gantt Chart'!S88=15,'Project types'!$Q89*('Prepare Gantt Chart'!$I88*'Prepare Gantt Chart'!$J88),'Prepare Gantt Chart'!S88=0,0)</f>
        <v>0</v>
      </c>
      <c r="G89" s="45">
        <f>_xlfn.IFS('Prepare Gantt Chart'!T88=16,'Project types'!$O89*('Prepare Gantt Chart'!$I88*'Prepare Gantt Chart'!$J88),'Prepare Gantt Chart'!T88=15,'Project types'!$Q89*('Prepare Gantt Chart'!$I88*'Prepare Gantt Chart'!$J88),'Prepare Gantt Chart'!T88=0,0)</f>
        <v>0</v>
      </c>
      <c r="H89" s="45">
        <f>_xlfn.IFS('Prepare Gantt Chart'!U88=16,'Project types'!$O89*('Prepare Gantt Chart'!$I88*'Prepare Gantt Chart'!$J88),'Prepare Gantt Chart'!U88=15,'Project types'!$Q89*('Prepare Gantt Chart'!$I88*'Prepare Gantt Chart'!$J88),'Prepare Gantt Chart'!U88=0,0)</f>
        <v>0</v>
      </c>
      <c r="I89" s="45">
        <f>_xlfn.IFS('Prepare Gantt Chart'!V88=16,'Project types'!$O89*('Prepare Gantt Chart'!$I88*'Prepare Gantt Chart'!$J88),'Prepare Gantt Chart'!V88=15,'Project types'!$Q89*('Prepare Gantt Chart'!$I88*'Prepare Gantt Chart'!$J88),'Prepare Gantt Chart'!V88=0,0)</f>
        <v>0</v>
      </c>
      <c r="J89" s="45">
        <f>_xlfn.IFS('Prepare Gantt Chart'!W88=16,'Project types'!$O89*('Prepare Gantt Chart'!$I88*'Prepare Gantt Chart'!$J88),'Prepare Gantt Chart'!W88=15,'Project types'!$Q89*('Prepare Gantt Chart'!$I88*'Prepare Gantt Chart'!$J88),'Prepare Gantt Chart'!W88=0,0)</f>
        <v>0</v>
      </c>
      <c r="K89" s="45">
        <f>_xlfn.IFS('Prepare Gantt Chart'!X88=16,'Project types'!$O89*('Prepare Gantt Chart'!$I88*'Prepare Gantt Chart'!$J88),'Prepare Gantt Chart'!X88=15,'Project types'!$Q89*('Prepare Gantt Chart'!$I88*'Prepare Gantt Chart'!$J88),'Prepare Gantt Chart'!X88=0,0)</f>
        <v>0</v>
      </c>
      <c r="L89" s="45">
        <f>_xlfn.IFS('Prepare Gantt Chart'!Y88=16,'Project types'!$O89*('Prepare Gantt Chart'!$I88*'Prepare Gantt Chart'!$J88),'Prepare Gantt Chart'!Y88=15,'Project types'!$Q89*('Prepare Gantt Chart'!$I88*'Prepare Gantt Chart'!$J88),'Prepare Gantt Chart'!Y88=0,0)</f>
        <v>0</v>
      </c>
      <c r="M89" s="45">
        <f>_xlfn.IFS('Prepare Gantt Chart'!Z88=16,'Project types'!$O89*('Prepare Gantt Chart'!$I88*'Prepare Gantt Chart'!$J88),'Prepare Gantt Chart'!Z88=15,'Project types'!$Q89*('Prepare Gantt Chart'!$I88*'Prepare Gantt Chart'!$J88),'Prepare Gantt Chart'!Z88=0,0)</f>
        <v>0</v>
      </c>
      <c r="N89" s="45">
        <f>_xlfn.IFS('Prepare Gantt Chart'!AA88=16,'Project types'!$O89*('Prepare Gantt Chart'!$I88*'Prepare Gantt Chart'!$J88),'Prepare Gantt Chart'!AA88=15,'Project types'!$Q89*('Prepare Gantt Chart'!$I88*'Prepare Gantt Chart'!$J88),'Prepare Gantt Chart'!AA88=0,0)</f>
        <v>0</v>
      </c>
      <c r="O89" s="45">
        <f>_xlfn.IFS('Prepare Gantt Chart'!AB88=16,'Project types'!$O89*('Prepare Gantt Chart'!$I88*'Prepare Gantt Chart'!$J88),'Prepare Gantt Chart'!AB88=15,'Project types'!$Q89*('Prepare Gantt Chart'!$I88*'Prepare Gantt Chart'!$J88),'Prepare Gantt Chart'!AB88=0,0)</f>
        <v>0</v>
      </c>
      <c r="P89" s="45">
        <f>_xlfn.IFS('Prepare Gantt Chart'!AC88=16,'Project types'!$O89*('Prepare Gantt Chart'!$I88*'Prepare Gantt Chart'!$J88),'Prepare Gantt Chart'!AC88=15,'Project types'!$Q89*('Prepare Gantt Chart'!$I88*'Prepare Gantt Chart'!$J88),'Prepare Gantt Chart'!AC88=0,0)</f>
        <v>0</v>
      </c>
      <c r="Q89" s="45">
        <f>_xlfn.IFS('Prepare Gantt Chart'!AD88=16,'Project types'!$O89*('Prepare Gantt Chart'!$I88*'Prepare Gantt Chart'!$J88),'Prepare Gantt Chart'!AD88=15,'Project types'!$Q89*('Prepare Gantt Chart'!$I88*'Prepare Gantt Chart'!$J88),'Prepare Gantt Chart'!AD88=0,0)</f>
        <v>0</v>
      </c>
      <c r="R89" s="45">
        <f>_xlfn.IFS('Prepare Gantt Chart'!AE88=16,'Project types'!$O89*('Prepare Gantt Chart'!$I88*'Prepare Gantt Chart'!$J88),'Prepare Gantt Chart'!AE88=15,'Project types'!$Q89*('Prepare Gantt Chart'!$I88*'Prepare Gantt Chart'!$J88),'Prepare Gantt Chart'!AE88=0,0)</f>
        <v>0</v>
      </c>
      <c r="S89" s="45">
        <f>_xlfn.IFS('Prepare Gantt Chart'!AF88=16,'Project types'!$O89*('Prepare Gantt Chart'!$I88*'Prepare Gantt Chart'!$J88),'Prepare Gantt Chart'!AF88=15,'Project types'!$Q89*('Prepare Gantt Chart'!$I88*'Prepare Gantt Chart'!$J88),'Prepare Gantt Chart'!AF88=0,0)</f>
        <v>0</v>
      </c>
      <c r="T89" s="45">
        <f>_xlfn.IFS('Prepare Gantt Chart'!AG88=16,'Project types'!$O89*('Prepare Gantt Chart'!$I88*'Prepare Gantt Chart'!$J88),'Prepare Gantt Chart'!AG88=15,'Project types'!$Q89*('Prepare Gantt Chart'!$I88*'Prepare Gantt Chart'!$J88),'Prepare Gantt Chart'!AG88=0,0)</f>
        <v>0</v>
      </c>
      <c r="U89" s="45">
        <f>_xlfn.IFS('Prepare Gantt Chart'!AH88=16,'Project types'!$O89*('Prepare Gantt Chart'!$I88*'Prepare Gantt Chart'!$J88),'Prepare Gantt Chart'!AH88=15,'Project types'!$Q89*('Prepare Gantt Chart'!$I88*'Prepare Gantt Chart'!$J88),'Prepare Gantt Chart'!AH88=0,0)</f>
        <v>0</v>
      </c>
      <c r="V89" s="45">
        <f>_xlfn.IFS('Prepare Gantt Chart'!AI88=16,'Project types'!$O89*('Prepare Gantt Chart'!$I88*'Prepare Gantt Chart'!$J88),'Prepare Gantt Chart'!AI88=15,'Project types'!$Q89*('Prepare Gantt Chart'!$I88*'Prepare Gantt Chart'!$J88),'Prepare Gantt Chart'!AI88=0,0)</f>
        <v>0</v>
      </c>
      <c r="W89" s="45">
        <f>_xlfn.IFS('Prepare Gantt Chart'!AJ88=16,'Project types'!$O89*('Prepare Gantt Chart'!$I88*'Prepare Gantt Chart'!$J88),'Prepare Gantt Chart'!AJ88=15,'Project types'!$Q89*('Prepare Gantt Chart'!$I88*'Prepare Gantt Chart'!$J88),'Prepare Gantt Chart'!AJ88=0,0)</f>
        <v>0</v>
      </c>
      <c r="X89" s="45">
        <f>_xlfn.IFS('Prepare Gantt Chart'!AK88=16,'Project types'!$O89*('Prepare Gantt Chart'!$I88*'Prepare Gantt Chart'!$J88),'Prepare Gantt Chart'!AK88=15,'Project types'!$Q89*('Prepare Gantt Chart'!$I88*'Prepare Gantt Chart'!$J88),'Prepare Gantt Chart'!AK88=0,0)</f>
        <v>0</v>
      </c>
      <c r="Y89" s="45">
        <f>_xlfn.IFS('Prepare Gantt Chart'!AL88=16,'Project types'!$O89*('Prepare Gantt Chart'!$I88*'Prepare Gantt Chart'!$J88),'Prepare Gantt Chart'!AL88=15,'Project types'!$Q89*('Prepare Gantt Chart'!$I88*'Prepare Gantt Chart'!$J88),'Prepare Gantt Chart'!AL88=0,0)</f>
        <v>0</v>
      </c>
      <c r="Z89" s="45">
        <f>_xlfn.IFS('Prepare Gantt Chart'!AM88=16,'Project types'!$O89*('Prepare Gantt Chart'!$I88*'Prepare Gantt Chart'!$J88),'Prepare Gantt Chart'!AM88=15,'Project types'!$Q89*('Prepare Gantt Chart'!$I88*'Prepare Gantt Chart'!$J88),'Prepare Gantt Chart'!AM88=0,0)</f>
        <v>0</v>
      </c>
      <c r="AA89" s="45">
        <f>_xlfn.IFS('Prepare Gantt Chart'!AN88=16,'Project types'!$O89*('Prepare Gantt Chart'!$I88*'Prepare Gantt Chart'!$J88),'Prepare Gantt Chart'!AN88=15,'Project types'!$Q89*('Prepare Gantt Chart'!$I88*'Prepare Gantt Chart'!$J88),'Prepare Gantt Chart'!AN88=0,0)</f>
        <v>0</v>
      </c>
      <c r="AB89" s="45">
        <f>_xlfn.IFS('Prepare Gantt Chart'!AO88=16,'Project types'!$O89*('Prepare Gantt Chart'!$I88*'Prepare Gantt Chart'!$J88),'Prepare Gantt Chart'!AO88=15,'Project types'!$Q89*('Prepare Gantt Chart'!$I88*'Prepare Gantt Chart'!$J88),'Prepare Gantt Chart'!AO88=0,0)</f>
        <v>0</v>
      </c>
      <c r="AC89" s="45">
        <f>'Prepare Gantt Chart'!J88*'Prepare Gantt Chart'!I88*(AD89/26)</f>
        <v>0</v>
      </c>
      <c r="AD89" s="46">
        <f t="shared" si="2"/>
        <v>0</v>
      </c>
      <c r="AE89" s="72">
        <f>IF('Prepare Gantt Chart'!$J88=0,0,SUM(C89:H89)/6/'Prepare Gantt Chart'!$J88)</f>
        <v>0</v>
      </c>
      <c r="AF89" s="72">
        <f>IF('Prepare Gantt Chart'!$J88=0,0,SUM(I89:M89)/5/'Prepare Gantt Chart'!$J88)</f>
        <v>0</v>
      </c>
      <c r="AG89" s="72">
        <f>IF('Prepare Gantt Chart'!$J88=0,0,SUM(N89:R89)/5/'Prepare Gantt Chart'!$J88)</f>
        <v>0</v>
      </c>
      <c r="AH89" s="72">
        <f>IF('Prepare Gantt Chart'!$J88=0,0,SUM(S89:W89)/5/'Prepare Gantt Chart'!$J88)</f>
        <v>0</v>
      </c>
      <c r="AI89" s="72">
        <f>IF('Prepare Gantt Chart'!$J88=0,0,SUM(X89:AB89)/5/'Prepare Gantt Chart'!$J88)</f>
        <v>0</v>
      </c>
      <c r="AK89" s="39" t="s">
        <v>81</v>
      </c>
      <c r="AL89" s="45">
        <f>_xlfn.IFS('Prepare Gantt Chart'!P88=16,'Project types'!$L89*('Prepare Gantt Chart'!$I88*'Prepare Gantt Chart'!$J88),'Prepare Gantt Chart'!P88=15,'Project types'!$L89*('Prepare Gantt Chart'!$I88*'Prepare Gantt Chart'!$J88),'Prepare Gantt Chart'!P88=0,0)</f>
        <v>0</v>
      </c>
      <c r="AM89" s="45">
        <f>_xlfn.IFS('Prepare Gantt Chart'!Q88=16,'Project types'!$L89*('Prepare Gantt Chart'!$I88*'Prepare Gantt Chart'!$J88),'Prepare Gantt Chart'!Q88=15,'Project types'!$L89*('Prepare Gantt Chart'!$I88*'Prepare Gantt Chart'!$J88),'Prepare Gantt Chart'!Q88=0,0)</f>
        <v>0</v>
      </c>
      <c r="AN89" s="45">
        <f>_xlfn.IFS('Prepare Gantt Chart'!R88=16,'Project types'!$L89*('Prepare Gantt Chart'!$I88*'Prepare Gantt Chart'!$J88),'Prepare Gantt Chart'!R88=15,'Project types'!$L89*('Prepare Gantt Chart'!$I88*'Prepare Gantt Chart'!$J88),'Prepare Gantt Chart'!R88=0,0)</f>
        <v>0</v>
      </c>
      <c r="AO89" s="45">
        <f>_xlfn.IFS('Prepare Gantt Chart'!S88=16,'Project types'!$L89*('Prepare Gantt Chart'!$I88*'Prepare Gantt Chart'!$J88),'Prepare Gantt Chart'!S88=15,'Project types'!$L89*('Prepare Gantt Chart'!$I88*'Prepare Gantt Chart'!$J88),'Prepare Gantt Chart'!S88=0,0)</f>
        <v>0</v>
      </c>
      <c r="AP89" s="45">
        <f>_xlfn.IFS('Prepare Gantt Chart'!T88=16,'Project types'!$L89*('Prepare Gantt Chart'!$I88*'Prepare Gantt Chart'!$J88),'Prepare Gantt Chart'!T88=15,'Project types'!$L89*('Prepare Gantt Chart'!$I88*'Prepare Gantt Chart'!$J88),'Prepare Gantt Chart'!T88=0,0)</f>
        <v>0</v>
      </c>
      <c r="AQ89" s="45">
        <f>_xlfn.IFS('Prepare Gantt Chart'!U88=16,'Project types'!$L89*('Prepare Gantt Chart'!$I88*'Prepare Gantt Chart'!$J88),'Prepare Gantt Chart'!U88=15,'Project types'!$L89*('Prepare Gantt Chart'!$I88*'Prepare Gantt Chart'!$J88),'Prepare Gantt Chart'!U88=0,0)</f>
        <v>0</v>
      </c>
      <c r="AR89" s="45">
        <f>_xlfn.IFS('Prepare Gantt Chart'!V88=16,'Project types'!$L89*('Prepare Gantt Chart'!$I88*'Prepare Gantt Chart'!$J88),'Prepare Gantt Chart'!V88=15,'Project types'!$L89*('Prepare Gantt Chart'!$I88*'Prepare Gantt Chart'!$J88),'Prepare Gantt Chart'!V88=0,0)</f>
        <v>0</v>
      </c>
      <c r="AS89" s="45">
        <f>_xlfn.IFS('Prepare Gantt Chart'!W88=16,'Project types'!$L89*('Prepare Gantt Chart'!$I88*'Prepare Gantt Chart'!$J88),'Prepare Gantt Chart'!W88=15,'Project types'!$L89*('Prepare Gantt Chart'!$I88*'Prepare Gantt Chart'!$J88),'Prepare Gantt Chart'!W88=0,0)</f>
        <v>0</v>
      </c>
      <c r="AT89" s="45">
        <f>_xlfn.IFS('Prepare Gantt Chart'!X88=16,'Project types'!$L89*('Prepare Gantt Chart'!$I88*'Prepare Gantt Chart'!$J88),'Prepare Gantt Chart'!X88=15,'Project types'!$L89*('Prepare Gantt Chart'!$I88*'Prepare Gantt Chart'!$J88),'Prepare Gantt Chart'!X88=0,0)</f>
        <v>0</v>
      </c>
      <c r="AU89" s="45">
        <f>_xlfn.IFS('Prepare Gantt Chart'!Y88=16,'Project types'!$L89*('Prepare Gantt Chart'!$I88*'Prepare Gantt Chart'!$J88),'Prepare Gantt Chart'!Y88=15,'Project types'!$L89*('Prepare Gantt Chart'!$I88*'Prepare Gantt Chart'!$J88),'Prepare Gantt Chart'!Y88=0,0)</f>
        <v>0</v>
      </c>
      <c r="AV89" s="45">
        <f>_xlfn.IFS('Prepare Gantt Chart'!Z88=16,'Project types'!$L89*('Prepare Gantt Chart'!$I88*'Prepare Gantt Chart'!$J88),'Prepare Gantt Chart'!Z88=15,'Project types'!$L89*('Prepare Gantt Chart'!$I88*'Prepare Gantt Chart'!$J88),'Prepare Gantt Chart'!Z88=0,0)</f>
        <v>0</v>
      </c>
      <c r="AW89" s="45">
        <f>_xlfn.IFS('Prepare Gantt Chart'!AA88=16,'Project types'!$L89*('Prepare Gantt Chart'!$I88*'Prepare Gantt Chart'!$J88),'Prepare Gantt Chart'!AA88=15,'Project types'!$L89*('Prepare Gantt Chart'!$I88*'Prepare Gantt Chart'!$J88),'Prepare Gantt Chart'!AA88=0,0)</f>
        <v>0</v>
      </c>
      <c r="AX89" s="45">
        <f>_xlfn.IFS('Prepare Gantt Chart'!AB88=16,'Project types'!$L89*('Prepare Gantt Chart'!$I88*'Prepare Gantt Chart'!$J88),'Prepare Gantt Chart'!AB88=15,'Project types'!$L89*('Prepare Gantt Chart'!$I88*'Prepare Gantt Chart'!$J88),'Prepare Gantt Chart'!AB88=0,0)</f>
        <v>0</v>
      </c>
      <c r="AY89" s="45">
        <f>_xlfn.IFS('Prepare Gantt Chart'!AC88=16,'Project types'!$L89*('Prepare Gantt Chart'!$I88*'Prepare Gantt Chart'!$J88),'Prepare Gantt Chart'!AC88=15,'Project types'!$L89*('Prepare Gantt Chart'!$I88*'Prepare Gantt Chart'!$J88),'Prepare Gantt Chart'!AC88=0,0)</f>
        <v>0</v>
      </c>
      <c r="AZ89" s="45">
        <f>_xlfn.IFS('Prepare Gantt Chart'!AD88=16,'Project types'!$L89*('Prepare Gantt Chart'!$I88*'Prepare Gantt Chart'!$J88),'Prepare Gantt Chart'!AD88=15,'Project types'!$L89*('Prepare Gantt Chart'!$I88*'Prepare Gantt Chart'!$J88),'Prepare Gantt Chart'!AD88=0,0)</f>
        <v>0</v>
      </c>
      <c r="BA89" s="45">
        <f>_xlfn.IFS('Prepare Gantt Chart'!AE88=16,'Project types'!$L89*('Prepare Gantt Chart'!$I88*'Prepare Gantt Chart'!$J88),'Prepare Gantt Chart'!AE88=15,'Project types'!$L89*('Prepare Gantt Chart'!$I88*'Prepare Gantt Chart'!$J88),'Prepare Gantt Chart'!AE88=0,0)</f>
        <v>0</v>
      </c>
      <c r="BB89" s="45">
        <f>_xlfn.IFS('Prepare Gantt Chart'!AF88=16,'Project types'!$L89*('Prepare Gantt Chart'!$I88*'Prepare Gantt Chart'!$J88),'Prepare Gantt Chart'!AF88=15,'Project types'!$L89*('Prepare Gantt Chart'!$I88*'Prepare Gantt Chart'!$J88),'Prepare Gantt Chart'!AF88=0,0)</f>
        <v>0</v>
      </c>
      <c r="BC89" s="45">
        <f>_xlfn.IFS('Prepare Gantt Chart'!AG88=16,'Project types'!$L89*('Prepare Gantt Chart'!$I88*'Prepare Gantt Chart'!$J88),'Prepare Gantt Chart'!AG88=15,'Project types'!$L89*('Prepare Gantt Chart'!$I88*'Prepare Gantt Chart'!$J88),'Prepare Gantt Chart'!AG88=0,0)</f>
        <v>0</v>
      </c>
      <c r="BD89" s="45">
        <f>_xlfn.IFS('Prepare Gantt Chart'!AH88=16,'Project types'!$L89*('Prepare Gantt Chart'!$I88*'Prepare Gantt Chart'!$J88),'Prepare Gantt Chart'!AH88=15,'Project types'!$L89*('Prepare Gantt Chart'!$I88*'Prepare Gantt Chart'!$J88),'Prepare Gantt Chart'!AH88=0,0)</f>
        <v>0</v>
      </c>
      <c r="BE89" s="45">
        <f>_xlfn.IFS('Prepare Gantt Chart'!AI88=16,'Project types'!$L89*('Prepare Gantt Chart'!$I88*'Prepare Gantt Chart'!$J88),'Prepare Gantt Chart'!AI88=15,'Project types'!$L89*('Prepare Gantt Chart'!$I88*'Prepare Gantt Chart'!$J88),'Prepare Gantt Chart'!AI88=0,0)</f>
        <v>0</v>
      </c>
      <c r="BF89" s="45">
        <f>_xlfn.IFS('Prepare Gantt Chart'!AJ88=16,'Project types'!$L89*('Prepare Gantt Chart'!$I88*'Prepare Gantt Chart'!$J88),'Prepare Gantt Chart'!AJ88=15,'Project types'!$L89*('Prepare Gantt Chart'!$I88*'Prepare Gantt Chart'!$J88),'Prepare Gantt Chart'!AJ88=0,0)</f>
        <v>0</v>
      </c>
      <c r="BG89" s="45">
        <f>_xlfn.IFS('Prepare Gantt Chart'!AK88=16,'Project types'!$L89*('Prepare Gantt Chart'!$I88*'Prepare Gantt Chart'!$J88),'Prepare Gantt Chart'!AK88=15,'Project types'!$L89*('Prepare Gantt Chart'!$I88*'Prepare Gantt Chart'!$J88),'Prepare Gantt Chart'!AK88=0,0)</f>
        <v>0</v>
      </c>
      <c r="BH89" s="45">
        <f>_xlfn.IFS('Prepare Gantt Chart'!AL88=16,'Project types'!$L89*('Prepare Gantt Chart'!$I88*'Prepare Gantt Chart'!$J88),'Prepare Gantt Chart'!AL88=15,'Project types'!$L89*('Prepare Gantt Chart'!$I88*'Prepare Gantt Chart'!$J88),'Prepare Gantt Chart'!AL88=0,0)</f>
        <v>0</v>
      </c>
      <c r="BI89" s="45">
        <f>_xlfn.IFS('Prepare Gantt Chart'!AM88=16,'Project types'!$L89*('Prepare Gantt Chart'!$I88*'Prepare Gantt Chart'!$J88),'Prepare Gantt Chart'!AM88=15,'Project types'!$L89*('Prepare Gantt Chart'!$I88*'Prepare Gantt Chart'!$J88),'Prepare Gantt Chart'!AM88=0,0)</f>
        <v>0</v>
      </c>
      <c r="BJ89" s="45">
        <f>_xlfn.IFS('Prepare Gantt Chart'!AN88=16,'Project types'!$L89*('Prepare Gantt Chart'!$I88*'Prepare Gantt Chart'!$J88),'Prepare Gantt Chart'!AN88=15,'Project types'!$L89*('Prepare Gantt Chart'!$I88*'Prepare Gantt Chart'!$J88),'Prepare Gantt Chart'!AN88=0,0)</f>
        <v>0</v>
      </c>
      <c r="BK89" s="45">
        <f>_xlfn.IFS('Prepare Gantt Chart'!AO88=16,'Project types'!$L89*('Prepare Gantt Chart'!$I88*'Prepare Gantt Chart'!$J88),'Prepare Gantt Chart'!AO88=15,'Project types'!$L89*('Prepare Gantt Chart'!$I88*'Prepare Gantt Chart'!$J88),'Prepare Gantt Chart'!AO88=0,0)</f>
        <v>0</v>
      </c>
      <c r="BL89" s="46">
        <f t="shared" si="3"/>
        <v>0</v>
      </c>
      <c r="BM89" s="75">
        <f>IF('Prepare Gantt Chart'!$J88=0,0,SUM(AL89:AQ89)/6/'Prepare Gantt Chart'!$J88)</f>
        <v>0</v>
      </c>
      <c r="BN89" s="75">
        <f>IF('Prepare Gantt Chart'!$J88=0,0,SUM(AR89:AV89)/5/'Prepare Gantt Chart'!$J88)</f>
        <v>0</v>
      </c>
      <c r="BO89" s="75">
        <f>IF('Prepare Gantt Chart'!$J88=0,0,SUM(AW89:BA89)/5/'Prepare Gantt Chart'!$J88)</f>
        <v>0</v>
      </c>
      <c r="BP89" s="75">
        <f>IF('Prepare Gantt Chart'!$J88=0,0,SUM(BB89:BF89)/5/'Prepare Gantt Chart'!$J88)</f>
        <v>0</v>
      </c>
      <c r="BQ89" s="75">
        <f>IF('Prepare Gantt Chart'!$J88=0,0,SUM(BG89:BK89)/5/'Prepare Gantt Chart'!$J88)</f>
        <v>0</v>
      </c>
    </row>
    <row r="90" spans="1:69" x14ac:dyDescent="0.2">
      <c r="A90" s="39" t="s">
        <v>82</v>
      </c>
      <c r="B90" s="1" t="s">
        <v>474</v>
      </c>
      <c r="C90" s="45">
        <f>_xlfn.IFS('Prepare Gantt Chart'!P89=16,'Project types'!$O90*('Prepare Gantt Chart'!$I89*'Prepare Gantt Chart'!$J89),'Prepare Gantt Chart'!P89=15,'Project types'!$Q90*('Prepare Gantt Chart'!$I89*'Prepare Gantt Chart'!$J89),'Prepare Gantt Chart'!P89=0,0)</f>
        <v>0</v>
      </c>
      <c r="D90" s="45">
        <f>_xlfn.IFS('Prepare Gantt Chart'!Q89=16,'Project types'!$O90*('Prepare Gantt Chart'!$I89*'Prepare Gantt Chart'!$J89),'Prepare Gantt Chart'!Q89=15,'Project types'!$Q90*('Prepare Gantt Chart'!$I89*'Prepare Gantt Chart'!$J89),'Prepare Gantt Chart'!Q89=0,0)</f>
        <v>0</v>
      </c>
      <c r="E90" s="45">
        <f>_xlfn.IFS('Prepare Gantt Chart'!R89=16,'Project types'!$O90*('Prepare Gantt Chart'!$I89*'Prepare Gantt Chart'!$J89),'Prepare Gantt Chart'!R89=15,'Project types'!$Q90*('Prepare Gantt Chart'!$I89*'Prepare Gantt Chart'!$J89),'Prepare Gantt Chart'!R89=0,0)</f>
        <v>0</v>
      </c>
      <c r="F90" s="45">
        <f>_xlfn.IFS('Prepare Gantt Chart'!S89=16,'Project types'!$O90*('Prepare Gantt Chart'!$I89*'Prepare Gantt Chart'!$J89),'Prepare Gantt Chart'!S89=15,'Project types'!$Q90*('Prepare Gantt Chart'!$I89*'Prepare Gantt Chart'!$J89),'Prepare Gantt Chart'!S89=0,0)</f>
        <v>0</v>
      </c>
      <c r="G90" s="45">
        <f>_xlfn.IFS('Prepare Gantt Chart'!T89=16,'Project types'!$O90*('Prepare Gantt Chart'!$I89*'Prepare Gantt Chart'!$J89),'Prepare Gantt Chart'!T89=15,'Project types'!$Q90*('Prepare Gantt Chart'!$I89*'Prepare Gantt Chart'!$J89),'Prepare Gantt Chart'!T89=0,0)</f>
        <v>0</v>
      </c>
      <c r="H90" s="45">
        <f>_xlfn.IFS('Prepare Gantt Chart'!U89=16,'Project types'!$O90*('Prepare Gantt Chart'!$I89*'Prepare Gantt Chart'!$J89),'Prepare Gantt Chart'!U89=15,'Project types'!$Q90*('Prepare Gantt Chart'!$I89*'Prepare Gantt Chart'!$J89),'Prepare Gantt Chart'!U89=0,0)</f>
        <v>0</v>
      </c>
      <c r="I90" s="45">
        <f>_xlfn.IFS('Prepare Gantt Chart'!V89=16,'Project types'!$O90*('Prepare Gantt Chart'!$I89*'Prepare Gantt Chart'!$J89),'Prepare Gantt Chart'!V89=15,'Project types'!$Q90*('Prepare Gantt Chart'!$I89*'Prepare Gantt Chart'!$J89),'Prepare Gantt Chart'!V89=0,0)</f>
        <v>0</v>
      </c>
      <c r="J90" s="45">
        <f>_xlfn.IFS('Prepare Gantt Chart'!W89=16,'Project types'!$O90*('Prepare Gantt Chart'!$I89*'Prepare Gantt Chart'!$J89),'Prepare Gantt Chart'!W89=15,'Project types'!$Q90*('Prepare Gantt Chart'!$I89*'Prepare Gantt Chart'!$J89),'Prepare Gantt Chart'!W89=0,0)</f>
        <v>0</v>
      </c>
      <c r="K90" s="45">
        <f>_xlfn.IFS('Prepare Gantt Chart'!X89=16,'Project types'!$O90*('Prepare Gantt Chart'!$I89*'Prepare Gantt Chart'!$J89),'Prepare Gantt Chart'!X89=15,'Project types'!$Q90*('Prepare Gantt Chart'!$I89*'Prepare Gantt Chart'!$J89),'Prepare Gantt Chart'!X89=0,0)</f>
        <v>0</v>
      </c>
      <c r="L90" s="45">
        <f>_xlfn.IFS('Prepare Gantt Chart'!Y89=16,'Project types'!$O90*('Prepare Gantt Chart'!$I89*'Prepare Gantt Chart'!$J89),'Prepare Gantt Chart'!Y89=15,'Project types'!$Q90*('Prepare Gantt Chart'!$I89*'Prepare Gantt Chart'!$J89),'Prepare Gantt Chart'!Y89=0,0)</f>
        <v>0</v>
      </c>
      <c r="M90" s="45">
        <f>_xlfn.IFS('Prepare Gantt Chart'!Z89=16,'Project types'!$O90*('Prepare Gantt Chart'!$I89*'Prepare Gantt Chart'!$J89),'Prepare Gantt Chart'!Z89=15,'Project types'!$Q90*('Prepare Gantt Chart'!$I89*'Prepare Gantt Chart'!$J89),'Prepare Gantt Chart'!Z89=0,0)</f>
        <v>0</v>
      </c>
      <c r="N90" s="45">
        <f>_xlfn.IFS('Prepare Gantt Chart'!AA89=16,'Project types'!$O90*('Prepare Gantt Chart'!$I89*'Prepare Gantt Chart'!$J89),'Prepare Gantt Chart'!AA89=15,'Project types'!$Q90*('Prepare Gantt Chart'!$I89*'Prepare Gantt Chart'!$J89),'Prepare Gantt Chart'!AA89=0,0)</f>
        <v>0</v>
      </c>
      <c r="O90" s="45">
        <f>_xlfn.IFS('Prepare Gantt Chart'!AB89=16,'Project types'!$O90*('Prepare Gantt Chart'!$I89*'Prepare Gantt Chart'!$J89),'Prepare Gantt Chart'!AB89=15,'Project types'!$Q90*('Prepare Gantt Chart'!$I89*'Prepare Gantt Chart'!$J89),'Prepare Gantt Chart'!AB89=0,0)</f>
        <v>0</v>
      </c>
      <c r="P90" s="45">
        <f>_xlfn.IFS('Prepare Gantt Chart'!AC89=16,'Project types'!$O90*('Prepare Gantt Chart'!$I89*'Prepare Gantt Chart'!$J89),'Prepare Gantt Chart'!AC89=15,'Project types'!$Q90*('Prepare Gantt Chart'!$I89*'Prepare Gantt Chart'!$J89),'Prepare Gantt Chart'!AC89=0,0)</f>
        <v>0</v>
      </c>
      <c r="Q90" s="45">
        <f>_xlfn.IFS('Prepare Gantt Chart'!AD89=16,'Project types'!$O90*('Prepare Gantt Chart'!$I89*'Prepare Gantt Chart'!$J89),'Prepare Gantt Chart'!AD89=15,'Project types'!$Q90*('Prepare Gantt Chart'!$I89*'Prepare Gantt Chart'!$J89),'Prepare Gantt Chart'!AD89=0,0)</f>
        <v>0</v>
      </c>
      <c r="R90" s="45">
        <f>_xlfn.IFS('Prepare Gantt Chart'!AE89=16,'Project types'!$O90*('Prepare Gantt Chart'!$I89*'Prepare Gantt Chart'!$J89),'Prepare Gantt Chart'!AE89=15,'Project types'!$Q90*('Prepare Gantt Chart'!$I89*'Prepare Gantt Chart'!$J89),'Prepare Gantt Chart'!AE89=0,0)</f>
        <v>0</v>
      </c>
      <c r="S90" s="45">
        <f>_xlfn.IFS('Prepare Gantt Chart'!AF89=16,'Project types'!$O90*('Prepare Gantt Chart'!$I89*'Prepare Gantt Chart'!$J89),'Prepare Gantt Chart'!AF89=15,'Project types'!$Q90*('Prepare Gantt Chart'!$I89*'Prepare Gantt Chart'!$J89),'Prepare Gantt Chart'!AF89=0,0)</f>
        <v>0</v>
      </c>
      <c r="T90" s="45">
        <f>_xlfn.IFS('Prepare Gantt Chart'!AG89=16,'Project types'!$O90*('Prepare Gantt Chart'!$I89*'Prepare Gantt Chart'!$J89),'Prepare Gantt Chart'!AG89=15,'Project types'!$Q90*('Prepare Gantt Chart'!$I89*'Prepare Gantt Chart'!$J89),'Prepare Gantt Chart'!AG89=0,0)</f>
        <v>0</v>
      </c>
      <c r="U90" s="45">
        <f>_xlfn.IFS('Prepare Gantt Chart'!AH89=16,'Project types'!$O90*('Prepare Gantt Chart'!$I89*'Prepare Gantt Chart'!$J89),'Prepare Gantt Chart'!AH89=15,'Project types'!$Q90*('Prepare Gantt Chart'!$I89*'Prepare Gantt Chart'!$J89),'Prepare Gantt Chart'!AH89=0,0)</f>
        <v>0</v>
      </c>
      <c r="V90" s="45">
        <f>_xlfn.IFS('Prepare Gantt Chart'!AI89=16,'Project types'!$O90*('Prepare Gantt Chart'!$I89*'Prepare Gantt Chart'!$J89),'Prepare Gantt Chart'!AI89=15,'Project types'!$Q90*('Prepare Gantt Chart'!$I89*'Prepare Gantt Chart'!$J89),'Prepare Gantt Chart'!AI89=0,0)</f>
        <v>0</v>
      </c>
      <c r="W90" s="45">
        <f>_xlfn.IFS('Prepare Gantt Chart'!AJ89=16,'Project types'!$O90*('Prepare Gantt Chart'!$I89*'Prepare Gantt Chart'!$J89),'Prepare Gantt Chart'!AJ89=15,'Project types'!$Q90*('Prepare Gantt Chart'!$I89*'Prepare Gantt Chart'!$J89),'Prepare Gantt Chart'!AJ89=0,0)</f>
        <v>0</v>
      </c>
      <c r="X90" s="45">
        <f>_xlfn.IFS('Prepare Gantt Chart'!AK89=16,'Project types'!$O90*('Prepare Gantt Chart'!$I89*'Prepare Gantt Chart'!$J89),'Prepare Gantt Chart'!AK89=15,'Project types'!$Q90*('Prepare Gantt Chart'!$I89*'Prepare Gantt Chart'!$J89),'Prepare Gantt Chart'!AK89=0,0)</f>
        <v>0</v>
      </c>
      <c r="Y90" s="45">
        <f>_xlfn.IFS('Prepare Gantt Chart'!AL89=16,'Project types'!$O90*('Prepare Gantt Chart'!$I89*'Prepare Gantt Chart'!$J89),'Prepare Gantt Chart'!AL89=15,'Project types'!$Q90*('Prepare Gantt Chart'!$I89*'Prepare Gantt Chart'!$J89),'Prepare Gantt Chart'!AL89=0,0)</f>
        <v>0</v>
      </c>
      <c r="Z90" s="45">
        <f>_xlfn.IFS('Prepare Gantt Chart'!AM89=16,'Project types'!$O90*('Prepare Gantt Chart'!$I89*'Prepare Gantt Chart'!$J89),'Prepare Gantt Chart'!AM89=15,'Project types'!$Q90*('Prepare Gantt Chart'!$I89*'Prepare Gantt Chart'!$J89),'Prepare Gantt Chart'!AM89=0,0)</f>
        <v>0</v>
      </c>
      <c r="AA90" s="45">
        <f>_xlfn.IFS('Prepare Gantt Chart'!AN89=16,'Project types'!$O90*('Prepare Gantt Chart'!$I89*'Prepare Gantt Chart'!$J89),'Prepare Gantt Chart'!AN89=15,'Project types'!$Q90*('Prepare Gantt Chart'!$I89*'Prepare Gantt Chart'!$J89),'Prepare Gantt Chart'!AN89=0,0)</f>
        <v>0</v>
      </c>
      <c r="AB90" s="45">
        <f>_xlfn.IFS('Prepare Gantt Chart'!AO89=16,'Project types'!$O90*('Prepare Gantt Chart'!$I89*'Prepare Gantt Chart'!$J89),'Prepare Gantt Chart'!AO89=15,'Project types'!$Q90*('Prepare Gantt Chart'!$I89*'Prepare Gantt Chart'!$J89),'Prepare Gantt Chart'!AO89=0,0)</f>
        <v>0</v>
      </c>
      <c r="AC90" s="45">
        <f>'Prepare Gantt Chart'!J89*'Prepare Gantt Chart'!I89*(AD90/26)</f>
        <v>0</v>
      </c>
      <c r="AD90" s="46">
        <f t="shared" si="2"/>
        <v>0</v>
      </c>
      <c r="AE90" s="72">
        <f>IF('Prepare Gantt Chart'!$J89=0,0,SUM(C90:H90)/6/'Prepare Gantt Chart'!$J89)</f>
        <v>0</v>
      </c>
      <c r="AF90" s="72">
        <f>IF('Prepare Gantt Chart'!$J89=0,0,SUM(I90:M90)/5/'Prepare Gantt Chart'!$J89)</f>
        <v>0</v>
      </c>
      <c r="AG90" s="72">
        <f>IF('Prepare Gantt Chart'!$J89=0,0,SUM(N90:R90)/5/'Prepare Gantt Chart'!$J89)</f>
        <v>0</v>
      </c>
      <c r="AH90" s="72">
        <f>IF('Prepare Gantt Chart'!$J89=0,0,SUM(S90:W90)/5/'Prepare Gantt Chart'!$J89)</f>
        <v>0</v>
      </c>
      <c r="AI90" s="72">
        <f>IF('Prepare Gantt Chart'!$J89=0,0,SUM(X90:AB90)/5/'Prepare Gantt Chart'!$J89)</f>
        <v>0</v>
      </c>
      <c r="AK90" s="39" t="s">
        <v>82</v>
      </c>
      <c r="AL90" s="45">
        <f>_xlfn.IFS('Prepare Gantt Chart'!P89=16,'Project types'!$L90*('Prepare Gantt Chart'!$I89*'Prepare Gantt Chart'!$J89),'Prepare Gantt Chart'!P89=15,'Project types'!$L90*('Prepare Gantt Chart'!$I89*'Prepare Gantt Chart'!$J89),'Prepare Gantt Chart'!P89=0,0)</f>
        <v>0</v>
      </c>
      <c r="AM90" s="45">
        <f>_xlfn.IFS('Prepare Gantt Chart'!Q89=16,'Project types'!$L90*('Prepare Gantt Chart'!$I89*'Prepare Gantt Chart'!$J89),'Prepare Gantt Chart'!Q89=15,'Project types'!$L90*('Prepare Gantt Chart'!$I89*'Prepare Gantt Chart'!$J89),'Prepare Gantt Chart'!Q89=0,0)</f>
        <v>0</v>
      </c>
      <c r="AN90" s="45">
        <f>_xlfn.IFS('Prepare Gantt Chart'!R89=16,'Project types'!$L90*('Prepare Gantt Chart'!$I89*'Prepare Gantt Chart'!$J89),'Prepare Gantt Chart'!R89=15,'Project types'!$L90*('Prepare Gantt Chart'!$I89*'Prepare Gantt Chart'!$J89),'Prepare Gantt Chart'!R89=0,0)</f>
        <v>0</v>
      </c>
      <c r="AO90" s="45">
        <f>_xlfn.IFS('Prepare Gantt Chart'!S89=16,'Project types'!$L90*('Prepare Gantt Chart'!$I89*'Prepare Gantt Chart'!$J89),'Prepare Gantt Chart'!S89=15,'Project types'!$L90*('Prepare Gantt Chart'!$I89*'Prepare Gantt Chart'!$J89),'Prepare Gantt Chart'!S89=0,0)</f>
        <v>0</v>
      </c>
      <c r="AP90" s="45">
        <f>_xlfn.IFS('Prepare Gantt Chart'!T89=16,'Project types'!$L90*('Prepare Gantt Chart'!$I89*'Prepare Gantt Chart'!$J89),'Prepare Gantt Chart'!T89=15,'Project types'!$L90*('Prepare Gantt Chart'!$I89*'Prepare Gantt Chart'!$J89),'Prepare Gantt Chart'!T89=0,0)</f>
        <v>0</v>
      </c>
      <c r="AQ90" s="45">
        <f>_xlfn.IFS('Prepare Gantt Chart'!U89=16,'Project types'!$L90*('Prepare Gantt Chart'!$I89*'Prepare Gantt Chart'!$J89),'Prepare Gantt Chart'!U89=15,'Project types'!$L90*('Prepare Gantt Chart'!$I89*'Prepare Gantt Chart'!$J89),'Prepare Gantt Chart'!U89=0,0)</f>
        <v>0</v>
      </c>
      <c r="AR90" s="45">
        <f>_xlfn.IFS('Prepare Gantt Chart'!V89=16,'Project types'!$L90*('Prepare Gantt Chart'!$I89*'Prepare Gantt Chart'!$J89),'Prepare Gantt Chart'!V89=15,'Project types'!$L90*('Prepare Gantt Chart'!$I89*'Prepare Gantt Chart'!$J89),'Prepare Gantt Chart'!V89=0,0)</f>
        <v>0</v>
      </c>
      <c r="AS90" s="45">
        <f>_xlfn.IFS('Prepare Gantt Chart'!W89=16,'Project types'!$L90*('Prepare Gantt Chart'!$I89*'Prepare Gantt Chart'!$J89),'Prepare Gantt Chart'!W89=15,'Project types'!$L90*('Prepare Gantt Chart'!$I89*'Prepare Gantt Chart'!$J89),'Prepare Gantt Chart'!W89=0,0)</f>
        <v>0</v>
      </c>
      <c r="AT90" s="45">
        <f>_xlfn.IFS('Prepare Gantt Chart'!X89=16,'Project types'!$L90*('Prepare Gantt Chart'!$I89*'Prepare Gantt Chart'!$J89),'Prepare Gantt Chart'!X89=15,'Project types'!$L90*('Prepare Gantt Chart'!$I89*'Prepare Gantt Chart'!$J89),'Prepare Gantt Chart'!X89=0,0)</f>
        <v>0</v>
      </c>
      <c r="AU90" s="45">
        <f>_xlfn.IFS('Prepare Gantt Chart'!Y89=16,'Project types'!$L90*('Prepare Gantt Chart'!$I89*'Prepare Gantt Chart'!$J89),'Prepare Gantt Chart'!Y89=15,'Project types'!$L90*('Prepare Gantt Chart'!$I89*'Prepare Gantt Chart'!$J89),'Prepare Gantt Chart'!Y89=0,0)</f>
        <v>0</v>
      </c>
      <c r="AV90" s="45">
        <f>_xlfn.IFS('Prepare Gantt Chart'!Z89=16,'Project types'!$L90*('Prepare Gantt Chart'!$I89*'Prepare Gantt Chart'!$J89),'Prepare Gantt Chart'!Z89=15,'Project types'!$L90*('Prepare Gantt Chart'!$I89*'Prepare Gantt Chart'!$J89),'Prepare Gantt Chart'!Z89=0,0)</f>
        <v>0</v>
      </c>
      <c r="AW90" s="45">
        <f>_xlfn.IFS('Prepare Gantt Chart'!AA89=16,'Project types'!$L90*('Prepare Gantt Chart'!$I89*'Prepare Gantt Chart'!$J89),'Prepare Gantt Chart'!AA89=15,'Project types'!$L90*('Prepare Gantt Chart'!$I89*'Prepare Gantt Chart'!$J89),'Prepare Gantt Chart'!AA89=0,0)</f>
        <v>0</v>
      </c>
      <c r="AX90" s="45">
        <f>_xlfn.IFS('Prepare Gantt Chart'!AB89=16,'Project types'!$L90*('Prepare Gantt Chart'!$I89*'Prepare Gantt Chart'!$J89),'Prepare Gantt Chart'!AB89=15,'Project types'!$L90*('Prepare Gantt Chart'!$I89*'Prepare Gantt Chart'!$J89),'Prepare Gantt Chart'!AB89=0,0)</f>
        <v>0</v>
      </c>
      <c r="AY90" s="45">
        <f>_xlfn.IFS('Prepare Gantt Chart'!AC89=16,'Project types'!$L90*('Prepare Gantt Chart'!$I89*'Prepare Gantt Chart'!$J89),'Prepare Gantt Chart'!AC89=15,'Project types'!$L90*('Prepare Gantt Chart'!$I89*'Prepare Gantt Chart'!$J89),'Prepare Gantt Chart'!AC89=0,0)</f>
        <v>0</v>
      </c>
      <c r="AZ90" s="45">
        <f>_xlfn.IFS('Prepare Gantt Chart'!AD89=16,'Project types'!$L90*('Prepare Gantt Chart'!$I89*'Prepare Gantt Chart'!$J89),'Prepare Gantt Chart'!AD89=15,'Project types'!$L90*('Prepare Gantt Chart'!$I89*'Prepare Gantt Chart'!$J89),'Prepare Gantt Chart'!AD89=0,0)</f>
        <v>0</v>
      </c>
      <c r="BA90" s="45">
        <f>_xlfn.IFS('Prepare Gantt Chart'!AE89=16,'Project types'!$L90*('Prepare Gantt Chart'!$I89*'Prepare Gantt Chart'!$J89),'Prepare Gantt Chart'!AE89=15,'Project types'!$L90*('Prepare Gantt Chart'!$I89*'Prepare Gantt Chart'!$J89),'Prepare Gantt Chart'!AE89=0,0)</f>
        <v>0</v>
      </c>
      <c r="BB90" s="45">
        <f>_xlfn.IFS('Prepare Gantt Chart'!AF89=16,'Project types'!$L90*('Prepare Gantt Chart'!$I89*'Prepare Gantt Chart'!$J89),'Prepare Gantt Chart'!AF89=15,'Project types'!$L90*('Prepare Gantt Chart'!$I89*'Prepare Gantt Chart'!$J89),'Prepare Gantt Chart'!AF89=0,0)</f>
        <v>0</v>
      </c>
      <c r="BC90" s="45">
        <f>_xlfn.IFS('Prepare Gantt Chart'!AG89=16,'Project types'!$L90*('Prepare Gantt Chart'!$I89*'Prepare Gantt Chart'!$J89),'Prepare Gantt Chart'!AG89=15,'Project types'!$L90*('Prepare Gantt Chart'!$I89*'Prepare Gantt Chart'!$J89),'Prepare Gantt Chart'!AG89=0,0)</f>
        <v>0</v>
      </c>
      <c r="BD90" s="45">
        <f>_xlfn.IFS('Prepare Gantt Chart'!AH89=16,'Project types'!$L90*('Prepare Gantt Chart'!$I89*'Prepare Gantt Chart'!$J89),'Prepare Gantt Chart'!AH89=15,'Project types'!$L90*('Prepare Gantt Chart'!$I89*'Prepare Gantt Chart'!$J89),'Prepare Gantt Chart'!AH89=0,0)</f>
        <v>0</v>
      </c>
      <c r="BE90" s="45">
        <f>_xlfn.IFS('Prepare Gantt Chart'!AI89=16,'Project types'!$L90*('Prepare Gantt Chart'!$I89*'Prepare Gantt Chart'!$J89),'Prepare Gantt Chart'!AI89=15,'Project types'!$L90*('Prepare Gantt Chart'!$I89*'Prepare Gantt Chart'!$J89),'Prepare Gantt Chart'!AI89=0,0)</f>
        <v>0</v>
      </c>
      <c r="BF90" s="45">
        <f>_xlfn.IFS('Prepare Gantt Chart'!AJ89=16,'Project types'!$L90*('Prepare Gantt Chart'!$I89*'Prepare Gantt Chart'!$J89),'Prepare Gantt Chart'!AJ89=15,'Project types'!$L90*('Prepare Gantt Chart'!$I89*'Prepare Gantt Chart'!$J89),'Prepare Gantt Chart'!AJ89=0,0)</f>
        <v>0</v>
      </c>
      <c r="BG90" s="45">
        <f>_xlfn.IFS('Prepare Gantt Chart'!AK89=16,'Project types'!$L90*('Prepare Gantt Chart'!$I89*'Prepare Gantt Chart'!$J89),'Prepare Gantt Chart'!AK89=15,'Project types'!$L90*('Prepare Gantt Chart'!$I89*'Prepare Gantt Chart'!$J89),'Prepare Gantt Chart'!AK89=0,0)</f>
        <v>0</v>
      </c>
      <c r="BH90" s="45">
        <f>_xlfn.IFS('Prepare Gantt Chart'!AL89=16,'Project types'!$L90*('Prepare Gantt Chart'!$I89*'Prepare Gantt Chart'!$J89),'Prepare Gantt Chart'!AL89=15,'Project types'!$L90*('Prepare Gantt Chart'!$I89*'Prepare Gantt Chart'!$J89),'Prepare Gantt Chart'!AL89=0,0)</f>
        <v>0</v>
      </c>
      <c r="BI90" s="45">
        <f>_xlfn.IFS('Prepare Gantt Chart'!AM89=16,'Project types'!$L90*('Prepare Gantt Chart'!$I89*'Prepare Gantt Chart'!$J89),'Prepare Gantt Chart'!AM89=15,'Project types'!$L90*('Prepare Gantt Chart'!$I89*'Prepare Gantt Chart'!$J89),'Prepare Gantt Chart'!AM89=0,0)</f>
        <v>0</v>
      </c>
      <c r="BJ90" s="45">
        <f>_xlfn.IFS('Prepare Gantt Chart'!AN89=16,'Project types'!$L90*('Prepare Gantt Chart'!$I89*'Prepare Gantt Chart'!$J89),'Prepare Gantt Chart'!AN89=15,'Project types'!$L90*('Prepare Gantt Chart'!$I89*'Prepare Gantt Chart'!$J89),'Prepare Gantt Chart'!AN89=0,0)</f>
        <v>0</v>
      </c>
      <c r="BK90" s="45">
        <f>_xlfn.IFS('Prepare Gantt Chart'!AO89=16,'Project types'!$L90*('Prepare Gantt Chart'!$I89*'Prepare Gantt Chart'!$J89),'Prepare Gantt Chart'!AO89=15,'Project types'!$L90*('Prepare Gantt Chart'!$I89*'Prepare Gantt Chart'!$J89),'Prepare Gantt Chart'!AO89=0,0)</f>
        <v>0</v>
      </c>
      <c r="BL90" s="46">
        <f t="shared" si="3"/>
        <v>0</v>
      </c>
      <c r="BM90" s="75">
        <f>IF('Prepare Gantt Chart'!$J89=0,0,SUM(AL90:AQ90)/6/'Prepare Gantt Chart'!$J89)</f>
        <v>0</v>
      </c>
      <c r="BN90" s="75">
        <f>IF('Prepare Gantt Chart'!$J89=0,0,SUM(AR90:AV90)/5/'Prepare Gantt Chart'!$J89)</f>
        <v>0</v>
      </c>
      <c r="BO90" s="75">
        <f>IF('Prepare Gantt Chart'!$J89=0,0,SUM(AW90:BA90)/5/'Prepare Gantt Chart'!$J89)</f>
        <v>0</v>
      </c>
      <c r="BP90" s="75">
        <f>IF('Prepare Gantt Chart'!$J89=0,0,SUM(BB90:BF90)/5/'Prepare Gantt Chart'!$J89)</f>
        <v>0</v>
      </c>
      <c r="BQ90" s="75">
        <f>IF('Prepare Gantt Chart'!$J89=0,0,SUM(BG90:BK90)/5/'Prepare Gantt Chart'!$J89)</f>
        <v>0</v>
      </c>
    </row>
    <row r="91" spans="1:69" x14ac:dyDescent="0.2">
      <c r="A91" s="39" t="s">
        <v>83</v>
      </c>
      <c r="B91" s="1" t="s">
        <v>475</v>
      </c>
      <c r="C91" s="45">
        <f>_xlfn.IFS('Prepare Gantt Chart'!P90=16,'Project types'!$O91*('Prepare Gantt Chart'!$I90*'Prepare Gantt Chart'!$J90),'Prepare Gantt Chart'!P90=15,'Project types'!$Q91*('Prepare Gantt Chart'!$I90*'Prepare Gantt Chart'!$J90),'Prepare Gantt Chart'!P90=0,0)</f>
        <v>0</v>
      </c>
      <c r="D91" s="45">
        <f>_xlfn.IFS('Prepare Gantt Chart'!Q90=16,'Project types'!$O91*('Prepare Gantt Chart'!$I90*'Prepare Gantt Chart'!$J90),'Prepare Gantt Chart'!Q90=15,'Project types'!$Q91*('Prepare Gantt Chart'!$I90*'Prepare Gantt Chart'!$J90),'Prepare Gantt Chart'!Q90=0,0)</f>
        <v>0</v>
      </c>
      <c r="E91" s="45">
        <f>_xlfn.IFS('Prepare Gantt Chart'!R90=16,'Project types'!$O91*('Prepare Gantt Chart'!$I90*'Prepare Gantt Chart'!$J90),'Prepare Gantt Chart'!R90=15,'Project types'!$Q91*('Prepare Gantt Chart'!$I90*'Prepare Gantt Chart'!$J90),'Prepare Gantt Chart'!R90=0,0)</f>
        <v>0</v>
      </c>
      <c r="F91" s="45">
        <f>_xlfn.IFS('Prepare Gantt Chart'!S90=16,'Project types'!$O91*('Prepare Gantt Chart'!$I90*'Prepare Gantt Chart'!$J90),'Prepare Gantt Chart'!S90=15,'Project types'!$Q91*('Prepare Gantt Chart'!$I90*'Prepare Gantt Chart'!$J90),'Prepare Gantt Chart'!S90=0,0)</f>
        <v>0</v>
      </c>
      <c r="G91" s="45">
        <f>_xlfn.IFS('Prepare Gantt Chart'!T90=16,'Project types'!$O91*('Prepare Gantt Chart'!$I90*'Prepare Gantt Chart'!$J90),'Prepare Gantt Chart'!T90=15,'Project types'!$Q91*('Prepare Gantt Chart'!$I90*'Prepare Gantt Chart'!$J90),'Prepare Gantt Chart'!T90=0,0)</f>
        <v>0</v>
      </c>
      <c r="H91" s="45">
        <f>_xlfn.IFS('Prepare Gantt Chart'!U90=16,'Project types'!$O91*('Prepare Gantt Chart'!$I90*'Prepare Gantt Chart'!$J90),'Prepare Gantt Chart'!U90=15,'Project types'!$Q91*('Prepare Gantt Chart'!$I90*'Prepare Gantt Chart'!$J90),'Prepare Gantt Chart'!U90=0,0)</f>
        <v>0</v>
      </c>
      <c r="I91" s="45">
        <f>_xlfn.IFS('Prepare Gantt Chart'!V90=16,'Project types'!$O91*('Prepare Gantt Chart'!$I90*'Prepare Gantt Chart'!$J90),'Prepare Gantt Chart'!V90=15,'Project types'!$Q91*('Prepare Gantt Chart'!$I90*'Prepare Gantt Chart'!$J90),'Prepare Gantt Chart'!V90=0,0)</f>
        <v>0</v>
      </c>
      <c r="J91" s="45">
        <f>_xlfn.IFS('Prepare Gantt Chart'!W90=16,'Project types'!$O91*('Prepare Gantt Chart'!$I90*'Prepare Gantt Chart'!$J90),'Prepare Gantt Chart'!W90=15,'Project types'!$Q91*('Prepare Gantt Chart'!$I90*'Prepare Gantt Chart'!$J90),'Prepare Gantt Chart'!W90=0,0)</f>
        <v>0</v>
      </c>
      <c r="K91" s="45">
        <f>_xlfn.IFS('Prepare Gantt Chart'!X90=16,'Project types'!$O91*('Prepare Gantt Chart'!$I90*'Prepare Gantt Chart'!$J90),'Prepare Gantt Chart'!X90=15,'Project types'!$Q91*('Prepare Gantt Chart'!$I90*'Prepare Gantt Chart'!$J90),'Prepare Gantt Chart'!X90=0,0)</f>
        <v>0</v>
      </c>
      <c r="L91" s="45">
        <f>_xlfn.IFS('Prepare Gantt Chart'!Y90=16,'Project types'!$O91*('Prepare Gantt Chart'!$I90*'Prepare Gantt Chart'!$J90),'Prepare Gantt Chart'!Y90=15,'Project types'!$Q91*('Prepare Gantt Chart'!$I90*'Prepare Gantt Chart'!$J90),'Prepare Gantt Chart'!Y90=0,0)</f>
        <v>0</v>
      </c>
      <c r="M91" s="45">
        <f>_xlfn.IFS('Prepare Gantt Chart'!Z90=16,'Project types'!$O91*('Prepare Gantt Chart'!$I90*'Prepare Gantt Chart'!$J90),'Prepare Gantt Chart'!Z90=15,'Project types'!$Q91*('Prepare Gantt Chart'!$I90*'Prepare Gantt Chart'!$J90),'Prepare Gantt Chart'!Z90=0,0)</f>
        <v>0</v>
      </c>
      <c r="N91" s="45">
        <f>_xlfn.IFS('Prepare Gantt Chart'!AA90=16,'Project types'!$O91*('Prepare Gantt Chart'!$I90*'Prepare Gantt Chart'!$J90),'Prepare Gantt Chart'!AA90=15,'Project types'!$Q91*('Prepare Gantt Chart'!$I90*'Prepare Gantt Chart'!$J90),'Prepare Gantt Chart'!AA90=0,0)</f>
        <v>0</v>
      </c>
      <c r="O91" s="45">
        <f>_xlfn.IFS('Prepare Gantt Chart'!AB90=16,'Project types'!$O91*('Prepare Gantt Chart'!$I90*'Prepare Gantt Chart'!$J90),'Prepare Gantt Chart'!AB90=15,'Project types'!$Q91*('Prepare Gantt Chart'!$I90*'Prepare Gantt Chart'!$J90),'Prepare Gantt Chart'!AB90=0,0)</f>
        <v>0</v>
      </c>
      <c r="P91" s="45">
        <f>_xlfn.IFS('Prepare Gantt Chart'!AC90=16,'Project types'!$O91*('Prepare Gantt Chart'!$I90*'Prepare Gantt Chart'!$J90),'Prepare Gantt Chart'!AC90=15,'Project types'!$Q91*('Prepare Gantt Chart'!$I90*'Prepare Gantt Chart'!$J90),'Prepare Gantt Chart'!AC90=0,0)</f>
        <v>0</v>
      </c>
      <c r="Q91" s="45">
        <f>_xlfn.IFS('Prepare Gantt Chart'!AD90=16,'Project types'!$O91*('Prepare Gantt Chart'!$I90*'Prepare Gantt Chart'!$J90),'Prepare Gantt Chart'!AD90=15,'Project types'!$Q91*('Prepare Gantt Chart'!$I90*'Prepare Gantt Chart'!$J90),'Prepare Gantt Chart'!AD90=0,0)</f>
        <v>0</v>
      </c>
      <c r="R91" s="45">
        <f>_xlfn.IFS('Prepare Gantt Chart'!AE90=16,'Project types'!$O91*('Prepare Gantt Chart'!$I90*'Prepare Gantt Chart'!$J90),'Prepare Gantt Chart'!AE90=15,'Project types'!$Q91*('Prepare Gantt Chart'!$I90*'Prepare Gantt Chart'!$J90),'Prepare Gantt Chart'!AE90=0,0)</f>
        <v>0</v>
      </c>
      <c r="S91" s="45">
        <f>_xlfn.IFS('Prepare Gantt Chart'!AF90=16,'Project types'!$O91*('Prepare Gantt Chart'!$I90*'Prepare Gantt Chart'!$J90),'Prepare Gantt Chart'!AF90=15,'Project types'!$Q91*('Prepare Gantt Chart'!$I90*'Prepare Gantt Chart'!$J90),'Prepare Gantt Chart'!AF90=0,0)</f>
        <v>0</v>
      </c>
      <c r="T91" s="45">
        <f>_xlfn.IFS('Prepare Gantt Chart'!AG90=16,'Project types'!$O91*('Prepare Gantt Chart'!$I90*'Prepare Gantt Chart'!$J90),'Prepare Gantt Chart'!AG90=15,'Project types'!$Q91*('Prepare Gantt Chart'!$I90*'Prepare Gantt Chart'!$J90),'Prepare Gantt Chart'!AG90=0,0)</f>
        <v>0</v>
      </c>
      <c r="U91" s="45">
        <f>_xlfn.IFS('Prepare Gantt Chart'!AH90=16,'Project types'!$O91*('Prepare Gantt Chart'!$I90*'Prepare Gantt Chart'!$J90),'Prepare Gantt Chart'!AH90=15,'Project types'!$Q91*('Prepare Gantt Chart'!$I90*'Prepare Gantt Chart'!$J90),'Prepare Gantt Chart'!AH90=0,0)</f>
        <v>0</v>
      </c>
      <c r="V91" s="45">
        <f>_xlfn.IFS('Prepare Gantt Chart'!AI90=16,'Project types'!$O91*('Prepare Gantt Chart'!$I90*'Prepare Gantt Chart'!$J90),'Prepare Gantt Chart'!AI90=15,'Project types'!$Q91*('Prepare Gantt Chart'!$I90*'Prepare Gantt Chart'!$J90),'Prepare Gantt Chart'!AI90=0,0)</f>
        <v>0</v>
      </c>
      <c r="W91" s="45">
        <f>_xlfn.IFS('Prepare Gantt Chart'!AJ90=16,'Project types'!$O91*('Prepare Gantt Chart'!$I90*'Prepare Gantt Chart'!$J90),'Prepare Gantt Chart'!AJ90=15,'Project types'!$Q91*('Prepare Gantt Chart'!$I90*'Prepare Gantt Chart'!$J90),'Prepare Gantt Chart'!AJ90=0,0)</f>
        <v>0</v>
      </c>
      <c r="X91" s="45">
        <f>_xlfn.IFS('Prepare Gantt Chart'!AK90=16,'Project types'!$O91*('Prepare Gantt Chart'!$I90*'Prepare Gantt Chart'!$J90),'Prepare Gantt Chart'!AK90=15,'Project types'!$Q91*('Prepare Gantt Chart'!$I90*'Prepare Gantt Chart'!$J90),'Prepare Gantt Chart'!AK90=0,0)</f>
        <v>0</v>
      </c>
      <c r="Y91" s="45">
        <f>_xlfn.IFS('Prepare Gantt Chart'!AL90=16,'Project types'!$O91*('Prepare Gantt Chart'!$I90*'Prepare Gantt Chart'!$J90),'Prepare Gantt Chart'!AL90=15,'Project types'!$Q91*('Prepare Gantt Chart'!$I90*'Prepare Gantt Chart'!$J90),'Prepare Gantt Chart'!AL90=0,0)</f>
        <v>0</v>
      </c>
      <c r="Z91" s="45">
        <f>_xlfn.IFS('Prepare Gantt Chart'!AM90=16,'Project types'!$O91*('Prepare Gantt Chart'!$I90*'Prepare Gantt Chart'!$J90),'Prepare Gantt Chart'!AM90=15,'Project types'!$Q91*('Prepare Gantt Chart'!$I90*'Prepare Gantt Chart'!$J90),'Prepare Gantt Chart'!AM90=0,0)</f>
        <v>0</v>
      </c>
      <c r="AA91" s="45">
        <f>_xlfn.IFS('Prepare Gantt Chart'!AN90=16,'Project types'!$O91*('Prepare Gantt Chart'!$I90*'Prepare Gantt Chart'!$J90),'Prepare Gantt Chart'!AN90=15,'Project types'!$Q91*('Prepare Gantt Chart'!$I90*'Prepare Gantt Chart'!$J90),'Prepare Gantt Chart'!AN90=0,0)</f>
        <v>0</v>
      </c>
      <c r="AB91" s="45">
        <f>_xlfn.IFS('Prepare Gantt Chart'!AO90=16,'Project types'!$O91*('Prepare Gantt Chart'!$I90*'Prepare Gantt Chart'!$J90),'Prepare Gantt Chart'!AO90=15,'Project types'!$Q91*('Prepare Gantt Chart'!$I90*'Prepare Gantt Chart'!$J90),'Prepare Gantt Chart'!AO90=0,0)</f>
        <v>0</v>
      </c>
      <c r="AC91" s="45">
        <f>'Prepare Gantt Chart'!J90*'Prepare Gantt Chart'!I90*(AD91/26)</f>
        <v>0</v>
      </c>
      <c r="AD91" s="46">
        <f t="shared" si="2"/>
        <v>0</v>
      </c>
      <c r="AE91" s="72">
        <f>IF('Prepare Gantt Chart'!$J90=0,0,SUM(C91:H91)/6/'Prepare Gantt Chart'!$J90)</f>
        <v>0</v>
      </c>
      <c r="AF91" s="72">
        <f>IF('Prepare Gantt Chart'!$J90=0,0,SUM(I91:M91)/5/'Prepare Gantt Chart'!$J90)</f>
        <v>0</v>
      </c>
      <c r="AG91" s="72">
        <f>IF('Prepare Gantt Chart'!$J90=0,0,SUM(N91:R91)/5/'Prepare Gantt Chart'!$J90)</f>
        <v>0</v>
      </c>
      <c r="AH91" s="72">
        <f>IF('Prepare Gantt Chart'!$J90=0,0,SUM(S91:W91)/5/'Prepare Gantt Chart'!$J90)</f>
        <v>0</v>
      </c>
      <c r="AI91" s="72">
        <f>IF('Prepare Gantt Chart'!$J90=0,0,SUM(X91:AB91)/5/'Prepare Gantt Chart'!$J90)</f>
        <v>0</v>
      </c>
      <c r="AK91" s="39" t="s">
        <v>83</v>
      </c>
      <c r="AL91" s="45">
        <f>_xlfn.IFS('Prepare Gantt Chart'!P90=16,'Project types'!$L91*('Prepare Gantt Chart'!$I90*'Prepare Gantt Chart'!$J90),'Prepare Gantt Chart'!P90=15,'Project types'!$L91*('Prepare Gantt Chart'!$I90*'Prepare Gantt Chart'!$J90),'Prepare Gantt Chart'!P90=0,0)</f>
        <v>0</v>
      </c>
      <c r="AM91" s="45">
        <f>_xlfn.IFS('Prepare Gantt Chart'!Q90=16,'Project types'!$L91*('Prepare Gantt Chart'!$I90*'Prepare Gantt Chart'!$J90),'Prepare Gantt Chart'!Q90=15,'Project types'!$L91*('Prepare Gantt Chart'!$I90*'Prepare Gantt Chart'!$J90),'Prepare Gantt Chart'!Q90=0,0)</f>
        <v>0</v>
      </c>
      <c r="AN91" s="45">
        <f>_xlfn.IFS('Prepare Gantt Chart'!R90=16,'Project types'!$L91*('Prepare Gantt Chart'!$I90*'Prepare Gantt Chart'!$J90),'Prepare Gantt Chart'!R90=15,'Project types'!$L91*('Prepare Gantt Chart'!$I90*'Prepare Gantt Chart'!$J90),'Prepare Gantt Chart'!R90=0,0)</f>
        <v>0</v>
      </c>
      <c r="AO91" s="45">
        <f>_xlfn.IFS('Prepare Gantt Chart'!S90=16,'Project types'!$L91*('Prepare Gantt Chart'!$I90*'Prepare Gantt Chart'!$J90),'Prepare Gantt Chart'!S90=15,'Project types'!$L91*('Prepare Gantt Chart'!$I90*'Prepare Gantt Chart'!$J90),'Prepare Gantt Chart'!S90=0,0)</f>
        <v>0</v>
      </c>
      <c r="AP91" s="45">
        <f>_xlfn.IFS('Prepare Gantt Chart'!T90=16,'Project types'!$L91*('Prepare Gantt Chart'!$I90*'Prepare Gantt Chart'!$J90),'Prepare Gantt Chart'!T90=15,'Project types'!$L91*('Prepare Gantt Chart'!$I90*'Prepare Gantt Chart'!$J90),'Prepare Gantt Chart'!T90=0,0)</f>
        <v>0</v>
      </c>
      <c r="AQ91" s="45">
        <f>_xlfn.IFS('Prepare Gantt Chart'!U90=16,'Project types'!$L91*('Prepare Gantt Chart'!$I90*'Prepare Gantt Chart'!$J90),'Prepare Gantt Chart'!U90=15,'Project types'!$L91*('Prepare Gantt Chart'!$I90*'Prepare Gantt Chart'!$J90),'Prepare Gantt Chart'!U90=0,0)</f>
        <v>0</v>
      </c>
      <c r="AR91" s="45">
        <f>_xlfn.IFS('Prepare Gantt Chart'!V90=16,'Project types'!$L91*('Prepare Gantt Chart'!$I90*'Prepare Gantt Chart'!$J90),'Prepare Gantt Chart'!V90=15,'Project types'!$L91*('Prepare Gantt Chart'!$I90*'Prepare Gantt Chart'!$J90),'Prepare Gantt Chart'!V90=0,0)</f>
        <v>0</v>
      </c>
      <c r="AS91" s="45">
        <f>_xlfn.IFS('Prepare Gantt Chart'!W90=16,'Project types'!$L91*('Prepare Gantt Chart'!$I90*'Prepare Gantt Chart'!$J90),'Prepare Gantt Chart'!W90=15,'Project types'!$L91*('Prepare Gantt Chart'!$I90*'Prepare Gantt Chart'!$J90),'Prepare Gantt Chart'!W90=0,0)</f>
        <v>0</v>
      </c>
      <c r="AT91" s="45">
        <f>_xlfn.IFS('Prepare Gantt Chart'!X90=16,'Project types'!$L91*('Prepare Gantt Chart'!$I90*'Prepare Gantt Chart'!$J90),'Prepare Gantt Chart'!X90=15,'Project types'!$L91*('Prepare Gantt Chart'!$I90*'Prepare Gantt Chart'!$J90),'Prepare Gantt Chart'!X90=0,0)</f>
        <v>0</v>
      </c>
      <c r="AU91" s="45">
        <f>_xlfn.IFS('Prepare Gantt Chart'!Y90=16,'Project types'!$L91*('Prepare Gantt Chart'!$I90*'Prepare Gantt Chart'!$J90),'Prepare Gantt Chart'!Y90=15,'Project types'!$L91*('Prepare Gantt Chart'!$I90*'Prepare Gantt Chart'!$J90),'Prepare Gantt Chart'!Y90=0,0)</f>
        <v>0</v>
      </c>
      <c r="AV91" s="45">
        <f>_xlfn.IFS('Prepare Gantt Chart'!Z90=16,'Project types'!$L91*('Prepare Gantt Chart'!$I90*'Prepare Gantt Chart'!$J90),'Prepare Gantt Chart'!Z90=15,'Project types'!$L91*('Prepare Gantt Chart'!$I90*'Prepare Gantt Chart'!$J90),'Prepare Gantt Chart'!Z90=0,0)</f>
        <v>0</v>
      </c>
      <c r="AW91" s="45">
        <f>_xlfn.IFS('Prepare Gantt Chart'!AA90=16,'Project types'!$L91*('Prepare Gantt Chart'!$I90*'Prepare Gantt Chart'!$J90),'Prepare Gantt Chart'!AA90=15,'Project types'!$L91*('Prepare Gantt Chart'!$I90*'Prepare Gantt Chart'!$J90),'Prepare Gantt Chart'!AA90=0,0)</f>
        <v>0</v>
      </c>
      <c r="AX91" s="45">
        <f>_xlfn.IFS('Prepare Gantt Chart'!AB90=16,'Project types'!$L91*('Prepare Gantt Chart'!$I90*'Prepare Gantt Chart'!$J90),'Prepare Gantt Chart'!AB90=15,'Project types'!$L91*('Prepare Gantt Chart'!$I90*'Prepare Gantt Chart'!$J90),'Prepare Gantt Chart'!AB90=0,0)</f>
        <v>0</v>
      </c>
      <c r="AY91" s="45">
        <f>_xlfn.IFS('Prepare Gantt Chart'!AC90=16,'Project types'!$L91*('Prepare Gantt Chart'!$I90*'Prepare Gantt Chart'!$J90),'Prepare Gantt Chart'!AC90=15,'Project types'!$L91*('Prepare Gantt Chart'!$I90*'Prepare Gantt Chart'!$J90),'Prepare Gantt Chart'!AC90=0,0)</f>
        <v>0</v>
      </c>
      <c r="AZ91" s="45">
        <f>_xlfn.IFS('Prepare Gantt Chart'!AD90=16,'Project types'!$L91*('Prepare Gantt Chart'!$I90*'Prepare Gantt Chart'!$J90),'Prepare Gantt Chart'!AD90=15,'Project types'!$L91*('Prepare Gantt Chart'!$I90*'Prepare Gantt Chart'!$J90),'Prepare Gantt Chart'!AD90=0,0)</f>
        <v>0</v>
      </c>
      <c r="BA91" s="45">
        <f>_xlfn.IFS('Prepare Gantt Chart'!AE90=16,'Project types'!$L91*('Prepare Gantt Chart'!$I90*'Prepare Gantt Chart'!$J90),'Prepare Gantt Chart'!AE90=15,'Project types'!$L91*('Prepare Gantt Chart'!$I90*'Prepare Gantt Chart'!$J90),'Prepare Gantt Chart'!AE90=0,0)</f>
        <v>0</v>
      </c>
      <c r="BB91" s="45">
        <f>_xlfn.IFS('Prepare Gantt Chart'!AF90=16,'Project types'!$L91*('Prepare Gantt Chart'!$I90*'Prepare Gantt Chart'!$J90),'Prepare Gantt Chart'!AF90=15,'Project types'!$L91*('Prepare Gantt Chart'!$I90*'Prepare Gantt Chart'!$J90),'Prepare Gantt Chart'!AF90=0,0)</f>
        <v>0</v>
      </c>
      <c r="BC91" s="45">
        <f>_xlfn.IFS('Prepare Gantt Chart'!AG90=16,'Project types'!$L91*('Prepare Gantt Chart'!$I90*'Prepare Gantt Chart'!$J90),'Prepare Gantt Chart'!AG90=15,'Project types'!$L91*('Prepare Gantt Chart'!$I90*'Prepare Gantt Chart'!$J90),'Prepare Gantt Chart'!AG90=0,0)</f>
        <v>0</v>
      </c>
      <c r="BD91" s="45">
        <f>_xlfn.IFS('Prepare Gantt Chart'!AH90=16,'Project types'!$L91*('Prepare Gantt Chart'!$I90*'Prepare Gantt Chart'!$J90),'Prepare Gantt Chart'!AH90=15,'Project types'!$L91*('Prepare Gantt Chart'!$I90*'Prepare Gantt Chart'!$J90),'Prepare Gantt Chart'!AH90=0,0)</f>
        <v>0</v>
      </c>
      <c r="BE91" s="45">
        <f>_xlfn.IFS('Prepare Gantt Chart'!AI90=16,'Project types'!$L91*('Prepare Gantt Chart'!$I90*'Prepare Gantt Chart'!$J90),'Prepare Gantt Chart'!AI90=15,'Project types'!$L91*('Prepare Gantt Chart'!$I90*'Prepare Gantt Chart'!$J90),'Prepare Gantt Chart'!AI90=0,0)</f>
        <v>0</v>
      </c>
      <c r="BF91" s="45">
        <f>_xlfn.IFS('Prepare Gantt Chart'!AJ90=16,'Project types'!$L91*('Prepare Gantt Chart'!$I90*'Prepare Gantt Chart'!$J90),'Prepare Gantt Chart'!AJ90=15,'Project types'!$L91*('Prepare Gantt Chart'!$I90*'Prepare Gantt Chart'!$J90),'Prepare Gantt Chart'!AJ90=0,0)</f>
        <v>0</v>
      </c>
      <c r="BG91" s="45">
        <f>_xlfn.IFS('Prepare Gantt Chart'!AK90=16,'Project types'!$L91*('Prepare Gantt Chart'!$I90*'Prepare Gantt Chart'!$J90),'Prepare Gantt Chart'!AK90=15,'Project types'!$L91*('Prepare Gantt Chart'!$I90*'Prepare Gantt Chart'!$J90),'Prepare Gantt Chart'!AK90=0,0)</f>
        <v>0</v>
      </c>
      <c r="BH91" s="45">
        <f>_xlfn.IFS('Prepare Gantt Chart'!AL90=16,'Project types'!$L91*('Prepare Gantt Chart'!$I90*'Prepare Gantt Chart'!$J90),'Prepare Gantt Chart'!AL90=15,'Project types'!$L91*('Prepare Gantt Chart'!$I90*'Prepare Gantt Chart'!$J90),'Prepare Gantt Chart'!AL90=0,0)</f>
        <v>0</v>
      </c>
      <c r="BI91" s="45">
        <f>_xlfn.IFS('Prepare Gantt Chart'!AM90=16,'Project types'!$L91*('Prepare Gantt Chart'!$I90*'Prepare Gantt Chart'!$J90),'Prepare Gantt Chart'!AM90=15,'Project types'!$L91*('Prepare Gantt Chart'!$I90*'Prepare Gantt Chart'!$J90),'Prepare Gantt Chart'!AM90=0,0)</f>
        <v>0</v>
      </c>
      <c r="BJ91" s="45">
        <f>_xlfn.IFS('Prepare Gantt Chart'!AN90=16,'Project types'!$L91*('Prepare Gantt Chart'!$I90*'Prepare Gantt Chart'!$J90),'Prepare Gantt Chart'!AN90=15,'Project types'!$L91*('Prepare Gantt Chart'!$I90*'Prepare Gantt Chart'!$J90),'Prepare Gantt Chart'!AN90=0,0)</f>
        <v>0</v>
      </c>
      <c r="BK91" s="45">
        <f>_xlfn.IFS('Prepare Gantt Chart'!AO90=16,'Project types'!$L91*('Prepare Gantt Chart'!$I90*'Prepare Gantt Chart'!$J90),'Prepare Gantt Chart'!AO90=15,'Project types'!$L91*('Prepare Gantt Chart'!$I90*'Prepare Gantt Chart'!$J90),'Prepare Gantt Chart'!AO90=0,0)</f>
        <v>0</v>
      </c>
      <c r="BL91" s="46">
        <f t="shared" si="3"/>
        <v>0</v>
      </c>
      <c r="BM91" s="75">
        <f>IF('Prepare Gantt Chart'!$J90=0,0,SUM(AL91:AQ91)/6/'Prepare Gantt Chart'!$J90)</f>
        <v>0</v>
      </c>
      <c r="BN91" s="75">
        <f>IF('Prepare Gantt Chart'!$J90=0,0,SUM(AR91:AV91)/5/'Prepare Gantt Chart'!$J90)</f>
        <v>0</v>
      </c>
      <c r="BO91" s="75">
        <f>IF('Prepare Gantt Chart'!$J90=0,0,SUM(AW91:BA91)/5/'Prepare Gantt Chart'!$J90)</f>
        <v>0</v>
      </c>
      <c r="BP91" s="75">
        <f>IF('Prepare Gantt Chart'!$J90=0,0,SUM(BB91:BF91)/5/'Prepare Gantt Chart'!$J90)</f>
        <v>0</v>
      </c>
      <c r="BQ91" s="75">
        <f>IF('Prepare Gantt Chart'!$J90=0,0,SUM(BG91:BK91)/5/'Prepare Gantt Chart'!$J90)</f>
        <v>0</v>
      </c>
    </row>
    <row r="92" spans="1:69" x14ac:dyDescent="0.2">
      <c r="A92" s="39" t="s">
        <v>84</v>
      </c>
      <c r="B92" s="1" t="s">
        <v>476</v>
      </c>
      <c r="C92" s="45">
        <f>_xlfn.IFS('Prepare Gantt Chart'!P91=16,'Project types'!$O92*('Prepare Gantt Chart'!$I91*'Prepare Gantt Chart'!$J91),'Prepare Gantt Chart'!P91=15,'Project types'!$Q92*('Prepare Gantt Chart'!$I91*'Prepare Gantt Chart'!$J91),'Prepare Gantt Chart'!P91=0,0)</f>
        <v>0</v>
      </c>
      <c r="D92" s="45">
        <f>_xlfn.IFS('Prepare Gantt Chart'!Q91=16,'Project types'!$O92*('Prepare Gantt Chart'!$I91*'Prepare Gantt Chart'!$J91),'Prepare Gantt Chart'!Q91=15,'Project types'!$Q92*('Prepare Gantt Chart'!$I91*'Prepare Gantt Chart'!$J91),'Prepare Gantt Chart'!Q91=0,0)</f>
        <v>0</v>
      </c>
      <c r="E92" s="45">
        <f>_xlfn.IFS('Prepare Gantt Chart'!R91=16,'Project types'!$O92*('Prepare Gantt Chart'!$I91*'Prepare Gantt Chart'!$J91),'Prepare Gantt Chart'!R91=15,'Project types'!$Q92*('Prepare Gantt Chart'!$I91*'Prepare Gantt Chart'!$J91),'Prepare Gantt Chart'!R91=0,0)</f>
        <v>0</v>
      </c>
      <c r="F92" s="45">
        <f>_xlfn.IFS('Prepare Gantt Chart'!S91=16,'Project types'!$O92*('Prepare Gantt Chart'!$I91*'Prepare Gantt Chart'!$J91),'Prepare Gantt Chart'!S91=15,'Project types'!$Q92*('Prepare Gantt Chart'!$I91*'Prepare Gantt Chart'!$J91),'Prepare Gantt Chart'!S91=0,0)</f>
        <v>0</v>
      </c>
      <c r="G92" s="45">
        <f>_xlfn.IFS('Prepare Gantt Chart'!T91=16,'Project types'!$O92*('Prepare Gantt Chart'!$I91*'Prepare Gantt Chart'!$J91),'Prepare Gantt Chart'!T91=15,'Project types'!$Q92*('Prepare Gantt Chart'!$I91*'Prepare Gantt Chart'!$J91),'Prepare Gantt Chart'!T91=0,0)</f>
        <v>0</v>
      </c>
      <c r="H92" s="45">
        <f>_xlfn.IFS('Prepare Gantt Chart'!U91=16,'Project types'!$O92*('Prepare Gantt Chart'!$I91*'Prepare Gantt Chart'!$J91),'Prepare Gantt Chart'!U91=15,'Project types'!$Q92*('Prepare Gantt Chart'!$I91*'Prepare Gantt Chart'!$J91),'Prepare Gantt Chart'!U91=0,0)</f>
        <v>0</v>
      </c>
      <c r="I92" s="45">
        <f>_xlfn.IFS('Prepare Gantt Chart'!V91=16,'Project types'!$O92*('Prepare Gantt Chart'!$I91*'Prepare Gantt Chart'!$J91),'Prepare Gantt Chart'!V91=15,'Project types'!$Q92*('Prepare Gantt Chart'!$I91*'Prepare Gantt Chart'!$J91),'Prepare Gantt Chart'!V91=0,0)</f>
        <v>0</v>
      </c>
      <c r="J92" s="45">
        <f>_xlfn.IFS('Prepare Gantt Chart'!W91=16,'Project types'!$O92*('Prepare Gantt Chart'!$I91*'Prepare Gantt Chart'!$J91),'Prepare Gantt Chart'!W91=15,'Project types'!$Q92*('Prepare Gantt Chart'!$I91*'Prepare Gantt Chart'!$J91),'Prepare Gantt Chart'!W91=0,0)</f>
        <v>0</v>
      </c>
      <c r="K92" s="45">
        <f>_xlfn.IFS('Prepare Gantt Chart'!X91=16,'Project types'!$O92*('Prepare Gantt Chart'!$I91*'Prepare Gantt Chart'!$J91),'Prepare Gantt Chart'!X91=15,'Project types'!$Q92*('Prepare Gantt Chart'!$I91*'Prepare Gantt Chart'!$J91),'Prepare Gantt Chart'!X91=0,0)</f>
        <v>0</v>
      </c>
      <c r="L92" s="45">
        <f>_xlfn.IFS('Prepare Gantt Chart'!Y91=16,'Project types'!$O92*('Prepare Gantt Chart'!$I91*'Prepare Gantt Chart'!$J91),'Prepare Gantt Chart'!Y91=15,'Project types'!$Q92*('Prepare Gantt Chart'!$I91*'Prepare Gantt Chart'!$J91),'Prepare Gantt Chart'!Y91=0,0)</f>
        <v>0</v>
      </c>
      <c r="M92" s="45">
        <f>_xlfn.IFS('Prepare Gantt Chart'!Z91=16,'Project types'!$O92*('Prepare Gantt Chart'!$I91*'Prepare Gantt Chart'!$J91),'Prepare Gantt Chart'!Z91=15,'Project types'!$Q92*('Prepare Gantt Chart'!$I91*'Prepare Gantt Chart'!$J91),'Prepare Gantt Chart'!Z91=0,0)</f>
        <v>0</v>
      </c>
      <c r="N92" s="45">
        <f>_xlfn.IFS('Prepare Gantt Chart'!AA91=16,'Project types'!$O92*('Prepare Gantt Chart'!$I91*'Prepare Gantt Chart'!$J91),'Prepare Gantt Chart'!AA91=15,'Project types'!$Q92*('Prepare Gantt Chart'!$I91*'Prepare Gantt Chart'!$J91),'Prepare Gantt Chart'!AA91=0,0)</f>
        <v>0</v>
      </c>
      <c r="O92" s="45">
        <f>_xlfn.IFS('Prepare Gantt Chart'!AB91=16,'Project types'!$O92*('Prepare Gantt Chart'!$I91*'Prepare Gantt Chart'!$J91),'Prepare Gantt Chart'!AB91=15,'Project types'!$Q92*('Prepare Gantt Chart'!$I91*'Prepare Gantt Chart'!$J91),'Prepare Gantt Chart'!AB91=0,0)</f>
        <v>0</v>
      </c>
      <c r="P92" s="45">
        <f>_xlfn.IFS('Prepare Gantt Chart'!AC91=16,'Project types'!$O92*('Prepare Gantt Chart'!$I91*'Prepare Gantt Chart'!$J91),'Prepare Gantt Chart'!AC91=15,'Project types'!$Q92*('Prepare Gantt Chart'!$I91*'Prepare Gantt Chart'!$J91),'Prepare Gantt Chart'!AC91=0,0)</f>
        <v>0</v>
      </c>
      <c r="Q92" s="45">
        <f>_xlfn.IFS('Prepare Gantt Chart'!AD91=16,'Project types'!$O92*('Prepare Gantt Chart'!$I91*'Prepare Gantt Chart'!$J91),'Prepare Gantt Chart'!AD91=15,'Project types'!$Q92*('Prepare Gantt Chart'!$I91*'Prepare Gantt Chart'!$J91),'Prepare Gantt Chart'!AD91=0,0)</f>
        <v>0</v>
      </c>
      <c r="R92" s="45">
        <f>_xlfn.IFS('Prepare Gantt Chart'!AE91=16,'Project types'!$O92*('Prepare Gantt Chart'!$I91*'Prepare Gantt Chart'!$J91),'Prepare Gantt Chart'!AE91=15,'Project types'!$Q92*('Prepare Gantt Chart'!$I91*'Prepare Gantt Chart'!$J91),'Prepare Gantt Chart'!AE91=0,0)</f>
        <v>0</v>
      </c>
      <c r="S92" s="45">
        <f>_xlfn.IFS('Prepare Gantt Chart'!AF91=16,'Project types'!$O92*('Prepare Gantt Chart'!$I91*'Prepare Gantt Chart'!$J91),'Prepare Gantt Chart'!AF91=15,'Project types'!$Q92*('Prepare Gantt Chart'!$I91*'Prepare Gantt Chart'!$J91),'Prepare Gantt Chart'!AF91=0,0)</f>
        <v>0</v>
      </c>
      <c r="T92" s="45">
        <f>_xlfn.IFS('Prepare Gantt Chart'!AG91=16,'Project types'!$O92*('Prepare Gantt Chart'!$I91*'Prepare Gantt Chart'!$J91),'Prepare Gantt Chart'!AG91=15,'Project types'!$Q92*('Prepare Gantt Chart'!$I91*'Prepare Gantt Chart'!$J91),'Prepare Gantt Chart'!AG91=0,0)</f>
        <v>0</v>
      </c>
      <c r="U92" s="45">
        <f>_xlfn.IFS('Prepare Gantt Chart'!AH91=16,'Project types'!$O92*('Prepare Gantt Chart'!$I91*'Prepare Gantt Chart'!$J91),'Prepare Gantt Chart'!AH91=15,'Project types'!$Q92*('Prepare Gantt Chart'!$I91*'Prepare Gantt Chart'!$J91),'Prepare Gantt Chart'!AH91=0,0)</f>
        <v>0</v>
      </c>
      <c r="V92" s="45">
        <f>_xlfn.IFS('Prepare Gantt Chart'!AI91=16,'Project types'!$O92*('Prepare Gantt Chart'!$I91*'Prepare Gantt Chart'!$J91),'Prepare Gantt Chart'!AI91=15,'Project types'!$Q92*('Prepare Gantt Chart'!$I91*'Prepare Gantt Chart'!$J91),'Prepare Gantt Chart'!AI91=0,0)</f>
        <v>0</v>
      </c>
      <c r="W92" s="45">
        <f>_xlfn.IFS('Prepare Gantt Chart'!AJ91=16,'Project types'!$O92*('Prepare Gantt Chart'!$I91*'Prepare Gantt Chart'!$J91),'Prepare Gantt Chart'!AJ91=15,'Project types'!$Q92*('Prepare Gantt Chart'!$I91*'Prepare Gantt Chart'!$J91),'Prepare Gantt Chart'!AJ91=0,0)</f>
        <v>0</v>
      </c>
      <c r="X92" s="45">
        <f>_xlfn.IFS('Prepare Gantt Chart'!AK91=16,'Project types'!$O92*('Prepare Gantt Chart'!$I91*'Prepare Gantt Chart'!$J91),'Prepare Gantt Chart'!AK91=15,'Project types'!$Q92*('Prepare Gantt Chart'!$I91*'Prepare Gantt Chart'!$J91),'Prepare Gantt Chart'!AK91=0,0)</f>
        <v>0</v>
      </c>
      <c r="Y92" s="45">
        <f>_xlfn.IFS('Prepare Gantt Chart'!AL91=16,'Project types'!$O92*('Prepare Gantt Chart'!$I91*'Prepare Gantt Chart'!$J91),'Prepare Gantt Chart'!AL91=15,'Project types'!$Q92*('Prepare Gantt Chart'!$I91*'Prepare Gantt Chart'!$J91),'Prepare Gantt Chart'!AL91=0,0)</f>
        <v>0</v>
      </c>
      <c r="Z92" s="45">
        <f>_xlfn.IFS('Prepare Gantt Chart'!AM91=16,'Project types'!$O92*('Prepare Gantt Chart'!$I91*'Prepare Gantt Chart'!$J91),'Prepare Gantt Chart'!AM91=15,'Project types'!$Q92*('Prepare Gantt Chart'!$I91*'Prepare Gantt Chart'!$J91),'Prepare Gantt Chart'!AM91=0,0)</f>
        <v>0</v>
      </c>
      <c r="AA92" s="45">
        <f>_xlfn.IFS('Prepare Gantt Chart'!AN91=16,'Project types'!$O92*('Prepare Gantt Chart'!$I91*'Prepare Gantt Chart'!$J91),'Prepare Gantt Chart'!AN91=15,'Project types'!$Q92*('Prepare Gantt Chart'!$I91*'Prepare Gantt Chart'!$J91),'Prepare Gantt Chart'!AN91=0,0)</f>
        <v>0</v>
      </c>
      <c r="AB92" s="45">
        <f>_xlfn.IFS('Prepare Gantt Chart'!AO91=16,'Project types'!$O92*('Prepare Gantt Chart'!$I91*'Prepare Gantt Chart'!$J91),'Prepare Gantt Chart'!AO91=15,'Project types'!$Q92*('Prepare Gantt Chart'!$I91*'Prepare Gantt Chart'!$J91),'Prepare Gantt Chart'!AO91=0,0)</f>
        <v>0</v>
      </c>
      <c r="AC92" s="45">
        <f>'Prepare Gantt Chart'!J91*'Prepare Gantt Chart'!I91*(AD92/26)</f>
        <v>0</v>
      </c>
      <c r="AD92" s="46">
        <f t="shared" si="2"/>
        <v>0</v>
      </c>
      <c r="AE92" s="72">
        <f>IF('Prepare Gantt Chart'!$J91=0,0,SUM(C92:H92)/6/'Prepare Gantt Chart'!$J91)</f>
        <v>0</v>
      </c>
      <c r="AF92" s="72">
        <f>IF('Prepare Gantt Chart'!$J91=0,0,SUM(I92:M92)/5/'Prepare Gantt Chart'!$J91)</f>
        <v>0</v>
      </c>
      <c r="AG92" s="72">
        <f>IF('Prepare Gantt Chart'!$J91=0,0,SUM(N92:R92)/5/'Prepare Gantt Chart'!$J91)</f>
        <v>0</v>
      </c>
      <c r="AH92" s="72">
        <f>IF('Prepare Gantt Chart'!$J91=0,0,SUM(S92:W92)/5/'Prepare Gantt Chart'!$J91)</f>
        <v>0</v>
      </c>
      <c r="AI92" s="72">
        <f>IF('Prepare Gantt Chart'!$J91=0,0,SUM(X92:AB92)/5/'Prepare Gantt Chart'!$J91)</f>
        <v>0</v>
      </c>
      <c r="AK92" s="39" t="s">
        <v>84</v>
      </c>
      <c r="AL92" s="45">
        <f>_xlfn.IFS('Prepare Gantt Chart'!P91=16,'Project types'!$L92*('Prepare Gantt Chart'!$I91*'Prepare Gantt Chart'!$J91),'Prepare Gantt Chart'!P91=15,'Project types'!$L92*('Prepare Gantt Chart'!$I91*'Prepare Gantt Chart'!$J91),'Prepare Gantt Chart'!P91=0,0)</f>
        <v>0</v>
      </c>
      <c r="AM92" s="45">
        <f>_xlfn.IFS('Prepare Gantt Chart'!Q91=16,'Project types'!$L92*('Prepare Gantt Chart'!$I91*'Prepare Gantt Chart'!$J91),'Prepare Gantt Chart'!Q91=15,'Project types'!$L92*('Prepare Gantt Chart'!$I91*'Prepare Gantt Chart'!$J91),'Prepare Gantt Chart'!Q91=0,0)</f>
        <v>0</v>
      </c>
      <c r="AN92" s="45">
        <f>_xlfn.IFS('Prepare Gantt Chart'!R91=16,'Project types'!$L92*('Prepare Gantt Chart'!$I91*'Prepare Gantt Chart'!$J91),'Prepare Gantt Chart'!R91=15,'Project types'!$L92*('Prepare Gantt Chart'!$I91*'Prepare Gantt Chart'!$J91),'Prepare Gantt Chart'!R91=0,0)</f>
        <v>0</v>
      </c>
      <c r="AO92" s="45">
        <f>_xlfn.IFS('Prepare Gantt Chart'!S91=16,'Project types'!$L92*('Prepare Gantt Chart'!$I91*'Prepare Gantt Chart'!$J91),'Prepare Gantt Chart'!S91=15,'Project types'!$L92*('Prepare Gantt Chart'!$I91*'Prepare Gantt Chart'!$J91),'Prepare Gantt Chart'!S91=0,0)</f>
        <v>0</v>
      </c>
      <c r="AP92" s="45">
        <f>_xlfn.IFS('Prepare Gantt Chart'!T91=16,'Project types'!$L92*('Prepare Gantt Chart'!$I91*'Prepare Gantt Chart'!$J91),'Prepare Gantt Chart'!T91=15,'Project types'!$L92*('Prepare Gantt Chart'!$I91*'Prepare Gantt Chart'!$J91),'Prepare Gantt Chart'!T91=0,0)</f>
        <v>0</v>
      </c>
      <c r="AQ92" s="45">
        <f>_xlfn.IFS('Prepare Gantt Chart'!U91=16,'Project types'!$L92*('Prepare Gantt Chart'!$I91*'Prepare Gantt Chart'!$J91),'Prepare Gantt Chart'!U91=15,'Project types'!$L92*('Prepare Gantt Chart'!$I91*'Prepare Gantt Chart'!$J91),'Prepare Gantt Chart'!U91=0,0)</f>
        <v>0</v>
      </c>
      <c r="AR92" s="45">
        <f>_xlfn.IFS('Prepare Gantt Chart'!V91=16,'Project types'!$L92*('Prepare Gantt Chart'!$I91*'Prepare Gantt Chart'!$J91),'Prepare Gantt Chart'!V91=15,'Project types'!$L92*('Prepare Gantt Chart'!$I91*'Prepare Gantt Chart'!$J91),'Prepare Gantt Chart'!V91=0,0)</f>
        <v>0</v>
      </c>
      <c r="AS92" s="45">
        <f>_xlfn.IFS('Prepare Gantt Chart'!W91=16,'Project types'!$L92*('Prepare Gantt Chart'!$I91*'Prepare Gantt Chart'!$J91),'Prepare Gantt Chart'!W91=15,'Project types'!$L92*('Prepare Gantt Chart'!$I91*'Prepare Gantt Chart'!$J91),'Prepare Gantt Chart'!W91=0,0)</f>
        <v>0</v>
      </c>
      <c r="AT92" s="45">
        <f>_xlfn.IFS('Prepare Gantt Chart'!X91=16,'Project types'!$L92*('Prepare Gantt Chart'!$I91*'Prepare Gantt Chart'!$J91),'Prepare Gantt Chart'!X91=15,'Project types'!$L92*('Prepare Gantt Chart'!$I91*'Prepare Gantt Chart'!$J91),'Prepare Gantt Chart'!X91=0,0)</f>
        <v>0</v>
      </c>
      <c r="AU92" s="45">
        <f>_xlfn.IFS('Prepare Gantt Chart'!Y91=16,'Project types'!$L92*('Prepare Gantt Chart'!$I91*'Prepare Gantt Chart'!$J91),'Prepare Gantt Chart'!Y91=15,'Project types'!$L92*('Prepare Gantt Chart'!$I91*'Prepare Gantt Chart'!$J91),'Prepare Gantt Chart'!Y91=0,0)</f>
        <v>0</v>
      </c>
      <c r="AV92" s="45">
        <f>_xlfn.IFS('Prepare Gantt Chart'!Z91=16,'Project types'!$L92*('Prepare Gantt Chart'!$I91*'Prepare Gantt Chart'!$J91),'Prepare Gantt Chart'!Z91=15,'Project types'!$L92*('Prepare Gantt Chart'!$I91*'Prepare Gantt Chart'!$J91),'Prepare Gantt Chart'!Z91=0,0)</f>
        <v>0</v>
      </c>
      <c r="AW92" s="45">
        <f>_xlfn.IFS('Prepare Gantt Chart'!AA91=16,'Project types'!$L92*('Prepare Gantt Chart'!$I91*'Prepare Gantt Chart'!$J91),'Prepare Gantt Chart'!AA91=15,'Project types'!$L92*('Prepare Gantt Chart'!$I91*'Prepare Gantt Chart'!$J91),'Prepare Gantt Chart'!AA91=0,0)</f>
        <v>0</v>
      </c>
      <c r="AX92" s="45">
        <f>_xlfn.IFS('Prepare Gantt Chart'!AB91=16,'Project types'!$L92*('Prepare Gantt Chart'!$I91*'Prepare Gantt Chart'!$J91),'Prepare Gantt Chart'!AB91=15,'Project types'!$L92*('Prepare Gantt Chart'!$I91*'Prepare Gantt Chart'!$J91),'Prepare Gantt Chart'!AB91=0,0)</f>
        <v>0</v>
      </c>
      <c r="AY92" s="45">
        <f>_xlfn.IFS('Prepare Gantt Chart'!AC91=16,'Project types'!$L92*('Prepare Gantt Chart'!$I91*'Prepare Gantt Chart'!$J91),'Prepare Gantt Chart'!AC91=15,'Project types'!$L92*('Prepare Gantt Chart'!$I91*'Prepare Gantt Chart'!$J91),'Prepare Gantt Chart'!AC91=0,0)</f>
        <v>0</v>
      </c>
      <c r="AZ92" s="45">
        <f>_xlfn.IFS('Prepare Gantt Chart'!AD91=16,'Project types'!$L92*('Prepare Gantt Chart'!$I91*'Prepare Gantt Chart'!$J91),'Prepare Gantt Chart'!AD91=15,'Project types'!$L92*('Prepare Gantt Chart'!$I91*'Prepare Gantt Chart'!$J91),'Prepare Gantt Chart'!AD91=0,0)</f>
        <v>0</v>
      </c>
      <c r="BA92" s="45">
        <f>_xlfn.IFS('Prepare Gantt Chart'!AE91=16,'Project types'!$L92*('Prepare Gantt Chart'!$I91*'Prepare Gantt Chart'!$J91),'Prepare Gantt Chart'!AE91=15,'Project types'!$L92*('Prepare Gantt Chart'!$I91*'Prepare Gantt Chart'!$J91),'Prepare Gantt Chart'!AE91=0,0)</f>
        <v>0</v>
      </c>
      <c r="BB92" s="45">
        <f>_xlfn.IFS('Prepare Gantt Chart'!AF91=16,'Project types'!$L92*('Prepare Gantt Chart'!$I91*'Prepare Gantt Chart'!$J91),'Prepare Gantt Chart'!AF91=15,'Project types'!$L92*('Prepare Gantt Chart'!$I91*'Prepare Gantt Chart'!$J91),'Prepare Gantt Chart'!AF91=0,0)</f>
        <v>0</v>
      </c>
      <c r="BC92" s="45">
        <f>_xlfn.IFS('Prepare Gantt Chart'!AG91=16,'Project types'!$L92*('Prepare Gantt Chart'!$I91*'Prepare Gantt Chart'!$J91),'Prepare Gantt Chart'!AG91=15,'Project types'!$L92*('Prepare Gantt Chart'!$I91*'Prepare Gantt Chart'!$J91),'Prepare Gantt Chart'!AG91=0,0)</f>
        <v>0</v>
      </c>
      <c r="BD92" s="45">
        <f>_xlfn.IFS('Prepare Gantt Chart'!AH91=16,'Project types'!$L92*('Prepare Gantt Chart'!$I91*'Prepare Gantt Chart'!$J91),'Prepare Gantt Chart'!AH91=15,'Project types'!$L92*('Prepare Gantt Chart'!$I91*'Prepare Gantt Chart'!$J91),'Prepare Gantt Chart'!AH91=0,0)</f>
        <v>0</v>
      </c>
      <c r="BE92" s="45">
        <f>_xlfn.IFS('Prepare Gantt Chart'!AI91=16,'Project types'!$L92*('Prepare Gantt Chart'!$I91*'Prepare Gantt Chart'!$J91),'Prepare Gantt Chart'!AI91=15,'Project types'!$L92*('Prepare Gantt Chart'!$I91*'Prepare Gantt Chart'!$J91),'Prepare Gantt Chart'!AI91=0,0)</f>
        <v>0</v>
      </c>
      <c r="BF92" s="45">
        <f>_xlfn.IFS('Prepare Gantt Chart'!AJ91=16,'Project types'!$L92*('Prepare Gantt Chart'!$I91*'Prepare Gantt Chart'!$J91),'Prepare Gantt Chart'!AJ91=15,'Project types'!$L92*('Prepare Gantt Chart'!$I91*'Prepare Gantt Chart'!$J91),'Prepare Gantt Chart'!AJ91=0,0)</f>
        <v>0</v>
      </c>
      <c r="BG92" s="45">
        <f>_xlfn.IFS('Prepare Gantt Chart'!AK91=16,'Project types'!$L92*('Prepare Gantt Chart'!$I91*'Prepare Gantt Chart'!$J91),'Prepare Gantt Chart'!AK91=15,'Project types'!$L92*('Prepare Gantt Chart'!$I91*'Prepare Gantt Chart'!$J91),'Prepare Gantt Chart'!AK91=0,0)</f>
        <v>0</v>
      </c>
      <c r="BH92" s="45">
        <f>_xlfn.IFS('Prepare Gantt Chart'!AL91=16,'Project types'!$L92*('Prepare Gantt Chart'!$I91*'Prepare Gantt Chart'!$J91),'Prepare Gantt Chart'!AL91=15,'Project types'!$L92*('Prepare Gantt Chart'!$I91*'Prepare Gantt Chart'!$J91),'Prepare Gantt Chart'!AL91=0,0)</f>
        <v>0</v>
      </c>
      <c r="BI92" s="45">
        <f>_xlfn.IFS('Prepare Gantt Chart'!AM91=16,'Project types'!$L92*('Prepare Gantt Chart'!$I91*'Prepare Gantt Chart'!$J91),'Prepare Gantt Chart'!AM91=15,'Project types'!$L92*('Prepare Gantt Chart'!$I91*'Prepare Gantt Chart'!$J91),'Prepare Gantt Chart'!AM91=0,0)</f>
        <v>0</v>
      </c>
      <c r="BJ92" s="45">
        <f>_xlfn.IFS('Prepare Gantt Chart'!AN91=16,'Project types'!$L92*('Prepare Gantt Chart'!$I91*'Prepare Gantt Chart'!$J91),'Prepare Gantt Chart'!AN91=15,'Project types'!$L92*('Prepare Gantt Chart'!$I91*'Prepare Gantt Chart'!$J91),'Prepare Gantt Chart'!AN91=0,0)</f>
        <v>0</v>
      </c>
      <c r="BK92" s="45">
        <f>_xlfn.IFS('Prepare Gantt Chart'!AO91=16,'Project types'!$L92*('Prepare Gantt Chart'!$I91*'Prepare Gantt Chart'!$J91),'Prepare Gantt Chart'!AO91=15,'Project types'!$L92*('Prepare Gantt Chart'!$I91*'Prepare Gantt Chart'!$J91),'Prepare Gantt Chart'!AO91=0,0)</f>
        <v>0</v>
      </c>
      <c r="BL92" s="46">
        <f t="shared" si="3"/>
        <v>0</v>
      </c>
      <c r="BM92" s="75">
        <f>IF('Prepare Gantt Chart'!$J91=0,0,SUM(AL92:AQ92)/6/'Prepare Gantt Chart'!$J91)</f>
        <v>0</v>
      </c>
      <c r="BN92" s="75">
        <f>IF('Prepare Gantt Chart'!$J91=0,0,SUM(AR92:AV92)/5/'Prepare Gantt Chart'!$J91)</f>
        <v>0</v>
      </c>
      <c r="BO92" s="75">
        <f>IF('Prepare Gantt Chart'!$J91=0,0,SUM(AW92:BA92)/5/'Prepare Gantt Chart'!$J91)</f>
        <v>0</v>
      </c>
      <c r="BP92" s="75">
        <f>IF('Prepare Gantt Chart'!$J91=0,0,SUM(BB92:BF92)/5/'Prepare Gantt Chart'!$J91)</f>
        <v>0</v>
      </c>
      <c r="BQ92" s="75">
        <f>IF('Prepare Gantt Chart'!$J91=0,0,SUM(BG92:BK92)/5/'Prepare Gantt Chart'!$J91)</f>
        <v>0</v>
      </c>
    </row>
    <row r="93" spans="1:69" x14ac:dyDescent="0.2">
      <c r="A93" s="39" t="s">
        <v>85</v>
      </c>
      <c r="B93" s="1" t="s">
        <v>477</v>
      </c>
      <c r="C93" s="45">
        <f>_xlfn.IFS('Prepare Gantt Chart'!P92=16,'Project types'!$O93*('Prepare Gantt Chart'!$I92*'Prepare Gantt Chart'!$J92),'Prepare Gantt Chart'!P92=15,'Project types'!$Q93*('Prepare Gantt Chart'!$I92*'Prepare Gantt Chart'!$J92),'Prepare Gantt Chart'!P92=0,0)</f>
        <v>0</v>
      </c>
      <c r="D93" s="45">
        <f>_xlfn.IFS('Prepare Gantt Chart'!Q92=16,'Project types'!$O93*('Prepare Gantt Chart'!$I92*'Prepare Gantt Chart'!$J92),'Prepare Gantt Chart'!Q92=15,'Project types'!$Q93*('Prepare Gantt Chart'!$I92*'Prepare Gantt Chart'!$J92),'Prepare Gantt Chart'!Q92=0,0)</f>
        <v>0</v>
      </c>
      <c r="E93" s="45">
        <f>_xlfn.IFS('Prepare Gantt Chart'!R92=16,'Project types'!$O93*('Prepare Gantt Chart'!$I92*'Prepare Gantt Chart'!$J92),'Prepare Gantt Chart'!R92=15,'Project types'!$Q93*('Prepare Gantt Chart'!$I92*'Prepare Gantt Chart'!$J92),'Prepare Gantt Chart'!R92=0,0)</f>
        <v>0</v>
      </c>
      <c r="F93" s="45">
        <f>_xlfn.IFS('Prepare Gantt Chart'!S92=16,'Project types'!$O93*('Prepare Gantt Chart'!$I92*'Prepare Gantt Chart'!$J92),'Prepare Gantt Chart'!S92=15,'Project types'!$Q93*('Prepare Gantt Chart'!$I92*'Prepare Gantt Chart'!$J92),'Prepare Gantt Chart'!S92=0,0)</f>
        <v>0</v>
      </c>
      <c r="G93" s="45">
        <f>_xlfn.IFS('Prepare Gantt Chart'!T92=16,'Project types'!$O93*('Prepare Gantt Chart'!$I92*'Prepare Gantt Chart'!$J92),'Prepare Gantt Chart'!T92=15,'Project types'!$Q93*('Prepare Gantt Chart'!$I92*'Prepare Gantt Chart'!$J92),'Prepare Gantt Chart'!T92=0,0)</f>
        <v>0</v>
      </c>
      <c r="H93" s="45">
        <f>_xlfn.IFS('Prepare Gantt Chart'!U92=16,'Project types'!$O93*('Prepare Gantt Chart'!$I92*'Prepare Gantt Chart'!$J92),'Prepare Gantt Chart'!U92=15,'Project types'!$Q93*('Prepare Gantt Chart'!$I92*'Prepare Gantt Chart'!$J92),'Prepare Gantt Chart'!U92=0,0)</f>
        <v>0</v>
      </c>
      <c r="I93" s="45">
        <f>_xlfn.IFS('Prepare Gantt Chart'!V92=16,'Project types'!$O93*('Prepare Gantt Chart'!$I92*'Prepare Gantt Chart'!$J92),'Prepare Gantt Chart'!V92=15,'Project types'!$Q93*('Prepare Gantt Chart'!$I92*'Prepare Gantt Chart'!$J92),'Prepare Gantt Chart'!V92=0,0)</f>
        <v>0</v>
      </c>
      <c r="J93" s="45">
        <f>_xlfn.IFS('Prepare Gantt Chart'!W92=16,'Project types'!$O93*('Prepare Gantt Chart'!$I92*'Prepare Gantt Chart'!$J92),'Prepare Gantt Chart'!W92=15,'Project types'!$Q93*('Prepare Gantt Chart'!$I92*'Prepare Gantt Chart'!$J92),'Prepare Gantt Chart'!W92=0,0)</f>
        <v>0</v>
      </c>
      <c r="K93" s="45">
        <f>_xlfn.IFS('Prepare Gantt Chart'!X92=16,'Project types'!$O93*('Prepare Gantt Chart'!$I92*'Prepare Gantt Chart'!$J92),'Prepare Gantt Chart'!X92=15,'Project types'!$Q93*('Prepare Gantt Chart'!$I92*'Prepare Gantt Chart'!$J92),'Prepare Gantt Chart'!X92=0,0)</f>
        <v>0</v>
      </c>
      <c r="L93" s="45">
        <f>_xlfn.IFS('Prepare Gantt Chart'!Y92=16,'Project types'!$O93*('Prepare Gantt Chart'!$I92*'Prepare Gantt Chart'!$J92),'Prepare Gantt Chart'!Y92=15,'Project types'!$Q93*('Prepare Gantt Chart'!$I92*'Prepare Gantt Chart'!$J92),'Prepare Gantt Chart'!Y92=0,0)</f>
        <v>0</v>
      </c>
      <c r="M93" s="45">
        <f>_xlfn.IFS('Prepare Gantt Chart'!Z92=16,'Project types'!$O93*('Prepare Gantt Chart'!$I92*'Prepare Gantt Chart'!$J92),'Prepare Gantt Chart'!Z92=15,'Project types'!$Q93*('Prepare Gantt Chart'!$I92*'Prepare Gantt Chart'!$J92),'Prepare Gantt Chart'!Z92=0,0)</f>
        <v>0</v>
      </c>
      <c r="N93" s="45">
        <f>_xlfn.IFS('Prepare Gantt Chart'!AA92=16,'Project types'!$O93*('Prepare Gantt Chart'!$I92*'Prepare Gantt Chart'!$J92),'Prepare Gantt Chart'!AA92=15,'Project types'!$Q93*('Prepare Gantt Chart'!$I92*'Prepare Gantt Chart'!$J92),'Prepare Gantt Chart'!AA92=0,0)</f>
        <v>0</v>
      </c>
      <c r="O93" s="45">
        <f>_xlfn.IFS('Prepare Gantt Chart'!AB92=16,'Project types'!$O93*('Prepare Gantt Chart'!$I92*'Prepare Gantt Chart'!$J92),'Prepare Gantt Chart'!AB92=15,'Project types'!$Q93*('Prepare Gantt Chart'!$I92*'Prepare Gantt Chart'!$J92),'Prepare Gantt Chart'!AB92=0,0)</f>
        <v>0</v>
      </c>
      <c r="P93" s="45">
        <f>_xlfn.IFS('Prepare Gantt Chart'!AC92=16,'Project types'!$O93*('Prepare Gantt Chart'!$I92*'Prepare Gantt Chart'!$J92),'Prepare Gantt Chart'!AC92=15,'Project types'!$Q93*('Prepare Gantt Chart'!$I92*'Prepare Gantt Chart'!$J92),'Prepare Gantt Chart'!AC92=0,0)</f>
        <v>0</v>
      </c>
      <c r="Q93" s="45">
        <f>_xlfn.IFS('Prepare Gantt Chart'!AD92=16,'Project types'!$O93*('Prepare Gantt Chart'!$I92*'Prepare Gantt Chart'!$J92),'Prepare Gantt Chart'!AD92=15,'Project types'!$Q93*('Prepare Gantt Chart'!$I92*'Prepare Gantt Chart'!$J92),'Prepare Gantt Chart'!AD92=0,0)</f>
        <v>0</v>
      </c>
      <c r="R93" s="45">
        <f>_xlfn.IFS('Prepare Gantt Chart'!AE92=16,'Project types'!$O93*('Prepare Gantt Chart'!$I92*'Prepare Gantt Chart'!$J92),'Prepare Gantt Chart'!AE92=15,'Project types'!$Q93*('Prepare Gantt Chart'!$I92*'Prepare Gantt Chart'!$J92),'Prepare Gantt Chart'!AE92=0,0)</f>
        <v>0</v>
      </c>
      <c r="S93" s="45">
        <f>_xlfn.IFS('Prepare Gantt Chart'!AF92=16,'Project types'!$O93*('Prepare Gantt Chart'!$I92*'Prepare Gantt Chart'!$J92),'Prepare Gantt Chart'!AF92=15,'Project types'!$Q93*('Prepare Gantt Chart'!$I92*'Prepare Gantt Chart'!$J92),'Prepare Gantt Chart'!AF92=0,0)</f>
        <v>0</v>
      </c>
      <c r="T93" s="45">
        <f>_xlfn.IFS('Prepare Gantt Chart'!AG92=16,'Project types'!$O93*('Prepare Gantt Chart'!$I92*'Prepare Gantt Chart'!$J92),'Prepare Gantt Chart'!AG92=15,'Project types'!$Q93*('Prepare Gantt Chart'!$I92*'Prepare Gantt Chart'!$J92),'Prepare Gantt Chart'!AG92=0,0)</f>
        <v>0</v>
      </c>
      <c r="U93" s="45">
        <f>_xlfn.IFS('Prepare Gantt Chart'!AH92=16,'Project types'!$O93*('Prepare Gantt Chart'!$I92*'Prepare Gantt Chart'!$J92),'Prepare Gantt Chart'!AH92=15,'Project types'!$Q93*('Prepare Gantt Chart'!$I92*'Prepare Gantt Chart'!$J92),'Prepare Gantt Chart'!AH92=0,0)</f>
        <v>0</v>
      </c>
      <c r="V93" s="45">
        <f>_xlfn.IFS('Prepare Gantt Chart'!AI92=16,'Project types'!$O93*('Prepare Gantt Chart'!$I92*'Prepare Gantt Chart'!$J92),'Prepare Gantt Chart'!AI92=15,'Project types'!$Q93*('Prepare Gantt Chart'!$I92*'Prepare Gantt Chart'!$J92),'Prepare Gantt Chart'!AI92=0,0)</f>
        <v>0</v>
      </c>
      <c r="W93" s="45">
        <f>_xlfn.IFS('Prepare Gantt Chart'!AJ92=16,'Project types'!$O93*('Prepare Gantt Chart'!$I92*'Prepare Gantt Chart'!$J92),'Prepare Gantt Chart'!AJ92=15,'Project types'!$Q93*('Prepare Gantt Chart'!$I92*'Prepare Gantt Chart'!$J92),'Prepare Gantt Chart'!AJ92=0,0)</f>
        <v>0</v>
      </c>
      <c r="X93" s="45">
        <f>_xlfn.IFS('Prepare Gantt Chart'!AK92=16,'Project types'!$O93*('Prepare Gantt Chart'!$I92*'Prepare Gantt Chart'!$J92),'Prepare Gantt Chart'!AK92=15,'Project types'!$Q93*('Prepare Gantt Chart'!$I92*'Prepare Gantt Chart'!$J92),'Prepare Gantt Chart'!AK92=0,0)</f>
        <v>0</v>
      </c>
      <c r="Y93" s="45">
        <f>_xlfn.IFS('Prepare Gantt Chart'!AL92=16,'Project types'!$O93*('Prepare Gantt Chart'!$I92*'Prepare Gantt Chart'!$J92),'Prepare Gantt Chart'!AL92=15,'Project types'!$Q93*('Prepare Gantt Chart'!$I92*'Prepare Gantt Chart'!$J92),'Prepare Gantt Chart'!AL92=0,0)</f>
        <v>0</v>
      </c>
      <c r="Z93" s="45">
        <f>_xlfn.IFS('Prepare Gantt Chart'!AM92=16,'Project types'!$O93*('Prepare Gantt Chart'!$I92*'Prepare Gantt Chart'!$J92),'Prepare Gantt Chart'!AM92=15,'Project types'!$Q93*('Prepare Gantt Chart'!$I92*'Prepare Gantt Chart'!$J92),'Prepare Gantt Chart'!AM92=0,0)</f>
        <v>0</v>
      </c>
      <c r="AA93" s="45">
        <f>_xlfn.IFS('Prepare Gantt Chart'!AN92=16,'Project types'!$O93*('Prepare Gantt Chart'!$I92*'Prepare Gantt Chart'!$J92),'Prepare Gantt Chart'!AN92=15,'Project types'!$Q93*('Prepare Gantt Chart'!$I92*'Prepare Gantt Chart'!$J92),'Prepare Gantt Chart'!AN92=0,0)</f>
        <v>0</v>
      </c>
      <c r="AB93" s="45">
        <f>_xlfn.IFS('Prepare Gantt Chart'!AO92=16,'Project types'!$O93*('Prepare Gantt Chart'!$I92*'Prepare Gantt Chart'!$J92),'Prepare Gantt Chart'!AO92=15,'Project types'!$Q93*('Prepare Gantt Chart'!$I92*'Prepare Gantt Chart'!$J92),'Prepare Gantt Chart'!AO92=0,0)</f>
        <v>0</v>
      </c>
      <c r="AC93" s="45">
        <f>'Prepare Gantt Chart'!J92*'Prepare Gantt Chart'!I92*(AD93/26)</f>
        <v>0</v>
      </c>
      <c r="AD93" s="46">
        <f t="shared" si="2"/>
        <v>0</v>
      </c>
      <c r="AE93" s="72">
        <f>IF('Prepare Gantt Chart'!$J92=0,0,SUM(C93:H93)/6/'Prepare Gantt Chart'!$J92)</f>
        <v>0</v>
      </c>
      <c r="AF93" s="72">
        <f>IF('Prepare Gantt Chart'!$J92=0,0,SUM(I93:M93)/5/'Prepare Gantt Chart'!$J92)</f>
        <v>0</v>
      </c>
      <c r="AG93" s="72">
        <f>IF('Prepare Gantt Chart'!$J92=0,0,SUM(N93:R93)/5/'Prepare Gantt Chart'!$J92)</f>
        <v>0</v>
      </c>
      <c r="AH93" s="72">
        <f>IF('Prepare Gantt Chart'!$J92=0,0,SUM(S93:W93)/5/'Prepare Gantt Chart'!$J92)</f>
        <v>0</v>
      </c>
      <c r="AI93" s="72">
        <f>IF('Prepare Gantt Chart'!$J92=0,0,SUM(X93:AB93)/5/'Prepare Gantt Chart'!$J92)</f>
        <v>0</v>
      </c>
      <c r="AK93" s="39" t="s">
        <v>85</v>
      </c>
      <c r="AL93" s="45">
        <f>_xlfn.IFS('Prepare Gantt Chart'!P92=16,'Project types'!$L93*('Prepare Gantt Chart'!$I92*'Prepare Gantt Chart'!$J92),'Prepare Gantt Chart'!P92=15,'Project types'!$L93*('Prepare Gantt Chart'!$I92*'Prepare Gantt Chart'!$J92),'Prepare Gantt Chart'!P92=0,0)</f>
        <v>0</v>
      </c>
      <c r="AM93" s="45">
        <f>_xlfn.IFS('Prepare Gantt Chart'!Q92=16,'Project types'!$L93*('Prepare Gantt Chart'!$I92*'Prepare Gantt Chart'!$J92),'Prepare Gantt Chart'!Q92=15,'Project types'!$L93*('Prepare Gantt Chart'!$I92*'Prepare Gantt Chart'!$J92),'Prepare Gantt Chart'!Q92=0,0)</f>
        <v>0</v>
      </c>
      <c r="AN93" s="45">
        <f>_xlfn.IFS('Prepare Gantt Chart'!R92=16,'Project types'!$L93*('Prepare Gantt Chart'!$I92*'Prepare Gantt Chart'!$J92),'Prepare Gantt Chart'!R92=15,'Project types'!$L93*('Prepare Gantt Chart'!$I92*'Prepare Gantt Chart'!$J92),'Prepare Gantt Chart'!R92=0,0)</f>
        <v>0</v>
      </c>
      <c r="AO93" s="45">
        <f>_xlfn.IFS('Prepare Gantt Chart'!S92=16,'Project types'!$L93*('Prepare Gantt Chart'!$I92*'Prepare Gantt Chart'!$J92),'Prepare Gantt Chart'!S92=15,'Project types'!$L93*('Prepare Gantt Chart'!$I92*'Prepare Gantt Chart'!$J92),'Prepare Gantt Chart'!S92=0,0)</f>
        <v>0</v>
      </c>
      <c r="AP93" s="45">
        <f>_xlfn.IFS('Prepare Gantt Chart'!T92=16,'Project types'!$L93*('Prepare Gantt Chart'!$I92*'Prepare Gantt Chart'!$J92),'Prepare Gantt Chart'!T92=15,'Project types'!$L93*('Prepare Gantt Chart'!$I92*'Prepare Gantt Chart'!$J92),'Prepare Gantt Chart'!T92=0,0)</f>
        <v>0</v>
      </c>
      <c r="AQ93" s="45">
        <f>_xlfn.IFS('Prepare Gantt Chart'!U92=16,'Project types'!$L93*('Prepare Gantt Chart'!$I92*'Prepare Gantt Chart'!$J92),'Prepare Gantt Chart'!U92=15,'Project types'!$L93*('Prepare Gantt Chart'!$I92*'Prepare Gantt Chart'!$J92),'Prepare Gantt Chart'!U92=0,0)</f>
        <v>0</v>
      </c>
      <c r="AR93" s="45">
        <f>_xlfn.IFS('Prepare Gantt Chart'!V92=16,'Project types'!$L93*('Prepare Gantt Chart'!$I92*'Prepare Gantt Chart'!$J92),'Prepare Gantt Chart'!V92=15,'Project types'!$L93*('Prepare Gantt Chart'!$I92*'Prepare Gantt Chart'!$J92),'Prepare Gantt Chart'!V92=0,0)</f>
        <v>0</v>
      </c>
      <c r="AS93" s="45">
        <f>_xlfn.IFS('Prepare Gantt Chart'!W92=16,'Project types'!$L93*('Prepare Gantt Chart'!$I92*'Prepare Gantt Chart'!$J92),'Prepare Gantt Chart'!W92=15,'Project types'!$L93*('Prepare Gantt Chart'!$I92*'Prepare Gantt Chart'!$J92),'Prepare Gantt Chart'!W92=0,0)</f>
        <v>0</v>
      </c>
      <c r="AT93" s="45">
        <f>_xlfn.IFS('Prepare Gantt Chart'!X92=16,'Project types'!$L93*('Prepare Gantt Chart'!$I92*'Prepare Gantt Chart'!$J92),'Prepare Gantt Chart'!X92=15,'Project types'!$L93*('Prepare Gantt Chart'!$I92*'Prepare Gantt Chart'!$J92),'Prepare Gantt Chart'!X92=0,0)</f>
        <v>0</v>
      </c>
      <c r="AU93" s="45">
        <f>_xlfn.IFS('Prepare Gantt Chart'!Y92=16,'Project types'!$L93*('Prepare Gantt Chart'!$I92*'Prepare Gantt Chart'!$J92),'Prepare Gantt Chart'!Y92=15,'Project types'!$L93*('Prepare Gantt Chart'!$I92*'Prepare Gantt Chart'!$J92),'Prepare Gantt Chart'!Y92=0,0)</f>
        <v>0</v>
      </c>
      <c r="AV93" s="45">
        <f>_xlfn.IFS('Prepare Gantt Chart'!Z92=16,'Project types'!$L93*('Prepare Gantt Chart'!$I92*'Prepare Gantt Chart'!$J92),'Prepare Gantt Chart'!Z92=15,'Project types'!$L93*('Prepare Gantt Chart'!$I92*'Prepare Gantt Chart'!$J92),'Prepare Gantt Chart'!Z92=0,0)</f>
        <v>0</v>
      </c>
      <c r="AW93" s="45">
        <f>_xlfn.IFS('Prepare Gantt Chart'!AA92=16,'Project types'!$L93*('Prepare Gantt Chart'!$I92*'Prepare Gantt Chart'!$J92),'Prepare Gantt Chart'!AA92=15,'Project types'!$L93*('Prepare Gantt Chart'!$I92*'Prepare Gantt Chart'!$J92),'Prepare Gantt Chart'!AA92=0,0)</f>
        <v>0</v>
      </c>
      <c r="AX93" s="45">
        <f>_xlfn.IFS('Prepare Gantt Chart'!AB92=16,'Project types'!$L93*('Prepare Gantt Chart'!$I92*'Prepare Gantt Chart'!$J92),'Prepare Gantt Chart'!AB92=15,'Project types'!$L93*('Prepare Gantt Chart'!$I92*'Prepare Gantt Chart'!$J92),'Prepare Gantt Chart'!AB92=0,0)</f>
        <v>0</v>
      </c>
      <c r="AY93" s="45">
        <f>_xlfn.IFS('Prepare Gantt Chart'!AC92=16,'Project types'!$L93*('Prepare Gantt Chart'!$I92*'Prepare Gantt Chart'!$J92),'Prepare Gantt Chart'!AC92=15,'Project types'!$L93*('Prepare Gantt Chart'!$I92*'Prepare Gantt Chart'!$J92),'Prepare Gantt Chart'!AC92=0,0)</f>
        <v>0</v>
      </c>
      <c r="AZ93" s="45">
        <f>_xlfn.IFS('Prepare Gantt Chart'!AD92=16,'Project types'!$L93*('Prepare Gantt Chart'!$I92*'Prepare Gantt Chart'!$J92),'Prepare Gantt Chart'!AD92=15,'Project types'!$L93*('Prepare Gantt Chart'!$I92*'Prepare Gantt Chart'!$J92),'Prepare Gantt Chart'!AD92=0,0)</f>
        <v>0</v>
      </c>
      <c r="BA93" s="45">
        <f>_xlfn.IFS('Prepare Gantt Chart'!AE92=16,'Project types'!$L93*('Prepare Gantt Chart'!$I92*'Prepare Gantt Chart'!$J92),'Prepare Gantt Chart'!AE92=15,'Project types'!$L93*('Prepare Gantt Chart'!$I92*'Prepare Gantt Chart'!$J92),'Prepare Gantt Chart'!AE92=0,0)</f>
        <v>0</v>
      </c>
      <c r="BB93" s="45">
        <f>_xlfn.IFS('Prepare Gantt Chart'!AF92=16,'Project types'!$L93*('Prepare Gantt Chart'!$I92*'Prepare Gantt Chart'!$J92),'Prepare Gantt Chart'!AF92=15,'Project types'!$L93*('Prepare Gantt Chart'!$I92*'Prepare Gantt Chart'!$J92),'Prepare Gantt Chart'!AF92=0,0)</f>
        <v>0</v>
      </c>
      <c r="BC93" s="45">
        <f>_xlfn.IFS('Prepare Gantt Chart'!AG92=16,'Project types'!$L93*('Prepare Gantt Chart'!$I92*'Prepare Gantt Chart'!$J92),'Prepare Gantt Chart'!AG92=15,'Project types'!$L93*('Prepare Gantt Chart'!$I92*'Prepare Gantt Chart'!$J92),'Prepare Gantt Chart'!AG92=0,0)</f>
        <v>0</v>
      </c>
      <c r="BD93" s="45">
        <f>_xlfn.IFS('Prepare Gantt Chart'!AH92=16,'Project types'!$L93*('Prepare Gantt Chart'!$I92*'Prepare Gantt Chart'!$J92),'Prepare Gantt Chart'!AH92=15,'Project types'!$L93*('Prepare Gantt Chart'!$I92*'Prepare Gantt Chart'!$J92),'Prepare Gantt Chart'!AH92=0,0)</f>
        <v>0</v>
      </c>
      <c r="BE93" s="45">
        <f>_xlfn.IFS('Prepare Gantt Chart'!AI92=16,'Project types'!$L93*('Prepare Gantt Chart'!$I92*'Prepare Gantt Chart'!$J92),'Prepare Gantt Chart'!AI92=15,'Project types'!$L93*('Prepare Gantt Chart'!$I92*'Prepare Gantt Chart'!$J92),'Prepare Gantt Chart'!AI92=0,0)</f>
        <v>0</v>
      </c>
      <c r="BF93" s="45">
        <f>_xlfn.IFS('Prepare Gantt Chart'!AJ92=16,'Project types'!$L93*('Prepare Gantt Chart'!$I92*'Prepare Gantt Chart'!$J92),'Prepare Gantt Chart'!AJ92=15,'Project types'!$L93*('Prepare Gantt Chart'!$I92*'Prepare Gantt Chart'!$J92),'Prepare Gantt Chart'!AJ92=0,0)</f>
        <v>0</v>
      </c>
      <c r="BG93" s="45">
        <f>_xlfn.IFS('Prepare Gantt Chart'!AK92=16,'Project types'!$L93*('Prepare Gantt Chart'!$I92*'Prepare Gantt Chart'!$J92),'Prepare Gantt Chart'!AK92=15,'Project types'!$L93*('Prepare Gantt Chart'!$I92*'Prepare Gantt Chart'!$J92),'Prepare Gantt Chart'!AK92=0,0)</f>
        <v>0</v>
      </c>
      <c r="BH93" s="45">
        <f>_xlfn.IFS('Prepare Gantt Chart'!AL92=16,'Project types'!$L93*('Prepare Gantt Chart'!$I92*'Prepare Gantt Chart'!$J92),'Prepare Gantt Chart'!AL92=15,'Project types'!$L93*('Prepare Gantt Chart'!$I92*'Prepare Gantt Chart'!$J92),'Prepare Gantt Chart'!AL92=0,0)</f>
        <v>0</v>
      </c>
      <c r="BI93" s="45">
        <f>_xlfn.IFS('Prepare Gantt Chart'!AM92=16,'Project types'!$L93*('Prepare Gantt Chart'!$I92*'Prepare Gantt Chart'!$J92),'Prepare Gantt Chart'!AM92=15,'Project types'!$L93*('Prepare Gantt Chart'!$I92*'Prepare Gantt Chart'!$J92),'Prepare Gantt Chart'!AM92=0,0)</f>
        <v>0</v>
      </c>
      <c r="BJ93" s="45">
        <f>_xlfn.IFS('Prepare Gantt Chart'!AN92=16,'Project types'!$L93*('Prepare Gantt Chart'!$I92*'Prepare Gantt Chart'!$J92),'Prepare Gantt Chart'!AN92=15,'Project types'!$L93*('Prepare Gantt Chart'!$I92*'Prepare Gantt Chart'!$J92),'Prepare Gantt Chart'!AN92=0,0)</f>
        <v>0</v>
      </c>
      <c r="BK93" s="45">
        <f>_xlfn.IFS('Prepare Gantt Chart'!AO92=16,'Project types'!$L93*('Prepare Gantt Chart'!$I92*'Prepare Gantt Chart'!$J92),'Prepare Gantt Chart'!AO92=15,'Project types'!$L93*('Prepare Gantt Chart'!$I92*'Prepare Gantt Chart'!$J92),'Prepare Gantt Chart'!AO92=0,0)</f>
        <v>0</v>
      </c>
      <c r="BL93" s="46">
        <f t="shared" si="3"/>
        <v>0</v>
      </c>
      <c r="BM93" s="75">
        <f>IF('Prepare Gantt Chart'!$J92=0,0,SUM(AL93:AQ93)/6/'Prepare Gantt Chart'!$J92)</f>
        <v>0</v>
      </c>
      <c r="BN93" s="75">
        <f>IF('Prepare Gantt Chart'!$J92=0,0,SUM(AR93:AV93)/5/'Prepare Gantt Chart'!$J92)</f>
        <v>0</v>
      </c>
      <c r="BO93" s="75">
        <f>IF('Prepare Gantt Chart'!$J92=0,0,SUM(AW93:BA93)/5/'Prepare Gantt Chart'!$J92)</f>
        <v>0</v>
      </c>
      <c r="BP93" s="75">
        <f>IF('Prepare Gantt Chart'!$J92=0,0,SUM(BB93:BF93)/5/'Prepare Gantt Chart'!$J92)</f>
        <v>0</v>
      </c>
      <c r="BQ93" s="75">
        <f>IF('Prepare Gantt Chart'!$J92=0,0,SUM(BG93:BK93)/5/'Prepare Gantt Chart'!$J92)</f>
        <v>0</v>
      </c>
    </row>
    <row r="94" spans="1:69" x14ac:dyDescent="0.2">
      <c r="A94" s="39" t="s">
        <v>86</v>
      </c>
      <c r="B94" s="1" t="s">
        <v>478</v>
      </c>
      <c r="C94" s="45">
        <f>_xlfn.IFS('Prepare Gantt Chart'!P93=16,'Project types'!$O94*('Prepare Gantt Chart'!$I93*'Prepare Gantt Chart'!$J93),'Prepare Gantt Chart'!P93=15,'Project types'!$Q94*('Prepare Gantt Chart'!$I93*'Prepare Gantt Chart'!$J93),'Prepare Gantt Chart'!P93=0,0)</f>
        <v>0</v>
      </c>
      <c r="D94" s="45">
        <f>_xlfn.IFS('Prepare Gantt Chart'!Q93=16,'Project types'!$O94*('Prepare Gantt Chart'!$I93*'Prepare Gantt Chart'!$J93),'Prepare Gantt Chart'!Q93=15,'Project types'!$Q94*('Prepare Gantt Chart'!$I93*'Prepare Gantt Chart'!$J93),'Prepare Gantt Chart'!Q93=0,0)</f>
        <v>0</v>
      </c>
      <c r="E94" s="45">
        <f>_xlfn.IFS('Prepare Gantt Chart'!R93=16,'Project types'!$O94*('Prepare Gantt Chart'!$I93*'Prepare Gantt Chart'!$J93),'Prepare Gantt Chart'!R93=15,'Project types'!$Q94*('Prepare Gantt Chart'!$I93*'Prepare Gantt Chart'!$J93),'Prepare Gantt Chart'!R93=0,0)</f>
        <v>0</v>
      </c>
      <c r="F94" s="45">
        <f>_xlfn.IFS('Prepare Gantt Chart'!S93=16,'Project types'!$O94*('Prepare Gantt Chart'!$I93*'Prepare Gantt Chart'!$J93),'Prepare Gantt Chart'!S93=15,'Project types'!$Q94*('Prepare Gantt Chart'!$I93*'Prepare Gantt Chart'!$J93),'Prepare Gantt Chart'!S93=0,0)</f>
        <v>0</v>
      </c>
      <c r="G94" s="45">
        <f>_xlfn.IFS('Prepare Gantt Chart'!T93=16,'Project types'!$O94*('Prepare Gantt Chart'!$I93*'Prepare Gantt Chart'!$J93),'Prepare Gantt Chart'!T93=15,'Project types'!$Q94*('Prepare Gantt Chart'!$I93*'Prepare Gantt Chart'!$J93),'Prepare Gantt Chart'!T93=0,0)</f>
        <v>0</v>
      </c>
      <c r="H94" s="45">
        <f>_xlfn.IFS('Prepare Gantt Chart'!U93=16,'Project types'!$O94*('Prepare Gantt Chart'!$I93*'Prepare Gantt Chart'!$J93),'Prepare Gantt Chart'!U93=15,'Project types'!$Q94*('Prepare Gantt Chart'!$I93*'Prepare Gantt Chart'!$J93),'Prepare Gantt Chart'!U93=0,0)</f>
        <v>0</v>
      </c>
      <c r="I94" s="45">
        <f>_xlfn.IFS('Prepare Gantt Chart'!V93=16,'Project types'!$O94*('Prepare Gantt Chart'!$I93*'Prepare Gantt Chart'!$J93),'Prepare Gantt Chart'!V93=15,'Project types'!$Q94*('Prepare Gantt Chart'!$I93*'Prepare Gantt Chart'!$J93),'Prepare Gantt Chart'!V93=0,0)</f>
        <v>0</v>
      </c>
      <c r="J94" s="45">
        <f>_xlfn.IFS('Prepare Gantt Chart'!W93=16,'Project types'!$O94*('Prepare Gantt Chart'!$I93*'Prepare Gantt Chart'!$J93),'Prepare Gantt Chart'!W93=15,'Project types'!$Q94*('Prepare Gantt Chart'!$I93*'Prepare Gantt Chart'!$J93),'Prepare Gantt Chart'!W93=0,0)</f>
        <v>0</v>
      </c>
      <c r="K94" s="45">
        <f>_xlfn.IFS('Prepare Gantt Chart'!X93=16,'Project types'!$O94*('Prepare Gantt Chart'!$I93*'Prepare Gantt Chart'!$J93),'Prepare Gantt Chart'!X93=15,'Project types'!$Q94*('Prepare Gantt Chart'!$I93*'Prepare Gantt Chart'!$J93),'Prepare Gantt Chart'!X93=0,0)</f>
        <v>0</v>
      </c>
      <c r="L94" s="45">
        <f>_xlfn.IFS('Prepare Gantt Chart'!Y93=16,'Project types'!$O94*('Prepare Gantt Chart'!$I93*'Prepare Gantt Chart'!$J93),'Prepare Gantt Chart'!Y93=15,'Project types'!$Q94*('Prepare Gantt Chart'!$I93*'Prepare Gantt Chart'!$J93),'Prepare Gantt Chart'!Y93=0,0)</f>
        <v>0</v>
      </c>
      <c r="M94" s="45">
        <f>_xlfn.IFS('Prepare Gantt Chart'!Z93=16,'Project types'!$O94*('Prepare Gantt Chart'!$I93*'Prepare Gantt Chart'!$J93),'Prepare Gantt Chart'!Z93=15,'Project types'!$Q94*('Prepare Gantt Chart'!$I93*'Prepare Gantt Chart'!$J93),'Prepare Gantt Chart'!Z93=0,0)</f>
        <v>0</v>
      </c>
      <c r="N94" s="45">
        <f>_xlfn.IFS('Prepare Gantt Chart'!AA93=16,'Project types'!$O94*('Prepare Gantt Chart'!$I93*'Prepare Gantt Chart'!$J93),'Prepare Gantt Chart'!AA93=15,'Project types'!$Q94*('Prepare Gantt Chart'!$I93*'Prepare Gantt Chart'!$J93),'Prepare Gantt Chart'!AA93=0,0)</f>
        <v>0</v>
      </c>
      <c r="O94" s="45">
        <f>_xlfn.IFS('Prepare Gantt Chart'!AB93=16,'Project types'!$O94*('Prepare Gantt Chart'!$I93*'Prepare Gantt Chart'!$J93),'Prepare Gantt Chart'!AB93=15,'Project types'!$Q94*('Prepare Gantt Chart'!$I93*'Prepare Gantt Chart'!$J93),'Prepare Gantt Chart'!AB93=0,0)</f>
        <v>0</v>
      </c>
      <c r="P94" s="45">
        <f>_xlfn.IFS('Prepare Gantt Chart'!AC93=16,'Project types'!$O94*('Prepare Gantt Chart'!$I93*'Prepare Gantt Chart'!$J93),'Prepare Gantt Chart'!AC93=15,'Project types'!$Q94*('Prepare Gantt Chart'!$I93*'Prepare Gantt Chart'!$J93),'Prepare Gantt Chart'!AC93=0,0)</f>
        <v>0</v>
      </c>
      <c r="Q94" s="45">
        <f>_xlfn.IFS('Prepare Gantt Chart'!AD93=16,'Project types'!$O94*('Prepare Gantt Chart'!$I93*'Prepare Gantt Chart'!$J93),'Prepare Gantt Chart'!AD93=15,'Project types'!$Q94*('Prepare Gantt Chart'!$I93*'Prepare Gantt Chart'!$J93),'Prepare Gantt Chart'!AD93=0,0)</f>
        <v>0</v>
      </c>
      <c r="R94" s="45">
        <f>_xlfn.IFS('Prepare Gantt Chart'!AE93=16,'Project types'!$O94*('Prepare Gantt Chart'!$I93*'Prepare Gantt Chart'!$J93),'Prepare Gantt Chart'!AE93=15,'Project types'!$Q94*('Prepare Gantt Chart'!$I93*'Prepare Gantt Chart'!$J93),'Prepare Gantt Chart'!AE93=0,0)</f>
        <v>0</v>
      </c>
      <c r="S94" s="45">
        <f>_xlfn.IFS('Prepare Gantt Chart'!AF93=16,'Project types'!$O94*('Prepare Gantt Chart'!$I93*'Prepare Gantt Chart'!$J93),'Prepare Gantt Chart'!AF93=15,'Project types'!$Q94*('Prepare Gantt Chart'!$I93*'Prepare Gantt Chart'!$J93),'Prepare Gantt Chart'!AF93=0,0)</f>
        <v>0</v>
      </c>
      <c r="T94" s="45">
        <f>_xlfn.IFS('Prepare Gantt Chart'!AG93=16,'Project types'!$O94*('Prepare Gantt Chart'!$I93*'Prepare Gantt Chart'!$J93),'Prepare Gantt Chart'!AG93=15,'Project types'!$Q94*('Prepare Gantt Chart'!$I93*'Prepare Gantt Chart'!$J93),'Prepare Gantt Chart'!AG93=0,0)</f>
        <v>0</v>
      </c>
      <c r="U94" s="45">
        <f>_xlfn.IFS('Prepare Gantt Chart'!AH93=16,'Project types'!$O94*('Prepare Gantt Chart'!$I93*'Prepare Gantt Chart'!$J93),'Prepare Gantt Chart'!AH93=15,'Project types'!$Q94*('Prepare Gantt Chart'!$I93*'Prepare Gantt Chart'!$J93),'Prepare Gantt Chart'!AH93=0,0)</f>
        <v>0</v>
      </c>
      <c r="V94" s="45">
        <f>_xlfn.IFS('Prepare Gantt Chart'!AI93=16,'Project types'!$O94*('Prepare Gantt Chart'!$I93*'Prepare Gantt Chart'!$J93),'Prepare Gantt Chart'!AI93=15,'Project types'!$Q94*('Prepare Gantt Chart'!$I93*'Prepare Gantt Chart'!$J93),'Prepare Gantt Chart'!AI93=0,0)</f>
        <v>0</v>
      </c>
      <c r="W94" s="45">
        <f>_xlfn.IFS('Prepare Gantt Chart'!AJ93=16,'Project types'!$O94*('Prepare Gantt Chart'!$I93*'Prepare Gantt Chart'!$J93),'Prepare Gantt Chart'!AJ93=15,'Project types'!$Q94*('Prepare Gantt Chart'!$I93*'Prepare Gantt Chart'!$J93),'Prepare Gantt Chart'!AJ93=0,0)</f>
        <v>0</v>
      </c>
      <c r="X94" s="45">
        <f>_xlfn.IFS('Prepare Gantt Chart'!AK93=16,'Project types'!$O94*('Prepare Gantt Chart'!$I93*'Prepare Gantt Chart'!$J93),'Prepare Gantt Chart'!AK93=15,'Project types'!$Q94*('Prepare Gantt Chart'!$I93*'Prepare Gantt Chart'!$J93),'Prepare Gantt Chart'!AK93=0,0)</f>
        <v>0</v>
      </c>
      <c r="Y94" s="45">
        <f>_xlfn.IFS('Prepare Gantt Chart'!AL93=16,'Project types'!$O94*('Prepare Gantt Chart'!$I93*'Prepare Gantt Chart'!$J93),'Prepare Gantt Chart'!AL93=15,'Project types'!$Q94*('Prepare Gantt Chart'!$I93*'Prepare Gantt Chart'!$J93),'Prepare Gantt Chart'!AL93=0,0)</f>
        <v>0</v>
      </c>
      <c r="Z94" s="45">
        <f>_xlfn.IFS('Prepare Gantt Chart'!AM93=16,'Project types'!$O94*('Prepare Gantt Chart'!$I93*'Prepare Gantt Chart'!$J93),'Prepare Gantt Chart'!AM93=15,'Project types'!$Q94*('Prepare Gantt Chart'!$I93*'Prepare Gantt Chart'!$J93),'Prepare Gantt Chart'!AM93=0,0)</f>
        <v>0</v>
      </c>
      <c r="AA94" s="45">
        <f>_xlfn.IFS('Prepare Gantt Chart'!AN93=16,'Project types'!$O94*('Prepare Gantt Chart'!$I93*'Prepare Gantt Chart'!$J93),'Prepare Gantt Chart'!AN93=15,'Project types'!$Q94*('Prepare Gantt Chart'!$I93*'Prepare Gantt Chart'!$J93),'Prepare Gantt Chart'!AN93=0,0)</f>
        <v>0</v>
      </c>
      <c r="AB94" s="45">
        <f>_xlfn.IFS('Prepare Gantt Chart'!AO93=16,'Project types'!$O94*('Prepare Gantt Chart'!$I93*'Prepare Gantt Chart'!$J93),'Prepare Gantt Chart'!AO93=15,'Project types'!$Q94*('Prepare Gantt Chart'!$I93*'Prepare Gantt Chart'!$J93),'Prepare Gantt Chart'!AO93=0,0)</f>
        <v>0</v>
      </c>
      <c r="AC94" s="45">
        <f>'Prepare Gantt Chart'!J93*'Prepare Gantt Chart'!I93*(AD94/26)</f>
        <v>0</v>
      </c>
      <c r="AD94" s="46">
        <f t="shared" si="2"/>
        <v>0</v>
      </c>
      <c r="AE94" s="72">
        <f>IF('Prepare Gantt Chart'!$J93=0,0,SUM(C94:H94)/6/'Prepare Gantt Chart'!$J93)</f>
        <v>0</v>
      </c>
      <c r="AF94" s="72">
        <f>IF('Prepare Gantt Chart'!$J93=0,0,SUM(I94:M94)/5/'Prepare Gantt Chart'!$J93)</f>
        <v>0</v>
      </c>
      <c r="AG94" s="72">
        <f>IF('Prepare Gantt Chart'!$J93=0,0,SUM(N94:R94)/5/'Prepare Gantt Chart'!$J93)</f>
        <v>0</v>
      </c>
      <c r="AH94" s="72">
        <f>IF('Prepare Gantt Chart'!$J93=0,0,SUM(S94:W94)/5/'Prepare Gantt Chart'!$J93)</f>
        <v>0</v>
      </c>
      <c r="AI94" s="72">
        <f>IF('Prepare Gantt Chart'!$J93=0,0,SUM(X94:AB94)/5/'Prepare Gantt Chart'!$J93)</f>
        <v>0</v>
      </c>
      <c r="AK94" s="39" t="s">
        <v>86</v>
      </c>
      <c r="AL94" s="45">
        <f>_xlfn.IFS('Prepare Gantt Chart'!P93=16,'Project types'!$L94*('Prepare Gantt Chart'!$I93*'Prepare Gantt Chart'!$J93),'Prepare Gantt Chart'!P93=15,'Project types'!$L94*('Prepare Gantt Chart'!$I93*'Prepare Gantt Chart'!$J93),'Prepare Gantt Chart'!P93=0,0)</f>
        <v>0</v>
      </c>
      <c r="AM94" s="45">
        <f>_xlfn.IFS('Prepare Gantt Chart'!Q93=16,'Project types'!$L94*('Prepare Gantt Chart'!$I93*'Prepare Gantt Chart'!$J93),'Prepare Gantt Chart'!Q93=15,'Project types'!$L94*('Prepare Gantt Chart'!$I93*'Prepare Gantt Chart'!$J93),'Prepare Gantt Chart'!Q93=0,0)</f>
        <v>0</v>
      </c>
      <c r="AN94" s="45">
        <f>_xlfn.IFS('Prepare Gantt Chart'!R93=16,'Project types'!$L94*('Prepare Gantt Chart'!$I93*'Prepare Gantt Chart'!$J93),'Prepare Gantt Chart'!R93=15,'Project types'!$L94*('Prepare Gantt Chart'!$I93*'Prepare Gantt Chart'!$J93),'Prepare Gantt Chart'!R93=0,0)</f>
        <v>0</v>
      </c>
      <c r="AO94" s="45">
        <f>_xlfn.IFS('Prepare Gantt Chart'!S93=16,'Project types'!$L94*('Prepare Gantt Chart'!$I93*'Prepare Gantt Chart'!$J93),'Prepare Gantt Chart'!S93=15,'Project types'!$L94*('Prepare Gantt Chart'!$I93*'Prepare Gantt Chart'!$J93),'Prepare Gantt Chart'!S93=0,0)</f>
        <v>0</v>
      </c>
      <c r="AP94" s="45">
        <f>_xlfn.IFS('Prepare Gantt Chart'!T93=16,'Project types'!$L94*('Prepare Gantt Chart'!$I93*'Prepare Gantt Chart'!$J93),'Prepare Gantt Chart'!T93=15,'Project types'!$L94*('Prepare Gantt Chart'!$I93*'Prepare Gantt Chart'!$J93),'Prepare Gantt Chart'!T93=0,0)</f>
        <v>0</v>
      </c>
      <c r="AQ94" s="45">
        <f>_xlfn.IFS('Prepare Gantt Chart'!U93=16,'Project types'!$L94*('Prepare Gantt Chart'!$I93*'Prepare Gantt Chart'!$J93),'Prepare Gantt Chart'!U93=15,'Project types'!$L94*('Prepare Gantt Chart'!$I93*'Prepare Gantt Chart'!$J93),'Prepare Gantt Chart'!U93=0,0)</f>
        <v>0</v>
      </c>
      <c r="AR94" s="45">
        <f>_xlfn.IFS('Prepare Gantt Chart'!V93=16,'Project types'!$L94*('Prepare Gantt Chart'!$I93*'Prepare Gantt Chart'!$J93),'Prepare Gantt Chart'!V93=15,'Project types'!$L94*('Prepare Gantt Chart'!$I93*'Prepare Gantt Chart'!$J93),'Prepare Gantt Chart'!V93=0,0)</f>
        <v>0</v>
      </c>
      <c r="AS94" s="45">
        <f>_xlfn.IFS('Prepare Gantt Chart'!W93=16,'Project types'!$L94*('Prepare Gantt Chart'!$I93*'Prepare Gantt Chart'!$J93),'Prepare Gantt Chart'!W93=15,'Project types'!$L94*('Prepare Gantt Chart'!$I93*'Prepare Gantt Chart'!$J93),'Prepare Gantt Chart'!W93=0,0)</f>
        <v>0</v>
      </c>
      <c r="AT94" s="45">
        <f>_xlfn.IFS('Prepare Gantt Chart'!X93=16,'Project types'!$L94*('Prepare Gantt Chart'!$I93*'Prepare Gantt Chart'!$J93),'Prepare Gantt Chart'!X93=15,'Project types'!$L94*('Prepare Gantt Chart'!$I93*'Prepare Gantt Chart'!$J93),'Prepare Gantt Chart'!X93=0,0)</f>
        <v>0</v>
      </c>
      <c r="AU94" s="45">
        <f>_xlfn.IFS('Prepare Gantt Chart'!Y93=16,'Project types'!$L94*('Prepare Gantt Chart'!$I93*'Prepare Gantt Chart'!$J93),'Prepare Gantt Chart'!Y93=15,'Project types'!$L94*('Prepare Gantt Chart'!$I93*'Prepare Gantt Chart'!$J93),'Prepare Gantt Chart'!Y93=0,0)</f>
        <v>0</v>
      </c>
      <c r="AV94" s="45">
        <f>_xlfn.IFS('Prepare Gantt Chart'!Z93=16,'Project types'!$L94*('Prepare Gantt Chart'!$I93*'Prepare Gantt Chart'!$J93),'Prepare Gantt Chart'!Z93=15,'Project types'!$L94*('Prepare Gantt Chart'!$I93*'Prepare Gantt Chart'!$J93),'Prepare Gantt Chart'!Z93=0,0)</f>
        <v>0</v>
      </c>
      <c r="AW94" s="45">
        <f>_xlfn.IFS('Prepare Gantt Chart'!AA93=16,'Project types'!$L94*('Prepare Gantt Chart'!$I93*'Prepare Gantt Chart'!$J93),'Prepare Gantt Chart'!AA93=15,'Project types'!$L94*('Prepare Gantt Chart'!$I93*'Prepare Gantt Chart'!$J93),'Prepare Gantt Chart'!AA93=0,0)</f>
        <v>0</v>
      </c>
      <c r="AX94" s="45">
        <f>_xlfn.IFS('Prepare Gantt Chart'!AB93=16,'Project types'!$L94*('Prepare Gantt Chart'!$I93*'Prepare Gantt Chart'!$J93),'Prepare Gantt Chart'!AB93=15,'Project types'!$L94*('Prepare Gantt Chart'!$I93*'Prepare Gantt Chart'!$J93),'Prepare Gantt Chart'!AB93=0,0)</f>
        <v>0</v>
      </c>
      <c r="AY94" s="45">
        <f>_xlfn.IFS('Prepare Gantt Chart'!AC93=16,'Project types'!$L94*('Prepare Gantt Chart'!$I93*'Prepare Gantt Chart'!$J93),'Prepare Gantt Chart'!AC93=15,'Project types'!$L94*('Prepare Gantt Chart'!$I93*'Prepare Gantt Chart'!$J93),'Prepare Gantt Chart'!AC93=0,0)</f>
        <v>0</v>
      </c>
      <c r="AZ94" s="45">
        <f>_xlfn.IFS('Prepare Gantt Chart'!AD93=16,'Project types'!$L94*('Prepare Gantt Chart'!$I93*'Prepare Gantt Chart'!$J93),'Prepare Gantt Chart'!AD93=15,'Project types'!$L94*('Prepare Gantt Chart'!$I93*'Prepare Gantt Chart'!$J93),'Prepare Gantt Chart'!AD93=0,0)</f>
        <v>0</v>
      </c>
      <c r="BA94" s="45">
        <f>_xlfn.IFS('Prepare Gantt Chart'!AE93=16,'Project types'!$L94*('Prepare Gantt Chart'!$I93*'Prepare Gantt Chart'!$J93),'Prepare Gantt Chart'!AE93=15,'Project types'!$L94*('Prepare Gantt Chart'!$I93*'Prepare Gantt Chart'!$J93),'Prepare Gantt Chart'!AE93=0,0)</f>
        <v>0</v>
      </c>
      <c r="BB94" s="45">
        <f>_xlfn.IFS('Prepare Gantt Chart'!AF93=16,'Project types'!$L94*('Prepare Gantt Chart'!$I93*'Prepare Gantt Chart'!$J93),'Prepare Gantt Chart'!AF93=15,'Project types'!$L94*('Prepare Gantt Chart'!$I93*'Prepare Gantt Chart'!$J93),'Prepare Gantt Chart'!AF93=0,0)</f>
        <v>0</v>
      </c>
      <c r="BC94" s="45">
        <f>_xlfn.IFS('Prepare Gantt Chart'!AG93=16,'Project types'!$L94*('Prepare Gantt Chart'!$I93*'Prepare Gantt Chart'!$J93),'Prepare Gantt Chart'!AG93=15,'Project types'!$L94*('Prepare Gantt Chart'!$I93*'Prepare Gantt Chart'!$J93),'Prepare Gantt Chart'!AG93=0,0)</f>
        <v>0</v>
      </c>
      <c r="BD94" s="45">
        <f>_xlfn.IFS('Prepare Gantt Chart'!AH93=16,'Project types'!$L94*('Prepare Gantt Chart'!$I93*'Prepare Gantt Chart'!$J93),'Prepare Gantt Chart'!AH93=15,'Project types'!$L94*('Prepare Gantt Chart'!$I93*'Prepare Gantt Chart'!$J93),'Prepare Gantt Chart'!AH93=0,0)</f>
        <v>0</v>
      </c>
      <c r="BE94" s="45">
        <f>_xlfn.IFS('Prepare Gantt Chart'!AI93=16,'Project types'!$L94*('Prepare Gantt Chart'!$I93*'Prepare Gantt Chart'!$J93),'Prepare Gantt Chart'!AI93=15,'Project types'!$L94*('Prepare Gantt Chart'!$I93*'Prepare Gantt Chart'!$J93),'Prepare Gantt Chart'!AI93=0,0)</f>
        <v>0</v>
      </c>
      <c r="BF94" s="45">
        <f>_xlfn.IFS('Prepare Gantt Chart'!AJ93=16,'Project types'!$L94*('Prepare Gantt Chart'!$I93*'Prepare Gantt Chart'!$J93),'Prepare Gantt Chart'!AJ93=15,'Project types'!$L94*('Prepare Gantt Chart'!$I93*'Prepare Gantt Chart'!$J93),'Prepare Gantt Chart'!AJ93=0,0)</f>
        <v>0</v>
      </c>
      <c r="BG94" s="45">
        <f>_xlfn.IFS('Prepare Gantt Chart'!AK93=16,'Project types'!$L94*('Prepare Gantt Chart'!$I93*'Prepare Gantt Chart'!$J93),'Prepare Gantt Chart'!AK93=15,'Project types'!$L94*('Prepare Gantt Chart'!$I93*'Prepare Gantt Chart'!$J93),'Prepare Gantt Chart'!AK93=0,0)</f>
        <v>0</v>
      </c>
      <c r="BH94" s="45">
        <f>_xlfn.IFS('Prepare Gantt Chart'!AL93=16,'Project types'!$L94*('Prepare Gantt Chart'!$I93*'Prepare Gantt Chart'!$J93),'Prepare Gantt Chart'!AL93=15,'Project types'!$L94*('Prepare Gantt Chart'!$I93*'Prepare Gantt Chart'!$J93),'Prepare Gantt Chart'!AL93=0,0)</f>
        <v>0</v>
      </c>
      <c r="BI94" s="45">
        <f>_xlfn.IFS('Prepare Gantt Chart'!AM93=16,'Project types'!$L94*('Prepare Gantt Chart'!$I93*'Prepare Gantt Chart'!$J93),'Prepare Gantt Chart'!AM93=15,'Project types'!$L94*('Prepare Gantt Chart'!$I93*'Prepare Gantt Chart'!$J93),'Prepare Gantt Chart'!AM93=0,0)</f>
        <v>0</v>
      </c>
      <c r="BJ94" s="45">
        <f>_xlfn.IFS('Prepare Gantt Chart'!AN93=16,'Project types'!$L94*('Prepare Gantt Chart'!$I93*'Prepare Gantt Chart'!$J93),'Prepare Gantt Chart'!AN93=15,'Project types'!$L94*('Prepare Gantt Chart'!$I93*'Prepare Gantt Chart'!$J93),'Prepare Gantt Chart'!AN93=0,0)</f>
        <v>0</v>
      </c>
      <c r="BK94" s="45">
        <f>_xlfn.IFS('Prepare Gantt Chart'!AO93=16,'Project types'!$L94*('Prepare Gantt Chart'!$I93*'Prepare Gantt Chart'!$J93),'Prepare Gantt Chart'!AO93=15,'Project types'!$L94*('Prepare Gantt Chart'!$I93*'Prepare Gantt Chart'!$J93),'Prepare Gantt Chart'!AO93=0,0)</f>
        <v>0</v>
      </c>
      <c r="BL94" s="46">
        <f t="shared" si="3"/>
        <v>0</v>
      </c>
      <c r="BM94" s="75">
        <f>IF('Prepare Gantt Chart'!$J93=0,0,SUM(AL94:AQ94)/6/'Prepare Gantt Chart'!$J93)</f>
        <v>0</v>
      </c>
      <c r="BN94" s="75">
        <f>IF('Prepare Gantt Chart'!$J93=0,0,SUM(AR94:AV94)/5/'Prepare Gantt Chart'!$J93)</f>
        <v>0</v>
      </c>
      <c r="BO94" s="75">
        <f>IF('Prepare Gantt Chart'!$J93=0,0,SUM(AW94:BA94)/5/'Prepare Gantt Chart'!$J93)</f>
        <v>0</v>
      </c>
      <c r="BP94" s="75">
        <f>IF('Prepare Gantt Chart'!$J93=0,0,SUM(BB94:BF94)/5/'Prepare Gantt Chart'!$J93)</f>
        <v>0</v>
      </c>
      <c r="BQ94" s="75">
        <f>IF('Prepare Gantt Chart'!$J93=0,0,SUM(BG94:BK94)/5/'Prepare Gantt Chart'!$J93)</f>
        <v>0</v>
      </c>
    </row>
    <row r="95" spans="1:69" x14ac:dyDescent="0.2">
      <c r="A95" s="39" t="s">
        <v>87</v>
      </c>
      <c r="B95" s="1" t="s">
        <v>479</v>
      </c>
      <c r="C95" s="45">
        <f>_xlfn.IFS('Prepare Gantt Chart'!P94=16,'Project types'!$O95*('Prepare Gantt Chart'!$I94*'Prepare Gantt Chart'!$J94),'Prepare Gantt Chart'!P94=15,'Project types'!$Q95*('Prepare Gantt Chart'!$I94*'Prepare Gantt Chart'!$J94),'Prepare Gantt Chart'!P94=0,0)</f>
        <v>0</v>
      </c>
      <c r="D95" s="45">
        <f>_xlfn.IFS('Prepare Gantt Chart'!Q94=16,'Project types'!$O95*('Prepare Gantt Chart'!$I94*'Prepare Gantt Chart'!$J94),'Prepare Gantt Chart'!Q94=15,'Project types'!$Q95*('Prepare Gantt Chart'!$I94*'Prepare Gantt Chart'!$J94),'Prepare Gantt Chart'!Q94=0,0)</f>
        <v>0</v>
      </c>
      <c r="E95" s="45">
        <f>_xlfn.IFS('Prepare Gantt Chart'!R94=16,'Project types'!$O95*('Prepare Gantt Chart'!$I94*'Prepare Gantt Chart'!$J94),'Prepare Gantt Chart'!R94=15,'Project types'!$Q95*('Prepare Gantt Chart'!$I94*'Prepare Gantt Chart'!$J94),'Prepare Gantt Chart'!R94=0,0)</f>
        <v>0</v>
      </c>
      <c r="F95" s="45">
        <f>_xlfn.IFS('Prepare Gantt Chart'!S94=16,'Project types'!$O95*('Prepare Gantt Chart'!$I94*'Prepare Gantt Chart'!$J94),'Prepare Gantt Chart'!S94=15,'Project types'!$Q95*('Prepare Gantt Chart'!$I94*'Prepare Gantt Chart'!$J94),'Prepare Gantt Chart'!S94=0,0)</f>
        <v>0</v>
      </c>
      <c r="G95" s="45">
        <f>_xlfn.IFS('Prepare Gantt Chart'!T94=16,'Project types'!$O95*('Prepare Gantt Chart'!$I94*'Prepare Gantt Chart'!$J94),'Prepare Gantt Chart'!T94=15,'Project types'!$Q95*('Prepare Gantt Chart'!$I94*'Prepare Gantt Chart'!$J94),'Prepare Gantt Chart'!T94=0,0)</f>
        <v>0</v>
      </c>
      <c r="H95" s="45">
        <f>_xlfn.IFS('Prepare Gantt Chart'!U94=16,'Project types'!$O95*('Prepare Gantt Chart'!$I94*'Prepare Gantt Chart'!$J94),'Prepare Gantt Chart'!U94=15,'Project types'!$Q95*('Prepare Gantt Chart'!$I94*'Prepare Gantt Chart'!$J94),'Prepare Gantt Chart'!U94=0,0)</f>
        <v>0</v>
      </c>
      <c r="I95" s="45">
        <f>_xlfn.IFS('Prepare Gantt Chart'!V94=16,'Project types'!$O95*('Prepare Gantt Chart'!$I94*'Prepare Gantt Chart'!$J94),'Prepare Gantt Chart'!V94=15,'Project types'!$Q95*('Prepare Gantt Chart'!$I94*'Prepare Gantt Chart'!$J94),'Prepare Gantt Chart'!V94=0,0)</f>
        <v>0</v>
      </c>
      <c r="J95" s="45">
        <f>_xlfn.IFS('Prepare Gantt Chart'!W94=16,'Project types'!$O95*('Prepare Gantt Chart'!$I94*'Prepare Gantt Chart'!$J94),'Prepare Gantt Chart'!W94=15,'Project types'!$Q95*('Prepare Gantt Chart'!$I94*'Prepare Gantt Chart'!$J94),'Prepare Gantt Chart'!W94=0,0)</f>
        <v>0</v>
      </c>
      <c r="K95" s="45">
        <f>_xlfn.IFS('Prepare Gantt Chart'!X94=16,'Project types'!$O95*('Prepare Gantt Chart'!$I94*'Prepare Gantt Chart'!$J94),'Prepare Gantt Chart'!X94=15,'Project types'!$Q95*('Prepare Gantt Chart'!$I94*'Prepare Gantt Chart'!$J94),'Prepare Gantt Chart'!X94=0,0)</f>
        <v>0</v>
      </c>
      <c r="L95" s="45">
        <f>_xlfn.IFS('Prepare Gantt Chart'!Y94=16,'Project types'!$O95*('Prepare Gantt Chart'!$I94*'Prepare Gantt Chart'!$J94),'Prepare Gantt Chart'!Y94=15,'Project types'!$Q95*('Prepare Gantt Chart'!$I94*'Prepare Gantt Chart'!$J94),'Prepare Gantt Chart'!Y94=0,0)</f>
        <v>0</v>
      </c>
      <c r="M95" s="45">
        <f>_xlfn.IFS('Prepare Gantt Chart'!Z94=16,'Project types'!$O95*('Prepare Gantt Chart'!$I94*'Prepare Gantt Chart'!$J94),'Prepare Gantt Chart'!Z94=15,'Project types'!$Q95*('Prepare Gantt Chart'!$I94*'Prepare Gantt Chart'!$J94),'Prepare Gantt Chart'!Z94=0,0)</f>
        <v>0</v>
      </c>
      <c r="N95" s="45">
        <f>_xlfn.IFS('Prepare Gantt Chart'!AA94=16,'Project types'!$O95*('Prepare Gantt Chart'!$I94*'Prepare Gantt Chart'!$J94),'Prepare Gantt Chart'!AA94=15,'Project types'!$Q95*('Prepare Gantt Chart'!$I94*'Prepare Gantt Chart'!$J94),'Prepare Gantt Chart'!AA94=0,0)</f>
        <v>0</v>
      </c>
      <c r="O95" s="45">
        <f>_xlfn.IFS('Prepare Gantt Chart'!AB94=16,'Project types'!$O95*('Prepare Gantt Chart'!$I94*'Prepare Gantt Chart'!$J94),'Prepare Gantt Chart'!AB94=15,'Project types'!$Q95*('Prepare Gantt Chart'!$I94*'Prepare Gantt Chart'!$J94),'Prepare Gantt Chart'!AB94=0,0)</f>
        <v>0</v>
      </c>
      <c r="P95" s="45">
        <f>_xlfn.IFS('Prepare Gantt Chart'!AC94=16,'Project types'!$O95*('Prepare Gantt Chart'!$I94*'Prepare Gantt Chart'!$J94),'Prepare Gantt Chart'!AC94=15,'Project types'!$Q95*('Prepare Gantt Chart'!$I94*'Prepare Gantt Chart'!$J94),'Prepare Gantt Chart'!AC94=0,0)</f>
        <v>0</v>
      </c>
      <c r="Q95" s="45">
        <f>_xlfn.IFS('Prepare Gantt Chart'!AD94=16,'Project types'!$O95*('Prepare Gantt Chart'!$I94*'Prepare Gantt Chart'!$J94),'Prepare Gantt Chart'!AD94=15,'Project types'!$Q95*('Prepare Gantt Chart'!$I94*'Prepare Gantt Chart'!$J94),'Prepare Gantt Chart'!AD94=0,0)</f>
        <v>0</v>
      </c>
      <c r="R95" s="45">
        <f>_xlfn.IFS('Prepare Gantt Chart'!AE94=16,'Project types'!$O95*('Prepare Gantt Chart'!$I94*'Prepare Gantt Chart'!$J94),'Prepare Gantt Chart'!AE94=15,'Project types'!$Q95*('Prepare Gantt Chart'!$I94*'Prepare Gantt Chart'!$J94),'Prepare Gantt Chart'!AE94=0,0)</f>
        <v>0</v>
      </c>
      <c r="S95" s="45">
        <f>_xlfn.IFS('Prepare Gantt Chart'!AF94=16,'Project types'!$O95*('Prepare Gantt Chart'!$I94*'Prepare Gantt Chart'!$J94),'Prepare Gantt Chart'!AF94=15,'Project types'!$Q95*('Prepare Gantt Chart'!$I94*'Prepare Gantt Chart'!$J94),'Prepare Gantt Chart'!AF94=0,0)</f>
        <v>0</v>
      </c>
      <c r="T95" s="45">
        <f>_xlfn.IFS('Prepare Gantt Chart'!AG94=16,'Project types'!$O95*('Prepare Gantt Chart'!$I94*'Prepare Gantt Chart'!$J94),'Prepare Gantt Chart'!AG94=15,'Project types'!$Q95*('Prepare Gantt Chart'!$I94*'Prepare Gantt Chart'!$J94),'Prepare Gantt Chart'!AG94=0,0)</f>
        <v>0</v>
      </c>
      <c r="U95" s="45">
        <f>_xlfn.IFS('Prepare Gantt Chart'!AH94=16,'Project types'!$O95*('Prepare Gantt Chart'!$I94*'Prepare Gantt Chart'!$J94),'Prepare Gantt Chart'!AH94=15,'Project types'!$Q95*('Prepare Gantt Chart'!$I94*'Prepare Gantt Chart'!$J94),'Prepare Gantt Chart'!AH94=0,0)</f>
        <v>0</v>
      </c>
      <c r="V95" s="45">
        <f>_xlfn.IFS('Prepare Gantt Chart'!AI94=16,'Project types'!$O95*('Prepare Gantt Chart'!$I94*'Prepare Gantt Chart'!$J94),'Prepare Gantt Chart'!AI94=15,'Project types'!$Q95*('Prepare Gantt Chart'!$I94*'Prepare Gantt Chart'!$J94),'Prepare Gantt Chart'!AI94=0,0)</f>
        <v>0</v>
      </c>
      <c r="W95" s="45">
        <f>_xlfn.IFS('Prepare Gantt Chart'!AJ94=16,'Project types'!$O95*('Prepare Gantt Chart'!$I94*'Prepare Gantt Chart'!$J94),'Prepare Gantt Chart'!AJ94=15,'Project types'!$Q95*('Prepare Gantt Chart'!$I94*'Prepare Gantt Chart'!$J94),'Prepare Gantt Chart'!AJ94=0,0)</f>
        <v>0</v>
      </c>
      <c r="X95" s="45">
        <f>_xlfn.IFS('Prepare Gantt Chart'!AK94=16,'Project types'!$O95*('Prepare Gantt Chart'!$I94*'Prepare Gantt Chart'!$J94),'Prepare Gantt Chart'!AK94=15,'Project types'!$Q95*('Prepare Gantt Chart'!$I94*'Prepare Gantt Chart'!$J94),'Prepare Gantt Chart'!AK94=0,0)</f>
        <v>0</v>
      </c>
      <c r="Y95" s="45">
        <f>_xlfn.IFS('Prepare Gantt Chart'!AL94=16,'Project types'!$O95*('Prepare Gantt Chart'!$I94*'Prepare Gantt Chart'!$J94),'Prepare Gantt Chart'!AL94=15,'Project types'!$Q95*('Prepare Gantt Chart'!$I94*'Prepare Gantt Chart'!$J94),'Prepare Gantt Chart'!AL94=0,0)</f>
        <v>0</v>
      </c>
      <c r="Z95" s="45">
        <f>_xlfn.IFS('Prepare Gantt Chart'!AM94=16,'Project types'!$O95*('Prepare Gantt Chart'!$I94*'Prepare Gantt Chart'!$J94),'Prepare Gantt Chart'!AM94=15,'Project types'!$Q95*('Prepare Gantt Chart'!$I94*'Prepare Gantt Chart'!$J94),'Prepare Gantt Chart'!AM94=0,0)</f>
        <v>0</v>
      </c>
      <c r="AA95" s="45">
        <f>_xlfn.IFS('Prepare Gantt Chart'!AN94=16,'Project types'!$O95*('Prepare Gantt Chart'!$I94*'Prepare Gantt Chart'!$J94),'Prepare Gantt Chart'!AN94=15,'Project types'!$Q95*('Prepare Gantt Chart'!$I94*'Prepare Gantt Chart'!$J94),'Prepare Gantt Chart'!AN94=0,0)</f>
        <v>0</v>
      </c>
      <c r="AB95" s="45">
        <f>_xlfn.IFS('Prepare Gantt Chart'!AO94=16,'Project types'!$O95*('Prepare Gantt Chart'!$I94*'Prepare Gantt Chart'!$J94),'Prepare Gantt Chart'!AO94=15,'Project types'!$Q95*('Prepare Gantt Chart'!$I94*'Prepare Gantt Chart'!$J94),'Prepare Gantt Chart'!AO94=0,0)</f>
        <v>0</v>
      </c>
      <c r="AC95" s="45">
        <f>'Prepare Gantt Chart'!J94*'Prepare Gantt Chart'!I94*(AD95/26)</f>
        <v>0</v>
      </c>
      <c r="AD95" s="46">
        <f t="shared" si="2"/>
        <v>0</v>
      </c>
      <c r="AE95" s="72">
        <f>IF('Prepare Gantt Chart'!$J94=0,0,SUM(C95:H95)/6/'Prepare Gantt Chart'!$J94)</f>
        <v>0</v>
      </c>
      <c r="AF95" s="72">
        <f>IF('Prepare Gantt Chart'!$J94=0,0,SUM(I95:M95)/5/'Prepare Gantt Chart'!$J94)</f>
        <v>0</v>
      </c>
      <c r="AG95" s="72">
        <f>IF('Prepare Gantt Chart'!$J94=0,0,SUM(N95:R95)/5/'Prepare Gantt Chart'!$J94)</f>
        <v>0</v>
      </c>
      <c r="AH95" s="72">
        <f>IF('Prepare Gantt Chart'!$J94=0,0,SUM(S95:W95)/5/'Prepare Gantt Chart'!$J94)</f>
        <v>0</v>
      </c>
      <c r="AI95" s="72">
        <f>IF('Prepare Gantt Chart'!$J94=0,0,SUM(X95:AB95)/5/'Prepare Gantt Chart'!$J94)</f>
        <v>0</v>
      </c>
      <c r="AK95" s="39" t="s">
        <v>87</v>
      </c>
      <c r="AL95" s="45">
        <f>_xlfn.IFS('Prepare Gantt Chart'!P94=16,'Project types'!$L95*('Prepare Gantt Chart'!$I94*'Prepare Gantt Chart'!$J94),'Prepare Gantt Chart'!P94=15,'Project types'!$L95*('Prepare Gantt Chart'!$I94*'Prepare Gantt Chart'!$J94),'Prepare Gantt Chart'!P94=0,0)</f>
        <v>0</v>
      </c>
      <c r="AM95" s="45">
        <f>_xlfn.IFS('Prepare Gantt Chart'!Q94=16,'Project types'!$L95*('Prepare Gantt Chart'!$I94*'Prepare Gantt Chart'!$J94),'Prepare Gantt Chart'!Q94=15,'Project types'!$L95*('Prepare Gantt Chart'!$I94*'Prepare Gantt Chart'!$J94),'Prepare Gantt Chart'!Q94=0,0)</f>
        <v>0</v>
      </c>
      <c r="AN95" s="45">
        <f>_xlfn.IFS('Prepare Gantt Chart'!R94=16,'Project types'!$L95*('Prepare Gantt Chart'!$I94*'Prepare Gantt Chart'!$J94),'Prepare Gantt Chart'!R94=15,'Project types'!$L95*('Prepare Gantt Chart'!$I94*'Prepare Gantt Chart'!$J94),'Prepare Gantt Chart'!R94=0,0)</f>
        <v>0</v>
      </c>
      <c r="AO95" s="45">
        <f>_xlfn.IFS('Prepare Gantt Chart'!S94=16,'Project types'!$L95*('Prepare Gantt Chart'!$I94*'Prepare Gantt Chart'!$J94),'Prepare Gantt Chart'!S94=15,'Project types'!$L95*('Prepare Gantt Chart'!$I94*'Prepare Gantt Chart'!$J94),'Prepare Gantt Chart'!S94=0,0)</f>
        <v>0</v>
      </c>
      <c r="AP95" s="45">
        <f>_xlfn.IFS('Prepare Gantt Chart'!T94=16,'Project types'!$L95*('Prepare Gantt Chart'!$I94*'Prepare Gantt Chart'!$J94),'Prepare Gantt Chart'!T94=15,'Project types'!$L95*('Prepare Gantt Chart'!$I94*'Prepare Gantt Chart'!$J94),'Prepare Gantt Chart'!T94=0,0)</f>
        <v>0</v>
      </c>
      <c r="AQ95" s="45">
        <f>_xlfn.IFS('Prepare Gantt Chart'!U94=16,'Project types'!$L95*('Prepare Gantt Chart'!$I94*'Prepare Gantt Chart'!$J94),'Prepare Gantt Chart'!U94=15,'Project types'!$L95*('Prepare Gantt Chart'!$I94*'Prepare Gantt Chart'!$J94),'Prepare Gantt Chart'!U94=0,0)</f>
        <v>0</v>
      </c>
      <c r="AR95" s="45">
        <f>_xlfn.IFS('Prepare Gantt Chart'!V94=16,'Project types'!$L95*('Prepare Gantt Chart'!$I94*'Prepare Gantt Chart'!$J94),'Prepare Gantt Chart'!V94=15,'Project types'!$L95*('Prepare Gantt Chart'!$I94*'Prepare Gantt Chart'!$J94),'Prepare Gantt Chart'!V94=0,0)</f>
        <v>0</v>
      </c>
      <c r="AS95" s="45">
        <f>_xlfn.IFS('Prepare Gantt Chart'!W94=16,'Project types'!$L95*('Prepare Gantt Chart'!$I94*'Prepare Gantt Chart'!$J94),'Prepare Gantt Chart'!W94=15,'Project types'!$L95*('Prepare Gantt Chart'!$I94*'Prepare Gantt Chart'!$J94),'Prepare Gantt Chart'!W94=0,0)</f>
        <v>0</v>
      </c>
      <c r="AT95" s="45">
        <f>_xlfn.IFS('Prepare Gantt Chart'!X94=16,'Project types'!$L95*('Prepare Gantt Chart'!$I94*'Prepare Gantt Chart'!$J94),'Prepare Gantt Chart'!X94=15,'Project types'!$L95*('Prepare Gantt Chart'!$I94*'Prepare Gantt Chart'!$J94),'Prepare Gantt Chart'!X94=0,0)</f>
        <v>0</v>
      </c>
      <c r="AU95" s="45">
        <f>_xlfn.IFS('Prepare Gantt Chart'!Y94=16,'Project types'!$L95*('Prepare Gantt Chart'!$I94*'Prepare Gantt Chart'!$J94),'Prepare Gantt Chart'!Y94=15,'Project types'!$L95*('Prepare Gantt Chart'!$I94*'Prepare Gantt Chart'!$J94),'Prepare Gantt Chart'!Y94=0,0)</f>
        <v>0</v>
      </c>
      <c r="AV95" s="45">
        <f>_xlfn.IFS('Prepare Gantt Chart'!Z94=16,'Project types'!$L95*('Prepare Gantt Chart'!$I94*'Prepare Gantt Chart'!$J94),'Prepare Gantt Chart'!Z94=15,'Project types'!$L95*('Prepare Gantt Chart'!$I94*'Prepare Gantt Chart'!$J94),'Prepare Gantt Chart'!Z94=0,0)</f>
        <v>0</v>
      </c>
      <c r="AW95" s="45">
        <f>_xlfn.IFS('Prepare Gantt Chart'!AA94=16,'Project types'!$L95*('Prepare Gantt Chart'!$I94*'Prepare Gantt Chart'!$J94),'Prepare Gantt Chart'!AA94=15,'Project types'!$L95*('Prepare Gantt Chart'!$I94*'Prepare Gantt Chart'!$J94),'Prepare Gantt Chart'!AA94=0,0)</f>
        <v>0</v>
      </c>
      <c r="AX95" s="45">
        <f>_xlfn.IFS('Prepare Gantt Chart'!AB94=16,'Project types'!$L95*('Prepare Gantt Chart'!$I94*'Prepare Gantt Chart'!$J94),'Prepare Gantt Chart'!AB94=15,'Project types'!$L95*('Prepare Gantt Chart'!$I94*'Prepare Gantt Chart'!$J94),'Prepare Gantt Chart'!AB94=0,0)</f>
        <v>0</v>
      </c>
      <c r="AY95" s="45">
        <f>_xlfn.IFS('Prepare Gantt Chart'!AC94=16,'Project types'!$L95*('Prepare Gantt Chart'!$I94*'Prepare Gantt Chart'!$J94),'Prepare Gantt Chart'!AC94=15,'Project types'!$L95*('Prepare Gantt Chart'!$I94*'Prepare Gantt Chart'!$J94),'Prepare Gantt Chart'!AC94=0,0)</f>
        <v>0</v>
      </c>
      <c r="AZ95" s="45">
        <f>_xlfn.IFS('Prepare Gantt Chart'!AD94=16,'Project types'!$L95*('Prepare Gantt Chart'!$I94*'Prepare Gantt Chart'!$J94),'Prepare Gantt Chart'!AD94=15,'Project types'!$L95*('Prepare Gantt Chart'!$I94*'Prepare Gantt Chart'!$J94),'Prepare Gantt Chart'!AD94=0,0)</f>
        <v>0</v>
      </c>
      <c r="BA95" s="45">
        <f>_xlfn.IFS('Prepare Gantt Chart'!AE94=16,'Project types'!$L95*('Prepare Gantt Chart'!$I94*'Prepare Gantt Chart'!$J94),'Prepare Gantt Chart'!AE94=15,'Project types'!$L95*('Prepare Gantt Chart'!$I94*'Prepare Gantt Chart'!$J94),'Prepare Gantt Chart'!AE94=0,0)</f>
        <v>0</v>
      </c>
      <c r="BB95" s="45">
        <f>_xlfn.IFS('Prepare Gantt Chart'!AF94=16,'Project types'!$L95*('Prepare Gantt Chart'!$I94*'Prepare Gantt Chart'!$J94),'Prepare Gantt Chart'!AF94=15,'Project types'!$L95*('Prepare Gantt Chart'!$I94*'Prepare Gantt Chart'!$J94),'Prepare Gantt Chart'!AF94=0,0)</f>
        <v>0</v>
      </c>
      <c r="BC95" s="45">
        <f>_xlfn.IFS('Prepare Gantt Chart'!AG94=16,'Project types'!$L95*('Prepare Gantt Chart'!$I94*'Prepare Gantt Chart'!$J94),'Prepare Gantt Chart'!AG94=15,'Project types'!$L95*('Prepare Gantt Chart'!$I94*'Prepare Gantt Chart'!$J94),'Prepare Gantt Chart'!AG94=0,0)</f>
        <v>0</v>
      </c>
      <c r="BD95" s="45">
        <f>_xlfn.IFS('Prepare Gantt Chart'!AH94=16,'Project types'!$L95*('Prepare Gantt Chart'!$I94*'Prepare Gantt Chart'!$J94),'Prepare Gantt Chart'!AH94=15,'Project types'!$L95*('Prepare Gantt Chart'!$I94*'Prepare Gantt Chart'!$J94),'Prepare Gantt Chart'!AH94=0,0)</f>
        <v>0</v>
      </c>
      <c r="BE95" s="45">
        <f>_xlfn.IFS('Prepare Gantt Chart'!AI94=16,'Project types'!$L95*('Prepare Gantt Chart'!$I94*'Prepare Gantt Chart'!$J94),'Prepare Gantt Chart'!AI94=15,'Project types'!$L95*('Prepare Gantt Chart'!$I94*'Prepare Gantt Chart'!$J94),'Prepare Gantt Chart'!AI94=0,0)</f>
        <v>0</v>
      </c>
      <c r="BF95" s="45">
        <f>_xlfn.IFS('Prepare Gantt Chart'!AJ94=16,'Project types'!$L95*('Prepare Gantt Chart'!$I94*'Prepare Gantt Chart'!$J94),'Prepare Gantt Chart'!AJ94=15,'Project types'!$L95*('Prepare Gantt Chart'!$I94*'Prepare Gantt Chart'!$J94),'Prepare Gantt Chart'!AJ94=0,0)</f>
        <v>0</v>
      </c>
      <c r="BG95" s="45">
        <f>_xlfn.IFS('Prepare Gantt Chart'!AK94=16,'Project types'!$L95*('Prepare Gantt Chart'!$I94*'Prepare Gantt Chart'!$J94),'Prepare Gantt Chart'!AK94=15,'Project types'!$L95*('Prepare Gantt Chart'!$I94*'Prepare Gantt Chart'!$J94),'Prepare Gantt Chart'!AK94=0,0)</f>
        <v>0</v>
      </c>
      <c r="BH95" s="45">
        <f>_xlfn.IFS('Prepare Gantt Chart'!AL94=16,'Project types'!$L95*('Prepare Gantt Chart'!$I94*'Prepare Gantt Chart'!$J94),'Prepare Gantt Chart'!AL94=15,'Project types'!$L95*('Prepare Gantt Chart'!$I94*'Prepare Gantt Chart'!$J94),'Prepare Gantt Chart'!AL94=0,0)</f>
        <v>0</v>
      </c>
      <c r="BI95" s="45">
        <f>_xlfn.IFS('Prepare Gantt Chart'!AM94=16,'Project types'!$L95*('Prepare Gantt Chart'!$I94*'Prepare Gantt Chart'!$J94),'Prepare Gantt Chart'!AM94=15,'Project types'!$L95*('Prepare Gantt Chart'!$I94*'Prepare Gantt Chart'!$J94),'Prepare Gantt Chart'!AM94=0,0)</f>
        <v>0</v>
      </c>
      <c r="BJ95" s="45">
        <f>_xlfn.IFS('Prepare Gantt Chart'!AN94=16,'Project types'!$L95*('Prepare Gantt Chart'!$I94*'Prepare Gantt Chart'!$J94),'Prepare Gantt Chart'!AN94=15,'Project types'!$L95*('Prepare Gantt Chart'!$I94*'Prepare Gantt Chart'!$J94),'Prepare Gantt Chart'!AN94=0,0)</f>
        <v>0</v>
      </c>
      <c r="BK95" s="45">
        <f>_xlfn.IFS('Prepare Gantt Chart'!AO94=16,'Project types'!$L95*('Prepare Gantt Chart'!$I94*'Prepare Gantt Chart'!$J94),'Prepare Gantt Chart'!AO94=15,'Project types'!$L95*('Prepare Gantt Chart'!$I94*'Prepare Gantt Chart'!$J94),'Prepare Gantt Chart'!AO94=0,0)</f>
        <v>0</v>
      </c>
      <c r="BL95" s="46">
        <f t="shared" si="3"/>
        <v>0</v>
      </c>
      <c r="BM95" s="75">
        <f>IF('Prepare Gantt Chart'!$J94=0,0,SUM(AL95:AQ95)/6/'Prepare Gantt Chart'!$J94)</f>
        <v>0</v>
      </c>
      <c r="BN95" s="75">
        <f>IF('Prepare Gantt Chart'!$J94=0,0,SUM(AR95:AV95)/5/'Prepare Gantt Chart'!$J94)</f>
        <v>0</v>
      </c>
      <c r="BO95" s="75">
        <f>IF('Prepare Gantt Chart'!$J94=0,0,SUM(AW95:BA95)/5/'Prepare Gantt Chart'!$J94)</f>
        <v>0</v>
      </c>
      <c r="BP95" s="75">
        <f>IF('Prepare Gantt Chart'!$J94=0,0,SUM(BB95:BF95)/5/'Prepare Gantt Chart'!$J94)</f>
        <v>0</v>
      </c>
      <c r="BQ95" s="75">
        <f>IF('Prepare Gantt Chart'!$J94=0,0,SUM(BG95:BK95)/5/'Prepare Gantt Chart'!$J94)</f>
        <v>0</v>
      </c>
    </row>
    <row r="96" spans="1:69" x14ac:dyDescent="0.2">
      <c r="A96" s="39" t="s">
        <v>88</v>
      </c>
      <c r="B96" s="1" t="s">
        <v>480</v>
      </c>
      <c r="C96" s="45">
        <f>_xlfn.IFS('Prepare Gantt Chart'!P95=16,'Project types'!$O96*('Prepare Gantt Chart'!$I95*'Prepare Gantt Chart'!$J95),'Prepare Gantt Chart'!P95=15,'Project types'!$Q96*('Prepare Gantt Chart'!$I95*'Prepare Gantt Chart'!$J95),'Prepare Gantt Chart'!P95=0,0)</f>
        <v>0</v>
      </c>
      <c r="D96" s="45">
        <f>_xlfn.IFS('Prepare Gantt Chart'!Q95=16,'Project types'!$O96*('Prepare Gantt Chart'!$I95*'Prepare Gantt Chart'!$J95),'Prepare Gantt Chart'!Q95=15,'Project types'!$Q96*('Prepare Gantt Chart'!$I95*'Prepare Gantt Chart'!$J95),'Prepare Gantt Chart'!Q95=0,0)</f>
        <v>0</v>
      </c>
      <c r="E96" s="45">
        <f>_xlfn.IFS('Prepare Gantt Chart'!R95=16,'Project types'!$O96*('Prepare Gantt Chart'!$I95*'Prepare Gantt Chart'!$J95),'Prepare Gantt Chart'!R95=15,'Project types'!$Q96*('Prepare Gantt Chart'!$I95*'Prepare Gantt Chart'!$J95),'Prepare Gantt Chart'!R95=0,0)</f>
        <v>0</v>
      </c>
      <c r="F96" s="45">
        <f>_xlfn.IFS('Prepare Gantt Chart'!S95=16,'Project types'!$O96*('Prepare Gantt Chart'!$I95*'Prepare Gantt Chart'!$J95),'Prepare Gantt Chart'!S95=15,'Project types'!$Q96*('Prepare Gantt Chart'!$I95*'Prepare Gantt Chart'!$J95),'Prepare Gantt Chart'!S95=0,0)</f>
        <v>0</v>
      </c>
      <c r="G96" s="45">
        <f>_xlfn.IFS('Prepare Gantt Chart'!T95=16,'Project types'!$O96*('Prepare Gantt Chart'!$I95*'Prepare Gantt Chart'!$J95),'Prepare Gantt Chart'!T95=15,'Project types'!$Q96*('Prepare Gantt Chart'!$I95*'Prepare Gantt Chart'!$J95),'Prepare Gantt Chart'!T95=0,0)</f>
        <v>0</v>
      </c>
      <c r="H96" s="45">
        <f>_xlfn.IFS('Prepare Gantt Chart'!U95=16,'Project types'!$O96*('Prepare Gantt Chart'!$I95*'Prepare Gantt Chart'!$J95),'Prepare Gantt Chart'!U95=15,'Project types'!$Q96*('Prepare Gantt Chart'!$I95*'Prepare Gantt Chart'!$J95),'Prepare Gantt Chart'!U95=0,0)</f>
        <v>0</v>
      </c>
      <c r="I96" s="45">
        <f>_xlfn.IFS('Prepare Gantt Chart'!V95=16,'Project types'!$O96*('Prepare Gantt Chart'!$I95*'Prepare Gantt Chart'!$J95),'Prepare Gantt Chart'!V95=15,'Project types'!$Q96*('Prepare Gantt Chart'!$I95*'Prepare Gantt Chart'!$J95),'Prepare Gantt Chart'!V95=0,0)</f>
        <v>0</v>
      </c>
      <c r="J96" s="45">
        <f>_xlfn.IFS('Prepare Gantt Chart'!W95=16,'Project types'!$O96*('Prepare Gantt Chart'!$I95*'Prepare Gantt Chart'!$J95),'Prepare Gantt Chart'!W95=15,'Project types'!$Q96*('Prepare Gantt Chart'!$I95*'Prepare Gantt Chart'!$J95),'Prepare Gantt Chart'!W95=0,0)</f>
        <v>0</v>
      </c>
      <c r="K96" s="45">
        <f>_xlfn.IFS('Prepare Gantt Chart'!X95=16,'Project types'!$O96*('Prepare Gantt Chart'!$I95*'Prepare Gantt Chart'!$J95),'Prepare Gantt Chart'!X95=15,'Project types'!$Q96*('Prepare Gantt Chart'!$I95*'Prepare Gantt Chart'!$J95),'Prepare Gantt Chart'!X95=0,0)</f>
        <v>0</v>
      </c>
      <c r="L96" s="45">
        <f>_xlfn.IFS('Prepare Gantt Chart'!Y95=16,'Project types'!$O96*('Prepare Gantt Chart'!$I95*'Prepare Gantt Chart'!$J95),'Prepare Gantt Chart'!Y95=15,'Project types'!$Q96*('Prepare Gantt Chart'!$I95*'Prepare Gantt Chart'!$J95),'Prepare Gantt Chart'!Y95=0,0)</f>
        <v>0</v>
      </c>
      <c r="M96" s="45">
        <f>_xlfn.IFS('Prepare Gantt Chart'!Z95=16,'Project types'!$O96*('Prepare Gantt Chart'!$I95*'Prepare Gantt Chart'!$J95),'Prepare Gantt Chart'!Z95=15,'Project types'!$Q96*('Prepare Gantt Chart'!$I95*'Prepare Gantt Chart'!$J95),'Prepare Gantt Chart'!Z95=0,0)</f>
        <v>0</v>
      </c>
      <c r="N96" s="45">
        <f>_xlfn.IFS('Prepare Gantt Chart'!AA95=16,'Project types'!$O96*('Prepare Gantt Chart'!$I95*'Prepare Gantt Chart'!$J95),'Prepare Gantt Chart'!AA95=15,'Project types'!$Q96*('Prepare Gantt Chart'!$I95*'Prepare Gantt Chart'!$J95),'Prepare Gantt Chart'!AA95=0,0)</f>
        <v>0</v>
      </c>
      <c r="O96" s="45">
        <f>_xlfn.IFS('Prepare Gantt Chart'!AB95=16,'Project types'!$O96*('Prepare Gantt Chart'!$I95*'Prepare Gantt Chart'!$J95),'Prepare Gantt Chart'!AB95=15,'Project types'!$Q96*('Prepare Gantt Chart'!$I95*'Prepare Gantt Chart'!$J95),'Prepare Gantt Chart'!AB95=0,0)</f>
        <v>0</v>
      </c>
      <c r="P96" s="45">
        <f>_xlfn.IFS('Prepare Gantt Chart'!AC95=16,'Project types'!$O96*('Prepare Gantt Chart'!$I95*'Prepare Gantt Chart'!$J95),'Prepare Gantt Chart'!AC95=15,'Project types'!$Q96*('Prepare Gantt Chart'!$I95*'Prepare Gantt Chart'!$J95),'Prepare Gantt Chart'!AC95=0,0)</f>
        <v>0</v>
      </c>
      <c r="Q96" s="45">
        <f>_xlfn.IFS('Prepare Gantt Chart'!AD95=16,'Project types'!$O96*('Prepare Gantt Chart'!$I95*'Prepare Gantt Chart'!$J95),'Prepare Gantt Chart'!AD95=15,'Project types'!$Q96*('Prepare Gantt Chart'!$I95*'Prepare Gantt Chart'!$J95),'Prepare Gantt Chart'!AD95=0,0)</f>
        <v>0</v>
      </c>
      <c r="R96" s="45">
        <f>_xlfn.IFS('Prepare Gantt Chart'!AE95=16,'Project types'!$O96*('Prepare Gantt Chart'!$I95*'Prepare Gantt Chart'!$J95),'Prepare Gantt Chart'!AE95=15,'Project types'!$Q96*('Prepare Gantt Chart'!$I95*'Prepare Gantt Chart'!$J95),'Prepare Gantt Chart'!AE95=0,0)</f>
        <v>0</v>
      </c>
      <c r="S96" s="45">
        <f>_xlfn.IFS('Prepare Gantt Chart'!AF95=16,'Project types'!$O96*('Prepare Gantt Chart'!$I95*'Prepare Gantt Chart'!$J95),'Prepare Gantt Chart'!AF95=15,'Project types'!$Q96*('Prepare Gantt Chart'!$I95*'Prepare Gantt Chart'!$J95),'Prepare Gantt Chart'!AF95=0,0)</f>
        <v>0</v>
      </c>
      <c r="T96" s="45">
        <f>_xlfn.IFS('Prepare Gantt Chart'!AG95=16,'Project types'!$O96*('Prepare Gantt Chart'!$I95*'Prepare Gantt Chart'!$J95),'Prepare Gantt Chart'!AG95=15,'Project types'!$Q96*('Prepare Gantt Chart'!$I95*'Prepare Gantt Chart'!$J95),'Prepare Gantt Chart'!AG95=0,0)</f>
        <v>0</v>
      </c>
      <c r="U96" s="45">
        <f>_xlfn.IFS('Prepare Gantt Chart'!AH95=16,'Project types'!$O96*('Prepare Gantt Chart'!$I95*'Prepare Gantt Chart'!$J95),'Prepare Gantt Chart'!AH95=15,'Project types'!$Q96*('Prepare Gantt Chart'!$I95*'Prepare Gantt Chart'!$J95),'Prepare Gantt Chart'!AH95=0,0)</f>
        <v>0</v>
      </c>
      <c r="V96" s="45">
        <f>_xlfn.IFS('Prepare Gantt Chart'!AI95=16,'Project types'!$O96*('Prepare Gantt Chart'!$I95*'Prepare Gantt Chart'!$J95),'Prepare Gantt Chart'!AI95=15,'Project types'!$Q96*('Prepare Gantt Chart'!$I95*'Prepare Gantt Chart'!$J95),'Prepare Gantt Chart'!AI95=0,0)</f>
        <v>0</v>
      </c>
      <c r="W96" s="45">
        <f>_xlfn.IFS('Prepare Gantt Chart'!AJ95=16,'Project types'!$O96*('Prepare Gantt Chart'!$I95*'Prepare Gantt Chart'!$J95),'Prepare Gantt Chart'!AJ95=15,'Project types'!$Q96*('Prepare Gantt Chart'!$I95*'Prepare Gantt Chart'!$J95),'Prepare Gantt Chart'!AJ95=0,0)</f>
        <v>0</v>
      </c>
      <c r="X96" s="45">
        <f>_xlfn.IFS('Prepare Gantt Chart'!AK95=16,'Project types'!$O96*('Prepare Gantt Chart'!$I95*'Prepare Gantt Chart'!$J95),'Prepare Gantt Chart'!AK95=15,'Project types'!$Q96*('Prepare Gantt Chart'!$I95*'Prepare Gantt Chart'!$J95),'Prepare Gantt Chart'!AK95=0,0)</f>
        <v>0</v>
      </c>
      <c r="Y96" s="45">
        <f>_xlfn.IFS('Prepare Gantt Chart'!AL95=16,'Project types'!$O96*('Prepare Gantt Chart'!$I95*'Prepare Gantt Chart'!$J95),'Prepare Gantt Chart'!AL95=15,'Project types'!$Q96*('Prepare Gantt Chart'!$I95*'Prepare Gantt Chart'!$J95),'Prepare Gantt Chart'!AL95=0,0)</f>
        <v>0</v>
      </c>
      <c r="Z96" s="45">
        <f>_xlfn.IFS('Prepare Gantt Chart'!AM95=16,'Project types'!$O96*('Prepare Gantt Chart'!$I95*'Prepare Gantt Chart'!$J95),'Prepare Gantt Chart'!AM95=15,'Project types'!$Q96*('Prepare Gantt Chart'!$I95*'Prepare Gantt Chart'!$J95),'Prepare Gantt Chart'!AM95=0,0)</f>
        <v>0</v>
      </c>
      <c r="AA96" s="45">
        <f>_xlfn.IFS('Prepare Gantt Chart'!AN95=16,'Project types'!$O96*('Prepare Gantt Chart'!$I95*'Prepare Gantt Chart'!$J95),'Prepare Gantt Chart'!AN95=15,'Project types'!$Q96*('Prepare Gantt Chart'!$I95*'Prepare Gantt Chart'!$J95),'Prepare Gantt Chart'!AN95=0,0)</f>
        <v>0</v>
      </c>
      <c r="AB96" s="45">
        <f>_xlfn.IFS('Prepare Gantt Chart'!AO95=16,'Project types'!$O96*('Prepare Gantt Chart'!$I95*'Prepare Gantt Chart'!$J95),'Prepare Gantt Chart'!AO95=15,'Project types'!$Q96*('Prepare Gantt Chart'!$I95*'Prepare Gantt Chart'!$J95),'Prepare Gantt Chart'!AO95=0,0)</f>
        <v>0</v>
      </c>
      <c r="AC96" s="45">
        <f>'Prepare Gantt Chart'!J95*'Prepare Gantt Chart'!I95*(AD96/26)</f>
        <v>0</v>
      </c>
      <c r="AD96" s="46">
        <f t="shared" si="2"/>
        <v>0</v>
      </c>
      <c r="AE96" s="72">
        <f>IF('Prepare Gantt Chart'!$J95=0,0,SUM(C96:H96)/6/'Prepare Gantt Chart'!$J95)</f>
        <v>0</v>
      </c>
      <c r="AF96" s="72">
        <f>IF('Prepare Gantt Chart'!$J95=0,0,SUM(I96:M96)/5/'Prepare Gantt Chart'!$J95)</f>
        <v>0</v>
      </c>
      <c r="AG96" s="72">
        <f>IF('Prepare Gantt Chart'!$J95=0,0,SUM(N96:R96)/5/'Prepare Gantt Chart'!$J95)</f>
        <v>0</v>
      </c>
      <c r="AH96" s="72">
        <f>IF('Prepare Gantt Chart'!$J95=0,0,SUM(S96:W96)/5/'Prepare Gantt Chart'!$J95)</f>
        <v>0</v>
      </c>
      <c r="AI96" s="72">
        <f>IF('Prepare Gantt Chart'!$J95=0,0,SUM(X96:AB96)/5/'Prepare Gantt Chart'!$J95)</f>
        <v>0</v>
      </c>
      <c r="AK96" s="39" t="s">
        <v>88</v>
      </c>
      <c r="AL96" s="45">
        <f>_xlfn.IFS('Prepare Gantt Chart'!P95=16,'Project types'!$L96*('Prepare Gantt Chart'!$I95*'Prepare Gantt Chart'!$J95),'Prepare Gantt Chart'!P95=15,'Project types'!$L96*('Prepare Gantt Chart'!$I95*'Prepare Gantt Chart'!$J95),'Prepare Gantt Chart'!P95=0,0)</f>
        <v>0</v>
      </c>
      <c r="AM96" s="45">
        <f>_xlfn.IFS('Prepare Gantt Chart'!Q95=16,'Project types'!$L96*('Prepare Gantt Chart'!$I95*'Prepare Gantt Chart'!$J95),'Prepare Gantt Chart'!Q95=15,'Project types'!$L96*('Prepare Gantt Chart'!$I95*'Prepare Gantt Chart'!$J95),'Prepare Gantt Chart'!Q95=0,0)</f>
        <v>0</v>
      </c>
      <c r="AN96" s="45">
        <f>_xlfn.IFS('Prepare Gantt Chart'!R95=16,'Project types'!$L96*('Prepare Gantt Chart'!$I95*'Prepare Gantt Chart'!$J95),'Prepare Gantt Chart'!R95=15,'Project types'!$L96*('Prepare Gantt Chart'!$I95*'Prepare Gantt Chart'!$J95),'Prepare Gantt Chart'!R95=0,0)</f>
        <v>0</v>
      </c>
      <c r="AO96" s="45">
        <f>_xlfn.IFS('Prepare Gantt Chart'!S95=16,'Project types'!$L96*('Prepare Gantt Chart'!$I95*'Prepare Gantt Chart'!$J95),'Prepare Gantt Chart'!S95=15,'Project types'!$L96*('Prepare Gantt Chart'!$I95*'Prepare Gantt Chart'!$J95),'Prepare Gantt Chart'!S95=0,0)</f>
        <v>0</v>
      </c>
      <c r="AP96" s="45">
        <f>_xlfn.IFS('Prepare Gantt Chart'!T95=16,'Project types'!$L96*('Prepare Gantt Chart'!$I95*'Prepare Gantt Chart'!$J95),'Prepare Gantt Chart'!T95=15,'Project types'!$L96*('Prepare Gantt Chart'!$I95*'Prepare Gantt Chart'!$J95),'Prepare Gantt Chart'!T95=0,0)</f>
        <v>0</v>
      </c>
      <c r="AQ96" s="45">
        <f>_xlfn.IFS('Prepare Gantt Chart'!U95=16,'Project types'!$L96*('Prepare Gantt Chart'!$I95*'Prepare Gantt Chart'!$J95),'Prepare Gantt Chart'!U95=15,'Project types'!$L96*('Prepare Gantt Chart'!$I95*'Prepare Gantt Chart'!$J95),'Prepare Gantt Chart'!U95=0,0)</f>
        <v>0</v>
      </c>
      <c r="AR96" s="45">
        <f>_xlfn.IFS('Prepare Gantt Chart'!V95=16,'Project types'!$L96*('Prepare Gantt Chart'!$I95*'Prepare Gantt Chart'!$J95),'Prepare Gantt Chart'!V95=15,'Project types'!$L96*('Prepare Gantt Chart'!$I95*'Prepare Gantt Chart'!$J95),'Prepare Gantt Chart'!V95=0,0)</f>
        <v>0</v>
      </c>
      <c r="AS96" s="45">
        <f>_xlfn.IFS('Prepare Gantt Chart'!W95=16,'Project types'!$L96*('Prepare Gantt Chart'!$I95*'Prepare Gantt Chart'!$J95),'Prepare Gantt Chart'!W95=15,'Project types'!$L96*('Prepare Gantt Chart'!$I95*'Prepare Gantt Chart'!$J95),'Prepare Gantt Chart'!W95=0,0)</f>
        <v>0</v>
      </c>
      <c r="AT96" s="45">
        <f>_xlfn.IFS('Prepare Gantt Chart'!X95=16,'Project types'!$L96*('Prepare Gantt Chart'!$I95*'Prepare Gantt Chart'!$J95),'Prepare Gantt Chart'!X95=15,'Project types'!$L96*('Prepare Gantt Chart'!$I95*'Prepare Gantt Chart'!$J95),'Prepare Gantt Chart'!X95=0,0)</f>
        <v>0</v>
      </c>
      <c r="AU96" s="45">
        <f>_xlfn.IFS('Prepare Gantt Chart'!Y95=16,'Project types'!$L96*('Prepare Gantt Chart'!$I95*'Prepare Gantt Chart'!$J95),'Prepare Gantt Chart'!Y95=15,'Project types'!$L96*('Prepare Gantt Chart'!$I95*'Prepare Gantt Chart'!$J95),'Prepare Gantt Chart'!Y95=0,0)</f>
        <v>0</v>
      </c>
      <c r="AV96" s="45">
        <f>_xlfn.IFS('Prepare Gantt Chart'!Z95=16,'Project types'!$L96*('Prepare Gantt Chart'!$I95*'Prepare Gantt Chart'!$J95),'Prepare Gantt Chart'!Z95=15,'Project types'!$L96*('Prepare Gantt Chart'!$I95*'Prepare Gantt Chart'!$J95),'Prepare Gantt Chart'!Z95=0,0)</f>
        <v>0</v>
      </c>
      <c r="AW96" s="45">
        <f>_xlfn.IFS('Prepare Gantt Chart'!AA95=16,'Project types'!$L96*('Prepare Gantt Chart'!$I95*'Prepare Gantt Chart'!$J95),'Prepare Gantt Chart'!AA95=15,'Project types'!$L96*('Prepare Gantt Chart'!$I95*'Prepare Gantt Chart'!$J95),'Prepare Gantt Chart'!AA95=0,0)</f>
        <v>0</v>
      </c>
      <c r="AX96" s="45">
        <f>_xlfn.IFS('Prepare Gantt Chart'!AB95=16,'Project types'!$L96*('Prepare Gantt Chart'!$I95*'Prepare Gantt Chart'!$J95),'Prepare Gantt Chart'!AB95=15,'Project types'!$L96*('Prepare Gantt Chart'!$I95*'Prepare Gantt Chart'!$J95),'Prepare Gantt Chart'!AB95=0,0)</f>
        <v>0</v>
      </c>
      <c r="AY96" s="45">
        <f>_xlfn.IFS('Prepare Gantt Chart'!AC95=16,'Project types'!$L96*('Prepare Gantt Chart'!$I95*'Prepare Gantt Chart'!$J95),'Prepare Gantt Chart'!AC95=15,'Project types'!$L96*('Prepare Gantt Chart'!$I95*'Prepare Gantt Chart'!$J95),'Prepare Gantt Chart'!AC95=0,0)</f>
        <v>0</v>
      </c>
      <c r="AZ96" s="45">
        <f>_xlfn.IFS('Prepare Gantt Chart'!AD95=16,'Project types'!$L96*('Prepare Gantt Chart'!$I95*'Prepare Gantt Chart'!$J95),'Prepare Gantt Chart'!AD95=15,'Project types'!$L96*('Prepare Gantt Chart'!$I95*'Prepare Gantt Chart'!$J95),'Prepare Gantt Chart'!AD95=0,0)</f>
        <v>0</v>
      </c>
      <c r="BA96" s="45">
        <f>_xlfn.IFS('Prepare Gantt Chart'!AE95=16,'Project types'!$L96*('Prepare Gantt Chart'!$I95*'Prepare Gantt Chart'!$J95),'Prepare Gantt Chart'!AE95=15,'Project types'!$L96*('Prepare Gantt Chart'!$I95*'Prepare Gantt Chart'!$J95),'Prepare Gantt Chart'!AE95=0,0)</f>
        <v>0</v>
      </c>
      <c r="BB96" s="45">
        <f>_xlfn.IFS('Prepare Gantt Chart'!AF95=16,'Project types'!$L96*('Prepare Gantt Chart'!$I95*'Prepare Gantt Chart'!$J95),'Prepare Gantt Chart'!AF95=15,'Project types'!$L96*('Prepare Gantt Chart'!$I95*'Prepare Gantt Chart'!$J95),'Prepare Gantt Chart'!AF95=0,0)</f>
        <v>0</v>
      </c>
      <c r="BC96" s="45">
        <f>_xlfn.IFS('Prepare Gantt Chart'!AG95=16,'Project types'!$L96*('Prepare Gantt Chart'!$I95*'Prepare Gantt Chart'!$J95),'Prepare Gantt Chart'!AG95=15,'Project types'!$L96*('Prepare Gantt Chart'!$I95*'Prepare Gantt Chart'!$J95),'Prepare Gantt Chart'!AG95=0,0)</f>
        <v>0</v>
      </c>
      <c r="BD96" s="45">
        <f>_xlfn.IFS('Prepare Gantt Chart'!AH95=16,'Project types'!$L96*('Prepare Gantt Chart'!$I95*'Prepare Gantt Chart'!$J95),'Prepare Gantt Chart'!AH95=15,'Project types'!$L96*('Prepare Gantt Chart'!$I95*'Prepare Gantt Chart'!$J95),'Prepare Gantt Chart'!AH95=0,0)</f>
        <v>0</v>
      </c>
      <c r="BE96" s="45">
        <f>_xlfn.IFS('Prepare Gantt Chart'!AI95=16,'Project types'!$L96*('Prepare Gantt Chart'!$I95*'Prepare Gantt Chart'!$J95),'Prepare Gantt Chart'!AI95=15,'Project types'!$L96*('Prepare Gantt Chart'!$I95*'Prepare Gantt Chart'!$J95),'Prepare Gantt Chart'!AI95=0,0)</f>
        <v>0</v>
      </c>
      <c r="BF96" s="45">
        <f>_xlfn.IFS('Prepare Gantt Chart'!AJ95=16,'Project types'!$L96*('Prepare Gantt Chart'!$I95*'Prepare Gantt Chart'!$J95),'Prepare Gantt Chart'!AJ95=15,'Project types'!$L96*('Prepare Gantt Chart'!$I95*'Prepare Gantt Chart'!$J95),'Prepare Gantt Chart'!AJ95=0,0)</f>
        <v>0</v>
      </c>
      <c r="BG96" s="45">
        <f>_xlfn.IFS('Prepare Gantt Chart'!AK95=16,'Project types'!$L96*('Prepare Gantt Chart'!$I95*'Prepare Gantt Chart'!$J95),'Prepare Gantt Chart'!AK95=15,'Project types'!$L96*('Prepare Gantt Chart'!$I95*'Prepare Gantt Chart'!$J95),'Prepare Gantt Chart'!AK95=0,0)</f>
        <v>0</v>
      </c>
      <c r="BH96" s="45">
        <f>_xlfn.IFS('Prepare Gantt Chart'!AL95=16,'Project types'!$L96*('Prepare Gantt Chart'!$I95*'Prepare Gantt Chart'!$J95),'Prepare Gantt Chart'!AL95=15,'Project types'!$L96*('Prepare Gantt Chart'!$I95*'Prepare Gantt Chart'!$J95),'Prepare Gantt Chart'!AL95=0,0)</f>
        <v>0</v>
      </c>
      <c r="BI96" s="45">
        <f>_xlfn.IFS('Prepare Gantt Chart'!AM95=16,'Project types'!$L96*('Prepare Gantt Chart'!$I95*'Prepare Gantt Chart'!$J95),'Prepare Gantt Chart'!AM95=15,'Project types'!$L96*('Prepare Gantt Chart'!$I95*'Prepare Gantt Chart'!$J95),'Prepare Gantt Chart'!AM95=0,0)</f>
        <v>0</v>
      </c>
      <c r="BJ96" s="45">
        <f>_xlfn.IFS('Prepare Gantt Chart'!AN95=16,'Project types'!$L96*('Prepare Gantt Chart'!$I95*'Prepare Gantt Chart'!$J95),'Prepare Gantt Chart'!AN95=15,'Project types'!$L96*('Prepare Gantt Chart'!$I95*'Prepare Gantt Chart'!$J95),'Prepare Gantt Chart'!AN95=0,0)</f>
        <v>0</v>
      </c>
      <c r="BK96" s="45">
        <f>_xlfn.IFS('Prepare Gantt Chart'!AO95=16,'Project types'!$L96*('Prepare Gantt Chart'!$I95*'Prepare Gantt Chart'!$J95),'Prepare Gantt Chart'!AO95=15,'Project types'!$L96*('Prepare Gantt Chart'!$I95*'Prepare Gantt Chart'!$J95),'Prepare Gantt Chart'!AO95=0,0)</f>
        <v>0</v>
      </c>
      <c r="BL96" s="46">
        <f t="shared" si="3"/>
        <v>0</v>
      </c>
      <c r="BM96" s="75">
        <f>IF('Prepare Gantt Chart'!$J95=0,0,SUM(AL96:AQ96)/6/'Prepare Gantt Chart'!$J95)</f>
        <v>0</v>
      </c>
      <c r="BN96" s="75">
        <f>IF('Prepare Gantt Chart'!$J95=0,0,SUM(AR96:AV96)/5/'Prepare Gantt Chart'!$J95)</f>
        <v>0</v>
      </c>
      <c r="BO96" s="75">
        <f>IF('Prepare Gantt Chart'!$J95=0,0,SUM(AW96:BA96)/5/'Prepare Gantt Chart'!$J95)</f>
        <v>0</v>
      </c>
      <c r="BP96" s="75">
        <f>IF('Prepare Gantt Chart'!$J95=0,0,SUM(BB96:BF96)/5/'Prepare Gantt Chart'!$J95)</f>
        <v>0</v>
      </c>
      <c r="BQ96" s="75">
        <f>IF('Prepare Gantt Chart'!$J95=0,0,SUM(BG96:BK96)/5/'Prepare Gantt Chart'!$J95)</f>
        <v>0</v>
      </c>
    </row>
    <row r="97" spans="1:69" x14ac:dyDescent="0.2">
      <c r="A97" s="39" t="s">
        <v>89</v>
      </c>
      <c r="B97" s="1" t="s">
        <v>157</v>
      </c>
      <c r="C97" s="45">
        <f>_xlfn.IFS('Prepare Gantt Chart'!P96=16,'Project types'!$O97*('Prepare Gantt Chart'!$I96*'Prepare Gantt Chart'!$J96),'Prepare Gantt Chart'!P96=15,'Project types'!$Q97*('Prepare Gantt Chart'!$I96*'Prepare Gantt Chart'!$J96),'Prepare Gantt Chart'!P96=0,0)</f>
        <v>0</v>
      </c>
      <c r="D97" s="45">
        <f>_xlfn.IFS('Prepare Gantt Chart'!Q96=16,'Project types'!$O97*('Prepare Gantt Chart'!$I96*'Prepare Gantt Chart'!$J96),'Prepare Gantt Chart'!Q96=15,'Project types'!$Q97*('Prepare Gantt Chart'!$I96*'Prepare Gantt Chart'!$J96),'Prepare Gantt Chart'!Q96=0,0)</f>
        <v>0</v>
      </c>
      <c r="E97" s="45">
        <f>_xlfn.IFS('Prepare Gantt Chart'!R96=16,'Project types'!$O97*('Prepare Gantt Chart'!$I96*'Prepare Gantt Chart'!$J96),'Prepare Gantt Chart'!R96=15,'Project types'!$Q97*('Prepare Gantt Chart'!$I96*'Prepare Gantt Chart'!$J96),'Prepare Gantt Chart'!R96=0,0)</f>
        <v>0</v>
      </c>
      <c r="F97" s="45">
        <f>_xlfn.IFS('Prepare Gantt Chart'!S96=16,'Project types'!$O97*('Prepare Gantt Chart'!$I96*'Prepare Gantt Chart'!$J96),'Prepare Gantt Chart'!S96=15,'Project types'!$Q97*('Prepare Gantt Chart'!$I96*'Prepare Gantt Chart'!$J96),'Prepare Gantt Chart'!S96=0,0)</f>
        <v>0</v>
      </c>
      <c r="G97" s="45">
        <f>_xlfn.IFS('Prepare Gantt Chart'!T96=16,'Project types'!$O97*('Prepare Gantt Chart'!$I96*'Prepare Gantt Chart'!$J96),'Prepare Gantt Chart'!T96=15,'Project types'!$Q97*('Prepare Gantt Chart'!$I96*'Prepare Gantt Chart'!$J96),'Prepare Gantt Chart'!T96=0,0)</f>
        <v>0</v>
      </c>
      <c r="H97" s="45">
        <f>_xlfn.IFS('Prepare Gantt Chart'!U96=16,'Project types'!$O97*('Prepare Gantt Chart'!$I96*'Prepare Gantt Chart'!$J96),'Prepare Gantt Chart'!U96=15,'Project types'!$Q97*('Prepare Gantt Chart'!$I96*'Prepare Gantt Chart'!$J96),'Prepare Gantt Chart'!U96=0,0)</f>
        <v>0</v>
      </c>
      <c r="I97" s="45">
        <f>_xlfn.IFS('Prepare Gantt Chart'!V96=16,'Project types'!$O97*('Prepare Gantt Chart'!$I96*'Prepare Gantt Chart'!$J96),'Prepare Gantt Chart'!V96=15,'Project types'!$Q97*('Prepare Gantt Chart'!$I96*'Prepare Gantt Chart'!$J96),'Prepare Gantt Chart'!V96=0,0)</f>
        <v>0</v>
      </c>
      <c r="J97" s="45">
        <f>_xlfn.IFS('Prepare Gantt Chart'!W96=16,'Project types'!$O97*('Prepare Gantt Chart'!$I96*'Prepare Gantt Chart'!$J96),'Prepare Gantt Chart'!W96=15,'Project types'!$Q97*('Prepare Gantt Chart'!$I96*'Prepare Gantt Chart'!$J96),'Prepare Gantt Chart'!W96=0,0)</f>
        <v>0</v>
      </c>
      <c r="K97" s="45">
        <f>_xlfn.IFS('Prepare Gantt Chart'!X96=16,'Project types'!$O97*('Prepare Gantt Chart'!$I96*'Prepare Gantt Chart'!$J96),'Prepare Gantt Chart'!X96=15,'Project types'!$Q97*('Prepare Gantt Chart'!$I96*'Prepare Gantt Chart'!$J96),'Prepare Gantt Chart'!X96=0,0)</f>
        <v>0</v>
      </c>
      <c r="L97" s="45">
        <f>_xlfn.IFS('Prepare Gantt Chart'!Y96=16,'Project types'!$O97*('Prepare Gantt Chart'!$I96*'Prepare Gantt Chart'!$J96),'Prepare Gantt Chart'!Y96=15,'Project types'!$Q97*('Prepare Gantt Chart'!$I96*'Prepare Gantt Chart'!$J96),'Prepare Gantt Chart'!Y96=0,0)</f>
        <v>0</v>
      </c>
      <c r="M97" s="45">
        <f>_xlfn.IFS('Prepare Gantt Chart'!Z96=16,'Project types'!$O97*('Prepare Gantt Chart'!$I96*'Prepare Gantt Chart'!$J96),'Prepare Gantt Chart'!Z96=15,'Project types'!$Q97*('Prepare Gantt Chart'!$I96*'Prepare Gantt Chart'!$J96),'Prepare Gantt Chart'!Z96=0,0)</f>
        <v>0</v>
      </c>
      <c r="N97" s="45">
        <f>_xlfn.IFS('Prepare Gantt Chart'!AA96=16,'Project types'!$O97*('Prepare Gantt Chart'!$I96*'Prepare Gantt Chart'!$J96),'Prepare Gantt Chart'!AA96=15,'Project types'!$Q97*('Prepare Gantt Chart'!$I96*'Prepare Gantt Chart'!$J96),'Prepare Gantt Chart'!AA96=0,0)</f>
        <v>0</v>
      </c>
      <c r="O97" s="45">
        <f>_xlfn.IFS('Prepare Gantt Chart'!AB96=16,'Project types'!$O97*('Prepare Gantt Chart'!$I96*'Prepare Gantt Chart'!$J96),'Prepare Gantt Chart'!AB96=15,'Project types'!$Q97*('Prepare Gantt Chart'!$I96*'Prepare Gantt Chart'!$J96),'Prepare Gantt Chart'!AB96=0,0)</f>
        <v>0</v>
      </c>
      <c r="P97" s="45">
        <f>_xlfn.IFS('Prepare Gantt Chart'!AC96=16,'Project types'!$O97*('Prepare Gantt Chart'!$I96*'Prepare Gantt Chart'!$J96),'Prepare Gantt Chart'!AC96=15,'Project types'!$Q97*('Prepare Gantt Chart'!$I96*'Prepare Gantt Chart'!$J96),'Prepare Gantt Chart'!AC96=0,0)</f>
        <v>0</v>
      </c>
      <c r="Q97" s="45">
        <f>_xlfn.IFS('Prepare Gantt Chart'!AD96=16,'Project types'!$O97*('Prepare Gantt Chart'!$I96*'Prepare Gantt Chart'!$J96),'Prepare Gantt Chart'!AD96=15,'Project types'!$Q97*('Prepare Gantt Chart'!$I96*'Prepare Gantt Chart'!$J96),'Prepare Gantt Chart'!AD96=0,0)</f>
        <v>0</v>
      </c>
      <c r="R97" s="45">
        <f>_xlfn.IFS('Prepare Gantt Chart'!AE96=16,'Project types'!$O97*('Prepare Gantt Chart'!$I96*'Prepare Gantt Chart'!$J96),'Prepare Gantt Chart'!AE96=15,'Project types'!$Q97*('Prepare Gantt Chart'!$I96*'Prepare Gantt Chart'!$J96),'Prepare Gantt Chart'!AE96=0,0)</f>
        <v>0</v>
      </c>
      <c r="S97" s="45">
        <f>_xlfn.IFS('Prepare Gantt Chart'!AF96=16,'Project types'!$O97*('Prepare Gantt Chart'!$I96*'Prepare Gantt Chart'!$J96),'Prepare Gantt Chart'!AF96=15,'Project types'!$Q97*('Prepare Gantt Chart'!$I96*'Prepare Gantt Chart'!$J96),'Prepare Gantt Chart'!AF96=0,0)</f>
        <v>0</v>
      </c>
      <c r="T97" s="45">
        <f>_xlfn.IFS('Prepare Gantt Chart'!AG96=16,'Project types'!$O97*('Prepare Gantt Chart'!$I96*'Prepare Gantt Chart'!$J96),'Prepare Gantt Chart'!AG96=15,'Project types'!$Q97*('Prepare Gantt Chart'!$I96*'Prepare Gantt Chart'!$J96),'Prepare Gantt Chart'!AG96=0,0)</f>
        <v>0</v>
      </c>
      <c r="U97" s="45">
        <f>_xlfn.IFS('Prepare Gantt Chart'!AH96=16,'Project types'!$O97*('Prepare Gantt Chart'!$I96*'Prepare Gantt Chart'!$J96),'Prepare Gantt Chart'!AH96=15,'Project types'!$Q97*('Prepare Gantt Chart'!$I96*'Prepare Gantt Chart'!$J96),'Prepare Gantt Chart'!AH96=0,0)</f>
        <v>0</v>
      </c>
      <c r="V97" s="45">
        <f>_xlfn.IFS('Prepare Gantt Chart'!AI96=16,'Project types'!$O97*('Prepare Gantt Chart'!$I96*'Prepare Gantt Chart'!$J96),'Prepare Gantt Chart'!AI96=15,'Project types'!$Q97*('Prepare Gantt Chart'!$I96*'Prepare Gantt Chart'!$J96),'Prepare Gantt Chart'!AI96=0,0)</f>
        <v>0</v>
      </c>
      <c r="W97" s="45">
        <f>_xlfn.IFS('Prepare Gantt Chart'!AJ96=16,'Project types'!$O97*('Prepare Gantt Chart'!$I96*'Prepare Gantt Chart'!$J96),'Prepare Gantt Chart'!AJ96=15,'Project types'!$Q97*('Prepare Gantt Chart'!$I96*'Prepare Gantt Chart'!$J96),'Prepare Gantt Chart'!AJ96=0,0)</f>
        <v>0</v>
      </c>
      <c r="X97" s="45">
        <f>_xlfn.IFS('Prepare Gantt Chart'!AK96=16,'Project types'!$O97*('Prepare Gantt Chart'!$I96*'Prepare Gantt Chart'!$J96),'Prepare Gantt Chart'!AK96=15,'Project types'!$Q97*('Prepare Gantt Chart'!$I96*'Prepare Gantt Chart'!$J96),'Prepare Gantt Chart'!AK96=0,0)</f>
        <v>0</v>
      </c>
      <c r="Y97" s="45">
        <f>_xlfn.IFS('Prepare Gantt Chart'!AL96=16,'Project types'!$O97*('Prepare Gantt Chart'!$I96*'Prepare Gantt Chart'!$J96),'Prepare Gantt Chart'!AL96=15,'Project types'!$Q97*('Prepare Gantt Chart'!$I96*'Prepare Gantt Chart'!$J96),'Prepare Gantt Chart'!AL96=0,0)</f>
        <v>0</v>
      </c>
      <c r="Z97" s="45">
        <f>_xlfn.IFS('Prepare Gantt Chart'!AM96=16,'Project types'!$O97*('Prepare Gantt Chart'!$I96*'Prepare Gantt Chart'!$J96),'Prepare Gantt Chart'!AM96=15,'Project types'!$Q97*('Prepare Gantt Chart'!$I96*'Prepare Gantt Chart'!$J96),'Prepare Gantt Chart'!AM96=0,0)</f>
        <v>0</v>
      </c>
      <c r="AA97" s="45">
        <f>_xlfn.IFS('Prepare Gantt Chart'!AN96=16,'Project types'!$O97*('Prepare Gantt Chart'!$I96*'Prepare Gantt Chart'!$J96),'Prepare Gantt Chart'!AN96=15,'Project types'!$Q97*('Prepare Gantt Chart'!$I96*'Prepare Gantt Chart'!$J96),'Prepare Gantt Chart'!AN96=0,0)</f>
        <v>0</v>
      </c>
      <c r="AB97" s="45">
        <f>_xlfn.IFS('Prepare Gantt Chart'!AO96=16,'Project types'!$O97*('Prepare Gantt Chart'!$I96*'Prepare Gantt Chart'!$J96),'Prepare Gantt Chart'!AO96=15,'Project types'!$Q97*('Prepare Gantt Chart'!$I96*'Prepare Gantt Chart'!$J96),'Prepare Gantt Chart'!AO96=0,0)</f>
        <v>0</v>
      </c>
      <c r="AC97" s="45">
        <f>'Prepare Gantt Chart'!J96*'Prepare Gantt Chart'!I96*(AD97/26)</f>
        <v>0</v>
      </c>
      <c r="AD97" s="46">
        <f t="shared" si="2"/>
        <v>0</v>
      </c>
      <c r="AE97" s="72">
        <f>IF('Prepare Gantt Chart'!$J96=0,0,SUM(C97:H97)/6/'Prepare Gantt Chart'!$J96)</f>
        <v>0</v>
      </c>
      <c r="AF97" s="72">
        <f>IF('Prepare Gantt Chart'!$J96=0,0,SUM(I97:M97)/5/'Prepare Gantt Chart'!$J96)</f>
        <v>0</v>
      </c>
      <c r="AG97" s="72">
        <f>IF('Prepare Gantt Chart'!$J96=0,0,SUM(N97:R97)/5/'Prepare Gantt Chart'!$J96)</f>
        <v>0</v>
      </c>
      <c r="AH97" s="72">
        <f>IF('Prepare Gantt Chart'!$J96=0,0,SUM(S97:W97)/5/'Prepare Gantt Chart'!$J96)</f>
        <v>0</v>
      </c>
      <c r="AI97" s="72">
        <f>IF('Prepare Gantt Chart'!$J96=0,0,SUM(X97:AB97)/5/'Prepare Gantt Chart'!$J96)</f>
        <v>0</v>
      </c>
      <c r="AK97" s="39" t="s">
        <v>89</v>
      </c>
      <c r="AL97" s="45">
        <f>_xlfn.IFS('Prepare Gantt Chart'!P96=16,'Project types'!$L97*('Prepare Gantt Chart'!$I96*'Prepare Gantt Chart'!$J96),'Prepare Gantt Chart'!P96=15,'Project types'!$L97*('Prepare Gantt Chart'!$I96*'Prepare Gantt Chart'!$J96),'Prepare Gantt Chart'!P96=0,0)</f>
        <v>0</v>
      </c>
      <c r="AM97" s="45">
        <f>_xlfn.IFS('Prepare Gantt Chart'!Q96=16,'Project types'!$L97*('Prepare Gantt Chart'!$I96*'Prepare Gantt Chart'!$J96),'Prepare Gantt Chart'!Q96=15,'Project types'!$L97*('Prepare Gantt Chart'!$I96*'Prepare Gantt Chart'!$J96),'Prepare Gantt Chart'!Q96=0,0)</f>
        <v>0</v>
      </c>
      <c r="AN97" s="45">
        <f>_xlfn.IFS('Prepare Gantt Chart'!R96=16,'Project types'!$L97*('Prepare Gantt Chart'!$I96*'Prepare Gantt Chart'!$J96),'Prepare Gantt Chart'!R96=15,'Project types'!$L97*('Prepare Gantt Chart'!$I96*'Prepare Gantt Chart'!$J96),'Prepare Gantt Chart'!R96=0,0)</f>
        <v>0</v>
      </c>
      <c r="AO97" s="45">
        <f>_xlfn.IFS('Prepare Gantt Chart'!S96=16,'Project types'!$L97*('Prepare Gantt Chart'!$I96*'Prepare Gantt Chart'!$J96),'Prepare Gantt Chart'!S96=15,'Project types'!$L97*('Prepare Gantt Chart'!$I96*'Prepare Gantt Chart'!$J96),'Prepare Gantt Chart'!S96=0,0)</f>
        <v>0</v>
      </c>
      <c r="AP97" s="45">
        <f>_xlfn.IFS('Prepare Gantt Chart'!T96=16,'Project types'!$L97*('Prepare Gantt Chart'!$I96*'Prepare Gantt Chart'!$J96),'Prepare Gantt Chart'!T96=15,'Project types'!$L97*('Prepare Gantt Chart'!$I96*'Prepare Gantt Chart'!$J96),'Prepare Gantt Chart'!T96=0,0)</f>
        <v>0</v>
      </c>
      <c r="AQ97" s="45">
        <f>_xlfn.IFS('Prepare Gantt Chart'!U96=16,'Project types'!$L97*('Prepare Gantt Chart'!$I96*'Prepare Gantt Chart'!$J96),'Prepare Gantt Chart'!U96=15,'Project types'!$L97*('Prepare Gantt Chart'!$I96*'Prepare Gantt Chart'!$J96),'Prepare Gantt Chart'!U96=0,0)</f>
        <v>0</v>
      </c>
      <c r="AR97" s="45">
        <f>_xlfn.IFS('Prepare Gantt Chart'!V96=16,'Project types'!$L97*('Prepare Gantt Chart'!$I96*'Prepare Gantt Chart'!$J96),'Prepare Gantt Chart'!V96=15,'Project types'!$L97*('Prepare Gantt Chart'!$I96*'Prepare Gantt Chart'!$J96),'Prepare Gantt Chart'!V96=0,0)</f>
        <v>0</v>
      </c>
      <c r="AS97" s="45">
        <f>_xlfn.IFS('Prepare Gantt Chart'!W96=16,'Project types'!$L97*('Prepare Gantt Chart'!$I96*'Prepare Gantt Chart'!$J96),'Prepare Gantt Chart'!W96=15,'Project types'!$L97*('Prepare Gantt Chart'!$I96*'Prepare Gantt Chart'!$J96),'Prepare Gantt Chart'!W96=0,0)</f>
        <v>0</v>
      </c>
      <c r="AT97" s="45">
        <f>_xlfn.IFS('Prepare Gantt Chart'!X96=16,'Project types'!$L97*('Prepare Gantt Chart'!$I96*'Prepare Gantt Chart'!$J96),'Prepare Gantt Chart'!X96=15,'Project types'!$L97*('Prepare Gantt Chart'!$I96*'Prepare Gantt Chart'!$J96),'Prepare Gantt Chart'!X96=0,0)</f>
        <v>0</v>
      </c>
      <c r="AU97" s="45">
        <f>_xlfn.IFS('Prepare Gantt Chart'!Y96=16,'Project types'!$L97*('Prepare Gantt Chart'!$I96*'Prepare Gantt Chart'!$J96),'Prepare Gantt Chart'!Y96=15,'Project types'!$L97*('Prepare Gantt Chart'!$I96*'Prepare Gantt Chart'!$J96),'Prepare Gantt Chart'!Y96=0,0)</f>
        <v>0</v>
      </c>
      <c r="AV97" s="45">
        <f>_xlfn.IFS('Prepare Gantt Chart'!Z96=16,'Project types'!$L97*('Prepare Gantt Chart'!$I96*'Prepare Gantt Chart'!$J96),'Prepare Gantt Chart'!Z96=15,'Project types'!$L97*('Prepare Gantt Chart'!$I96*'Prepare Gantt Chart'!$J96),'Prepare Gantt Chart'!Z96=0,0)</f>
        <v>0</v>
      </c>
      <c r="AW97" s="45">
        <f>_xlfn.IFS('Prepare Gantt Chart'!AA96=16,'Project types'!$L97*('Prepare Gantt Chart'!$I96*'Prepare Gantt Chart'!$J96),'Prepare Gantt Chart'!AA96=15,'Project types'!$L97*('Prepare Gantt Chart'!$I96*'Prepare Gantt Chart'!$J96),'Prepare Gantt Chart'!AA96=0,0)</f>
        <v>0</v>
      </c>
      <c r="AX97" s="45">
        <f>_xlfn.IFS('Prepare Gantt Chart'!AB96=16,'Project types'!$L97*('Prepare Gantt Chart'!$I96*'Prepare Gantt Chart'!$J96),'Prepare Gantt Chart'!AB96=15,'Project types'!$L97*('Prepare Gantt Chart'!$I96*'Prepare Gantt Chart'!$J96),'Prepare Gantt Chart'!AB96=0,0)</f>
        <v>0</v>
      </c>
      <c r="AY97" s="45">
        <f>_xlfn.IFS('Prepare Gantt Chart'!AC96=16,'Project types'!$L97*('Prepare Gantt Chart'!$I96*'Prepare Gantt Chart'!$J96),'Prepare Gantt Chart'!AC96=15,'Project types'!$L97*('Prepare Gantt Chart'!$I96*'Prepare Gantt Chart'!$J96),'Prepare Gantt Chart'!AC96=0,0)</f>
        <v>0</v>
      </c>
      <c r="AZ97" s="45">
        <f>_xlfn.IFS('Prepare Gantt Chart'!AD96=16,'Project types'!$L97*('Prepare Gantt Chart'!$I96*'Prepare Gantt Chart'!$J96),'Prepare Gantt Chart'!AD96=15,'Project types'!$L97*('Prepare Gantt Chart'!$I96*'Prepare Gantt Chart'!$J96),'Prepare Gantt Chart'!AD96=0,0)</f>
        <v>0</v>
      </c>
      <c r="BA97" s="45">
        <f>_xlfn.IFS('Prepare Gantt Chart'!AE96=16,'Project types'!$L97*('Prepare Gantt Chart'!$I96*'Prepare Gantt Chart'!$J96),'Prepare Gantt Chart'!AE96=15,'Project types'!$L97*('Prepare Gantt Chart'!$I96*'Prepare Gantt Chart'!$J96),'Prepare Gantt Chart'!AE96=0,0)</f>
        <v>0</v>
      </c>
      <c r="BB97" s="45">
        <f>_xlfn.IFS('Prepare Gantt Chart'!AF96=16,'Project types'!$L97*('Prepare Gantt Chart'!$I96*'Prepare Gantt Chart'!$J96),'Prepare Gantt Chart'!AF96=15,'Project types'!$L97*('Prepare Gantt Chart'!$I96*'Prepare Gantt Chart'!$J96),'Prepare Gantt Chart'!AF96=0,0)</f>
        <v>0</v>
      </c>
      <c r="BC97" s="45">
        <f>_xlfn.IFS('Prepare Gantt Chart'!AG96=16,'Project types'!$L97*('Prepare Gantt Chart'!$I96*'Prepare Gantt Chart'!$J96),'Prepare Gantt Chart'!AG96=15,'Project types'!$L97*('Prepare Gantt Chart'!$I96*'Prepare Gantt Chart'!$J96),'Prepare Gantt Chart'!AG96=0,0)</f>
        <v>0</v>
      </c>
      <c r="BD97" s="45">
        <f>_xlfn.IFS('Prepare Gantt Chart'!AH96=16,'Project types'!$L97*('Prepare Gantt Chart'!$I96*'Prepare Gantt Chart'!$J96),'Prepare Gantt Chart'!AH96=15,'Project types'!$L97*('Prepare Gantt Chart'!$I96*'Prepare Gantt Chart'!$J96),'Prepare Gantt Chart'!AH96=0,0)</f>
        <v>0</v>
      </c>
      <c r="BE97" s="45">
        <f>_xlfn.IFS('Prepare Gantt Chart'!AI96=16,'Project types'!$L97*('Prepare Gantt Chart'!$I96*'Prepare Gantt Chart'!$J96),'Prepare Gantt Chart'!AI96=15,'Project types'!$L97*('Prepare Gantt Chart'!$I96*'Prepare Gantt Chart'!$J96),'Prepare Gantt Chart'!AI96=0,0)</f>
        <v>0</v>
      </c>
      <c r="BF97" s="45">
        <f>_xlfn.IFS('Prepare Gantt Chart'!AJ96=16,'Project types'!$L97*('Prepare Gantt Chart'!$I96*'Prepare Gantt Chart'!$J96),'Prepare Gantt Chart'!AJ96=15,'Project types'!$L97*('Prepare Gantt Chart'!$I96*'Prepare Gantt Chart'!$J96),'Prepare Gantt Chart'!AJ96=0,0)</f>
        <v>0</v>
      </c>
      <c r="BG97" s="45">
        <f>_xlfn.IFS('Prepare Gantt Chart'!AK96=16,'Project types'!$L97*('Prepare Gantt Chart'!$I96*'Prepare Gantt Chart'!$J96),'Prepare Gantt Chart'!AK96=15,'Project types'!$L97*('Prepare Gantt Chart'!$I96*'Prepare Gantt Chart'!$J96),'Prepare Gantt Chart'!AK96=0,0)</f>
        <v>0</v>
      </c>
      <c r="BH97" s="45">
        <f>_xlfn.IFS('Prepare Gantt Chart'!AL96=16,'Project types'!$L97*('Prepare Gantt Chart'!$I96*'Prepare Gantt Chart'!$J96),'Prepare Gantt Chart'!AL96=15,'Project types'!$L97*('Prepare Gantt Chart'!$I96*'Prepare Gantt Chart'!$J96),'Prepare Gantt Chart'!AL96=0,0)</f>
        <v>0</v>
      </c>
      <c r="BI97" s="45">
        <f>_xlfn.IFS('Prepare Gantt Chart'!AM96=16,'Project types'!$L97*('Prepare Gantt Chart'!$I96*'Prepare Gantt Chart'!$J96),'Prepare Gantt Chart'!AM96=15,'Project types'!$L97*('Prepare Gantt Chart'!$I96*'Prepare Gantt Chart'!$J96),'Prepare Gantt Chart'!AM96=0,0)</f>
        <v>0</v>
      </c>
      <c r="BJ97" s="45">
        <f>_xlfn.IFS('Prepare Gantt Chart'!AN96=16,'Project types'!$L97*('Prepare Gantt Chart'!$I96*'Prepare Gantt Chart'!$J96),'Prepare Gantt Chart'!AN96=15,'Project types'!$L97*('Prepare Gantt Chart'!$I96*'Prepare Gantt Chart'!$J96),'Prepare Gantt Chart'!AN96=0,0)</f>
        <v>0</v>
      </c>
      <c r="BK97" s="45">
        <f>_xlfn.IFS('Prepare Gantt Chart'!AO96=16,'Project types'!$L97*('Prepare Gantt Chart'!$I96*'Prepare Gantt Chart'!$J96),'Prepare Gantt Chart'!AO96=15,'Project types'!$L97*('Prepare Gantt Chart'!$I96*'Prepare Gantt Chart'!$J96),'Prepare Gantt Chart'!AO96=0,0)</f>
        <v>0</v>
      </c>
      <c r="BL97" s="46">
        <f t="shared" si="3"/>
        <v>0</v>
      </c>
      <c r="BM97" s="75">
        <f>IF('Prepare Gantt Chart'!$J96=0,0,SUM(AL97:AQ97)/6/'Prepare Gantt Chart'!$J96)</f>
        <v>0</v>
      </c>
      <c r="BN97" s="75">
        <f>IF('Prepare Gantt Chart'!$J96=0,0,SUM(AR97:AV97)/5/'Prepare Gantt Chart'!$J96)</f>
        <v>0</v>
      </c>
      <c r="BO97" s="75">
        <f>IF('Prepare Gantt Chart'!$J96=0,0,SUM(AW97:BA97)/5/'Prepare Gantt Chart'!$J96)</f>
        <v>0</v>
      </c>
      <c r="BP97" s="75">
        <f>IF('Prepare Gantt Chart'!$J96=0,0,SUM(BB97:BF97)/5/'Prepare Gantt Chart'!$J96)</f>
        <v>0</v>
      </c>
      <c r="BQ97" s="75">
        <f>IF('Prepare Gantt Chart'!$J96=0,0,SUM(BG97:BK97)/5/'Prepare Gantt Chart'!$J96)</f>
        <v>0</v>
      </c>
    </row>
    <row r="98" spans="1:69" x14ac:dyDescent="0.2">
      <c r="A98" s="39" t="s">
        <v>90</v>
      </c>
      <c r="B98" s="1" t="s">
        <v>158</v>
      </c>
      <c r="C98" s="45">
        <f>_xlfn.IFS('Prepare Gantt Chart'!P97=16,'Project types'!$O98*('Prepare Gantt Chart'!$I97*'Prepare Gantt Chart'!$J97),'Prepare Gantt Chart'!P97=15,'Project types'!$Q98*('Prepare Gantt Chart'!$I97*'Prepare Gantt Chart'!$J97),'Prepare Gantt Chart'!P97=0,0)</f>
        <v>0</v>
      </c>
      <c r="D98" s="45">
        <f>_xlfn.IFS('Prepare Gantt Chart'!Q97=16,'Project types'!$O98*('Prepare Gantt Chart'!$I97*'Prepare Gantt Chart'!$J97),'Prepare Gantt Chart'!Q97=15,'Project types'!$Q98*('Prepare Gantt Chart'!$I97*'Prepare Gantt Chart'!$J97),'Prepare Gantt Chart'!Q97=0,0)</f>
        <v>0</v>
      </c>
      <c r="E98" s="45">
        <f>_xlfn.IFS('Prepare Gantt Chart'!R97=16,'Project types'!$O98*('Prepare Gantt Chart'!$I97*'Prepare Gantt Chart'!$J97),'Prepare Gantt Chart'!R97=15,'Project types'!$Q98*('Prepare Gantt Chart'!$I97*'Prepare Gantt Chart'!$J97),'Prepare Gantt Chart'!R97=0,0)</f>
        <v>0</v>
      </c>
      <c r="F98" s="45">
        <f>_xlfn.IFS('Prepare Gantt Chart'!S97=16,'Project types'!$O98*('Prepare Gantt Chart'!$I97*'Prepare Gantt Chart'!$J97),'Prepare Gantt Chart'!S97=15,'Project types'!$Q98*('Prepare Gantt Chart'!$I97*'Prepare Gantt Chart'!$J97),'Prepare Gantt Chart'!S97=0,0)</f>
        <v>0</v>
      </c>
      <c r="G98" s="45">
        <f>_xlfn.IFS('Prepare Gantt Chart'!T97=16,'Project types'!$O98*('Prepare Gantt Chart'!$I97*'Prepare Gantt Chart'!$J97),'Prepare Gantt Chart'!T97=15,'Project types'!$Q98*('Prepare Gantt Chart'!$I97*'Prepare Gantt Chart'!$J97),'Prepare Gantt Chart'!T97=0,0)</f>
        <v>0</v>
      </c>
      <c r="H98" s="45">
        <f>_xlfn.IFS('Prepare Gantt Chart'!U97=16,'Project types'!$O98*('Prepare Gantt Chart'!$I97*'Prepare Gantt Chart'!$J97),'Prepare Gantt Chart'!U97=15,'Project types'!$Q98*('Prepare Gantt Chart'!$I97*'Prepare Gantt Chart'!$J97),'Prepare Gantt Chart'!U97=0,0)</f>
        <v>0</v>
      </c>
      <c r="I98" s="45">
        <f>_xlfn.IFS('Prepare Gantt Chart'!V97=16,'Project types'!$O98*('Prepare Gantt Chart'!$I97*'Prepare Gantt Chart'!$J97),'Prepare Gantt Chart'!V97=15,'Project types'!$Q98*('Prepare Gantt Chart'!$I97*'Prepare Gantt Chart'!$J97),'Prepare Gantt Chart'!V97=0,0)</f>
        <v>0</v>
      </c>
      <c r="J98" s="45">
        <f>_xlfn.IFS('Prepare Gantt Chart'!W97=16,'Project types'!$O98*('Prepare Gantt Chart'!$I97*'Prepare Gantt Chart'!$J97),'Prepare Gantt Chart'!W97=15,'Project types'!$Q98*('Prepare Gantt Chart'!$I97*'Prepare Gantt Chart'!$J97),'Prepare Gantt Chart'!W97=0,0)</f>
        <v>0</v>
      </c>
      <c r="K98" s="45">
        <f>_xlfn.IFS('Prepare Gantt Chart'!X97=16,'Project types'!$O98*('Prepare Gantt Chart'!$I97*'Prepare Gantt Chart'!$J97),'Prepare Gantt Chart'!X97=15,'Project types'!$Q98*('Prepare Gantt Chart'!$I97*'Prepare Gantt Chart'!$J97),'Prepare Gantt Chart'!X97=0,0)</f>
        <v>0</v>
      </c>
      <c r="L98" s="45">
        <f>_xlfn.IFS('Prepare Gantt Chart'!Y97=16,'Project types'!$O98*('Prepare Gantt Chart'!$I97*'Prepare Gantt Chart'!$J97),'Prepare Gantt Chart'!Y97=15,'Project types'!$Q98*('Prepare Gantt Chart'!$I97*'Prepare Gantt Chart'!$J97),'Prepare Gantt Chart'!Y97=0,0)</f>
        <v>0</v>
      </c>
      <c r="M98" s="45">
        <f>_xlfn.IFS('Prepare Gantt Chart'!Z97=16,'Project types'!$O98*('Prepare Gantt Chart'!$I97*'Prepare Gantt Chart'!$J97),'Prepare Gantt Chart'!Z97=15,'Project types'!$Q98*('Prepare Gantt Chart'!$I97*'Prepare Gantt Chart'!$J97),'Prepare Gantt Chart'!Z97=0,0)</f>
        <v>0</v>
      </c>
      <c r="N98" s="45">
        <f>_xlfn.IFS('Prepare Gantt Chart'!AA97=16,'Project types'!$O98*('Prepare Gantt Chart'!$I97*'Prepare Gantt Chart'!$J97),'Prepare Gantt Chart'!AA97=15,'Project types'!$Q98*('Prepare Gantt Chart'!$I97*'Prepare Gantt Chart'!$J97),'Prepare Gantt Chart'!AA97=0,0)</f>
        <v>0</v>
      </c>
      <c r="O98" s="45">
        <f>_xlfn.IFS('Prepare Gantt Chart'!AB97=16,'Project types'!$O98*('Prepare Gantt Chart'!$I97*'Prepare Gantt Chart'!$J97),'Prepare Gantt Chart'!AB97=15,'Project types'!$Q98*('Prepare Gantt Chart'!$I97*'Prepare Gantt Chart'!$J97),'Prepare Gantt Chart'!AB97=0,0)</f>
        <v>0</v>
      </c>
      <c r="P98" s="45">
        <f>_xlfn.IFS('Prepare Gantt Chart'!AC97=16,'Project types'!$O98*('Prepare Gantt Chart'!$I97*'Prepare Gantt Chart'!$J97),'Prepare Gantt Chart'!AC97=15,'Project types'!$Q98*('Prepare Gantt Chart'!$I97*'Prepare Gantt Chart'!$J97),'Prepare Gantt Chart'!AC97=0,0)</f>
        <v>0</v>
      </c>
      <c r="Q98" s="45">
        <f>_xlfn.IFS('Prepare Gantt Chart'!AD97=16,'Project types'!$O98*('Prepare Gantt Chart'!$I97*'Prepare Gantt Chart'!$J97),'Prepare Gantt Chart'!AD97=15,'Project types'!$Q98*('Prepare Gantt Chart'!$I97*'Prepare Gantt Chart'!$J97),'Prepare Gantt Chart'!AD97=0,0)</f>
        <v>0</v>
      </c>
      <c r="R98" s="45">
        <f>_xlfn.IFS('Prepare Gantt Chart'!AE97=16,'Project types'!$O98*('Prepare Gantt Chart'!$I97*'Prepare Gantt Chart'!$J97),'Prepare Gantt Chart'!AE97=15,'Project types'!$Q98*('Prepare Gantt Chart'!$I97*'Prepare Gantt Chart'!$J97),'Prepare Gantt Chart'!AE97=0,0)</f>
        <v>0</v>
      </c>
      <c r="S98" s="45">
        <f>_xlfn.IFS('Prepare Gantt Chart'!AF97=16,'Project types'!$O98*('Prepare Gantt Chart'!$I97*'Prepare Gantt Chart'!$J97),'Prepare Gantt Chart'!AF97=15,'Project types'!$Q98*('Prepare Gantt Chart'!$I97*'Prepare Gantt Chart'!$J97),'Prepare Gantt Chart'!AF97=0,0)</f>
        <v>0</v>
      </c>
      <c r="T98" s="45">
        <f>_xlfn.IFS('Prepare Gantt Chart'!AG97=16,'Project types'!$O98*('Prepare Gantt Chart'!$I97*'Prepare Gantt Chart'!$J97),'Prepare Gantt Chart'!AG97=15,'Project types'!$Q98*('Prepare Gantt Chart'!$I97*'Prepare Gantt Chart'!$J97),'Prepare Gantt Chart'!AG97=0,0)</f>
        <v>0</v>
      </c>
      <c r="U98" s="45">
        <f>_xlfn.IFS('Prepare Gantt Chart'!AH97=16,'Project types'!$O98*('Prepare Gantt Chart'!$I97*'Prepare Gantt Chart'!$J97),'Prepare Gantt Chart'!AH97=15,'Project types'!$Q98*('Prepare Gantt Chart'!$I97*'Prepare Gantt Chart'!$J97),'Prepare Gantt Chart'!AH97=0,0)</f>
        <v>0</v>
      </c>
      <c r="V98" s="45">
        <f>_xlfn.IFS('Prepare Gantt Chart'!AI97=16,'Project types'!$O98*('Prepare Gantt Chart'!$I97*'Prepare Gantt Chart'!$J97),'Prepare Gantt Chart'!AI97=15,'Project types'!$Q98*('Prepare Gantt Chart'!$I97*'Prepare Gantt Chart'!$J97),'Prepare Gantt Chart'!AI97=0,0)</f>
        <v>0</v>
      </c>
      <c r="W98" s="45">
        <f>_xlfn.IFS('Prepare Gantt Chart'!AJ97=16,'Project types'!$O98*('Prepare Gantt Chart'!$I97*'Prepare Gantt Chart'!$J97),'Prepare Gantt Chart'!AJ97=15,'Project types'!$Q98*('Prepare Gantt Chart'!$I97*'Prepare Gantt Chart'!$J97),'Prepare Gantt Chart'!AJ97=0,0)</f>
        <v>0</v>
      </c>
      <c r="X98" s="45">
        <f>_xlfn.IFS('Prepare Gantt Chart'!AK97=16,'Project types'!$O98*('Prepare Gantt Chart'!$I97*'Prepare Gantt Chart'!$J97),'Prepare Gantt Chart'!AK97=15,'Project types'!$Q98*('Prepare Gantt Chart'!$I97*'Prepare Gantt Chart'!$J97),'Prepare Gantt Chart'!AK97=0,0)</f>
        <v>0</v>
      </c>
      <c r="Y98" s="45">
        <f>_xlfn.IFS('Prepare Gantt Chart'!AL97=16,'Project types'!$O98*('Prepare Gantt Chart'!$I97*'Prepare Gantt Chart'!$J97),'Prepare Gantt Chart'!AL97=15,'Project types'!$Q98*('Prepare Gantt Chart'!$I97*'Prepare Gantt Chart'!$J97),'Prepare Gantt Chart'!AL97=0,0)</f>
        <v>0</v>
      </c>
      <c r="Z98" s="45">
        <f>_xlfn.IFS('Prepare Gantt Chart'!AM97=16,'Project types'!$O98*('Prepare Gantt Chart'!$I97*'Prepare Gantt Chart'!$J97),'Prepare Gantt Chart'!AM97=15,'Project types'!$Q98*('Prepare Gantt Chart'!$I97*'Prepare Gantt Chart'!$J97),'Prepare Gantt Chart'!AM97=0,0)</f>
        <v>0</v>
      </c>
      <c r="AA98" s="45">
        <f>_xlfn.IFS('Prepare Gantt Chart'!AN97=16,'Project types'!$O98*('Prepare Gantt Chart'!$I97*'Prepare Gantt Chart'!$J97),'Prepare Gantt Chart'!AN97=15,'Project types'!$Q98*('Prepare Gantt Chart'!$I97*'Prepare Gantt Chart'!$J97),'Prepare Gantt Chart'!AN97=0,0)</f>
        <v>0</v>
      </c>
      <c r="AB98" s="45">
        <f>_xlfn.IFS('Prepare Gantt Chart'!AO97=16,'Project types'!$O98*('Prepare Gantt Chart'!$I97*'Prepare Gantt Chart'!$J97),'Prepare Gantt Chart'!AO97=15,'Project types'!$Q98*('Prepare Gantt Chart'!$I97*'Prepare Gantt Chart'!$J97),'Prepare Gantt Chart'!AO97=0,0)</f>
        <v>0</v>
      </c>
      <c r="AC98" s="45">
        <f>'Prepare Gantt Chart'!J97*'Prepare Gantt Chart'!I97*(AD98/26)</f>
        <v>0</v>
      </c>
      <c r="AD98" s="46">
        <f t="shared" si="2"/>
        <v>0</v>
      </c>
      <c r="AE98" s="72">
        <f>IF('Prepare Gantt Chart'!$J97=0,0,SUM(C98:H98)/6/'Prepare Gantt Chart'!$J97)</f>
        <v>0</v>
      </c>
      <c r="AF98" s="72">
        <f>IF('Prepare Gantt Chart'!$J97=0,0,SUM(I98:M98)/5/'Prepare Gantt Chart'!$J97)</f>
        <v>0</v>
      </c>
      <c r="AG98" s="72">
        <f>IF('Prepare Gantt Chart'!$J97=0,0,SUM(N98:R98)/5/'Prepare Gantt Chart'!$J97)</f>
        <v>0</v>
      </c>
      <c r="AH98" s="72">
        <f>IF('Prepare Gantt Chart'!$J97=0,0,SUM(S98:W98)/5/'Prepare Gantt Chart'!$J97)</f>
        <v>0</v>
      </c>
      <c r="AI98" s="72">
        <f>IF('Prepare Gantt Chart'!$J97=0,0,SUM(X98:AB98)/5/'Prepare Gantt Chart'!$J97)</f>
        <v>0</v>
      </c>
      <c r="AK98" s="39" t="s">
        <v>90</v>
      </c>
      <c r="AL98" s="45">
        <f>_xlfn.IFS('Prepare Gantt Chart'!P97=16,'Project types'!$L98*('Prepare Gantt Chart'!$I97*'Prepare Gantt Chart'!$J97),'Prepare Gantt Chart'!P97=15,'Project types'!$L98*('Prepare Gantt Chart'!$I97*'Prepare Gantt Chart'!$J97),'Prepare Gantt Chart'!P97=0,0)</f>
        <v>0</v>
      </c>
      <c r="AM98" s="45">
        <f>_xlfn.IFS('Prepare Gantt Chart'!Q97=16,'Project types'!$L98*('Prepare Gantt Chart'!$I97*'Prepare Gantt Chart'!$J97),'Prepare Gantt Chart'!Q97=15,'Project types'!$L98*('Prepare Gantt Chart'!$I97*'Prepare Gantt Chart'!$J97),'Prepare Gantt Chart'!Q97=0,0)</f>
        <v>0</v>
      </c>
      <c r="AN98" s="45">
        <f>_xlfn.IFS('Prepare Gantt Chart'!R97=16,'Project types'!$L98*('Prepare Gantt Chart'!$I97*'Prepare Gantt Chart'!$J97),'Prepare Gantt Chart'!R97=15,'Project types'!$L98*('Prepare Gantt Chart'!$I97*'Prepare Gantt Chart'!$J97),'Prepare Gantt Chart'!R97=0,0)</f>
        <v>0</v>
      </c>
      <c r="AO98" s="45">
        <f>_xlfn.IFS('Prepare Gantt Chart'!S97=16,'Project types'!$L98*('Prepare Gantt Chart'!$I97*'Prepare Gantt Chart'!$J97),'Prepare Gantt Chart'!S97=15,'Project types'!$L98*('Prepare Gantt Chart'!$I97*'Prepare Gantt Chart'!$J97),'Prepare Gantt Chart'!S97=0,0)</f>
        <v>0</v>
      </c>
      <c r="AP98" s="45">
        <f>_xlfn.IFS('Prepare Gantt Chart'!T97=16,'Project types'!$L98*('Prepare Gantt Chart'!$I97*'Prepare Gantt Chart'!$J97),'Prepare Gantt Chart'!T97=15,'Project types'!$L98*('Prepare Gantt Chart'!$I97*'Prepare Gantt Chart'!$J97),'Prepare Gantt Chart'!T97=0,0)</f>
        <v>0</v>
      </c>
      <c r="AQ98" s="45">
        <f>_xlfn.IFS('Prepare Gantt Chart'!U97=16,'Project types'!$L98*('Prepare Gantt Chart'!$I97*'Prepare Gantt Chart'!$J97),'Prepare Gantt Chart'!U97=15,'Project types'!$L98*('Prepare Gantt Chart'!$I97*'Prepare Gantt Chart'!$J97),'Prepare Gantt Chart'!U97=0,0)</f>
        <v>0</v>
      </c>
      <c r="AR98" s="45">
        <f>_xlfn.IFS('Prepare Gantt Chart'!V97=16,'Project types'!$L98*('Prepare Gantt Chart'!$I97*'Prepare Gantt Chart'!$J97),'Prepare Gantt Chart'!V97=15,'Project types'!$L98*('Prepare Gantt Chart'!$I97*'Prepare Gantt Chart'!$J97),'Prepare Gantt Chart'!V97=0,0)</f>
        <v>0</v>
      </c>
      <c r="AS98" s="45">
        <f>_xlfn.IFS('Prepare Gantt Chart'!W97=16,'Project types'!$L98*('Prepare Gantt Chart'!$I97*'Prepare Gantt Chart'!$J97),'Prepare Gantt Chart'!W97=15,'Project types'!$L98*('Prepare Gantt Chart'!$I97*'Prepare Gantt Chart'!$J97),'Prepare Gantt Chart'!W97=0,0)</f>
        <v>0</v>
      </c>
      <c r="AT98" s="45">
        <f>_xlfn.IFS('Prepare Gantt Chart'!X97=16,'Project types'!$L98*('Prepare Gantt Chart'!$I97*'Prepare Gantt Chart'!$J97),'Prepare Gantt Chart'!X97=15,'Project types'!$L98*('Prepare Gantt Chart'!$I97*'Prepare Gantt Chart'!$J97),'Prepare Gantt Chart'!X97=0,0)</f>
        <v>0</v>
      </c>
      <c r="AU98" s="45">
        <f>_xlfn.IFS('Prepare Gantt Chart'!Y97=16,'Project types'!$L98*('Prepare Gantt Chart'!$I97*'Prepare Gantt Chart'!$J97),'Prepare Gantt Chart'!Y97=15,'Project types'!$L98*('Prepare Gantt Chart'!$I97*'Prepare Gantt Chart'!$J97),'Prepare Gantt Chart'!Y97=0,0)</f>
        <v>0</v>
      </c>
      <c r="AV98" s="45">
        <f>_xlfn.IFS('Prepare Gantt Chart'!Z97=16,'Project types'!$L98*('Prepare Gantt Chart'!$I97*'Prepare Gantt Chart'!$J97),'Prepare Gantt Chart'!Z97=15,'Project types'!$L98*('Prepare Gantt Chart'!$I97*'Prepare Gantt Chart'!$J97),'Prepare Gantt Chart'!Z97=0,0)</f>
        <v>0</v>
      </c>
      <c r="AW98" s="45">
        <f>_xlfn.IFS('Prepare Gantt Chart'!AA97=16,'Project types'!$L98*('Prepare Gantt Chart'!$I97*'Prepare Gantt Chart'!$J97),'Prepare Gantt Chart'!AA97=15,'Project types'!$L98*('Prepare Gantt Chart'!$I97*'Prepare Gantt Chart'!$J97),'Prepare Gantt Chart'!AA97=0,0)</f>
        <v>0</v>
      </c>
      <c r="AX98" s="45">
        <f>_xlfn.IFS('Prepare Gantt Chart'!AB97=16,'Project types'!$L98*('Prepare Gantt Chart'!$I97*'Prepare Gantt Chart'!$J97),'Prepare Gantt Chart'!AB97=15,'Project types'!$L98*('Prepare Gantt Chart'!$I97*'Prepare Gantt Chart'!$J97),'Prepare Gantt Chart'!AB97=0,0)</f>
        <v>0</v>
      </c>
      <c r="AY98" s="45">
        <f>_xlfn.IFS('Prepare Gantt Chart'!AC97=16,'Project types'!$L98*('Prepare Gantt Chart'!$I97*'Prepare Gantt Chart'!$J97),'Prepare Gantt Chart'!AC97=15,'Project types'!$L98*('Prepare Gantt Chart'!$I97*'Prepare Gantt Chart'!$J97),'Prepare Gantt Chart'!AC97=0,0)</f>
        <v>0</v>
      </c>
      <c r="AZ98" s="45">
        <f>_xlfn.IFS('Prepare Gantt Chart'!AD97=16,'Project types'!$L98*('Prepare Gantt Chart'!$I97*'Prepare Gantt Chart'!$J97),'Prepare Gantt Chart'!AD97=15,'Project types'!$L98*('Prepare Gantt Chart'!$I97*'Prepare Gantt Chart'!$J97),'Prepare Gantt Chart'!AD97=0,0)</f>
        <v>0</v>
      </c>
      <c r="BA98" s="45">
        <f>_xlfn.IFS('Prepare Gantt Chart'!AE97=16,'Project types'!$L98*('Prepare Gantt Chart'!$I97*'Prepare Gantt Chart'!$J97),'Prepare Gantt Chart'!AE97=15,'Project types'!$L98*('Prepare Gantt Chart'!$I97*'Prepare Gantt Chart'!$J97),'Prepare Gantt Chart'!AE97=0,0)</f>
        <v>0</v>
      </c>
      <c r="BB98" s="45">
        <f>_xlfn.IFS('Prepare Gantt Chart'!AF97=16,'Project types'!$L98*('Prepare Gantt Chart'!$I97*'Prepare Gantt Chart'!$J97),'Prepare Gantt Chart'!AF97=15,'Project types'!$L98*('Prepare Gantt Chart'!$I97*'Prepare Gantt Chart'!$J97),'Prepare Gantt Chart'!AF97=0,0)</f>
        <v>0</v>
      </c>
      <c r="BC98" s="45">
        <f>_xlfn.IFS('Prepare Gantt Chart'!AG97=16,'Project types'!$L98*('Prepare Gantt Chart'!$I97*'Prepare Gantt Chart'!$J97),'Prepare Gantt Chart'!AG97=15,'Project types'!$L98*('Prepare Gantt Chart'!$I97*'Prepare Gantt Chart'!$J97),'Prepare Gantt Chart'!AG97=0,0)</f>
        <v>0</v>
      </c>
      <c r="BD98" s="45">
        <f>_xlfn.IFS('Prepare Gantt Chart'!AH97=16,'Project types'!$L98*('Prepare Gantt Chart'!$I97*'Prepare Gantt Chart'!$J97),'Prepare Gantt Chart'!AH97=15,'Project types'!$L98*('Prepare Gantt Chart'!$I97*'Prepare Gantt Chart'!$J97),'Prepare Gantt Chart'!AH97=0,0)</f>
        <v>0</v>
      </c>
      <c r="BE98" s="45">
        <f>_xlfn.IFS('Prepare Gantt Chart'!AI97=16,'Project types'!$L98*('Prepare Gantt Chart'!$I97*'Prepare Gantt Chart'!$J97),'Prepare Gantt Chart'!AI97=15,'Project types'!$L98*('Prepare Gantt Chart'!$I97*'Prepare Gantt Chart'!$J97),'Prepare Gantt Chart'!AI97=0,0)</f>
        <v>0</v>
      </c>
      <c r="BF98" s="45">
        <f>_xlfn.IFS('Prepare Gantt Chart'!AJ97=16,'Project types'!$L98*('Prepare Gantt Chart'!$I97*'Prepare Gantt Chart'!$J97),'Prepare Gantt Chart'!AJ97=15,'Project types'!$L98*('Prepare Gantt Chart'!$I97*'Prepare Gantt Chart'!$J97),'Prepare Gantt Chart'!AJ97=0,0)</f>
        <v>0</v>
      </c>
      <c r="BG98" s="45">
        <f>_xlfn.IFS('Prepare Gantt Chart'!AK97=16,'Project types'!$L98*('Prepare Gantt Chart'!$I97*'Prepare Gantt Chart'!$J97),'Prepare Gantt Chart'!AK97=15,'Project types'!$L98*('Prepare Gantt Chart'!$I97*'Prepare Gantt Chart'!$J97),'Prepare Gantt Chart'!AK97=0,0)</f>
        <v>0</v>
      </c>
      <c r="BH98" s="45">
        <f>_xlfn.IFS('Prepare Gantt Chart'!AL97=16,'Project types'!$L98*('Prepare Gantt Chart'!$I97*'Prepare Gantt Chart'!$J97),'Prepare Gantt Chart'!AL97=15,'Project types'!$L98*('Prepare Gantt Chart'!$I97*'Prepare Gantt Chart'!$J97),'Prepare Gantt Chart'!AL97=0,0)</f>
        <v>0</v>
      </c>
      <c r="BI98" s="45">
        <f>_xlfn.IFS('Prepare Gantt Chart'!AM97=16,'Project types'!$L98*('Prepare Gantt Chart'!$I97*'Prepare Gantt Chart'!$J97),'Prepare Gantt Chart'!AM97=15,'Project types'!$L98*('Prepare Gantt Chart'!$I97*'Prepare Gantt Chart'!$J97),'Prepare Gantt Chart'!AM97=0,0)</f>
        <v>0</v>
      </c>
      <c r="BJ98" s="45">
        <f>_xlfn.IFS('Prepare Gantt Chart'!AN97=16,'Project types'!$L98*('Prepare Gantt Chart'!$I97*'Prepare Gantt Chart'!$J97),'Prepare Gantt Chart'!AN97=15,'Project types'!$L98*('Prepare Gantt Chart'!$I97*'Prepare Gantt Chart'!$J97),'Prepare Gantt Chart'!AN97=0,0)</f>
        <v>0</v>
      </c>
      <c r="BK98" s="45">
        <f>_xlfn.IFS('Prepare Gantt Chart'!AO97=16,'Project types'!$L98*('Prepare Gantt Chart'!$I97*'Prepare Gantt Chart'!$J97),'Prepare Gantt Chart'!AO97=15,'Project types'!$L98*('Prepare Gantt Chart'!$I97*'Prepare Gantt Chart'!$J97),'Prepare Gantt Chart'!AO97=0,0)</f>
        <v>0</v>
      </c>
      <c r="BL98" s="46">
        <f t="shared" si="3"/>
        <v>0</v>
      </c>
      <c r="BM98" s="75">
        <f>IF('Prepare Gantt Chart'!$J97=0,0,SUM(AL98:AQ98)/6/'Prepare Gantt Chart'!$J97)</f>
        <v>0</v>
      </c>
      <c r="BN98" s="75">
        <f>IF('Prepare Gantt Chart'!$J97=0,0,SUM(AR98:AV98)/5/'Prepare Gantt Chart'!$J97)</f>
        <v>0</v>
      </c>
      <c r="BO98" s="75">
        <f>IF('Prepare Gantt Chart'!$J97=0,0,SUM(AW98:BA98)/5/'Prepare Gantt Chart'!$J97)</f>
        <v>0</v>
      </c>
      <c r="BP98" s="75">
        <f>IF('Prepare Gantt Chart'!$J97=0,0,SUM(BB98:BF98)/5/'Prepare Gantt Chart'!$J97)</f>
        <v>0</v>
      </c>
      <c r="BQ98" s="75">
        <f>IF('Prepare Gantt Chart'!$J97=0,0,SUM(BG98:BK98)/5/'Prepare Gantt Chart'!$J97)</f>
        <v>0</v>
      </c>
    </row>
    <row r="99" spans="1:69" x14ac:dyDescent="0.2">
      <c r="A99" s="39" t="s">
        <v>91</v>
      </c>
      <c r="B99" s="1" t="s">
        <v>124</v>
      </c>
      <c r="C99" s="45">
        <f>_xlfn.IFS('Prepare Gantt Chart'!P98=16,'Project types'!$O99*('Prepare Gantt Chart'!$I98*'Prepare Gantt Chart'!$J98),'Prepare Gantt Chart'!P98=15,'Project types'!$Q99*('Prepare Gantt Chart'!$I98*'Prepare Gantt Chart'!$J98),'Prepare Gantt Chart'!P98=0,0)</f>
        <v>0</v>
      </c>
      <c r="D99" s="45">
        <f>_xlfn.IFS('Prepare Gantt Chart'!Q98=16,'Project types'!$O99*('Prepare Gantt Chart'!$I98*'Prepare Gantt Chart'!$J98),'Prepare Gantt Chart'!Q98=15,'Project types'!$Q99*('Prepare Gantt Chart'!$I98*'Prepare Gantt Chart'!$J98),'Prepare Gantt Chart'!Q98=0,0)</f>
        <v>0</v>
      </c>
      <c r="E99" s="45">
        <f>_xlfn.IFS('Prepare Gantt Chart'!R98=16,'Project types'!$O99*('Prepare Gantt Chart'!$I98*'Prepare Gantt Chart'!$J98),'Prepare Gantt Chart'!R98=15,'Project types'!$Q99*('Prepare Gantt Chart'!$I98*'Prepare Gantt Chart'!$J98),'Prepare Gantt Chart'!R98=0,0)</f>
        <v>0</v>
      </c>
      <c r="F99" s="45">
        <f>_xlfn.IFS('Prepare Gantt Chart'!S98=16,'Project types'!$O99*('Prepare Gantt Chart'!$I98*'Prepare Gantt Chart'!$J98),'Prepare Gantt Chart'!S98=15,'Project types'!$Q99*('Prepare Gantt Chart'!$I98*'Prepare Gantt Chart'!$J98),'Prepare Gantt Chart'!S98=0,0)</f>
        <v>0</v>
      </c>
      <c r="G99" s="45">
        <f>_xlfn.IFS('Prepare Gantt Chart'!T98=16,'Project types'!$O99*('Prepare Gantt Chart'!$I98*'Prepare Gantt Chart'!$J98),'Prepare Gantt Chart'!T98=15,'Project types'!$Q99*('Prepare Gantt Chart'!$I98*'Prepare Gantt Chart'!$J98),'Prepare Gantt Chart'!T98=0,0)</f>
        <v>0</v>
      </c>
      <c r="H99" s="45">
        <f>_xlfn.IFS('Prepare Gantt Chart'!U98=16,'Project types'!$O99*('Prepare Gantt Chart'!$I98*'Prepare Gantt Chart'!$J98),'Prepare Gantt Chart'!U98=15,'Project types'!$Q99*('Prepare Gantt Chart'!$I98*'Prepare Gantt Chart'!$J98),'Prepare Gantt Chart'!U98=0,0)</f>
        <v>0</v>
      </c>
      <c r="I99" s="45">
        <f>_xlfn.IFS('Prepare Gantt Chart'!V98=16,'Project types'!$O99*('Prepare Gantt Chart'!$I98*'Prepare Gantt Chart'!$J98),'Prepare Gantt Chart'!V98=15,'Project types'!$Q99*('Prepare Gantt Chart'!$I98*'Prepare Gantt Chart'!$J98),'Prepare Gantt Chart'!V98=0,0)</f>
        <v>0</v>
      </c>
      <c r="J99" s="45">
        <f>_xlfn.IFS('Prepare Gantt Chart'!W98=16,'Project types'!$O99*('Prepare Gantt Chart'!$I98*'Prepare Gantt Chart'!$J98),'Prepare Gantt Chart'!W98=15,'Project types'!$Q99*('Prepare Gantt Chart'!$I98*'Prepare Gantt Chart'!$J98),'Prepare Gantt Chart'!W98=0,0)</f>
        <v>0</v>
      </c>
      <c r="K99" s="45">
        <f>_xlfn.IFS('Prepare Gantt Chart'!X98=16,'Project types'!$O99*('Prepare Gantt Chart'!$I98*'Prepare Gantt Chart'!$J98),'Prepare Gantt Chart'!X98=15,'Project types'!$Q99*('Prepare Gantt Chart'!$I98*'Prepare Gantt Chart'!$J98),'Prepare Gantt Chart'!X98=0,0)</f>
        <v>0</v>
      </c>
      <c r="L99" s="45">
        <f>_xlfn.IFS('Prepare Gantt Chart'!Y98=16,'Project types'!$O99*('Prepare Gantt Chart'!$I98*'Prepare Gantt Chart'!$J98),'Prepare Gantt Chart'!Y98=15,'Project types'!$Q99*('Prepare Gantt Chart'!$I98*'Prepare Gantt Chart'!$J98),'Prepare Gantt Chart'!Y98=0,0)</f>
        <v>0</v>
      </c>
      <c r="M99" s="45">
        <f>_xlfn.IFS('Prepare Gantt Chart'!Z98=16,'Project types'!$O99*('Prepare Gantt Chart'!$I98*'Prepare Gantt Chart'!$J98),'Prepare Gantt Chart'!Z98=15,'Project types'!$Q99*('Prepare Gantt Chart'!$I98*'Prepare Gantt Chart'!$J98),'Prepare Gantt Chart'!Z98=0,0)</f>
        <v>0</v>
      </c>
      <c r="N99" s="45">
        <f>_xlfn.IFS('Prepare Gantt Chart'!AA98=16,'Project types'!$O99*('Prepare Gantt Chart'!$I98*'Prepare Gantt Chart'!$J98),'Prepare Gantt Chart'!AA98=15,'Project types'!$Q99*('Prepare Gantt Chart'!$I98*'Prepare Gantt Chart'!$J98),'Prepare Gantt Chart'!AA98=0,0)</f>
        <v>0</v>
      </c>
      <c r="O99" s="45">
        <f>_xlfn.IFS('Prepare Gantt Chart'!AB98=16,'Project types'!$O99*('Prepare Gantt Chart'!$I98*'Prepare Gantt Chart'!$J98),'Prepare Gantt Chart'!AB98=15,'Project types'!$Q99*('Prepare Gantt Chart'!$I98*'Prepare Gantt Chart'!$J98),'Prepare Gantt Chart'!AB98=0,0)</f>
        <v>0</v>
      </c>
      <c r="P99" s="45">
        <f>_xlfn.IFS('Prepare Gantt Chart'!AC98=16,'Project types'!$O99*('Prepare Gantt Chart'!$I98*'Prepare Gantt Chart'!$J98),'Prepare Gantt Chart'!AC98=15,'Project types'!$Q99*('Prepare Gantt Chart'!$I98*'Prepare Gantt Chart'!$J98),'Prepare Gantt Chart'!AC98=0,0)</f>
        <v>0</v>
      </c>
      <c r="Q99" s="45">
        <f>_xlfn.IFS('Prepare Gantt Chart'!AD98=16,'Project types'!$O99*('Prepare Gantt Chart'!$I98*'Prepare Gantt Chart'!$J98),'Prepare Gantt Chart'!AD98=15,'Project types'!$Q99*('Prepare Gantt Chart'!$I98*'Prepare Gantt Chart'!$J98),'Prepare Gantt Chart'!AD98=0,0)</f>
        <v>0</v>
      </c>
      <c r="R99" s="45">
        <f>_xlfn.IFS('Prepare Gantt Chart'!AE98=16,'Project types'!$O99*('Prepare Gantt Chart'!$I98*'Prepare Gantt Chart'!$J98),'Prepare Gantt Chart'!AE98=15,'Project types'!$Q99*('Prepare Gantt Chart'!$I98*'Prepare Gantt Chart'!$J98),'Prepare Gantt Chart'!AE98=0,0)</f>
        <v>0</v>
      </c>
      <c r="S99" s="45">
        <f>_xlfn.IFS('Prepare Gantt Chart'!AF98=16,'Project types'!$O99*('Prepare Gantt Chart'!$I98*'Prepare Gantt Chart'!$J98),'Prepare Gantt Chart'!AF98=15,'Project types'!$Q99*('Prepare Gantt Chart'!$I98*'Prepare Gantt Chart'!$J98),'Prepare Gantt Chart'!AF98=0,0)</f>
        <v>0</v>
      </c>
      <c r="T99" s="45">
        <f>_xlfn.IFS('Prepare Gantt Chart'!AG98=16,'Project types'!$O99*('Prepare Gantt Chart'!$I98*'Prepare Gantt Chart'!$J98),'Prepare Gantt Chart'!AG98=15,'Project types'!$Q99*('Prepare Gantt Chart'!$I98*'Prepare Gantt Chart'!$J98),'Prepare Gantt Chart'!AG98=0,0)</f>
        <v>0</v>
      </c>
      <c r="U99" s="45">
        <f>_xlfn.IFS('Prepare Gantt Chart'!AH98=16,'Project types'!$O99*('Prepare Gantt Chart'!$I98*'Prepare Gantt Chart'!$J98),'Prepare Gantt Chart'!AH98=15,'Project types'!$Q99*('Prepare Gantt Chart'!$I98*'Prepare Gantt Chart'!$J98),'Prepare Gantt Chart'!AH98=0,0)</f>
        <v>0</v>
      </c>
      <c r="V99" s="45">
        <f>_xlfn.IFS('Prepare Gantt Chart'!AI98=16,'Project types'!$O99*('Prepare Gantt Chart'!$I98*'Prepare Gantt Chart'!$J98),'Prepare Gantt Chart'!AI98=15,'Project types'!$Q99*('Prepare Gantt Chart'!$I98*'Prepare Gantt Chart'!$J98),'Prepare Gantt Chart'!AI98=0,0)</f>
        <v>0</v>
      </c>
      <c r="W99" s="45">
        <f>_xlfn.IFS('Prepare Gantt Chart'!AJ98=16,'Project types'!$O99*('Prepare Gantt Chart'!$I98*'Prepare Gantt Chart'!$J98),'Prepare Gantt Chart'!AJ98=15,'Project types'!$Q99*('Prepare Gantt Chart'!$I98*'Prepare Gantt Chart'!$J98),'Prepare Gantt Chart'!AJ98=0,0)</f>
        <v>0</v>
      </c>
      <c r="X99" s="45">
        <f>_xlfn.IFS('Prepare Gantt Chart'!AK98=16,'Project types'!$O99*('Prepare Gantt Chart'!$I98*'Prepare Gantt Chart'!$J98),'Prepare Gantt Chart'!AK98=15,'Project types'!$Q99*('Prepare Gantt Chart'!$I98*'Prepare Gantt Chart'!$J98),'Prepare Gantt Chart'!AK98=0,0)</f>
        <v>0</v>
      </c>
      <c r="Y99" s="45">
        <f>_xlfn.IFS('Prepare Gantt Chart'!AL98=16,'Project types'!$O99*('Prepare Gantt Chart'!$I98*'Prepare Gantt Chart'!$J98),'Prepare Gantt Chart'!AL98=15,'Project types'!$Q99*('Prepare Gantt Chart'!$I98*'Prepare Gantt Chart'!$J98),'Prepare Gantt Chart'!AL98=0,0)</f>
        <v>0</v>
      </c>
      <c r="Z99" s="45">
        <f>_xlfn.IFS('Prepare Gantt Chart'!AM98=16,'Project types'!$O99*('Prepare Gantt Chart'!$I98*'Prepare Gantt Chart'!$J98),'Prepare Gantt Chart'!AM98=15,'Project types'!$Q99*('Prepare Gantt Chart'!$I98*'Prepare Gantt Chart'!$J98),'Prepare Gantt Chart'!AM98=0,0)</f>
        <v>0</v>
      </c>
      <c r="AA99" s="45">
        <f>_xlfn.IFS('Prepare Gantt Chart'!AN98=16,'Project types'!$O99*('Prepare Gantt Chart'!$I98*'Prepare Gantt Chart'!$J98),'Prepare Gantt Chart'!AN98=15,'Project types'!$Q99*('Prepare Gantt Chart'!$I98*'Prepare Gantt Chart'!$J98),'Prepare Gantt Chart'!AN98=0,0)</f>
        <v>0</v>
      </c>
      <c r="AB99" s="45">
        <f>_xlfn.IFS('Prepare Gantt Chart'!AO98=16,'Project types'!$O99*('Prepare Gantt Chart'!$I98*'Prepare Gantt Chart'!$J98),'Prepare Gantt Chart'!AO98=15,'Project types'!$Q99*('Prepare Gantt Chart'!$I98*'Prepare Gantt Chart'!$J98),'Prepare Gantt Chart'!AO98=0,0)</f>
        <v>0</v>
      </c>
      <c r="AC99" s="45">
        <f>'Prepare Gantt Chart'!J98*'Prepare Gantt Chart'!I98*(AD99/26)</f>
        <v>0</v>
      </c>
      <c r="AD99" s="46">
        <f t="shared" si="2"/>
        <v>0</v>
      </c>
      <c r="AE99" s="72">
        <f>IF('Prepare Gantt Chart'!$J98=0,0,SUM(C99:H99)/6/'Prepare Gantt Chart'!$J98)</f>
        <v>0</v>
      </c>
      <c r="AF99" s="72">
        <f>IF('Prepare Gantt Chart'!$J98=0,0,SUM(I99:M99)/5/'Prepare Gantt Chart'!$J98)</f>
        <v>0</v>
      </c>
      <c r="AG99" s="72">
        <f>IF('Prepare Gantt Chart'!$J98=0,0,SUM(N99:R99)/5/'Prepare Gantt Chart'!$J98)</f>
        <v>0</v>
      </c>
      <c r="AH99" s="72">
        <f>IF('Prepare Gantt Chart'!$J98=0,0,SUM(S99:W99)/5/'Prepare Gantt Chart'!$J98)</f>
        <v>0</v>
      </c>
      <c r="AI99" s="72">
        <f>IF('Prepare Gantt Chart'!$J98=0,0,SUM(X99:AB99)/5/'Prepare Gantt Chart'!$J98)</f>
        <v>0</v>
      </c>
      <c r="AK99" s="39" t="s">
        <v>91</v>
      </c>
      <c r="AL99" s="45">
        <f>_xlfn.IFS('Prepare Gantt Chart'!P98=16,'Project types'!$L99*('Prepare Gantt Chart'!$I98*'Prepare Gantt Chart'!$J98),'Prepare Gantt Chart'!P98=15,'Project types'!$L99*('Prepare Gantt Chart'!$I98*'Prepare Gantt Chart'!$J98),'Prepare Gantt Chart'!P98=0,0)</f>
        <v>0</v>
      </c>
      <c r="AM99" s="45">
        <f>_xlfn.IFS('Prepare Gantt Chart'!Q98=16,'Project types'!$L99*('Prepare Gantt Chart'!$I98*'Prepare Gantt Chart'!$J98),'Prepare Gantt Chart'!Q98=15,'Project types'!$L99*('Prepare Gantt Chart'!$I98*'Prepare Gantt Chart'!$J98),'Prepare Gantt Chart'!Q98=0,0)</f>
        <v>0</v>
      </c>
      <c r="AN99" s="45">
        <f>_xlfn.IFS('Prepare Gantt Chart'!R98=16,'Project types'!$L99*('Prepare Gantt Chart'!$I98*'Prepare Gantt Chart'!$J98),'Prepare Gantt Chart'!R98=15,'Project types'!$L99*('Prepare Gantt Chart'!$I98*'Prepare Gantt Chart'!$J98),'Prepare Gantt Chart'!R98=0,0)</f>
        <v>0</v>
      </c>
      <c r="AO99" s="45">
        <f>_xlfn.IFS('Prepare Gantt Chart'!S98=16,'Project types'!$L99*('Prepare Gantt Chart'!$I98*'Prepare Gantt Chart'!$J98),'Prepare Gantt Chart'!S98=15,'Project types'!$L99*('Prepare Gantt Chart'!$I98*'Prepare Gantt Chart'!$J98),'Prepare Gantt Chart'!S98=0,0)</f>
        <v>0</v>
      </c>
      <c r="AP99" s="45">
        <f>_xlfn.IFS('Prepare Gantt Chart'!T98=16,'Project types'!$L99*('Prepare Gantt Chart'!$I98*'Prepare Gantt Chart'!$J98),'Prepare Gantt Chart'!T98=15,'Project types'!$L99*('Prepare Gantt Chart'!$I98*'Prepare Gantt Chart'!$J98),'Prepare Gantt Chart'!T98=0,0)</f>
        <v>0</v>
      </c>
      <c r="AQ99" s="45">
        <f>_xlfn.IFS('Prepare Gantt Chart'!U98=16,'Project types'!$L99*('Prepare Gantt Chart'!$I98*'Prepare Gantt Chart'!$J98),'Prepare Gantt Chart'!U98=15,'Project types'!$L99*('Prepare Gantt Chart'!$I98*'Prepare Gantt Chart'!$J98),'Prepare Gantt Chart'!U98=0,0)</f>
        <v>0</v>
      </c>
      <c r="AR99" s="45">
        <f>_xlfn.IFS('Prepare Gantt Chart'!V98=16,'Project types'!$L99*('Prepare Gantt Chart'!$I98*'Prepare Gantt Chart'!$J98),'Prepare Gantt Chart'!V98=15,'Project types'!$L99*('Prepare Gantt Chart'!$I98*'Prepare Gantt Chart'!$J98),'Prepare Gantt Chart'!V98=0,0)</f>
        <v>0</v>
      </c>
      <c r="AS99" s="45">
        <f>_xlfn.IFS('Prepare Gantt Chart'!W98=16,'Project types'!$L99*('Prepare Gantt Chart'!$I98*'Prepare Gantt Chart'!$J98),'Prepare Gantt Chart'!W98=15,'Project types'!$L99*('Prepare Gantt Chart'!$I98*'Prepare Gantt Chart'!$J98),'Prepare Gantt Chart'!W98=0,0)</f>
        <v>0</v>
      </c>
      <c r="AT99" s="45">
        <f>_xlfn.IFS('Prepare Gantt Chart'!X98=16,'Project types'!$L99*('Prepare Gantt Chart'!$I98*'Prepare Gantt Chart'!$J98),'Prepare Gantt Chart'!X98=15,'Project types'!$L99*('Prepare Gantt Chart'!$I98*'Prepare Gantt Chart'!$J98),'Prepare Gantt Chart'!X98=0,0)</f>
        <v>0</v>
      </c>
      <c r="AU99" s="45">
        <f>_xlfn.IFS('Prepare Gantt Chart'!Y98=16,'Project types'!$L99*('Prepare Gantt Chart'!$I98*'Prepare Gantt Chart'!$J98),'Prepare Gantt Chart'!Y98=15,'Project types'!$L99*('Prepare Gantt Chart'!$I98*'Prepare Gantt Chart'!$J98),'Prepare Gantt Chart'!Y98=0,0)</f>
        <v>0</v>
      </c>
      <c r="AV99" s="45">
        <f>_xlfn.IFS('Prepare Gantt Chart'!Z98=16,'Project types'!$L99*('Prepare Gantt Chart'!$I98*'Prepare Gantt Chart'!$J98),'Prepare Gantt Chart'!Z98=15,'Project types'!$L99*('Prepare Gantt Chart'!$I98*'Prepare Gantt Chart'!$J98),'Prepare Gantt Chart'!Z98=0,0)</f>
        <v>0</v>
      </c>
      <c r="AW99" s="45">
        <f>_xlfn.IFS('Prepare Gantt Chart'!AA98=16,'Project types'!$L99*('Prepare Gantt Chart'!$I98*'Prepare Gantt Chart'!$J98),'Prepare Gantt Chart'!AA98=15,'Project types'!$L99*('Prepare Gantt Chart'!$I98*'Prepare Gantt Chart'!$J98),'Prepare Gantt Chart'!AA98=0,0)</f>
        <v>0</v>
      </c>
      <c r="AX99" s="45">
        <f>_xlfn.IFS('Prepare Gantt Chart'!AB98=16,'Project types'!$L99*('Prepare Gantt Chart'!$I98*'Prepare Gantt Chart'!$J98),'Prepare Gantt Chart'!AB98=15,'Project types'!$L99*('Prepare Gantt Chart'!$I98*'Prepare Gantt Chart'!$J98),'Prepare Gantt Chart'!AB98=0,0)</f>
        <v>0</v>
      </c>
      <c r="AY99" s="45">
        <f>_xlfn.IFS('Prepare Gantt Chart'!AC98=16,'Project types'!$L99*('Prepare Gantt Chart'!$I98*'Prepare Gantt Chart'!$J98),'Prepare Gantt Chart'!AC98=15,'Project types'!$L99*('Prepare Gantt Chart'!$I98*'Prepare Gantt Chart'!$J98),'Prepare Gantt Chart'!AC98=0,0)</f>
        <v>0</v>
      </c>
      <c r="AZ99" s="45">
        <f>_xlfn.IFS('Prepare Gantt Chart'!AD98=16,'Project types'!$L99*('Prepare Gantt Chart'!$I98*'Prepare Gantt Chart'!$J98),'Prepare Gantt Chart'!AD98=15,'Project types'!$L99*('Prepare Gantt Chart'!$I98*'Prepare Gantt Chart'!$J98),'Prepare Gantt Chart'!AD98=0,0)</f>
        <v>0</v>
      </c>
      <c r="BA99" s="45">
        <f>_xlfn.IFS('Prepare Gantt Chart'!AE98=16,'Project types'!$L99*('Prepare Gantt Chart'!$I98*'Prepare Gantt Chart'!$J98),'Prepare Gantt Chart'!AE98=15,'Project types'!$L99*('Prepare Gantt Chart'!$I98*'Prepare Gantt Chart'!$J98),'Prepare Gantt Chart'!AE98=0,0)</f>
        <v>0</v>
      </c>
      <c r="BB99" s="45">
        <f>_xlfn.IFS('Prepare Gantt Chart'!AF98=16,'Project types'!$L99*('Prepare Gantt Chart'!$I98*'Prepare Gantt Chart'!$J98),'Prepare Gantt Chart'!AF98=15,'Project types'!$L99*('Prepare Gantt Chart'!$I98*'Prepare Gantt Chart'!$J98),'Prepare Gantt Chart'!AF98=0,0)</f>
        <v>0</v>
      </c>
      <c r="BC99" s="45">
        <f>_xlfn.IFS('Prepare Gantt Chart'!AG98=16,'Project types'!$L99*('Prepare Gantt Chart'!$I98*'Prepare Gantt Chart'!$J98),'Prepare Gantt Chart'!AG98=15,'Project types'!$L99*('Prepare Gantt Chart'!$I98*'Prepare Gantt Chart'!$J98),'Prepare Gantt Chart'!AG98=0,0)</f>
        <v>0</v>
      </c>
      <c r="BD99" s="45">
        <f>_xlfn.IFS('Prepare Gantt Chart'!AH98=16,'Project types'!$L99*('Prepare Gantt Chart'!$I98*'Prepare Gantt Chart'!$J98),'Prepare Gantt Chart'!AH98=15,'Project types'!$L99*('Prepare Gantt Chart'!$I98*'Prepare Gantt Chart'!$J98),'Prepare Gantt Chart'!AH98=0,0)</f>
        <v>0</v>
      </c>
      <c r="BE99" s="45">
        <f>_xlfn.IFS('Prepare Gantt Chart'!AI98=16,'Project types'!$L99*('Prepare Gantt Chart'!$I98*'Prepare Gantt Chart'!$J98),'Prepare Gantt Chart'!AI98=15,'Project types'!$L99*('Prepare Gantt Chart'!$I98*'Prepare Gantt Chart'!$J98),'Prepare Gantt Chart'!AI98=0,0)</f>
        <v>0</v>
      </c>
      <c r="BF99" s="45">
        <f>_xlfn.IFS('Prepare Gantt Chart'!AJ98=16,'Project types'!$L99*('Prepare Gantt Chart'!$I98*'Prepare Gantt Chart'!$J98),'Prepare Gantt Chart'!AJ98=15,'Project types'!$L99*('Prepare Gantt Chart'!$I98*'Prepare Gantt Chart'!$J98),'Prepare Gantt Chart'!AJ98=0,0)</f>
        <v>0</v>
      </c>
      <c r="BG99" s="45">
        <f>_xlfn.IFS('Prepare Gantt Chart'!AK98=16,'Project types'!$L99*('Prepare Gantt Chart'!$I98*'Prepare Gantt Chart'!$J98),'Prepare Gantt Chart'!AK98=15,'Project types'!$L99*('Prepare Gantt Chart'!$I98*'Prepare Gantt Chart'!$J98),'Prepare Gantt Chart'!AK98=0,0)</f>
        <v>0</v>
      </c>
      <c r="BH99" s="45">
        <f>_xlfn.IFS('Prepare Gantt Chart'!AL98=16,'Project types'!$L99*('Prepare Gantt Chart'!$I98*'Prepare Gantt Chart'!$J98),'Prepare Gantt Chart'!AL98=15,'Project types'!$L99*('Prepare Gantt Chart'!$I98*'Prepare Gantt Chart'!$J98),'Prepare Gantt Chart'!AL98=0,0)</f>
        <v>0</v>
      </c>
      <c r="BI99" s="45">
        <f>_xlfn.IFS('Prepare Gantt Chart'!AM98=16,'Project types'!$L99*('Prepare Gantt Chart'!$I98*'Prepare Gantt Chart'!$J98),'Prepare Gantt Chart'!AM98=15,'Project types'!$L99*('Prepare Gantt Chart'!$I98*'Prepare Gantt Chart'!$J98),'Prepare Gantt Chart'!AM98=0,0)</f>
        <v>0</v>
      </c>
      <c r="BJ99" s="45">
        <f>_xlfn.IFS('Prepare Gantt Chart'!AN98=16,'Project types'!$L99*('Prepare Gantt Chart'!$I98*'Prepare Gantt Chart'!$J98),'Prepare Gantt Chart'!AN98=15,'Project types'!$L99*('Prepare Gantt Chart'!$I98*'Prepare Gantt Chart'!$J98),'Prepare Gantt Chart'!AN98=0,0)</f>
        <v>0</v>
      </c>
      <c r="BK99" s="45">
        <f>_xlfn.IFS('Prepare Gantt Chart'!AO98=16,'Project types'!$L99*('Prepare Gantt Chart'!$I98*'Prepare Gantt Chart'!$J98),'Prepare Gantt Chart'!AO98=15,'Project types'!$L99*('Prepare Gantt Chart'!$I98*'Prepare Gantt Chart'!$J98),'Prepare Gantt Chart'!AO98=0,0)</f>
        <v>0</v>
      </c>
      <c r="BL99" s="46">
        <f t="shared" si="3"/>
        <v>0</v>
      </c>
      <c r="BM99" s="75">
        <f>IF('Prepare Gantt Chart'!$J98=0,0,SUM(AL99:AQ99)/6/'Prepare Gantt Chart'!$J98)</f>
        <v>0</v>
      </c>
      <c r="BN99" s="75">
        <f>IF('Prepare Gantt Chart'!$J98=0,0,SUM(AR99:AV99)/5/'Prepare Gantt Chart'!$J98)</f>
        <v>0</v>
      </c>
      <c r="BO99" s="75">
        <f>IF('Prepare Gantt Chart'!$J98=0,0,SUM(AW99:BA99)/5/'Prepare Gantt Chart'!$J98)</f>
        <v>0</v>
      </c>
      <c r="BP99" s="75">
        <f>IF('Prepare Gantt Chart'!$J98=0,0,SUM(BB99:BF99)/5/'Prepare Gantt Chart'!$J98)</f>
        <v>0</v>
      </c>
      <c r="BQ99" s="75">
        <f>IF('Prepare Gantt Chart'!$J98=0,0,SUM(BG99:BK99)/5/'Prepare Gantt Chart'!$J98)</f>
        <v>0</v>
      </c>
    </row>
    <row r="100" spans="1:69" x14ac:dyDescent="0.2">
      <c r="A100" s="39" t="s">
        <v>92</v>
      </c>
      <c r="B100" s="1" t="s">
        <v>414</v>
      </c>
      <c r="C100" s="45">
        <f>_xlfn.IFS('Prepare Gantt Chart'!P99=16,'Project types'!$O100*('Prepare Gantt Chart'!$I99*'Prepare Gantt Chart'!$J99),'Prepare Gantt Chart'!P99=15,'Project types'!$Q100*('Prepare Gantt Chart'!$I99*'Prepare Gantt Chart'!$J99),'Prepare Gantt Chart'!P99=0,0)</f>
        <v>0</v>
      </c>
      <c r="D100" s="45">
        <f>_xlfn.IFS('Prepare Gantt Chart'!Q99=16,'Project types'!$O100*('Prepare Gantt Chart'!$I99*'Prepare Gantt Chart'!$J99),'Prepare Gantt Chart'!Q99=15,'Project types'!$Q100*('Prepare Gantt Chart'!$I99*'Prepare Gantt Chart'!$J99),'Prepare Gantt Chart'!Q99=0,0)</f>
        <v>0</v>
      </c>
      <c r="E100" s="45">
        <f>_xlfn.IFS('Prepare Gantt Chart'!R99=16,'Project types'!$O100*('Prepare Gantt Chart'!$I99*'Prepare Gantt Chart'!$J99),'Prepare Gantt Chart'!R99=15,'Project types'!$Q100*('Prepare Gantt Chart'!$I99*'Prepare Gantt Chart'!$J99),'Prepare Gantt Chart'!R99=0,0)</f>
        <v>0</v>
      </c>
      <c r="F100" s="45">
        <f>_xlfn.IFS('Prepare Gantt Chart'!S99=16,'Project types'!$O100*('Prepare Gantt Chart'!$I99*'Prepare Gantt Chart'!$J99),'Prepare Gantt Chart'!S99=15,'Project types'!$Q100*('Prepare Gantt Chart'!$I99*'Prepare Gantt Chart'!$J99),'Prepare Gantt Chart'!S99=0,0)</f>
        <v>0</v>
      </c>
      <c r="G100" s="45">
        <f>_xlfn.IFS('Prepare Gantt Chart'!T99=16,'Project types'!$O100*('Prepare Gantt Chart'!$I99*'Prepare Gantt Chart'!$J99),'Prepare Gantt Chart'!T99=15,'Project types'!$Q100*('Prepare Gantt Chart'!$I99*'Prepare Gantt Chart'!$J99),'Prepare Gantt Chart'!T99=0,0)</f>
        <v>0</v>
      </c>
      <c r="H100" s="45">
        <f>_xlfn.IFS('Prepare Gantt Chart'!U99=16,'Project types'!$O100*('Prepare Gantt Chart'!$I99*'Prepare Gantt Chart'!$J99),'Prepare Gantt Chart'!U99=15,'Project types'!$Q100*('Prepare Gantt Chart'!$I99*'Prepare Gantt Chart'!$J99),'Prepare Gantt Chart'!U99=0,0)</f>
        <v>0</v>
      </c>
      <c r="I100" s="45">
        <f>_xlfn.IFS('Prepare Gantt Chart'!V99=16,'Project types'!$O100*('Prepare Gantt Chart'!$I99*'Prepare Gantt Chart'!$J99),'Prepare Gantt Chart'!V99=15,'Project types'!$Q100*('Prepare Gantt Chart'!$I99*'Prepare Gantt Chart'!$J99),'Prepare Gantt Chart'!V99=0,0)</f>
        <v>0</v>
      </c>
      <c r="J100" s="45">
        <f>_xlfn.IFS('Prepare Gantt Chart'!W99=16,'Project types'!$O100*('Prepare Gantt Chart'!$I99*'Prepare Gantt Chart'!$J99),'Prepare Gantt Chart'!W99=15,'Project types'!$Q100*('Prepare Gantt Chart'!$I99*'Prepare Gantt Chart'!$J99),'Prepare Gantt Chart'!W99=0,0)</f>
        <v>0</v>
      </c>
      <c r="K100" s="45">
        <f>_xlfn.IFS('Prepare Gantt Chart'!X99=16,'Project types'!$O100*('Prepare Gantt Chart'!$I99*'Prepare Gantt Chart'!$J99),'Prepare Gantt Chart'!X99=15,'Project types'!$Q100*('Prepare Gantt Chart'!$I99*'Prepare Gantt Chart'!$J99),'Prepare Gantt Chart'!X99=0,0)</f>
        <v>0</v>
      </c>
      <c r="L100" s="45">
        <f>_xlfn.IFS('Prepare Gantt Chart'!Y99=16,'Project types'!$O100*('Prepare Gantt Chart'!$I99*'Prepare Gantt Chart'!$J99),'Prepare Gantt Chart'!Y99=15,'Project types'!$Q100*('Prepare Gantt Chart'!$I99*'Prepare Gantt Chart'!$J99),'Prepare Gantt Chart'!Y99=0,0)</f>
        <v>0</v>
      </c>
      <c r="M100" s="45">
        <f>_xlfn.IFS('Prepare Gantt Chart'!Z99=16,'Project types'!$O100*('Prepare Gantt Chart'!$I99*'Prepare Gantt Chart'!$J99),'Prepare Gantt Chart'!Z99=15,'Project types'!$Q100*('Prepare Gantt Chart'!$I99*'Prepare Gantt Chart'!$J99),'Prepare Gantt Chart'!Z99=0,0)</f>
        <v>0</v>
      </c>
      <c r="N100" s="45">
        <f>_xlfn.IFS('Prepare Gantt Chart'!AA99=16,'Project types'!$O100*('Prepare Gantt Chart'!$I99*'Prepare Gantt Chart'!$J99),'Prepare Gantt Chart'!AA99=15,'Project types'!$Q100*('Prepare Gantt Chart'!$I99*'Prepare Gantt Chart'!$J99),'Prepare Gantt Chart'!AA99=0,0)</f>
        <v>0</v>
      </c>
      <c r="O100" s="45">
        <f>_xlfn.IFS('Prepare Gantt Chart'!AB99=16,'Project types'!$O100*('Prepare Gantt Chart'!$I99*'Prepare Gantt Chart'!$J99),'Prepare Gantt Chart'!AB99=15,'Project types'!$Q100*('Prepare Gantt Chart'!$I99*'Prepare Gantt Chart'!$J99),'Prepare Gantt Chart'!AB99=0,0)</f>
        <v>0</v>
      </c>
      <c r="P100" s="45">
        <f>_xlfn.IFS('Prepare Gantt Chart'!AC99=16,'Project types'!$O100*('Prepare Gantt Chart'!$I99*'Prepare Gantt Chart'!$J99),'Prepare Gantt Chart'!AC99=15,'Project types'!$Q100*('Prepare Gantt Chart'!$I99*'Prepare Gantt Chart'!$J99),'Prepare Gantt Chart'!AC99=0,0)</f>
        <v>0</v>
      </c>
      <c r="Q100" s="45">
        <f>_xlfn.IFS('Prepare Gantt Chart'!AD99=16,'Project types'!$O100*('Prepare Gantt Chart'!$I99*'Prepare Gantt Chart'!$J99),'Prepare Gantt Chart'!AD99=15,'Project types'!$Q100*('Prepare Gantt Chart'!$I99*'Prepare Gantt Chart'!$J99),'Prepare Gantt Chart'!AD99=0,0)</f>
        <v>0</v>
      </c>
      <c r="R100" s="45">
        <f>_xlfn.IFS('Prepare Gantt Chart'!AE99=16,'Project types'!$O100*('Prepare Gantt Chart'!$I99*'Prepare Gantt Chart'!$J99),'Prepare Gantt Chart'!AE99=15,'Project types'!$Q100*('Prepare Gantt Chart'!$I99*'Prepare Gantt Chart'!$J99),'Prepare Gantt Chart'!AE99=0,0)</f>
        <v>0</v>
      </c>
      <c r="S100" s="45">
        <f>_xlfn.IFS('Prepare Gantt Chart'!AF99=16,'Project types'!$O100*('Prepare Gantt Chart'!$I99*'Prepare Gantt Chart'!$J99),'Prepare Gantt Chart'!AF99=15,'Project types'!$Q100*('Prepare Gantt Chart'!$I99*'Prepare Gantt Chart'!$J99),'Prepare Gantt Chart'!AF99=0,0)</f>
        <v>0</v>
      </c>
      <c r="T100" s="45">
        <f>_xlfn.IFS('Prepare Gantt Chart'!AG99=16,'Project types'!$O100*('Prepare Gantt Chart'!$I99*'Prepare Gantt Chart'!$J99),'Prepare Gantt Chart'!AG99=15,'Project types'!$Q100*('Prepare Gantt Chart'!$I99*'Prepare Gantt Chart'!$J99),'Prepare Gantt Chart'!AG99=0,0)</f>
        <v>0</v>
      </c>
      <c r="U100" s="45">
        <f>_xlfn.IFS('Prepare Gantt Chart'!AH99=16,'Project types'!$O100*('Prepare Gantt Chart'!$I99*'Prepare Gantt Chart'!$J99),'Prepare Gantt Chart'!AH99=15,'Project types'!$Q100*('Prepare Gantt Chart'!$I99*'Prepare Gantt Chart'!$J99),'Prepare Gantt Chart'!AH99=0,0)</f>
        <v>0</v>
      </c>
      <c r="V100" s="45">
        <f>_xlfn.IFS('Prepare Gantt Chart'!AI99=16,'Project types'!$O100*('Prepare Gantt Chart'!$I99*'Prepare Gantt Chart'!$J99),'Prepare Gantt Chart'!AI99=15,'Project types'!$Q100*('Prepare Gantt Chart'!$I99*'Prepare Gantt Chart'!$J99),'Prepare Gantt Chart'!AI99=0,0)</f>
        <v>0</v>
      </c>
      <c r="W100" s="45">
        <f>_xlfn.IFS('Prepare Gantt Chart'!AJ99=16,'Project types'!$O100*('Prepare Gantt Chart'!$I99*'Prepare Gantt Chart'!$J99),'Prepare Gantt Chart'!AJ99=15,'Project types'!$Q100*('Prepare Gantt Chart'!$I99*'Prepare Gantt Chart'!$J99),'Prepare Gantt Chart'!AJ99=0,0)</f>
        <v>0</v>
      </c>
      <c r="X100" s="45">
        <f>_xlfn.IFS('Prepare Gantt Chart'!AK99=16,'Project types'!$O100*('Prepare Gantt Chart'!$I99*'Prepare Gantt Chart'!$J99),'Prepare Gantt Chart'!AK99=15,'Project types'!$Q100*('Prepare Gantt Chart'!$I99*'Prepare Gantt Chart'!$J99),'Prepare Gantt Chart'!AK99=0,0)</f>
        <v>0</v>
      </c>
      <c r="Y100" s="45">
        <f>_xlfn.IFS('Prepare Gantt Chart'!AL99=16,'Project types'!$O100*('Prepare Gantt Chart'!$I99*'Prepare Gantt Chart'!$J99),'Prepare Gantt Chart'!AL99=15,'Project types'!$Q100*('Prepare Gantt Chart'!$I99*'Prepare Gantt Chart'!$J99),'Prepare Gantt Chart'!AL99=0,0)</f>
        <v>0</v>
      </c>
      <c r="Z100" s="45">
        <f>_xlfn.IFS('Prepare Gantt Chart'!AM99=16,'Project types'!$O100*('Prepare Gantt Chart'!$I99*'Prepare Gantt Chart'!$J99),'Prepare Gantt Chart'!AM99=15,'Project types'!$Q100*('Prepare Gantt Chart'!$I99*'Prepare Gantt Chart'!$J99),'Prepare Gantt Chart'!AM99=0,0)</f>
        <v>0</v>
      </c>
      <c r="AA100" s="45">
        <f>_xlfn.IFS('Prepare Gantt Chart'!AN99=16,'Project types'!$O100*('Prepare Gantt Chart'!$I99*'Prepare Gantt Chart'!$J99),'Prepare Gantt Chart'!AN99=15,'Project types'!$Q100*('Prepare Gantt Chart'!$I99*'Prepare Gantt Chart'!$J99),'Prepare Gantt Chart'!AN99=0,0)</f>
        <v>0</v>
      </c>
      <c r="AB100" s="45">
        <f>_xlfn.IFS('Prepare Gantt Chart'!AO99=16,'Project types'!$O100*('Prepare Gantt Chart'!$I99*'Prepare Gantt Chart'!$J99),'Prepare Gantt Chart'!AO99=15,'Project types'!$Q100*('Prepare Gantt Chart'!$I99*'Prepare Gantt Chart'!$J99),'Prepare Gantt Chart'!AO99=0,0)</f>
        <v>0</v>
      </c>
      <c r="AC100" s="45">
        <f>'Prepare Gantt Chart'!J99*'Prepare Gantt Chart'!I99*(AD100/26)</f>
        <v>0</v>
      </c>
      <c r="AD100" s="46">
        <f t="shared" si="2"/>
        <v>0</v>
      </c>
      <c r="AE100" s="72">
        <f>IF('Prepare Gantt Chart'!$J99=0,0,SUM(C100:H100)/6/'Prepare Gantt Chart'!$J99)</f>
        <v>0</v>
      </c>
      <c r="AF100" s="72">
        <f>IF('Prepare Gantt Chart'!$J99=0,0,SUM(I100:M100)/5/'Prepare Gantt Chart'!$J99)</f>
        <v>0</v>
      </c>
      <c r="AG100" s="72">
        <f>IF('Prepare Gantt Chart'!$J99=0,0,SUM(N100:R100)/5/'Prepare Gantt Chart'!$J99)</f>
        <v>0</v>
      </c>
      <c r="AH100" s="72">
        <f>IF('Prepare Gantt Chart'!$J99=0,0,SUM(S100:W100)/5/'Prepare Gantt Chart'!$J99)</f>
        <v>0</v>
      </c>
      <c r="AI100" s="72">
        <f>IF('Prepare Gantt Chart'!$J99=0,0,SUM(X100:AB100)/5/'Prepare Gantt Chart'!$J99)</f>
        <v>0</v>
      </c>
      <c r="AK100" s="39" t="s">
        <v>92</v>
      </c>
      <c r="AL100" s="45">
        <f>_xlfn.IFS('Prepare Gantt Chart'!P99=16,'Project types'!$L100*('Prepare Gantt Chart'!$I99*'Prepare Gantt Chart'!$J99),'Prepare Gantt Chart'!P99=15,'Project types'!$L100*('Prepare Gantt Chart'!$I99*'Prepare Gantt Chart'!$J99),'Prepare Gantt Chart'!P99=0,0)</f>
        <v>0</v>
      </c>
      <c r="AM100" s="45">
        <f>_xlfn.IFS('Prepare Gantt Chart'!Q99=16,'Project types'!$L100*('Prepare Gantt Chart'!$I99*'Prepare Gantt Chart'!$J99),'Prepare Gantt Chart'!Q99=15,'Project types'!$L100*('Prepare Gantt Chart'!$I99*'Prepare Gantt Chart'!$J99),'Prepare Gantt Chart'!Q99=0,0)</f>
        <v>0</v>
      </c>
      <c r="AN100" s="45">
        <f>_xlfn.IFS('Prepare Gantt Chart'!R99=16,'Project types'!$L100*('Prepare Gantt Chart'!$I99*'Prepare Gantt Chart'!$J99),'Prepare Gantt Chart'!R99=15,'Project types'!$L100*('Prepare Gantt Chart'!$I99*'Prepare Gantt Chart'!$J99),'Prepare Gantt Chart'!R99=0,0)</f>
        <v>0</v>
      </c>
      <c r="AO100" s="45">
        <f>_xlfn.IFS('Prepare Gantt Chart'!S99=16,'Project types'!$L100*('Prepare Gantt Chart'!$I99*'Prepare Gantt Chart'!$J99),'Prepare Gantt Chart'!S99=15,'Project types'!$L100*('Prepare Gantt Chart'!$I99*'Prepare Gantt Chart'!$J99),'Prepare Gantt Chart'!S99=0,0)</f>
        <v>0</v>
      </c>
      <c r="AP100" s="45">
        <f>_xlfn.IFS('Prepare Gantt Chart'!T99=16,'Project types'!$L100*('Prepare Gantt Chart'!$I99*'Prepare Gantt Chart'!$J99),'Prepare Gantt Chart'!T99=15,'Project types'!$L100*('Prepare Gantt Chart'!$I99*'Prepare Gantt Chart'!$J99),'Prepare Gantt Chart'!T99=0,0)</f>
        <v>0</v>
      </c>
      <c r="AQ100" s="45">
        <f>_xlfn.IFS('Prepare Gantt Chart'!U99=16,'Project types'!$L100*('Prepare Gantt Chart'!$I99*'Prepare Gantt Chart'!$J99),'Prepare Gantt Chart'!U99=15,'Project types'!$L100*('Prepare Gantt Chart'!$I99*'Prepare Gantt Chart'!$J99),'Prepare Gantt Chart'!U99=0,0)</f>
        <v>0</v>
      </c>
      <c r="AR100" s="45">
        <f>_xlfn.IFS('Prepare Gantt Chart'!V99=16,'Project types'!$L100*('Prepare Gantt Chart'!$I99*'Prepare Gantt Chart'!$J99),'Prepare Gantt Chart'!V99=15,'Project types'!$L100*('Prepare Gantt Chart'!$I99*'Prepare Gantt Chart'!$J99),'Prepare Gantt Chart'!V99=0,0)</f>
        <v>0</v>
      </c>
      <c r="AS100" s="45">
        <f>_xlfn.IFS('Prepare Gantt Chart'!W99=16,'Project types'!$L100*('Prepare Gantt Chart'!$I99*'Prepare Gantt Chart'!$J99),'Prepare Gantt Chart'!W99=15,'Project types'!$L100*('Prepare Gantt Chart'!$I99*'Prepare Gantt Chart'!$J99),'Prepare Gantt Chart'!W99=0,0)</f>
        <v>0</v>
      </c>
      <c r="AT100" s="45">
        <f>_xlfn.IFS('Prepare Gantt Chart'!X99=16,'Project types'!$L100*('Prepare Gantt Chart'!$I99*'Prepare Gantt Chart'!$J99),'Prepare Gantt Chart'!X99=15,'Project types'!$L100*('Prepare Gantt Chart'!$I99*'Prepare Gantt Chart'!$J99),'Prepare Gantt Chart'!X99=0,0)</f>
        <v>0</v>
      </c>
      <c r="AU100" s="45">
        <f>_xlfn.IFS('Prepare Gantt Chart'!Y99=16,'Project types'!$L100*('Prepare Gantt Chart'!$I99*'Prepare Gantt Chart'!$J99),'Prepare Gantt Chart'!Y99=15,'Project types'!$L100*('Prepare Gantt Chart'!$I99*'Prepare Gantt Chart'!$J99),'Prepare Gantt Chart'!Y99=0,0)</f>
        <v>0</v>
      </c>
      <c r="AV100" s="45">
        <f>_xlfn.IFS('Prepare Gantt Chart'!Z99=16,'Project types'!$L100*('Prepare Gantt Chart'!$I99*'Prepare Gantt Chart'!$J99),'Prepare Gantt Chart'!Z99=15,'Project types'!$L100*('Prepare Gantt Chart'!$I99*'Prepare Gantt Chart'!$J99),'Prepare Gantt Chart'!Z99=0,0)</f>
        <v>0</v>
      </c>
      <c r="AW100" s="45">
        <f>_xlfn.IFS('Prepare Gantt Chart'!AA99=16,'Project types'!$L100*('Prepare Gantt Chart'!$I99*'Prepare Gantt Chart'!$J99),'Prepare Gantt Chart'!AA99=15,'Project types'!$L100*('Prepare Gantt Chart'!$I99*'Prepare Gantt Chart'!$J99),'Prepare Gantt Chart'!AA99=0,0)</f>
        <v>0</v>
      </c>
      <c r="AX100" s="45">
        <f>_xlfn.IFS('Prepare Gantt Chart'!AB99=16,'Project types'!$L100*('Prepare Gantt Chart'!$I99*'Prepare Gantt Chart'!$J99),'Prepare Gantt Chart'!AB99=15,'Project types'!$L100*('Prepare Gantt Chart'!$I99*'Prepare Gantt Chart'!$J99),'Prepare Gantt Chart'!AB99=0,0)</f>
        <v>0</v>
      </c>
      <c r="AY100" s="45">
        <f>_xlfn.IFS('Prepare Gantt Chart'!AC99=16,'Project types'!$L100*('Prepare Gantt Chart'!$I99*'Prepare Gantt Chart'!$J99),'Prepare Gantt Chart'!AC99=15,'Project types'!$L100*('Prepare Gantt Chart'!$I99*'Prepare Gantt Chart'!$J99),'Prepare Gantt Chart'!AC99=0,0)</f>
        <v>0</v>
      </c>
      <c r="AZ100" s="45">
        <f>_xlfn.IFS('Prepare Gantt Chart'!AD99=16,'Project types'!$L100*('Prepare Gantt Chart'!$I99*'Prepare Gantt Chart'!$J99),'Prepare Gantt Chart'!AD99=15,'Project types'!$L100*('Prepare Gantt Chart'!$I99*'Prepare Gantt Chart'!$J99),'Prepare Gantt Chart'!AD99=0,0)</f>
        <v>0</v>
      </c>
      <c r="BA100" s="45">
        <f>_xlfn.IFS('Prepare Gantt Chart'!AE99=16,'Project types'!$L100*('Prepare Gantt Chart'!$I99*'Prepare Gantt Chart'!$J99),'Prepare Gantt Chart'!AE99=15,'Project types'!$L100*('Prepare Gantt Chart'!$I99*'Prepare Gantt Chart'!$J99),'Prepare Gantt Chart'!AE99=0,0)</f>
        <v>0</v>
      </c>
      <c r="BB100" s="45">
        <f>_xlfn.IFS('Prepare Gantt Chart'!AF99=16,'Project types'!$L100*('Prepare Gantt Chart'!$I99*'Prepare Gantt Chart'!$J99),'Prepare Gantt Chart'!AF99=15,'Project types'!$L100*('Prepare Gantt Chart'!$I99*'Prepare Gantt Chart'!$J99),'Prepare Gantt Chart'!AF99=0,0)</f>
        <v>0</v>
      </c>
      <c r="BC100" s="45">
        <f>_xlfn.IFS('Prepare Gantt Chart'!AG99=16,'Project types'!$L100*('Prepare Gantt Chart'!$I99*'Prepare Gantt Chart'!$J99),'Prepare Gantt Chart'!AG99=15,'Project types'!$L100*('Prepare Gantt Chart'!$I99*'Prepare Gantt Chart'!$J99),'Prepare Gantt Chart'!AG99=0,0)</f>
        <v>0</v>
      </c>
      <c r="BD100" s="45">
        <f>_xlfn.IFS('Prepare Gantt Chart'!AH99=16,'Project types'!$L100*('Prepare Gantt Chart'!$I99*'Prepare Gantt Chart'!$J99),'Prepare Gantt Chart'!AH99=15,'Project types'!$L100*('Prepare Gantt Chart'!$I99*'Prepare Gantt Chart'!$J99),'Prepare Gantt Chart'!AH99=0,0)</f>
        <v>0</v>
      </c>
      <c r="BE100" s="45">
        <f>_xlfn.IFS('Prepare Gantt Chart'!AI99=16,'Project types'!$L100*('Prepare Gantt Chart'!$I99*'Prepare Gantt Chart'!$J99),'Prepare Gantt Chart'!AI99=15,'Project types'!$L100*('Prepare Gantt Chart'!$I99*'Prepare Gantt Chart'!$J99),'Prepare Gantt Chart'!AI99=0,0)</f>
        <v>0</v>
      </c>
      <c r="BF100" s="45">
        <f>_xlfn.IFS('Prepare Gantt Chart'!AJ99=16,'Project types'!$L100*('Prepare Gantt Chart'!$I99*'Prepare Gantt Chart'!$J99),'Prepare Gantt Chart'!AJ99=15,'Project types'!$L100*('Prepare Gantt Chart'!$I99*'Prepare Gantt Chart'!$J99),'Prepare Gantt Chart'!AJ99=0,0)</f>
        <v>0</v>
      </c>
      <c r="BG100" s="45">
        <f>_xlfn.IFS('Prepare Gantt Chart'!AK99=16,'Project types'!$L100*('Prepare Gantt Chart'!$I99*'Prepare Gantt Chart'!$J99),'Prepare Gantt Chart'!AK99=15,'Project types'!$L100*('Prepare Gantt Chart'!$I99*'Prepare Gantt Chart'!$J99),'Prepare Gantt Chart'!AK99=0,0)</f>
        <v>0</v>
      </c>
      <c r="BH100" s="45">
        <f>_xlfn.IFS('Prepare Gantt Chart'!AL99=16,'Project types'!$L100*('Prepare Gantt Chart'!$I99*'Prepare Gantt Chart'!$J99),'Prepare Gantt Chart'!AL99=15,'Project types'!$L100*('Prepare Gantt Chart'!$I99*'Prepare Gantt Chart'!$J99),'Prepare Gantt Chart'!AL99=0,0)</f>
        <v>0</v>
      </c>
      <c r="BI100" s="45">
        <f>_xlfn.IFS('Prepare Gantt Chart'!AM99=16,'Project types'!$L100*('Prepare Gantt Chart'!$I99*'Prepare Gantt Chart'!$J99),'Prepare Gantt Chart'!AM99=15,'Project types'!$L100*('Prepare Gantt Chart'!$I99*'Prepare Gantt Chart'!$J99),'Prepare Gantt Chart'!AM99=0,0)</f>
        <v>0</v>
      </c>
      <c r="BJ100" s="45">
        <f>_xlfn.IFS('Prepare Gantt Chart'!AN99=16,'Project types'!$L100*('Prepare Gantt Chart'!$I99*'Prepare Gantt Chart'!$J99),'Prepare Gantt Chart'!AN99=15,'Project types'!$L100*('Prepare Gantt Chart'!$I99*'Prepare Gantt Chart'!$J99),'Prepare Gantt Chart'!AN99=0,0)</f>
        <v>0</v>
      </c>
      <c r="BK100" s="45">
        <f>_xlfn.IFS('Prepare Gantt Chart'!AO99=16,'Project types'!$L100*('Prepare Gantt Chart'!$I99*'Prepare Gantt Chart'!$J99),'Prepare Gantt Chart'!AO99=15,'Project types'!$L100*('Prepare Gantt Chart'!$I99*'Prepare Gantt Chart'!$J99),'Prepare Gantt Chart'!AO99=0,0)</f>
        <v>0</v>
      </c>
      <c r="BL100" s="46">
        <f t="shared" si="3"/>
        <v>0</v>
      </c>
      <c r="BM100" s="75">
        <f>IF('Prepare Gantt Chart'!$J99=0,0,SUM(AL100:AQ100)/6/'Prepare Gantt Chart'!$J99)</f>
        <v>0</v>
      </c>
      <c r="BN100" s="75">
        <f>IF('Prepare Gantt Chart'!$J99=0,0,SUM(AR100:AV100)/5/'Prepare Gantt Chart'!$J99)</f>
        <v>0</v>
      </c>
      <c r="BO100" s="75">
        <f>IF('Prepare Gantt Chart'!$J99=0,0,SUM(AW100:BA100)/5/'Prepare Gantt Chart'!$J99)</f>
        <v>0</v>
      </c>
      <c r="BP100" s="75">
        <f>IF('Prepare Gantt Chart'!$J99=0,0,SUM(BB100:BF100)/5/'Prepare Gantt Chart'!$J99)</f>
        <v>0</v>
      </c>
      <c r="BQ100" s="75">
        <f>IF('Prepare Gantt Chart'!$J99=0,0,SUM(BG100:BK100)/5/'Prepare Gantt Chart'!$J99)</f>
        <v>0</v>
      </c>
    </row>
    <row r="101" spans="1:69" x14ac:dyDescent="0.2">
      <c r="A101" s="39" t="s">
        <v>93</v>
      </c>
      <c r="B101" s="1" t="s">
        <v>159</v>
      </c>
      <c r="C101" s="45">
        <f>_xlfn.IFS('Prepare Gantt Chart'!P100=16,'Project types'!$O101*('Prepare Gantt Chart'!$I100*'Prepare Gantt Chart'!$J100),'Prepare Gantt Chart'!P100=15,'Project types'!$Q101*('Prepare Gantt Chart'!$I100*'Prepare Gantt Chart'!$J100),'Prepare Gantt Chart'!P100=0,0)</f>
        <v>0</v>
      </c>
      <c r="D101" s="45">
        <f>_xlfn.IFS('Prepare Gantt Chart'!Q100=16,'Project types'!$O101*('Prepare Gantt Chart'!$I100*'Prepare Gantt Chart'!$J100),'Prepare Gantt Chart'!Q100=15,'Project types'!$Q101*('Prepare Gantt Chart'!$I100*'Prepare Gantt Chart'!$J100),'Prepare Gantt Chart'!Q100=0,0)</f>
        <v>0</v>
      </c>
      <c r="E101" s="45">
        <f>_xlfn.IFS('Prepare Gantt Chart'!R100=16,'Project types'!$O101*('Prepare Gantt Chart'!$I100*'Prepare Gantt Chart'!$J100),'Prepare Gantt Chart'!R100=15,'Project types'!$Q101*('Prepare Gantt Chart'!$I100*'Prepare Gantt Chart'!$J100),'Prepare Gantt Chart'!R100=0,0)</f>
        <v>0</v>
      </c>
      <c r="F101" s="45">
        <f>_xlfn.IFS('Prepare Gantt Chart'!S100=16,'Project types'!$O101*('Prepare Gantt Chart'!$I100*'Prepare Gantt Chart'!$J100),'Prepare Gantt Chart'!S100=15,'Project types'!$Q101*('Prepare Gantt Chart'!$I100*'Prepare Gantt Chart'!$J100),'Prepare Gantt Chart'!S100=0,0)</f>
        <v>0</v>
      </c>
      <c r="G101" s="45">
        <f>_xlfn.IFS('Prepare Gantt Chart'!T100=16,'Project types'!$O101*('Prepare Gantt Chart'!$I100*'Prepare Gantt Chart'!$J100),'Prepare Gantt Chart'!T100=15,'Project types'!$Q101*('Prepare Gantt Chart'!$I100*'Prepare Gantt Chart'!$J100),'Prepare Gantt Chart'!T100=0,0)</f>
        <v>0</v>
      </c>
      <c r="H101" s="45">
        <f>_xlfn.IFS('Prepare Gantt Chart'!U100=16,'Project types'!$O101*('Prepare Gantt Chart'!$I100*'Prepare Gantt Chart'!$J100),'Prepare Gantt Chart'!U100=15,'Project types'!$Q101*('Prepare Gantt Chart'!$I100*'Prepare Gantt Chart'!$J100),'Prepare Gantt Chart'!U100=0,0)</f>
        <v>0</v>
      </c>
      <c r="I101" s="45">
        <f>_xlfn.IFS('Prepare Gantt Chart'!V100=16,'Project types'!$O101*('Prepare Gantt Chart'!$I100*'Prepare Gantt Chart'!$J100),'Prepare Gantt Chart'!V100=15,'Project types'!$Q101*('Prepare Gantt Chart'!$I100*'Prepare Gantt Chart'!$J100),'Prepare Gantt Chart'!V100=0,0)</f>
        <v>0</v>
      </c>
      <c r="J101" s="45">
        <f>_xlfn.IFS('Prepare Gantt Chart'!W100=16,'Project types'!$O101*('Prepare Gantt Chart'!$I100*'Prepare Gantt Chart'!$J100),'Prepare Gantt Chart'!W100=15,'Project types'!$Q101*('Prepare Gantt Chart'!$I100*'Prepare Gantt Chart'!$J100),'Prepare Gantt Chart'!W100=0,0)</f>
        <v>0</v>
      </c>
      <c r="K101" s="45">
        <f>_xlfn.IFS('Prepare Gantt Chart'!X100=16,'Project types'!$O101*('Prepare Gantt Chart'!$I100*'Prepare Gantt Chart'!$J100),'Prepare Gantt Chart'!X100=15,'Project types'!$Q101*('Prepare Gantt Chart'!$I100*'Prepare Gantt Chart'!$J100),'Prepare Gantt Chart'!X100=0,0)</f>
        <v>0</v>
      </c>
      <c r="L101" s="45">
        <f>_xlfn.IFS('Prepare Gantt Chart'!Y100=16,'Project types'!$O101*('Prepare Gantt Chart'!$I100*'Prepare Gantt Chart'!$J100),'Prepare Gantt Chart'!Y100=15,'Project types'!$Q101*('Prepare Gantt Chart'!$I100*'Prepare Gantt Chart'!$J100),'Prepare Gantt Chart'!Y100=0,0)</f>
        <v>0</v>
      </c>
      <c r="M101" s="45">
        <f>_xlfn.IFS('Prepare Gantt Chart'!Z100=16,'Project types'!$O101*('Prepare Gantt Chart'!$I100*'Prepare Gantt Chart'!$J100),'Prepare Gantt Chart'!Z100=15,'Project types'!$Q101*('Prepare Gantt Chart'!$I100*'Prepare Gantt Chart'!$J100),'Prepare Gantt Chart'!Z100=0,0)</f>
        <v>0</v>
      </c>
      <c r="N101" s="45">
        <f>_xlfn.IFS('Prepare Gantt Chart'!AA100=16,'Project types'!$O101*('Prepare Gantt Chart'!$I100*'Prepare Gantt Chart'!$J100),'Prepare Gantt Chart'!AA100=15,'Project types'!$Q101*('Prepare Gantt Chart'!$I100*'Prepare Gantt Chart'!$J100),'Prepare Gantt Chart'!AA100=0,0)</f>
        <v>0</v>
      </c>
      <c r="O101" s="45">
        <f>_xlfn.IFS('Prepare Gantt Chart'!AB100=16,'Project types'!$O101*('Prepare Gantt Chart'!$I100*'Prepare Gantt Chart'!$J100),'Prepare Gantt Chart'!AB100=15,'Project types'!$Q101*('Prepare Gantt Chart'!$I100*'Prepare Gantt Chart'!$J100),'Prepare Gantt Chart'!AB100=0,0)</f>
        <v>0</v>
      </c>
      <c r="P101" s="45">
        <f>_xlfn.IFS('Prepare Gantt Chart'!AC100=16,'Project types'!$O101*('Prepare Gantt Chart'!$I100*'Prepare Gantt Chart'!$J100),'Prepare Gantt Chart'!AC100=15,'Project types'!$Q101*('Prepare Gantt Chart'!$I100*'Prepare Gantt Chart'!$J100),'Prepare Gantt Chart'!AC100=0,0)</f>
        <v>0</v>
      </c>
      <c r="Q101" s="45">
        <f>_xlfn.IFS('Prepare Gantt Chart'!AD100=16,'Project types'!$O101*('Prepare Gantt Chart'!$I100*'Prepare Gantt Chart'!$J100),'Prepare Gantt Chart'!AD100=15,'Project types'!$Q101*('Prepare Gantt Chart'!$I100*'Prepare Gantt Chart'!$J100),'Prepare Gantt Chart'!AD100=0,0)</f>
        <v>0</v>
      </c>
      <c r="R101" s="45">
        <f>_xlfn.IFS('Prepare Gantt Chart'!AE100=16,'Project types'!$O101*('Prepare Gantt Chart'!$I100*'Prepare Gantt Chart'!$J100),'Prepare Gantt Chart'!AE100=15,'Project types'!$Q101*('Prepare Gantt Chart'!$I100*'Prepare Gantt Chart'!$J100),'Prepare Gantt Chart'!AE100=0,0)</f>
        <v>0</v>
      </c>
      <c r="S101" s="45">
        <f>_xlfn.IFS('Prepare Gantt Chart'!AF100=16,'Project types'!$O101*('Prepare Gantt Chart'!$I100*'Prepare Gantt Chart'!$J100),'Prepare Gantt Chart'!AF100=15,'Project types'!$Q101*('Prepare Gantt Chart'!$I100*'Prepare Gantt Chart'!$J100),'Prepare Gantt Chart'!AF100=0,0)</f>
        <v>0</v>
      </c>
      <c r="T101" s="45">
        <f>_xlfn.IFS('Prepare Gantt Chart'!AG100=16,'Project types'!$O101*('Prepare Gantt Chart'!$I100*'Prepare Gantt Chart'!$J100),'Prepare Gantt Chart'!AG100=15,'Project types'!$Q101*('Prepare Gantt Chart'!$I100*'Prepare Gantt Chart'!$J100),'Prepare Gantt Chart'!AG100=0,0)</f>
        <v>0</v>
      </c>
      <c r="U101" s="45">
        <f>_xlfn.IFS('Prepare Gantt Chart'!AH100=16,'Project types'!$O101*('Prepare Gantt Chart'!$I100*'Prepare Gantt Chart'!$J100),'Prepare Gantt Chart'!AH100=15,'Project types'!$Q101*('Prepare Gantt Chart'!$I100*'Prepare Gantt Chart'!$J100),'Prepare Gantt Chart'!AH100=0,0)</f>
        <v>0</v>
      </c>
      <c r="V101" s="45">
        <f>_xlfn.IFS('Prepare Gantt Chart'!AI100=16,'Project types'!$O101*('Prepare Gantt Chart'!$I100*'Prepare Gantt Chart'!$J100),'Prepare Gantt Chart'!AI100=15,'Project types'!$Q101*('Prepare Gantt Chart'!$I100*'Prepare Gantt Chart'!$J100),'Prepare Gantt Chart'!AI100=0,0)</f>
        <v>0</v>
      </c>
      <c r="W101" s="45">
        <f>_xlfn.IFS('Prepare Gantt Chart'!AJ100=16,'Project types'!$O101*('Prepare Gantt Chart'!$I100*'Prepare Gantt Chart'!$J100),'Prepare Gantt Chart'!AJ100=15,'Project types'!$Q101*('Prepare Gantt Chart'!$I100*'Prepare Gantt Chart'!$J100),'Prepare Gantt Chart'!AJ100=0,0)</f>
        <v>0</v>
      </c>
      <c r="X101" s="45">
        <f>_xlfn.IFS('Prepare Gantt Chart'!AK100=16,'Project types'!$O101*('Prepare Gantt Chart'!$I100*'Prepare Gantt Chart'!$J100),'Prepare Gantt Chart'!AK100=15,'Project types'!$Q101*('Prepare Gantt Chart'!$I100*'Prepare Gantt Chart'!$J100),'Prepare Gantt Chart'!AK100=0,0)</f>
        <v>0</v>
      </c>
      <c r="Y101" s="45">
        <f>_xlfn.IFS('Prepare Gantt Chart'!AL100=16,'Project types'!$O101*('Prepare Gantt Chart'!$I100*'Prepare Gantt Chart'!$J100),'Prepare Gantt Chart'!AL100=15,'Project types'!$Q101*('Prepare Gantt Chart'!$I100*'Prepare Gantt Chart'!$J100),'Prepare Gantt Chart'!AL100=0,0)</f>
        <v>0</v>
      </c>
      <c r="Z101" s="45">
        <f>_xlfn.IFS('Prepare Gantt Chart'!AM100=16,'Project types'!$O101*('Prepare Gantt Chart'!$I100*'Prepare Gantt Chart'!$J100),'Prepare Gantt Chart'!AM100=15,'Project types'!$Q101*('Prepare Gantt Chart'!$I100*'Prepare Gantt Chart'!$J100),'Prepare Gantt Chart'!AM100=0,0)</f>
        <v>0</v>
      </c>
      <c r="AA101" s="45">
        <f>_xlfn.IFS('Prepare Gantt Chart'!AN100=16,'Project types'!$O101*('Prepare Gantt Chart'!$I100*'Prepare Gantt Chart'!$J100),'Prepare Gantt Chart'!AN100=15,'Project types'!$Q101*('Prepare Gantt Chart'!$I100*'Prepare Gantt Chart'!$J100),'Prepare Gantt Chart'!AN100=0,0)</f>
        <v>0</v>
      </c>
      <c r="AB101" s="45">
        <f>_xlfn.IFS('Prepare Gantt Chart'!AO100=16,'Project types'!$O101*('Prepare Gantt Chart'!$I100*'Prepare Gantt Chart'!$J100),'Prepare Gantt Chart'!AO100=15,'Project types'!$Q101*('Prepare Gantt Chart'!$I100*'Prepare Gantt Chart'!$J100),'Prepare Gantt Chart'!AO100=0,0)</f>
        <v>0</v>
      </c>
      <c r="AC101" s="45">
        <f>'Prepare Gantt Chart'!J100*'Prepare Gantt Chart'!I100*(AD101/26)</f>
        <v>0</v>
      </c>
      <c r="AD101" s="46">
        <f t="shared" si="2"/>
        <v>0</v>
      </c>
      <c r="AE101" s="72">
        <f>IF('Prepare Gantt Chart'!$J100=0,0,SUM(C101:H101)/6/'Prepare Gantt Chart'!$J100)</f>
        <v>0</v>
      </c>
      <c r="AF101" s="72">
        <f>IF('Prepare Gantt Chart'!$J100=0,0,SUM(I101:M101)/5/'Prepare Gantt Chart'!$J100)</f>
        <v>0</v>
      </c>
      <c r="AG101" s="72">
        <f>IF('Prepare Gantt Chart'!$J100=0,0,SUM(N101:R101)/5/'Prepare Gantt Chart'!$J100)</f>
        <v>0</v>
      </c>
      <c r="AH101" s="72">
        <f>IF('Prepare Gantt Chart'!$J100=0,0,SUM(S101:W101)/5/'Prepare Gantt Chart'!$J100)</f>
        <v>0</v>
      </c>
      <c r="AI101" s="72">
        <f>IF('Prepare Gantt Chart'!$J100=0,0,SUM(X101:AB101)/5/'Prepare Gantt Chart'!$J100)</f>
        <v>0</v>
      </c>
      <c r="AK101" s="39" t="s">
        <v>93</v>
      </c>
      <c r="AL101" s="45">
        <f>_xlfn.IFS('Prepare Gantt Chart'!P100=16,'Project types'!$L101*('Prepare Gantt Chart'!$I100*'Prepare Gantt Chart'!$J100),'Prepare Gantt Chart'!P100=15,'Project types'!$L101*('Prepare Gantt Chart'!$I100*'Prepare Gantt Chart'!$J100),'Prepare Gantt Chart'!P100=0,0)</f>
        <v>0</v>
      </c>
      <c r="AM101" s="45">
        <f>_xlfn.IFS('Prepare Gantt Chart'!Q100=16,'Project types'!$L101*('Prepare Gantt Chart'!$I100*'Prepare Gantt Chart'!$J100),'Prepare Gantt Chart'!Q100=15,'Project types'!$L101*('Prepare Gantt Chart'!$I100*'Prepare Gantt Chart'!$J100),'Prepare Gantt Chart'!Q100=0,0)</f>
        <v>0</v>
      </c>
      <c r="AN101" s="45">
        <f>_xlfn.IFS('Prepare Gantt Chart'!R100=16,'Project types'!$L101*('Prepare Gantt Chart'!$I100*'Prepare Gantt Chart'!$J100),'Prepare Gantt Chart'!R100=15,'Project types'!$L101*('Prepare Gantt Chart'!$I100*'Prepare Gantt Chart'!$J100),'Prepare Gantt Chart'!R100=0,0)</f>
        <v>0</v>
      </c>
      <c r="AO101" s="45">
        <f>_xlfn.IFS('Prepare Gantt Chart'!S100=16,'Project types'!$L101*('Prepare Gantt Chart'!$I100*'Prepare Gantt Chart'!$J100),'Prepare Gantt Chart'!S100=15,'Project types'!$L101*('Prepare Gantt Chart'!$I100*'Prepare Gantt Chart'!$J100),'Prepare Gantt Chart'!S100=0,0)</f>
        <v>0</v>
      </c>
      <c r="AP101" s="45">
        <f>_xlfn.IFS('Prepare Gantt Chart'!T100=16,'Project types'!$L101*('Prepare Gantt Chart'!$I100*'Prepare Gantt Chart'!$J100),'Prepare Gantt Chart'!T100=15,'Project types'!$L101*('Prepare Gantt Chart'!$I100*'Prepare Gantt Chart'!$J100),'Prepare Gantt Chart'!T100=0,0)</f>
        <v>0</v>
      </c>
      <c r="AQ101" s="45">
        <f>_xlfn.IFS('Prepare Gantt Chart'!U100=16,'Project types'!$L101*('Prepare Gantt Chart'!$I100*'Prepare Gantt Chart'!$J100),'Prepare Gantt Chart'!U100=15,'Project types'!$L101*('Prepare Gantt Chart'!$I100*'Prepare Gantt Chart'!$J100),'Prepare Gantt Chart'!U100=0,0)</f>
        <v>0</v>
      </c>
      <c r="AR101" s="45">
        <f>_xlfn.IFS('Prepare Gantt Chart'!V100=16,'Project types'!$L101*('Prepare Gantt Chart'!$I100*'Prepare Gantt Chart'!$J100),'Prepare Gantt Chart'!V100=15,'Project types'!$L101*('Prepare Gantt Chart'!$I100*'Prepare Gantt Chart'!$J100),'Prepare Gantt Chart'!V100=0,0)</f>
        <v>0</v>
      </c>
      <c r="AS101" s="45">
        <f>_xlfn.IFS('Prepare Gantt Chart'!W100=16,'Project types'!$L101*('Prepare Gantt Chart'!$I100*'Prepare Gantt Chart'!$J100),'Prepare Gantt Chart'!W100=15,'Project types'!$L101*('Prepare Gantt Chart'!$I100*'Prepare Gantt Chart'!$J100),'Prepare Gantt Chart'!W100=0,0)</f>
        <v>0</v>
      </c>
      <c r="AT101" s="45">
        <f>_xlfn.IFS('Prepare Gantt Chart'!X100=16,'Project types'!$L101*('Prepare Gantt Chart'!$I100*'Prepare Gantt Chart'!$J100),'Prepare Gantt Chart'!X100=15,'Project types'!$L101*('Prepare Gantt Chart'!$I100*'Prepare Gantt Chart'!$J100),'Prepare Gantt Chart'!X100=0,0)</f>
        <v>0</v>
      </c>
      <c r="AU101" s="45">
        <f>_xlfn.IFS('Prepare Gantt Chart'!Y100=16,'Project types'!$L101*('Prepare Gantt Chart'!$I100*'Prepare Gantt Chart'!$J100),'Prepare Gantt Chart'!Y100=15,'Project types'!$L101*('Prepare Gantt Chart'!$I100*'Prepare Gantt Chart'!$J100),'Prepare Gantt Chart'!Y100=0,0)</f>
        <v>0</v>
      </c>
      <c r="AV101" s="45">
        <f>_xlfn.IFS('Prepare Gantt Chart'!Z100=16,'Project types'!$L101*('Prepare Gantt Chart'!$I100*'Prepare Gantt Chart'!$J100),'Prepare Gantt Chart'!Z100=15,'Project types'!$L101*('Prepare Gantt Chart'!$I100*'Prepare Gantt Chart'!$J100),'Prepare Gantt Chart'!Z100=0,0)</f>
        <v>0</v>
      </c>
      <c r="AW101" s="45">
        <f>_xlfn.IFS('Prepare Gantt Chart'!AA100=16,'Project types'!$L101*('Prepare Gantt Chart'!$I100*'Prepare Gantt Chart'!$J100),'Prepare Gantt Chart'!AA100=15,'Project types'!$L101*('Prepare Gantt Chart'!$I100*'Prepare Gantt Chart'!$J100),'Prepare Gantt Chart'!AA100=0,0)</f>
        <v>0</v>
      </c>
      <c r="AX101" s="45">
        <f>_xlfn.IFS('Prepare Gantt Chart'!AB100=16,'Project types'!$L101*('Prepare Gantt Chart'!$I100*'Prepare Gantt Chart'!$J100),'Prepare Gantt Chart'!AB100=15,'Project types'!$L101*('Prepare Gantt Chart'!$I100*'Prepare Gantt Chart'!$J100),'Prepare Gantt Chart'!AB100=0,0)</f>
        <v>0</v>
      </c>
      <c r="AY101" s="45">
        <f>_xlfn.IFS('Prepare Gantt Chart'!AC100=16,'Project types'!$L101*('Prepare Gantt Chart'!$I100*'Prepare Gantt Chart'!$J100),'Prepare Gantt Chart'!AC100=15,'Project types'!$L101*('Prepare Gantt Chart'!$I100*'Prepare Gantt Chart'!$J100),'Prepare Gantt Chart'!AC100=0,0)</f>
        <v>0</v>
      </c>
      <c r="AZ101" s="45">
        <f>_xlfn.IFS('Prepare Gantt Chart'!AD100=16,'Project types'!$L101*('Prepare Gantt Chart'!$I100*'Prepare Gantt Chart'!$J100),'Prepare Gantt Chart'!AD100=15,'Project types'!$L101*('Prepare Gantt Chart'!$I100*'Prepare Gantt Chart'!$J100),'Prepare Gantt Chart'!AD100=0,0)</f>
        <v>0</v>
      </c>
      <c r="BA101" s="45">
        <f>_xlfn.IFS('Prepare Gantt Chart'!AE100=16,'Project types'!$L101*('Prepare Gantt Chart'!$I100*'Prepare Gantt Chart'!$J100),'Prepare Gantt Chart'!AE100=15,'Project types'!$L101*('Prepare Gantt Chart'!$I100*'Prepare Gantt Chart'!$J100),'Prepare Gantt Chart'!AE100=0,0)</f>
        <v>0</v>
      </c>
      <c r="BB101" s="45">
        <f>_xlfn.IFS('Prepare Gantt Chart'!AF100=16,'Project types'!$L101*('Prepare Gantt Chart'!$I100*'Prepare Gantt Chart'!$J100),'Prepare Gantt Chart'!AF100=15,'Project types'!$L101*('Prepare Gantt Chart'!$I100*'Prepare Gantt Chart'!$J100),'Prepare Gantt Chart'!AF100=0,0)</f>
        <v>0</v>
      </c>
      <c r="BC101" s="45">
        <f>_xlfn.IFS('Prepare Gantt Chart'!AG100=16,'Project types'!$L101*('Prepare Gantt Chart'!$I100*'Prepare Gantt Chart'!$J100),'Prepare Gantt Chart'!AG100=15,'Project types'!$L101*('Prepare Gantt Chart'!$I100*'Prepare Gantt Chart'!$J100),'Prepare Gantt Chart'!AG100=0,0)</f>
        <v>0</v>
      </c>
      <c r="BD101" s="45">
        <f>_xlfn.IFS('Prepare Gantt Chart'!AH100=16,'Project types'!$L101*('Prepare Gantt Chart'!$I100*'Prepare Gantt Chart'!$J100),'Prepare Gantt Chart'!AH100=15,'Project types'!$L101*('Prepare Gantt Chart'!$I100*'Prepare Gantt Chart'!$J100),'Prepare Gantt Chart'!AH100=0,0)</f>
        <v>0</v>
      </c>
      <c r="BE101" s="45">
        <f>_xlfn.IFS('Prepare Gantt Chart'!AI100=16,'Project types'!$L101*('Prepare Gantt Chart'!$I100*'Prepare Gantt Chart'!$J100),'Prepare Gantt Chart'!AI100=15,'Project types'!$L101*('Prepare Gantt Chart'!$I100*'Prepare Gantt Chart'!$J100),'Prepare Gantt Chart'!AI100=0,0)</f>
        <v>0</v>
      </c>
      <c r="BF101" s="45">
        <f>_xlfn.IFS('Prepare Gantt Chart'!AJ100=16,'Project types'!$L101*('Prepare Gantt Chart'!$I100*'Prepare Gantt Chart'!$J100),'Prepare Gantt Chart'!AJ100=15,'Project types'!$L101*('Prepare Gantt Chart'!$I100*'Prepare Gantt Chart'!$J100),'Prepare Gantt Chart'!AJ100=0,0)</f>
        <v>0</v>
      </c>
      <c r="BG101" s="45">
        <f>_xlfn.IFS('Prepare Gantt Chart'!AK100=16,'Project types'!$L101*('Prepare Gantt Chart'!$I100*'Prepare Gantt Chart'!$J100),'Prepare Gantt Chart'!AK100=15,'Project types'!$L101*('Prepare Gantt Chart'!$I100*'Prepare Gantt Chart'!$J100),'Prepare Gantt Chart'!AK100=0,0)</f>
        <v>0</v>
      </c>
      <c r="BH101" s="45">
        <f>_xlfn.IFS('Prepare Gantt Chart'!AL100=16,'Project types'!$L101*('Prepare Gantt Chart'!$I100*'Prepare Gantt Chart'!$J100),'Prepare Gantt Chart'!AL100=15,'Project types'!$L101*('Prepare Gantt Chart'!$I100*'Prepare Gantt Chart'!$J100),'Prepare Gantt Chart'!AL100=0,0)</f>
        <v>0</v>
      </c>
      <c r="BI101" s="45">
        <f>_xlfn.IFS('Prepare Gantt Chart'!AM100=16,'Project types'!$L101*('Prepare Gantt Chart'!$I100*'Prepare Gantt Chart'!$J100),'Prepare Gantt Chart'!AM100=15,'Project types'!$L101*('Prepare Gantt Chart'!$I100*'Prepare Gantt Chart'!$J100),'Prepare Gantt Chart'!AM100=0,0)</f>
        <v>0</v>
      </c>
      <c r="BJ101" s="45">
        <f>_xlfn.IFS('Prepare Gantt Chart'!AN100=16,'Project types'!$L101*('Prepare Gantt Chart'!$I100*'Prepare Gantt Chart'!$J100),'Prepare Gantt Chart'!AN100=15,'Project types'!$L101*('Prepare Gantt Chart'!$I100*'Prepare Gantt Chart'!$J100),'Prepare Gantt Chart'!AN100=0,0)</f>
        <v>0</v>
      </c>
      <c r="BK101" s="45">
        <f>_xlfn.IFS('Prepare Gantt Chart'!AO100=16,'Project types'!$L101*('Prepare Gantt Chart'!$I100*'Prepare Gantt Chart'!$J100),'Prepare Gantt Chart'!AO100=15,'Project types'!$L101*('Prepare Gantt Chart'!$I100*'Prepare Gantt Chart'!$J100),'Prepare Gantt Chart'!AO100=0,0)</f>
        <v>0</v>
      </c>
      <c r="BL101" s="46">
        <f t="shared" si="3"/>
        <v>0</v>
      </c>
      <c r="BM101" s="75">
        <f>IF('Prepare Gantt Chart'!$J100=0,0,SUM(AL101:AQ101)/6/'Prepare Gantt Chart'!$J100)</f>
        <v>0</v>
      </c>
      <c r="BN101" s="75">
        <f>IF('Prepare Gantt Chart'!$J100=0,0,SUM(AR101:AV101)/5/'Prepare Gantt Chart'!$J100)</f>
        <v>0</v>
      </c>
      <c r="BO101" s="75">
        <f>IF('Prepare Gantt Chart'!$J100=0,0,SUM(AW101:BA101)/5/'Prepare Gantt Chart'!$J100)</f>
        <v>0</v>
      </c>
      <c r="BP101" s="75">
        <f>IF('Prepare Gantt Chart'!$J100=0,0,SUM(BB101:BF101)/5/'Prepare Gantt Chart'!$J100)</f>
        <v>0</v>
      </c>
      <c r="BQ101" s="75">
        <f>IF('Prepare Gantt Chart'!$J100=0,0,SUM(BG101:BK101)/5/'Prepare Gantt Chart'!$J100)</f>
        <v>0</v>
      </c>
    </row>
    <row r="102" spans="1:69" ht="16" thickBot="1" x14ac:dyDescent="0.25">
      <c r="A102" s="40" t="s">
        <v>415</v>
      </c>
      <c r="B102" s="8" t="s">
        <v>118</v>
      </c>
      <c r="C102" s="50">
        <f>_xlfn.IFS('Prepare Gantt Chart'!P101=16,'Project types'!$O102*('Prepare Gantt Chart'!$I101*'Prepare Gantt Chart'!$J101),'Prepare Gantt Chart'!P101=15,'Project types'!$Q102*('Prepare Gantt Chart'!$I101*'Prepare Gantt Chart'!$J101),'Prepare Gantt Chart'!P101=0,0)</f>
        <v>0</v>
      </c>
      <c r="D102" s="50">
        <f>_xlfn.IFS('Prepare Gantt Chart'!Q101=16,'Project types'!$O102*('Prepare Gantt Chart'!$I101*'Prepare Gantt Chart'!$J101),'Prepare Gantt Chart'!Q101=15,'Project types'!$Q102*('Prepare Gantt Chart'!$I101*'Prepare Gantt Chart'!$J101),'Prepare Gantt Chart'!Q101=0,0)</f>
        <v>0</v>
      </c>
      <c r="E102" s="50">
        <f>_xlfn.IFS('Prepare Gantt Chart'!R101=16,'Project types'!$O102*('Prepare Gantt Chart'!$I101*'Prepare Gantt Chart'!$J101),'Prepare Gantt Chart'!R101=15,'Project types'!$Q102*('Prepare Gantt Chart'!$I101*'Prepare Gantt Chart'!$J101),'Prepare Gantt Chart'!R101=0,0)</f>
        <v>0</v>
      </c>
      <c r="F102" s="50">
        <f>_xlfn.IFS('Prepare Gantt Chart'!S101=16,'Project types'!$O102*('Prepare Gantt Chart'!$I101*'Prepare Gantt Chart'!$J101),'Prepare Gantt Chart'!S101=15,'Project types'!$Q102*('Prepare Gantt Chart'!$I101*'Prepare Gantt Chart'!$J101),'Prepare Gantt Chart'!S101=0,0)</f>
        <v>0</v>
      </c>
      <c r="G102" s="50">
        <f>_xlfn.IFS('Prepare Gantt Chart'!T101=16,'Project types'!$O102*('Prepare Gantt Chart'!$I101*'Prepare Gantt Chart'!$J101),'Prepare Gantt Chart'!T101=15,'Project types'!$Q102*('Prepare Gantt Chart'!$I101*'Prepare Gantt Chart'!$J101),'Prepare Gantt Chart'!T101=0,0)</f>
        <v>0</v>
      </c>
      <c r="H102" s="50">
        <f>_xlfn.IFS('Prepare Gantt Chart'!U101=16,'Project types'!$O102*('Prepare Gantt Chart'!$I101*'Prepare Gantt Chart'!$J101),'Prepare Gantt Chart'!U101=15,'Project types'!$Q102*('Prepare Gantt Chart'!$I101*'Prepare Gantt Chart'!$J101),'Prepare Gantt Chart'!U101=0,0)</f>
        <v>0</v>
      </c>
      <c r="I102" s="50">
        <f>_xlfn.IFS('Prepare Gantt Chart'!V101=16,'Project types'!$O102*('Prepare Gantt Chart'!$I101*'Prepare Gantt Chart'!$J101),'Prepare Gantt Chart'!V101=15,'Project types'!$Q102*('Prepare Gantt Chart'!$I101*'Prepare Gantt Chart'!$J101),'Prepare Gantt Chart'!V101=0,0)</f>
        <v>0</v>
      </c>
      <c r="J102" s="50">
        <f>_xlfn.IFS('Prepare Gantt Chart'!W101=16,'Project types'!$O102*('Prepare Gantt Chart'!$I101*'Prepare Gantt Chart'!$J101),'Prepare Gantt Chart'!W101=15,'Project types'!$Q102*('Prepare Gantt Chart'!$I101*'Prepare Gantt Chart'!$J101),'Prepare Gantt Chart'!W101=0,0)</f>
        <v>0</v>
      </c>
      <c r="K102" s="50">
        <f>_xlfn.IFS('Prepare Gantt Chart'!X101=16,'Project types'!$O102*('Prepare Gantt Chart'!$I101*'Prepare Gantt Chart'!$J101),'Prepare Gantt Chart'!X101=15,'Project types'!$Q102*('Prepare Gantt Chart'!$I101*'Prepare Gantt Chart'!$J101),'Prepare Gantt Chart'!X101=0,0)</f>
        <v>0</v>
      </c>
      <c r="L102" s="50">
        <f>_xlfn.IFS('Prepare Gantt Chart'!Y101=16,'Project types'!$O102*('Prepare Gantt Chart'!$I101*'Prepare Gantt Chart'!$J101),'Prepare Gantt Chart'!Y101=15,'Project types'!$Q102*('Prepare Gantt Chart'!$I101*'Prepare Gantt Chart'!$J101),'Prepare Gantt Chart'!Y101=0,0)</f>
        <v>0</v>
      </c>
      <c r="M102" s="50">
        <f>_xlfn.IFS('Prepare Gantt Chart'!Z101=16,'Project types'!$O102*('Prepare Gantt Chart'!$I101*'Prepare Gantt Chart'!$J101),'Prepare Gantt Chart'!Z101=15,'Project types'!$Q102*('Prepare Gantt Chart'!$I101*'Prepare Gantt Chart'!$J101),'Prepare Gantt Chart'!Z101=0,0)</f>
        <v>0</v>
      </c>
      <c r="N102" s="50">
        <f>_xlfn.IFS('Prepare Gantt Chart'!AA101=16,'Project types'!$O102*('Prepare Gantt Chart'!$I101*'Prepare Gantt Chart'!$J101),'Prepare Gantt Chart'!AA101=15,'Project types'!$Q102*('Prepare Gantt Chart'!$I101*'Prepare Gantt Chart'!$J101),'Prepare Gantt Chart'!AA101=0,0)</f>
        <v>0</v>
      </c>
      <c r="O102" s="50">
        <f>_xlfn.IFS('Prepare Gantt Chart'!AB101=16,'Project types'!$O102*('Prepare Gantt Chart'!$I101*'Prepare Gantt Chart'!$J101),'Prepare Gantt Chart'!AB101=15,'Project types'!$Q102*('Prepare Gantt Chart'!$I101*'Prepare Gantt Chart'!$J101),'Prepare Gantt Chart'!AB101=0,0)</f>
        <v>0</v>
      </c>
      <c r="P102" s="50">
        <f>_xlfn.IFS('Prepare Gantt Chart'!AC101=16,'Project types'!$O102*('Prepare Gantt Chart'!$I101*'Prepare Gantt Chart'!$J101),'Prepare Gantt Chart'!AC101=15,'Project types'!$Q102*('Prepare Gantt Chart'!$I101*'Prepare Gantt Chart'!$J101),'Prepare Gantt Chart'!AC101=0,0)</f>
        <v>0</v>
      </c>
      <c r="Q102" s="50">
        <f>_xlfn.IFS('Prepare Gantt Chart'!AD101=16,'Project types'!$O102*('Prepare Gantt Chart'!$I101*'Prepare Gantt Chart'!$J101),'Prepare Gantt Chart'!AD101=15,'Project types'!$Q102*('Prepare Gantt Chart'!$I101*'Prepare Gantt Chart'!$J101),'Prepare Gantt Chart'!AD101=0,0)</f>
        <v>0</v>
      </c>
      <c r="R102" s="50">
        <f>_xlfn.IFS('Prepare Gantt Chart'!AE101=16,'Project types'!$O102*('Prepare Gantt Chart'!$I101*'Prepare Gantt Chart'!$J101),'Prepare Gantt Chart'!AE101=15,'Project types'!$Q102*('Prepare Gantt Chart'!$I101*'Prepare Gantt Chart'!$J101),'Prepare Gantt Chart'!AE101=0,0)</f>
        <v>0</v>
      </c>
      <c r="S102" s="50">
        <f>_xlfn.IFS('Prepare Gantt Chart'!AF101=16,'Project types'!$O102*('Prepare Gantt Chart'!$I101*'Prepare Gantt Chart'!$J101),'Prepare Gantt Chart'!AF101=15,'Project types'!$Q102*('Prepare Gantt Chart'!$I101*'Prepare Gantt Chart'!$J101),'Prepare Gantt Chart'!AF101=0,0)</f>
        <v>0</v>
      </c>
      <c r="T102" s="50">
        <f>_xlfn.IFS('Prepare Gantt Chart'!AG101=16,'Project types'!$O102*('Prepare Gantt Chart'!$I101*'Prepare Gantt Chart'!$J101),'Prepare Gantt Chart'!AG101=15,'Project types'!$Q102*('Prepare Gantt Chart'!$I101*'Prepare Gantt Chart'!$J101),'Prepare Gantt Chart'!AG101=0,0)</f>
        <v>0</v>
      </c>
      <c r="U102" s="50">
        <f>_xlfn.IFS('Prepare Gantt Chart'!AH101=16,'Project types'!$O102*('Prepare Gantt Chart'!$I101*'Prepare Gantt Chart'!$J101),'Prepare Gantt Chart'!AH101=15,'Project types'!$Q102*('Prepare Gantt Chart'!$I101*'Prepare Gantt Chart'!$J101),'Prepare Gantt Chart'!AH101=0,0)</f>
        <v>0</v>
      </c>
      <c r="V102" s="50">
        <f>_xlfn.IFS('Prepare Gantt Chart'!AI101=16,'Project types'!$O102*('Prepare Gantt Chart'!$I101*'Prepare Gantt Chart'!$J101),'Prepare Gantt Chart'!AI101=15,'Project types'!$Q102*('Prepare Gantt Chart'!$I101*'Prepare Gantt Chart'!$J101),'Prepare Gantt Chart'!AI101=0,0)</f>
        <v>0</v>
      </c>
      <c r="W102" s="50">
        <f>_xlfn.IFS('Prepare Gantt Chart'!AJ101=16,'Project types'!$O102*('Prepare Gantt Chart'!$I101*'Prepare Gantt Chart'!$J101),'Prepare Gantt Chart'!AJ101=15,'Project types'!$Q102*('Prepare Gantt Chart'!$I101*'Prepare Gantt Chart'!$J101),'Prepare Gantt Chart'!AJ101=0,0)</f>
        <v>0</v>
      </c>
      <c r="X102" s="50">
        <f>_xlfn.IFS('Prepare Gantt Chart'!AK101=16,'Project types'!$O102*('Prepare Gantt Chart'!$I101*'Prepare Gantt Chart'!$J101),'Prepare Gantt Chart'!AK101=15,'Project types'!$Q102*('Prepare Gantt Chart'!$I101*'Prepare Gantt Chart'!$J101),'Prepare Gantt Chart'!AK101=0,0)</f>
        <v>0</v>
      </c>
      <c r="Y102" s="50">
        <f>_xlfn.IFS('Prepare Gantt Chart'!AL101=16,'Project types'!$O102*('Prepare Gantt Chart'!$I101*'Prepare Gantt Chart'!$J101),'Prepare Gantt Chart'!AL101=15,'Project types'!$Q102*('Prepare Gantt Chart'!$I101*'Prepare Gantt Chart'!$J101),'Prepare Gantt Chart'!AL101=0,0)</f>
        <v>0</v>
      </c>
      <c r="Z102" s="50">
        <f>_xlfn.IFS('Prepare Gantt Chart'!AM101=16,'Project types'!$O102*('Prepare Gantt Chart'!$I101*'Prepare Gantt Chart'!$J101),'Prepare Gantt Chart'!AM101=15,'Project types'!$Q102*('Prepare Gantt Chart'!$I101*'Prepare Gantt Chart'!$J101),'Prepare Gantt Chart'!AM101=0,0)</f>
        <v>0</v>
      </c>
      <c r="AA102" s="50">
        <f>_xlfn.IFS('Prepare Gantt Chart'!AN101=16,'Project types'!$O102*('Prepare Gantt Chart'!$I101*'Prepare Gantt Chart'!$J101),'Prepare Gantt Chart'!AN101=15,'Project types'!$Q102*('Prepare Gantt Chart'!$I101*'Prepare Gantt Chart'!$J101),'Prepare Gantt Chart'!AN101=0,0)</f>
        <v>0</v>
      </c>
      <c r="AB102" s="50">
        <f>_xlfn.IFS('Prepare Gantt Chart'!AO101=16,'Project types'!$O102*('Prepare Gantt Chart'!$I101*'Prepare Gantt Chart'!$J101),'Prepare Gantt Chart'!AO101=15,'Project types'!$Q102*('Prepare Gantt Chart'!$I101*'Prepare Gantt Chart'!$J101),'Prepare Gantt Chart'!AO101=0,0)</f>
        <v>0</v>
      </c>
      <c r="AC102" s="50">
        <f>'Prepare Gantt Chart'!J101*'Prepare Gantt Chart'!I101*(AD102/26)</f>
        <v>0</v>
      </c>
      <c r="AD102" s="51">
        <f t="shared" si="2"/>
        <v>0</v>
      </c>
      <c r="AE102" s="73">
        <f>IF('Prepare Gantt Chart'!$J101=0,0,SUM(C102:H102)/6/'Prepare Gantt Chart'!$J101)</f>
        <v>0</v>
      </c>
      <c r="AF102" s="73">
        <f>IF('Prepare Gantt Chart'!$J101=0,0,SUM(I102:M102)/5/'Prepare Gantt Chart'!$J101)</f>
        <v>0</v>
      </c>
      <c r="AG102" s="73">
        <f>IF('Prepare Gantt Chart'!$J101=0,0,SUM(N102:R102)/5/'Prepare Gantt Chart'!$J101)</f>
        <v>0</v>
      </c>
      <c r="AH102" s="73">
        <f>IF('Prepare Gantt Chart'!$J101=0,0,SUM(S102:W102)/5/'Prepare Gantt Chart'!$J101)</f>
        <v>0</v>
      </c>
      <c r="AI102" s="73">
        <f>IF('Prepare Gantt Chart'!$J101=0,0,SUM(X102:AB102)/5/'Prepare Gantt Chart'!$J101)</f>
        <v>0</v>
      </c>
      <c r="AK102" s="40" t="s">
        <v>415</v>
      </c>
      <c r="AL102" s="50">
        <f>_xlfn.IFS('Prepare Gantt Chart'!P101=16,'Project types'!$L102*('Prepare Gantt Chart'!$I101*'Prepare Gantt Chart'!$J101),'Prepare Gantt Chart'!P101=15,'Project types'!$L102*('Prepare Gantt Chart'!$I101*'Prepare Gantt Chart'!$J101),'Prepare Gantt Chart'!P101=0,0)</f>
        <v>0</v>
      </c>
      <c r="AM102" s="50">
        <f>_xlfn.IFS('Prepare Gantt Chart'!Q101=16,'Project types'!$L102*('Prepare Gantt Chart'!$I101*'Prepare Gantt Chart'!$J101),'Prepare Gantt Chart'!Q101=15,'Project types'!$L102*('Prepare Gantt Chart'!$I101*'Prepare Gantt Chart'!$J101),'Prepare Gantt Chart'!Q101=0,0)</f>
        <v>0</v>
      </c>
      <c r="AN102" s="50">
        <f>_xlfn.IFS('Prepare Gantt Chart'!R101=16,'Project types'!$L102*('Prepare Gantt Chart'!$I101*'Prepare Gantt Chart'!$J101),'Prepare Gantt Chart'!R101=15,'Project types'!$L102*('Prepare Gantt Chart'!$I101*'Prepare Gantt Chart'!$J101),'Prepare Gantt Chart'!R101=0,0)</f>
        <v>0</v>
      </c>
      <c r="AO102" s="50">
        <f>_xlfn.IFS('Prepare Gantt Chart'!S101=16,'Project types'!$L102*('Prepare Gantt Chart'!$I101*'Prepare Gantt Chart'!$J101),'Prepare Gantt Chart'!S101=15,'Project types'!$L102*('Prepare Gantt Chart'!$I101*'Prepare Gantt Chart'!$J101),'Prepare Gantt Chart'!S101=0,0)</f>
        <v>0</v>
      </c>
      <c r="AP102" s="50">
        <f>_xlfn.IFS('Prepare Gantt Chart'!T101=16,'Project types'!$L102*('Prepare Gantt Chart'!$I101*'Prepare Gantt Chart'!$J101),'Prepare Gantt Chart'!T101=15,'Project types'!$L102*('Prepare Gantt Chart'!$I101*'Prepare Gantt Chart'!$J101),'Prepare Gantt Chart'!T101=0,0)</f>
        <v>0</v>
      </c>
      <c r="AQ102" s="50">
        <f>_xlfn.IFS('Prepare Gantt Chart'!U101=16,'Project types'!$L102*('Prepare Gantt Chart'!$I101*'Prepare Gantt Chart'!$J101),'Prepare Gantt Chart'!U101=15,'Project types'!$L102*('Prepare Gantt Chart'!$I101*'Prepare Gantt Chart'!$J101),'Prepare Gantt Chart'!U101=0,0)</f>
        <v>0</v>
      </c>
      <c r="AR102" s="50">
        <f>_xlfn.IFS('Prepare Gantt Chart'!V101=16,'Project types'!$L102*('Prepare Gantt Chart'!$I101*'Prepare Gantt Chart'!$J101),'Prepare Gantt Chart'!V101=15,'Project types'!$L102*('Prepare Gantt Chart'!$I101*'Prepare Gantt Chart'!$J101),'Prepare Gantt Chart'!V101=0,0)</f>
        <v>0</v>
      </c>
      <c r="AS102" s="50">
        <f>_xlfn.IFS('Prepare Gantt Chart'!W101=16,'Project types'!$L102*('Prepare Gantt Chart'!$I101*'Prepare Gantt Chart'!$J101),'Prepare Gantt Chart'!W101=15,'Project types'!$L102*('Prepare Gantt Chart'!$I101*'Prepare Gantt Chart'!$J101),'Prepare Gantt Chart'!W101=0,0)</f>
        <v>0</v>
      </c>
      <c r="AT102" s="50">
        <f>_xlfn.IFS('Prepare Gantt Chart'!X101=16,'Project types'!$L102*('Prepare Gantt Chart'!$I101*'Prepare Gantt Chart'!$J101),'Prepare Gantt Chart'!X101=15,'Project types'!$L102*('Prepare Gantt Chart'!$I101*'Prepare Gantt Chart'!$J101),'Prepare Gantt Chart'!X101=0,0)</f>
        <v>0</v>
      </c>
      <c r="AU102" s="50">
        <f>_xlfn.IFS('Prepare Gantt Chart'!Y101=16,'Project types'!$L102*('Prepare Gantt Chart'!$I101*'Prepare Gantt Chart'!$J101),'Prepare Gantt Chart'!Y101=15,'Project types'!$L102*('Prepare Gantt Chart'!$I101*'Prepare Gantt Chart'!$J101),'Prepare Gantt Chart'!Y101=0,0)</f>
        <v>0</v>
      </c>
      <c r="AV102" s="50">
        <f>_xlfn.IFS('Prepare Gantt Chart'!Z101=16,'Project types'!$L102*('Prepare Gantt Chart'!$I101*'Prepare Gantt Chart'!$J101),'Prepare Gantt Chart'!Z101=15,'Project types'!$L102*('Prepare Gantt Chart'!$I101*'Prepare Gantt Chart'!$J101),'Prepare Gantt Chart'!Z101=0,0)</f>
        <v>0</v>
      </c>
      <c r="AW102" s="50">
        <f>_xlfn.IFS('Prepare Gantt Chart'!AA101=16,'Project types'!$L102*('Prepare Gantt Chart'!$I101*'Prepare Gantt Chart'!$J101),'Prepare Gantt Chart'!AA101=15,'Project types'!$L102*('Prepare Gantt Chart'!$I101*'Prepare Gantt Chart'!$J101),'Prepare Gantt Chart'!AA101=0,0)</f>
        <v>0</v>
      </c>
      <c r="AX102" s="50">
        <f>_xlfn.IFS('Prepare Gantt Chart'!AB101=16,'Project types'!$L102*('Prepare Gantt Chart'!$I101*'Prepare Gantt Chart'!$J101),'Prepare Gantt Chart'!AB101=15,'Project types'!$L102*('Prepare Gantt Chart'!$I101*'Prepare Gantt Chart'!$J101),'Prepare Gantt Chart'!AB101=0,0)</f>
        <v>0</v>
      </c>
      <c r="AY102" s="50">
        <f>_xlfn.IFS('Prepare Gantt Chart'!AC101=16,'Project types'!$L102*('Prepare Gantt Chart'!$I101*'Prepare Gantt Chart'!$J101),'Prepare Gantt Chart'!AC101=15,'Project types'!$L102*('Prepare Gantt Chart'!$I101*'Prepare Gantt Chart'!$J101),'Prepare Gantt Chart'!AC101=0,0)</f>
        <v>0</v>
      </c>
      <c r="AZ102" s="50">
        <f>_xlfn.IFS('Prepare Gantt Chart'!AD101=16,'Project types'!$L102*('Prepare Gantt Chart'!$I101*'Prepare Gantt Chart'!$J101),'Prepare Gantt Chart'!AD101=15,'Project types'!$L102*('Prepare Gantt Chart'!$I101*'Prepare Gantt Chart'!$J101),'Prepare Gantt Chart'!AD101=0,0)</f>
        <v>0</v>
      </c>
      <c r="BA102" s="50">
        <f>_xlfn.IFS('Prepare Gantt Chart'!AE101=16,'Project types'!$L102*('Prepare Gantt Chart'!$I101*'Prepare Gantt Chart'!$J101),'Prepare Gantt Chart'!AE101=15,'Project types'!$L102*('Prepare Gantt Chart'!$I101*'Prepare Gantt Chart'!$J101),'Prepare Gantt Chart'!AE101=0,0)</f>
        <v>0</v>
      </c>
      <c r="BB102" s="50">
        <f>_xlfn.IFS('Prepare Gantt Chart'!AF101=16,'Project types'!$L102*('Prepare Gantt Chart'!$I101*'Prepare Gantt Chart'!$J101),'Prepare Gantt Chart'!AF101=15,'Project types'!$L102*('Prepare Gantt Chart'!$I101*'Prepare Gantt Chart'!$J101),'Prepare Gantt Chart'!AF101=0,0)</f>
        <v>0</v>
      </c>
      <c r="BC102" s="50">
        <f>_xlfn.IFS('Prepare Gantt Chart'!AG101=16,'Project types'!$L102*('Prepare Gantt Chart'!$I101*'Prepare Gantt Chart'!$J101),'Prepare Gantt Chart'!AG101=15,'Project types'!$L102*('Prepare Gantt Chart'!$I101*'Prepare Gantt Chart'!$J101),'Prepare Gantt Chart'!AG101=0,0)</f>
        <v>0</v>
      </c>
      <c r="BD102" s="50">
        <f>_xlfn.IFS('Prepare Gantt Chart'!AH101=16,'Project types'!$L102*('Prepare Gantt Chart'!$I101*'Prepare Gantt Chart'!$J101),'Prepare Gantt Chart'!AH101=15,'Project types'!$L102*('Prepare Gantt Chart'!$I101*'Prepare Gantt Chart'!$J101),'Prepare Gantt Chart'!AH101=0,0)</f>
        <v>0</v>
      </c>
      <c r="BE102" s="50">
        <f>_xlfn.IFS('Prepare Gantt Chart'!AI101=16,'Project types'!$L102*('Prepare Gantt Chart'!$I101*'Prepare Gantt Chart'!$J101),'Prepare Gantt Chart'!AI101=15,'Project types'!$L102*('Prepare Gantt Chart'!$I101*'Prepare Gantt Chart'!$J101),'Prepare Gantt Chart'!AI101=0,0)</f>
        <v>0</v>
      </c>
      <c r="BF102" s="50">
        <f>_xlfn.IFS('Prepare Gantt Chart'!AJ101=16,'Project types'!$L102*('Prepare Gantt Chart'!$I101*'Prepare Gantt Chart'!$J101),'Prepare Gantt Chart'!AJ101=15,'Project types'!$L102*('Prepare Gantt Chart'!$I101*'Prepare Gantt Chart'!$J101),'Prepare Gantt Chart'!AJ101=0,0)</f>
        <v>0</v>
      </c>
      <c r="BG102" s="50">
        <f>_xlfn.IFS('Prepare Gantt Chart'!AK101=16,'Project types'!$L102*('Prepare Gantt Chart'!$I101*'Prepare Gantt Chart'!$J101),'Prepare Gantt Chart'!AK101=15,'Project types'!$L102*('Prepare Gantt Chart'!$I101*'Prepare Gantt Chart'!$J101),'Prepare Gantt Chart'!AK101=0,0)</f>
        <v>0</v>
      </c>
      <c r="BH102" s="50">
        <f>_xlfn.IFS('Prepare Gantt Chart'!AL101=16,'Project types'!$L102*('Prepare Gantt Chart'!$I101*'Prepare Gantt Chart'!$J101),'Prepare Gantt Chart'!AL101=15,'Project types'!$L102*('Prepare Gantt Chart'!$I101*'Prepare Gantt Chart'!$J101),'Prepare Gantt Chart'!AL101=0,0)</f>
        <v>0</v>
      </c>
      <c r="BI102" s="50">
        <f>_xlfn.IFS('Prepare Gantt Chart'!AM101=16,'Project types'!$L102*('Prepare Gantt Chart'!$I101*'Prepare Gantt Chart'!$J101),'Prepare Gantt Chart'!AM101=15,'Project types'!$L102*('Prepare Gantt Chart'!$I101*'Prepare Gantt Chart'!$J101),'Prepare Gantt Chart'!AM101=0,0)</f>
        <v>0</v>
      </c>
      <c r="BJ102" s="50">
        <f>_xlfn.IFS('Prepare Gantt Chart'!AN101=16,'Project types'!$L102*('Prepare Gantt Chart'!$I101*'Prepare Gantt Chart'!$J101),'Prepare Gantt Chart'!AN101=15,'Project types'!$L102*('Prepare Gantt Chart'!$I101*'Prepare Gantt Chart'!$J101),'Prepare Gantt Chart'!AN101=0,0)</f>
        <v>0</v>
      </c>
      <c r="BK102" s="50">
        <f>_xlfn.IFS('Prepare Gantt Chart'!AO101=16,'Project types'!$L102*('Prepare Gantt Chart'!$I101*'Prepare Gantt Chart'!$J101),'Prepare Gantt Chart'!AO101=15,'Project types'!$L102*('Prepare Gantt Chart'!$I101*'Prepare Gantt Chart'!$J101),'Prepare Gantt Chart'!AO101=0,0)</f>
        <v>0</v>
      </c>
      <c r="BL102" s="51">
        <f t="shared" si="3"/>
        <v>0</v>
      </c>
      <c r="BM102" s="76">
        <f>IF('Prepare Gantt Chart'!$J101=0,0,SUM(AL102:AQ102)/6/'Prepare Gantt Chart'!$J101)</f>
        <v>0</v>
      </c>
      <c r="BN102" s="76">
        <f>IF('Prepare Gantt Chart'!$J101=0,0,SUM(AR102:AV102)/5/'Prepare Gantt Chart'!$J101)</f>
        <v>0</v>
      </c>
      <c r="BO102" s="76">
        <f>IF('Prepare Gantt Chart'!$J101=0,0,SUM(AW102:BA102)/5/'Prepare Gantt Chart'!$J101)</f>
        <v>0</v>
      </c>
      <c r="BP102" s="76">
        <f>IF('Prepare Gantt Chart'!$J101=0,0,SUM(BB102:BF102)/5/'Prepare Gantt Chart'!$J101)</f>
        <v>0</v>
      </c>
      <c r="BQ102" s="76">
        <f>IF('Prepare Gantt Chart'!$J101=0,0,SUM(BG102:BK102)/5/'Prepare Gantt Chart'!$J101)</f>
        <v>0</v>
      </c>
    </row>
    <row r="103" spans="1:69" x14ac:dyDescent="0.2">
      <c r="A103" s="41" t="s">
        <v>94</v>
      </c>
      <c r="B103" s="1" t="s">
        <v>160</v>
      </c>
      <c r="C103" s="45">
        <f>_xlfn.IFS('Prepare Gantt Chart'!P102=18,'Project types'!$O103*('Prepare Gantt Chart'!$I102*'Prepare Gantt Chart'!$J102),'Prepare Gantt Chart'!P102=17,'Project types'!$Q103*('Prepare Gantt Chart'!$I102*'Prepare Gantt Chart'!$J102),'Prepare Gantt Chart'!P102=0,0)</f>
        <v>0</v>
      </c>
      <c r="D103" s="45">
        <f>_xlfn.IFS('Prepare Gantt Chart'!Q102=18,'Project types'!$O103*('Prepare Gantt Chart'!$I102*'Prepare Gantt Chart'!$J102),'Prepare Gantt Chart'!Q102=17,'Project types'!$Q103*('Prepare Gantt Chart'!$I102*'Prepare Gantt Chart'!$J102),'Prepare Gantt Chart'!Q102=0,0)</f>
        <v>0</v>
      </c>
      <c r="E103" s="45">
        <f>_xlfn.IFS('Prepare Gantt Chart'!R102=18,'Project types'!$O103*('Prepare Gantt Chart'!$I102*'Prepare Gantt Chart'!$J102),'Prepare Gantt Chart'!R102=17,'Project types'!$Q103*('Prepare Gantt Chart'!$I102*'Prepare Gantt Chart'!$J102),'Prepare Gantt Chart'!R102=0,0)</f>
        <v>0</v>
      </c>
      <c r="F103" s="45">
        <f>_xlfn.IFS('Prepare Gantt Chart'!S102=18,'Project types'!$O103*('Prepare Gantt Chart'!$I102*'Prepare Gantt Chart'!$J102),'Prepare Gantt Chart'!S102=17,'Project types'!$Q103*('Prepare Gantt Chart'!$I102*'Prepare Gantt Chart'!$J102),'Prepare Gantt Chart'!S102=0,0)</f>
        <v>0</v>
      </c>
      <c r="G103" s="45">
        <f>_xlfn.IFS('Prepare Gantt Chart'!T102=18,'Project types'!$O103*('Prepare Gantt Chart'!$I102*'Prepare Gantt Chart'!$J102),'Prepare Gantt Chart'!T102=17,'Project types'!$Q103*('Prepare Gantt Chart'!$I102*'Prepare Gantt Chart'!$J102),'Prepare Gantt Chart'!T102=0,0)</f>
        <v>0</v>
      </c>
      <c r="H103" s="45">
        <f>_xlfn.IFS('Prepare Gantt Chart'!U102=18,'Project types'!$O103*('Prepare Gantt Chart'!$I102*'Prepare Gantt Chart'!$J102),'Prepare Gantt Chart'!U102=17,'Project types'!$Q103*('Prepare Gantt Chart'!$I102*'Prepare Gantt Chart'!$J102),'Prepare Gantt Chart'!U102=0,0)</f>
        <v>0</v>
      </c>
      <c r="I103" s="45">
        <f>_xlfn.IFS('Prepare Gantt Chart'!V102=18,'Project types'!$O103*('Prepare Gantt Chart'!$I102*'Prepare Gantt Chart'!$J102),'Prepare Gantt Chart'!V102=17,'Project types'!$Q103*('Prepare Gantt Chart'!$I102*'Prepare Gantt Chart'!$J102),'Prepare Gantt Chart'!V102=0,0)</f>
        <v>0</v>
      </c>
      <c r="J103" s="45">
        <f>_xlfn.IFS('Prepare Gantt Chart'!W102=18,'Project types'!$O103*('Prepare Gantt Chart'!$I102*'Prepare Gantt Chart'!$J102),'Prepare Gantt Chart'!W102=17,'Project types'!$Q103*('Prepare Gantt Chart'!$I102*'Prepare Gantt Chart'!$J102),'Prepare Gantt Chart'!W102=0,0)</f>
        <v>0</v>
      </c>
      <c r="K103" s="45">
        <f>_xlfn.IFS('Prepare Gantt Chart'!X102=18,'Project types'!$O103*('Prepare Gantt Chart'!$I102*'Prepare Gantt Chart'!$J102),'Prepare Gantt Chart'!X102=17,'Project types'!$Q103*('Prepare Gantt Chart'!$I102*'Prepare Gantt Chart'!$J102),'Prepare Gantt Chart'!X102=0,0)</f>
        <v>0</v>
      </c>
      <c r="L103" s="45">
        <f>_xlfn.IFS('Prepare Gantt Chart'!Y102=18,'Project types'!$O103*('Prepare Gantt Chart'!$I102*'Prepare Gantt Chart'!$J102),'Prepare Gantt Chart'!Y102=17,'Project types'!$Q103*('Prepare Gantt Chart'!$I102*'Prepare Gantt Chart'!$J102),'Prepare Gantt Chart'!Y102=0,0)</f>
        <v>0</v>
      </c>
      <c r="M103" s="45">
        <f>_xlfn.IFS('Prepare Gantt Chart'!Z102=18,'Project types'!$O103*('Prepare Gantt Chart'!$I102*'Prepare Gantt Chart'!$J102),'Prepare Gantt Chart'!Z102=17,'Project types'!$Q103*('Prepare Gantt Chart'!$I102*'Prepare Gantt Chart'!$J102),'Prepare Gantt Chart'!Z102=0,0)</f>
        <v>0</v>
      </c>
      <c r="N103" s="45">
        <f>_xlfn.IFS('Prepare Gantt Chart'!AA102=18,'Project types'!$O103*('Prepare Gantt Chart'!$I102*'Prepare Gantt Chart'!$J102),'Prepare Gantt Chart'!AA102=17,'Project types'!$Q103*('Prepare Gantt Chart'!$I102*'Prepare Gantt Chart'!$J102),'Prepare Gantt Chart'!AA102=0,0)</f>
        <v>0</v>
      </c>
      <c r="O103" s="45">
        <f>_xlfn.IFS('Prepare Gantt Chart'!AB102=18,'Project types'!$O103*('Prepare Gantt Chart'!$I102*'Prepare Gantt Chart'!$J102),'Prepare Gantt Chart'!AB102=17,'Project types'!$Q103*('Prepare Gantt Chart'!$I102*'Prepare Gantt Chart'!$J102),'Prepare Gantt Chart'!AB102=0,0)</f>
        <v>0</v>
      </c>
      <c r="P103" s="45">
        <f>_xlfn.IFS('Prepare Gantt Chart'!AC102=18,'Project types'!$O103*('Prepare Gantt Chart'!$I102*'Prepare Gantt Chart'!$J102),'Prepare Gantt Chart'!AC102=17,'Project types'!$Q103*('Prepare Gantt Chart'!$I102*'Prepare Gantt Chart'!$J102),'Prepare Gantt Chart'!AC102=0,0)</f>
        <v>0</v>
      </c>
      <c r="Q103" s="45">
        <f>_xlfn.IFS('Prepare Gantt Chart'!AD102=18,'Project types'!$O103*('Prepare Gantt Chart'!$I102*'Prepare Gantt Chart'!$J102),'Prepare Gantt Chart'!AD102=17,'Project types'!$Q103*('Prepare Gantt Chart'!$I102*'Prepare Gantt Chart'!$J102),'Prepare Gantt Chart'!AD102=0,0)</f>
        <v>0</v>
      </c>
      <c r="R103" s="45">
        <f>_xlfn.IFS('Prepare Gantt Chart'!AE102=18,'Project types'!$O103*('Prepare Gantt Chart'!$I102*'Prepare Gantt Chart'!$J102),'Prepare Gantt Chart'!AE102=17,'Project types'!$Q103*('Prepare Gantt Chart'!$I102*'Prepare Gantt Chart'!$J102),'Prepare Gantt Chart'!AE102=0,0)</f>
        <v>0</v>
      </c>
      <c r="S103" s="45">
        <f>_xlfn.IFS('Prepare Gantt Chart'!AF102=18,'Project types'!$O103*('Prepare Gantt Chart'!$I102*'Prepare Gantt Chart'!$J102),'Prepare Gantt Chart'!AF102=17,'Project types'!$Q103*('Prepare Gantt Chart'!$I102*'Prepare Gantt Chart'!$J102),'Prepare Gantt Chart'!AF102=0,0)</f>
        <v>0</v>
      </c>
      <c r="T103" s="45">
        <f>_xlfn.IFS('Prepare Gantt Chart'!AG102=18,'Project types'!$O103*('Prepare Gantt Chart'!$I102*'Prepare Gantt Chart'!$J102),'Prepare Gantt Chart'!AG102=17,'Project types'!$Q103*('Prepare Gantt Chart'!$I102*'Prepare Gantt Chart'!$J102),'Prepare Gantt Chart'!AG102=0,0)</f>
        <v>0</v>
      </c>
      <c r="U103" s="45">
        <f>_xlfn.IFS('Prepare Gantt Chart'!AH102=18,'Project types'!$O103*('Prepare Gantt Chart'!$I102*'Prepare Gantt Chart'!$J102),'Prepare Gantt Chart'!AH102=17,'Project types'!$Q103*('Prepare Gantt Chart'!$I102*'Prepare Gantt Chart'!$J102),'Prepare Gantt Chart'!AH102=0,0)</f>
        <v>0</v>
      </c>
      <c r="V103" s="45">
        <f>_xlfn.IFS('Prepare Gantt Chart'!AI102=18,'Project types'!$O103*('Prepare Gantt Chart'!$I102*'Prepare Gantt Chart'!$J102),'Prepare Gantt Chart'!AI102=17,'Project types'!$Q103*('Prepare Gantt Chart'!$I102*'Prepare Gantt Chart'!$J102),'Prepare Gantt Chart'!AI102=0,0)</f>
        <v>0</v>
      </c>
      <c r="W103" s="45">
        <f>_xlfn.IFS('Prepare Gantt Chart'!AJ102=18,'Project types'!$O103*('Prepare Gantt Chart'!$I102*'Prepare Gantt Chart'!$J102),'Prepare Gantt Chart'!AJ102=17,'Project types'!$Q103*('Prepare Gantt Chart'!$I102*'Prepare Gantt Chart'!$J102),'Prepare Gantt Chart'!AJ102=0,0)</f>
        <v>0</v>
      </c>
      <c r="X103" s="45">
        <f>_xlfn.IFS('Prepare Gantt Chart'!AK102=18,'Project types'!$O103*('Prepare Gantt Chart'!$I102*'Prepare Gantt Chart'!$J102),'Prepare Gantt Chart'!AK102=17,'Project types'!$Q103*('Prepare Gantt Chart'!$I102*'Prepare Gantt Chart'!$J102),'Prepare Gantt Chart'!AK102=0,0)</f>
        <v>0</v>
      </c>
      <c r="Y103" s="45">
        <f>_xlfn.IFS('Prepare Gantt Chart'!AL102=18,'Project types'!$O103*('Prepare Gantt Chart'!$I102*'Prepare Gantt Chart'!$J102),'Prepare Gantt Chart'!AL102=17,'Project types'!$Q103*('Prepare Gantt Chart'!$I102*'Prepare Gantt Chart'!$J102),'Prepare Gantt Chart'!AL102=0,0)</f>
        <v>0</v>
      </c>
      <c r="Z103" s="45">
        <f>_xlfn.IFS('Prepare Gantt Chart'!AM102=18,'Project types'!$O103*('Prepare Gantt Chart'!$I102*'Prepare Gantt Chart'!$J102),'Prepare Gantt Chart'!AM102=17,'Project types'!$Q103*('Prepare Gantt Chart'!$I102*'Prepare Gantt Chart'!$J102),'Prepare Gantt Chart'!AM102=0,0)</f>
        <v>0</v>
      </c>
      <c r="AA103" s="45">
        <f>_xlfn.IFS('Prepare Gantt Chart'!AN102=18,'Project types'!$O103*('Prepare Gantt Chart'!$I102*'Prepare Gantt Chart'!$J102),'Prepare Gantt Chart'!AN102=17,'Project types'!$Q103*('Prepare Gantt Chart'!$I102*'Prepare Gantt Chart'!$J102),'Prepare Gantt Chart'!AN102=0,0)</f>
        <v>0</v>
      </c>
      <c r="AB103" s="45">
        <f>_xlfn.IFS('Prepare Gantt Chart'!AO102=18,'Project types'!$O103*('Prepare Gantt Chart'!$I102*'Prepare Gantt Chart'!$J102),'Prepare Gantt Chart'!AO102=17,'Project types'!$Q103*('Prepare Gantt Chart'!$I102*'Prepare Gantt Chart'!$J102),'Prepare Gantt Chart'!AO102=0,0)</f>
        <v>0</v>
      </c>
      <c r="AC103" s="45">
        <f>'Prepare Gantt Chart'!J102*'Prepare Gantt Chart'!I102*(AD103/26)</f>
        <v>0</v>
      </c>
      <c r="AD103" s="46">
        <f t="shared" si="2"/>
        <v>0</v>
      </c>
      <c r="AE103" s="72">
        <f>IF('Prepare Gantt Chart'!$J102=0,0,SUM(C103:H103)/6/'Prepare Gantt Chart'!$J102)</f>
        <v>0</v>
      </c>
      <c r="AF103" s="72">
        <f>IF('Prepare Gantt Chart'!$J102=0,0,SUM(I103:M103)/5/'Prepare Gantt Chart'!$J102)</f>
        <v>0</v>
      </c>
      <c r="AG103" s="72">
        <f>IF('Prepare Gantt Chart'!$J102=0,0,SUM(N103:R103)/5/'Prepare Gantt Chart'!$J102)</f>
        <v>0</v>
      </c>
      <c r="AH103" s="72">
        <f>IF('Prepare Gantt Chart'!$J102=0,0,SUM(S103:W103)/5/'Prepare Gantt Chart'!$J102)</f>
        <v>0</v>
      </c>
      <c r="AI103" s="72">
        <f>IF('Prepare Gantt Chart'!$J102=0,0,SUM(X103:AB103)/5/'Prepare Gantt Chart'!$J102)</f>
        <v>0</v>
      </c>
      <c r="AK103" s="41" t="s">
        <v>94</v>
      </c>
      <c r="AL103" s="45">
        <f>_xlfn.IFS('Prepare Gantt Chart'!P102=18,'Project types'!$L103*('Prepare Gantt Chart'!$I102*'Prepare Gantt Chart'!$J102),'Prepare Gantt Chart'!P102=17,'Project types'!$L103*('Prepare Gantt Chart'!$I102*'Prepare Gantt Chart'!$J102),'Prepare Gantt Chart'!P102=0,0)</f>
        <v>0</v>
      </c>
      <c r="AM103" s="45">
        <f>_xlfn.IFS('Prepare Gantt Chart'!Q102=18,'Project types'!$L103*('Prepare Gantt Chart'!$I102*'Prepare Gantt Chart'!$J102),'Prepare Gantt Chart'!Q102=17,'Project types'!$L103*('Prepare Gantt Chart'!$I102*'Prepare Gantt Chart'!$J102),'Prepare Gantt Chart'!Q102=0,0)</f>
        <v>0</v>
      </c>
      <c r="AN103" s="45">
        <f>_xlfn.IFS('Prepare Gantt Chart'!R102=18,'Project types'!$L103*('Prepare Gantt Chart'!$I102*'Prepare Gantt Chart'!$J102),'Prepare Gantt Chart'!R102=17,'Project types'!$L103*('Prepare Gantt Chart'!$I102*'Prepare Gantt Chart'!$J102),'Prepare Gantt Chart'!R102=0,0)</f>
        <v>0</v>
      </c>
      <c r="AO103" s="45">
        <f>_xlfn.IFS('Prepare Gantt Chart'!S102=18,'Project types'!$L103*('Prepare Gantt Chart'!$I102*'Prepare Gantt Chart'!$J102),'Prepare Gantt Chart'!S102=17,'Project types'!$L103*('Prepare Gantt Chart'!$I102*'Prepare Gantt Chart'!$J102),'Prepare Gantt Chart'!S102=0,0)</f>
        <v>0</v>
      </c>
      <c r="AP103" s="45">
        <f>_xlfn.IFS('Prepare Gantt Chart'!T102=18,'Project types'!$L103*('Prepare Gantt Chart'!$I102*'Prepare Gantt Chart'!$J102),'Prepare Gantt Chart'!T102=17,'Project types'!$L103*('Prepare Gantt Chart'!$I102*'Prepare Gantt Chart'!$J102),'Prepare Gantt Chart'!T102=0,0)</f>
        <v>0</v>
      </c>
      <c r="AQ103" s="45">
        <f>_xlfn.IFS('Prepare Gantt Chart'!U102=18,'Project types'!$L103*('Prepare Gantt Chart'!$I102*'Prepare Gantt Chart'!$J102),'Prepare Gantt Chart'!U102=17,'Project types'!$L103*('Prepare Gantt Chart'!$I102*'Prepare Gantt Chart'!$J102),'Prepare Gantt Chart'!U102=0,0)</f>
        <v>0</v>
      </c>
      <c r="AR103" s="45">
        <f>_xlfn.IFS('Prepare Gantt Chart'!V102=18,'Project types'!$L103*('Prepare Gantt Chart'!$I102*'Prepare Gantt Chart'!$J102),'Prepare Gantt Chart'!V102=17,'Project types'!$L103*('Prepare Gantt Chart'!$I102*'Prepare Gantt Chart'!$J102),'Prepare Gantt Chart'!V102=0,0)</f>
        <v>0</v>
      </c>
      <c r="AS103" s="45">
        <f>_xlfn.IFS('Prepare Gantt Chart'!W102=18,'Project types'!$L103*('Prepare Gantt Chart'!$I102*'Prepare Gantt Chart'!$J102),'Prepare Gantt Chart'!W102=17,'Project types'!$L103*('Prepare Gantt Chart'!$I102*'Prepare Gantt Chart'!$J102),'Prepare Gantt Chart'!W102=0,0)</f>
        <v>0</v>
      </c>
      <c r="AT103" s="45">
        <f>_xlfn.IFS('Prepare Gantt Chart'!X102=18,'Project types'!$L103*('Prepare Gantt Chart'!$I102*'Prepare Gantt Chart'!$J102),'Prepare Gantt Chart'!X102=17,'Project types'!$L103*('Prepare Gantt Chart'!$I102*'Prepare Gantt Chart'!$J102),'Prepare Gantt Chart'!X102=0,0)</f>
        <v>0</v>
      </c>
      <c r="AU103" s="45">
        <f>_xlfn.IFS('Prepare Gantt Chart'!Y102=18,'Project types'!$L103*('Prepare Gantt Chart'!$I102*'Prepare Gantt Chart'!$J102),'Prepare Gantt Chart'!Y102=17,'Project types'!$L103*('Prepare Gantt Chart'!$I102*'Prepare Gantt Chart'!$J102),'Prepare Gantt Chart'!Y102=0,0)</f>
        <v>0</v>
      </c>
      <c r="AV103" s="45">
        <f>_xlfn.IFS('Prepare Gantt Chart'!Z102=18,'Project types'!$L103*('Prepare Gantt Chart'!$I102*'Prepare Gantt Chart'!$J102),'Prepare Gantt Chart'!Z102=17,'Project types'!$L103*('Prepare Gantt Chart'!$I102*'Prepare Gantt Chart'!$J102),'Prepare Gantt Chart'!Z102=0,0)</f>
        <v>0</v>
      </c>
      <c r="AW103" s="45">
        <f>_xlfn.IFS('Prepare Gantt Chart'!AA102=18,'Project types'!$L103*('Prepare Gantt Chart'!$I102*'Prepare Gantt Chart'!$J102),'Prepare Gantt Chart'!AA102=17,'Project types'!$L103*('Prepare Gantt Chart'!$I102*'Prepare Gantt Chart'!$J102),'Prepare Gantt Chart'!AA102=0,0)</f>
        <v>0</v>
      </c>
      <c r="AX103" s="45">
        <f>_xlfn.IFS('Prepare Gantt Chart'!AB102=18,'Project types'!$L103*('Prepare Gantt Chart'!$I102*'Prepare Gantt Chart'!$J102),'Prepare Gantt Chart'!AB102=17,'Project types'!$L103*('Prepare Gantt Chart'!$I102*'Prepare Gantt Chart'!$J102),'Prepare Gantt Chart'!AB102=0,0)</f>
        <v>0</v>
      </c>
      <c r="AY103" s="45">
        <f>_xlfn.IFS('Prepare Gantt Chart'!AC102=18,'Project types'!$L103*('Prepare Gantt Chart'!$I102*'Prepare Gantt Chart'!$J102),'Prepare Gantt Chart'!AC102=17,'Project types'!$L103*('Prepare Gantt Chart'!$I102*'Prepare Gantt Chart'!$J102),'Prepare Gantt Chart'!AC102=0,0)</f>
        <v>0</v>
      </c>
      <c r="AZ103" s="45">
        <f>_xlfn.IFS('Prepare Gantt Chart'!AD102=18,'Project types'!$L103*('Prepare Gantt Chart'!$I102*'Prepare Gantt Chart'!$J102),'Prepare Gantt Chart'!AD102=17,'Project types'!$L103*('Prepare Gantt Chart'!$I102*'Prepare Gantt Chart'!$J102),'Prepare Gantt Chart'!AD102=0,0)</f>
        <v>0</v>
      </c>
      <c r="BA103" s="45">
        <f>_xlfn.IFS('Prepare Gantt Chart'!AE102=18,'Project types'!$L103*('Prepare Gantt Chart'!$I102*'Prepare Gantt Chart'!$J102),'Prepare Gantt Chart'!AE102=17,'Project types'!$L103*('Prepare Gantt Chart'!$I102*'Prepare Gantt Chart'!$J102),'Prepare Gantt Chart'!AE102=0,0)</f>
        <v>0</v>
      </c>
      <c r="BB103" s="45">
        <f>_xlfn.IFS('Prepare Gantt Chart'!AF102=18,'Project types'!$L103*('Prepare Gantt Chart'!$I102*'Prepare Gantt Chart'!$J102),'Prepare Gantt Chart'!AF102=17,'Project types'!$L103*('Prepare Gantt Chart'!$I102*'Prepare Gantt Chart'!$J102),'Prepare Gantt Chart'!AF102=0,0)</f>
        <v>0</v>
      </c>
      <c r="BC103" s="45">
        <f>_xlfn.IFS('Prepare Gantt Chart'!AG102=18,'Project types'!$L103*('Prepare Gantt Chart'!$I102*'Prepare Gantt Chart'!$J102),'Prepare Gantt Chart'!AG102=17,'Project types'!$L103*('Prepare Gantt Chart'!$I102*'Prepare Gantt Chart'!$J102),'Prepare Gantt Chart'!AG102=0,0)</f>
        <v>0</v>
      </c>
      <c r="BD103" s="45">
        <f>_xlfn.IFS('Prepare Gantt Chart'!AH102=18,'Project types'!$L103*('Prepare Gantt Chart'!$I102*'Prepare Gantt Chart'!$J102),'Prepare Gantt Chart'!AH102=17,'Project types'!$L103*('Prepare Gantt Chart'!$I102*'Prepare Gantt Chart'!$J102),'Prepare Gantt Chart'!AH102=0,0)</f>
        <v>0</v>
      </c>
      <c r="BE103" s="45">
        <f>_xlfn.IFS('Prepare Gantt Chart'!AI102=18,'Project types'!$L103*('Prepare Gantt Chart'!$I102*'Prepare Gantt Chart'!$J102),'Prepare Gantt Chart'!AI102=17,'Project types'!$L103*('Prepare Gantt Chart'!$I102*'Prepare Gantt Chart'!$J102),'Prepare Gantt Chart'!AI102=0,0)</f>
        <v>0</v>
      </c>
      <c r="BF103" s="45">
        <f>_xlfn.IFS('Prepare Gantt Chart'!AJ102=18,'Project types'!$L103*('Prepare Gantt Chart'!$I102*'Prepare Gantt Chart'!$J102),'Prepare Gantt Chart'!AJ102=17,'Project types'!$L103*('Prepare Gantt Chart'!$I102*'Prepare Gantt Chart'!$J102),'Prepare Gantt Chart'!AJ102=0,0)</f>
        <v>0</v>
      </c>
      <c r="BG103" s="45">
        <f>_xlfn.IFS('Prepare Gantt Chart'!AK102=18,'Project types'!$L103*('Prepare Gantt Chart'!$I102*'Prepare Gantt Chart'!$J102),'Prepare Gantt Chart'!AK102=17,'Project types'!$L103*('Prepare Gantt Chart'!$I102*'Prepare Gantt Chart'!$J102),'Prepare Gantt Chart'!AK102=0,0)</f>
        <v>0</v>
      </c>
      <c r="BH103" s="45">
        <f>_xlfn.IFS('Prepare Gantt Chart'!AL102=18,'Project types'!$L103*('Prepare Gantt Chart'!$I102*'Prepare Gantt Chart'!$J102),'Prepare Gantt Chart'!AL102=17,'Project types'!$L103*('Prepare Gantt Chart'!$I102*'Prepare Gantt Chart'!$J102),'Prepare Gantt Chart'!AL102=0,0)</f>
        <v>0</v>
      </c>
      <c r="BI103" s="45">
        <f>_xlfn.IFS('Prepare Gantt Chart'!AM102=18,'Project types'!$L103*('Prepare Gantt Chart'!$I102*'Prepare Gantt Chart'!$J102),'Prepare Gantt Chart'!AM102=17,'Project types'!$L103*('Prepare Gantt Chart'!$I102*'Prepare Gantt Chart'!$J102),'Prepare Gantt Chart'!AM102=0,0)</f>
        <v>0</v>
      </c>
      <c r="BJ103" s="45">
        <f>_xlfn.IFS('Prepare Gantt Chart'!AN102=18,'Project types'!$L103*('Prepare Gantt Chart'!$I102*'Prepare Gantt Chart'!$J102),'Prepare Gantt Chart'!AN102=17,'Project types'!$L103*('Prepare Gantt Chart'!$I102*'Prepare Gantt Chart'!$J102),'Prepare Gantt Chart'!AN102=0,0)</f>
        <v>0</v>
      </c>
      <c r="BK103" s="45">
        <f>_xlfn.IFS('Prepare Gantt Chart'!AO102=18,'Project types'!$L103*('Prepare Gantt Chart'!$I102*'Prepare Gantt Chart'!$J102),'Prepare Gantt Chart'!AO102=17,'Project types'!$L103*('Prepare Gantt Chart'!$I102*'Prepare Gantt Chart'!$J102),'Prepare Gantt Chart'!AO102=0,0)</f>
        <v>0</v>
      </c>
      <c r="BL103" s="46">
        <f t="shared" si="3"/>
        <v>0</v>
      </c>
      <c r="BM103" s="75">
        <f>IF('Prepare Gantt Chart'!$J102=0,0,SUM(AL103:AQ103)/6/'Prepare Gantt Chart'!$J102)</f>
        <v>0</v>
      </c>
      <c r="BN103" s="75">
        <f>IF('Prepare Gantt Chart'!$J102=0,0,SUM(AR103:AV103)/5/'Prepare Gantt Chart'!$J102)</f>
        <v>0</v>
      </c>
      <c r="BO103" s="75">
        <f>IF('Prepare Gantt Chart'!$J102=0,0,SUM(AW103:BA103)/5/'Prepare Gantt Chart'!$J102)</f>
        <v>0</v>
      </c>
      <c r="BP103" s="75">
        <f>IF('Prepare Gantt Chart'!$J102=0,0,SUM(BB103:BF103)/5/'Prepare Gantt Chart'!$J102)</f>
        <v>0</v>
      </c>
      <c r="BQ103" s="75">
        <f>IF('Prepare Gantt Chart'!$J102=0,0,SUM(BG103:BK103)/5/'Prepare Gantt Chart'!$J102)</f>
        <v>0</v>
      </c>
    </row>
    <row r="104" spans="1:69" x14ac:dyDescent="0.2">
      <c r="A104" s="42" t="s">
        <v>95</v>
      </c>
      <c r="B104" s="1" t="s">
        <v>161</v>
      </c>
      <c r="C104" s="45">
        <f>_xlfn.IFS('Prepare Gantt Chart'!P103=18,'Project types'!$O104*('Prepare Gantt Chart'!$I103*'Prepare Gantt Chart'!$J103),'Prepare Gantt Chart'!P103=17,'Project types'!$Q104*('Prepare Gantt Chart'!$I103*'Prepare Gantt Chart'!$J103),'Prepare Gantt Chart'!P103=0,0)</f>
        <v>0</v>
      </c>
      <c r="D104" s="45">
        <f>_xlfn.IFS('Prepare Gantt Chart'!Q103=18,'Project types'!$O104*('Prepare Gantt Chart'!$I103*'Prepare Gantt Chart'!$J103),'Prepare Gantt Chart'!Q103=17,'Project types'!$Q104*('Prepare Gantt Chart'!$I103*'Prepare Gantt Chart'!$J103),'Prepare Gantt Chart'!Q103=0,0)</f>
        <v>0</v>
      </c>
      <c r="E104" s="45">
        <f>_xlfn.IFS('Prepare Gantt Chart'!R103=18,'Project types'!$O104*('Prepare Gantt Chart'!$I103*'Prepare Gantt Chart'!$J103),'Prepare Gantt Chart'!R103=17,'Project types'!$Q104*('Prepare Gantt Chart'!$I103*'Prepare Gantt Chart'!$J103),'Prepare Gantt Chart'!R103=0,0)</f>
        <v>0</v>
      </c>
      <c r="F104" s="45">
        <f>_xlfn.IFS('Prepare Gantt Chart'!S103=18,'Project types'!$O104*('Prepare Gantt Chart'!$I103*'Prepare Gantt Chart'!$J103),'Prepare Gantt Chart'!S103=17,'Project types'!$Q104*('Prepare Gantt Chart'!$I103*'Prepare Gantt Chart'!$J103),'Prepare Gantt Chart'!S103=0,0)</f>
        <v>0</v>
      </c>
      <c r="G104" s="45">
        <f>_xlfn.IFS('Prepare Gantt Chart'!T103=18,'Project types'!$O104*('Prepare Gantt Chart'!$I103*'Prepare Gantt Chart'!$J103),'Prepare Gantt Chart'!T103=17,'Project types'!$Q104*('Prepare Gantt Chart'!$I103*'Prepare Gantt Chart'!$J103),'Prepare Gantt Chart'!T103=0,0)</f>
        <v>0</v>
      </c>
      <c r="H104" s="45">
        <f>_xlfn.IFS('Prepare Gantt Chart'!U103=18,'Project types'!$O104*('Prepare Gantt Chart'!$I103*'Prepare Gantt Chart'!$J103),'Prepare Gantt Chart'!U103=17,'Project types'!$Q104*('Prepare Gantt Chart'!$I103*'Prepare Gantt Chart'!$J103),'Prepare Gantt Chart'!U103=0,0)</f>
        <v>0</v>
      </c>
      <c r="I104" s="45">
        <f>_xlfn.IFS('Prepare Gantt Chart'!V103=18,'Project types'!$O104*('Prepare Gantt Chart'!$I103*'Prepare Gantt Chart'!$J103),'Prepare Gantt Chart'!V103=17,'Project types'!$Q104*('Prepare Gantt Chart'!$I103*'Prepare Gantt Chart'!$J103),'Prepare Gantt Chart'!V103=0,0)</f>
        <v>0</v>
      </c>
      <c r="J104" s="45">
        <f>_xlfn.IFS('Prepare Gantt Chart'!W103=18,'Project types'!$O104*('Prepare Gantt Chart'!$I103*'Prepare Gantt Chart'!$J103),'Prepare Gantt Chart'!W103=17,'Project types'!$Q104*('Prepare Gantt Chart'!$I103*'Prepare Gantt Chart'!$J103),'Prepare Gantt Chart'!W103=0,0)</f>
        <v>0</v>
      </c>
      <c r="K104" s="45">
        <f>_xlfn.IFS('Prepare Gantt Chart'!X103=18,'Project types'!$O104*('Prepare Gantt Chart'!$I103*'Prepare Gantt Chart'!$J103),'Prepare Gantt Chart'!X103=17,'Project types'!$Q104*('Prepare Gantt Chart'!$I103*'Prepare Gantt Chart'!$J103),'Prepare Gantt Chart'!X103=0,0)</f>
        <v>0</v>
      </c>
      <c r="L104" s="45">
        <f>_xlfn.IFS('Prepare Gantt Chart'!Y103=18,'Project types'!$O104*('Prepare Gantt Chart'!$I103*'Prepare Gantt Chart'!$J103),'Prepare Gantt Chart'!Y103=17,'Project types'!$Q104*('Prepare Gantt Chart'!$I103*'Prepare Gantt Chart'!$J103),'Prepare Gantt Chart'!Y103=0,0)</f>
        <v>0</v>
      </c>
      <c r="M104" s="45">
        <f>_xlfn.IFS('Prepare Gantt Chart'!Z103=18,'Project types'!$O104*('Prepare Gantt Chart'!$I103*'Prepare Gantt Chart'!$J103),'Prepare Gantt Chart'!Z103=17,'Project types'!$Q104*('Prepare Gantt Chart'!$I103*'Prepare Gantt Chart'!$J103),'Prepare Gantt Chart'!Z103=0,0)</f>
        <v>0</v>
      </c>
      <c r="N104" s="45">
        <f>_xlfn.IFS('Prepare Gantt Chart'!AA103=18,'Project types'!$O104*('Prepare Gantt Chart'!$I103*'Prepare Gantt Chart'!$J103),'Prepare Gantt Chart'!AA103=17,'Project types'!$Q104*('Prepare Gantt Chart'!$I103*'Prepare Gantt Chart'!$J103),'Prepare Gantt Chart'!AA103=0,0)</f>
        <v>0</v>
      </c>
      <c r="O104" s="45">
        <f>_xlfn.IFS('Prepare Gantt Chart'!AB103=18,'Project types'!$O104*('Prepare Gantt Chart'!$I103*'Prepare Gantt Chart'!$J103),'Prepare Gantt Chart'!AB103=17,'Project types'!$Q104*('Prepare Gantt Chart'!$I103*'Prepare Gantt Chart'!$J103),'Prepare Gantt Chart'!AB103=0,0)</f>
        <v>0</v>
      </c>
      <c r="P104" s="45">
        <f>_xlfn.IFS('Prepare Gantt Chart'!AC103=18,'Project types'!$O104*('Prepare Gantt Chart'!$I103*'Prepare Gantt Chart'!$J103),'Prepare Gantt Chart'!AC103=17,'Project types'!$Q104*('Prepare Gantt Chart'!$I103*'Prepare Gantt Chart'!$J103),'Prepare Gantt Chart'!AC103=0,0)</f>
        <v>0</v>
      </c>
      <c r="Q104" s="45">
        <f>_xlfn.IFS('Prepare Gantt Chart'!AD103=18,'Project types'!$O104*('Prepare Gantt Chart'!$I103*'Prepare Gantt Chart'!$J103),'Prepare Gantt Chart'!AD103=17,'Project types'!$Q104*('Prepare Gantt Chart'!$I103*'Prepare Gantt Chart'!$J103),'Prepare Gantt Chart'!AD103=0,0)</f>
        <v>0</v>
      </c>
      <c r="R104" s="45">
        <f>_xlfn.IFS('Prepare Gantt Chart'!AE103=18,'Project types'!$O104*('Prepare Gantt Chart'!$I103*'Prepare Gantt Chart'!$J103),'Prepare Gantt Chart'!AE103=17,'Project types'!$Q104*('Prepare Gantt Chart'!$I103*'Prepare Gantt Chart'!$J103),'Prepare Gantt Chart'!AE103=0,0)</f>
        <v>0</v>
      </c>
      <c r="S104" s="45">
        <f>_xlfn.IFS('Prepare Gantt Chart'!AF103=18,'Project types'!$O104*('Prepare Gantt Chart'!$I103*'Prepare Gantt Chart'!$J103),'Prepare Gantt Chart'!AF103=17,'Project types'!$Q104*('Prepare Gantt Chart'!$I103*'Prepare Gantt Chart'!$J103),'Prepare Gantt Chart'!AF103=0,0)</f>
        <v>0</v>
      </c>
      <c r="T104" s="45">
        <f>_xlfn.IFS('Prepare Gantt Chart'!AG103=18,'Project types'!$O104*('Prepare Gantt Chart'!$I103*'Prepare Gantt Chart'!$J103),'Prepare Gantt Chart'!AG103=17,'Project types'!$Q104*('Prepare Gantt Chart'!$I103*'Prepare Gantt Chart'!$J103),'Prepare Gantt Chart'!AG103=0,0)</f>
        <v>0</v>
      </c>
      <c r="U104" s="45">
        <f>_xlfn.IFS('Prepare Gantt Chart'!AH103=18,'Project types'!$O104*('Prepare Gantt Chart'!$I103*'Prepare Gantt Chart'!$J103),'Prepare Gantt Chart'!AH103=17,'Project types'!$Q104*('Prepare Gantt Chart'!$I103*'Prepare Gantt Chart'!$J103),'Prepare Gantt Chart'!AH103=0,0)</f>
        <v>0</v>
      </c>
      <c r="V104" s="45">
        <f>_xlfn.IFS('Prepare Gantt Chart'!AI103=18,'Project types'!$O104*('Prepare Gantt Chart'!$I103*'Prepare Gantt Chart'!$J103),'Prepare Gantt Chart'!AI103=17,'Project types'!$Q104*('Prepare Gantt Chart'!$I103*'Prepare Gantt Chart'!$J103),'Prepare Gantt Chart'!AI103=0,0)</f>
        <v>0</v>
      </c>
      <c r="W104" s="45">
        <f>_xlfn.IFS('Prepare Gantt Chart'!AJ103=18,'Project types'!$O104*('Prepare Gantt Chart'!$I103*'Prepare Gantt Chart'!$J103),'Prepare Gantt Chart'!AJ103=17,'Project types'!$Q104*('Prepare Gantt Chart'!$I103*'Prepare Gantt Chart'!$J103),'Prepare Gantt Chart'!AJ103=0,0)</f>
        <v>0</v>
      </c>
      <c r="X104" s="45">
        <f>_xlfn.IFS('Prepare Gantt Chart'!AK103=18,'Project types'!$O104*('Prepare Gantt Chart'!$I103*'Prepare Gantt Chart'!$J103),'Prepare Gantt Chart'!AK103=17,'Project types'!$Q104*('Prepare Gantt Chart'!$I103*'Prepare Gantt Chart'!$J103),'Prepare Gantt Chart'!AK103=0,0)</f>
        <v>0</v>
      </c>
      <c r="Y104" s="45">
        <f>_xlfn.IFS('Prepare Gantt Chart'!AL103=18,'Project types'!$O104*('Prepare Gantt Chart'!$I103*'Prepare Gantt Chart'!$J103),'Prepare Gantt Chart'!AL103=17,'Project types'!$Q104*('Prepare Gantt Chart'!$I103*'Prepare Gantt Chart'!$J103),'Prepare Gantt Chart'!AL103=0,0)</f>
        <v>0</v>
      </c>
      <c r="Z104" s="45">
        <f>_xlfn.IFS('Prepare Gantt Chart'!AM103=18,'Project types'!$O104*('Prepare Gantt Chart'!$I103*'Prepare Gantt Chart'!$J103),'Prepare Gantt Chart'!AM103=17,'Project types'!$Q104*('Prepare Gantt Chart'!$I103*'Prepare Gantt Chart'!$J103),'Prepare Gantt Chart'!AM103=0,0)</f>
        <v>0</v>
      </c>
      <c r="AA104" s="45">
        <f>_xlfn.IFS('Prepare Gantt Chart'!AN103=18,'Project types'!$O104*('Prepare Gantt Chart'!$I103*'Prepare Gantt Chart'!$J103),'Prepare Gantt Chart'!AN103=17,'Project types'!$Q104*('Prepare Gantt Chart'!$I103*'Prepare Gantt Chart'!$J103),'Prepare Gantt Chart'!AN103=0,0)</f>
        <v>0</v>
      </c>
      <c r="AB104" s="45">
        <f>_xlfn.IFS('Prepare Gantt Chart'!AO103=18,'Project types'!$O104*('Prepare Gantt Chart'!$I103*'Prepare Gantt Chart'!$J103),'Prepare Gantt Chart'!AO103=17,'Project types'!$Q104*('Prepare Gantt Chart'!$I103*'Prepare Gantt Chart'!$J103),'Prepare Gantt Chart'!AO103=0,0)</f>
        <v>0</v>
      </c>
      <c r="AC104" s="45">
        <f>'Prepare Gantt Chart'!J103*'Prepare Gantt Chart'!I103*(AD104/26)</f>
        <v>0</v>
      </c>
      <c r="AD104" s="46">
        <f t="shared" si="2"/>
        <v>0</v>
      </c>
      <c r="AE104" s="72">
        <f>IF('Prepare Gantt Chart'!$J103=0,0,SUM(C104:H104)/6/'Prepare Gantt Chart'!$J103)</f>
        <v>0</v>
      </c>
      <c r="AF104" s="72">
        <f>IF('Prepare Gantt Chart'!$J103=0,0,SUM(I104:M104)/5/'Prepare Gantt Chart'!$J103)</f>
        <v>0</v>
      </c>
      <c r="AG104" s="72">
        <f>IF('Prepare Gantt Chart'!$J103=0,0,SUM(N104:R104)/5/'Prepare Gantt Chart'!$J103)</f>
        <v>0</v>
      </c>
      <c r="AH104" s="72">
        <f>IF('Prepare Gantt Chart'!$J103=0,0,SUM(S104:W104)/5/'Prepare Gantt Chart'!$J103)</f>
        <v>0</v>
      </c>
      <c r="AI104" s="72">
        <f>IF('Prepare Gantt Chart'!$J103=0,0,SUM(X104:AB104)/5/'Prepare Gantt Chart'!$J103)</f>
        <v>0</v>
      </c>
      <c r="AK104" s="42" t="s">
        <v>95</v>
      </c>
      <c r="AL104" s="45">
        <f>_xlfn.IFS('Prepare Gantt Chart'!P103=18,'Project types'!$L104*('Prepare Gantt Chart'!$I103*'Prepare Gantt Chart'!$J103),'Prepare Gantt Chart'!P103=17,'Project types'!$L104*('Prepare Gantt Chart'!$I103*'Prepare Gantt Chart'!$J103),'Prepare Gantt Chart'!P103=0,0)</f>
        <v>0</v>
      </c>
      <c r="AM104" s="45">
        <f>_xlfn.IFS('Prepare Gantt Chart'!Q103=18,'Project types'!$L104*('Prepare Gantt Chart'!$I103*'Prepare Gantt Chart'!$J103),'Prepare Gantt Chart'!Q103=17,'Project types'!$L104*('Prepare Gantt Chart'!$I103*'Prepare Gantt Chart'!$J103),'Prepare Gantt Chart'!Q103=0,0)</f>
        <v>0</v>
      </c>
      <c r="AN104" s="45">
        <f>_xlfn.IFS('Prepare Gantt Chart'!R103=18,'Project types'!$L104*('Prepare Gantt Chart'!$I103*'Prepare Gantt Chart'!$J103),'Prepare Gantt Chart'!R103=17,'Project types'!$L104*('Prepare Gantt Chart'!$I103*'Prepare Gantt Chart'!$J103),'Prepare Gantt Chart'!R103=0,0)</f>
        <v>0</v>
      </c>
      <c r="AO104" s="45">
        <f>_xlfn.IFS('Prepare Gantt Chart'!S103=18,'Project types'!$L104*('Prepare Gantt Chart'!$I103*'Prepare Gantt Chart'!$J103),'Prepare Gantt Chart'!S103=17,'Project types'!$L104*('Prepare Gantt Chart'!$I103*'Prepare Gantt Chart'!$J103),'Prepare Gantt Chart'!S103=0,0)</f>
        <v>0</v>
      </c>
      <c r="AP104" s="45">
        <f>_xlfn.IFS('Prepare Gantt Chart'!T103=18,'Project types'!$L104*('Prepare Gantt Chart'!$I103*'Prepare Gantt Chart'!$J103),'Prepare Gantt Chart'!T103=17,'Project types'!$L104*('Prepare Gantt Chart'!$I103*'Prepare Gantt Chart'!$J103),'Prepare Gantt Chart'!T103=0,0)</f>
        <v>0</v>
      </c>
      <c r="AQ104" s="45">
        <f>_xlfn.IFS('Prepare Gantt Chart'!U103=18,'Project types'!$L104*('Prepare Gantt Chart'!$I103*'Prepare Gantt Chart'!$J103),'Prepare Gantt Chart'!U103=17,'Project types'!$L104*('Prepare Gantt Chart'!$I103*'Prepare Gantt Chart'!$J103),'Prepare Gantt Chart'!U103=0,0)</f>
        <v>0</v>
      </c>
      <c r="AR104" s="45">
        <f>_xlfn.IFS('Prepare Gantt Chart'!V103=18,'Project types'!$L104*('Prepare Gantt Chart'!$I103*'Prepare Gantt Chart'!$J103),'Prepare Gantt Chart'!V103=17,'Project types'!$L104*('Prepare Gantt Chart'!$I103*'Prepare Gantt Chart'!$J103),'Prepare Gantt Chart'!V103=0,0)</f>
        <v>0</v>
      </c>
      <c r="AS104" s="45">
        <f>_xlfn.IFS('Prepare Gantt Chart'!W103=18,'Project types'!$L104*('Prepare Gantt Chart'!$I103*'Prepare Gantt Chart'!$J103),'Prepare Gantt Chart'!W103=17,'Project types'!$L104*('Prepare Gantt Chart'!$I103*'Prepare Gantt Chart'!$J103),'Prepare Gantt Chart'!W103=0,0)</f>
        <v>0</v>
      </c>
      <c r="AT104" s="45">
        <f>_xlfn.IFS('Prepare Gantt Chart'!X103=18,'Project types'!$L104*('Prepare Gantt Chart'!$I103*'Prepare Gantt Chart'!$J103),'Prepare Gantt Chart'!X103=17,'Project types'!$L104*('Prepare Gantt Chart'!$I103*'Prepare Gantt Chart'!$J103),'Prepare Gantt Chart'!X103=0,0)</f>
        <v>0</v>
      </c>
      <c r="AU104" s="45">
        <f>_xlfn.IFS('Prepare Gantt Chart'!Y103=18,'Project types'!$L104*('Prepare Gantt Chart'!$I103*'Prepare Gantt Chart'!$J103),'Prepare Gantt Chart'!Y103=17,'Project types'!$L104*('Prepare Gantt Chart'!$I103*'Prepare Gantt Chart'!$J103),'Prepare Gantt Chart'!Y103=0,0)</f>
        <v>0</v>
      </c>
      <c r="AV104" s="45">
        <f>_xlfn.IFS('Prepare Gantt Chart'!Z103=18,'Project types'!$L104*('Prepare Gantt Chart'!$I103*'Prepare Gantt Chart'!$J103),'Prepare Gantt Chart'!Z103=17,'Project types'!$L104*('Prepare Gantt Chart'!$I103*'Prepare Gantt Chart'!$J103),'Prepare Gantt Chart'!Z103=0,0)</f>
        <v>0</v>
      </c>
      <c r="AW104" s="45">
        <f>_xlfn.IFS('Prepare Gantt Chart'!AA103=18,'Project types'!$L104*('Prepare Gantt Chart'!$I103*'Prepare Gantt Chart'!$J103),'Prepare Gantt Chart'!AA103=17,'Project types'!$L104*('Prepare Gantt Chart'!$I103*'Prepare Gantt Chart'!$J103),'Prepare Gantt Chart'!AA103=0,0)</f>
        <v>0</v>
      </c>
      <c r="AX104" s="45">
        <f>_xlfn.IFS('Prepare Gantt Chart'!AB103=18,'Project types'!$L104*('Prepare Gantt Chart'!$I103*'Prepare Gantt Chart'!$J103),'Prepare Gantt Chart'!AB103=17,'Project types'!$L104*('Prepare Gantt Chart'!$I103*'Prepare Gantt Chart'!$J103),'Prepare Gantt Chart'!AB103=0,0)</f>
        <v>0</v>
      </c>
      <c r="AY104" s="45">
        <f>_xlfn.IFS('Prepare Gantt Chart'!AC103=18,'Project types'!$L104*('Prepare Gantt Chart'!$I103*'Prepare Gantt Chart'!$J103),'Prepare Gantt Chart'!AC103=17,'Project types'!$L104*('Prepare Gantt Chart'!$I103*'Prepare Gantt Chart'!$J103),'Prepare Gantt Chart'!AC103=0,0)</f>
        <v>0</v>
      </c>
      <c r="AZ104" s="45">
        <f>_xlfn.IFS('Prepare Gantt Chart'!AD103=18,'Project types'!$L104*('Prepare Gantt Chart'!$I103*'Prepare Gantt Chart'!$J103),'Prepare Gantt Chart'!AD103=17,'Project types'!$L104*('Prepare Gantt Chart'!$I103*'Prepare Gantt Chart'!$J103),'Prepare Gantt Chart'!AD103=0,0)</f>
        <v>0</v>
      </c>
      <c r="BA104" s="45">
        <f>_xlfn.IFS('Prepare Gantt Chart'!AE103=18,'Project types'!$L104*('Prepare Gantt Chart'!$I103*'Prepare Gantt Chart'!$J103),'Prepare Gantt Chart'!AE103=17,'Project types'!$L104*('Prepare Gantt Chart'!$I103*'Prepare Gantt Chart'!$J103),'Prepare Gantt Chart'!AE103=0,0)</f>
        <v>0</v>
      </c>
      <c r="BB104" s="45">
        <f>_xlfn.IFS('Prepare Gantt Chart'!AF103=18,'Project types'!$L104*('Prepare Gantt Chart'!$I103*'Prepare Gantt Chart'!$J103),'Prepare Gantt Chart'!AF103=17,'Project types'!$L104*('Prepare Gantt Chart'!$I103*'Prepare Gantt Chart'!$J103),'Prepare Gantt Chart'!AF103=0,0)</f>
        <v>0</v>
      </c>
      <c r="BC104" s="45">
        <f>_xlfn.IFS('Prepare Gantt Chart'!AG103=18,'Project types'!$L104*('Prepare Gantt Chart'!$I103*'Prepare Gantt Chart'!$J103),'Prepare Gantt Chart'!AG103=17,'Project types'!$L104*('Prepare Gantt Chart'!$I103*'Prepare Gantt Chart'!$J103),'Prepare Gantt Chart'!AG103=0,0)</f>
        <v>0</v>
      </c>
      <c r="BD104" s="45">
        <f>_xlfn.IFS('Prepare Gantt Chart'!AH103=18,'Project types'!$L104*('Prepare Gantt Chart'!$I103*'Prepare Gantt Chart'!$J103),'Prepare Gantt Chart'!AH103=17,'Project types'!$L104*('Prepare Gantt Chart'!$I103*'Prepare Gantt Chart'!$J103),'Prepare Gantt Chart'!AH103=0,0)</f>
        <v>0</v>
      </c>
      <c r="BE104" s="45">
        <f>_xlfn.IFS('Prepare Gantt Chart'!AI103=18,'Project types'!$L104*('Prepare Gantt Chart'!$I103*'Prepare Gantt Chart'!$J103),'Prepare Gantt Chart'!AI103=17,'Project types'!$L104*('Prepare Gantt Chart'!$I103*'Prepare Gantt Chart'!$J103),'Prepare Gantt Chart'!AI103=0,0)</f>
        <v>0</v>
      </c>
      <c r="BF104" s="45">
        <f>_xlfn.IFS('Prepare Gantt Chart'!AJ103=18,'Project types'!$L104*('Prepare Gantt Chart'!$I103*'Prepare Gantt Chart'!$J103),'Prepare Gantt Chart'!AJ103=17,'Project types'!$L104*('Prepare Gantt Chart'!$I103*'Prepare Gantt Chart'!$J103),'Prepare Gantt Chart'!AJ103=0,0)</f>
        <v>0</v>
      </c>
      <c r="BG104" s="45">
        <f>_xlfn.IFS('Prepare Gantt Chart'!AK103=18,'Project types'!$L104*('Prepare Gantt Chart'!$I103*'Prepare Gantt Chart'!$J103),'Prepare Gantt Chart'!AK103=17,'Project types'!$L104*('Prepare Gantt Chart'!$I103*'Prepare Gantt Chart'!$J103),'Prepare Gantt Chart'!AK103=0,0)</f>
        <v>0</v>
      </c>
      <c r="BH104" s="45">
        <f>_xlfn.IFS('Prepare Gantt Chart'!AL103=18,'Project types'!$L104*('Prepare Gantt Chart'!$I103*'Prepare Gantt Chart'!$J103),'Prepare Gantt Chart'!AL103=17,'Project types'!$L104*('Prepare Gantt Chart'!$I103*'Prepare Gantt Chart'!$J103),'Prepare Gantt Chart'!AL103=0,0)</f>
        <v>0</v>
      </c>
      <c r="BI104" s="45">
        <f>_xlfn.IFS('Prepare Gantt Chart'!AM103=18,'Project types'!$L104*('Prepare Gantt Chart'!$I103*'Prepare Gantt Chart'!$J103),'Prepare Gantt Chart'!AM103=17,'Project types'!$L104*('Prepare Gantt Chart'!$I103*'Prepare Gantt Chart'!$J103),'Prepare Gantt Chart'!AM103=0,0)</f>
        <v>0</v>
      </c>
      <c r="BJ104" s="45">
        <f>_xlfn.IFS('Prepare Gantt Chart'!AN103=18,'Project types'!$L104*('Prepare Gantt Chart'!$I103*'Prepare Gantt Chart'!$J103),'Prepare Gantt Chart'!AN103=17,'Project types'!$L104*('Prepare Gantt Chart'!$I103*'Prepare Gantt Chart'!$J103),'Prepare Gantt Chart'!AN103=0,0)</f>
        <v>0</v>
      </c>
      <c r="BK104" s="45">
        <f>_xlfn.IFS('Prepare Gantt Chart'!AO103=18,'Project types'!$L104*('Prepare Gantt Chart'!$I103*'Prepare Gantt Chart'!$J103),'Prepare Gantt Chart'!AO103=17,'Project types'!$L104*('Prepare Gantt Chart'!$I103*'Prepare Gantt Chart'!$J103),'Prepare Gantt Chart'!AO103=0,0)</f>
        <v>0</v>
      </c>
      <c r="BL104" s="46">
        <f t="shared" si="3"/>
        <v>0</v>
      </c>
      <c r="BM104" s="75">
        <f>IF('Prepare Gantt Chart'!$J103=0,0,SUM(AL104:AQ104)/6/'Prepare Gantt Chart'!$J103)</f>
        <v>0</v>
      </c>
      <c r="BN104" s="75">
        <f>IF('Prepare Gantt Chart'!$J103=0,0,SUM(AR104:AV104)/5/'Prepare Gantt Chart'!$J103)</f>
        <v>0</v>
      </c>
      <c r="BO104" s="75">
        <f>IF('Prepare Gantt Chart'!$J103=0,0,SUM(AW104:BA104)/5/'Prepare Gantt Chart'!$J103)</f>
        <v>0</v>
      </c>
      <c r="BP104" s="75">
        <f>IF('Prepare Gantt Chart'!$J103=0,0,SUM(BB104:BF104)/5/'Prepare Gantt Chart'!$J103)</f>
        <v>0</v>
      </c>
      <c r="BQ104" s="75">
        <f>IF('Prepare Gantt Chart'!$J103=0,0,SUM(BG104:BK104)/5/'Prepare Gantt Chart'!$J103)</f>
        <v>0</v>
      </c>
    </row>
    <row r="105" spans="1:69" x14ac:dyDescent="0.2">
      <c r="A105" s="42" t="s">
        <v>96</v>
      </c>
      <c r="B105" s="1" t="s">
        <v>416</v>
      </c>
      <c r="C105" s="45">
        <f>_xlfn.IFS('Prepare Gantt Chart'!P104=18,'Project types'!$O105*('Prepare Gantt Chart'!$I104*'Prepare Gantt Chart'!$J104),'Prepare Gantt Chart'!P104=17,'Project types'!$Q105*('Prepare Gantt Chart'!$I104*'Prepare Gantt Chart'!$J104),'Prepare Gantt Chart'!P104=0,0)</f>
        <v>0</v>
      </c>
      <c r="D105" s="45">
        <f>_xlfn.IFS('Prepare Gantt Chart'!Q104=18,'Project types'!$O105*('Prepare Gantt Chart'!$I104*'Prepare Gantt Chart'!$J104),'Prepare Gantt Chart'!Q104=17,'Project types'!$Q105*('Prepare Gantt Chart'!$I104*'Prepare Gantt Chart'!$J104),'Prepare Gantt Chart'!Q104=0,0)</f>
        <v>0</v>
      </c>
      <c r="E105" s="45">
        <f>_xlfn.IFS('Prepare Gantt Chart'!R104=18,'Project types'!$O105*('Prepare Gantt Chart'!$I104*'Prepare Gantt Chart'!$J104),'Prepare Gantt Chart'!R104=17,'Project types'!$Q105*('Prepare Gantt Chart'!$I104*'Prepare Gantt Chart'!$J104),'Prepare Gantt Chart'!R104=0,0)</f>
        <v>0</v>
      </c>
      <c r="F105" s="45">
        <f>_xlfn.IFS('Prepare Gantt Chart'!S104=18,'Project types'!$O105*('Prepare Gantt Chart'!$I104*'Prepare Gantt Chart'!$J104),'Prepare Gantt Chart'!S104=17,'Project types'!$Q105*('Prepare Gantt Chart'!$I104*'Prepare Gantt Chart'!$J104),'Prepare Gantt Chart'!S104=0,0)</f>
        <v>0</v>
      </c>
      <c r="G105" s="45">
        <f>_xlfn.IFS('Prepare Gantt Chart'!T104=18,'Project types'!$O105*('Prepare Gantt Chart'!$I104*'Prepare Gantt Chart'!$J104),'Prepare Gantt Chart'!T104=17,'Project types'!$Q105*('Prepare Gantt Chart'!$I104*'Prepare Gantt Chart'!$J104),'Prepare Gantt Chart'!T104=0,0)</f>
        <v>0</v>
      </c>
      <c r="H105" s="45">
        <f>_xlfn.IFS('Prepare Gantt Chart'!U104=18,'Project types'!$O105*('Prepare Gantt Chart'!$I104*'Prepare Gantt Chart'!$J104),'Prepare Gantt Chart'!U104=17,'Project types'!$Q105*('Prepare Gantt Chart'!$I104*'Prepare Gantt Chart'!$J104),'Prepare Gantt Chart'!U104=0,0)</f>
        <v>0</v>
      </c>
      <c r="I105" s="45">
        <f>_xlfn.IFS('Prepare Gantt Chart'!V104=18,'Project types'!$O105*('Prepare Gantt Chart'!$I104*'Prepare Gantt Chart'!$J104),'Prepare Gantt Chart'!V104=17,'Project types'!$Q105*('Prepare Gantt Chart'!$I104*'Prepare Gantt Chart'!$J104),'Prepare Gantt Chart'!V104=0,0)</f>
        <v>0</v>
      </c>
      <c r="J105" s="45">
        <f>_xlfn.IFS('Prepare Gantt Chart'!W104=18,'Project types'!$O105*('Prepare Gantt Chart'!$I104*'Prepare Gantt Chart'!$J104),'Prepare Gantt Chart'!W104=17,'Project types'!$Q105*('Prepare Gantt Chart'!$I104*'Prepare Gantt Chart'!$J104),'Prepare Gantt Chart'!W104=0,0)</f>
        <v>0</v>
      </c>
      <c r="K105" s="45">
        <f>_xlfn.IFS('Prepare Gantt Chart'!X104=18,'Project types'!$O105*('Prepare Gantt Chart'!$I104*'Prepare Gantt Chart'!$J104),'Prepare Gantt Chart'!X104=17,'Project types'!$Q105*('Prepare Gantt Chart'!$I104*'Prepare Gantt Chart'!$J104),'Prepare Gantt Chart'!X104=0,0)</f>
        <v>0</v>
      </c>
      <c r="L105" s="45">
        <f>_xlfn.IFS('Prepare Gantt Chart'!Y104=18,'Project types'!$O105*('Prepare Gantt Chart'!$I104*'Prepare Gantt Chart'!$J104),'Prepare Gantt Chart'!Y104=17,'Project types'!$Q105*('Prepare Gantt Chart'!$I104*'Prepare Gantt Chart'!$J104),'Prepare Gantt Chart'!Y104=0,0)</f>
        <v>0</v>
      </c>
      <c r="M105" s="45">
        <f>_xlfn.IFS('Prepare Gantt Chart'!Z104=18,'Project types'!$O105*('Prepare Gantt Chart'!$I104*'Prepare Gantt Chart'!$J104),'Prepare Gantt Chart'!Z104=17,'Project types'!$Q105*('Prepare Gantt Chart'!$I104*'Prepare Gantt Chart'!$J104),'Prepare Gantt Chart'!Z104=0,0)</f>
        <v>0</v>
      </c>
      <c r="N105" s="45">
        <f>_xlfn.IFS('Prepare Gantt Chart'!AA104=18,'Project types'!$O105*('Prepare Gantt Chart'!$I104*'Prepare Gantt Chart'!$J104),'Prepare Gantt Chart'!AA104=17,'Project types'!$Q105*('Prepare Gantt Chart'!$I104*'Prepare Gantt Chart'!$J104),'Prepare Gantt Chart'!AA104=0,0)</f>
        <v>0</v>
      </c>
      <c r="O105" s="45">
        <f>_xlfn.IFS('Prepare Gantt Chart'!AB104=18,'Project types'!$O105*('Prepare Gantt Chart'!$I104*'Prepare Gantt Chart'!$J104),'Prepare Gantt Chart'!AB104=17,'Project types'!$Q105*('Prepare Gantt Chart'!$I104*'Prepare Gantt Chart'!$J104),'Prepare Gantt Chart'!AB104=0,0)</f>
        <v>0</v>
      </c>
      <c r="P105" s="45">
        <f>_xlfn.IFS('Prepare Gantt Chart'!AC104=18,'Project types'!$O105*('Prepare Gantt Chart'!$I104*'Prepare Gantt Chart'!$J104),'Prepare Gantt Chart'!AC104=17,'Project types'!$Q105*('Prepare Gantt Chart'!$I104*'Prepare Gantt Chart'!$J104),'Prepare Gantt Chart'!AC104=0,0)</f>
        <v>0</v>
      </c>
      <c r="Q105" s="45">
        <f>_xlfn.IFS('Prepare Gantt Chart'!AD104=18,'Project types'!$O105*('Prepare Gantt Chart'!$I104*'Prepare Gantt Chart'!$J104),'Prepare Gantt Chart'!AD104=17,'Project types'!$Q105*('Prepare Gantt Chart'!$I104*'Prepare Gantt Chart'!$J104),'Prepare Gantt Chart'!AD104=0,0)</f>
        <v>0</v>
      </c>
      <c r="R105" s="45">
        <f>_xlfn.IFS('Prepare Gantt Chart'!AE104=18,'Project types'!$O105*('Prepare Gantt Chart'!$I104*'Prepare Gantt Chart'!$J104),'Prepare Gantt Chart'!AE104=17,'Project types'!$Q105*('Prepare Gantt Chart'!$I104*'Prepare Gantt Chart'!$J104),'Prepare Gantt Chart'!AE104=0,0)</f>
        <v>0</v>
      </c>
      <c r="S105" s="45">
        <f>_xlfn.IFS('Prepare Gantt Chart'!AF104=18,'Project types'!$O105*('Prepare Gantt Chart'!$I104*'Prepare Gantt Chart'!$J104),'Prepare Gantt Chart'!AF104=17,'Project types'!$Q105*('Prepare Gantt Chart'!$I104*'Prepare Gantt Chart'!$J104),'Prepare Gantt Chart'!AF104=0,0)</f>
        <v>0</v>
      </c>
      <c r="T105" s="45">
        <f>_xlfn.IFS('Prepare Gantt Chart'!AG104=18,'Project types'!$O105*('Prepare Gantt Chart'!$I104*'Prepare Gantt Chart'!$J104),'Prepare Gantt Chart'!AG104=17,'Project types'!$Q105*('Prepare Gantt Chart'!$I104*'Prepare Gantt Chart'!$J104),'Prepare Gantt Chart'!AG104=0,0)</f>
        <v>0</v>
      </c>
      <c r="U105" s="45">
        <f>_xlfn.IFS('Prepare Gantt Chart'!AH104=18,'Project types'!$O105*('Prepare Gantt Chart'!$I104*'Prepare Gantt Chart'!$J104),'Prepare Gantt Chart'!AH104=17,'Project types'!$Q105*('Prepare Gantt Chart'!$I104*'Prepare Gantt Chart'!$J104),'Prepare Gantt Chart'!AH104=0,0)</f>
        <v>0</v>
      </c>
      <c r="V105" s="45">
        <f>_xlfn.IFS('Prepare Gantt Chart'!AI104=18,'Project types'!$O105*('Prepare Gantt Chart'!$I104*'Prepare Gantt Chart'!$J104),'Prepare Gantt Chart'!AI104=17,'Project types'!$Q105*('Prepare Gantt Chart'!$I104*'Prepare Gantt Chart'!$J104),'Prepare Gantt Chart'!AI104=0,0)</f>
        <v>0</v>
      </c>
      <c r="W105" s="45">
        <f>_xlfn.IFS('Prepare Gantt Chart'!AJ104=18,'Project types'!$O105*('Prepare Gantt Chart'!$I104*'Prepare Gantt Chart'!$J104),'Prepare Gantt Chart'!AJ104=17,'Project types'!$Q105*('Prepare Gantt Chart'!$I104*'Prepare Gantt Chart'!$J104),'Prepare Gantt Chart'!AJ104=0,0)</f>
        <v>0</v>
      </c>
      <c r="X105" s="45">
        <f>_xlfn.IFS('Prepare Gantt Chart'!AK104=18,'Project types'!$O105*('Prepare Gantt Chart'!$I104*'Prepare Gantt Chart'!$J104),'Prepare Gantt Chart'!AK104=17,'Project types'!$Q105*('Prepare Gantt Chart'!$I104*'Prepare Gantt Chart'!$J104),'Prepare Gantt Chart'!AK104=0,0)</f>
        <v>0</v>
      </c>
      <c r="Y105" s="45">
        <f>_xlfn.IFS('Prepare Gantt Chart'!AL104=18,'Project types'!$O105*('Prepare Gantt Chart'!$I104*'Prepare Gantt Chart'!$J104),'Prepare Gantt Chart'!AL104=17,'Project types'!$Q105*('Prepare Gantt Chart'!$I104*'Prepare Gantt Chart'!$J104),'Prepare Gantt Chart'!AL104=0,0)</f>
        <v>0</v>
      </c>
      <c r="Z105" s="45">
        <f>_xlfn.IFS('Prepare Gantt Chart'!AM104=18,'Project types'!$O105*('Prepare Gantt Chart'!$I104*'Prepare Gantt Chart'!$J104),'Prepare Gantt Chart'!AM104=17,'Project types'!$Q105*('Prepare Gantt Chart'!$I104*'Prepare Gantt Chart'!$J104),'Prepare Gantt Chart'!AM104=0,0)</f>
        <v>0</v>
      </c>
      <c r="AA105" s="45">
        <f>_xlfn.IFS('Prepare Gantt Chart'!AN104=18,'Project types'!$O105*('Prepare Gantt Chart'!$I104*'Prepare Gantt Chart'!$J104),'Prepare Gantt Chart'!AN104=17,'Project types'!$Q105*('Prepare Gantt Chart'!$I104*'Prepare Gantt Chart'!$J104),'Prepare Gantt Chart'!AN104=0,0)</f>
        <v>0</v>
      </c>
      <c r="AB105" s="45">
        <f>_xlfn.IFS('Prepare Gantt Chart'!AO104=18,'Project types'!$O105*('Prepare Gantt Chart'!$I104*'Prepare Gantt Chart'!$J104),'Prepare Gantt Chart'!AO104=17,'Project types'!$Q105*('Prepare Gantt Chart'!$I104*'Prepare Gantt Chart'!$J104),'Prepare Gantt Chart'!AO104=0,0)</f>
        <v>0</v>
      </c>
      <c r="AC105" s="45">
        <f>'Prepare Gantt Chart'!J104*'Prepare Gantt Chart'!I104*(AD105/26)</f>
        <v>0</v>
      </c>
      <c r="AD105" s="46">
        <f t="shared" si="2"/>
        <v>0</v>
      </c>
      <c r="AE105" s="72">
        <f>IF('Prepare Gantt Chart'!$J104=0,0,SUM(C105:H105)/6/'Prepare Gantt Chart'!$J104)</f>
        <v>0</v>
      </c>
      <c r="AF105" s="72">
        <f>IF('Prepare Gantt Chart'!$J104=0,0,SUM(I105:M105)/5/'Prepare Gantt Chart'!$J104)</f>
        <v>0</v>
      </c>
      <c r="AG105" s="72">
        <f>IF('Prepare Gantt Chart'!$J104=0,0,SUM(N105:R105)/5/'Prepare Gantt Chart'!$J104)</f>
        <v>0</v>
      </c>
      <c r="AH105" s="72">
        <f>IF('Prepare Gantt Chart'!$J104=0,0,SUM(S105:W105)/5/'Prepare Gantt Chart'!$J104)</f>
        <v>0</v>
      </c>
      <c r="AI105" s="72">
        <f>IF('Prepare Gantt Chart'!$J104=0,0,SUM(X105:AB105)/5/'Prepare Gantt Chart'!$J104)</f>
        <v>0</v>
      </c>
      <c r="AK105" s="42" t="s">
        <v>96</v>
      </c>
      <c r="AL105" s="45">
        <f>_xlfn.IFS('Prepare Gantt Chart'!P104=18,'Project types'!$L105*('Prepare Gantt Chart'!$I104*'Prepare Gantt Chart'!$J104),'Prepare Gantt Chart'!P104=17,'Project types'!$L105*('Prepare Gantt Chart'!$I104*'Prepare Gantt Chart'!$J104),'Prepare Gantt Chart'!P104=0,0)</f>
        <v>0</v>
      </c>
      <c r="AM105" s="45">
        <f>_xlfn.IFS('Prepare Gantt Chart'!Q104=18,'Project types'!$L105*('Prepare Gantt Chart'!$I104*'Prepare Gantt Chart'!$J104),'Prepare Gantt Chart'!Q104=17,'Project types'!$L105*('Prepare Gantt Chart'!$I104*'Prepare Gantt Chart'!$J104),'Prepare Gantt Chart'!Q104=0,0)</f>
        <v>0</v>
      </c>
      <c r="AN105" s="45">
        <f>_xlfn.IFS('Prepare Gantt Chart'!R104=18,'Project types'!$L105*('Prepare Gantt Chart'!$I104*'Prepare Gantt Chart'!$J104),'Prepare Gantt Chart'!R104=17,'Project types'!$L105*('Prepare Gantt Chart'!$I104*'Prepare Gantt Chart'!$J104),'Prepare Gantt Chart'!R104=0,0)</f>
        <v>0</v>
      </c>
      <c r="AO105" s="45">
        <f>_xlfn.IFS('Prepare Gantt Chart'!S104=18,'Project types'!$L105*('Prepare Gantt Chart'!$I104*'Prepare Gantt Chart'!$J104),'Prepare Gantt Chart'!S104=17,'Project types'!$L105*('Prepare Gantt Chart'!$I104*'Prepare Gantt Chart'!$J104),'Prepare Gantt Chart'!S104=0,0)</f>
        <v>0</v>
      </c>
      <c r="AP105" s="45">
        <f>_xlfn.IFS('Prepare Gantt Chart'!T104=18,'Project types'!$L105*('Prepare Gantt Chart'!$I104*'Prepare Gantt Chart'!$J104),'Prepare Gantt Chart'!T104=17,'Project types'!$L105*('Prepare Gantt Chart'!$I104*'Prepare Gantt Chart'!$J104),'Prepare Gantt Chart'!T104=0,0)</f>
        <v>0</v>
      </c>
      <c r="AQ105" s="45">
        <f>_xlfn.IFS('Prepare Gantt Chart'!U104=18,'Project types'!$L105*('Prepare Gantt Chart'!$I104*'Prepare Gantt Chart'!$J104),'Prepare Gantt Chart'!U104=17,'Project types'!$L105*('Prepare Gantt Chart'!$I104*'Prepare Gantt Chart'!$J104),'Prepare Gantt Chart'!U104=0,0)</f>
        <v>0</v>
      </c>
      <c r="AR105" s="45">
        <f>_xlfn.IFS('Prepare Gantt Chart'!V104=18,'Project types'!$L105*('Prepare Gantt Chart'!$I104*'Prepare Gantt Chart'!$J104),'Prepare Gantt Chart'!V104=17,'Project types'!$L105*('Prepare Gantt Chart'!$I104*'Prepare Gantt Chart'!$J104),'Prepare Gantt Chart'!V104=0,0)</f>
        <v>0</v>
      </c>
      <c r="AS105" s="45">
        <f>_xlfn.IFS('Prepare Gantt Chart'!W104=18,'Project types'!$L105*('Prepare Gantt Chart'!$I104*'Prepare Gantt Chart'!$J104),'Prepare Gantt Chart'!W104=17,'Project types'!$L105*('Prepare Gantt Chart'!$I104*'Prepare Gantt Chart'!$J104),'Prepare Gantt Chart'!W104=0,0)</f>
        <v>0</v>
      </c>
      <c r="AT105" s="45">
        <f>_xlfn.IFS('Prepare Gantt Chart'!X104=18,'Project types'!$L105*('Prepare Gantt Chart'!$I104*'Prepare Gantt Chart'!$J104),'Prepare Gantt Chart'!X104=17,'Project types'!$L105*('Prepare Gantt Chart'!$I104*'Prepare Gantt Chart'!$J104),'Prepare Gantt Chart'!X104=0,0)</f>
        <v>0</v>
      </c>
      <c r="AU105" s="45">
        <f>_xlfn.IFS('Prepare Gantt Chart'!Y104=18,'Project types'!$L105*('Prepare Gantt Chart'!$I104*'Prepare Gantt Chart'!$J104),'Prepare Gantt Chart'!Y104=17,'Project types'!$L105*('Prepare Gantt Chart'!$I104*'Prepare Gantt Chart'!$J104),'Prepare Gantt Chart'!Y104=0,0)</f>
        <v>0</v>
      </c>
      <c r="AV105" s="45">
        <f>_xlfn.IFS('Prepare Gantt Chart'!Z104=18,'Project types'!$L105*('Prepare Gantt Chart'!$I104*'Prepare Gantt Chart'!$J104),'Prepare Gantt Chart'!Z104=17,'Project types'!$L105*('Prepare Gantt Chart'!$I104*'Prepare Gantt Chart'!$J104),'Prepare Gantt Chart'!Z104=0,0)</f>
        <v>0</v>
      </c>
      <c r="AW105" s="45">
        <f>_xlfn.IFS('Prepare Gantt Chart'!AA104=18,'Project types'!$L105*('Prepare Gantt Chart'!$I104*'Prepare Gantt Chart'!$J104),'Prepare Gantt Chart'!AA104=17,'Project types'!$L105*('Prepare Gantt Chart'!$I104*'Prepare Gantt Chart'!$J104),'Prepare Gantt Chart'!AA104=0,0)</f>
        <v>0</v>
      </c>
      <c r="AX105" s="45">
        <f>_xlfn.IFS('Prepare Gantt Chart'!AB104=18,'Project types'!$L105*('Prepare Gantt Chart'!$I104*'Prepare Gantt Chart'!$J104),'Prepare Gantt Chart'!AB104=17,'Project types'!$L105*('Prepare Gantt Chart'!$I104*'Prepare Gantt Chart'!$J104),'Prepare Gantt Chart'!AB104=0,0)</f>
        <v>0</v>
      </c>
      <c r="AY105" s="45">
        <f>_xlfn.IFS('Prepare Gantt Chart'!AC104=18,'Project types'!$L105*('Prepare Gantt Chart'!$I104*'Prepare Gantt Chart'!$J104),'Prepare Gantt Chart'!AC104=17,'Project types'!$L105*('Prepare Gantt Chart'!$I104*'Prepare Gantt Chart'!$J104),'Prepare Gantt Chart'!AC104=0,0)</f>
        <v>0</v>
      </c>
      <c r="AZ105" s="45">
        <f>_xlfn.IFS('Prepare Gantt Chart'!AD104=18,'Project types'!$L105*('Prepare Gantt Chart'!$I104*'Prepare Gantt Chart'!$J104),'Prepare Gantt Chart'!AD104=17,'Project types'!$L105*('Prepare Gantt Chart'!$I104*'Prepare Gantt Chart'!$J104),'Prepare Gantt Chart'!AD104=0,0)</f>
        <v>0</v>
      </c>
      <c r="BA105" s="45">
        <f>_xlfn.IFS('Prepare Gantt Chart'!AE104=18,'Project types'!$L105*('Prepare Gantt Chart'!$I104*'Prepare Gantt Chart'!$J104),'Prepare Gantt Chart'!AE104=17,'Project types'!$L105*('Prepare Gantt Chart'!$I104*'Prepare Gantt Chart'!$J104),'Prepare Gantt Chart'!AE104=0,0)</f>
        <v>0</v>
      </c>
      <c r="BB105" s="45">
        <f>_xlfn.IFS('Prepare Gantt Chart'!AF104=18,'Project types'!$L105*('Prepare Gantt Chart'!$I104*'Prepare Gantt Chart'!$J104),'Prepare Gantt Chart'!AF104=17,'Project types'!$L105*('Prepare Gantt Chart'!$I104*'Prepare Gantt Chart'!$J104),'Prepare Gantt Chart'!AF104=0,0)</f>
        <v>0</v>
      </c>
      <c r="BC105" s="45">
        <f>_xlfn.IFS('Prepare Gantt Chart'!AG104=18,'Project types'!$L105*('Prepare Gantt Chart'!$I104*'Prepare Gantt Chart'!$J104),'Prepare Gantt Chart'!AG104=17,'Project types'!$L105*('Prepare Gantt Chart'!$I104*'Prepare Gantt Chart'!$J104),'Prepare Gantt Chart'!AG104=0,0)</f>
        <v>0</v>
      </c>
      <c r="BD105" s="45">
        <f>_xlfn.IFS('Prepare Gantt Chart'!AH104=18,'Project types'!$L105*('Prepare Gantt Chart'!$I104*'Prepare Gantt Chart'!$J104),'Prepare Gantt Chart'!AH104=17,'Project types'!$L105*('Prepare Gantt Chart'!$I104*'Prepare Gantt Chart'!$J104),'Prepare Gantt Chart'!AH104=0,0)</f>
        <v>0</v>
      </c>
      <c r="BE105" s="45">
        <f>_xlfn.IFS('Prepare Gantt Chart'!AI104=18,'Project types'!$L105*('Prepare Gantt Chart'!$I104*'Prepare Gantt Chart'!$J104),'Prepare Gantt Chart'!AI104=17,'Project types'!$L105*('Prepare Gantt Chart'!$I104*'Prepare Gantt Chart'!$J104),'Prepare Gantt Chart'!AI104=0,0)</f>
        <v>0</v>
      </c>
      <c r="BF105" s="45">
        <f>_xlfn.IFS('Prepare Gantt Chart'!AJ104=18,'Project types'!$L105*('Prepare Gantt Chart'!$I104*'Prepare Gantt Chart'!$J104),'Prepare Gantt Chart'!AJ104=17,'Project types'!$L105*('Prepare Gantt Chart'!$I104*'Prepare Gantt Chart'!$J104),'Prepare Gantt Chart'!AJ104=0,0)</f>
        <v>0</v>
      </c>
      <c r="BG105" s="45">
        <f>_xlfn.IFS('Prepare Gantt Chart'!AK104=18,'Project types'!$L105*('Prepare Gantt Chart'!$I104*'Prepare Gantt Chart'!$J104),'Prepare Gantt Chart'!AK104=17,'Project types'!$L105*('Prepare Gantt Chart'!$I104*'Prepare Gantt Chart'!$J104),'Prepare Gantt Chart'!AK104=0,0)</f>
        <v>0</v>
      </c>
      <c r="BH105" s="45">
        <f>_xlfn.IFS('Prepare Gantt Chart'!AL104=18,'Project types'!$L105*('Prepare Gantt Chart'!$I104*'Prepare Gantt Chart'!$J104),'Prepare Gantt Chart'!AL104=17,'Project types'!$L105*('Prepare Gantt Chart'!$I104*'Prepare Gantt Chart'!$J104),'Prepare Gantt Chart'!AL104=0,0)</f>
        <v>0</v>
      </c>
      <c r="BI105" s="45">
        <f>_xlfn.IFS('Prepare Gantt Chart'!AM104=18,'Project types'!$L105*('Prepare Gantt Chart'!$I104*'Prepare Gantt Chart'!$J104),'Prepare Gantt Chart'!AM104=17,'Project types'!$L105*('Prepare Gantt Chart'!$I104*'Prepare Gantt Chart'!$J104),'Prepare Gantt Chart'!AM104=0,0)</f>
        <v>0</v>
      </c>
      <c r="BJ105" s="45">
        <f>_xlfn.IFS('Prepare Gantt Chart'!AN104=18,'Project types'!$L105*('Prepare Gantt Chart'!$I104*'Prepare Gantt Chart'!$J104),'Prepare Gantt Chart'!AN104=17,'Project types'!$L105*('Prepare Gantt Chart'!$I104*'Prepare Gantt Chart'!$J104),'Prepare Gantt Chart'!AN104=0,0)</f>
        <v>0</v>
      </c>
      <c r="BK105" s="45">
        <f>_xlfn.IFS('Prepare Gantt Chart'!AO104=18,'Project types'!$L105*('Prepare Gantt Chart'!$I104*'Prepare Gantt Chart'!$J104),'Prepare Gantt Chart'!AO104=17,'Project types'!$L105*('Prepare Gantt Chart'!$I104*'Prepare Gantt Chart'!$J104),'Prepare Gantt Chart'!AO104=0,0)</f>
        <v>0</v>
      </c>
      <c r="BL105" s="46">
        <f t="shared" si="3"/>
        <v>0</v>
      </c>
      <c r="BM105" s="75">
        <f>IF('Prepare Gantt Chart'!$J104=0,0,SUM(AL105:AQ105)/6/'Prepare Gantt Chart'!$J104)</f>
        <v>0</v>
      </c>
      <c r="BN105" s="75">
        <f>IF('Prepare Gantt Chart'!$J104=0,0,SUM(AR105:AV105)/5/'Prepare Gantt Chart'!$J104)</f>
        <v>0</v>
      </c>
      <c r="BO105" s="75">
        <f>IF('Prepare Gantt Chart'!$J104=0,0,SUM(AW105:BA105)/5/'Prepare Gantt Chart'!$J104)</f>
        <v>0</v>
      </c>
      <c r="BP105" s="75">
        <f>IF('Prepare Gantt Chart'!$J104=0,0,SUM(BB105:BF105)/5/'Prepare Gantt Chart'!$J104)</f>
        <v>0</v>
      </c>
      <c r="BQ105" s="75">
        <f>IF('Prepare Gantt Chart'!$J104=0,0,SUM(BG105:BK105)/5/'Prepare Gantt Chart'!$J104)</f>
        <v>0</v>
      </c>
    </row>
    <row r="106" spans="1:69" x14ac:dyDescent="0.2">
      <c r="A106" s="42" t="s">
        <v>97</v>
      </c>
      <c r="B106" s="1" t="s">
        <v>162</v>
      </c>
      <c r="C106" s="45">
        <f>_xlfn.IFS('Prepare Gantt Chart'!P105=18,'Project types'!$O106*('Prepare Gantt Chart'!$I105*'Prepare Gantt Chart'!$J105),'Prepare Gantt Chart'!P105=17,'Project types'!$Q106*('Prepare Gantt Chart'!$I105*'Prepare Gantt Chart'!$J105),'Prepare Gantt Chart'!P105=0,0)</f>
        <v>0</v>
      </c>
      <c r="D106" s="45">
        <f>_xlfn.IFS('Prepare Gantt Chart'!Q105=18,'Project types'!$O106*('Prepare Gantt Chart'!$I105*'Prepare Gantt Chart'!$J105),'Prepare Gantt Chart'!Q105=17,'Project types'!$Q106*('Prepare Gantt Chart'!$I105*'Prepare Gantt Chart'!$J105),'Prepare Gantt Chart'!Q105=0,0)</f>
        <v>0</v>
      </c>
      <c r="E106" s="45">
        <f>_xlfn.IFS('Prepare Gantt Chart'!R105=18,'Project types'!$O106*('Prepare Gantt Chart'!$I105*'Prepare Gantt Chart'!$J105),'Prepare Gantt Chart'!R105=17,'Project types'!$Q106*('Prepare Gantt Chart'!$I105*'Prepare Gantt Chart'!$J105),'Prepare Gantt Chart'!R105=0,0)</f>
        <v>0</v>
      </c>
      <c r="F106" s="45">
        <f>_xlfn.IFS('Prepare Gantt Chart'!S105=18,'Project types'!$O106*('Prepare Gantt Chart'!$I105*'Prepare Gantt Chart'!$J105),'Prepare Gantt Chart'!S105=17,'Project types'!$Q106*('Prepare Gantt Chart'!$I105*'Prepare Gantt Chart'!$J105),'Prepare Gantt Chart'!S105=0,0)</f>
        <v>0</v>
      </c>
      <c r="G106" s="45">
        <f>_xlfn.IFS('Prepare Gantt Chart'!T105=18,'Project types'!$O106*('Prepare Gantt Chart'!$I105*'Prepare Gantt Chart'!$J105),'Prepare Gantt Chart'!T105=17,'Project types'!$Q106*('Prepare Gantt Chart'!$I105*'Prepare Gantt Chart'!$J105),'Prepare Gantt Chart'!T105=0,0)</f>
        <v>0</v>
      </c>
      <c r="H106" s="45">
        <f>_xlfn.IFS('Prepare Gantt Chart'!U105=18,'Project types'!$O106*('Prepare Gantt Chart'!$I105*'Prepare Gantt Chart'!$J105),'Prepare Gantt Chart'!U105=17,'Project types'!$Q106*('Prepare Gantt Chart'!$I105*'Prepare Gantt Chart'!$J105),'Prepare Gantt Chart'!U105=0,0)</f>
        <v>0</v>
      </c>
      <c r="I106" s="45">
        <f>_xlfn.IFS('Prepare Gantt Chart'!V105=18,'Project types'!$O106*('Prepare Gantt Chart'!$I105*'Prepare Gantt Chart'!$J105),'Prepare Gantt Chart'!V105=17,'Project types'!$Q106*('Prepare Gantt Chart'!$I105*'Prepare Gantt Chart'!$J105),'Prepare Gantt Chart'!V105=0,0)</f>
        <v>0</v>
      </c>
      <c r="J106" s="45">
        <f>_xlfn.IFS('Prepare Gantt Chart'!W105=18,'Project types'!$O106*('Prepare Gantt Chart'!$I105*'Prepare Gantt Chart'!$J105),'Prepare Gantt Chart'!W105=17,'Project types'!$Q106*('Prepare Gantt Chart'!$I105*'Prepare Gantt Chart'!$J105),'Prepare Gantt Chart'!W105=0,0)</f>
        <v>0</v>
      </c>
      <c r="K106" s="45">
        <f>_xlfn.IFS('Prepare Gantt Chart'!X105=18,'Project types'!$O106*('Prepare Gantt Chart'!$I105*'Prepare Gantt Chart'!$J105),'Prepare Gantt Chart'!X105=17,'Project types'!$Q106*('Prepare Gantt Chart'!$I105*'Prepare Gantt Chart'!$J105),'Prepare Gantt Chart'!X105=0,0)</f>
        <v>0</v>
      </c>
      <c r="L106" s="45">
        <f>_xlfn.IFS('Prepare Gantt Chart'!Y105=18,'Project types'!$O106*('Prepare Gantt Chart'!$I105*'Prepare Gantt Chart'!$J105),'Prepare Gantt Chart'!Y105=17,'Project types'!$Q106*('Prepare Gantt Chart'!$I105*'Prepare Gantt Chart'!$J105),'Prepare Gantt Chart'!Y105=0,0)</f>
        <v>0</v>
      </c>
      <c r="M106" s="45">
        <f>_xlfn.IFS('Prepare Gantt Chart'!Z105=18,'Project types'!$O106*('Prepare Gantt Chart'!$I105*'Prepare Gantt Chart'!$J105),'Prepare Gantt Chart'!Z105=17,'Project types'!$Q106*('Prepare Gantt Chart'!$I105*'Prepare Gantt Chart'!$J105),'Prepare Gantt Chart'!Z105=0,0)</f>
        <v>0</v>
      </c>
      <c r="N106" s="45">
        <f>_xlfn.IFS('Prepare Gantt Chart'!AA105=18,'Project types'!$O106*('Prepare Gantt Chart'!$I105*'Prepare Gantt Chart'!$J105),'Prepare Gantt Chart'!AA105=17,'Project types'!$Q106*('Prepare Gantt Chart'!$I105*'Prepare Gantt Chart'!$J105),'Prepare Gantt Chart'!AA105=0,0)</f>
        <v>0</v>
      </c>
      <c r="O106" s="45">
        <f>_xlfn.IFS('Prepare Gantt Chart'!AB105=18,'Project types'!$O106*('Prepare Gantt Chart'!$I105*'Prepare Gantt Chart'!$J105),'Prepare Gantt Chart'!AB105=17,'Project types'!$Q106*('Prepare Gantt Chart'!$I105*'Prepare Gantt Chart'!$J105),'Prepare Gantt Chart'!AB105=0,0)</f>
        <v>0</v>
      </c>
      <c r="P106" s="45">
        <f>_xlfn.IFS('Prepare Gantt Chart'!AC105=18,'Project types'!$O106*('Prepare Gantt Chart'!$I105*'Prepare Gantt Chart'!$J105),'Prepare Gantt Chart'!AC105=17,'Project types'!$Q106*('Prepare Gantt Chart'!$I105*'Prepare Gantt Chart'!$J105),'Prepare Gantt Chart'!AC105=0,0)</f>
        <v>0</v>
      </c>
      <c r="Q106" s="45">
        <f>_xlfn.IFS('Prepare Gantt Chart'!AD105=18,'Project types'!$O106*('Prepare Gantt Chart'!$I105*'Prepare Gantt Chart'!$J105),'Prepare Gantt Chart'!AD105=17,'Project types'!$Q106*('Prepare Gantt Chart'!$I105*'Prepare Gantt Chart'!$J105),'Prepare Gantt Chart'!AD105=0,0)</f>
        <v>0</v>
      </c>
      <c r="R106" s="45">
        <f>_xlfn.IFS('Prepare Gantt Chart'!AE105=18,'Project types'!$O106*('Prepare Gantt Chart'!$I105*'Prepare Gantt Chart'!$J105),'Prepare Gantt Chart'!AE105=17,'Project types'!$Q106*('Prepare Gantt Chart'!$I105*'Prepare Gantt Chart'!$J105),'Prepare Gantt Chart'!AE105=0,0)</f>
        <v>0</v>
      </c>
      <c r="S106" s="45">
        <f>_xlfn.IFS('Prepare Gantt Chart'!AF105=18,'Project types'!$O106*('Prepare Gantt Chart'!$I105*'Prepare Gantt Chart'!$J105),'Prepare Gantt Chart'!AF105=17,'Project types'!$Q106*('Prepare Gantt Chart'!$I105*'Prepare Gantt Chart'!$J105),'Prepare Gantt Chart'!AF105=0,0)</f>
        <v>0</v>
      </c>
      <c r="T106" s="45">
        <f>_xlfn.IFS('Prepare Gantt Chart'!AG105=18,'Project types'!$O106*('Prepare Gantt Chart'!$I105*'Prepare Gantt Chart'!$J105),'Prepare Gantt Chart'!AG105=17,'Project types'!$Q106*('Prepare Gantt Chart'!$I105*'Prepare Gantt Chart'!$J105),'Prepare Gantt Chart'!AG105=0,0)</f>
        <v>0</v>
      </c>
      <c r="U106" s="45">
        <f>_xlfn.IFS('Prepare Gantt Chart'!AH105=18,'Project types'!$O106*('Prepare Gantt Chart'!$I105*'Prepare Gantt Chart'!$J105),'Prepare Gantt Chart'!AH105=17,'Project types'!$Q106*('Prepare Gantt Chart'!$I105*'Prepare Gantt Chart'!$J105),'Prepare Gantt Chart'!AH105=0,0)</f>
        <v>0</v>
      </c>
      <c r="V106" s="45">
        <f>_xlfn.IFS('Prepare Gantt Chart'!AI105=18,'Project types'!$O106*('Prepare Gantt Chart'!$I105*'Prepare Gantt Chart'!$J105),'Prepare Gantt Chart'!AI105=17,'Project types'!$Q106*('Prepare Gantt Chart'!$I105*'Prepare Gantt Chart'!$J105),'Prepare Gantt Chart'!AI105=0,0)</f>
        <v>0</v>
      </c>
      <c r="W106" s="45">
        <f>_xlfn.IFS('Prepare Gantt Chart'!AJ105=18,'Project types'!$O106*('Prepare Gantt Chart'!$I105*'Prepare Gantt Chart'!$J105),'Prepare Gantt Chart'!AJ105=17,'Project types'!$Q106*('Prepare Gantt Chart'!$I105*'Prepare Gantt Chart'!$J105),'Prepare Gantt Chart'!AJ105=0,0)</f>
        <v>0</v>
      </c>
      <c r="X106" s="45">
        <f>_xlfn.IFS('Prepare Gantt Chart'!AK105=18,'Project types'!$O106*('Prepare Gantt Chart'!$I105*'Prepare Gantt Chart'!$J105),'Prepare Gantt Chart'!AK105=17,'Project types'!$Q106*('Prepare Gantt Chart'!$I105*'Prepare Gantt Chart'!$J105),'Prepare Gantt Chart'!AK105=0,0)</f>
        <v>0</v>
      </c>
      <c r="Y106" s="45">
        <f>_xlfn.IFS('Prepare Gantt Chart'!AL105=18,'Project types'!$O106*('Prepare Gantt Chart'!$I105*'Prepare Gantt Chart'!$J105),'Prepare Gantt Chart'!AL105=17,'Project types'!$Q106*('Prepare Gantt Chart'!$I105*'Prepare Gantt Chart'!$J105),'Prepare Gantt Chart'!AL105=0,0)</f>
        <v>0</v>
      </c>
      <c r="Z106" s="45">
        <f>_xlfn.IFS('Prepare Gantt Chart'!AM105=18,'Project types'!$O106*('Prepare Gantt Chart'!$I105*'Prepare Gantt Chart'!$J105),'Prepare Gantt Chart'!AM105=17,'Project types'!$Q106*('Prepare Gantt Chart'!$I105*'Prepare Gantt Chart'!$J105),'Prepare Gantt Chart'!AM105=0,0)</f>
        <v>0</v>
      </c>
      <c r="AA106" s="45">
        <f>_xlfn.IFS('Prepare Gantt Chart'!AN105=18,'Project types'!$O106*('Prepare Gantt Chart'!$I105*'Prepare Gantt Chart'!$J105),'Prepare Gantt Chart'!AN105=17,'Project types'!$Q106*('Prepare Gantt Chart'!$I105*'Prepare Gantt Chart'!$J105),'Prepare Gantt Chart'!AN105=0,0)</f>
        <v>0</v>
      </c>
      <c r="AB106" s="45">
        <f>_xlfn.IFS('Prepare Gantt Chart'!AO105=18,'Project types'!$O106*('Prepare Gantt Chart'!$I105*'Prepare Gantt Chart'!$J105),'Prepare Gantt Chart'!AO105=17,'Project types'!$Q106*('Prepare Gantt Chart'!$I105*'Prepare Gantt Chart'!$J105),'Prepare Gantt Chart'!AO105=0,0)</f>
        <v>0</v>
      </c>
      <c r="AC106" s="45">
        <f>'Prepare Gantt Chart'!J105*'Prepare Gantt Chart'!I105*(AD106/26)</f>
        <v>0</v>
      </c>
      <c r="AD106" s="46">
        <f t="shared" si="2"/>
        <v>0</v>
      </c>
      <c r="AE106" s="72">
        <f>IF('Prepare Gantt Chart'!$J105=0,0,SUM(C106:H106)/6/'Prepare Gantt Chart'!$J105)</f>
        <v>0</v>
      </c>
      <c r="AF106" s="72">
        <f>IF('Prepare Gantt Chart'!$J105=0,0,SUM(I106:M106)/5/'Prepare Gantt Chart'!$J105)</f>
        <v>0</v>
      </c>
      <c r="AG106" s="72">
        <f>IF('Prepare Gantt Chart'!$J105=0,0,SUM(N106:R106)/5/'Prepare Gantt Chart'!$J105)</f>
        <v>0</v>
      </c>
      <c r="AH106" s="72">
        <f>IF('Prepare Gantt Chart'!$J105=0,0,SUM(S106:W106)/5/'Prepare Gantt Chart'!$J105)</f>
        <v>0</v>
      </c>
      <c r="AI106" s="72">
        <f>IF('Prepare Gantt Chart'!$J105=0,0,SUM(X106:AB106)/5/'Prepare Gantt Chart'!$J105)</f>
        <v>0</v>
      </c>
      <c r="AK106" s="42" t="s">
        <v>97</v>
      </c>
      <c r="AL106" s="45">
        <f>_xlfn.IFS('Prepare Gantt Chart'!P105=18,'Project types'!$L106*('Prepare Gantt Chart'!$I105*'Prepare Gantt Chart'!$J105),'Prepare Gantt Chart'!P105=17,'Project types'!$L106*('Prepare Gantt Chart'!$I105*'Prepare Gantt Chart'!$J105),'Prepare Gantt Chart'!P105=0,0)</f>
        <v>0</v>
      </c>
      <c r="AM106" s="45">
        <f>_xlfn.IFS('Prepare Gantt Chart'!Q105=18,'Project types'!$L106*('Prepare Gantt Chart'!$I105*'Prepare Gantt Chart'!$J105),'Prepare Gantt Chart'!Q105=17,'Project types'!$L106*('Prepare Gantt Chart'!$I105*'Prepare Gantt Chart'!$J105),'Prepare Gantt Chart'!Q105=0,0)</f>
        <v>0</v>
      </c>
      <c r="AN106" s="45">
        <f>_xlfn.IFS('Prepare Gantt Chart'!R105=18,'Project types'!$L106*('Prepare Gantt Chart'!$I105*'Prepare Gantt Chart'!$J105),'Prepare Gantt Chart'!R105=17,'Project types'!$L106*('Prepare Gantt Chart'!$I105*'Prepare Gantt Chart'!$J105),'Prepare Gantt Chart'!R105=0,0)</f>
        <v>0</v>
      </c>
      <c r="AO106" s="45">
        <f>_xlfn.IFS('Prepare Gantt Chart'!S105=18,'Project types'!$L106*('Prepare Gantt Chart'!$I105*'Prepare Gantt Chart'!$J105),'Prepare Gantt Chart'!S105=17,'Project types'!$L106*('Prepare Gantt Chart'!$I105*'Prepare Gantt Chart'!$J105),'Prepare Gantt Chart'!S105=0,0)</f>
        <v>0</v>
      </c>
      <c r="AP106" s="45">
        <f>_xlfn.IFS('Prepare Gantt Chart'!T105=18,'Project types'!$L106*('Prepare Gantt Chart'!$I105*'Prepare Gantt Chart'!$J105),'Prepare Gantt Chart'!T105=17,'Project types'!$L106*('Prepare Gantt Chart'!$I105*'Prepare Gantt Chart'!$J105),'Prepare Gantt Chart'!T105=0,0)</f>
        <v>0</v>
      </c>
      <c r="AQ106" s="45">
        <f>_xlfn.IFS('Prepare Gantt Chart'!U105=18,'Project types'!$L106*('Prepare Gantt Chart'!$I105*'Prepare Gantt Chart'!$J105),'Prepare Gantt Chart'!U105=17,'Project types'!$L106*('Prepare Gantt Chart'!$I105*'Prepare Gantt Chart'!$J105),'Prepare Gantt Chart'!U105=0,0)</f>
        <v>0</v>
      </c>
      <c r="AR106" s="45">
        <f>_xlfn.IFS('Prepare Gantt Chart'!V105=18,'Project types'!$L106*('Prepare Gantt Chart'!$I105*'Prepare Gantt Chart'!$J105),'Prepare Gantt Chart'!V105=17,'Project types'!$L106*('Prepare Gantt Chart'!$I105*'Prepare Gantt Chart'!$J105),'Prepare Gantt Chart'!V105=0,0)</f>
        <v>0</v>
      </c>
      <c r="AS106" s="45">
        <f>_xlfn.IFS('Prepare Gantt Chart'!W105=18,'Project types'!$L106*('Prepare Gantt Chart'!$I105*'Prepare Gantt Chart'!$J105),'Prepare Gantt Chart'!W105=17,'Project types'!$L106*('Prepare Gantt Chart'!$I105*'Prepare Gantt Chart'!$J105),'Prepare Gantt Chart'!W105=0,0)</f>
        <v>0</v>
      </c>
      <c r="AT106" s="45">
        <f>_xlfn.IFS('Prepare Gantt Chart'!X105=18,'Project types'!$L106*('Prepare Gantt Chart'!$I105*'Prepare Gantt Chart'!$J105),'Prepare Gantt Chart'!X105=17,'Project types'!$L106*('Prepare Gantt Chart'!$I105*'Prepare Gantt Chart'!$J105),'Prepare Gantt Chart'!X105=0,0)</f>
        <v>0</v>
      </c>
      <c r="AU106" s="45">
        <f>_xlfn.IFS('Prepare Gantt Chart'!Y105=18,'Project types'!$L106*('Prepare Gantt Chart'!$I105*'Prepare Gantt Chart'!$J105),'Prepare Gantt Chart'!Y105=17,'Project types'!$L106*('Prepare Gantt Chart'!$I105*'Prepare Gantt Chart'!$J105),'Prepare Gantt Chart'!Y105=0,0)</f>
        <v>0</v>
      </c>
      <c r="AV106" s="45">
        <f>_xlfn.IFS('Prepare Gantt Chart'!Z105=18,'Project types'!$L106*('Prepare Gantt Chart'!$I105*'Prepare Gantt Chart'!$J105),'Prepare Gantt Chart'!Z105=17,'Project types'!$L106*('Prepare Gantt Chart'!$I105*'Prepare Gantt Chart'!$J105),'Prepare Gantt Chart'!Z105=0,0)</f>
        <v>0</v>
      </c>
      <c r="AW106" s="45">
        <f>_xlfn.IFS('Prepare Gantt Chart'!AA105=18,'Project types'!$L106*('Prepare Gantt Chart'!$I105*'Prepare Gantt Chart'!$J105),'Prepare Gantt Chart'!AA105=17,'Project types'!$L106*('Prepare Gantt Chart'!$I105*'Prepare Gantt Chart'!$J105),'Prepare Gantt Chart'!AA105=0,0)</f>
        <v>0</v>
      </c>
      <c r="AX106" s="45">
        <f>_xlfn.IFS('Prepare Gantt Chart'!AB105=18,'Project types'!$L106*('Prepare Gantt Chart'!$I105*'Prepare Gantt Chart'!$J105),'Prepare Gantt Chart'!AB105=17,'Project types'!$L106*('Prepare Gantt Chart'!$I105*'Prepare Gantt Chart'!$J105),'Prepare Gantt Chart'!AB105=0,0)</f>
        <v>0</v>
      </c>
      <c r="AY106" s="45">
        <f>_xlfn.IFS('Prepare Gantt Chart'!AC105=18,'Project types'!$L106*('Prepare Gantt Chart'!$I105*'Prepare Gantt Chart'!$J105),'Prepare Gantt Chart'!AC105=17,'Project types'!$L106*('Prepare Gantt Chart'!$I105*'Prepare Gantt Chart'!$J105),'Prepare Gantt Chart'!AC105=0,0)</f>
        <v>0</v>
      </c>
      <c r="AZ106" s="45">
        <f>_xlfn.IFS('Prepare Gantt Chart'!AD105=18,'Project types'!$L106*('Prepare Gantt Chart'!$I105*'Prepare Gantt Chart'!$J105),'Prepare Gantt Chart'!AD105=17,'Project types'!$L106*('Prepare Gantt Chart'!$I105*'Prepare Gantt Chart'!$J105),'Prepare Gantt Chart'!AD105=0,0)</f>
        <v>0</v>
      </c>
      <c r="BA106" s="45">
        <f>_xlfn.IFS('Prepare Gantt Chart'!AE105=18,'Project types'!$L106*('Prepare Gantt Chart'!$I105*'Prepare Gantt Chart'!$J105),'Prepare Gantt Chart'!AE105=17,'Project types'!$L106*('Prepare Gantt Chart'!$I105*'Prepare Gantt Chart'!$J105),'Prepare Gantt Chart'!AE105=0,0)</f>
        <v>0</v>
      </c>
      <c r="BB106" s="45">
        <f>_xlfn.IFS('Prepare Gantt Chart'!AF105=18,'Project types'!$L106*('Prepare Gantt Chart'!$I105*'Prepare Gantt Chart'!$J105),'Prepare Gantt Chart'!AF105=17,'Project types'!$L106*('Prepare Gantt Chart'!$I105*'Prepare Gantt Chart'!$J105),'Prepare Gantt Chart'!AF105=0,0)</f>
        <v>0</v>
      </c>
      <c r="BC106" s="45">
        <f>_xlfn.IFS('Prepare Gantt Chart'!AG105=18,'Project types'!$L106*('Prepare Gantt Chart'!$I105*'Prepare Gantt Chart'!$J105),'Prepare Gantt Chart'!AG105=17,'Project types'!$L106*('Prepare Gantt Chart'!$I105*'Prepare Gantt Chart'!$J105),'Prepare Gantt Chart'!AG105=0,0)</f>
        <v>0</v>
      </c>
      <c r="BD106" s="45">
        <f>_xlfn.IFS('Prepare Gantt Chart'!AH105=18,'Project types'!$L106*('Prepare Gantt Chart'!$I105*'Prepare Gantt Chart'!$J105),'Prepare Gantt Chart'!AH105=17,'Project types'!$L106*('Prepare Gantt Chart'!$I105*'Prepare Gantt Chart'!$J105),'Prepare Gantt Chart'!AH105=0,0)</f>
        <v>0</v>
      </c>
      <c r="BE106" s="45">
        <f>_xlfn.IFS('Prepare Gantt Chart'!AI105=18,'Project types'!$L106*('Prepare Gantt Chart'!$I105*'Prepare Gantt Chart'!$J105),'Prepare Gantt Chart'!AI105=17,'Project types'!$L106*('Prepare Gantt Chart'!$I105*'Prepare Gantt Chart'!$J105),'Prepare Gantt Chart'!AI105=0,0)</f>
        <v>0</v>
      </c>
      <c r="BF106" s="45">
        <f>_xlfn.IFS('Prepare Gantt Chart'!AJ105=18,'Project types'!$L106*('Prepare Gantt Chart'!$I105*'Prepare Gantt Chart'!$J105),'Prepare Gantt Chart'!AJ105=17,'Project types'!$L106*('Prepare Gantt Chart'!$I105*'Prepare Gantt Chart'!$J105),'Prepare Gantt Chart'!AJ105=0,0)</f>
        <v>0</v>
      </c>
      <c r="BG106" s="45">
        <f>_xlfn.IFS('Prepare Gantt Chart'!AK105=18,'Project types'!$L106*('Prepare Gantt Chart'!$I105*'Prepare Gantt Chart'!$J105),'Prepare Gantt Chart'!AK105=17,'Project types'!$L106*('Prepare Gantt Chart'!$I105*'Prepare Gantt Chart'!$J105),'Prepare Gantt Chart'!AK105=0,0)</f>
        <v>0</v>
      </c>
      <c r="BH106" s="45">
        <f>_xlfn.IFS('Prepare Gantt Chart'!AL105=18,'Project types'!$L106*('Prepare Gantt Chart'!$I105*'Prepare Gantt Chart'!$J105),'Prepare Gantt Chart'!AL105=17,'Project types'!$L106*('Prepare Gantt Chart'!$I105*'Prepare Gantt Chart'!$J105),'Prepare Gantt Chart'!AL105=0,0)</f>
        <v>0</v>
      </c>
      <c r="BI106" s="45">
        <f>_xlfn.IFS('Prepare Gantt Chart'!AM105=18,'Project types'!$L106*('Prepare Gantt Chart'!$I105*'Prepare Gantt Chart'!$J105),'Prepare Gantt Chart'!AM105=17,'Project types'!$L106*('Prepare Gantt Chart'!$I105*'Prepare Gantt Chart'!$J105),'Prepare Gantt Chart'!AM105=0,0)</f>
        <v>0</v>
      </c>
      <c r="BJ106" s="45">
        <f>_xlfn.IFS('Prepare Gantt Chart'!AN105=18,'Project types'!$L106*('Prepare Gantt Chart'!$I105*'Prepare Gantt Chart'!$J105),'Prepare Gantt Chart'!AN105=17,'Project types'!$L106*('Prepare Gantt Chart'!$I105*'Prepare Gantt Chart'!$J105),'Prepare Gantt Chart'!AN105=0,0)</f>
        <v>0</v>
      </c>
      <c r="BK106" s="45">
        <f>_xlfn.IFS('Prepare Gantt Chart'!AO105=18,'Project types'!$L106*('Prepare Gantt Chart'!$I105*'Prepare Gantt Chart'!$J105),'Prepare Gantt Chart'!AO105=17,'Project types'!$L106*('Prepare Gantt Chart'!$I105*'Prepare Gantt Chart'!$J105),'Prepare Gantt Chart'!AO105=0,0)</f>
        <v>0</v>
      </c>
      <c r="BL106" s="46">
        <f t="shared" si="3"/>
        <v>0</v>
      </c>
      <c r="BM106" s="75">
        <f>IF('Prepare Gantt Chart'!$J105=0,0,SUM(AL106:AQ106)/6/'Prepare Gantt Chart'!$J105)</f>
        <v>0</v>
      </c>
      <c r="BN106" s="75">
        <f>IF('Prepare Gantt Chart'!$J105=0,0,SUM(AR106:AV106)/5/'Prepare Gantt Chart'!$J105)</f>
        <v>0</v>
      </c>
      <c r="BO106" s="75">
        <f>IF('Prepare Gantt Chart'!$J105=0,0,SUM(AW106:BA106)/5/'Prepare Gantt Chart'!$J105)</f>
        <v>0</v>
      </c>
      <c r="BP106" s="75">
        <f>IF('Prepare Gantt Chart'!$J105=0,0,SUM(BB106:BF106)/5/'Prepare Gantt Chart'!$J105)</f>
        <v>0</v>
      </c>
      <c r="BQ106" s="75">
        <f>IF('Prepare Gantt Chart'!$J105=0,0,SUM(BG106:BK106)/5/'Prepare Gantt Chart'!$J105)</f>
        <v>0</v>
      </c>
    </row>
    <row r="107" spans="1:69" x14ac:dyDescent="0.2">
      <c r="A107" s="42" t="s">
        <v>98</v>
      </c>
      <c r="B107" s="1" t="s">
        <v>163</v>
      </c>
      <c r="C107" s="45">
        <f>_xlfn.IFS('Prepare Gantt Chart'!P106=18,'Project types'!$O107*('Prepare Gantt Chart'!$I106*'Prepare Gantt Chart'!$J106),'Prepare Gantt Chart'!P106=17,'Project types'!$Q107*('Prepare Gantt Chart'!$I106*'Prepare Gantt Chart'!$J106),'Prepare Gantt Chart'!P106=0,0)</f>
        <v>0</v>
      </c>
      <c r="D107" s="45">
        <f>_xlfn.IFS('Prepare Gantt Chart'!Q106=18,'Project types'!$O107*('Prepare Gantt Chart'!$I106*'Prepare Gantt Chart'!$J106),'Prepare Gantt Chart'!Q106=17,'Project types'!$Q107*('Prepare Gantt Chart'!$I106*'Prepare Gantt Chart'!$J106),'Prepare Gantt Chart'!Q106=0,0)</f>
        <v>0</v>
      </c>
      <c r="E107" s="45">
        <f>_xlfn.IFS('Prepare Gantt Chart'!R106=18,'Project types'!$O107*('Prepare Gantt Chart'!$I106*'Prepare Gantt Chart'!$J106),'Prepare Gantt Chart'!R106=17,'Project types'!$Q107*('Prepare Gantt Chart'!$I106*'Prepare Gantt Chart'!$J106),'Prepare Gantt Chart'!R106=0,0)</f>
        <v>0</v>
      </c>
      <c r="F107" s="45">
        <f>_xlfn.IFS('Prepare Gantt Chart'!S106=18,'Project types'!$O107*('Prepare Gantt Chart'!$I106*'Prepare Gantt Chart'!$J106),'Prepare Gantt Chart'!S106=17,'Project types'!$Q107*('Prepare Gantt Chart'!$I106*'Prepare Gantt Chart'!$J106),'Prepare Gantt Chart'!S106=0,0)</f>
        <v>0</v>
      </c>
      <c r="G107" s="45">
        <f>_xlfn.IFS('Prepare Gantt Chart'!T106=18,'Project types'!$O107*('Prepare Gantt Chart'!$I106*'Prepare Gantt Chart'!$J106),'Prepare Gantt Chart'!T106=17,'Project types'!$Q107*('Prepare Gantt Chart'!$I106*'Prepare Gantt Chart'!$J106),'Prepare Gantt Chart'!T106=0,0)</f>
        <v>0</v>
      </c>
      <c r="H107" s="45">
        <f>_xlfn.IFS('Prepare Gantt Chart'!U106=18,'Project types'!$O107*('Prepare Gantt Chart'!$I106*'Prepare Gantt Chart'!$J106),'Prepare Gantt Chart'!U106=17,'Project types'!$Q107*('Prepare Gantt Chart'!$I106*'Prepare Gantt Chart'!$J106),'Prepare Gantt Chart'!U106=0,0)</f>
        <v>0</v>
      </c>
      <c r="I107" s="45">
        <f>_xlfn.IFS('Prepare Gantt Chart'!V106=18,'Project types'!$O107*('Prepare Gantt Chart'!$I106*'Prepare Gantt Chart'!$J106),'Prepare Gantt Chart'!V106=17,'Project types'!$Q107*('Prepare Gantt Chart'!$I106*'Prepare Gantt Chart'!$J106),'Prepare Gantt Chart'!V106=0,0)</f>
        <v>0</v>
      </c>
      <c r="J107" s="45">
        <f>_xlfn.IFS('Prepare Gantt Chart'!W106=18,'Project types'!$O107*('Prepare Gantt Chart'!$I106*'Prepare Gantt Chart'!$J106),'Prepare Gantt Chart'!W106=17,'Project types'!$Q107*('Prepare Gantt Chart'!$I106*'Prepare Gantt Chart'!$J106),'Prepare Gantt Chart'!W106=0,0)</f>
        <v>0</v>
      </c>
      <c r="K107" s="45">
        <f>_xlfn.IFS('Prepare Gantt Chart'!X106=18,'Project types'!$O107*('Prepare Gantt Chart'!$I106*'Prepare Gantt Chart'!$J106),'Prepare Gantt Chart'!X106=17,'Project types'!$Q107*('Prepare Gantt Chart'!$I106*'Prepare Gantt Chart'!$J106),'Prepare Gantt Chart'!X106=0,0)</f>
        <v>0</v>
      </c>
      <c r="L107" s="45">
        <f>_xlfn.IFS('Prepare Gantt Chart'!Y106=18,'Project types'!$O107*('Prepare Gantt Chart'!$I106*'Prepare Gantt Chart'!$J106),'Prepare Gantt Chart'!Y106=17,'Project types'!$Q107*('Prepare Gantt Chart'!$I106*'Prepare Gantt Chart'!$J106),'Prepare Gantt Chart'!Y106=0,0)</f>
        <v>0</v>
      </c>
      <c r="M107" s="45">
        <f>_xlfn.IFS('Prepare Gantt Chart'!Z106=18,'Project types'!$O107*('Prepare Gantt Chart'!$I106*'Prepare Gantt Chart'!$J106),'Prepare Gantt Chart'!Z106=17,'Project types'!$Q107*('Prepare Gantt Chart'!$I106*'Prepare Gantt Chart'!$J106),'Prepare Gantt Chart'!Z106=0,0)</f>
        <v>0</v>
      </c>
      <c r="N107" s="45">
        <f>_xlfn.IFS('Prepare Gantt Chart'!AA106=18,'Project types'!$O107*('Prepare Gantt Chart'!$I106*'Prepare Gantt Chart'!$J106),'Prepare Gantt Chart'!AA106=17,'Project types'!$Q107*('Prepare Gantt Chart'!$I106*'Prepare Gantt Chart'!$J106),'Prepare Gantt Chart'!AA106=0,0)</f>
        <v>0</v>
      </c>
      <c r="O107" s="45">
        <f>_xlfn.IFS('Prepare Gantt Chart'!AB106=18,'Project types'!$O107*('Prepare Gantt Chart'!$I106*'Prepare Gantt Chart'!$J106),'Prepare Gantt Chart'!AB106=17,'Project types'!$Q107*('Prepare Gantt Chart'!$I106*'Prepare Gantt Chart'!$J106),'Prepare Gantt Chart'!AB106=0,0)</f>
        <v>0</v>
      </c>
      <c r="P107" s="45">
        <f>_xlfn.IFS('Prepare Gantt Chart'!AC106=18,'Project types'!$O107*('Prepare Gantt Chart'!$I106*'Prepare Gantt Chart'!$J106),'Prepare Gantt Chart'!AC106=17,'Project types'!$Q107*('Prepare Gantt Chart'!$I106*'Prepare Gantt Chart'!$J106),'Prepare Gantt Chart'!AC106=0,0)</f>
        <v>0</v>
      </c>
      <c r="Q107" s="45">
        <f>_xlfn.IFS('Prepare Gantt Chart'!AD106=18,'Project types'!$O107*('Prepare Gantt Chart'!$I106*'Prepare Gantt Chart'!$J106),'Prepare Gantt Chart'!AD106=17,'Project types'!$Q107*('Prepare Gantt Chart'!$I106*'Prepare Gantt Chart'!$J106),'Prepare Gantt Chart'!AD106=0,0)</f>
        <v>0</v>
      </c>
      <c r="R107" s="45">
        <f>_xlfn.IFS('Prepare Gantt Chart'!AE106=18,'Project types'!$O107*('Prepare Gantt Chart'!$I106*'Prepare Gantt Chart'!$J106),'Prepare Gantt Chart'!AE106=17,'Project types'!$Q107*('Prepare Gantt Chart'!$I106*'Prepare Gantt Chart'!$J106),'Prepare Gantt Chart'!AE106=0,0)</f>
        <v>0</v>
      </c>
      <c r="S107" s="45">
        <f>_xlfn.IFS('Prepare Gantt Chart'!AF106=18,'Project types'!$O107*('Prepare Gantt Chart'!$I106*'Prepare Gantt Chart'!$J106),'Prepare Gantt Chart'!AF106=17,'Project types'!$Q107*('Prepare Gantt Chart'!$I106*'Prepare Gantt Chart'!$J106),'Prepare Gantt Chart'!AF106=0,0)</f>
        <v>0</v>
      </c>
      <c r="T107" s="45">
        <f>_xlfn.IFS('Prepare Gantt Chart'!AG106=18,'Project types'!$O107*('Prepare Gantt Chart'!$I106*'Prepare Gantt Chart'!$J106),'Prepare Gantt Chart'!AG106=17,'Project types'!$Q107*('Prepare Gantt Chart'!$I106*'Prepare Gantt Chart'!$J106),'Prepare Gantt Chart'!AG106=0,0)</f>
        <v>0</v>
      </c>
      <c r="U107" s="45">
        <f>_xlfn.IFS('Prepare Gantt Chart'!AH106=18,'Project types'!$O107*('Prepare Gantt Chart'!$I106*'Prepare Gantt Chart'!$J106),'Prepare Gantt Chart'!AH106=17,'Project types'!$Q107*('Prepare Gantt Chart'!$I106*'Prepare Gantt Chart'!$J106),'Prepare Gantt Chart'!AH106=0,0)</f>
        <v>0</v>
      </c>
      <c r="V107" s="45">
        <f>_xlfn.IFS('Prepare Gantt Chart'!AI106=18,'Project types'!$O107*('Prepare Gantt Chart'!$I106*'Prepare Gantt Chart'!$J106),'Prepare Gantt Chart'!AI106=17,'Project types'!$Q107*('Prepare Gantt Chart'!$I106*'Prepare Gantt Chart'!$J106),'Prepare Gantt Chart'!AI106=0,0)</f>
        <v>0</v>
      </c>
      <c r="W107" s="45">
        <f>_xlfn.IFS('Prepare Gantt Chart'!AJ106=18,'Project types'!$O107*('Prepare Gantt Chart'!$I106*'Prepare Gantt Chart'!$J106),'Prepare Gantt Chart'!AJ106=17,'Project types'!$Q107*('Prepare Gantt Chart'!$I106*'Prepare Gantt Chart'!$J106),'Prepare Gantt Chart'!AJ106=0,0)</f>
        <v>0</v>
      </c>
      <c r="X107" s="45">
        <f>_xlfn.IFS('Prepare Gantt Chart'!AK106=18,'Project types'!$O107*('Prepare Gantt Chart'!$I106*'Prepare Gantt Chart'!$J106),'Prepare Gantt Chart'!AK106=17,'Project types'!$Q107*('Prepare Gantt Chart'!$I106*'Prepare Gantt Chart'!$J106),'Prepare Gantt Chart'!AK106=0,0)</f>
        <v>0</v>
      </c>
      <c r="Y107" s="45">
        <f>_xlfn.IFS('Prepare Gantt Chart'!AL106=18,'Project types'!$O107*('Prepare Gantt Chart'!$I106*'Prepare Gantt Chart'!$J106),'Prepare Gantt Chart'!AL106=17,'Project types'!$Q107*('Prepare Gantt Chart'!$I106*'Prepare Gantt Chart'!$J106),'Prepare Gantt Chart'!AL106=0,0)</f>
        <v>0</v>
      </c>
      <c r="Z107" s="45">
        <f>_xlfn.IFS('Prepare Gantt Chart'!AM106=18,'Project types'!$O107*('Prepare Gantt Chart'!$I106*'Prepare Gantt Chart'!$J106),'Prepare Gantt Chart'!AM106=17,'Project types'!$Q107*('Prepare Gantt Chart'!$I106*'Prepare Gantt Chart'!$J106),'Prepare Gantt Chart'!AM106=0,0)</f>
        <v>0</v>
      </c>
      <c r="AA107" s="45">
        <f>_xlfn.IFS('Prepare Gantt Chart'!AN106=18,'Project types'!$O107*('Prepare Gantt Chart'!$I106*'Prepare Gantt Chart'!$J106),'Prepare Gantt Chart'!AN106=17,'Project types'!$Q107*('Prepare Gantt Chart'!$I106*'Prepare Gantt Chart'!$J106),'Prepare Gantt Chart'!AN106=0,0)</f>
        <v>0</v>
      </c>
      <c r="AB107" s="45">
        <f>_xlfn.IFS('Prepare Gantt Chart'!AO106=18,'Project types'!$O107*('Prepare Gantt Chart'!$I106*'Prepare Gantt Chart'!$J106),'Prepare Gantt Chart'!AO106=17,'Project types'!$Q107*('Prepare Gantt Chart'!$I106*'Prepare Gantt Chart'!$J106),'Prepare Gantt Chart'!AO106=0,0)</f>
        <v>0</v>
      </c>
      <c r="AC107" s="45">
        <f>'Prepare Gantt Chart'!J106*'Prepare Gantt Chart'!I106*(AD107/26)</f>
        <v>0</v>
      </c>
      <c r="AD107" s="46">
        <f t="shared" si="2"/>
        <v>0</v>
      </c>
      <c r="AE107" s="72">
        <f>IF('Prepare Gantt Chart'!$J106=0,0,SUM(C107:H107)/6/'Prepare Gantt Chart'!$J106)</f>
        <v>0</v>
      </c>
      <c r="AF107" s="72">
        <f>IF('Prepare Gantt Chart'!$J106=0,0,SUM(I107:M107)/5/'Prepare Gantt Chart'!$J106)</f>
        <v>0</v>
      </c>
      <c r="AG107" s="72">
        <f>IF('Prepare Gantt Chart'!$J106=0,0,SUM(N107:R107)/5/'Prepare Gantt Chart'!$J106)</f>
        <v>0</v>
      </c>
      <c r="AH107" s="72">
        <f>IF('Prepare Gantt Chart'!$J106=0,0,SUM(S107:W107)/5/'Prepare Gantt Chart'!$J106)</f>
        <v>0</v>
      </c>
      <c r="AI107" s="72">
        <f>IF('Prepare Gantt Chart'!$J106=0,0,SUM(X107:AB107)/5/'Prepare Gantt Chart'!$J106)</f>
        <v>0</v>
      </c>
      <c r="AK107" s="42" t="s">
        <v>98</v>
      </c>
      <c r="AL107" s="45">
        <f>_xlfn.IFS('Prepare Gantt Chart'!P106=18,'Project types'!$L107*('Prepare Gantt Chart'!$I106*'Prepare Gantt Chart'!$J106),'Prepare Gantt Chart'!P106=17,'Project types'!$L107*('Prepare Gantt Chart'!$I106*'Prepare Gantt Chart'!$J106),'Prepare Gantt Chart'!P106=0,0)</f>
        <v>0</v>
      </c>
      <c r="AM107" s="45">
        <f>_xlfn.IFS('Prepare Gantt Chart'!Q106=18,'Project types'!$L107*('Prepare Gantt Chart'!$I106*'Prepare Gantt Chart'!$J106),'Prepare Gantt Chart'!Q106=17,'Project types'!$L107*('Prepare Gantt Chart'!$I106*'Prepare Gantt Chart'!$J106),'Prepare Gantt Chart'!Q106=0,0)</f>
        <v>0</v>
      </c>
      <c r="AN107" s="45">
        <f>_xlfn.IFS('Prepare Gantt Chart'!R106=18,'Project types'!$L107*('Prepare Gantt Chart'!$I106*'Prepare Gantt Chart'!$J106),'Prepare Gantt Chart'!R106=17,'Project types'!$L107*('Prepare Gantt Chart'!$I106*'Prepare Gantt Chart'!$J106),'Prepare Gantt Chart'!R106=0,0)</f>
        <v>0</v>
      </c>
      <c r="AO107" s="45">
        <f>_xlfn.IFS('Prepare Gantt Chart'!S106=18,'Project types'!$L107*('Prepare Gantt Chart'!$I106*'Prepare Gantt Chart'!$J106),'Prepare Gantt Chart'!S106=17,'Project types'!$L107*('Prepare Gantt Chart'!$I106*'Prepare Gantt Chart'!$J106),'Prepare Gantt Chart'!S106=0,0)</f>
        <v>0</v>
      </c>
      <c r="AP107" s="45">
        <f>_xlfn.IFS('Prepare Gantt Chart'!T106=18,'Project types'!$L107*('Prepare Gantt Chart'!$I106*'Prepare Gantt Chart'!$J106),'Prepare Gantt Chart'!T106=17,'Project types'!$L107*('Prepare Gantt Chart'!$I106*'Prepare Gantt Chart'!$J106),'Prepare Gantt Chart'!T106=0,0)</f>
        <v>0</v>
      </c>
      <c r="AQ107" s="45">
        <f>_xlfn.IFS('Prepare Gantt Chart'!U106=18,'Project types'!$L107*('Prepare Gantt Chart'!$I106*'Prepare Gantt Chart'!$J106),'Prepare Gantt Chart'!U106=17,'Project types'!$L107*('Prepare Gantt Chart'!$I106*'Prepare Gantt Chart'!$J106),'Prepare Gantt Chart'!U106=0,0)</f>
        <v>0</v>
      </c>
      <c r="AR107" s="45">
        <f>_xlfn.IFS('Prepare Gantt Chart'!V106=18,'Project types'!$L107*('Prepare Gantt Chart'!$I106*'Prepare Gantt Chart'!$J106),'Prepare Gantt Chart'!V106=17,'Project types'!$L107*('Prepare Gantt Chart'!$I106*'Prepare Gantt Chart'!$J106),'Prepare Gantt Chart'!V106=0,0)</f>
        <v>0</v>
      </c>
      <c r="AS107" s="45">
        <f>_xlfn.IFS('Prepare Gantt Chart'!W106=18,'Project types'!$L107*('Prepare Gantt Chart'!$I106*'Prepare Gantt Chart'!$J106),'Prepare Gantt Chart'!W106=17,'Project types'!$L107*('Prepare Gantt Chart'!$I106*'Prepare Gantt Chart'!$J106),'Prepare Gantt Chart'!W106=0,0)</f>
        <v>0</v>
      </c>
      <c r="AT107" s="45">
        <f>_xlfn.IFS('Prepare Gantt Chart'!X106=18,'Project types'!$L107*('Prepare Gantt Chart'!$I106*'Prepare Gantt Chart'!$J106),'Prepare Gantt Chart'!X106=17,'Project types'!$L107*('Prepare Gantt Chart'!$I106*'Prepare Gantt Chart'!$J106),'Prepare Gantt Chart'!X106=0,0)</f>
        <v>0</v>
      </c>
      <c r="AU107" s="45">
        <f>_xlfn.IFS('Prepare Gantt Chart'!Y106=18,'Project types'!$L107*('Prepare Gantt Chart'!$I106*'Prepare Gantt Chart'!$J106),'Prepare Gantt Chart'!Y106=17,'Project types'!$L107*('Prepare Gantt Chart'!$I106*'Prepare Gantt Chart'!$J106),'Prepare Gantt Chart'!Y106=0,0)</f>
        <v>0</v>
      </c>
      <c r="AV107" s="45">
        <f>_xlfn.IFS('Prepare Gantt Chart'!Z106=18,'Project types'!$L107*('Prepare Gantt Chart'!$I106*'Prepare Gantt Chart'!$J106),'Prepare Gantt Chart'!Z106=17,'Project types'!$L107*('Prepare Gantt Chart'!$I106*'Prepare Gantt Chart'!$J106),'Prepare Gantt Chart'!Z106=0,0)</f>
        <v>0</v>
      </c>
      <c r="AW107" s="45">
        <f>_xlfn.IFS('Prepare Gantt Chart'!AA106=18,'Project types'!$L107*('Prepare Gantt Chart'!$I106*'Prepare Gantt Chart'!$J106),'Prepare Gantt Chart'!AA106=17,'Project types'!$L107*('Prepare Gantt Chart'!$I106*'Prepare Gantt Chart'!$J106),'Prepare Gantt Chart'!AA106=0,0)</f>
        <v>0</v>
      </c>
      <c r="AX107" s="45">
        <f>_xlfn.IFS('Prepare Gantt Chart'!AB106=18,'Project types'!$L107*('Prepare Gantt Chart'!$I106*'Prepare Gantt Chart'!$J106),'Prepare Gantt Chart'!AB106=17,'Project types'!$L107*('Prepare Gantt Chart'!$I106*'Prepare Gantt Chart'!$J106),'Prepare Gantt Chart'!AB106=0,0)</f>
        <v>0</v>
      </c>
      <c r="AY107" s="45">
        <f>_xlfn.IFS('Prepare Gantt Chart'!AC106=18,'Project types'!$L107*('Prepare Gantt Chart'!$I106*'Prepare Gantt Chart'!$J106),'Prepare Gantt Chart'!AC106=17,'Project types'!$L107*('Prepare Gantt Chart'!$I106*'Prepare Gantt Chart'!$J106),'Prepare Gantt Chart'!AC106=0,0)</f>
        <v>0</v>
      </c>
      <c r="AZ107" s="45">
        <f>_xlfn.IFS('Prepare Gantt Chart'!AD106=18,'Project types'!$L107*('Prepare Gantt Chart'!$I106*'Prepare Gantt Chart'!$J106),'Prepare Gantt Chart'!AD106=17,'Project types'!$L107*('Prepare Gantt Chart'!$I106*'Prepare Gantt Chart'!$J106),'Prepare Gantt Chart'!AD106=0,0)</f>
        <v>0</v>
      </c>
      <c r="BA107" s="45">
        <f>_xlfn.IFS('Prepare Gantt Chart'!AE106=18,'Project types'!$L107*('Prepare Gantt Chart'!$I106*'Prepare Gantt Chart'!$J106),'Prepare Gantt Chart'!AE106=17,'Project types'!$L107*('Prepare Gantt Chart'!$I106*'Prepare Gantt Chart'!$J106),'Prepare Gantt Chart'!AE106=0,0)</f>
        <v>0</v>
      </c>
      <c r="BB107" s="45">
        <f>_xlfn.IFS('Prepare Gantt Chart'!AF106=18,'Project types'!$L107*('Prepare Gantt Chart'!$I106*'Prepare Gantt Chart'!$J106),'Prepare Gantt Chart'!AF106=17,'Project types'!$L107*('Prepare Gantt Chart'!$I106*'Prepare Gantt Chart'!$J106),'Prepare Gantt Chart'!AF106=0,0)</f>
        <v>0</v>
      </c>
      <c r="BC107" s="45">
        <f>_xlfn.IFS('Prepare Gantt Chart'!AG106=18,'Project types'!$L107*('Prepare Gantt Chart'!$I106*'Prepare Gantt Chart'!$J106),'Prepare Gantt Chart'!AG106=17,'Project types'!$L107*('Prepare Gantt Chart'!$I106*'Prepare Gantt Chart'!$J106),'Prepare Gantt Chart'!AG106=0,0)</f>
        <v>0</v>
      </c>
      <c r="BD107" s="45">
        <f>_xlfn.IFS('Prepare Gantt Chart'!AH106=18,'Project types'!$L107*('Prepare Gantt Chart'!$I106*'Prepare Gantt Chart'!$J106),'Prepare Gantt Chart'!AH106=17,'Project types'!$L107*('Prepare Gantt Chart'!$I106*'Prepare Gantt Chart'!$J106),'Prepare Gantt Chart'!AH106=0,0)</f>
        <v>0</v>
      </c>
      <c r="BE107" s="45">
        <f>_xlfn.IFS('Prepare Gantt Chart'!AI106=18,'Project types'!$L107*('Prepare Gantt Chart'!$I106*'Prepare Gantt Chart'!$J106),'Prepare Gantt Chart'!AI106=17,'Project types'!$L107*('Prepare Gantt Chart'!$I106*'Prepare Gantt Chart'!$J106),'Prepare Gantt Chart'!AI106=0,0)</f>
        <v>0</v>
      </c>
      <c r="BF107" s="45">
        <f>_xlfn.IFS('Prepare Gantt Chart'!AJ106=18,'Project types'!$L107*('Prepare Gantt Chart'!$I106*'Prepare Gantt Chart'!$J106),'Prepare Gantt Chart'!AJ106=17,'Project types'!$L107*('Prepare Gantt Chart'!$I106*'Prepare Gantt Chart'!$J106),'Prepare Gantt Chart'!AJ106=0,0)</f>
        <v>0</v>
      </c>
      <c r="BG107" s="45">
        <f>_xlfn.IFS('Prepare Gantt Chart'!AK106=18,'Project types'!$L107*('Prepare Gantt Chart'!$I106*'Prepare Gantt Chart'!$J106),'Prepare Gantt Chart'!AK106=17,'Project types'!$L107*('Prepare Gantt Chart'!$I106*'Prepare Gantt Chart'!$J106),'Prepare Gantt Chart'!AK106=0,0)</f>
        <v>0</v>
      </c>
      <c r="BH107" s="45">
        <f>_xlfn.IFS('Prepare Gantt Chart'!AL106=18,'Project types'!$L107*('Prepare Gantt Chart'!$I106*'Prepare Gantt Chart'!$J106),'Prepare Gantt Chart'!AL106=17,'Project types'!$L107*('Prepare Gantt Chart'!$I106*'Prepare Gantt Chart'!$J106),'Prepare Gantt Chart'!AL106=0,0)</f>
        <v>0</v>
      </c>
      <c r="BI107" s="45">
        <f>_xlfn.IFS('Prepare Gantt Chart'!AM106=18,'Project types'!$L107*('Prepare Gantt Chart'!$I106*'Prepare Gantt Chart'!$J106),'Prepare Gantt Chart'!AM106=17,'Project types'!$L107*('Prepare Gantt Chart'!$I106*'Prepare Gantt Chart'!$J106),'Prepare Gantt Chart'!AM106=0,0)</f>
        <v>0</v>
      </c>
      <c r="BJ107" s="45">
        <f>_xlfn.IFS('Prepare Gantt Chart'!AN106=18,'Project types'!$L107*('Prepare Gantt Chart'!$I106*'Prepare Gantt Chart'!$J106),'Prepare Gantt Chart'!AN106=17,'Project types'!$L107*('Prepare Gantt Chart'!$I106*'Prepare Gantt Chart'!$J106),'Prepare Gantt Chart'!AN106=0,0)</f>
        <v>0</v>
      </c>
      <c r="BK107" s="45">
        <f>_xlfn.IFS('Prepare Gantt Chart'!AO106=18,'Project types'!$L107*('Prepare Gantt Chart'!$I106*'Prepare Gantt Chart'!$J106),'Prepare Gantt Chart'!AO106=17,'Project types'!$L107*('Prepare Gantt Chart'!$I106*'Prepare Gantt Chart'!$J106),'Prepare Gantt Chart'!AO106=0,0)</f>
        <v>0</v>
      </c>
      <c r="BL107" s="46">
        <f t="shared" si="3"/>
        <v>0</v>
      </c>
      <c r="BM107" s="75">
        <f>IF('Prepare Gantt Chart'!$J106=0,0,SUM(AL107:AQ107)/6/'Prepare Gantt Chart'!$J106)</f>
        <v>0</v>
      </c>
      <c r="BN107" s="75">
        <f>IF('Prepare Gantt Chart'!$J106=0,0,SUM(AR107:AV107)/5/'Prepare Gantt Chart'!$J106)</f>
        <v>0</v>
      </c>
      <c r="BO107" s="75">
        <f>IF('Prepare Gantt Chart'!$J106=0,0,SUM(AW107:BA107)/5/'Prepare Gantt Chart'!$J106)</f>
        <v>0</v>
      </c>
      <c r="BP107" s="75">
        <f>IF('Prepare Gantt Chart'!$J106=0,0,SUM(BB107:BF107)/5/'Prepare Gantt Chart'!$J106)</f>
        <v>0</v>
      </c>
      <c r="BQ107" s="75">
        <f>IF('Prepare Gantt Chart'!$J106=0,0,SUM(BG107:BK107)/5/'Prepare Gantt Chart'!$J106)</f>
        <v>0</v>
      </c>
    </row>
    <row r="108" spans="1:69" x14ac:dyDescent="0.2">
      <c r="A108" s="42" t="s">
        <v>99</v>
      </c>
      <c r="B108" s="1" t="s">
        <v>164</v>
      </c>
      <c r="C108" s="45">
        <f>_xlfn.IFS('Prepare Gantt Chart'!P107=18,'Project types'!$O108*('Prepare Gantt Chart'!$I107*'Prepare Gantt Chart'!$J107),'Prepare Gantt Chart'!P107=17,'Project types'!$Q108*('Prepare Gantt Chart'!$I107*'Prepare Gantt Chart'!$J107),'Prepare Gantt Chart'!P107=0,0)</f>
        <v>0</v>
      </c>
      <c r="D108" s="45">
        <f>_xlfn.IFS('Prepare Gantt Chart'!Q107=18,'Project types'!$O108*('Prepare Gantt Chart'!$I107*'Prepare Gantt Chart'!$J107),'Prepare Gantt Chart'!Q107=17,'Project types'!$Q108*('Prepare Gantt Chart'!$I107*'Prepare Gantt Chart'!$J107),'Prepare Gantt Chart'!Q107=0,0)</f>
        <v>0</v>
      </c>
      <c r="E108" s="45">
        <f>_xlfn.IFS('Prepare Gantt Chart'!R107=18,'Project types'!$O108*('Prepare Gantt Chart'!$I107*'Prepare Gantt Chart'!$J107),'Prepare Gantt Chart'!R107=17,'Project types'!$Q108*('Prepare Gantt Chart'!$I107*'Prepare Gantt Chart'!$J107),'Prepare Gantt Chart'!R107=0,0)</f>
        <v>0</v>
      </c>
      <c r="F108" s="45">
        <f>_xlfn.IFS('Prepare Gantt Chart'!S107=18,'Project types'!$O108*('Prepare Gantt Chart'!$I107*'Prepare Gantt Chart'!$J107),'Prepare Gantt Chart'!S107=17,'Project types'!$Q108*('Prepare Gantt Chart'!$I107*'Prepare Gantt Chart'!$J107),'Prepare Gantt Chart'!S107=0,0)</f>
        <v>0</v>
      </c>
      <c r="G108" s="45">
        <f>_xlfn.IFS('Prepare Gantt Chart'!T107=18,'Project types'!$O108*('Prepare Gantt Chart'!$I107*'Prepare Gantt Chart'!$J107),'Prepare Gantt Chart'!T107=17,'Project types'!$Q108*('Prepare Gantt Chart'!$I107*'Prepare Gantt Chart'!$J107),'Prepare Gantt Chart'!T107=0,0)</f>
        <v>0</v>
      </c>
      <c r="H108" s="45">
        <f>_xlfn.IFS('Prepare Gantt Chart'!U107=18,'Project types'!$O108*('Prepare Gantt Chart'!$I107*'Prepare Gantt Chart'!$J107),'Prepare Gantt Chart'!U107=17,'Project types'!$Q108*('Prepare Gantt Chart'!$I107*'Prepare Gantt Chart'!$J107),'Prepare Gantt Chart'!U107=0,0)</f>
        <v>0</v>
      </c>
      <c r="I108" s="45">
        <f>_xlfn.IFS('Prepare Gantt Chart'!V107=18,'Project types'!$O108*('Prepare Gantt Chart'!$I107*'Prepare Gantt Chart'!$J107),'Prepare Gantt Chart'!V107=17,'Project types'!$Q108*('Prepare Gantt Chart'!$I107*'Prepare Gantt Chart'!$J107),'Prepare Gantt Chart'!V107=0,0)</f>
        <v>0</v>
      </c>
      <c r="J108" s="45">
        <f>_xlfn.IFS('Prepare Gantt Chart'!W107=18,'Project types'!$O108*('Prepare Gantt Chart'!$I107*'Prepare Gantt Chart'!$J107),'Prepare Gantt Chart'!W107=17,'Project types'!$Q108*('Prepare Gantt Chart'!$I107*'Prepare Gantt Chart'!$J107),'Prepare Gantt Chart'!W107=0,0)</f>
        <v>0</v>
      </c>
      <c r="K108" s="45">
        <f>_xlfn.IFS('Prepare Gantt Chart'!X107=18,'Project types'!$O108*('Prepare Gantt Chart'!$I107*'Prepare Gantt Chart'!$J107),'Prepare Gantt Chart'!X107=17,'Project types'!$Q108*('Prepare Gantt Chart'!$I107*'Prepare Gantt Chart'!$J107),'Prepare Gantt Chart'!X107=0,0)</f>
        <v>0</v>
      </c>
      <c r="L108" s="45">
        <f>_xlfn.IFS('Prepare Gantt Chart'!Y107=18,'Project types'!$O108*('Prepare Gantt Chart'!$I107*'Prepare Gantt Chart'!$J107),'Prepare Gantt Chart'!Y107=17,'Project types'!$Q108*('Prepare Gantt Chart'!$I107*'Prepare Gantt Chart'!$J107),'Prepare Gantt Chart'!Y107=0,0)</f>
        <v>0</v>
      </c>
      <c r="M108" s="45">
        <f>_xlfn.IFS('Prepare Gantt Chart'!Z107=18,'Project types'!$O108*('Prepare Gantt Chart'!$I107*'Prepare Gantt Chart'!$J107),'Prepare Gantt Chart'!Z107=17,'Project types'!$Q108*('Prepare Gantt Chart'!$I107*'Prepare Gantt Chart'!$J107),'Prepare Gantt Chart'!Z107=0,0)</f>
        <v>0</v>
      </c>
      <c r="N108" s="45">
        <f>_xlfn.IFS('Prepare Gantt Chart'!AA107=18,'Project types'!$O108*('Prepare Gantt Chart'!$I107*'Prepare Gantt Chart'!$J107),'Prepare Gantt Chart'!AA107=17,'Project types'!$Q108*('Prepare Gantt Chart'!$I107*'Prepare Gantt Chart'!$J107),'Prepare Gantt Chart'!AA107=0,0)</f>
        <v>0</v>
      </c>
      <c r="O108" s="45">
        <f>_xlfn.IFS('Prepare Gantt Chart'!AB107=18,'Project types'!$O108*('Prepare Gantt Chart'!$I107*'Prepare Gantt Chart'!$J107),'Prepare Gantt Chart'!AB107=17,'Project types'!$Q108*('Prepare Gantt Chart'!$I107*'Prepare Gantt Chart'!$J107),'Prepare Gantt Chart'!AB107=0,0)</f>
        <v>0</v>
      </c>
      <c r="P108" s="45">
        <f>_xlfn.IFS('Prepare Gantt Chart'!AC107=18,'Project types'!$O108*('Prepare Gantt Chart'!$I107*'Prepare Gantt Chart'!$J107),'Prepare Gantt Chart'!AC107=17,'Project types'!$Q108*('Prepare Gantt Chart'!$I107*'Prepare Gantt Chart'!$J107),'Prepare Gantt Chart'!AC107=0,0)</f>
        <v>0</v>
      </c>
      <c r="Q108" s="45">
        <f>_xlfn.IFS('Prepare Gantt Chart'!AD107=18,'Project types'!$O108*('Prepare Gantt Chart'!$I107*'Prepare Gantt Chart'!$J107),'Prepare Gantt Chart'!AD107=17,'Project types'!$Q108*('Prepare Gantt Chart'!$I107*'Prepare Gantt Chart'!$J107),'Prepare Gantt Chart'!AD107=0,0)</f>
        <v>0</v>
      </c>
      <c r="R108" s="45">
        <f>_xlfn.IFS('Prepare Gantt Chart'!AE107=18,'Project types'!$O108*('Prepare Gantt Chart'!$I107*'Prepare Gantt Chart'!$J107),'Prepare Gantt Chart'!AE107=17,'Project types'!$Q108*('Prepare Gantt Chart'!$I107*'Prepare Gantt Chart'!$J107),'Prepare Gantt Chart'!AE107=0,0)</f>
        <v>0</v>
      </c>
      <c r="S108" s="45">
        <f>_xlfn.IFS('Prepare Gantt Chart'!AF107=18,'Project types'!$O108*('Prepare Gantt Chart'!$I107*'Prepare Gantt Chart'!$J107),'Prepare Gantt Chart'!AF107=17,'Project types'!$Q108*('Prepare Gantt Chart'!$I107*'Prepare Gantt Chart'!$J107),'Prepare Gantt Chart'!AF107=0,0)</f>
        <v>0</v>
      </c>
      <c r="T108" s="45">
        <f>_xlfn.IFS('Prepare Gantt Chart'!AG107=18,'Project types'!$O108*('Prepare Gantt Chart'!$I107*'Prepare Gantt Chart'!$J107),'Prepare Gantt Chart'!AG107=17,'Project types'!$Q108*('Prepare Gantt Chart'!$I107*'Prepare Gantt Chart'!$J107),'Prepare Gantt Chart'!AG107=0,0)</f>
        <v>0</v>
      </c>
      <c r="U108" s="45">
        <f>_xlfn.IFS('Prepare Gantt Chart'!AH107=18,'Project types'!$O108*('Prepare Gantt Chart'!$I107*'Prepare Gantt Chart'!$J107),'Prepare Gantt Chart'!AH107=17,'Project types'!$Q108*('Prepare Gantt Chart'!$I107*'Prepare Gantt Chart'!$J107),'Prepare Gantt Chart'!AH107=0,0)</f>
        <v>0</v>
      </c>
      <c r="V108" s="45">
        <f>_xlfn.IFS('Prepare Gantt Chart'!AI107=18,'Project types'!$O108*('Prepare Gantt Chart'!$I107*'Prepare Gantt Chart'!$J107),'Prepare Gantt Chart'!AI107=17,'Project types'!$Q108*('Prepare Gantt Chart'!$I107*'Prepare Gantt Chart'!$J107),'Prepare Gantt Chart'!AI107=0,0)</f>
        <v>0</v>
      </c>
      <c r="W108" s="45">
        <f>_xlfn.IFS('Prepare Gantt Chart'!AJ107=18,'Project types'!$O108*('Prepare Gantt Chart'!$I107*'Prepare Gantt Chart'!$J107),'Prepare Gantt Chart'!AJ107=17,'Project types'!$Q108*('Prepare Gantt Chart'!$I107*'Prepare Gantt Chart'!$J107),'Prepare Gantt Chart'!AJ107=0,0)</f>
        <v>0</v>
      </c>
      <c r="X108" s="45">
        <f>_xlfn.IFS('Prepare Gantt Chart'!AK107=18,'Project types'!$O108*('Prepare Gantt Chart'!$I107*'Prepare Gantt Chart'!$J107),'Prepare Gantt Chart'!AK107=17,'Project types'!$Q108*('Prepare Gantt Chart'!$I107*'Prepare Gantt Chart'!$J107),'Prepare Gantt Chart'!AK107=0,0)</f>
        <v>0</v>
      </c>
      <c r="Y108" s="45">
        <f>_xlfn.IFS('Prepare Gantt Chart'!AL107=18,'Project types'!$O108*('Prepare Gantt Chart'!$I107*'Prepare Gantt Chart'!$J107),'Prepare Gantt Chart'!AL107=17,'Project types'!$Q108*('Prepare Gantt Chart'!$I107*'Prepare Gantt Chart'!$J107),'Prepare Gantt Chart'!AL107=0,0)</f>
        <v>0</v>
      </c>
      <c r="Z108" s="45">
        <f>_xlfn.IFS('Prepare Gantt Chart'!AM107=18,'Project types'!$O108*('Prepare Gantt Chart'!$I107*'Prepare Gantt Chart'!$J107),'Prepare Gantt Chart'!AM107=17,'Project types'!$Q108*('Prepare Gantt Chart'!$I107*'Prepare Gantt Chart'!$J107),'Prepare Gantt Chart'!AM107=0,0)</f>
        <v>0</v>
      </c>
      <c r="AA108" s="45">
        <f>_xlfn.IFS('Prepare Gantt Chart'!AN107=18,'Project types'!$O108*('Prepare Gantt Chart'!$I107*'Prepare Gantt Chart'!$J107),'Prepare Gantt Chart'!AN107=17,'Project types'!$Q108*('Prepare Gantt Chart'!$I107*'Prepare Gantt Chart'!$J107),'Prepare Gantt Chart'!AN107=0,0)</f>
        <v>0</v>
      </c>
      <c r="AB108" s="45">
        <f>_xlfn.IFS('Prepare Gantt Chart'!AO107=18,'Project types'!$O108*('Prepare Gantt Chart'!$I107*'Prepare Gantt Chart'!$J107),'Prepare Gantt Chart'!AO107=17,'Project types'!$Q108*('Prepare Gantt Chart'!$I107*'Prepare Gantt Chart'!$J107),'Prepare Gantt Chart'!AO107=0,0)</f>
        <v>0</v>
      </c>
      <c r="AC108" s="45">
        <f>'Prepare Gantt Chart'!J107*'Prepare Gantt Chart'!I107*(AD108/26)</f>
        <v>0</v>
      </c>
      <c r="AD108" s="46">
        <f t="shared" si="2"/>
        <v>0</v>
      </c>
      <c r="AE108" s="72">
        <f>IF('Prepare Gantt Chart'!$J107=0,0,SUM(C108:H108)/6/'Prepare Gantt Chart'!$J107)</f>
        <v>0</v>
      </c>
      <c r="AF108" s="72">
        <f>IF('Prepare Gantt Chart'!$J107=0,0,SUM(I108:M108)/5/'Prepare Gantt Chart'!$J107)</f>
        <v>0</v>
      </c>
      <c r="AG108" s="72">
        <f>IF('Prepare Gantt Chart'!$J107=0,0,SUM(N108:R108)/5/'Prepare Gantt Chart'!$J107)</f>
        <v>0</v>
      </c>
      <c r="AH108" s="72">
        <f>IF('Prepare Gantt Chart'!$J107=0,0,SUM(S108:W108)/5/'Prepare Gantt Chart'!$J107)</f>
        <v>0</v>
      </c>
      <c r="AI108" s="72">
        <f>IF('Prepare Gantt Chart'!$J107=0,0,SUM(X108:AB108)/5/'Prepare Gantt Chart'!$J107)</f>
        <v>0</v>
      </c>
      <c r="AK108" s="42" t="s">
        <v>99</v>
      </c>
      <c r="AL108" s="45">
        <f>_xlfn.IFS('Prepare Gantt Chart'!P107=18,'Project types'!$L108*('Prepare Gantt Chart'!$I107*'Prepare Gantt Chart'!$J107),'Prepare Gantt Chart'!P107=17,'Project types'!$L108*('Prepare Gantt Chart'!$I107*'Prepare Gantt Chart'!$J107),'Prepare Gantt Chart'!P107=0,0)</f>
        <v>0</v>
      </c>
      <c r="AM108" s="45">
        <f>_xlfn.IFS('Prepare Gantt Chart'!Q107=18,'Project types'!$L108*('Prepare Gantt Chart'!$I107*'Prepare Gantt Chart'!$J107),'Prepare Gantt Chart'!Q107=17,'Project types'!$L108*('Prepare Gantt Chart'!$I107*'Prepare Gantt Chart'!$J107),'Prepare Gantt Chart'!Q107=0,0)</f>
        <v>0</v>
      </c>
      <c r="AN108" s="45">
        <f>_xlfn.IFS('Prepare Gantt Chart'!R107=18,'Project types'!$L108*('Prepare Gantt Chart'!$I107*'Prepare Gantt Chart'!$J107),'Prepare Gantt Chart'!R107=17,'Project types'!$L108*('Prepare Gantt Chart'!$I107*'Prepare Gantt Chart'!$J107),'Prepare Gantt Chart'!R107=0,0)</f>
        <v>0</v>
      </c>
      <c r="AO108" s="45">
        <f>_xlfn.IFS('Prepare Gantt Chart'!S107=18,'Project types'!$L108*('Prepare Gantt Chart'!$I107*'Prepare Gantt Chart'!$J107),'Prepare Gantt Chart'!S107=17,'Project types'!$L108*('Prepare Gantt Chart'!$I107*'Prepare Gantt Chart'!$J107),'Prepare Gantt Chart'!S107=0,0)</f>
        <v>0</v>
      </c>
      <c r="AP108" s="45">
        <f>_xlfn.IFS('Prepare Gantt Chart'!T107=18,'Project types'!$L108*('Prepare Gantt Chart'!$I107*'Prepare Gantt Chart'!$J107),'Prepare Gantt Chart'!T107=17,'Project types'!$L108*('Prepare Gantt Chart'!$I107*'Prepare Gantt Chart'!$J107),'Prepare Gantt Chart'!T107=0,0)</f>
        <v>0</v>
      </c>
      <c r="AQ108" s="45">
        <f>_xlfn.IFS('Prepare Gantt Chart'!U107=18,'Project types'!$L108*('Prepare Gantt Chart'!$I107*'Prepare Gantt Chart'!$J107),'Prepare Gantt Chart'!U107=17,'Project types'!$L108*('Prepare Gantt Chart'!$I107*'Prepare Gantt Chart'!$J107),'Prepare Gantt Chart'!U107=0,0)</f>
        <v>0</v>
      </c>
      <c r="AR108" s="45">
        <f>_xlfn.IFS('Prepare Gantt Chart'!V107=18,'Project types'!$L108*('Prepare Gantt Chart'!$I107*'Prepare Gantt Chart'!$J107),'Prepare Gantt Chart'!V107=17,'Project types'!$L108*('Prepare Gantt Chart'!$I107*'Prepare Gantt Chart'!$J107),'Prepare Gantt Chart'!V107=0,0)</f>
        <v>0</v>
      </c>
      <c r="AS108" s="45">
        <f>_xlfn.IFS('Prepare Gantt Chart'!W107=18,'Project types'!$L108*('Prepare Gantt Chart'!$I107*'Prepare Gantt Chart'!$J107),'Prepare Gantt Chart'!W107=17,'Project types'!$L108*('Prepare Gantt Chart'!$I107*'Prepare Gantt Chart'!$J107),'Prepare Gantt Chart'!W107=0,0)</f>
        <v>0</v>
      </c>
      <c r="AT108" s="45">
        <f>_xlfn.IFS('Prepare Gantt Chart'!X107=18,'Project types'!$L108*('Prepare Gantt Chart'!$I107*'Prepare Gantt Chart'!$J107),'Prepare Gantt Chart'!X107=17,'Project types'!$L108*('Prepare Gantt Chart'!$I107*'Prepare Gantt Chart'!$J107),'Prepare Gantt Chart'!X107=0,0)</f>
        <v>0</v>
      </c>
      <c r="AU108" s="45">
        <f>_xlfn.IFS('Prepare Gantt Chart'!Y107=18,'Project types'!$L108*('Prepare Gantt Chart'!$I107*'Prepare Gantt Chart'!$J107),'Prepare Gantt Chart'!Y107=17,'Project types'!$L108*('Prepare Gantt Chart'!$I107*'Prepare Gantt Chart'!$J107),'Prepare Gantt Chart'!Y107=0,0)</f>
        <v>0</v>
      </c>
      <c r="AV108" s="45">
        <f>_xlfn.IFS('Prepare Gantt Chart'!Z107=18,'Project types'!$L108*('Prepare Gantt Chart'!$I107*'Prepare Gantt Chart'!$J107),'Prepare Gantt Chart'!Z107=17,'Project types'!$L108*('Prepare Gantt Chart'!$I107*'Prepare Gantt Chart'!$J107),'Prepare Gantt Chart'!Z107=0,0)</f>
        <v>0</v>
      </c>
      <c r="AW108" s="45">
        <f>_xlfn.IFS('Prepare Gantt Chart'!AA107=18,'Project types'!$L108*('Prepare Gantt Chart'!$I107*'Prepare Gantt Chart'!$J107),'Prepare Gantt Chart'!AA107=17,'Project types'!$L108*('Prepare Gantt Chart'!$I107*'Prepare Gantt Chart'!$J107),'Prepare Gantt Chart'!AA107=0,0)</f>
        <v>0</v>
      </c>
      <c r="AX108" s="45">
        <f>_xlfn.IFS('Prepare Gantt Chart'!AB107=18,'Project types'!$L108*('Prepare Gantt Chart'!$I107*'Prepare Gantt Chart'!$J107),'Prepare Gantt Chart'!AB107=17,'Project types'!$L108*('Prepare Gantt Chart'!$I107*'Prepare Gantt Chart'!$J107),'Prepare Gantt Chart'!AB107=0,0)</f>
        <v>0</v>
      </c>
      <c r="AY108" s="45">
        <f>_xlfn.IFS('Prepare Gantt Chart'!AC107=18,'Project types'!$L108*('Prepare Gantt Chart'!$I107*'Prepare Gantt Chart'!$J107),'Prepare Gantt Chart'!AC107=17,'Project types'!$L108*('Prepare Gantt Chart'!$I107*'Prepare Gantt Chart'!$J107),'Prepare Gantt Chart'!AC107=0,0)</f>
        <v>0</v>
      </c>
      <c r="AZ108" s="45">
        <f>_xlfn.IFS('Prepare Gantt Chart'!AD107=18,'Project types'!$L108*('Prepare Gantt Chart'!$I107*'Prepare Gantt Chart'!$J107),'Prepare Gantt Chart'!AD107=17,'Project types'!$L108*('Prepare Gantt Chart'!$I107*'Prepare Gantt Chart'!$J107),'Prepare Gantt Chart'!AD107=0,0)</f>
        <v>0</v>
      </c>
      <c r="BA108" s="45">
        <f>_xlfn.IFS('Prepare Gantt Chart'!AE107=18,'Project types'!$L108*('Prepare Gantt Chart'!$I107*'Prepare Gantt Chart'!$J107),'Prepare Gantt Chart'!AE107=17,'Project types'!$L108*('Prepare Gantt Chart'!$I107*'Prepare Gantt Chart'!$J107),'Prepare Gantt Chart'!AE107=0,0)</f>
        <v>0</v>
      </c>
      <c r="BB108" s="45">
        <f>_xlfn.IFS('Prepare Gantt Chart'!AF107=18,'Project types'!$L108*('Prepare Gantt Chart'!$I107*'Prepare Gantt Chart'!$J107),'Prepare Gantt Chart'!AF107=17,'Project types'!$L108*('Prepare Gantt Chart'!$I107*'Prepare Gantt Chart'!$J107),'Prepare Gantt Chart'!AF107=0,0)</f>
        <v>0</v>
      </c>
      <c r="BC108" s="45">
        <f>_xlfn.IFS('Prepare Gantt Chart'!AG107=18,'Project types'!$L108*('Prepare Gantt Chart'!$I107*'Prepare Gantt Chart'!$J107),'Prepare Gantt Chart'!AG107=17,'Project types'!$L108*('Prepare Gantt Chart'!$I107*'Prepare Gantt Chart'!$J107),'Prepare Gantt Chart'!AG107=0,0)</f>
        <v>0</v>
      </c>
      <c r="BD108" s="45">
        <f>_xlfn.IFS('Prepare Gantt Chart'!AH107=18,'Project types'!$L108*('Prepare Gantt Chart'!$I107*'Prepare Gantt Chart'!$J107),'Prepare Gantt Chart'!AH107=17,'Project types'!$L108*('Prepare Gantt Chart'!$I107*'Prepare Gantt Chart'!$J107),'Prepare Gantt Chart'!AH107=0,0)</f>
        <v>0</v>
      </c>
      <c r="BE108" s="45">
        <f>_xlfn.IFS('Prepare Gantt Chart'!AI107=18,'Project types'!$L108*('Prepare Gantt Chart'!$I107*'Prepare Gantt Chart'!$J107),'Prepare Gantt Chart'!AI107=17,'Project types'!$L108*('Prepare Gantt Chart'!$I107*'Prepare Gantt Chart'!$J107),'Prepare Gantt Chart'!AI107=0,0)</f>
        <v>0</v>
      </c>
      <c r="BF108" s="45">
        <f>_xlfn.IFS('Prepare Gantt Chart'!AJ107=18,'Project types'!$L108*('Prepare Gantt Chart'!$I107*'Prepare Gantt Chart'!$J107),'Prepare Gantt Chart'!AJ107=17,'Project types'!$L108*('Prepare Gantt Chart'!$I107*'Prepare Gantt Chart'!$J107),'Prepare Gantt Chart'!AJ107=0,0)</f>
        <v>0</v>
      </c>
      <c r="BG108" s="45">
        <f>_xlfn.IFS('Prepare Gantt Chart'!AK107=18,'Project types'!$L108*('Prepare Gantt Chart'!$I107*'Prepare Gantt Chart'!$J107),'Prepare Gantt Chart'!AK107=17,'Project types'!$L108*('Prepare Gantt Chart'!$I107*'Prepare Gantt Chart'!$J107),'Prepare Gantt Chart'!AK107=0,0)</f>
        <v>0</v>
      </c>
      <c r="BH108" s="45">
        <f>_xlfn.IFS('Prepare Gantt Chart'!AL107=18,'Project types'!$L108*('Prepare Gantt Chart'!$I107*'Prepare Gantt Chart'!$J107),'Prepare Gantt Chart'!AL107=17,'Project types'!$L108*('Prepare Gantt Chart'!$I107*'Prepare Gantt Chart'!$J107),'Prepare Gantt Chart'!AL107=0,0)</f>
        <v>0</v>
      </c>
      <c r="BI108" s="45">
        <f>_xlfn.IFS('Prepare Gantt Chart'!AM107=18,'Project types'!$L108*('Prepare Gantt Chart'!$I107*'Prepare Gantt Chart'!$J107),'Prepare Gantt Chart'!AM107=17,'Project types'!$L108*('Prepare Gantt Chart'!$I107*'Prepare Gantt Chart'!$J107),'Prepare Gantt Chart'!AM107=0,0)</f>
        <v>0</v>
      </c>
      <c r="BJ108" s="45">
        <f>_xlfn.IFS('Prepare Gantt Chart'!AN107=18,'Project types'!$L108*('Prepare Gantt Chart'!$I107*'Prepare Gantt Chart'!$J107),'Prepare Gantt Chart'!AN107=17,'Project types'!$L108*('Prepare Gantt Chart'!$I107*'Prepare Gantt Chart'!$J107),'Prepare Gantt Chart'!AN107=0,0)</f>
        <v>0</v>
      </c>
      <c r="BK108" s="45">
        <f>_xlfn.IFS('Prepare Gantt Chart'!AO107=18,'Project types'!$L108*('Prepare Gantt Chart'!$I107*'Prepare Gantt Chart'!$J107),'Prepare Gantt Chart'!AO107=17,'Project types'!$L108*('Prepare Gantt Chart'!$I107*'Prepare Gantt Chart'!$J107),'Prepare Gantt Chart'!AO107=0,0)</f>
        <v>0</v>
      </c>
      <c r="BL108" s="46">
        <f t="shared" si="3"/>
        <v>0</v>
      </c>
      <c r="BM108" s="75">
        <f>IF('Prepare Gantt Chart'!$J107=0,0,SUM(AL108:AQ108)/6/'Prepare Gantt Chart'!$J107)</f>
        <v>0</v>
      </c>
      <c r="BN108" s="75">
        <f>IF('Prepare Gantt Chart'!$J107=0,0,SUM(AR108:AV108)/5/'Prepare Gantt Chart'!$J107)</f>
        <v>0</v>
      </c>
      <c r="BO108" s="75">
        <f>IF('Prepare Gantt Chart'!$J107=0,0,SUM(AW108:BA108)/5/'Prepare Gantt Chart'!$J107)</f>
        <v>0</v>
      </c>
      <c r="BP108" s="75">
        <f>IF('Prepare Gantt Chart'!$J107=0,0,SUM(BB108:BF108)/5/'Prepare Gantt Chart'!$J107)</f>
        <v>0</v>
      </c>
      <c r="BQ108" s="75">
        <f>IF('Prepare Gantt Chart'!$J107=0,0,SUM(BG108:BK108)/5/'Prepare Gantt Chart'!$J107)</f>
        <v>0</v>
      </c>
    </row>
    <row r="109" spans="1:69" x14ac:dyDescent="0.2">
      <c r="A109" s="42" t="s">
        <v>100</v>
      </c>
      <c r="B109" s="1" t="s">
        <v>165</v>
      </c>
      <c r="C109" s="45">
        <f>_xlfn.IFS('Prepare Gantt Chart'!P108=18,'Project types'!$O109*('Prepare Gantt Chart'!$I108*'Prepare Gantt Chart'!$J108),'Prepare Gantt Chart'!P108=17,'Project types'!$Q109*('Prepare Gantt Chart'!$I108*'Prepare Gantt Chart'!$J108),'Prepare Gantt Chart'!P108=0,0)</f>
        <v>0</v>
      </c>
      <c r="D109" s="45">
        <f>_xlfn.IFS('Prepare Gantt Chart'!Q108=18,'Project types'!$O109*('Prepare Gantt Chart'!$I108*'Prepare Gantt Chart'!$J108),'Prepare Gantt Chart'!Q108=17,'Project types'!$Q109*('Prepare Gantt Chart'!$I108*'Prepare Gantt Chart'!$J108),'Prepare Gantt Chart'!Q108=0,0)</f>
        <v>0</v>
      </c>
      <c r="E109" s="45">
        <f>_xlfn.IFS('Prepare Gantt Chart'!R108=18,'Project types'!$O109*('Prepare Gantt Chart'!$I108*'Prepare Gantt Chart'!$J108),'Prepare Gantt Chart'!R108=17,'Project types'!$Q109*('Prepare Gantt Chart'!$I108*'Prepare Gantt Chart'!$J108),'Prepare Gantt Chart'!R108=0,0)</f>
        <v>0</v>
      </c>
      <c r="F109" s="45">
        <f>_xlfn.IFS('Prepare Gantt Chart'!S108=18,'Project types'!$O109*('Prepare Gantt Chart'!$I108*'Prepare Gantt Chart'!$J108),'Prepare Gantt Chart'!S108=17,'Project types'!$Q109*('Prepare Gantt Chart'!$I108*'Prepare Gantt Chart'!$J108),'Prepare Gantt Chart'!S108=0,0)</f>
        <v>0</v>
      </c>
      <c r="G109" s="45">
        <f>_xlfn.IFS('Prepare Gantt Chart'!T108=18,'Project types'!$O109*('Prepare Gantt Chart'!$I108*'Prepare Gantt Chart'!$J108),'Prepare Gantt Chart'!T108=17,'Project types'!$Q109*('Prepare Gantt Chart'!$I108*'Prepare Gantt Chart'!$J108),'Prepare Gantt Chart'!T108=0,0)</f>
        <v>0</v>
      </c>
      <c r="H109" s="45">
        <f>_xlfn.IFS('Prepare Gantt Chart'!U108=18,'Project types'!$O109*('Prepare Gantt Chart'!$I108*'Prepare Gantt Chart'!$J108),'Prepare Gantt Chart'!U108=17,'Project types'!$Q109*('Prepare Gantt Chart'!$I108*'Prepare Gantt Chart'!$J108),'Prepare Gantt Chart'!U108=0,0)</f>
        <v>0</v>
      </c>
      <c r="I109" s="45">
        <f>_xlfn.IFS('Prepare Gantt Chart'!V108=18,'Project types'!$O109*('Prepare Gantt Chart'!$I108*'Prepare Gantt Chart'!$J108),'Prepare Gantt Chart'!V108=17,'Project types'!$Q109*('Prepare Gantt Chart'!$I108*'Prepare Gantt Chart'!$J108),'Prepare Gantt Chart'!V108=0,0)</f>
        <v>0</v>
      </c>
      <c r="J109" s="45">
        <f>_xlfn.IFS('Prepare Gantt Chart'!W108=18,'Project types'!$O109*('Prepare Gantt Chart'!$I108*'Prepare Gantt Chart'!$J108),'Prepare Gantt Chart'!W108=17,'Project types'!$Q109*('Prepare Gantt Chart'!$I108*'Prepare Gantt Chart'!$J108),'Prepare Gantt Chart'!W108=0,0)</f>
        <v>0</v>
      </c>
      <c r="K109" s="45">
        <f>_xlfn.IFS('Prepare Gantt Chart'!X108=18,'Project types'!$O109*('Prepare Gantt Chart'!$I108*'Prepare Gantt Chart'!$J108),'Prepare Gantt Chart'!X108=17,'Project types'!$Q109*('Prepare Gantt Chart'!$I108*'Prepare Gantt Chart'!$J108),'Prepare Gantt Chart'!X108=0,0)</f>
        <v>0</v>
      </c>
      <c r="L109" s="45">
        <f>_xlfn.IFS('Prepare Gantt Chart'!Y108=18,'Project types'!$O109*('Prepare Gantt Chart'!$I108*'Prepare Gantt Chart'!$J108),'Prepare Gantt Chart'!Y108=17,'Project types'!$Q109*('Prepare Gantt Chart'!$I108*'Prepare Gantt Chart'!$J108),'Prepare Gantt Chart'!Y108=0,0)</f>
        <v>0</v>
      </c>
      <c r="M109" s="45">
        <f>_xlfn.IFS('Prepare Gantt Chart'!Z108=18,'Project types'!$O109*('Prepare Gantt Chart'!$I108*'Prepare Gantt Chart'!$J108),'Prepare Gantt Chart'!Z108=17,'Project types'!$Q109*('Prepare Gantt Chart'!$I108*'Prepare Gantt Chart'!$J108),'Prepare Gantt Chart'!Z108=0,0)</f>
        <v>0</v>
      </c>
      <c r="N109" s="45">
        <f>_xlfn.IFS('Prepare Gantt Chart'!AA108=18,'Project types'!$O109*('Prepare Gantt Chart'!$I108*'Prepare Gantt Chart'!$J108),'Prepare Gantt Chart'!AA108=17,'Project types'!$Q109*('Prepare Gantt Chart'!$I108*'Prepare Gantt Chart'!$J108),'Prepare Gantt Chart'!AA108=0,0)</f>
        <v>0</v>
      </c>
      <c r="O109" s="45">
        <f>_xlfn.IFS('Prepare Gantt Chart'!AB108=18,'Project types'!$O109*('Prepare Gantt Chart'!$I108*'Prepare Gantt Chart'!$J108),'Prepare Gantt Chart'!AB108=17,'Project types'!$Q109*('Prepare Gantt Chart'!$I108*'Prepare Gantt Chart'!$J108),'Prepare Gantt Chart'!AB108=0,0)</f>
        <v>0</v>
      </c>
      <c r="P109" s="45">
        <f>_xlfn.IFS('Prepare Gantt Chart'!AC108=18,'Project types'!$O109*('Prepare Gantt Chart'!$I108*'Prepare Gantt Chart'!$J108),'Prepare Gantt Chart'!AC108=17,'Project types'!$Q109*('Prepare Gantt Chart'!$I108*'Prepare Gantt Chart'!$J108),'Prepare Gantt Chart'!AC108=0,0)</f>
        <v>0</v>
      </c>
      <c r="Q109" s="45">
        <f>_xlfn.IFS('Prepare Gantt Chart'!AD108=18,'Project types'!$O109*('Prepare Gantt Chart'!$I108*'Prepare Gantt Chart'!$J108),'Prepare Gantt Chart'!AD108=17,'Project types'!$Q109*('Prepare Gantt Chart'!$I108*'Prepare Gantt Chart'!$J108),'Prepare Gantt Chart'!AD108=0,0)</f>
        <v>0</v>
      </c>
      <c r="R109" s="45">
        <f>_xlfn.IFS('Prepare Gantt Chart'!AE108=18,'Project types'!$O109*('Prepare Gantt Chart'!$I108*'Prepare Gantt Chart'!$J108),'Prepare Gantt Chart'!AE108=17,'Project types'!$Q109*('Prepare Gantt Chart'!$I108*'Prepare Gantt Chart'!$J108),'Prepare Gantt Chart'!AE108=0,0)</f>
        <v>0</v>
      </c>
      <c r="S109" s="45">
        <f>_xlfn.IFS('Prepare Gantt Chart'!AF108=18,'Project types'!$O109*('Prepare Gantt Chart'!$I108*'Prepare Gantt Chart'!$J108),'Prepare Gantt Chart'!AF108=17,'Project types'!$Q109*('Prepare Gantt Chart'!$I108*'Prepare Gantt Chart'!$J108),'Prepare Gantt Chart'!AF108=0,0)</f>
        <v>0</v>
      </c>
      <c r="T109" s="45">
        <f>_xlfn.IFS('Prepare Gantt Chart'!AG108=18,'Project types'!$O109*('Prepare Gantt Chart'!$I108*'Prepare Gantt Chart'!$J108),'Prepare Gantt Chart'!AG108=17,'Project types'!$Q109*('Prepare Gantt Chart'!$I108*'Prepare Gantt Chart'!$J108),'Prepare Gantt Chart'!AG108=0,0)</f>
        <v>0</v>
      </c>
      <c r="U109" s="45">
        <f>_xlfn.IFS('Prepare Gantt Chart'!AH108=18,'Project types'!$O109*('Prepare Gantt Chart'!$I108*'Prepare Gantt Chart'!$J108),'Prepare Gantt Chart'!AH108=17,'Project types'!$Q109*('Prepare Gantt Chart'!$I108*'Prepare Gantt Chart'!$J108),'Prepare Gantt Chart'!AH108=0,0)</f>
        <v>0</v>
      </c>
      <c r="V109" s="45">
        <f>_xlfn.IFS('Prepare Gantt Chart'!AI108=18,'Project types'!$O109*('Prepare Gantt Chart'!$I108*'Prepare Gantt Chart'!$J108),'Prepare Gantt Chart'!AI108=17,'Project types'!$Q109*('Prepare Gantt Chart'!$I108*'Prepare Gantt Chart'!$J108),'Prepare Gantt Chart'!AI108=0,0)</f>
        <v>0</v>
      </c>
      <c r="W109" s="45">
        <f>_xlfn.IFS('Prepare Gantt Chart'!AJ108=18,'Project types'!$O109*('Prepare Gantt Chart'!$I108*'Prepare Gantt Chart'!$J108),'Prepare Gantt Chart'!AJ108=17,'Project types'!$Q109*('Prepare Gantt Chart'!$I108*'Prepare Gantt Chart'!$J108),'Prepare Gantt Chart'!AJ108=0,0)</f>
        <v>0</v>
      </c>
      <c r="X109" s="45">
        <f>_xlfn.IFS('Prepare Gantt Chart'!AK108=18,'Project types'!$O109*('Prepare Gantt Chart'!$I108*'Prepare Gantt Chart'!$J108),'Prepare Gantt Chart'!AK108=17,'Project types'!$Q109*('Prepare Gantt Chart'!$I108*'Prepare Gantt Chart'!$J108),'Prepare Gantt Chart'!AK108=0,0)</f>
        <v>0</v>
      </c>
      <c r="Y109" s="45">
        <f>_xlfn.IFS('Prepare Gantt Chart'!AL108=18,'Project types'!$O109*('Prepare Gantt Chart'!$I108*'Prepare Gantt Chart'!$J108),'Prepare Gantt Chart'!AL108=17,'Project types'!$Q109*('Prepare Gantt Chart'!$I108*'Prepare Gantt Chart'!$J108),'Prepare Gantt Chart'!AL108=0,0)</f>
        <v>0</v>
      </c>
      <c r="Z109" s="45">
        <f>_xlfn.IFS('Prepare Gantt Chart'!AM108=18,'Project types'!$O109*('Prepare Gantt Chart'!$I108*'Prepare Gantt Chart'!$J108),'Prepare Gantt Chart'!AM108=17,'Project types'!$Q109*('Prepare Gantt Chart'!$I108*'Prepare Gantt Chart'!$J108),'Prepare Gantt Chart'!AM108=0,0)</f>
        <v>0</v>
      </c>
      <c r="AA109" s="45">
        <f>_xlfn.IFS('Prepare Gantt Chart'!AN108=18,'Project types'!$O109*('Prepare Gantt Chart'!$I108*'Prepare Gantt Chart'!$J108),'Prepare Gantt Chart'!AN108=17,'Project types'!$Q109*('Prepare Gantt Chart'!$I108*'Prepare Gantt Chart'!$J108),'Prepare Gantt Chart'!AN108=0,0)</f>
        <v>0</v>
      </c>
      <c r="AB109" s="45">
        <f>_xlfn.IFS('Prepare Gantt Chart'!AO108=18,'Project types'!$O109*('Prepare Gantt Chart'!$I108*'Prepare Gantt Chart'!$J108),'Prepare Gantt Chart'!AO108=17,'Project types'!$Q109*('Prepare Gantt Chart'!$I108*'Prepare Gantt Chart'!$J108),'Prepare Gantt Chart'!AO108=0,0)</f>
        <v>0</v>
      </c>
      <c r="AC109" s="45">
        <f>'Prepare Gantt Chart'!J108*'Prepare Gantt Chart'!I108*(AD109/26)</f>
        <v>0</v>
      </c>
      <c r="AD109" s="46">
        <f t="shared" si="2"/>
        <v>0</v>
      </c>
      <c r="AE109" s="72">
        <f>IF('Prepare Gantt Chart'!$J108=0,0,SUM(C109:H109)/6/'Prepare Gantt Chart'!$J108)</f>
        <v>0</v>
      </c>
      <c r="AF109" s="72">
        <f>IF('Prepare Gantt Chart'!$J108=0,0,SUM(I109:M109)/5/'Prepare Gantt Chart'!$J108)</f>
        <v>0</v>
      </c>
      <c r="AG109" s="72">
        <f>IF('Prepare Gantt Chart'!$J108=0,0,SUM(N109:R109)/5/'Prepare Gantt Chart'!$J108)</f>
        <v>0</v>
      </c>
      <c r="AH109" s="72">
        <f>IF('Prepare Gantt Chart'!$J108=0,0,SUM(S109:W109)/5/'Prepare Gantt Chart'!$J108)</f>
        <v>0</v>
      </c>
      <c r="AI109" s="72">
        <f>IF('Prepare Gantt Chart'!$J108=0,0,SUM(X109:AB109)/5/'Prepare Gantt Chart'!$J108)</f>
        <v>0</v>
      </c>
      <c r="AK109" s="42" t="s">
        <v>100</v>
      </c>
      <c r="AL109" s="45">
        <f>_xlfn.IFS('Prepare Gantt Chart'!P108=18,'Project types'!$L109*('Prepare Gantt Chart'!$I108*'Prepare Gantt Chart'!$J108),'Prepare Gantt Chart'!P108=17,'Project types'!$L109*('Prepare Gantt Chart'!$I108*'Prepare Gantt Chart'!$J108),'Prepare Gantt Chart'!P108=0,0)</f>
        <v>0</v>
      </c>
      <c r="AM109" s="45">
        <f>_xlfn.IFS('Prepare Gantt Chart'!Q108=18,'Project types'!$L109*('Prepare Gantt Chart'!$I108*'Prepare Gantt Chart'!$J108),'Prepare Gantt Chart'!Q108=17,'Project types'!$L109*('Prepare Gantt Chart'!$I108*'Prepare Gantt Chart'!$J108),'Prepare Gantt Chart'!Q108=0,0)</f>
        <v>0</v>
      </c>
      <c r="AN109" s="45">
        <f>_xlfn.IFS('Prepare Gantt Chart'!R108=18,'Project types'!$L109*('Prepare Gantt Chart'!$I108*'Prepare Gantt Chart'!$J108),'Prepare Gantt Chart'!R108=17,'Project types'!$L109*('Prepare Gantt Chart'!$I108*'Prepare Gantt Chart'!$J108),'Prepare Gantt Chart'!R108=0,0)</f>
        <v>0</v>
      </c>
      <c r="AO109" s="45">
        <f>_xlfn.IFS('Prepare Gantt Chart'!S108=18,'Project types'!$L109*('Prepare Gantt Chart'!$I108*'Prepare Gantt Chart'!$J108),'Prepare Gantt Chart'!S108=17,'Project types'!$L109*('Prepare Gantt Chart'!$I108*'Prepare Gantt Chart'!$J108),'Prepare Gantt Chart'!S108=0,0)</f>
        <v>0</v>
      </c>
      <c r="AP109" s="45">
        <f>_xlfn.IFS('Prepare Gantt Chart'!T108=18,'Project types'!$L109*('Prepare Gantt Chart'!$I108*'Prepare Gantt Chart'!$J108),'Prepare Gantt Chart'!T108=17,'Project types'!$L109*('Prepare Gantt Chart'!$I108*'Prepare Gantt Chart'!$J108),'Prepare Gantt Chart'!T108=0,0)</f>
        <v>0</v>
      </c>
      <c r="AQ109" s="45">
        <f>_xlfn.IFS('Prepare Gantt Chart'!U108=18,'Project types'!$L109*('Prepare Gantt Chart'!$I108*'Prepare Gantt Chart'!$J108),'Prepare Gantt Chart'!U108=17,'Project types'!$L109*('Prepare Gantt Chart'!$I108*'Prepare Gantt Chart'!$J108),'Prepare Gantt Chart'!U108=0,0)</f>
        <v>0</v>
      </c>
      <c r="AR109" s="45">
        <f>_xlfn.IFS('Prepare Gantt Chart'!V108=18,'Project types'!$L109*('Prepare Gantt Chart'!$I108*'Prepare Gantt Chart'!$J108),'Prepare Gantt Chart'!V108=17,'Project types'!$L109*('Prepare Gantt Chart'!$I108*'Prepare Gantt Chart'!$J108),'Prepare Gantt Chart'!V108=0,0)</f>
        <v>0</v>
      </c>
      <c r="AS109" s="45">
        <f>_xlfn.IFS('Prepare Gantt Chart'!W108=18,'Project types'!$L109*('Prepare Gantt Chart'!$I108*'Prepare Gantt Chart'!$J108),'Prepare Gantt Chart'!W108=17,'Project types'!$L109*('Prepare Gantt Chart'!$I108*'Prepare Gantt Chart'!$J108),'Prepare Gantt Chart'!W108=0,0)</f>
        <v>0</v>
      </c>
      <c r="AT109" s="45">
        <f>_xlfn.IFS('Prepare Gantt Chart'!X108=18,'Project types'!$L109*('Prepare Gantt Chart'!$I108*'Prepare Gantt Chart'!$J108),'Prepare Gantt Chart'!X108=17,'Project types'!$L109*('Prepare Gantt Chart'!$I108*'Prepare Gantt Chart'!$J108),'Prepare Gantt Chart'!X108=0,0)</f>
        <v>0</v>
      </c>
      <c r="AU109" s="45">
        <f>_xlfn.IFS('Prepare Gantt Chart'!Y108=18,'Project types'!$L109*('Prepare Gantt Chart'!$I108*'Prepare Gantt Chart'!$J108),'Prepare Gantt Chart'!Y108=17,'Project types'!$L109*('Prepare Gantt Chart'!$I108*'Prepare Gantt Chart'!$J108),'Prepare Gantt Chart'!Y108=0,0)</f>
        <v>0</v>
      </c>
      <c r="AV109" s="45">
        <f>_xlfn.IFS('Prepare Gantt Chart'!Z108=18,'Project types'!$L109*('Prepare Gantt Chart'!$I108*'Prepare Gantt Chart'!$J108),'Prepare Gantt Chart'!Z108=17,'Project types'!$L109*('Prepare Gantt Chart'!$I108*'Prepare Gantt Chart'!$J108),'Prepare Gantt Chart'!Z108=0,0)</f>
        <v>0</v>
      </c>
      <c r="AW109" s="45">
        <f>_xlfn.IFS('Prepare Gantt Chart'!AA108=18,'Project types'!$L109*('Prepare Gantt Chart'!$I108*'Prepare Gantt Chart'!$J108),'Prepare Gantt Chart'!AA108=17,'Project types'!$L109*('Prepare Gantt Chart'!$I108*'Prepare Gantt Chart'!$J108),'Prepare Gantt Chart'!AA108=0,0)</f>
        <v>0</v>
      </c>
      <c r="AX109" s="45">
        <f>_xlfn.IFS('Prepare Gantt Chart'!AB108=18,'Project types'!$L109*('Prepare Gantt Chart'!$I108*'Prepare Gantt Chart'!$J108),'Prepare Gantt Chart'!AB108=17,'Project types'!$L109*('Prepare Gantt Chart'!$I108*'Prepare Gantt Chart'!$J108),'Prepare Gantt Chart'!AB108=0,0)</f>
        <v>0</v>
      </c>
      <c r="AY109" s="45">
        <f>_xlfn.IFS('Prepare Gantt Chart'!AC108=18,'Project types'!$L109*('Prepare Gantt Chart'!$I108*'Prepare Gantt Chart'!$J108),'Prepare Gantt Chart'!AC108=17,'Project types'!$L109*('Prepare Gantt Chart'!$I108*'Prepare Gantt Chart'!$J108),'Prepare Gantt Chart'!AC108=0,0)</f>
        <v>0</v>
      </c>
      <c r="AZ109" s="45">
        <f>_xlfn.IFS('Prepare Gantt Chart'!AD108=18,'Project types'!$L109*('Prepare Gantt Chart'!$I108*'Prepare Gantt Chart'!$J108),'Prepare Gantt Chart'!AD108=17,'Project types'!$L109*('Prepare Gantt Chart'!$I108*'Prepare Gantt Chart'!$J108),'Prepare Gantt Chart'!AD108=0,0)</f>
        <v>0</v>
      </c>
      <c r="BA109" s="45">
        <f>_xlfn.IFS('Prepare Gantt Chart'!AE108=18,'Project types'!$L109*('Prepare Gantt Chart'!$I108*'Prepare Gantt Chart'!$J108),'Prepare Gantt Chart'!AE108=17,'Project types'!$L109*('Prepare Gantt Chart'!$I108*'Prepare Gantt Chart'!$J108),'Prepare Gantt Chart'!AE108=0,0)</f>
        <v>0</v>
      </c>
      <c r="BB109" s="45">
        <f>_xlfn.IFS('Prepare Gantt Chart'!AF108=18,'Project types'!$L109*('Prepare Gantt Chart'!$I108*'Prepare Gantt Chart'!$J108),'Prepare Gantt Chart'!AF108=17,'Project types'!$L109*('Prepare Gantt Chart'!$I108*'Prepare Gantt Chart'!$J108),'Prepare Gantt Chart'!AF108=0,0)</f>
        <v>0</v>
      </c>
      <c r="BC109" s="45">
        <f>_xlfn.IFS('Prepare Gantt Chart'!AG108=18,'Project types'!$L109*('Prepare Gantt Chart'!$I108*'Prepare Gantt Chart'!$J108),'Prepare Gantt Chart'!AG108=17,'Project types'!$L109*('Prepare Gantt Chart'!$I108*'Prepare Gantt Chart'!$J108),'Prepare Gantt Chart'!AG108=0,0)</f>
        <v>0</v>
      </c>
      <c r="BD109" s="45">
        <f>_xlfn.IFS('Prepare Gantt Chart'!AH108=18,'Project types'!$L109*('Prepare Gantt Chart'!$I108*'Prepare Gantt Chart'!$J108),'Prepare Gantt Chart'!AH108=17,'Project types'!$L109*('Prepare Gantt Chart'!$I108*'Prepare Gantt Chart'!$J108),'Prepare Gantt Chart'!AH108=0,0)</f>
        <v>0</v>
      </c>
      <c r="BE109" s="45">
        <f>_xlfn.IFS('Prepare Gantt Chart'!AI108=18,'Project types'!$L109*('Prepare Gantt Chart'!$I108*'Prepare Gantt Chart'!$J108),'Prepare Gantt Chart'!AI108=17,'Project types'!$L109*('Prepare Gantt Chart'!$I108*'Prepare Gantt Chart'!$J108),'Prepare Gantt Chart'!AI108=0,0)</f>
        <v>0</v>
      </c>
      <c r="BF109" s="45">
        <f>_xlfn.IFS('Prepare Gantt Chart'!AJ108=18,'Project types'!$L109*('Prepare Gantt Chart'!$I108*'Prepare Gantt Chart'!$J108),'Prepare Gantt Chart'!AJ108=17,'Project types'!$L109*('Prepare Gantt Chart'!$I108*'Prepare Gantt Chart'!$J108),'Prepare Gantt Chart'!AJ108=0,0)</f>
        <v>0</v>
      </c>
      <c r="BG109" s="45">
        <f>_xlfn.IFS('Prepare Gantt Chart'!AK108=18,'Project types'!$L109*('Prepare Gantt Chart'!$I108*'Prepare Gantt Chart'!$J108),'Prepare Gantt Chart'!AK108=17,'Project types'!$L109*('Prepare Gantt Chart'!$I108*'Prepare Gantt Chart'!$J108),'Prepare Gantt Chart'!AK108=0,0)</f>
        <v>0</v>
      </c>
      <c r="BH109" s="45">
        <f>_xlfn.IFS('Prepare Gantt Chart'!AL108=18,'Project types'!$L109*('Prepare Gantt Chart'!$I108*'Prepare Gantt Chart'!$J108),'Prepare Gantt Chart'!AL108=17,'Project types'!$L109*('Prepare Gantt Chart'!$I108*'Prepare Gantt Chart'!$J108),'Prepare Gantt Chart'!AL108=0,0)</f>
        <v>0</v>
      </c>
      <c r="BI109" s="45">
        <f>_xlfn.IFS('Prepare Gantt Chart'!AM108=18,'Project types'!$L109*('Prepare Gantt Chart'!$I108*'Prepare Gantt Chart'!$J108),'Prepare Gantt Chart'!AM108=17,'Project types'!$L109*('Prepare Gantt Chart'!$I108*'Prepare Gantt Chart'!$J108),'Prepare Gantt Chart'!AM108=0,0)</f>
        <v>0</v>
      </c>
      <c r="BJ109" s="45">
        <f>_xlfn.IFS('Prepare Gantt Chart'!AN108=18,'Project types'!$L109*('Prepare Gantt Chart'!$I108*'Prepare Gantt Chart'!$J108),'Prepare Gantt Chart'!AN108=17,'Project types'!$L109*('Prepare Gantt Chart'!$I108*'Prepare Gantt Chart'!$J108),'Prepare Gantt Chart'!AN108=0,0)</f>
        <v>0</v>
      </c>
      <c r="BK109" s="45">
        <f>_xlfn.IFS('Prepare Gantt Chart'!AO108=18,'Project types'!$L109*('Prepare Gantt Chart'!$I108*'Prepare Gantt Chart'!$J108),'Prepare Gantt Chart'!AO108=17,'Project types'!$L109*('Prepare Gantt Chart'!$I108*'Prepare Gantt Chart'!$J108),'Prepare Gantt Chart'!AO108=0,0)</f>
        <v>0</v>
      </c>
      <c r="BL109" s="46">
        <f t="shared" si="3"/>
        <v>0</v>
      </c>
      <c r="BM109" s="75">
        <f>IF('Prepare Gantt Chart'!$J108=0,0,SUM(AL109:AQ109)/6/'Prepare Gantt Chart'!$J108)</f>
        <v>0</v>
      </c>
      <c r="BN109" s="75">
        <f>IF('Prepare Gantt Chart'!$J108=0,0,SUM(AR109:AV109)/5/'Prepare Gantt Chart'!$J108)</f>
        <v>0</v>
      </c>
      <c r="BO109" s="75">
        <f>IF('Prepare Gantt Chart'!$J108=0,0,SUM(AW109:BA109)/5/'Prepare Gantt Chart'!$J108)</f>
        <v>0</v>
      </c>
      <c r="BP109" s="75">
        <f>IF('Prepare Gantt Chart'!$J108=0,0,SUM(BB109:BF109)/5/'Prepare Gantt Chart'!$J108)</f>
        <v>0</v>
      </c>
      <c r="BQ109" s="75">
        <f>IF('Prepare Gantt Chart'!$J108=0,0,SUM(BG109:BK109)/5/'Prepare Gantt Chart'!$J108)</f>
        <v>0</v>
      </c>
    </row>
    <row r="110" spans="1:69" x14ac:dyDescent="0.2">
      <c r="A110" s="42" t="s">
        <v>101</v>
      </c>
      <c r="B110" s="1" t="s">
        <v>417</v>
      </c>
      <c r="C110" s="45">
        <f>_xlfn.IFS('Prepare Gantt Chart'!P109=18,'Project types'!$O110*('Prepare Gantt Chart'!$I109*'Prepare Gantt Chart'!$J109),'Prepare Gantt Chart'!P109=17,'Project types'!$Q110*('Prepare Gantt Chart'!$I109*'Prepare Gantt Chart'!$J109),'Prepare Gantt Chart'!P109=0,0)</f>
        <v>0</v>
      </c>
      <c r="D110" s="45">
        <f>_xlfn.IFS('Prepare Gantt Chart'!Q109=18,'Project types'!$O110*('Prepare Gantt Chart'!$I109*'Prepare Gantt Chart'!$J109),'Prepare Gantt Chart'!Q109=17,'Project types'!$Q110*('Prepare Gantt Chart'!$I109*'Prepare Gantt Chart'!$J109),'Prepare Gantt Chart'!Q109=0,0)</f>
        <v>0</v>
      </c>
      <c r="E110" s="45">
        <f>_xlfn.IFS('Prepare Gantt Chart'!R109=18,'Project types'!$O110*('Prepare Gantt Chart'!$I109*'Prepare Gantt Chart'!$J109),'Prepare Gantt Chart'!R109=17,'Project types'!$Q110*('Prepare Gantt Chart'!$I109*'Prepare Gantt Chart'!$J109),'Prepare Gantt Chart'!R109=0,0)</f>
        <v>0</v>
      </c>
      <c r="F110" s="45">
        <f>_xlfn.IFS('Prepare Gantt Chart'!S109=18,'Project types'!$O110*('Prepare Gantt Chart'!$I109*'Prepare Gantt Chart'!$J109),'Prepare Gantt Chart'!S109=17,'Project types'!$Q110*('Prepare Gantt Chart'!$I109*'Prepare Gantt Chart'!$J109),'Prepare Gantt Chart'!S109=0,0)</f>
        <v>0</v>
      </c>
      <c r="G110" s="45">
        <f>_xlfn.IFS('Prepare Gantt Chart'!T109=18,'Project types'!$O110*('Prepare Gantt Chart'!$I109*'Prepare Gantt Chart'!$J109),'Prepare Gantt Chart'!T109=17,'Project types'!$Q110*('Prepare Gantt Chart'!$I109*'Prepare Gantt Chart'!$J109),'Prepare Gantt Chart'!T109=0,0)</f>
        <v>0</v>
      </c>
      <c r="H110" s="45">
        <f>_xlfn.IFS('Prepare Gantt Chart'!U109=18,'Project types'!$O110*('Prepare Gantt Chart'!$I109*'Prepare Gantt Chart'!$J109),'Prepare Gantt Chart'!U109=17,'Project types'!$Q110*('Prepare Gantt Chart'!$I109*'Prepare Gantt Chart'!$J109),'Prepare Gantt Chart'!U109=0,0)</f>
        <v>0</v>
      </c>
      <c r="I110" s="45">
        <f>_xlfn.IFS('Prepare Gantt Chart'!V109=18,'Project types'!$O110*('Prepare Gantt Chart'!$I109*'Prepare Gantt Chart'!$J109),'Prepare Gantt Chart'!V109=17,'Project types'!$Q110*('Prepare Gantt Chart'!$I109*'Prepare Gantt Chart'!$J109),'Prepare Gantt Chart'!V109=0,0)</f>
        <v>0</v>
      </c>
      <c r="J110" s="45">
        <f>_xlfn.IFS('Prepare Gantt Chart'!W109=18,'Project types'!$O110*('Prepare Gantt Chart'!$I109*'Prepare Gantt Chart'!$J109),'Prepare Gantt Chart'!W109=17,'Project types'!$Q110*('Prepare Gantt Chart'!$I109*'Prepare Gantt Chart'!$J109),'Prepare Gantt Chart'!W109=0,0)</f>
        <v>0</v>
      </c>
      <c r="K110" s="45">
        <f>_xlfn.IFS('Prepare Gantt Chart'!X109=18,'Project types'!$O110*('Prepare Gantt Chart'!$I109*'Prepare Gantt Chart'!$J109),'Prepare Gantt Chart'!X109=17,'Project types'!$Q110*('Prepare Gantt Chart'!$I109*'Prepare Gantt Chart'!$J109),'Prepare Gantt Chart'!X109=0,0)</f>
        <v>0</v>
      </c>
      <c r="L110" s="45">
        <f>_xlfn.IFS('Prepare Gantt Chart'!Y109=18,'Project types'!$O110*('Prepare Gantt Chart'!$I109*'Prepare Gantt Chart'!$J109),'Prepare Gantt Chart'!Y109=17,'Project types'!$Q110*('Prepare Gantt Chart'!$I109*'Prepare Gantt Chart'!$J109),'Prepare Gantt Chart'!Y109=0,0)</f>
        <v>0</v>
      </c>
      <c r="M110" s="45">
        <f>_xlfn.IFS('Prepare Gantt Chart'!Z109=18,'Project types'!$O110*('Prepare Gantt Chart'!$I109*'Prepare Gantt Chart'!$J109),'Prepare Gantt Chart'!Z109=17,'Project types'!$Q110*('Prepare Gantt Chart'!$I109*'Prepare Gantt Chart'!$J109),'Prepare Gantt Chart'!Z109=0,0)</f>
        <v>0</v>
      </c>
      <c r="N110" s="45">
        <f>_xlfn.IFS('Prepare Gantt Chart'!AA109=18,'Project types'!$O110*('Prepare Gantt Chart'!$I109*'Prepare Gantt Chart'!$J109),'Prepare Gantt Chart'!AA109=17,'Project types'!$Q110*('Prepare Gantt Chart'!$I109*'Prepare Gantt Chart'!$J109),'Prepare Gantt Chart'!AA109=0,0)</f>
        <v>0</v>
      </c>
      <c r="O110" s="45">
        <f>_xlfn.IFS('Prepare Gantt Chart'!AB109=18,'Project types'!$O110*('Prepare Gantt Chart'!$I109*'Prepare Gantt Chart'!$J109),'Prepare Gantt Chart'!AB109=17,'Project types'!$Q110*('Prepare Gantt Chart'!$I109*'Prepare Gantt Chart'!$J109),'Prepare Gantt Chart'!AB109=0,0)</f>
        <v>0</v>
      </c>
      <c r="P110" s="45">
        <f>_xlfn.IFS('Prepare Gantt Chart'!AC109=18,'Project types'!$O110*('Prepare Gantt Chart'!$I109*'Prepare Gantt Chart'!$J109),'Prepare Gantt Chart'!AC109=17,'Project types'!$Q110*('Prepare Gantt Chart'!$I109*'Prepare Gantt Chart'!$J109),'Prepare Gantt Chart'!AC109=0,0)</f>
        <v>0</v>
      </c>
      <c r="Q110" s="45">
        <f>_xlfn.IFS('Prepare Gantt Chart'!AD109=18,'Project types'!$O110*('Prepare Gantt Chart'!$I109*'Prepare Gantt Chart'!$J109),'Prepare Gantt Chart'!AD109=17,'Project types'!$Q110*('Prepare Gantt Chart'!$I109*'Prepare Gantt Chart'!$J109),'Prepare Gantt Chart'!AD109=0,0)</f>
        <v>0</v>
      </c>
      <c r="R110" s="45">
        <f>_xlfn.IFS('Prepare Gantt Chart'!AE109=18,'Project types'!$O110*('Prepare Gantt Chart'!$I109*'Prepare Gantt Chart'!$J109),'Prepare Gantt Chart'!AE109=17,'Project types'!$Q110*('Prepare Gantt Chart'!$I109*'Prepare Gantt Chart'!$J109),'Prepare Gantt Chart'!AE109=0,0)</f>
        <v>0</v>
      </c>
      <c r="S110" s="45">
        <f>_xlfn.IFS('Prepare Gantt Chart'!AF109=18,'Project types'!$O110*('Prepare Gantt Chart'!$I109*'Prepare Gantt Chart'!$J109),'Prepare Gantt Chart'!AF109=17,'Project types'!$Q110*('Prepare Gantt Chart'!$I109*'Prepare Gantt Chart'!$J109),'Prepare Gantt Chart'!AF109=0,0)</f>
        <v>0</v>
      </c>
      <c r="T110" s="45">
        <f>_xlfn.IFS('Prepare Gantt Chart'!AG109=18,'Project types'!$O110*('Prepare Gantt Chart'!$I109*'Prepare Gantt Chart'!$J109),'Prepare Gantt Chart'!AG109=17,'Project types'!$Q110*('Prepare Gantt Chart'!$I109*'Prepare Gantt Chart'!$J109),'Prepare Gantt Chart'!AG109=0,0)</f>
        <v>0</v>
      </c>
      <c r="U110" s="45">
        <f>_xlfn.IFS('Prepare Gantt Chart'!AH109=18,'Project types'!$O110*('Prepare Gantt Chart'!$I109*'Prepare Gantt Chart'!$J109),'Prepare Gantt Chart'!AH109=17,'Project types'!$Q110*('Prepare Gantt Chart'!$I109*'Prepare Gantt Chart'!$J109),'Prepare Gantt Chart'!AH109=0,0)</f>
        <v>0</v>
      </c>
      <c r="V110" s="45">
        <f>_xlfn.IFS('Prepare Gantt Chart'!AI109=18,'Project types'!$O110*('Prepare Gantt Chart'!$I109*'Prepare Gantt Chart'!$J109),'Prepare Gantt Chart'!AI109=17,'Project types'!$Q110*('Prepare Gantt Chart'!$I109*'Prepare Gantt Chart'!$J109),'Prepare Gantt Chart'!AI109=0,0)</f>
        <v>0</v>
      </c>
      <c r="W110" s="45">
        <f>_xlfn.IFS('Prepare Gantt Chart'!AJ109=18,'Project types'!$O110*('Prepare Gantt Chart'!$I109*'Prepare Gantt Chart'!$J109),'Prepare Gantt Chart'!AJ109=17,'Project types'!$Q110*('Prepare Gantt Chart'!$I109*'Prepare Gantt Chart'!$J109),'Prepare Gantt Chart'!AJ109=0,0)</f>
        <v>0</v>
      </c>
      <c r="X110" s="45">
        <f>_xlfn.IFS('Prepare Gantt Chart'!AK109=18,'Project types'!$O110*('Prepare Gantt Chart'!$I109*'Prepare Gantt Chart'!$J109),'Prepare Gantt Chart'!AK109=17,'Project types'!$Q110*('Prepare Gantt Chart'!$I109*'Prepare Gantt Chart'!$J109),'Prepare Gantt Chart'!AK109=0,0)</f>
        <v>0</v>
      </c>
      <c r="Y110" s="45">
        <f>_xlfn.IFS('Prepare Gantt Chart'!AL109=18,'Project types'!$O110*('Prepare Gantt Chart'!$I109*'Prepare Gantt Chart'!$J109),'Prepare Gantt Chart'!AL109=17,'Project types'!$Q110*('Prepare Gantt Chart'!$I109*'Prepare Gantt Chart'!$J109),'Prepare Gantt Chart'!AL109=0,0)</f>
        <v>0</v>
      </c>
      <c r="Z110" s="45">
        <f>_xlfn.IFS('Prepare Gantt Chart'!AM109=18,'Project types'!$O110*('Prepare Gantt Chart'!$I109*'Prepare Gantt Chart'!$J109),'Prepare Gantt Chart'!AM109=17,'Project types'!$Q110*('Prepare Gantt Chart'!$I109*'Prepare Gantt Chart'!$J109),'Prepare Gantt Chart'!AM109=0,0)</f>
        <v>0</v>
      </c>
      <c r="AA110" s="45">
        <f>_xlfn.IFS('Prepare Gantt Chart'!AN109=18,'Project types'!$O110*('Prepare Gantt Chart'!$I109*'Prepare Gantt Chart'!$J109),'Prepare Gantt Chart'!AN109=17,'Project types'!$Q110*('Prepare Gantt Chart'!$I109*'Prepare Gantt Chart'!$J109),'Prepare Gantt Chart'!AN109=0,0)</f>
        <v>0</v>
      </c>
      <c r="AB110" s="45">
        <f>_xlfn.IFS('Prepare Gantt Chart'!AO109=18,'Project types'!$O110*('Prepare Gantt Chart'!$I109*'Prepare Gantt Chart'!$J109),'Prepare Gantt Chart'!AO109=17,'Project types'!$Q110*('Prepare Gantt Chart'!$I109*'Prepare Gantt Chart'!$J109),'Prepare Gantt Chart'!AO109=0,0)</f>
        <v>0</v>
      </c>
      <c r="AC110" s="45">
        <f>'Prepare Gantt Chart'!J109*'Prepare Gantt Chart'!I109*(AD110/26)</f>
        <v>0</v>
      </c>
      <c r="AD110" s="46">
        <f t="shared" si="2"/>
        <v>0</v>
      </c>
      <c r="AE110" s="72">
        <f>IF('Prepare Gantt Chart'!$J109=0,0,SUM(C110:H110)/6/'Prepare Gantt Chart'!$J109)</f>
        <v>0</v>
      </c>
      <c r="AF110" s="72">
        <f>IF('Prepare Gantt Chart'!$J109=0,0,SUM(I110:M110)/5/'Prepare Gantt Chart'!$J109)</f>
        <v>0</v>
      </c>
      <c r="AG110" s="72">
        <f>IF('Prepare Gantt Chart'!$J109=0,0,SUM(N110:R110)/5/'Prepare Gantt Chart'!$J109)</f>
        <v>0</v>
      </c>
      <c r="AH110" s="72">
        <f>IF('Prepare Gantt Chart'!$J109=0,0,SUM(S110:W110)/5/'Prepare Gantt Chart'!$J109)</f>
        <v>0</v>
      </c>
      <c r="AI110" s="72">
        <f>IF('Prepare Gantt Chart'!$J109=0,0,SUM(X110:AB110)/5/'Prepare Gantt Chart'!$J109)</f>
        <v>0</v>
      </c>
      <c r="AK110" s="42" t="s">
        <v>101</v>
      </c>
      <c r="AL110" s="45">
        <f>_xlfn.IFS('Prepare Gantt Chart'!P109=18,'Project types'!$L110*('Prepare Gantt Chart'!$I109*'Prepare Gantt Chart'!$J109),'Prepare Gantt Chart'!P109=17,'Project types'!$L110*('Prepare Gantt Chart'!$I109*'Prepare Gantt Chart'!$J109),'Prepare Gantt Chart'!P109=0,0)</f>
        <v>0</v>
      </c>
      <c r="AM110" s="45">
        <f>_xlfn.IFS('Prepare Gantt Chart'!Q109=18,'Project types'!$L110*('Prepare Gantt Chart'!$I109*'Prepare Gantt Chart'!$J109),'Prepare Gantt Chart'!Q109=17,'Project types'!$L110*('Prepare Gantt Chart'!$I109*'Prepare Gantt Chart'!$J109),'Prepare Gantt Chart'!Q109=0,0)</f>
        <v>0</v>
      </c>
      <c r="AN110" s="45">
        <f>_xlfn.IFS('Prepare Gantt Chart'!R109=18,'Project types'!$L110*('Prepare Gantt Chart'!$I109*'Prepare Gantt Chart'!$J109),'Prepare Gantt Chart'!R109=17,'Project types'!$L110*('Prepare Gantt Chart'!$I109*'Prepare Gantt Chart'!$J109),'Prepare Gantt Chart'!R109=0,0)</f>
        <v>0</v>
      </c>
      <c r="AO110" s="45">
        <f>_xlfn.IFS('Prepare Gantt Chart'!S109=18,'Project types'!$L110*('Prepare Gantt Chart'!$I109*'Prepare Gantt Chart'!$J109),'Prepare Gantt Chart'!S109=17,'Project types'!$L110*('Prepare Gantt Chart'!$I109*'Prepare Gantt Chart'!$J109),'Prepare Gantt Chart'!S109=0,0)</f>
        <v>0</v>
      </c>
      <c r="AP110" s="45">
        <f>_xlfn.IFS('Prepare Gantt Chart'!T109=18,'Project types'!$L110*('Prepare Gantt Chart'!$I109*'Prepare Gantt Chart'!$J109),'Prepare Gantt Chart'!T109=17,'Project types'!$L110*('Prepare Gantt Chart'!$I109*'Prepare Gantt Chart'!$J109),'Prepare Gantt Chart'!T109=0,0)</f>
        <v>0</v>
      </c>
      <c r="AQ110" s="45">
        <f>_xlfn.IFS('Prepare Gantt Chart'!U109=18,'Project types'!$L110*('Prepare Gantt Chart'!$I109*'Prepare Gantt Chart'!$J109),'Prepare Gantt Chart'!U109=17,'Project types'!$L110*('Prepare Gantt Chart'!$I109*'Prepare Gantt Chart'!$J109),'Prepare Gantt Chart'!U109=0,0)</f>
        <v>0</v>
      </c>
      <c r="AR110" s="45">
        <f>_xlfn.IFS('Prepare Gantt Chart'!V109=18,'Project types'!$L110*('Prepare Gantt Chart'!$I109*'Prepare Gantt Chart'!$J109),'Prepare Gantt Chart'!V109=17,'Project types'!$L110*('Prepare Gantt Chart'!$I109*'Prepare Gantt Chart'!$J109),'Prepare Gantt Chart'!V109=0,0)</f>
        <v>0</v>
      </c>
      <c r="AS110" s="45">
        <f>_xlfn.IFS('Prepare Gantt Chart'!W109=18,'Project types'!$L110*('Prepare Gantt Chart'!$I109*'Prepare Gantt Chart'!$J109),'Prepare Gantt Chart'!W109=17,'Project types'!$L110*('Prepare Gantt Chart'!$I109*'Prepare Gantt Chart'!$J109),'Prepare Gantt Chart'!W109=0,0)</f>
        <v>0</v>
      </c>
      <c r="AT110" s="45">
        <f>_xlfn.IFS('Prepare Gantt Chart'!X109=18,'Project types'!$L110*('Prepare Gantt Chart'!$I109*'Prepare Gantt Chart'!$J109),'Prepare Gantt Chart'!X109=17,'Project types'!$L110*('Prepare Gantt Chart'!$I109*'Prepare Gantt Chart'!$J109),'Prepare Gantt Chart'!X109=0,0)</f>
        <v>0</v>
      </c>
      <c r="AU110" s="45">
        <f>_xlfn.IFS('Prepare Gantt Chart'!Y109=18,'Project types'!$L110*('Prepare Gantt Chart'!$I109*'Prepare Gantt Chart'!$J109),'Prepare Gantt Chart'!Y109=17,'Project types'!$L110*('Prepare Gantt Chart'!$I109*'Prepare Gantt Chart'!$J109),'Prepare Gantt Chart'!Y109=0,0)</f>
        <v>0</v>
      </c>
      <c r="AV110" s="45">
        <f>_xlfn.IFS('Prepare Gantt Chart'!Z109=18,'Project types'!$L110*('Prepare Gantt Chart'!$I109*'Prepare Gantt Chart'!$J109),'Prepare Gantt Chart'!Z109=17,'Project types'!$L110*('Prepare Gantt Chart'!$I109*'Prepare Gantt Chart'!$J109),'Prepare Gantt Chart'!Z109=0,0)</f>
        <v>0</v>
      </c>
      <c r="AW110" s="45">
        <f>_xlfn.IFS('Prepare Gantt Chart'!AA109=18,'Project types'!$L110*('Prepare Gantt Chart'!$I109*'Prepare Gantt Chart'!$J109),'Prepare Gantt Chart'!AA109=17,'Project types'!$L110*('Prepare Gantt Chart'!$I109*'Prepare Gantt Chart'!$J109),'Prepare Gantt Chart'!AA109=0,0)</f>
        <v>0</v>
      </c>
      <c r="AX110" s="45">
        <f>_xlfn.IFS('Prepare Gantt Chart'!AB109=18,'Project types'!$L110*('Prepare Gantt Chart'!$I109*'Prepare Gantt Chart'!$J109),'Prepare Gantt Chart'!AB109=17,'Project types'!$L110*('Prepare Gantt Chart'!$I109*'Prepare Gantt Chart'!$J109),'Prepare Gantt Chart'!AB109=0,0)</f>
        <v>0</v>
      </c>
      <c r="AY110" s="45">
        <f>_xlfn.IFS('Prepare Gantt Chart'!AC109=18,'Project types'!$L110*('Prepare Gantt Chart'!$I109*'Prepare Gantt Chart'!$J109),'Prepare Gantt Chart'!AC109=17,'Project types'!$L110*('Prepare Gantt Chart'!$I109*'Prepare Gantt Chart'!$J109),'Prepare Gantt Chart'!AC109=0,0)</f>
        <v>0</v>
      </c>
      <c r="AZ110" s="45">
        <f>_xlfn.IFS('Prepare Gantt Chart'!AD109=18,'Project types'!$L110*('Prepare Gantt Chart'!$I109*'Prepare Gantt Chart'!$J109),'Prepare Gantt Chart'!AD109=17,'Project types'!$L110*('Prepare Gantt Chart'!$I109*'Prepare Gantt Chart'!$J109),'Prepare Gantt Chart'!AD109=0,0)</f>
        <v>0</v>
      </c>
      <c r="BA110" s="45">
        <f>_xlfn.IFS('Prepare Gantt Chart'!AE109=18,'Project types'!$L110*('Prepare Gantt Chart'!$I109*'Prepare Gantt Chart'!$J109),'Prepare Gantt Chart'!AE109=17,'Project types'!$L110*('Prepare Gantt Chart'!$I109*'Prepare Gantt Chart'!$J109),'Prepare Gantt Chart'!AE109=0,0)</f>
        <v>0</v>
      </c>
      <c r="BB110" s="45">
        <f>_xlfn.IFS('Prepare Gantt Chart'!AF109=18,'Project types'!$L110*('Prepare Gantt Chart'!$I109*'Prepare Gantt Chart'!$J109),'Prepare Gantt Chart'!AF109=17,'Project types'!$L110*('Prepare Gantt Chart'!$I109*'Prepare Gantt Chart'!$J109),'Prepare Gantt Chart'!AF109=0,0)</f>
        <v>0</v>
      </c>
      <c r="BC110" s="45">
        <f>_xlfn.IFS('Prepare Gantt Chart'!AG109=18,'Project types'!$L110*('Prepare Gantt Chart'!$I109*'Prepare Gantt Chart'!$J109),'Prepare Gantt Chart'!AG109=17,'Project types'!$L110*('Prepare Gantt Chart'!$I109*'Prepare Gantt Chart'!$J109),'Prepare Gantt Chart'!AG109=0,0)</f>
        <v>0</v>
      </c>
      <c r="BD110" s="45">
        <f>_xlfn.IFS('Prepare Gantt Chart'!AH109=18,'Project types'!$L110*('Prepare Gantt Chart'!$I109*'Prepare Gantt Chart'!$J109),'Prepare Gantt Chart'!AH109=17,'Project types'!$L110*('Prepare Gantt Chart'!$I109*'Prepare Gantt Chart'!$J109),'Prepare Gantt Chart'!AH109=0,0)</f>
        <v>0</v>
      </c>
      <c r="BE110" s="45">
        <f>_xlfn.IFS('Prepare Gantt Chart'!AI109=18,'Project types'!$L110*('Prepare Gantt Chart'!$I109*'Prepare Gantt Chart'!$J109),'Prepare Gantt Chart'!AI109=17,'Project types'!$L110*('Prepare Gantt Chart'!$I109*'Prepare Gantt Chart'!$J109),'Prepare Gantt Chart'!AI109=0,0)</f>
        <v>0</v>
      </c>
      <c r="BF110" s="45">
        <f>_xlfn.IFS('Prepare Gantt Chart'!AJ109=18,'Project types'!$L110*('Prepare Gantt Chart'!$I109*'Prepare Gantt Chart'!$J109),'Prepare Gantt Chart'!AJ109=17,'Project types'!$L110*('Prepare Gantt Chart'!$I109*'Prepare Gantt Chart'!$J109),'Prepare Gantt Chart'!AJ109=0,0)</f>
        <v>0</v>
      </c>
      <c r="BG110" s="45">
        <f>_xlfn.IFS('Prepare Gantt Chart'!AK109=18,'Project types'!$L110*('Prepare Gantt Chart'!$I109*'Prepare Gantt Chart'!$J109),'Prepare Gantt Chart'!AK109=17,'Project types'!$L110*('Prepare Gantt Chart'!$I109*'Prepare Gantt Chart'!$J109),'Prepare Gantt Chart'!AK109=0,0)</f>
        <v>0</v>
      </c>
      <c r="BH110" s="45">
        <f>_xlfn.IFS('Prepare Gantt Chart'!AL109=18,'Project types'!$L110*('Prepare Gantt Chart'!$I109*'Prepare Gantt Chart'!$J109),'Prepare Gantt Chart'!AL109=17,'Project types'!$L110*('Prepare Gantt Chart'!$I109*'Prepare Gantt Chart'!$J109),'Prepare Gantt Chart'!AL109=0,0)</f>
        <v>0</v>
      </c>
      <c r="BI110" s="45">
        <f>_xlfn.IFS('Prepare Gantt Chart'!AM109=18,'Project types'!$L110*('Prepare Gantt Chart'!$I109*'Prepare Gantt Chart'!$J109),'Prepare Gantt Chart'!AM109=17,'Project types'!$L110*('Prepare Gantt Chart'!$I109*'Prepare Gantt Chart'!$J109),'Prepare Gantt Chart'!AM109=0,0)</f>
        <v>0</v>
      </c>
      <c r="BJ110" s="45">
        <f>_xlfn.IFS('Prepare Gantt Chart'!AN109=18,'Project types'!$L110*('Prepare Gantt Chart'!$I109*'Prepare Gantt Chart'!$J109),'Prepare Gantt Chart'!AN109=17,'Project types'!$L110*('Prepare Gantt Chart'!$I109*'Prepare Gantt Chart'!$J109),'Prepare Gantt Chart'!AN109=0,0)</f>
        <v>0</v>
      </c>
      <c r="BK110" s="45">
        <f>_xlfn.IFS('Prepare Gantt Chart'!AO109=18,'Project types'!$L110*('Prepare Gantt Chart'!$I109*'Prepare Gantt Chart'!$J109),'Prepare Gantt Chart'!AO109=17,'Project types'!$L110*('Prepare Gantt Chart'!$I109*'Prepare Gantt Chart'!$J109),'Prepare Gantt Chart'!AO109=0,0)</f>
        <v>0</v>
      </c>
      <c r="BL110" s="46">
        <f t="shared" si="3"/>
        <v>0</v>
      </c>
      <c r="BM110" s="75">
        <f>IF('Prepare Gantt Chart'!$J109=0,0,SUM(AL110:AQ110)/6/'Prepare Gantt Chart'!$J109)</f>
        <v>0</v>
      </c>
      <c r="BN110" s="75">
        <f>IF('Prepare Gantt Chart'!$J109=0,0,SUM(AR110:AV110)/5/'Prepare Gantt Chart'!$J109)</f>
        <v>0</v>
      </c>
      <c r="BO110" s="75">
        <f>IF('Prepare Gantt Chart'!$J109=0,0,SUM(AW110:BA110)/5/'Prepare Gantt Chart'!$J109)</f>
        <v>0</v>
      </c>
      <c r="BP110" s="75">
        <f>IF('Prepare Gantt Chart'!$J109=0,0,SUM(BB110:BF110)/5/'Prepare Gantt Chart'!$J109)</f>
        <v>0</v>
      </c>
      <c r="BQ110" s="75">
        <f>IF('Prepare Gantt Chart'!$J109=0,0,SUM(BG110:BK110)/5/'Prepare Gantt Chart'!$J109)</f>
        <v>0</v>
      </c>
    </row>
    <row r="111" spans="1:69" x14ac:dyDescent="0.2">
      <c r="A111" s="42" t="s">
        <v>102</v>
      </c>
      <c r="B111" s="1" t="s">
        <v>166</v>
      </c>
      <c r="C111" s="45">
        <f>_xlfn.IFS('Prepare Gantt Chart'!P110=18,'Project types'!$O111*('Prepare Gantt Chart'!$I110*'Prepare Gantt Chart'!$J110),'Prepare Gantt Chart'!P110=17,'Project types'!$Q111*('Prepare Gantt Chart'!$I110*'Prepare Gantt Chart'!$J110),'Prepare Gantt Chart'!P110=0,0)</f>
        <v>0</v>
      </c>
      <c r="D111" s="45">
        <f>_xlfn.IFS('Prepare Gantt Chart'!Q110=18,'Project types'!$O111*('Prepare Gantt Chart'!$I110*'Prepare Gantt Chart'!$J110),'Prepare Gantt Chart'!Q110=17,'Project types'!$Q111*('Prepare Gantt Chart'!$I110*'Prepare Gantt Chart'!$J110),'Prepare Gantt Chart'!Q110=0,0)</f>
        <v>0</v>
      </c>
      <c r="E111" s="45">
        <f>_xlfn.IFS('Prepare Gantt Chart'!R110=18,'Project types'!$O111*('Prepare Gantt Chart'!$I110*'Prepare Gantt Chart'!$J110),'Prepare Gantt Chart'!R110=17,'Project types'!$Q111*('Prepare Gantt Chart'!$I110*'Prepare Gantt Chart'!$J110),'Prepare Gantt Chart'!R110=0,0)</f>
        <v>0</v>
      </c>
      <c r="F111" s="45">
        <f>_xlfn.IFS('Prepare Gantt Chart'!S110=18,'Project types'!$O111*('Prepare Gantt Chart'!$I110*'Prepare Gantt Chart'!$J110),'Prepare Gantt Chart'!S110=17,'Project types'!$Q111*('Prepare Gantt Chart'!$I110*'Prepare Gantt Chart'!$J110),'Prepare Gantt Chart'!S110=0,0)</f>
        <v>0</v>
      </c>
      <c r="G111" s="45">
        <f>_xlfn.IFS('Prepare Gantt Chart'!T110=18,'Project types'!$O111*('Prepare Gantt Chart'!$I110*'Prepare Gantt Chart'!$J110),'Prepare Gantt Chart'!T110=17,'Project types'!$Q111*('Prepare Gantt Chart'!$I110*'Prepare Gantt Chart'!$J110),'Prepare Gantt Chart'!T110=0,0)</f>
        <v>0</v>
      </c>
      <c r="H111" s="45">
        <f>_xlfn.IFS('Prepare Gantt Chart'!U110=18,'Project types'!$O111*('Prepare Gantt Chart'!$I110*'Prepare Gantt Chart'!$J110),'Prepare Gantt Chart'!U110=17,'Project types'!$Q111*('Prepare Gantt Chart'!$I110*'Prepare Gantt Chart'!$J110),'Prepare Gantt Chart'!U110=0,0)</f>
        <v>0</v>
      </c>
      <c r="I111" s="45">
        <f>_xlfn.IFS('Prepare Gantt Chart'!V110=18,'Project types'!$O111*('Prepare Gantt Chart'!$I110*'Prepare Gantt Chart'!$J110),'Prepare Gantt Chart'!V110=17,'Project types'!$Q111*('Prepare Gantt Chart'!$I110*'Prepare Gantt Chart'!$J110),'Prepare Gantt Chart'!V110=0,0)</f>
        <v>0</v>
      </c>
      <c r="J111" s="45">
        <f>_xlfn.IFS('Prepare Gantt Chart'!W110=18,'Project types'!$O111*('Prepare Gantt Chart'!$I110*'Prepare Gantt Chart'!$J110),'Prepare Gantt Chart'!W110=17,'Project types'!$Q111*('Prepare Gantt Chart'!$I110*'Prepare Gantt Chart'!$J110),'Prepare Gantt Chart'!W110=0,0)</f>
        <v>0</v>
      </c>
      <c r="K111" s="45">
        <f>_xlfn.IFS('Prepare Gantt Chart'!X110=18,'Project types'!$O111*('Prepare Gantt Chart'!$I110*'Prepare Gantt Chart'!$J110),'Prepare Gantt Chart'!X110=17,'Project types'!$Q111*('Prepare Gantt Chart'!$I110*'Prepare Gantt Chart'!$J110),'Prepare Gantt Chart'!X110=0,0)</f>
        <v>0</v>
      </c>
      <c r="L111" s="45">
        <f>_xlfn.IFS('Prepare Gantt Chart'!Y110=18,'Project types'!$O111*('Prepare Gantt Chart'!$I110*'Prepare Gantt Chart'!$J110),'Prepare Gantt Chart'!Y110=17,'Project types'!$Q111*('Prepare Gantt Chart'!$I110*'Prepare Gantt Chart'!$J110),'Prepare Gantt Chart'!Y110=0,0)</f>
        <v>0</v>
      </c>
      <c r="M111" s="45">
        <f>_xlfn.IFS('Prepare Gantt Chart'!Z110=18,'Project types'!$O111*('Prepare Gantt Chart'!$I110*'Prepare Gantt Chart'!$J110),'Prepare Gantt Chart'!Z110=17,'Project types'!$Q111*('Prepare Gantt Chart'!$I110*'Prepare Gantt Chart'!$J110),'Prepare Gantt Chart'!Z110=0,0)</f>
        <v>0</v>
      </c>
      <c r="N111" s="45">
        <f>_xlfn.IFS('Prepare Gantt Chart'!AA110=18,'Project types'!$O111*('Prepare Gantt Chart'!$I110*'Prepare Gantt Chart'!$J110),'Prepare Gantt Chart'!AA110=17,'Project types'!$Q111*('Prepare Gantt Chart'!$I110*'Prepare Gantt Chart'!$J110),'Prepare Gantt Chart'!AA110=0,0)</f>
        <v>0</v>
      </c>
      <c r="O111" s="45">
        <f>_xlfn.IFS('Prepare Gantt Chart'!AB110=18,'Project types'!$O111*('Prepare Gantt Chart'!$I110*'Prepare Gantt Chart'!$J110),'Prepare Gantt Chart'!AB110=17,'Project types'!$Q111*('Prepare Gantt Chart'!$I110*'Prepare Gantt Chart'!$J110),'Prepare Gantt Chart'!AB110=0,0)</f>
        <v>0</v>
      </c>
      <c r="P111" s="45">
        <f>_xlfn.IFS('Prepare Gantt Chart'!AC110=18,'Project types'!$O111*('Prepare Gantt Chart'!$I110*'Prepare Gantt Chart'!$J110),'Prepare Gantt Chart'!AC110=17,'Project types'!$Q111*('Prepare Gantt Chart'!$I110*'Prepare Gantt Chart'!$J110),'Prepare Gantt Chart'!AC110=0,0)</f>
        <v>0</v>
      </c>
      <c r="Q111" s="45">
        <f>_xlfn.IFS('Prepare Gantt Chart'!AD110=18,'Project types'!$O111*('Prepare Gantt Chart'!$I110*'Prepare Gantt Chart'!$J110),'Prepare Gantt Chart'!AD110=17,'Project types'!$Q111*('Prepare Gantt Chart'!$I110*'Prepare Gantt Chart'!$J110),'Prepare Gantt Chart'!AD110=0,0)</f>
        <v>0</v>
      </c>
      <c r="R111" s="45">
        <f>_xlfn.IFS('Prepare Gantt Chart'!AE110=18,'Project types'!$O111*('Prepare Gantt Chart'!$I110*'Prepare Gantt Chart'!$J110),'Prepare Gantt Chart'!AE110=17,'Project types'!$Q111*('Prepare Gantt Chart'!$I110*'Prepare Gantt Chart'!$J110),'Prepare Gantt Chart'!AE110=0,0)</f>
        <v>0</v>
      </c>
      <c r="S111" s="45">
        <f>_xlfn.IFS('Prepare Gantt Chart'!AF110=18,'Project types'!$O111*('Prepare Gantt Chart'!$I110*'Prepare Gantt Chart'!$J110),'Prepare Gantt Chart'!AF110=17,'Project types'!$Q111*('Prepare Gantt Chart'!$I110*'Prepare Gantt Chart'!$J110),'Prepare Gantt Chart'!AF110=0,0)</f>
        <v>0</v>
      </c>
      <c r="T111" s="45">
        <f>_xlfn.IFS('Prepare Gantt Chart'!AG110=18,'Project types'!$O111*('Prepare Gantt Chart'!$I110*'Prepare Gantt Chart'!$J110),'Prepare Gantt Chart'!AG110=17,'Project types'!$Q111*('Prepare Gantt Chart'!$I110*'Prepare Gantt Chart'!$J110),'Prepare Gantt Chart'!AG110=0,0)</f>
        <v>0</v>
      </c>
      <c r="U111" s="45">
        <f>_xlfn.IFS('Prepare Gantt Chart'!AH110=18,'Project types'!$O111*('Prepare Gantt Chart'!$I110*'Prepare Gantt Chart'!$J110),'Prepare Gantt Chart'!AH110=17,'Project types'!$Q111*('Prepare Gantt Chart'!$I110*'Prepare Gantt Chart'!$J110),'Prepare Gantt Chart'!AH110=0,0)</f>
        <v>0</v>
      </c>
      <c r="V111" s="45">
        <f>_xlfn.IFS('Prepare Gantt Chart'!AI110=18,'Project types'!$O111*('Prepare Gantt Chart'!$I110*'Prepare Gantt Chart'!$J110),'Prepare Gantt Chart'!AI110=17,'Project types'!$Q111*('Prepare Gantt Chart'!$I110*'Prepare Gantt Chart'!$J110),'Prepare Gantt Chart'!AI110=0,0)</f>
        <v>0</v>
      </c>
      <c r="W111" s="45">
        <f>_xlfn.IFS('Prepare Gantt Chart'!AJ110=18,'Project types'!$O111*('Prepare Gantt Chart'!$I110*'Prepare Gantt Chart'!$J110),'Prepare Gantt Chart'!AJ110=17,'Project types'!$Q111*('Prepare Gantt Chart'!$I110*'Prepare Gantt Chart'!$J110),'Prepare Gantt Chart'!AJ110=0,0)</f>
        <v>0</v>
      </c>
      <c r="X111" s="45">
        <f>_xlfn.IFS('Prepare Gantt Chart'!AK110=18,'Project types'!$O111*('Prepare Gantt Chart'!$I110*'Prepare Gantt Chart'!$J110),'Prepare Gantt Chart'!AK110=17,'Project types'!$Q111*('Prepare Gantt Chart'!$I110*'Prepare Gantt Chart'!$J110),'Prepare Gantt Chart'!AK110=0,0)</f>
        <v>0</v>
      </c>
      <c r="Y111" s="45">
        <f>_xlfn.IFS('Prepare Gantt Chart'!AL110=18,'Project types'!$O111*('Prepare Gantt Chart'!$I110*'Prepare Gantt Chart'!$J110),'Prepare Gantt Chart'!AL110=17,'Project types'!$Q111*('Prepare Gantt Chart'!$I110*'Prepare Gantt Chart'!$J110),'Prepare Gantt Chart'!AL110=0,0)</f>
        <v>0</v>
      </c>
      <c r="Z111" s="45">
        <f>_xlfn.IFS('Prepare Gantt Chart'!AM110=18,'Project types'!$O111*('Prepare Gantt Chart'!$I110*'Prepare Gantt Chart'!$J110),'Prepare Gantt Chart'!AM110=17,'Project types'!$Q111*('Prepare Gantt Chart'!$I110*'Prepare Gantt Chart'!$J110),'Prepare Gantt Chart'!AM110=0,0)</f>
        <v>0</v>
      </c>
      <c r="AA111" s="45">
        <f>_xlfn.IFS('Prepare Gantt Chart'!AN110=18,'Project types'!$O111*('Prepare Gantt Chart'!$I110*'Prepare Gantt Chart'!$J110),'Prepare Gantt Chart'!AN110=17,'Project types'!$Q111*('Prepare Gantt Chart'!$I110*'Prepare Gantt Chart'!$J110),'Prepare Gantt Chart'!AN110=0,0)</f>
        <v>0</v>
      </c>
      <c r="AB111" s="45">
        <f>_xlfn.IFS('Prepare Gantt Chart'!AO110=18,'Project types'!$O111*('Prepare Gantt Chart'!$I110*'Prepare Gantt Chart'!$J110),'Prepare Gantt Chart'!AO110=17,'Project types'!$Q111*('Prepare Gantt Chart'!$I110*'Prepare Gantt Chart'!$J110),'Prepare Gantt Chart'!AO110=0,0)</f>
        <v>0</v>
      </c>
      <c r="AC111" s="45">
        <f>'Prepare Gantt Chart'!J110*'Prepare Gantt Chart'!I110*(AD111/26)</f>
        <v>0</v>
      </c>
      <c r="AD111" s="46">
        <f t="shared" si="2"/>
        <v>0</v>
      </c>
      <c r="AE111" s="72">
        <f>IF('Prepare Gantt Chart'!$J110=0,0,SUM(C111:H111)/6/'Prepare Gantt Chart'!$J110)</f>
        <v>0</v>
      </c>
      <c r="AF111" s="72">
        <f>IF('Prepare Gantt Chart'!$J110=0,0,SUM(I111:M111)/5/'Prepare Gantt Chart'!$J110)</f>
        <v>0</v>
      </c>
      <c r="AG111" s="72">
        <f>IF('Prepare Gantt Chart'!$J110=0,0,SUM(N111:R111)/5/'Prepare Gantt Chart'!$J110)</f>
        <v>0</v>
      </c>
      <c r="AH111" s="72">
        <f>IF('Prepare Gantt Chart'!$J110=0,0,SUM(S111:W111)/5/'Prepare Gantt Chart'!$J110)</f>
        <v>0</v>
      </c>
      <c r="AI111" s="72">
        <f>IF('Prepare Gantt Chart'!$J110=0,0,SUM(X111:AB111)/5/'Prepare Gantt Chart'!$J110)</f>
        <v>0</v>
      </c>
      <c r="AK111" s="42" t="s">
        <v>102</v>
      </c>
      <c r="AL111" s="45">
        <f>_xlfn.IFS('Prepare Gantt Chart'!P110=18,'Project types'!$L111*('Prepare Gantt Chart'!$I110*'Prepare Gantt Chart'!$J110),'Prepare Gantt Chart'!P110=17,'Project types'!$L111*('Prepare Gantt Chart'!$I110*'Prepare Gantt Chart'!$J110),'Prepare Gantt Chart'!P110=0,0)</f>
        <v>0</v>
      </c>
      <c r="AM111" s="45">
        <f>_xlfn.IFS('Prepare Gantt Chart'!Q110=18,'Project types'!$L111*('Prepare Gantt Chart'!$I110*'Prepare Gantt Chart'!$J110),'Prepare Gantt Chart'!Q110=17,'Project types'!$L111*('Prepare Gantt Chart'!$I110*'Prepare Gantt Chart'!$J110),'Prepare Gantt Chart'!Q110=0,0)</f>
        <v>0</v>
      </c>
      <c r="AN111" s="45">
        <f>_xlfn.IFS('Prepare Gantt Chart'!R110=18,'Project types'!$L111*('Prepare Gantt Chart'!$I110*'Prepare Gantt Chart'!$J110),'Prepare Gantt Chart'!R110=17,'Project types'!$L111*('Prepare Gantt Chart'!$I110*'Prepare Gantt Chart'!$J110),'Prepare Gantt Chart'!R110=0,0)</f>
        <v>0</v>
      </c>
      <c r="AO111" s="45">
        <f>_xlfn.IFS('Prepare Gantt Chart'!S110=18,'Project types'!$L111*('Prepare Gantt Chart'!$I110*'Prepare Gantt Chart'!$J110),'Prepare Gantt Chart'!S110=17,'Project types'!$L111*('Prepare Gantt Chart'!$I110*'Prepare Gantt Chart'!$J110),'Prepare Gantt Chart'!S110=0,0)</f>
        <v>0</v>
      </c>
      <c r="AP111" s="45">
        <f>_xlfn.IFS('Prepare Gantt Chart'!T110=18,'Project types'!$L111*('Prepare Gantt Chart'!$I110*'Prepare Gantt Chart'!$J110),'Prepare Gantt Chart'!T110=17,'Project types'!$L111*('Prepare Gantt Chart'!$I110*'Prepare Gantt Chart'!$J110),'Prepare Gantt Chart'!T110=0,0)</f>
        <v>0</v>
      </c>
      <c r="AQ111" s="45">
        <f>_xlfn.IFS('Prepare Gantt Chart'!U110=18,'Project types'!$L111*('Prepare Gantt Chart'!$I110*'Prepare Gantt Chart'!$J110),'Prepare Gantt Chart'!U110=17,'Project types'!$L111*('Prepare Gantt Chart'!$I110*'Prepare Gantt Chart'!$J110),'Prepare Gantt Chart'!U110=0,0)</f>
        <v>0</v>
      </c>
      <c r="AR111" s="45">
        <f>_xlfn.IFS('Prepare Gantt Chart'!V110=18,'Project types'!$L111*('Prepare Gantt Chart'!$I110*'Prepare Gantt Chart'!$J110),'Prepare Gantt Chart'!V110=17,'Project types'!$L111*('Prepare Gantt Chart'!$I110*'Prepare Gantt Chart'!$J110),'Prepare Gantt Chart'!V110=0,0)</f>
        <v>0</v>
      </c>
      <c r="AS111" s="45">
        <f>_xlfn.IFS('Prepare Gantt Chart'!W110=18,'Project types'!$L111*('Prepare Gantt Chart'!$I110*'Prepare Gantt Chart'!$J110),'Prepare Gantt Chart'!W110=17,'Project types'!$L111*('Prepare Gantt Chart'!$I110*'Prepare Gantt Chart'!$J110),'Prepare Gantt Chart'!W110=0,0)</f>
        <v>0</v>
      </c>
      <c r="AT111" s="45">
        <f>_xlfn.IFS('Prepare Gantt Chart'!X110=18,'Project types'!$L111*('Prepare Gantt Chart'!$I110*'Prepare Gantt Chart'!$J110),'Prepare Gantt Chart'!X110=17,'Project types'!$L111*('Prepare Gantt Chart'!$I110*'Prepare Gantt Chart'!$J110),'Prepare Gantt Chart'!X110=0,0)</f>
        <v>0</v>
      </c>
      <c r="AU111" s="45">
        <f>_xlfn.IFS('Prepare Gantt Chart'!Y110=18,'Project types'!$L111*('Prepare Gantt Chart'!$I110*'Prepare Gantt Chart'!$J110),'Prepare Gantt Chart'!Y110=17,'Project types'!$L111*('Prepare Gantt Chart'!$I110*'Prepare Gantt Chart'!$J110),'Prepare Gantt Chart'!Y110=0,0)</f>
        <v>0</v>
      </c>
      <c r="AV111" s="45">
        <f>_xlfn.IFS('Prepare Gantt Chart'!Z110=18,'Project types'!$L111*('Prepare Gantt Chart'!$I110*'Prepare Gantt Chart'!$J110),'Prepare Gantt Chart'!Z110=17,'Project types'!$L111*('Prepare Gantt Chart'!$I110*'Prepare Gantt Chart'!$J110),'Prepare Gantt Chart'!Z110=0,0)</f>
        <v>0</v>
      </c>
      <c r="AW111" s="45">
        <f>_xlfn.IFS('Prepare Gantt Chart'!AA110=18,'Project types'!$L111*('Prepare Gantt Chart'!$I110*'Prepare Gantt Chart'!$J110),'Prepare Gantt Chart'!AA110=17,'Project types'!$L111*('Prepare Gantt Chart'!$I110*'Prepare Gantt Chart'!$J110),'Prepare Gantt Chart'!AA110=0,0)</f>
        <v>0</v>
      </c>
      <c r="AX111" s="45">
        <f>_xlfn.IFS('Prepare Gantt Chart'!AB110=18,'Project types'!$L111*('Prepare Gantt Chart'!$I110*'Prepare Gantt Chart'!$J110),'Prepare Gantt Chart'!AB110=17,'Project types'!$L111*('Prepare Gantt Chart'!$I110*'Prepare Gantt Chart'!$J110),'Prepare Gantt Chart'!AB110=0,0)</f>
        <v>0</v>
      </c>
      <c r="AY111" s="45">
        <f>_xlfn.IFS('Prepare Gantt Chart'!AC110=18,'Project types'!$L111*('Prepare Gantt Chart'!$I110*'Prepare Gantt Chart'!$J110),'Prepare Gantt Chart'!AC110=17,'Project types'!$L111*('Prepare Gantt Chart'!$I110*'Prepare Gantt Chart'!$J110),'Prepare Gantt Chart'!AC110=0,0)</f>
        <v>0</v>
      </c>
      <c r="AZ111" s="45">
        <f>_xlfn.IFS('Prepare Gantt Chart'!AD110=18,'Project types'!$L111*('Prepare Gantt Chart'!$I110*'Prepare Gantt Chart'!$J110),'Prepare Gantt Chart'!AD110=17,'Project types'!$L111*('Prepare Gantt Chart'!$I110*'Prepare Gantt Chart'!$J110),'Prepare Gantt Chart'!AD110=0,0)</f>
        <v>0</v>
      </c>
      <c r="BA111" s="45">
        <f>_xlfn.IFS('Prepare Gantt Chart'!AE110=18,'Project types'!$L111*('Prepare Gantt Chart'!$I110*'Prepare Gantt Chart'!$J110),'Prepare Gantt Chart'!AE110=17,'Project types'!$L111*('Prepare Gantt Chart'!$I110*'Prepare Gantt Chart'!$J110),'Prepare Gantt Chart'!AE110=0,0)</f>
        <v>0</v>
      </c>
      <c r="BB111" s="45">
        <f>_xlfn.IFS('Prepare Gantt Chart'!AF110=18,'Project types'!$L111*('Prepare Gantt Chart'!$I110*'Prepare Gantt Chart'!$J110),'Prepare Gantt Chart'!AF110=17,'Project types'!$L111*('Prepare Gantt Chart'!$I110*'Prepare Gantt Chart'!$J110),'Prepare Gantt Chart'!AF110=0,0)</f>
        <v>0</v>
      </c>
      <c r="BC111" s="45">
        <f>_xlfn.IFS('Prepare Gantt Chart'!AG110=18,'Project types'!$L111*('Prepare Gantt Chart'!$I110*'Prepare Gantt Chart'!$J110),'Prepare Gantt Chart'!AG110=17,'Project types'!$L111*('Prepare Gantt Chart'!$I110*'Prepare Gantt Chart'!$J110),'Prepare Gantt Chart'!AG110=0,0)</f>
        <v>0</v>
      </c>
      <c r="BD111" s="45">
        <f>_xlfn.IFS('Prepare Gantt Chart'!AH110=18,'Project types'!$L111*('Prepare Gantt Chart'!$I110*'Prepare Gantt Chart'!$J110),'Prepare Gantt Chart'!AH110=17,'Project types'!$L111*('Prepare Gantt Chart'!$I110*'Prepare Gantt Chart'!$J110),'Prepare Gantt Chart'!AH110=0,0)</f>
        <v>0</v>
      </c>
      <c r="BE111" s="45">
        <f>_xlfn.IFS('Prepare Gantt Chart'!AI110=18,'Project types'!$L111*('Prepare Gantt Chart'!$I110*'Prepare Gantt Chart'!$J110),'Prepare Gantt Chart'!AI110=17,'Project types'!$L111*('Prepare Gantt Chart'!$I110*'Prepare Gantt Chart'!$J110),'Prepare Gantt Chart'!AI110=0,0)</f>
        <v>0</v>
      </c>
      <c r="BF111" s="45">
        <f>_xlfn.IFS('Prepare Gantt Chart'!AJ110=18,'Project types'!$L111*('Prepare Gantt Chart'!$I110*'Prepare Gantt Chart'!$J110),'Prepare Gantt Chart'!AJ110=17,'Project types'!$L111*('Prepare Gantt Chart'!$I110*'Prepare Gantt Chart'!$J110),'Prepare Gantt Chart'!AJ110=0,0)</f>
        <v>0</v>
      </c>
      <c r="BG111" s="45">
        <f>_xlfn.IFS('Prepare Gantt Chart'!AK110=18,'Project types'!$L111*('Prepare Gantt Chart'!$I110*'Prepare Gantt Chart'!$J110),'Prepare Gantt Chart'!AK110=17,'Project types'!$L111*('Prepare Gantt Chart'!$I110*'Prepare Gantt Chart'!$J110),'Prepare Gantt Chart'!AK110=0,0)</f>
        <v>0</v>
      </c>
      <c r="BH111" s="45">
        <f>_xlfn.IFS('Prepare Gantt Chart'!AL110=18,'Project types'!$L111*('Prepare Gantt Chart'!$I110*'Prepare Gantt Chart'!$J110),'Prepare Gantt Chart'!AL110=17,'Project types'!$L111*('Prepare Gantt Chart'!$I110*'Prepare Gantt Chart'!$J110),'Prepare Gantt Chart'!AL110=0,0)</f>
        <v>0</v>
      </c>
      <c r="BI111" s="45">
        <f>_xlfn.IFS('Prepare Gantt Chart'!AM110=18,'Project types'!$L111*('Prepare Gantt Chart'!$I110*'Prepare Gantt Chart'!$J110),'Prepare Gantt Chart'!AM110=17,'Project types'!$L111*('Prepare Gantt Chart'!$I110*'Prepare Gantt Chart'!$J110),'Prepare Gantt Chart'!AM110=0,0)</f>
        <v>0</v>
      </c>
      <c r="BJ111" s="45">
        <f>_xlfn.IFS('Prepare Gantt Chart'!AN110=18,'Project types'!$L111*('Prepare Gantt Chart'!$I110*'Prepare Gantt Chart'!$J110),'Prepare Gantt Chart'!AN110=17,'Project types'!$L111*('Prepare Gantt Chart'!$I110*'Prepare Gantt Chart'!$J110),'Prepare Gantt Chart'!AN110=0,0)</f>
        <v>0</v>
      </c>
      <c r="BK111" s="45">
        <f>_xlfn.IFS('Prepare Gantt Chart'!AO110=18,'Project types'!$L111*('Prepare Gantt Chart'!$I110*'Prepare Gantt Chart'!$J110),'Prepare Gantt Chart'!AO110=17,'Project types'!$L111*('Prepare Gantt Chart'!$I110*'Prepare Gantt Chart'!$J110),'Prepare Gantt Chart'!AO110=0,0)</f>
        <v>0</v>
      </c>
      <c r="BL111" s="46">
        <f t="shared" si="3"/>
        <v>0</v>
      </c>
      <c r="BM111" s="75">
        <f>IF('Prepare Gantt Chart'!$J110=0,0,SUM(AL111:AQ111)/6/'Prepare Gantt Chart'!$J110)</f>
        <v>0</v>
      </c>
      <c r="BN111" s="75">
        <f>IF('Prepare Gantt Chart'!$J110=0,0,SUM(AR111:AV111)/5/'Prepare Gantt Chart'!$J110)</f>
        <v>0</v>
      </c>
      <c r="BO111" s="75">
        <f>IF('Prepare Gantt Chart'!$J110=0,0,SUM(AW111:BA111)/5/'Prepare Gantt Chart'!$J110)</f>
        <v>0</v>
      </c>
      <c r="BP111" s="75">
        <f>IF('Prepare Gantt Chart'!$J110=0,0,SUM(BB111:BF111)/5/'Prepare Gantt Chart'!$J110)</f>
        <v>0</v>
      </c>
      <c r="BQ111" s="75">
        <f>IF('Prepare Gantt Chart'!$J110=0,0,SUM(BG111:BK111)/5/'Prepare Gantt Chart'!$J110)</f>
        <v>0</v>
      </c>
    </row>
    <row r="112" spans="1:69" x14ac:dyDescent="0.2">
      <c r="A112" s="42" t="s">
        <v>103</v>
      </c>
      <c r="B112" s="1" t="s">
        <v>167</v>
      </c>
      <c r="C112" s="45">
        <f>_xlfn.IFS('Prepare Gantt Chart'!P111=18,'Project types'!$O112*('Prepare Gantt Chart'!$I111*'Prepare Gantt Chart'!$J111),'Prepare Gantt Chart'!P111=17,'Project types'!$Q112*('Prepare Gantt Chart'!$I111*'Prepare Gantt Chart'!$J111),'Prepare Gantt Chart'!P111=0,0)</f>
        <v>0</v>
      </c>
      <c r="D112" s="45">
        <f>_xlfn.IFS('Prepare Gantt Chart'!Q111=18,'Project types'!$O112*('Prepare Gantt Chart'!$I111*'Prepare Gantt Chart'!$J111),'Prepare Gantt Chart'!Q111=17,'Project types'!$Q112*('Prepare Gantt Chart'!$I111*'Prepare Gantt Chart'!$J111),'Prepare Gantt Chart'!Q111=0,0)</f>
        <v>0</v>
      </c>
      <c r="E112" s="45">
        <f>_xlfn.IFS('Prepare Gantt Chart'!R111=18,'Project types'!$O112*('Prepare Gantt Chart'!$I111*'Prepare Gantt Chart'!$J111),'Prepare Gantt Chart'!R111=17,'Project types'!$Q112*('Prepare Gantt Chart'!$I111*'Prepare Gantt Chart'!$J111),'Prepare Gantt Chart'!R111=0,0)</f>
        <v>0</v>
      </c>
      <c r="F112" s="45">
        <f>_xlfn.IFS('Prepare Gantt Chart'!S111=18,'Project types'!$O112*('Prepare Gantt Chart'!$I111*'Prepare Gantt Chart'!$J111),'Prepare Gantt Chart'!S111=17,'Project types'!$Q112*('Prepare Gantt Chart'!$I111*'Prepare Gantt Chart'!$J111),'Prepare Gantt Chart'!S111=0,0)</f>
        <v>0</v>
      </c>
      <c r="G112" s="45">
        <f>_xlfn.IFS('Prepare Gantt Chart'!T111=18,'Project types'!$O112*('Prepare Gantt Chart'!$I111*'Prepare Gantt Chart'!$J111),'Prepare Gantt Chart'!T111=17,'Project types'!$Q112*('Prepare Gantt Chart'!$I111*'Prepare Gantt Chart'!$J111),'Prepare Gantt Chart'!T111=0,0)</f>
        <v>0</v>
      </c>
      <c r="H112" s="45">
        <f>_xlfn.IFS('Prepare Gantt Chart'!U111=18,'Project types'!$O112*('Prepare Gantt Chart'!$I111*'Prepare Gantt Chart'!$J111),'Prepare Gantt Chart'!U111=17,'Project types'!$Q112*('Prepare Gantt Chart'!$I111*'Prepare Gantt Chart'!$J111),'Prepare Gantt Chart'!U111=0,0)</f>
        <v>0</v>
      </c>
      <c r="I112" s="45">
        <f>_xlfn.IFS('Prepare Gantt Chart'!V111=18,'Project types'!$O112*('Prepare Gantt Chart'!$I111*'Prepare Gantt Chart'!$J111),'Prepare Gantt Chart'!V111=17,'Project types'!$Q112*('Prepare Gantt Chart'!$I111*'Prepare Gantt Chart'!$J111),'Prepare Gantt Chart'!V111=0,0)</f>
        <v>0</v>
      </c>
      <c r="J112" s="45">
        <f>_xlfn.IFS('Prepare Gantt Chart'!W111=18,'Project types'!$O112*('Prepare Gantt Chart'!$I111*'Prepare Gantt Chart'!$J111),'Prepare Gantt Chart'!W111=17,'Project types'!$Q112*('Prepare Gantt Chart'!$I111*'Prepare Gantt Chart'!$J111),'Prepare Gantt Chart'!W111=0,0)</f>
        <v>0</v>
      </c>
      <c r="K112" s="45">
        <f>_xlfn.IFS('Prepare Gantt Chart'!X111=18,'Project types'!$O112*('Prepare Gantt Chart'!$I111*'Prepare Gantt Chart'!$J111),'Prepare Gantt Chart'!X111=17,'Project types'!$Q112*('Prepare Gantt Chart'!$I111*'Prepare Gantt Chart'!$J111),'Prepare Gantt Chart'!X111=0,0)</f>
        <v>0</v>
      </c>
      <c r="L112" s="45">
        <f>_xlfn.IFS('Prepare Gantt Chart'!Y111=18,'Project types'!$O112*('Prepare Gantt Chart'!$I111*'Prepare Gantt Chart'!$J111),'Prepare Gantt Chart'!Y111=17,'Project types'!$Q112*('Prepare Gantt Chart'!$I111*'Prepare Gantt Chart'!$J111),'Prepare Gantt Chart'!Y111=0,0)</f>
        <v>0</v>
      </c>
      <c r="M112" s="45">
        <f>_xlfn.IFS('Prepare Gantt Chart'!Z111=18,'Project types'!$O112*('Prepare Gantt Chart'!$I111*'Prepare Gantt Chart'!$J111),'Prepare Gantt Chart'!Z111=17,'Project types'!$Q112*('Prepare Gantt Chart'!$I111*'Prepare Gantt Chart'!$J111),'Prepare Gantt Chart'!Z111=0,0)</f>
        <v>0</v>
      </c>
      <c r="N112" s="45">
        <f>_xlfn.IFS('Prepare Gantt Chart'!AA111=18,'Project types'!$O112*('Prepare Gantt Chart'!$I111*'Prepare Gantt Chart'!$J111),'Prepare Gantt Chart'!AA111=17,'Project types'!$Q112*('Prepare Gantt Chart'!$I111*'Prepare Gantt Chart'!$J111),'Prepare Gantt Chart'!AA111=0,0)</f>
        <v>0</v>
      </c>
      <c r="O112" s="45">
        <f>_xlfn.IFS('Prepare Gantt Chart'!AB111=18,'Project types'!$O112*('Prepare Gantt Chart'!$I111*'Prepare Gantt Chart'!$J111),'Prepare Gantt Chart'!AB111=17,'Project types'!$Q112*('Prepare Gantt Chart'!$I111*'Prepare Gantt Chart'!$J111),'Prepare Gantt Chart'!AB111=0,0)</f>
        <v>0</v>
      </c>
      <c r="P112" s="45">
        <f>_xlfn.IFS('Prepare Gantt Chart'!AC111=18,'Project types'!$O112*('Prepare Gantt Chart'!$I111*'Prepare Gantt Chart'!$J111),'Prepare Gantt Chart'!AC111=17,'Project types'!$Q112*('Prepare Gantt Chart'!$I111*'Prepare Gantt Chart'!$J111),'Prepare Gantt Chart'!AC111=0,0)</f>
        <v>0</v>
      </c>
      <c r="Q112" s="45">
        <f>_xlfn.IFS('Prepare Gantt Chart'!AD111=18,'Project types'!$O112*('Prepare Gantt Chart'!$I111*'Prepare Gantt Chart'!$J111),'Prepare Gantt Chart'!AD111=17,'Project types'!$Q112*('Prepare Gantt Chart'!$I111*'Prepare Gantt Chart'!$J111),'Prepare Gantt Chart'!AD111=0,0)</f>
        <v>0</v>
      </c>
      <c r="R112" s="45">
        <f>_xlfn.IFS('Prepare Gantt Chart'!AE111=18,'Project types'!$O112*('Prepare Gantt Chart'!$I111*'Prepare Gantt Chart'!$J111),'Prepare Gantt Chart'!AE111=17,'Project types'!$Q112*('Prepare Gantt Chart'!$I111*'Prepare Gantt Chart'!$J111),'Prepare Gantt Chart'!AE111=0,0)</f>
        <v>0</v>
      </c>
      <c r="S112" s="45">
        <f>_xlfn.IFS('Prepare Gantt Chart'!AF111=18,'Project types'!$O112*('Prepare Gantt Chart'!$I111*'Prepare Gantt Chart'!$J111),'Prepare Gantt Chart'!AF111=17,'Project types'!$Q112*('Prepare Gantt Chart'!$I111*'Prepare Gantt Chart'!$J111),'Prepare Gantt Chart'!AF111=0,0)</f>
        <v>0</v>
      </c>
      <c r="T112" s="45">
        <f>_xlfn.IFS('Prepare Gantt Chart'!AG111=18,'Project types'!$O112*('Prepare Gantt Chart'!$I111*'Prepare Gantt Chart'!$J111),'Prepare Gantt Chart'!AG111=17,'Project types'!$Q112*('Prepare Gantt Chart'!$I111*'Prepare Gantt Chart'!$J111),'Prepare Gantt Chart'!AG111=0,0)</f>
        <v>0</v>
      </c>
      <c r="U112" s="45">
        <f>_xlfn.IFS('Prepare Gantt Chart'!AH111=18,'Project types'!$O112*('Prepare Gantt Chart'!$I111*'Prepare Gantt Chart'!$J111),'Prepare Gantt Chart'!AH111=17,'Project types'!$Q112*('Prepare Gantt Chart'!$I111*'Prepare Gantt Chart'!$J111),'Prepare Gantt Chart'!AH111=0,0)</f>
        <v>0</v>
      </c>
      <c r="V112" s="45">
        <f>_xlfn.IFS('Prepare Gantt Chart'!AI111=18,'Project types'!$O112*('Prepare Gantt Chart'!$I111*'Prepare Gantt Chart'!$J111),'Prepare Gantt Chart'!AI111=17,'Project types'!$Q112*('Prepare Gantt Chart'!$I111*'Prepare Gantt Chart'!$J111),'Prepare Gantt Chart'!AI111=0,0)</f>
        <v>0</v>
      </c>
      <c r="W112" s="45">
        <f>_xlfn.IFS('Prepare Gantt Chart'!AJ111=18,'Project types'!$O112*('Prepare Gantt Chart'!$I111*'Prepare Gantt Chart'!$J111),'Prepare Gantt Chart'!AJ111=17,'Project types'!$Q112*('Prepare Gantt Chart'!$I111*'Prepare Gantt Chart'!$J111),'Prepare Gantt Chart'!AJ111=0,0)</f>
        <v>0</v>
      </c>
      <c r="X112" s="45">
        <f>_xlfn.IFS('Prepare Gantt Chart'!AK111=18,'Project types'!$O112*('Prepare Gantt Chart'!$I111*'Prepare Gantt Chart'!$J111),'Prepare Gantt Chart'!AK111=17,'Project types'!$Q112*('Prepare Gantt Chart'!$I111*'Prepare Gantt Chart'!$J111),'Prepare Gantt Chart'!AK111=0,0)</f>
        <v>0</v>
      </c>
      <c r="Y112" s="45">
        <f>_xlfn.IFS('Prepare Gantt Chart'!AL111=18,'Project types'!$O112*('Prepare Gantt Chart'!$I111*'Prepare Gantt Chart'!$J111),'Prepare Gantt Chart'!AL111=17,'Project types'!$Q112*('Prepare Gantt Chart'!$I111*'Prepare Gantt Chart'!$J111),'Prepare Gantt Chart'!AL111=0,0)</f>
        <v>0</v>
      </c>
      <c r="Z112" s="45">
        <f>_xlfn.IFS('Prepare Gantt Chart'!AM111=18,'Project types'!$O112*('Prepare Gantt Chart'!$I111*'Prepare Gantt Chart'!$J111),'Prepare Gantt Chart'!AM111=17,'Project types'!$Q112*('Prepare Gantt Chart'!$I111*'Prepare Gantt Chart'!$J111),'Prepare Gantt Chart'!AM111=0,0)</f>
        <v>0</v>
      </c>
      <c r="AA112" s="45">
        <f>_xlfn.IFS('Prepare Gantt Chart'!AN111=18,'Project types'!$O112*('Prepare Gantt Chart'!$I111*'Prepare Gantt Chart'!$J111),'Prepare Gantt Chart'!AN111=17,'Project types'!$Q112*('Prepare Gantt Chart'!$I111*'Prepare Gantt Chart'!$J111),'Prepare Gantt Chart'!AN111=0,0)</f>
        <v>0</v>
      </c>
      <c r="AB112" s="45">
        <f>_xlfn.IFS('Prepare Gantt Chart'!AO111=18,'Project types'!$O112*('Prepare Gantt Chart'!$I111*'Prepare Gantt Chart'!$J111),'Prepare Gantt Chart'!AO111=17,'Project types'!$Q112*('Prepare Gantt Chart'!$I111*'Prepare Gantt Chart'!$J111),'Prepare Gantt Chart'!AO111=0,0)</f>
        <v>0</v>
      </c>
      <c r="AC112" s="45">
        <f>'Prepare Gantt Chart'!J111*'Prepare Gantt Chart'!I111*(AD112/26)</f>
        <v>0</v>
      </c>
      <c r="AD112" s="46">
        <f t="shared" si="2"/>
        <v>0</v>
      </c>
      <c r="AE112" s="72">
        <f>IF('Prepare Gantt Chart'!$J111=0,0,SUM(C112:H112)/6/'Prepare Gantt Chart'!$J111)</f>
        <v>0</v>
      </c>
      <c r="AF112" s="72">
        <f>IF('Prepare Gantt Chart'!$J111=0,0,SUM(I112:M112)/5/'Prepare Gantt Chart'!$J111)</f>
        <v>0</v>
      </c>
      <c r="AG112" s="72">
        <f>IF('Prepare Gantt Chart'!$J111=0,0,SUM(N112:R112)/5/'Prepare Gantt Chart'!$J111)</f>
        <v>0</v>
      </c>
      <c r="AH112" s="72">
        <f>IF('Prepare Gantt Chart'!$J111=0,0,SUM(S112:W112)/5/'Prepare Gantt Chart'!$J111)</f>
        <v>0</v>
      </c>
      <c r="AI112" s="72">
        <f>IF('Prepare Gantt Chart'!$J111=0,0,SUM(X112:AB112)/5/'Prepare Gantt Chart'!$J111)</f>
        <v>0</v>
      </c>
      <c r="AK112" s="42" t="s">
        <v>103</v>
      </c>
      <c r="AL112" s="45">
        <f>_xlfn.IFS('Prepare Gantt Chart'!P111=18,'Project types'!$L112*('Prepare Gantt Chart'!$I111*'Prepare Gantt Chart'!$J111),'Prepare Gantt Chart'!P111=17,'Project types'!$L112*('Prepare Gantt Chart'!$I111*'Prepare Gantt Chart'!$J111),'Prepare Gantt Chart'!P111=0,0)</f>
        <v>0</v>
      </c>
      <c r="AM112" s="45">
        <f>_xlfn.IFS('Prepare Gantt Chart'!Q111=18,'Project types'!$L112*('Prepare Gantt Chart'!$I111*'Prepare Gantt Chart'!$J111),'Prepare Gantt Chart'!Q111=17,'Project types'!$L112*('Prepare Gantt Chart'!$I111*'Prepare Gantt Chart'!$J111),'Prepare Gantt Chart'!Q111=0,0)</f>
        <v>0</v>
      </c>
      <c r="AN112" s="45">
        <f>_xlfn.IFS('Prepare Gantt Chart'!R111=18,'Project types'!$L112*('Prepare Gantt Chart'!$I111*'Prepare Gantt Chart'!$J111),'Prepare Gantt Chart'!R111=17,'Project types'!$L112*('Prepare Gantt Chart'!$I111*'Prepare Gantt Chart'!$J111),'Prepare Gantt Chart'!R111=0,0)</f>
        <v>0</v>
      </c>
      <c r="AO112" s="45">
        <f>_xlfn.IFS('Prepare Gantt Chart'!S111=18,'Project types'!$L112*('Prepare Gantt Chart'!$I111*'Prepare Gantt Chart'!$J111),'Prepare Gantt Chart'!S111=17,'Project types'!$L112*('Prepare Gantt Chart'!$I111*'Prepare Gantt Chart'!$J111),'Prepare Gantt Chart'!S111=0,0)</f>
        <v>0</v>
      </c>
      <c r="AP112" s="45">
        <f>_xlfn.IFS('Prepare Gantt Chart'!T111=18,'Project types'!$L112*('Prepare Gantt Chart'!$I111*'Prepare Gantt Chart'!$J111),'Prepare Gantt Chart'!T111=17,'Project types'!$L112*('Prepare Gantt Chart'!$I111*'Prepare Gantt Chart'!$J111),'Prepare Gantt Chart'!T111=0,0)</f>
        <v>0</v>
      </c>
      <c r="AQ112" s="45">
        <f>_xlfn.IFS('Prepare Gantt Chart'!U111=18,'Project types'!$L112*('Prepare Gantt Chart'!$I111*'Prepare Gantt Chart'!$J111),'Prepare Gantt Chart'!U111=17,'Project types'!$L112*('Prepare Gantt Chart'!$I111*'Prepare Gantt Chart'!$J111),'Prepare Gantt Chart'!U111=0,0)</f>
        <v>0</v>
      </c>
      <c r="AR112" s="45">
        <f>_xlfn.IFS('Prepare Gantt Chart'!V111=18,'Project types'!$L112*('Prepare Gantt Chart'!$I111*'Prepare Gantt Chart'!$J111),'Prepare Gantt Chart'!V111=17,'Project types'!$L112*('Prepare Gantt Chart'!$I111*'Prepare Gantt Chart'!$J111),'Prepare Gantt Chart'!V111=0,0)</f>
        <v>0</v>
      </c>
      <c r="AS112" s="45">
        <f>_xlfn.IFS('Prepare Gantt Chart'!W111=18,'Project types'!$L112*('Prepare Gantt Chart'!$I111*'Prepare Gantt Chart'!$J111),'Prepare Gantt Chart'!W111=17,'Project types'!$L112*('Prepare Gantt Chart'!$I111*'Prepare Gantt Chart'!$J111),'Prepare Gantt Chart'!W111=0,0)</f>
        <v>0</v>
      </c>
      <c r="AT112" s="45">
        <f>_xlfn.IFS('Prepare Gantt Chart'!X111=18,'Project types'!$L112*('Prepare Gantt Chart'!$I111*'Prepare Gantt Chart'!$J111),'Prepare Gantt Chart'!X111=17,'Project types'!$L112*('Prepare Gantt Chart'!$I111*'Prepare Gantt Chart'!$J111),'Prepare Gantt Chart'!X111=0,0)</f>
        <v>0</v>
      </c>
      <c r="AU112" s="45">
        <f>_xlfn.IFS('Prepare Gantt Chart'!Y111=18,'Project types'!$L112*('Prepare Gantt Chart'!$I111*'Prepare Gantt Chart'!$J111),'Prepare Gantt Chart'!Y111=17,'Project types'!$L112*('Prepare Gantt Chart'!$I111*'Prepare Gantt Chart'!$J111),'Prepare Gantt Chart'!Y111=0,0)</f>
        <v>0</v>
      </c>
      <c r="AV112" s="45">
        <f>_xlfn.IFS('Prepare Gantt Chart'!Z111=18,'Project types'!$L112*('Prepare Gantt Chart'!$I111*'Prepare Gantt Chart'!$J111),'Prepare Gantt Chart'!Z111=17,'Project types'!$L112*('Prepare Gantt Chart'!$I111*'Prepare Gantt Chart'!$J111),'Prepare Gantt Chart'!Z111=0,0)</f>
        <v>0</v>
      </c>
      <c r="AW112" s="45">
        <f>_xlfn.IFS('Prepare Gantt Chart'!AA111=18,'Project types'!$L112*('Prepare Gantt Chart'!$I111*'Prepare Gantt Chart'!$J111),'Prepare Gantt Chart'!AA111=17,'Project types'!$L112*('Prepare Gantt Chart'!$I111*'Prepare Gantt Chart'!$J111),'Prepare Gantt Chart'!AA111=0,0)</f>
        <v>0</v>
      </c>
      <c r="AX112" s="45">
        <f>_xlfn.IFS('Prepare Gantt Chart'!AB111=18,'Project types'!$L112*('Prepare Gantt Chart'!$I111*'Prepare Gantt Chart'!$J111),'Prepare Gantt Chart'!AB111=17,'Project types'!$L112*('Prepare Gantt Chart'!$I111*'Prepare Gantt Chart'!$J111),'Prepare Gantt Chart'!AB111=0,0)</f>
        <v>0</v>
      </c>
      <c r="AY112" s="45">
        <f>_xlfn.IFS('Prepare Gantt Chart'!AC111=18,'Project types'!$L112*('Prepare Gantt Chart'!$I111*'Prepare Gantt Chart'!$J111),'Prepare Gantt Chart'!AC111=17,'Project types'!$L112*('Prepare Gantt Chart'!$I111*'Prepare Gantt Chart'!$J111),'Prepare Gantt Chart'!AC111=0,0)</f>
        <v>0</v>
      </c>
      <c r="AZ112" s="45">
        <f>_xlfn.IFS('Prepare Gantt Chart'!AD111=18,'Project types'!$L112*('Prepare Gantt Chart'!$I111*'Prepare Gantt Chart'!$J111),'Prepare Gantt Chart'!AD111=17,'Project types'!$L112*('Prepare Gantt Chart'!$I111*'Prepare Gantt Chart'!$J111),'Prepare Gantt Chart'!AD111=0,0)</f>
        <v>0</v>
      </c>
      <c r="BA112" s="45">
        <f>_xlfn.IFS('Prepare Gantt Chart'!AE111=18,'Project types'!$L112*('Prepare Gantt Chart'!$I111*'Prepare Gantt Chart'!$J111),'Prepare Gantt Chart'!AE111=17,'Project types'!$L112*('Prepare Gantt Chart'!$I111*'Prepare Gantt Chart'!$J111),'Prepare Gantt Chart'!AE111=0,0)</f>
        <v>0</v>
      </c>
      <c r="BB112" s="45">
        <f>_xlfn.IFS('Prepare Gantt Chart'!AF111=18,'Project types'!$L112*('Prepare Gantt Chart'!$I111*'Prepare Gantt Chart'!$J111),'Prepare Gantt Chart'!AF111=17,'Project types'!$L112*('Prepare Gantt Chart'!$I111*'Prepare Gantt Chart'!$J111),'Prepare Gantt Chart'!AF111=0,0)</f>
        <v>0</v>
      </c>
      <c r="BC112" s="45">
        <f>_xlfn.IFS('Prepare Gantt Chart'!AG111=18,'Project types'!$L112*('Prepare Gantt Chart'!$I111*'Prepare Gantt Chart'!$J111),'Prepare Gantt Chart'!AG111=17,'Project types'!$L112*('Prepare Gantt Chart'!$I111*'Prepare Gantt Chart'!$J111),'Prepare Gantt Chart'!AG111=0,0)</f>
        <v>0</v>
      </c>
      <c r="BD112" s="45">
        <f>_xlfn.IFS('Prepare Gantt Chart'!AH111=18,'Project types'!$L112*('Prepare Gantt Chart'!$I111*'Prepare Gantt Chart'!$J111),'Prepare Gantt Chart'!AH111=17,'Project types'!$L112*('Prepare Gantt Chart'!$I111*'Prepare Gantt Chart'!$J111),'Prepare Gantt Chart'!AH111=0,0)</f>
        <v>0</v>
      </c>
      <c r="BE112" s="45">
        <f>_xlfn.IFS('Prepare Gantt Chart'!AI111=18,'Project types'!$L112*('Prepare Gantt Chart'!$I111*'Prepare Gantt Chart'!$J111),'Prepare Gantt Chart'!AI111=17,'Project types'!$L112*('Prepare Gantt Chart'!$I111*'Prepare Gantt Chart'!$J111),'Prepare Gantt Chart'!AI111=0,0)</f>
        <v>0</v>
      </c>
      <c r="BF112" s="45">
        <f>_xlfn.IFS('Prepare Gantt Chart'!AJ111=18,'Project types'!$L112*('Prepare Gantt Chart'!$I111*'Prepare Gantt Chart'!$J111),'Prepare Gantt Chart'!AJ111=17,'Project types'!$L112*('Prepare Gantt Chart'!$I111*'Prepare Gantt Chart'!$J111),'Prepare Gantt Chart'!AJ111=0,0)</f>
        <v>0</v>
      </c>
      <c r="BG112" s="45">
        <f>_xlfn.IFS('Prepare Gantt Chart'!AK111=18,'Project types'!$L112*('Prepare Gantt Chart'!$I111*'Prepare Gantt Chart'!$J111),'Prepare Gantt Chart'!AK111=17,'Project types'!$L112*('Prepare Gantt Chart'!$I111*'Prepare Gantt Chart'!$J111),'Prepare Gantt Chart'!AK111=0,0)</f>
        <v>0</v>
      </c>
      <c r="BH112" s="45">
        <f>_xlfn.IFS('Prepare Gantt Chart'!AL111=18,'Project types'!$L112*('Prepare Gantt Chart'!$I111*'Prepare Gantt Chart'!$J111),'Prepare Gantt Chart'!AL111=17,'Project types'!$L112*('Prepare Gantt Chart'!$I111*'Prepare Gantt Chart'!$J111),'Prepare Gantt Chart'!AL111=0,0)</f>
        <v>0</v>
      </c>
      <c r="BI112" s="45">
        <f>_xlfn.IFS('Prepare Gantt Chart'!AM111=18,'Project types'!$L112*('Prepare Gantt Chart'!$I111*'Prepare Gantt Chart'!$J111),'Prepare Gantt Chart'!AM111=17,'Project types'!$L112*('Prepare Gantt Chart'!$I111*'Prepare Gantt Chart'!$J111),'Prepare Gantt Chart'!AM111=0,0)</f>
        <v>0</v>
      </c>
      <c r="BJ112" s="45">
        <f>_xlfn.IFS('Prepare Gantt Chart'!AN111=18,'Project types'!$L112*('Prepare Gantt Chart'!$I111*'Prepare Gantt Chart'!$J111),'Prepare Gantt Chart'!AN111=17,'Project types'!$L112*('Prepare Gantt Chart'!$I111*'Prepare Gantt Chart'!$J111),'Prepare Gantt Chart'!AN111=0,0)</f>
        <v>0</v>
      </c>
      <c r="BK112" s="45">
        <f>_xlfn.IFS('Prepare Gantt Chart'!AO111=18,'Project types'!$L112*('Prepare Gantt Chart'!$I111*'Prepare Gantt Chart'!$J111),'Prepare Gantt Chart'!AO111=17,'Project types'!$L112*('Prepare Gantt Chart'!$I111*'Prepare Gantt Chart'!$J111),'Prepare Gantt Chart'!AO111=0,0)</f>
        <v>0</v>
      </c>
      <c r="BL112" s="46">
        <f t="shared" si="3"/>
        <v>0</v>
      </c>
      <c r="BM112" s="75">
        <f>IF('Prepare Gantt Chart'!$J111=0,0,SUM(AL112:AQ112)/6/'Prepare Gantt Chart'!$J111)</f>
        <v>0</v>
      </c>
      <c r="BN112" s="75">
        <f>IF('Prepare Gantt Chart'!$J111=0,0,SUM(AR112:AV112)/5/'Prepare Gantt Chart'!$J111)</f>
        <v>0</v>
      </c>
      <c r="BO112" s="75">
        <f>IF('Prepare Gantt Chart'!$J111=0,0,SUM(AW112:BA112)/5/'Prepare Gantt Chart'!$J111)</f>
        <v>0</v>
      </c>
      <c r="BP112" s="75">
        <f>IF('Prepare Gantt Chart'!$J111=0,0,SUM(BB112:BF112)/5/'Prepare Gantt Chart'!$J111)</f>
        <v>0</v>
      </c>
      <c r="BQ112" s="75">
        <f>IF('Prepare Gantt Chart'!$J111=0,0,SUM(BG112:BK112)/5/'Prepare Gantt Chart'!$J111)</f>
        <v>0</v>
      </c>
    </row>
    <row r="113" spans="1:69" x14ac:dyDescent="0.2">
      <c r="A113" s="42" t="s">
        <v>104</v>
      </c>
      <c r="B113" s="1" t="s">
        <v>168</v>
      </c>
      <c r="C113" s="45">
        <f>_xlfn.IFS('Prepare Gantt Chart'!P112=18,'Project types'!$O113*('Prepare Gantt Chart'!$I112*'Prepare Gantt Chart'!$J112),'Prepare Gantt Chart'!P112=17,'Project types'!$Q113*('Prepare Gantt Chart'!$I112*'Prepare Gantt Chart'!$J112),'Prepare Gantt Chart'!P112=0,0)</f>
        <v>0</v>
      </c>
      <c r="D113" s="45">
        <f>_xlfn.IFS('Prepare Gantt Chart'!Q112=18,'Project types'!$O113*('Prepare Gantt Chart'!$I112*'Prepare Gantt Chart'!$J112),'Prepare Gantt Chart'!Q112=17,'Project types'!$Q113*('Prepare Gantt Chart'!$I112*'Prepare Gantt Chart'!$J112),'Prepare Gantt Chart'!Q112=0,0)</f>
        <v>0</v>
      </c>
      <c r="E113" s="45">
        <f>_xlfn.IFS('Prepare Gantt Chart'!R112=18,'Project types'!$O113*('Prepare Gantt Chart'!$I112*'Prepare Gantt Chart'!$J112),'Prepare Gantt Chart'!R112=17,'Project types'!$Q113*('Prepare Gantt Chart'!$I112*'Prepare Gantt Chart'!$J112),'Prepare Gantt Chart'!R112=0,0)</f>
        <v>0</v>
      </c>
      <c r="F113" s="45">
        <f>_xlfn.IFS('Prepare Gantt Chart'!S112=18,'Project types'!$O113*('Prepare Gantt Chart'!$I112*'Prepare Gantt Chart'!$J112),'Prepare Gantt Chart'!S112=17,'Project types'!$Q113*('Prepare Gantt Chart'!$I112*'Prepare Gantt Chart'!$J112),'Prepare Gantt Chart'!S112=0,0)</f>
        <v>0</v>
      </c>
      <c r="G113" s="45">
        <f>_xlfn.IFS('Prepare Gantt Chart'!T112=18,'Project types'!$O113*('Prepare Gantt Chart'!$I112*'Prepare Gantt Chart'!$J112),'Prepare Gantt Chart'!T112=17,'Project types'!$Q113*('Prepare Gantt Chart'!$I112*'Prepare Gantt Chart'!$J112),'Prepare Gantt Chart'!T112=0,0)</f>
        <v>0</v>
      </c>
      <c r="H113" s="45">
        <f>_xlfn.IFS('Prepare Gantt Chart'!U112=18,'Project types'!$O113*('Prepare Gantt Chart'!$I112*'Prepare Gantt Chart'!$J112),'Prepare Gantt Chart'!U112=17,'Project types'!$Q113*('Prepare Gantt Chart'!$I112*'Prepare Gantt Chart'!$J112),'Prepare Gantt Chart'!U112=0,0)</f>
        <v>0</v>
      </c>
      <c r="I113" s="45">
        <f>_xlfn.IFS('Prepare Gantt Chart'!V112=18,'Project types'!$O113*('Prepare Gantt Chart'!$I112*'Prepare Gantt Chart'!$J112),'Prepare Gantt Chart'!V112=17,'Project types'!$Q113*('Prepare Gantt Chart'!$I112*'Prepare Gantt Chart'!$J112),'Prepare Gantt Chart'!V112=0,0)</f>
        <v>0</v>
      </c>
      <c r="J113" s="45">
        <f>_xlfn.IFS('Prepare Gantt Chart'!W112=18,'Project types'!$O113*('Prepare Gantt Chart'!$I112*'Prepare Gantt Chart'!$J112),'Prepare Gantt Chart'!W112=17,'Project types'!$Q113*('Prepare Gantt Chart'!$I112*'Prepare Gantt Chart'!$J112),'Prepare Gantt Chart'!W112=0,0)</f>
        <v>0</v>
      </c>
      <c r="K113" s="45">
        <f>_xlfn.IFS('Prepare Gantt Chart'!X112=18,'Project types'!$O113*('Prepare Gantt Chart'!$I112*'Prepare Gantt Chart'!$J112),'Prepare Gantt Chart'!X112=17,'Project types'!$Q113*('Prepare Gantt Chart'!$I112*'Prepare Gantt Chart'!$J112),'Prepare Gantt Chart'!X112=0,0)</f>
        <v>0</v>
      </c>
      <c r="L113" s="45">
        <f>_xlfn.IFS('Prepare Gantt Chart'!Y112=18,'Project types'!$O113*('Prepare Gantt Chart'!$I112*'Prepare Gantt Chart'!$J112),'Prepare Gantt Chart'!Y112=17,'Project types'!$Q113*('Prepare Gantt Chart'!$I112*'Prepare Gantt Chart'!$J112),'Prepare Gantt Chart'!Y112=0,0)</f>
        <v>0</v>
      </c>
      <c r="M113" s="45">
        <f>_xlfn.IFS('Prepare Gantt Chart'!Z112=18,'Project types'!$O113*('Prepare Gantt Chart'!$I112*'Prepare Gantt Chart'!$J112),'Prepare Gantt Chart'!Z112=17,'Project types'!$Q113*('Prepare Gantt Chart'!$I112*'Prepare Gantt Chart'!$J112),'Prepare Gantt Chart'!Z112=0,0)</f>
        <v>0</v>
      </c>
      <c r="N113" s="45">
        <f>_xlfn.IFS('Prepare Gantt Chart'!AA112=18,'Project types'!$O113*('Prepare Gantt Chart'!$I112*'Prepare Gantt Chart'!$J112),'Prepare Gantt Chart'!AA112=17,'Project types'!$Q113*('Prepare Gantt Chart'!$I112*'Prepare Gantt Chart'!$J112),'Prepare Gantt Chart'!AA112=0,0)</f>
        <v>0</v>
      </c>
      <c r="O113" s="45">
        <f>_xlfn.IFS('Prepare Gantt Chart'!AB112=18,'Project types'!$O113*('Prepare Gantt Chart'!$I112*'Prepare Gantt Chart'!$J112),'Prepare Gantt Chart'!AB112=17,'Project types'!$Q113*('Prepare Gantt Chart'!$I112*'Prepare Gantt Chart'!$J112),'Prepare Gantt Chart'!AB112=0,0)</f>
        <v>0</v>
      </c>
      <c r="P113" s="45">
        <f>_xlfn.IFS('Prepare Gantt Chart'!AC112=18,'Project types'!$O113*('Prepare Gantt Chart'!$I112*'Prepare Gantt Chart'!$J112),'Prepare Gantt Chart'!AC112=17,'Project types'!$Q113*('Prepare Gantt Chart'!$I112*'Prepare Gantt Chart'!$J112),'Prepare Gantt Chart'!AC112=0,0)</f>
        <v>0</v>
      </c>
      <c r="Q113" s="45">
        <f>_xlfn.IFS('Prepare Gantt Chart'!AD112=18,'Project types'!$O113*('Prepare Gantt Chart'!$I112*'Prepare Gantt Chart'!$J112),'Prepare Gantt Chart'!AD112=17,'Project types'!$Q113*('Prepare Gantt Chart'!$I112*'Prepare Gantt Chart'!$J112),'Prepare Gantt Chart'!AD112=0,0)</f>
        <v>0</v>
      </c>
      <c r="R113" s="45">
        <f>_xlfn.IFS('Prepare Gantt Chart'!AE112=18,'Project types'!$O113*('Prepare Gantt Chart'!$I112*'Prepare Gantt Chart'!$J112),'Prepare Gantt Chart'!AE112=17,'Project types'!$Q113*('Prepare Gantt Chart'!$I112*'Prepare Gantt Chart'!$J112),'Prepare Gantt Chart'!AE112=0,0)</f>
        <v>0</v>
      </c>
      <c r="S113" s="45">
        <f>_xlfn.IFS('Prepare Gantt Chart'!AF112=18,'Project types'!$O113*('Prepare Gantt Chart'!$I112*'Prepare Gantt Chart'!$J112),'Prepare Gantt Chart'!AF112=17,'Project types'!$Q113*('Prepare Gantt Chart'!$I112*'Prepare Gantt Chart'!$J112),'Prepare Gantt Chart'!AF112=0,0)</f>
        <v>0</v>
      </c>
      <c r="T113" s="45">
        <f>_xlfn.IFS('Prepare Gantt Chart'!AG112=18,'Project types'!$O113*('Prepare Gantt Chart'!$I112*'Prepare Gantt Chart'!$J112),'Prepare Gantt Chart'!AG112=17,'Project types'!$Q113*('Prepare Gantt Chart'!$I112*'Prepare Gantt Chart'!$J112),'Prepare Gantt Chart'!AG112=0,0)</f>
        <v>0</v>
      </c>
      <c r="U113" s="45">
        <f>_xlfn.IFS('Prepare Gantt Chart'!AH112=18,'Project types'!$O113*('Prepare Gantt Chart'!$I112*'Prepare Gantt Chart'!$J112),'Prepare Gantt Chart'!AH112=17,'Project types'!$Q113*('Prepare Gantt Chart'!$I112*'Prepare Gantt Chart'!$J112),'Prepare Gantt Chart'!AH112=0,0)</f>
        <v>0</v>
      </c>
      <c r="V113" s="45">
        <f>_xlfn.IFS('Prepare Gantt Chart'!AI112=18,'Project types'!$O113*('Prepare Gantt Chart'!$I112*'Prepare Gantt Chart'!$J112),'Prepare Gantt Chart'!AI112=17,'Project types'!$Q113*('Prepare Gantt Chart'!$I112*'Prepare Gantt Chart'!$J112),'Prepare Gantt Chart'!AI112=0,0)</f>
        <v>0</v>
      </c>
      <c r="W113" s="45">
        <f>_xlfn.IFS('Prepare Gantt Chart'!AJ112=18,'Project types'!$O113*('Prepare Gantt Chart'!$I112*'Prepare Gantt Chart'!$J112),'Prepare Gantt Chart'!AJ112=17,'Project types'!$Q113*('Prepare Gantt Chart'!$I112*'Prepare Gantt Chart'!$J112),'Prepare Gantt Chart'!AJ112=0,0)</f>
        <v>0</v>
      </c>
      <c r="X113" s="45">
        <f>_xlfn.IFS('Prepare Gantt Chart'!AK112=18,'Project types'!$O113*('Prepare Gantt Chart'!$I112*'Prepare Gantt Chart'!$J112),'Prepare Gantt Chart'!AK112=17,'Project types'!$Q113*('Prepare Gantt Chart'!$I112*'Prepare Gantt Chart'!$J112),'Prepare Gantt Chart'!AK112=0,0)</f>
        <v>0</v>
      </c>
      <c r="Y113" s="45">
        <f>_xlfn.IFS('Prepare Gantt Chart'!AL112=18,'Project types'!$O113*('Prepare Gantt Chart'!$I112*'Prepare Gantt Chart'!$J112),'Prepare Gantt Chart'!AL112=17,'Project types'!$Q113*('Prepare Gantt Chart'!$I112*'Prepare Gantt Chart'!$J112),'Prepare Gantt Chart'!AL112=0,0)</f>
        <v>0</v>
      </c>
      <c r="Z113" s="45">
        <f>_xlfn.IFS('Prepare Gantt Chart'!AM112=18,'Project types'!$O113*('Prepare Gantt Chart'!$I112*'Prepare Gantt Chart'!$J112),'Prepare Gantt Chart'!AM112=17,'Project types'!$Q113*('Prepare Gantt Chart'!$I112*'Prepare Gantt Chart'!$J112),'Prepare Gantt Chart'!AM112=0,0)</f>
        <v>0</v>
      </c>
      <c r="AA113" s="45">
        <f>_xlfn.IFS('Prepare Gantt Chart'!AN112=18,'Project types'!$O113*('Prepare Gantt Chart'!$I112*'Prepare Gantt Chart'!$J112),'Prepare Gantt Chart'!AN112=17,'Project types'!$Q113*('Prepare Gantt Chart'!$I112*'Prepare Gantt Chart'!$J112),'Prepare Gantt Chart'!AN112=0,0)</f>
        <v>0</v>
      </c>
      <c r="AB113" s="45">
        <f>_xlfn.IFS('Prepare Gantt Chart'!AO112=18,'Project types'!$O113*('Prepare Gantt Chart'!$I112*'Prepare Gantt Chart'!$J112),'Prepare Gantt Chart'!AO112=17,'Project types'!$Q113*('Prepare Gantt Chart'!$I112*'Prepare Gantt Chart'!$J112),'Prepare Gantt Chart'!AO112=0,0)</f>
        <v>0</v>
      </c>
      <c r="AC113" s="45">
        <f>'Prepare Gantt Chart'!J112*'Prepare Gantt Chart'!I112*(AD113/26)</f>
        <v>0</v>
      </c>
      <c r="AD113" s="46">
        <f t="shared" si="2"/>
        <v>0</v>
      </c>
      <c r="AE113" s="72">
        <f>IF('Prepare Gantt Chart'!$J112=0,0,SUM(C113:H113)/6/'Prepare Gantt Chart'!$J112)</f>
        <v>0</v>
      </c>
      <c r="AF113" s="72">
        <f>IF('Prepare Gantt Chart'!$J112=0,0,SUM(I113:M113)/5/'Prepare Gantt Chart'!$J112)</f>
        <v>0</v>
      </c>
      <c r="AG113" s="72">
        <f>IF('Prepare Gantt Chart'!$J112=0,0,SUM(N113:R113)/5/'Prepare Gantt Chart'!$J112)</f>
        <v>0</v>
      </c>
      <c r="AH113" s="72">
        <f>IF('Prepare Gantt Chart'!$J112=0,0,SUM(S113:W113)/5/'Prepare Gantt Chart'!$J112)</f>
        <v>0</v>
      </c>
      <c r="AI113" s="72">
        <f>IF('Prepare Gantt Chart'!$J112=0,0,SUM(X113:AB113)/5/'Prepare Gantt Chart'!$J112)</f>
        <v>0</v>
      </c>
      <c r="AK113" s="42" t="s">
        <v>104</v>
      </c>
      <c r="AL113" s="45">
        <f>_xlfn.IFS('Prepare Gantt Chart'!P112=18,'Project types'!$L113*('Prepare Gantt Chart'!$I112*'Prepare Gantt Chart'!$J112),'Prepare Gantt Chart'!P112=17,'Project types'!$L113*('Prepare Gantt Chart'!$I112*'Prepare Gantt Chart'!$J112),'Prepare Gantt Chart'!P112=0,0)</f>
        <v>0</v>
      </c>
      <c r="AM113" s="45">
        <f>_xlfn.IFS('Prepare Gantt Chart'!Q112=18,'Project types'!$L113*('Prepare Gantt Chart'!$I112*'Prepare Gantt Chart'!$J112),'Prepare Gantt Chart'!Q112=17,'Project types'!$L113*('Prepare Gantt Chart'!$I112*'Prepare Gantt Chart'!$J112),'Prepare Gantt Chart'!Q112=0,0)</f>
        <v>0</v>
      </c>
      <c r="AN113" s="45">
        <f>_xlfn.IFS('Prepare Gantt Chart'!R112=18,'Project types'!$L113*('Prepare Gantt Chart'!$I112*'Prepare Gantt Chart'!$J112),'Prepare Gantt Chart'!R112=17,'Project types'!$L113*('Prepare Gantt Chart'!$I112*'Prepare Gantt Chart'!$J112),'Prepare Gantt Chart'!R112=0,0)</f>
        <v>0</v>
      </c>
      <c r="AO113" s="45">
        <f>_xlfn.IFS('Prepare Gantt Chart'!S112=18,'Project types'!$L113*('Prepare Gantt Chart'!$I112*'Prepare Gantt Chart'!$J112),'Prepare Gantt Chart'!S112=17,'Project types'!$L113*('Prepare Gantt Chart'!$I112*'Prepare Gantt Chart'!$J112),'Prepare Gantt Chart'!S112=0,0)</f>
        <v>0</v>
      </c>
      <c r="AP113" s="45">
        <f>_xlfn.IFS('Prepare Gantt Chart'!T112=18,'Project types'!$L113*('Prepare Gantt Chart'!$I112*'Prepare Gantt Chart'!$J112),'Prepare Gantt Chart'!T112=17,'Project types'!$L113*('Prepare Gantt Chart'!$I112*'Prepare Gantt Chart'!$J112),'Prepare Gantt Chart'!T112=0,0)</f>
        <v>0</v>
      </c>
      <c r="AQ113" s="45">
        <f>_xlfn.IFS('Prepare Gantt Chart'!U112=18,'Project types'!$L113*('Prepare Gantt Chart'!$I112*'Prepare Gantt Chart'!$J112),'Prepare Gantt Chart'!U112=17,'Project types'!$L113*('Prepare Gantt Chart'!$I112*'Prepare Gantt Chart'!$J112),'Prepare Gantt Chart'!U112=0,0)</f>
        <v>0</v>
      </c>
      <c r="AR113" s="45">
        <f>_xlfn.IFS('Prepare Gantt Chart'!V112=18,'Project types'!$L113*('Prepare Gantt Chart'!$I112*'Prepare Gantt Chart'!$J112),'Prepare Gantt Chart'!V112=17,'Project types'!$L113*('Prepare Gantt Chart'!$I112*'Prepare Gantt Chart'!$J112),'Prepare Gantt Chart'!V112=0,0)</f>
        <v>0</v>
      </c>
      <c r="AS113" s="45">
        <f>_xlfn.IFS('Prepare Gantt Chart'!W112=18,'Project types'!$L113*('Prepare Gantt Chart'!$I112*'Prepare Gantt Chart'!$J112),'Prepare Gantt Chart'!W112=17,'Project types'!$L113*('Prepare Gantt Chart'!$I112*'Prepare Gantt Chart'!$J112),'Prepare Gantt Chart'!W112=0,0)</f>
        <v>0</v>
      </c>
      <c r="AT113" s="45">
        <f>_xlfn.IFS('Prepare Gantt Chart'!X112=18,'Project types'!$L113*('Prepare Gantt Chart'!$I112*'Prepare Gantt Chart'!$J112),'Prepare Gantt Chart'!X112=17,'Project types'!$L113*('Prepare Gantt Chart'!$I112*'Prepare Gantt Chart'!$J112),'Prepare Gantt Chart'!X112=0,0)</f>
        <v>0</v>
      </c>
      <c r="AU113" s="45">
        <f>_xlfn.IFS('Prepare Gantt Chart'!Y112=18,'Project types'!$L113*('Prepare Gantt Chart'!$I112*'Prepare Gantt Chart'!$J112),'Prepare Gantt Chart'!Y112=17,'Project types'!$L113*('Prepare Gantt Chart'!$I112*'Prepare Gantt Chart'!$J112),'Prepare Gantt Chart'!Y112=0,0)</f>
        <v>0</v>
      </c>
      <c r="AV113" s="45">
        <f>_xlfn.IFS('Prepare Gantt Chart'!Z112=18,'Project types'!$L113*('Prepare Gantt Chart'!$I112*'Prepare Gantt Chart'!$J112),'Prepare Gantt Chart'!Z112=17,'Project types'!$L113*('Prepare Gantt Chart'!$I112*'Prepare Gantt Chart'!$J112),'Prepare Gantt Chart'!Z112=0,0)</f>
        <v>0</v>
      </c>
      <c r="AW113" s="45">
        <f>_xlfn.IFS('Prepare Gantt Chart'!AA112=18,'Project types'!$L113*('Prepare Gantt Chart'!$I112*'Prepare Gantt Chart'!$J112),'Prepare Gantt Chart'!AA112=17,'Project types'!$L113*('Prepare Gantt Chart'!$I112*'Prepare Gantt Chart'!$J112),'Prepare Gantt Chart'!AA112=0,0)</f>
        <v>0</v>
      </c>
      <c r="AX113" s="45">
        <f>_xlfn.IFS('Prepare Gantt Chart'!AB112=18,'Project types'!$L113*('Prepare Gantt Chart'!$I112*'Prepare Gantt Chart'!$J112),'Prepare Gantt Chart'!AB112=17,'Project types'!$L113*('Prepare Gantt Chart'!$I112*'Prepare Gantt Chart'!$J112),'Prepare Gantt Chart'!AB112=0,0)</f>
        <v>0</v>
      </c>
      <c r="AY113" s="45">
        <f>_xlfn.IFS('Prepare Gantt Chart'!AC112=18,'Project types'!$L113*('Prepare Gantt Chart'!$I112*'Prepare Gantt Chart'!$J112),'Prepare Gantt Chart'!AC112=17,'Project types'!$L113*('Prepare Gantt Chart'!$I112*'Prepare Gantt Chart'!$J112),'Prepare Gantt Chart'!AC112=0,0)</f>
        <v>0</v>
      </c>
      <c r="AZ113" s="45">
        <f>_xlfn.IFS('Prepare Gantt Chart'!AD112=18,'Project types'!$L113*('Prepare Gantt Chart'!$I112*'Prepare Gantt Chart'!$J112),'Prepare Gantt Chart'!AD112=17,'Project types'!$L113*('Prepare Gantt Chart'!$I112*'Prepare Gantt Chart'!$J112),'Prepare Gantt Chart'!AD112=0,0)</f>
        <v>0</v>
      </c>
      <c r="BA113" s="45">
        <f>_xlfn.IFS('Prepare Gantt Chart'!AE112=18,'Project types'!$L113*('Prepare Gantt Chart'!$I112*'Prepare Gantt Chart'!$J112),'Prepare Gantt Chart'!AE112=17,'Project types'!$L113*('Prepare Gantt Chart'!$I112*'Prepare Gantt Chart'!$J112),'Prepare Gantt Chart'!AE112=0,0)</f>
        <v>0</v>
      </c>
      <c r="BB113" s="45">
        <f>_xlfn.IFS('Prepare Gantt Chart'!AF112=18,'Project types'!$L113*('Prepare Gantt Chart'!$I112*'Prepare Gantt Chart'!$J112),'Prepare Gantt Chart'!AF112=17,'Project types'!$L113*('Prepare Gantt Chart'!$I112*'Prepare Gantt Chart'!$J112),'Prepare Gantt Chart'!AF112=0,0)</f>
        <v>0</v>
      </c>
      <c r="BC113" s="45">
        <f>_xlfn.IFS('Prepare Gantt Chart'!AG112=18,'Project types'!$L113*('Prepare Gantt Chart'!$I112*'Prepare Gantt Chart'!$J112),'Prepare Gantt Chart'!AG112=17,'Project types'!$L113*('Prepare Gantt Chart'!$I112*'Prepare Gantt Chart'!$J112),'Prepare Gantt Chart'!AG112=0,0)</f>
        <v>0</v>
      </c>
      <c r="BD113" s="45">
        <f>_xlfn.IFS('Prepare Gantt Chart'!AH112=18,'Project types'!$L113*('Prepare Gantt Chart'!$I112*'Prepare Gantt Chart'!$J112),'Prepare Gantt Chart'!AH112=17,'Project types'!$L113*('Prepare Gantt Chart'!$I112*'Prepare Gantt Chart'!$J112),'Prepare Gantt Chart'!AH112=0,0)</f>
        <v>0</v>
      </c>
      <c r="BE113" s="45">
        <f>_xlfn.IFS('Prepare Gantt Chart'!AI112=18,'Project types'!$L113*('Prepare Gantt Chart'!$I112*'Prepare Gantt Chart'!$J112),'Prepare Gantt Chart'!AI112=17,'Project types'!$L113*('Prepare Gantt Chart'!$I112*'Prepare Gantt Chart'!$J112),'Prepare Gantt Chart'!AI112=0,0)</f>
        <v>0</v>
      </c>
      <c r="BF113" s="45">
        <f>_xlfn.IFS('Prepare Gantt Chart'!AJ112=18,'Project types'!$L113*('Prepare Gantt Chart'!$I112*'Prepare Gantt Chart'!$J112),'Prepare Gantt Chart'!AJ112=17,'Project types'!$L113*('Prepare Gantt Chart'!$I112*'Prepare Gantt Chart'!$J112),'Prepare Gantt Chart'!AJ112=0,0)</f>
        <v>0</v>
      </c>
      <c r="BG113" s="45">
        <f>_xlfn.IFS('Prepare Gantt Chart'!AK112=18,'Project types'!$L113*('Prepare Gantt Chart'!$I112*'Prepare Gantt Chart'!$J112),'Prepare Gantt Chart'!AK112=17,'Project types'!$L113*('Prepare Gantt Chart'!$I112*'Prepare Gantt Chart'!$J112),'Prepare Gantt Chart'!AK112=0,0)</f>
        <v>0</v>
      </c>
      <c r="BH113" s="45">
        <f>_xlfn.IFS('Prepare Gantt Chart'!AL112=18,'Project types'!$L113*('Prepare Gantt Chart'!$I112*'Prepare Gantt Chart'!$J112),'Prepare Gantt Chart'!AL112=17,'Project types'!$L113*('Prepare Gantt Chart'!$I112*'Prepare Gantt Chart'!$J112),'Prepare Gantt Chart'!AL112=0,0)</f>
        <v>0</v>
      </c>
      <c r="BI113" s="45">
        <f>_xlfn.IFS('Prepare Gantt Chart'!AM112=18,'Project types'!$L113*('Prepare Gantt Chart'!$I112*'Prepare Gantt Chart'!$J112),'Prepare Gantt Chart'!AM112=17,'Project types'!$L113*('Prepare Gantt Chart'!$I112*'Prepare Gantt Chart'!$J112),'Prepare Gantt Chart'!AM112=0,0)</f>
        <v>0</v>
      </c>
      <c r="BJ113" s="45">
        <f>_xlfn.IFS('Prepare Gantt Chart'!AN112=18,'Project types'!$L113*('Prepare Gantt Chart'!$I112*'Prepare Gantt Chart'!$J112),'Prepare Gantt Chart'!AN112=17,'Project types'!$L113*('Prepare Gantt Chart'!$I112*'Prepare Gantt Chart'!$J112),'Prepare Gantt Chart'!AN112=0,0)</f>
        <v>0</v>
      </c>
      <c r="BK113" s="45">
        <f>_xlfn.IFS('Prepare Gantt Chart'!AO112=18,'Project types'!$L113*('Prepare Gantt Chart'!$I112*'Prepare Gantt Chart'!$J112),'Prepare Gantt Chart'!AO112=17,'Project types'!$L113*('Prepare Gantt Chart'!$I112*'Prepare Gantt Chart'!$J112),'Prepare Gantt Chart'!AO112=0,0)</f>
        <v>0</v>
      </c>
      <c r="BL113" s="46">
        <f t="shared" si="3"/>
        <v>0</v>
      </c>
      <c r="BM113" s="75">
        <f>IF('Prepare Gantt Chart'!$J112=0,0,SUM(AL113:AQ113)/6/'Prepare Gantt Chart'!$J112)</f>
        <v>0</v>
      </c>
      <c r="BN113" s="75">
        <f>IF('Prepare Gantt Chart'!$J112=0,0,SUM(AR113:AV113)/5/'Prepare Gantt Chart'!$J112)</f>
        <v>0</v>
      </c>
      <c r="BO113" s="75">
        <f>IF('Prepare Gantt Chart'!$J112=0,0,SUM(AW113:BA113)/5/'Prepare Gantt Chart'!$J112)</f>
        <v>0</v>
      </c>
      <c r="BP113" s="75">
        <f>IF('Prepare Gantt Chart'!$J112=0,0,SUM(BB113:BF113)/5/'Prepare Gantt Chart'!$J112)</f>
        <v>0</v>
      </c>
      <c r="BQ113" s="75">
        <f>IF('Prepare Gantt Chart'!$J112=0,0,SUM(BG113:BK113)/5/'Prepare Gantt Chart'!$J112)</f>
        <v>0</v>
      </c>
    </row>
    <row r="114" spans="1:69" x14ac:dyDescent="0.2">
      <c r="A114" s="42" t="s">
        <v>105</v>
      </c>
      <c r="B114" s="1" t="s">
        <v>169</v>
      </c>
      <c r="C114" s="45">
        <f>_xlfn.IFS('Prepare Gantt Chart'!P113=18,'Project types'!$O114*('Prepare Gantt Chart'!$I113*'Prepare Gantt Chart'!$J113),'Prepare Gantt Chart'!P113=17,'Project types'!$Q114*('Prepare Gantt Chart'!$I113*'Prepare Gantt Chart'!$J113),'Prepare Gantt Chart'!P113=0,0)</f>
        <v>0</v>
      </c>
      <c r="D114" s="45">
        <f>_xlfn.IFS('Prepare Gantt Chart'!Q113=18,'Project types'!$O114*('Prepare Gantt Chart'!$I113*'Prepare Gantt Chart'!$J113),'Prepare Gantt Chart'!Q113=17,'Project types'!$Q114*('Prepare Gantt Chart'!$I113*'Prepare Gantt Chart'!$J113),'Prepare Gantt Chart'!Q113=0,0)</f>
        <v>0</v>
      </c>
      <c r="E114" s="45">
        <f>_xlfn.IFS('Prepare Gantt Chart'!R113=18,'Project types'!$O114*('Prepare Gantt Chart'!$I113*'Prepare Gantt Chart'!$J113),'Prepare Gantt Chart'!R113=17,'Project types'!$Q114*('Prepare Gantt Chart'!$I113*'Prepare Gantt Chart'!$J113),'Prepare Gantt Chart'!R113=0,0)</f>
        <v>0</v>
      </c>
      <c r="F114" s="45">
        <f>_xlfn.IFS('Prepare Gantt Chart'!S113=18,'Project types'!$O114*('Prepare Gantt Chart'!$I113*'Prepare Gantt Chart'!$J113),'Prepare Gantt Chart'!S113=17,'Project types'!$Q114*('Prepare Gantt Chart'!$I113*'Prepare Gantt Chart'!$J113),'Prepare Gantt Chart'!S113=0,0)</f>
        <v>0</v>
      </c>
      <c r="G114" s="45">
        <f>_xlfn.IFS('Prepare Gantt Chart'!T113=18,'Project types'!$O114*('Prepare Gantt Chart'!$I113*'Prepare Gantt Chart'!$J113),'Prepare Gantt Chart'!T113=17,'Project types'!$Q114*('Prepare Gantt Chart'!$I113*'Prepare Gantt Chart'!$J113),'Prepare Gantt Chart'!T113=0,0)</f>
        <v>0</v>
      </c>
      <c r="H114" s="45">
        <f>_xlfn.IFS('Prepare Gantt Chart'!U113=18,'Project types'!$O114*('Prepare Gantt Chart'!$I113*'Prepare Gantt Chart'!$J113),'Prepare Gantt Chart'!U113=17,'Project types'!$Q114*('Prepare Gantt Chart'!$I113*'Prepare Gantt Chart'!$J113),'Prepare Gantt Chart'!U113=0,0)</f>
        <v>0</v>
      </c>
      <c r="I114" s="45">
        <f>_xlfn.IFS('Prepare Gantt Chart'!V113=18,'Project types'!$O114*('Prepare Gantt Chart'!$I113*'Prepare Gantt Chart'!$J113),'Prepare Gantt Chart'!V113=17,'Project types'!$Q114*('Prepare Gantt Chart'!$I113*'Prepare Gantt Chart'!$J113),'Prepare Gantt Chart'!V113=0,0)</f>
        <v>0</v>
      </c>
      <c r="J114" s="45">
        <f>_xlfn.IFS('Prepare Gantt Chart'!W113=18,'Project types'!$O114*('Prepare Gantt Chart'!$I113*'Prepare Gantt Chart'!$J113),'Prepare Gantt Chart'!W113=17,'Project types'!$Q114*('Prepare Gantt Chart'!$I113*'Prepare Gantt Chart'!$J113),'Prepare Gantt Chart'!W113=0,0)</f>
        <v>0</v>
      </c>
      <c r="K114" s="45">
        <f>_xlfn.IFS('Prepare Gantt Chart'!X113=18,'Project types'!$O114*('Prepare Gantt Chart'!$I113*'Prepare Gantt Chart'!$J113),'Prepare Gantt Chart'!X113=17,'Project types'!$Q114*('Prepare Gantt Chart'!$I113*'Prepare Gantt Chart'!$J113),'Prepare Gantt Chart'!X113=0,0)</f>
        <v>0</v>
      </c>
      <c r="L114" s="45">
        <f>_xlfn.IFS('Prepare Gantt Chart'!Y113=18,'Project types'!$O114*('Prepare Gantt Chart'!$I113*'Prepare Gantt Chart'!$J113),'Prepare Gantt Chart'!Y113=17,'Project types'!$Q114*('Prepare Gantt Chart'!$I113*'Prepare Gantt Chart'!$J113),'Prepare Gantt Chart'!Y113=0,0)</f>
        <v>0</v>
      </c>
      <c r="M114" s="45">
        <f>_xlfn.IFS('Prepare Gantt Chart'!Z113=18,'Project types'!$O114*('Prepare Gantt Chart'!$I113*'Prepare Gantt Chart'!$J113),'Prepare Gantt Chart'!Z113=17,'Project types'!$Q114*('Prepare Gantt Chart'!$I113*'Prepare Gantt Chart'!$J113),'Prepare Gantt Chart'!Z113=0,0)</f>
        <v>0</v>
      </c>
      <c r="N114" s="45">
        <f>_xlfn.IFS('Prepare Gantt Chart'!AA113=18,'Project types'!$O114*('Prepare Gantt Chart'!$I113*'Prepare Gantt Chart'!$J113),'Prepare Gantt Chart'!AA113=17,'Project types'!$Q114*('Prepare Gantt Chart'!$I113*'Prepare Gantt Chart'!$J113),'Prepare Gantt Chart'!AA113=0,0)</f>
        <v>0</v>
      </c>
      <c r="O114" s="45">
        <f>_xlfn.IFS('Prepare Gantt Chart'!AB113=18,'Project types'!$O114*('Prepare Gantt Chart'!$I113*'Prepare Gantt Chart'!$J113),'Prepare Gantt Chart'!AB113=17,'Project types'!$Q114*('Prepare Gantt Chart'!$I113*'Prepare Gantt Chart'!$J113),'Prepare Gantt Chart'!AB113=0,0)</f>
        <v>0</v>
      </c>
      <c r="P114" s="45">
        <f>_xlfn.IFS('Prepare Gantt Chart'!AC113=18,'Project types'!$O114*('Prepare Gantt Chart'!$I113*'Prepare Gantt Chart'!$J113),'Prepare Gantt Chart'!AC113=17,'Project types'!$Q114*('Prepare Gantt Chart'!$I113*'Prepare Gantt Chart'!$J113),'Prepare Gantt Chart'!AC113=0,0)</f>
        <v>0</v>
      </c>
      <c r="Q114" s="45">
        <f>_xlfn.IFS('Prepare Gantt Chart'!AD113=18,'Project types'!$O114*('Prepare Gantt Chart'!$I113*'Prepare Gantt Chart'!$J113),'Prepare Gantt Chart'!AD113=17,'Project types'!$Q114*('Prepare Gantt Chart'!$I113*'Prepare Gantt Chart'!$J113),'Prepare Gantt Chart'!AD113=0,0)</f>
        <v>0</v>
      </c>
      <c r="R114" s="45">
        <f>_xlfn.IFS('Prepare Gantt Chart'!AE113=18,'Project types'!$O114*('Prepare Gantt Chart'!$I113*'Prepare Gantt Chart'!$J113),'Prepare Gantt Chart'!AE113=17,'Project types'!$Q114*('Prepare Gantt Chart'!$I113*'Prepare Gantt Chart'!$J113),'Prepare Gantt Chart'!AE113=0,0)</f>
        <v>0</v>
      </c>
      <c r="S114" s="45">
        <f>_xlfn.IFS('Prepare Gantt Chart'!AF113=18,'Project types'!$O114*('Prepare Gantt Chart'!$I113*'Prepare Gantt Chart'!$J113),'Prepare Gantt Chart'!AF113=17,'Project types'!$Q114*('Prepare Gantt Chart'!$I113*'Prepare Gantt Chart'!$J113),'Prepare Gantt Chart'!AF113=0,0)</f>
        <v>0</v>
      </c>
      <c r="T114" s="45">
        <f>_xlfn.IFS('Prepare Gantt Chart'!AG113=18,'Project types'!$O114*('Prepare Gantt Chart'!$I113*'Prepare Gantt Chart'!$J113),'Prepare Gantt Chart'!AG113=17,'Project types'!$Q114*('Prepare Gantt Chart'!$I113*'Prepare Gantt Chart'!$J113),'Prepare Gantt Chart'!AG113=0,0)</f>
        <v>0</v>
      </c>
      <c r="U114" s="45">
        <f>_xlfn.IFS('Prepare Gantt Chart'!AH113=18,'Project types'!$O114*('Prepare Gantt Chart'!$I113*'Prepare Gantt Chart'!$J113),'Prepare Gantt Chart'!AH113=17,'Project types'!$Q114*('Prepare Gantt Chart'!$I113*'Prepare Gantt Chart'!$J113),'Prepare Gantt Chart'!AH113=0,0)</f>
        <v>0</v>
      </c>
      <c r="V114" s="45">
        <f>_xlfn.IFS('Prepare Gantt Chart'!AI113=18,'Project types'!$O114*('Prepare Gantt Chart'!$I113*'Prepare Gantt Chart'!$J113),'Prepare Gantt Chart'!AI113=17,'Project types'!$Q114*('Prepare Gantt Chart'!$I113*'Prepare Gantt Chart'!$J113),'Prepare Gantt Chart'!AI113=0,0)</f>
        <v>0</v>
      </c>
      <c r="W114" s="45">
        <f>_xlfn.IFS('Prepare Gantt Chart'!AJ113=18,'Project types'!$O114*('Prepare Gantt Chart'!$I113*'Prepare Gantt Chart'!$J113),'Prepare Gantt Chart'!AJ113=17,'Project types'!$Q114*('Prepare Gantt Chart'!$I113*'Prepare Gantt Chart'!$J113),'Prepare Gantt Chart'!AJ113=0,0)</f>
        <v>0</v>
      </c>
      <c r="X114" s="45">
        <f>_xlfn.IFS('Prepare Gantt Chart'!AK113=18,'Project types'!$O114*('Prepare Gantt Chart'!$I113*'Prepare Gantt Chart'!$J113),'Prepare Gantt Chart'!AK113=17,'Project types'!$Q114*('Prepare Gantt Chart'!$I113*'Prepare Gantt Chart'!$J113),'Prepare Gantt Chart'!AK113=0,0)</f>
        <v>0</v>
      </c>
      <c r="Y114" s="45">
        <f>_xlfn.IFS('Prepare Gantt Chart'!AL113=18,'Project types'!$O114*('Prepare Gantt Chart'!$I113*'Prepare Gantt Chart'!$J113),'Prepare Gantt Chart'!AL113=17,'Project types'!$Q114*('Prepare Gantt Chart'!$I113*'Prepare Gantt Chart'!$J113),'Prepare Gantt Chart'!AL113=0,0)</f>
        <v>0</v>
      </c>
      <c r="Z114" s="45">
        <f>_xlfn.IFS('Prepare Gantt Chart'!AM113=18,'Project types'!$O114*('Prepare Gantt Chart'!$I113*'Prepare Gantt Chart'!$J113),'Prepare Gantt Chart'!AM113=17,'Project types'!$Q114*('Prepare Gantt Chart'!$I113*'Prepare Gantt Chart'!$J113),'Prepare Gantt Chart'!AM113=0,0)</f>
        <v>0</v>
      </c>
      <c r="AA114" s="45">
        <f>_xlfn.IFS('Prepare Gantt Chart'!AN113=18,'Project types'!$O114*('Prepare Gantt Chart'!$I113*'Prepare Gantt Chart'!$J113),'Prepare Gantt Chart'!AN113=17,'Project types'!$Q114*('Prepare Gantt Chart'!$I113*'Prepare Gantt Chart'!$J113),'Prepare Gantt Chart'!AN113=0,0)</f>
        <v>0</v>
      </c>
      <c r="AB114" s="45">
        <f>_xlfn.IFS('Prepare Gantt Chart'!AO113=18,'Project types'!$O114*('Prepare Gantt Chart'!$I113*'Prepare Gantt Chart'!$J113),'Prepare Gantt Chart'!AO113=17,'Project types'!$Q114*('Prepare Gantt Chart'!$I113*'Prepare Gantt Chart'!$J113),'Prepare Gantt Chart'!AO113=0,0)</f>
        <v>0</v>
      </c>
      <c r="AC114" s="45">
        <f>'Prepare Gantt Chart'!J113*'Prepare Gantt Chart'!I113*(AD114/26)</f>
        <v>0</v>
      </c>
      <c r="AD114" s="46">
        <f t="shared" si="2"/>
        <v>0</v>
      </c>
      <c r="AE114" s="72">
        <f>IF('Prepare Gantt Chart'!$J113=0,0,SUM(C114:H114)/6/'Prepare Gantt Chart'!$J113)</f>
        <v>0</v>
      </c>
      <c r="AF114" s="72">
        <f>IF('Prepare Gantt Chart'!$J113=0,0,SUM(I114:M114)/5/'Prepare Gantt Chart'!$J113)</f>
        <v>0</v>
      </c>
      <c r="AG114" s="72">
        <f>IF('Prepare Gantt Chart'!$J113=0,0,SUM(N114:R114)/5/'Prepare Gantt Chart'!$J113)</f>
        <v>0</v>
      </c>
      <c r="AH114" s="72">
        <f>IF('Prepare Gantt Chart'!$J113=0,0,SUM(S114:W114)/5/'Prepare Gantt Chart'!$J113)</f>
        <v>0</v>
      </c>
      <c r="AI114" s="72">
        <f>IF('Prepare Gantt Chart'!$J113=0,0,SUM(X114:AB114)/5/'Prepare Gantt Chart'!$J113)</f>
        <v>0</v>
      </c>
      <c r="AK114" s="42" t="s">
        <v>105</v>
      </c>
      <c r="AL114" s="45">
        <f>_xlfn.IFS('Prepare Gantt Chart'!P113=18,'Project types'!$L114*('Prepare Gantt Chart'!$I113*'Prepare Gantt Chart'!$J113),'Prepare Gantt Chart'!P113=17,'Project types'!$L114*('Prepare Gantt Chart'!$I113*'Prepare Gantt Chart'!$J113),'Prepare Gantt Chart'!P113=0,0)</f>
        <v>0</v>
      </c>
      <c r="AM114" s="45">
        <f>_xlfn.IFS('Prepare Gantt Chart'!Q113=18,'Project types'!$L114*('Prepare Gantt Chart'!$I113*'Prepare Gantt Chart'!$J113),'Prepare Gantt Chart'!Q113=17,'Project types'!$L114*('Prepare Gantt Chart'!$I113*'Prepare Gantt Chart'!$J113),'Prepare Gantt Chart'!Q113=0,0)</f>
        <v>0</v>
      </c>
      <c r="AN114" s="45">
        <f>_xlfn.IFS('Prepare Gantt Chart'!R113=18,'Project types'!$L114*('Prepare Gantt Chart'!$I113*'Prepare Gantt Chart'!$J113),'Prepare Gantt Chart'!R113=17,'Project types'!$L114*('Prepare Gantt Chart'!$I113*'Prepare Gantt Chart'!$J113),'Prepare Gantt Chart'!R113=0,0)</f>
        <v>0</v>
      </c>
      <c r="AO114" s="45">
        <f>_xlfn.IFS('Prepare Gantt Chart'!S113=18,'Project types'!$L114*('Prepare Gantt Chart'!$I113*'Prepare Gantt Chart'!$J113),'Prepare Gantt Chart'!S113=17,'Project types'!$L114*('Prepare Gantt Chart'!$I113*'Prepare Gantt Chart'!$J113),'Prepare Gantt Chart'!S113=0,0)</f>
        <v>0</v>
      </c>
      <c r="AP114" s="45">
        <f>_xlfn.IFS('Prepare Gantt Chart'!T113=18,'Project types'!$L114*('Prepare Gantt Chart'!$I113*'Prepare Gantt Chart'!$J113),'Prepare Gantt Chart'!T113=17,'Project types'!$L114*('Prepare Gantt Chart'!$I113*'Prepare Gantt Chart'!$J113),'Prepare Gantt Chart'!T113=0,0)</f>
        <v>0</v>
      </c>
      <c r="AQ114" s="45">
        <f>_xlfn.IFS('Prepare Gantt Chart'!U113=18,'Project types'!$L114*('Prepare Gantt Chart'!$I113*'Prepare Gantt Chart'!$J113),'Prepare Gantt Chart'!U113=17,'Project types'!$L114*('Prepare Gantt Chart'!$I113*'Prepare Gantt Chart'!$J113),'Prepare Gantt Chart'!U113=0,0)</f>
        <v>0</v>
      </c>
      <c r="AR114" s="45">
        <f>_xlfn.IFS('Prepare Gantt Chart'!V113=18,'Project types'!$L114*('Prepare Gantt Chart'!$I113*'Prepare Gantt Chart'!$J113),'Prepare Gantt Chart'!V113=17,'Project types'!$L114*('Prepare Gantt Chart'!$I113*'Prepare Gantt Chart'!$J113),'Prepare Gantt Chart'!V113=0,0)</f>
        <v>0</v>
      </c>
      <c r="AS114" s="45">
        <f>_xlfn.IFS('Prepare Gantt Chart'!W113=18,'Project types'!$L114*('Prepare Gantt Chart'!$I113*'Prepare Gantt Chart'!$J113),'Prepare Gantt Chart'!W113=17,'Project types'!$L114*('Prepare Gantt Chart'!$I113*'Prepare Gantt Chart'!$J113),'Prepare Gantt Chart'!W113=0,0)</f>
        <v>0</v>
      </c>
      <c r="AT114" s="45">
        <f>_xlfn.IFS('Prepare Gantt Chart'!X113=18,'Project types'!$L114*('Prepare Gantt Chart'!$I113*'Prepare Gantt Chart'!$J113),'Prepare Gantt Chart'!X113=17,'Project types'!$L114*('Prepare Gantt Chart'!$I113*'Prepare Gantt Chart'!$J113),'Prepare Gantt Chart'!X113=0,0)</f>
        <v>0</v>
      </c>
      <c r="AU114" s="45">
        <f>_xlfn.IFS('Prepare Gantt Chart'!Y113=18,'Project types'!$L114*('Prepare Gantt Chart'!$I113*'Prepare Gantt Chart'!$J113),'Prepare Gantt Chart'!Y113=17,'Project types'!$L114*('Prepare Gantt Chart'!$I113*'Prepare Gantt Chart'!$J113),'Prepare Gantt Chart'!Y113=0,0)</f>
        <v>0</v>
      </c>
      <c r="AV114" s="45">
        <f>_xlfn.IFS('Prepare Gantt Chart'!Z113=18,'Project types'!$L114*('Prepare Gantt Chart'!$I113*'Prepare Gantt Chart'!$J113),'Prepare Gantt Chart'!Z113=17,'Project types'!$L114*('Prepare Gantt Chart'!$I113*'Prepare Gantt Chart'!$J113),'Prepare Gantt Chart'!Z113=0,0)</f>
        <v>0</v>
      </c>
      <c r="AW114" s="45">
        <f>_xlfn.IFS('Prepare Gantt Chart'!AA113=18,'Project types'!$L114*('Prepare Gantt Chart'!$I113*'Prepare Gantt Chart'!$J113),'Prepare Gantt Chart'!AA113=17,'Project types'!$L114*('Prepare Gantt Chart'!$I113*'Prepare Gantt Chart'!$J113),'Prepare Gantt Chart'!AA113=0,0)</f>
        <v>0</v>
      </c>
      <c r="AX114" s="45">
        <f>_xlfn.IFS('Prepare Gantt Chart'!AB113=18,'Project types'!$L114*('Prepare Gantt Chart'!$I113*'Prepare Gantt Chart'!$J113),'Prepare Gantt Chart'!AB113=17,'Project types'!$L114*('Prepare Gantt Chart'!$I113*'Prepare Gantt Chart'!$J113),'Prepare Gantt Chart'!AB113=0,0)</f>
        <v>0</v>
      </c>
      <c r="AY114" s="45">
        <f>_xlfn.IFS('Prepare Gantt Chart'!AC113=18,'Project types'!$L114*('Prepare Gantt Chart'!$I113*'Prepare Gantt Chart'!$J113),'Prepare Gantt Chart'!AC113=17,'Project types'!$L114*('Prepare Gantt Chart'!$I113*'Prepare Gantt Chart'!$J113),'Prepare Gantt Chart'!AC113=0,0)</f>
        <v>0</v>
      </c>
      <c r="AZ114" s="45">
        <f>_xlfn.IFS('Prepare Gantt Chart'!AD113=18,'Project types'!$L114*('Prepare Gantt Chart'!$I113*'Prepare Gantt Chart'!$J113),'Prepare Gantt Chart'!AD113=17,'Project types'!$L114*('Prepare Gantt Chart'!$I113*'Prepare Gantt Chart'!$J113),'Prepare Gantt Chart'!AD113=0,0)</f>
        <v>0</v>
      </c>
      <c r="BA114" s="45">
        <f>_xlfn.IFS('Prepare Gantt Chart'!AE113=18,'Project types'!$L114*('Prepare Gantt Chart'!$I113*'Prepare Gantt Chart'!$J113),'Prepare Gantt Chart'!AE113=17,'Project types'!$L114*('Prepare Gantt Chart'!$I113*'Prepare Gantt Chart'!$J113),'Prepare Gantt Chart'!AE113=0,0)</f>
        <v>0</v>
      </c>
      <c r="BB114" s="45">
        <f>_xlfn.IFS('Prepare Gantt Chart'!AF113=18,'Project types'!$L114*('Prepare Gantt Chart'!$I113*'Prepare Gantt Chart'!$J113),'Prepare Gantt Chart'!AF113=17,'Project types'!$L114*('Prepare Gantt Chart'!$I113*'Prepare Gantt Chart'!$J113),'Prepare Gantt Chart'!AF113=0,0)</f>
        <v>0</v>
      </c>
      <c r="BC114" s="45">
        <f>_xlfn.IFS('Prepare Gantt Chart'!AG113=18,'Project types'!$L114*('Prepare Gantt Chart'!$I113*'Prepare Gantt Chart'!$J113),'Prepare Gantt Chart'!AG113=17,'Project types'!$L114*('Prepare Gantt Chart'!$I113*'Prepare Gantt Chart'!$J113),'Prepare Gantt Chart'!AG113=0,0)</f>
        <v>0</v>
      </c>
      <c r="BD114" s="45">
        <f>_xlfn.IFS('Prepare Gantt Chart'!AH113=18,'Project types'!$L114*('Prepare Gantt Chart'!$I113*'Prepare Gantt Chart'!$J113),'Prepare Gantt Chart'!AH113=17,'Project types'!$L114*('Prepare Gantt Chart'!$I113*'Prepare Gantt Chart'!$J113),'Prepare Gantt Chart'!AH113=0,0)</f>
        <v>0</v>
      </c>
      <c r="BE114" s="45">
        <f>_xlfn.IFS('Prepare Gantt Chart'!AI113=18,'Project types'!$L114*('Prepare Gantt Chart'!$I113*'Prepare Gantt Chart'!$J113),'Prepare Gantt Chart'!AI113=17,'Project types'!$L114*('Prepare Gantt Chart'!$I113*'Prepare Gantt Chart'!$J113),'Prepare Gantt Chart'!AI113=0,0)</f>
        <v>0</v>
      </c>
      <c r="BF114" s="45">
        <f>_xlfn.IFS('Prepare Gantt Chart'!AJ113=18,'Project types'!$L114*('Prepare Gantt Chart'!$I113*'Prepare Gantt Chart'!$J113),'Prepare Gantt Chart'!AJ113=17,'Project types'!$L114*('Prepare Gantt Chart'!$I113*'Prepare Gantt Chart'!$J113),'Prepare Gantt Chart'!AJ113=0,0)</f>
        <v>0</v>
      </c>
      <c r="BG114" s="45">
        <f>_xlfn.IFS('Prepare Gantt Chart'!AK113=18,'Project types'!$L114*('Prepare Gantt Chart'!$I113*'Prepare Gantt Chart'!$J113),'Prepare Gantt Chart'!AK113=17,'Project types'!$L114*('Prepare Gantt Chart'!$I113*'Prepare Gantt Chart'!$J113),'Prepare Gantt Chart'!AK113=0,0)</f>
        <v>0</v>
      </c>
      <c r="BH114" s="45">
        <f>_xlfn.IFS('Prepare Gantt Chart'!AL113=18,'Project types'!$L114*('Prepare Gantt Chart'!$I113*'Prepare Gantt Chart'!$J113),'Prepare Gantt Chart'!AL113=17,'Project types'!$L114*('Prepare Gantt Chart'!$I113*'Prepare Gantt Chart'!$J113),'Prepare Gantt Chart'!AL113=0,0)</f>
        <v>0</v>
      </c>
      <c r="BI114" s="45">
        <f>_xlfn.IFS('Prepare Gantt Chart'!AM113=18,'Project types'!$L114*('Prepare Gantt Chart'!$I113*'Prepare Gantt Chart'!$J113),'Prepare Gantt Chart'!AM113=17,'Project types'!$L114*('Prepare Gantt Chart'!$I113*'Prepare Gantt Chart'!$J113),'Prepare Gantt Chart'!AM113=0,0)</f>
        <v>0</v>
      </c>
      <c r="BJ114" s="45">
        <f>_xlfn.IFS('Prepare Gantt Chart'!AN113=18,'Project types'!$L114*('Prepare Gantt Chart'!$I113*'Prepare Gantt Chart'!$J113),'Prepare Gantt Chart'!AN113=17,'Project types'!$L114*('Prepare Gantt Chart'!$I113*'Prepare Gantt Chart'!$J113),'Prepare Gantt Chart'!AN113=0,0)</f>
        <v>0</v>
      </c>
      <c r="BK114" s="45">
        <f>_xlfn.IFS('Prepare Gantt Chart'!AO113=18,'Project types'!$L114*('Prepare Gantt Chart'!$I113*'Prepare Gantt Chart'!$J113),'Prepare Gantt Chart'!AO113=17,'Project types'!$L114*('Prepare Gantt Chart'!$I113*'Prepare Gantt Chart'!$J113),'Prepare Gantt Chart'!AO113=0,0)</f>
        <v>0</v>
      </c>
      <c r="BL114" s="46">
        <f t="shared" si="3"/>
        <v>0</v>
      </c>
      <c r="BM114" s="75">
        <f>IF('Prepare Gantt Chart'!$J113=0,0,SUM(AL114:AQ114)/6/'Prepare Gantt Chart'!$J113)</f>
        <v>0</v>
      </c>
      <c r="BN114" s="75">
        <f>IF('Prepare Gantt Chart'!$J113=0,0,SUM(AR114:AV114)/5/'Prepare Gantt Chart'!$J113)</f>
        <v>0</v>
      </c>
      <c r="BO114" s="75">
        <f>IF('Prepare Gantt Chart'!$J113=0,0,SUM(AW114:BA114)/5/'Prepare Gantt Chart'!$J113)</f>
        <v>0</v>
      </c>
      <c r="BP114" s="75">
        <f>IF('Prepare Gantt Chart'!$J113=0,0,SUM(BB114:BF114)/5/'Prepare Gantt Chart'!$J113)</f>
        <v>0</v>
      </c>
      <c r="BQ114" s="75">
        <f>IF('Prepare Gantt Chart'!$J113=0,0,SUM(BG114:BK114)/5/'Prepare Gantt Chart'!$J113)</f>
        <v>0</v>
      </c>
    </row>
    <row r="115" spans="1:69" x14ac:dyDescent="0.2">
      <c r="A115" s="42" t="s">
        <v>106</v>
      </c>
      <c r="B115" s="1" t="s">
        <v>170</v>
      </c>
      <c r="C115" s="45">
        <f>_xlfn.IFS('Prepare Gantt Chart'!P114=18,'Project types'!$O115*('Prepare Gantt Chart'!$I114*'Prepare Gantt Chart'!$J114),'Prepare Gantt Chart'!P114=17,'Project types'!$Q115*('Prepare Gantt Chart'!$I114*'Prepare Gantt Chart'!$J114),'Prepare Gantt Chart'!P114=0,0)</f>
        <v>0</v>
      </c>
      <c r="D115" s="45">
        <f>_xlfn.IFS('Prepare Gantt Chart'!Q114=18,'Project types'!$O115*('Prepare Gantt Chart'!$I114*'Prepare Gantt Chart'!$J114),'Prepare Gantt Chart'!Q114=17,'Project types'!$Q115*('Prepare Gantt Chart'!$I114*'Prepare Gantt Chart'!$J114),'Prepare Gantt Chart'!Q114=0,0)</f>
        <v>0</v>
      </c>
      <c r="E115" s="45">
        <f>_xlfn.IFS('Prepare Gantt Chart'!R114=18,'Project types'!$O115*('Prepare Gantt Chart'!$I114*'Prepare Gantt Chart'!$J114),'Prepare Gantt Chart'!R114=17,'Project types'!$Q115*('Prepare Gantt Chart'!$I114*'Prepare Gantt Chart'!$J114),'Prepare Gantt Chart'!R114=0,0)</f>
        <v>0</v>
      </c>
      <c r="F115" s="45">
        <f>_xlfn.IFS('Prepare Gantt Chart'!S114=18,'Project types'!$O115*('Prepare Gantt Chart'!$I114*'Prepare Gantt Chart'!$J114),'Prepare Gantt Chart'!S114=17,'Project types'!$Q115*('Prepare Gantt Chart'!$I114*'Prepare Gantt Chart'!$J114),'Prepare Gantt Chart'!S114=0,0)</f>
        <v>0</v>
      </c>
      <c r="G115" s="45">
        <f>_xlfn.IFS('Prepare Gantt Chart'!T114=18,'Project types'!$O115*('Prepare Gantt Chart'!$I114*'Prepare Gantt Chart'!$J114),'Prepare Gantt Chart'!T114=17,'Project types'!$Q115*('Prepare Gantt Chart'!$I114*'Prepare Gantt Chart'!$J114),'Prepare Gantt Chart'!T114=0,0)</f>
        <v>0</v>
      </c>
      <c r="H115" s="45">
        <f>_xlfn.IFS('Prepare Gantt Chart'!U114=18,'Project types'!$O115*('Prepare Gantt Chart'!$I114*'Prepare Gantt Chart'!$J114),'Prepare Gantt Chart'!U114=17,'Project types'!$Q115*('Prepare Gantt Chart'!$I114*'Prepare Gantt Chart'!$J114),'Prepare Gantt Chart'!U114=0,0)</f>
        <v>0</v>
      </c>
      <c r="I115" s="45">
        <f>_xlfn.IFS('Prepare Gantt Chart'!V114=18,'Project types'!$O115*('Prepare Gantt Chart'!$I114*'Prepare Gantt Chart'!$J114),'Prepare Gantt Chart'!V114=17,'Project types'!$Q115*('Prepare Gantt Chart'!$I114*'Prepare Gantt Chart'!$J114),'Prepare Gantt Chart'!V114=0,0)</f>
        <v>0</v>
      </c>
      <c r="J115" s="45">
        <f>_xlfn.IFS('Prepare Gantt Chart'!W114=18,'Project types'!$O115*('Prepare Gantt Chart'!$I114*'Prepare Gantt Chart'!$J114),'Prepare Gantt Chart'!W114=17,'Project types'!$Q115*('Prepare Gantt Chart'!$I114*'Prepare Gantt Chart'!$J114),'Prepare Gantt Chart'!W114=0,0)</f>
        <v>0</v>
      </c>
      <c r="K115" s="45">
        <f>_xlfn.IFS('Prepare Gantt Chart'!X114=18,'Project types'!$O115*('Prepare Gantt Chart'!$I114*'Prepare Gantt Chart'!$J114),'Prepare Gantt Chart'!X114=17,'Project types'!$Q115*('Prepare Gantt Chart'!$I114*'Prepare Gantt Chart'!$J114),'Prepare Gantt Chart'!X114=0,0)</f>
        <v>0</v>
      </c>
      <c r="L115" s="45">
        <f>_xlfn.IFS('Prepare Gantt Chart'!Y114=18,'Project types'!$O115*('Prepare Gantt Chart'!$I114*'Prepare Gantt Chart'!$J114),'Prepare Gantt Chart'!Y114=17,'Project types'!$Q115*('Prepare Gantt Chart'!$I114*'Prepare Gantt Chart'!$J114),'Prepare Gantt Chart'!Y114=0,0)</f>
        <v>0</v>
      </c>
      <c r="M115" s="45">
        <f>_xlfn.IFS('Prepare Gantt Chart'!Z114=18,'Project types'!$O115*('Prepare Gantt Chart'!$I114*'Prepare Gantt Chart'!$J114),'Prepare Gantt Chart'!Z114=17,'Project types'!$Q115*('Prepare Gantt Chart'!$I114*'Prepare Gantt Chart'!$J114),'Prepare Gantt Chart'!Z114=0,0)</f>
        <v>0</v>
      </c>
      <c r="N115" s="45">
        <f>_xlfn.IFS('Prepare Gantt Chart'!AA114=18,'Project types'!$O115*('Prepare Gantt Chart'!$I114*'Prepare Gantt Chart'!$J114),'Prepare Gantt Chart'!AA114=17,'Project types'!$Q115*('Prepare Gantt Chart'!$I114*'Prepare Gantt Chart'!$J114),'Prepare Gantt Chart'!AA114=0,0)</f>
        <v>0</v>
      </c>
      <c r="O115" s="45">
        <f>_xlfn.IFS('Prepare Gantt Chart'!AB114=18,'Project types'!$O115*('Prepare Gantt Chart'!$I114*'Prepare Gantt Chart'!$J114),'Prepare Gantt Chart'!AB114=17,'Project types'!$Q115*('Prepare Gantt Chart'!$I114*'Prepare Gantt Chart'!$J114),'Prepare Gantt Chart'!AB114=0,0)</f>
        <v>0</v>
      </c>
      <c r="P115" s="45">
        <f>_xlfn.IFS('Prepare Gantt Chart'!AC114=18,'Project types'!$O115*('Prepare Gantt Chart'!$I114*'Prepare Gantt Chart'!$J114),'Prepare Gantt Chart'!AC114=17,'Project types'!$Q115*('Prepare Gantt Chart'!$I114*'Prepare Gantt Chart'!$J114),'Prepare Gantt Chart'!AC114=0,0)</f>
        <v>0</v>
      </c>
      <c r="Q115" s="45">
        <f>_xlfn.IFS('Prepare Gantt Chart'!AD114=18,'Project types'!$O115*('Prepare Gantt Chart'!$I114*'Prepare Gantt Chart'!$J114),'Prepare Gantt Chart'!AD114=17,'Project types'!$Q115*('Prepare Gantt Chart'!$I114*'Prepare Gantt Chart'!$J114),'Prepare Gantt Chart'!AD114=0,0)</f>
        <v>0</v>
      </c>
      <c r="R115" s="45">
        <f>_xlfn.IFS('Prepare Gantt Chart'!AE114=18,'Project types'!$O115*('Prepare Gantt Chart'!$I114*'Prepare Gantt Chart'!$J114),'Prepare Gantt Chart'!AE114=17,'Project types'!$Q115*('Prepare Gantt Chart'!$I114*'Prepare Gantt Chart'!$J114),'Prepare Gantt Chart'!AE114=0,0)</f>
        <v>0</v>
      </c>
      <c r="S115" s="45">
        <f>_xlfn.IFS('Prepare Gantt Chart'!AF114=18,'Project types'!$O115*('Prepare Gantt Chart'!$I114*'Prepare Gantt Chart'!$J114),'Prepare Gantt Chart'!AF114=17,'Project types'!$Q115*('Prepare Gantt Chart'!$I114*'Prepare Gantt Chart'!$J114),'Prepare Gantt Chart'!AF114=0,0)</f>
        <v>0</v>
      </c>
      <c r="T115" s="45">
        <f>_xlfn.IFS('Prepare Gantt Chart'!AG114=18,'Project types'!$O115*('Prepare Gantt Chart'!$I114*'Prepare Gantt Chart'!$J114),'Prepare Gantt Chart'!AG114=17,'Project types'!$Q115*('Prepare Gantt Chart'!$I114*'Prepare Gantt Chart'!$J114),'Prepare Gantt Chart'!AG114=0,0)</f>
        <v>0</v>
      </c>
      <c r="U115" s="45">
        <f>_xlfn.IFS('Prepare Gantt Chart'!AH114=18,'Project types'!$O115*('Prepare Gantt Chart'!$I114*'Prepare Gantt Chart'!$J114),'Prepare Gantt Chart'!AH114=17,'Project types'!$Q115*('Prepare Gantt Chart'!$I114*'Prepare Gantt Chart'!$J114),'Prepare Gantt Chart'!AH114=0,0)</f>
        <v>0</v>
      </c>
      <c r="V115" s="45">
        <f>_xlfn.IFS('Prepare Gantt Chart'!AI114=18,'Project types'!$O115*('Prepare Gantt Chart'!$I114*'Prepare Gantt Chart'!$J114),'Prepare Gantt Chart'!AI114=17,'Project types'!$Q115*('Prepare Gantt Chart'!$I114*'Prepare Gantt Chart'!$J114),'Prepare Gantt Chart'!AI114=0,0)</f>
        <v>0</v>
      </c>
      <c r="W115" s="45">
        <f>_xlfn.IFS('Prepare Gantt Chart'!AJ114=18,'Project types'!$O115*('Prepare Gantt Chart'!$I114*'Prepare Gantt Chart'!$J114),'Prepare Gantt Chart'!AJ114=17,'Project types'!$Q115*('Prepare Gantt Chart'!$I114*'Prepare Gantt Chart'!$J114),'Prepare Gantt Chart'!AJ114=0,0)</f>
        <v>0</v>
      </c>
      <c r="X115" s="45">
        <f>_xlfn.IFS('Prepare Gantt Chart'!AK114=18,'Project types'!$O115*('Prepare Gantt Chart'!$I114*'Prepare Gantt Chart'!$J114),'Prepare Gantt Chart'!AK114=17,'Project types'!$Q115*('Prepare Gantt Chart'!$I114*'Prepare Gantt Chart'!$J114),'Prepare Gantt Chart'!AK114=0,0)</f>
        <v>0</v>
      </c>
      <c r="Y115" s="45">
        <f>_xlfn.IFS('Prepare Gantt Chart'!AL114=18,'Project types'!$O115*('Prepare Gantt Chart'!$I114*'Prepare Gantt Chart'!$J114),'Prepare Gantt Chart'!AL114=17,'Project types'!$Q115*('Prepare Gantt Chart'!$I114*'Prepare Gantt Chart'!$J114),'Prepare Gantt Chart'!AL114=0,0)</f>
        <v>0</v>
      </c>
      <c r="Z115" s="45">
        <f>_xlfn.IFS('Prepare Gantt Chart'!AM114=18,'Project types'!$O115*('Prepare Gantt Chart'!$I114*'Prepare Gantt Chart'!$J114),'Prepare Gantt Chart'!AM114=17,'Project types'!$Q115*('Prepare Gantt Chart'!$I114*'Prepare Gantt Chart'!$J114),'Prepare Gantt Chart'!AM114=0,0)</f>
        <v>0</v>
      </c>
      <c r="AA115" s="45">
        <f>_xlfn.IFS('Prepare Gantt Chart'!AN114=18,'Project types'!$O115*('Prepare Gantt Chart'!$I114*'Prepare Gantt Chart'!$J114),'Prepare Gantt Chart'!AN114=17,'Project types'!$Q115*('Prepare Gantt Chart'!$I114*'Prepare Gantt Chart'!$J114),'Prepare Gantt Chart'!AN114=0,0)</f>
        <v>0</v>
      </c>
      <c r="AB115" s="45">
        <f>_xlfn.IFS('Prepare Gantt Chart'!AO114=18,'Project types'!$O115*('Prepare Gantt Chart'!$I114*'Prepare Gantt Chart'!$J114),'Prepare Gantt Chart'!AO114=17,'Project types'!$Q115*('Prepare Gantt Chart'!$I114*'Prepare Gantt Chart'!$J114),'Prepare Gantt Chart'!AO114=0,0)</f>
        <v>0</v>
      </c>
      <c r="AC115" s="45">
        <f>'Prepare Gantt Chart'!J114*'Prepare Gantt Chart'!I114*(AD115/26)</f>
        <v>0</v>
      </c>
      <c r="AD115" s="46">
        <f t="shared" si="2"/>
        <v>0</v>
      </c>
      <c r="AE115" s="72">
        <f>IF('Prepare Gantt Chart'!$J114=0,0,SUM(C115:H115)/6/'Prepare Gantt Chart'!$J114)</f>
        <v>0</v>
      </c>
      <c r="AF115" s="72">
        <f>IF('Prepare Gantt Chart'!$J114=0,0,SUM(I115:M115)/5/'Prepare Gantt Chart'!$J114)</f>
        <v>0</v>
      </c>
      <c r="AG115" s="72">
        <f>IF('Prepare Gantt Chart'!$J114=0,0,SUM(N115:R115)/5/'Prepare Gantt Chart'!$J114)</f>
        <v>0</v>
      </c>
      <c r="AH115" s="72">
        <f>IF('Prepare Gantt Chart'!$J114=0,0,SUM(S115:W115)/5/'Prepare Gantt Chart'!$J114)</f>
        <v>0</v>
      </c>
      <c r="AI115" s="72">
        <f>IF('Prepare Gantt Chart'!$J114=0,0,SUM(X115:AB115)/5/'Prepare Gantt Chart'!$J114)</f>
        <v>0</v>
      </c>
      <c r="AK115" s="42" t="s">
        <v>106</v>
      </c>
      <c r="AL115" s="45">
        <f>_xlfn.IFS('Prepare Gantt Chart'!P114=18,'Project types'!$L115*('Prepare Gantt Chart'!$I114*'Prepare Gantt Chart'!$J114),'Prepare Gantt Chart'!P114=17,'Project types'!$L115*('Prepare Gantt Chart'!$I114*'Prepare Gantt Chart'!$J114),'Prepare Gantt Chart'!P114=0,0)</f>
        <v>0</v>
      </c>
      <c r="AM115" s="45">
        <f>_xlfn.IFS('Prepare Gantt Chart'!Q114=18,'Project types'!$L115*('Prepare Gantt Chart'!$I114*'Prepare Gantt Chart'!$J114),'Prepare Gantt Chart'!Q114=17,'Project types'!$L115*('Prepare Gantt Chart'!$I114*'Prepare Gantt Chart'!$J114),'Prepare Gantt Chart'!Q114=0,0)</f>
        <v>0</v>
      </c>
      <c r="AN115" s="45">
        <f>_xlfn.IFS('Prepare Gantt Chart'!R114=18,'Project types'!$L115*('Prepare Gantt Chart'!$I114*'Prepare Gantt Chart'!$J114),'Prepare Gantt Chart'!R114=17,'Project types'!$L115*('Prepare Gantt Chart'!$I114*'Prepare Gantt Chart'!$J114),'Prepare Gantt Chart'!R114=0,0)</f>
        <v>0</v>
      </c>
      <c r="AO115" s="45">
        <f>_xlfn.IFS('Prepare Gantt Chart'!S114=18,'Project types'!$L115*('Prepare Gantt Chart'!$I114*'Prepare Gantt Chart'!$J114),'Prepare Gantt Chart'!S114=17,'Project types'!$L115*('Prepare Gantt Chart'!$I114*'Prepare Gantt Chart'!$J114),'Prepare Gantt Chart'!S114=0,0)</f>
        <v>0</v>
      </c>
      <c r="AP115" s="45">
        <f>_xlfn.IFS('Prepare Gantt Chart'!T114=18,'Project types'!$L115*('Prepare Gantt Chart'!$I114*'Prepare Gantt Chart'!$J114),'Prepare Gantt Chart'!T114=17,'Project types'!$L115*('Prepare Gantt Chart'!$I114*'Prepare Gantt Chart'!$J114),'Prepare Gantt Chart'!T114=0,0)</f>
        <v>0</v>
      </c>
      <c r="AQ115" s="45">
        <f>_xlfn.IFS('Prepare Gantt Chart'!U114=18,'Project types'!$L115*('Prepare Gantt Chart'!$I114*'Prepare Gantt Chart'!$J114),'Prepare Gantt Chart'!U114=17,'Project types'!$L115*('Prepare Gantt Chart'!$I114*'Prepare Gantt Chart'!$J114),'Prepare Gantt Chart'!U114=0,0)</f>
        <v>0</v>
      </c>
      <c r="AR115" s="45">
        <f>_xlfn.IFS('Prepare Gantt Chart'!V114=18,'Project types'!$L115*('Prepare Gantt Chart'!$I114*'Prepare Gantt Chart'!$J114),'Prepare Gantt Chart'!V114=17,'Project types'!$L115*('Prepare Gantt Chart'!$I114*'Prepare Gantt Chart'!$J114),'Prepare Gantt Chart'!V114=0,0)</f>
        <v>0</v>
      </c>
      <c r="AS115" s="45">
        <f>_xlfn.IFS('Prepare Gantt Chart'!W114=18,'Project types'!$L115*('Prepare Gantt Chart'!$I114*'Prepare Gantt Chart'!$J114),'Prepare Gantt Chart'!W114=17,'Project types'!$L115*('Prepare Gantt Chart'!$I114*'Prepare Gantt Chart'!$J114),'Prepare Gantt Chart'!W114=0,0)</f>
        <v>0</v>
      </c>
      <c r="AT115" s="45">
        <f>_xlfn.IFS('Prepare Gantt Chart'!X114=18,'Project types'!$L115*('Prepare Gantt Chart'!$I114*'Prepare Gantt Chart'!$J114),'Prepare Gantt Chart'!X114=17,'Project types'!$L115*('Prepare Gantt Chart'!$I114*'Prepare Gantt Chart'!$J114),'Prepare Gantt Chart'!X114=0,0)</f>
        <v>0</v>
      </c>
      <c r="AU115" s="45">
        <f>_xlfn.IFS('Prepare Gantt Chart'!Y114=18,'Project types'!$L115*('Prepare Gantt Chart'!$I114*'Prepare Gantt Chart'!$J114),'Prepare Gantt Chart'!Y114=17,'Project types'!$L115*('Prepare Gantt Chart'!$I114*'Prepare Gantt Chart'!$J114),'Prepare Gantt Chart'!Y114=0,0)</f>
        <v>0</v>
      </c>
      <c r="AV115" s="45">
        <f>_xlfn.IFS('Prepare Gantt Chart'!Z114=18,'Project types'!$L115*('Prepare Gantt Chart'!$I114*'Prepare Gantt Chart'!$J114),'Prepare Gantt Chart'!Z114=17,'Project types'!$L115*('Prepare Gantt Chart'!$I114*'Prepare Gantt Chart'!$J114),'Prepare Gantt Chart'!Z114=0,0)</f>
        <v>0</v>
      </c>
      <c r="AW115" s="45">
        <f>_xlfn.IFS('Prepare Gantt Chart'!AA114=18,'Project types'!$L115*('Prepare Gantt Chart'!$I114*'Prepare Gantt Chart'!$J114),'Prepare Gantt Chart'!AA114=17,'Project types'!$L115*('Prepare Gantt Chart'!$I114*'Prepare Gantt Chart'!$J114),'Prepare Gantt Chart'!AA114=0,0)</f>
        <v>0</v>
      </c>
      <c r="AX115" s="45">
        <f>_xlfn.IFS('Prepare Gantt Chart'!AB114=18,'Project types'!$L115*('Prepare Gantt Chart'!$I114*'Prepare Gantt Chart'!$J114),'Prepare Gantt Chart'!AB114=17,'Project types'!$L115*('Prepare Gantt Chart'!$I114*'Prepare Gantt Chart'!$J114),'Prepare Gantt Chart'!AB114=0,0)</f>
        <v>0</v>
      </c>
      <c r="AY115" s="45">
        <f>_xlfn.IFS('Prepare Gantt Chart'!AC114=18,'Project types'!$L115*('Prepare Gantt Chart'!$I114*'Prepare Gantt Chart'!$J114),'Prepare Gantt Chart'!AC114=17,'Project types'!$L115*('Prepare Gantt Chart'!$I114*'Prepare Gantt Chart'!$J114),'Prepare Gantt Chart'!AC114=0,0)</f>
        <v>0</v>
      </c>
      <c r="AZ115" s="45">
        <f>_xlfn.IFS('Prepare Gantt Chart'!AD114=18,'Project types'!$L115*('Prepare Gantt Chart'!$I114*'Prepare Gantt Chart'!$J114),'Prepare Gantt Chart'!AD114=17,'Project types'!$L115*('Prepare Gantt Chart'!$I114*'Prepare Gantt Chart'!$J114),'Prepare Gantt Chart'!AD114=0,0)</f>
        <v>0</v>
      </c>
      <c r="BA115" s="45">
        <f>_xlfn.IFS('Prepare Gantt Chart'!AE114=18,'Project types'!$L115*('Prepare Gantt Chart'!$I114*'Prepare Gantt Chart'!$J114),'Prepare Gantt Chart'!AE114=17,'Project types'!$L115*('Prepare Gantt Chart'!$I114*'Prepare Gantt Chart'!$J114),'Prepare Gantt Chart'!AE114=0,0)</f>
        <v>0</v>
      </c>
      <c r="BB115" s="45">
        <f>_xlfn.IFS('Prepare Gantt Chart'!AF114=18,'Project types'!$L115*('Prepare Gantt Chart'!$I114*'Prepare Gantt Chart'!$J114),'Prepare Gantt Chart'!AF114=17,'Project types'!$L115*('Prepare Gantt Chart'!$I114*'Prepare Gantt Chart'!$J114),'Prepare Gantt Chart'!AF114=0,0)</f>
        <v>0</v>
      </c>
      <c r="BC115" s="45">
        <f>_xlfn.IFS('Prepare Gantt Chart'!AG114=18,'Project types'!$L115*('Prepare Gantt Chart'!$I114*'Prepare Gantt Chart'!$J114),'Prepare Gantt Chart'!AG114=17,'Project types'!$L115*('Prepare Gantt Chart'!$I114*'Prepare Gantt Chart'!$J114),'Prepare Gantt Chart'!AG114=0,0)</f>
        <v>0</v>
      </c>
      <c r="BD115" s="45">
        <f>_xlfn.IFS('Prepare Gantt Chart'!AH114=18,'Project types'!$L115*('Prepare Gantt Chart'!$I114*'Prepare Gantt Chart'!$J114),'Prepare Gantt Chart'!AH114=17,'Project types'!$L115*('Prepare Gantt Chart'!$I114*'Prepare Gantt Chart'!$J114),'Prepare Gantt Chart'!AH114=0,0)</f>
        <v>0</v>
      </c>
      <c r="BE115" s="45">
        <f>_xlfn.IFS('Prepare Gantt Chart'!AI114=18,'Project types'!$L115*('Prepare Gantt Chart'!$I114*'Prepare Gantt Chart'!$J114),'Prepare Gantt Chart'!AI114=17,'Project types'!$L115*('Prepare Gantt Chart'!$I114*'Prepare Gantt Chart'!$J114),'Prepare Gantt Chart'!AI114=0,0)</f>
        <v>0</v>
      </c>
      <c r="BF115" s="45">
        <f>_xlfn.IFS('Prepare Gantt Chart'!AJ114=18,'Project types'!$L115*('Prepare Gantt Chart'!$I114*'Prepare Gantt Chart'!$J114),'Prepare Gantt Chart'!AJ114=17,'Project types'!$L115*('Prepare Gantt Chart'!$I114*'Prepare Gantt Chart'!$J114),'Prepare Gantt Chart'!AJ114=0,0)</f>
        <v>0</v>
      </c>
      <c r="BG115" s="45">
        <f>_xlfn.IFS('Prepare Gantt Chart'!AK114=18,'Project types'!$L115*('Prepare Gantt Chart'!$I114*'Prepare Gantt Chart'!$J114),'Prepare Gantt Chart'!AK114=17,'Project types'!$L115*('Prepare Gantt Chart'!$I114*'Prepare Gantt Chart'!$J114),'Prepare Gantt Chart'!AK114=0,0)</f>
        <v>0</v>
      </c>
      <c r="BH115" s="45">
        <f>_xlfn.IFS('Prepare Gantt Chart'!AL114=18,'Project types'!$L115*('Prepare Gantt Chart'!$I114*'Prepare Gantt Chart'!$J114),'Prepare Gantt Chart'!AL114=17,'Project types'!$L115*('Prepare Gantt Chart'!$I114*'Prepare Gantt Chart'!$J114),'Prepare Gantt Chart'!AL114=0,0)</f>
        <v>0</v>
      </c>
      <c r="BI115" s="45">
        <f>_xlfn.IFS('Prepare Gantt Chart'!AM114=18,'Project types'!$L115*('Prepare Gantt Chart'!$I114*'Prepare Gantt Chart'!$J114),'Prepare Gantt Chart'!AM114=17,'Project types'!$L115*('Prepare Gantt Chart'!$I114*'Prepare Gantt Chart'!$J114),'Prepare Gantt Chart'!AM114=0,0)</f>
        <v>0</v>
      </c>
      <c r="BJ115" s="45">
        <f>_xlfn.IFS('Prepare Gantt Chart'!AN114=18,'Project types'!$L115*('Prepare Gantt Chart'!$I114*'Prepare Gantt Chart'!$J114),'Prepare Gantt Chart'!AN114=17,'Project types'!$L115*('Prepare Gantt Chart'!$I114*'Prepare Gantt Chart'!$J114),'Prepare Gantt Chart'!AN114=0,0)</f>
        <v>0</v>
      </c>
      <c r="BK115" s="45">
        <f>_xlfn.IFS('Prepare Gantt Chart'!AO114=18,'Project types'!$L115*('Prepare Gantt Chart'!$I114*'Prepare Gantt Chart'!$J114),'Prepare Gantt Chart'!AO114=17,'Project types'!$L115*('Prepare Gantt Chart'!$I114*'Prepare Gantt Chart'!$J114),'Prepare Gantt Chart'!AO114=0,0)</f>
        <v>0</v>
      </c>
      <c r="BL115" s="46">
        <f t="shared" si="3"/>
        <v>0</v>
      </c>
      <c r="BM115" s="75">
        <f>IF('Prepare Gantt Chart'!$J114=0,0,SUM(AL115:AQ115)/6/'Prepare Gantt Chart'!$J114)</f>
        <v>0</v>
      </c>
      <c r="BN115" s="75">
        <f>IF('Prepare Gantt Chart'!$J114=0,0,SUM(AR115:AV115)/5/'Prepare Gantt Chart'!$J114)</f>
        <v>0</v>
      </c>
      <c r="BO115" s="75">
        <f>IF('Prepare Gantt Chart'!$J114=0,0,SUM(AW115:BA115)/5/'Prepare Gantt Chart'!$J114)</f>
        <v>0</v>
      </c>
      <c r="BP115" s="75">
        <f>IF('Prepare Gantt Chart'!$J114=0,0,SUM(BB115:BF115)/5/'Prepare Gantt Chart'!$J114)</f>
        <v>0</v>
      </c>
      <c r="BQ115" s="75">
        <f>IF('Prepare Gantt Chart'!$J114=0,0,SUM(BG115:BK115)/5/'Prepare Gantt Chart'!$J114)</f>
        <v>0</v>
      </c>
    </row>
    <row r="116" spans="1:69" x14ac:dyDescent="0.2">
      <c r="A116" s="42" t="s">
        <v>107</v>
      </c>
      <c r="B116" s="1" t="s">
        <v>171</v>
      </c>
      <c r="C116" s="45">
        <f>_xlfn.IFS('Prepare Gantt Chart'!P115=18,'Project types'!$O116*('Prepare Gantt Chart'!$I115*'Prepare Gantt Chart'!$J115),'Prepare Gantt Chart'!P115=17,'Project types'!$Q116*('Prepare Gantt Chart'!$I115*'Prepare Gantt Chart'!$J115),'Prepare Gantt Chart'!P115=0,0)</f>
        <v>0</v>
      </c>
      <c r="D116" s="45">
        <f>_xlfn.IFS('Prepare Gantt Chart'!Q115=18,'Project types'!$O116*('Prepare Gantt Chart'!$I115*'Prepare Gantt Chart'!$J115),'Prepare Gantt Chart'!Q115=17,'Project types'!$Q116*('Prepare Gantt Chart'!$I115*'Prepare Gantt Chart'!$J115),'Prepare Gantt Chart'!Q115=0,0)</f>
        <v>0</v>
      </c>
      <c r="E116" s="45">
        <f>_xlfn.IFS('Prepare Gantt Chart'!R115=18,'Project types'!$O116*('Prepare Gantt Chart'!$I115*'Prepare Gantt Chart'!$J115),'Prepare Gantt Chart'!R115=17,'Project types'!$Q116*('Prepare Gantt Chart'!$I115*'Prepare Gantt Chart'!$J115),'Prepare Gantt Chart'!R115=0,0)</f>
        <v>0</v>
      </c>
      <c r="F116" s="45">
        <f>_xlfn.IFS('Prepare Gantt Chart'!S115=18,'Project types'!$O116*('Prepare Gantt Chart'!$I115*'Prepare Gantt Chart'!$J115),'Prepare Gantt Chart'!S115=17,'Project types'!$Q116*('Prepare Gantt Chart'!$I115*'Prepare Gantt Chart'!$J115),'Prepare Gantt Chart'!S115=0,0)</f>
        <v>0</v>
      </c>
      <c r="G116" s="45">
        <f>_xlfn.IFS('Prepare Gantt Chart'!T115=18,'Project types'!$O116*('Prepare Gantt Chart'!$I115*'Prepare Gantt Chart'!$J115),'Prepare Gantt Chart'!T115=17,'Project types'!$Q116*('Prepare Gantt Chart'!$I115*'Prepare Gantt Chart'!$J115),'Prepare Gantt Chart'!T115=0,0)</f>
        <v>0</v>
      </c>
      <c r="H116" s="45">
        <f>_xlfn.IFS('Prepare Gantt Chart'!U115=18,'Project types'!$O116*('Prepare Gantt Chart'!$I115*'Prepare Gantt Chart'!$J115),'Prepare Gantt Chart'!U115=17,'Project types'!$Q116*('Prepare Gantt Chart'!$I115*'Prepare Gantt Chart'!$J115),'Prepare Gantt Chart'!U115=0,0)</f>
        <v>0</v>
      </c>
      <c r="I116" s="45">
        <f>_xlfn.IFS('Prepare Gantt Chart'!V115=18,'Project types'!$O116*('Prepare Gantt Chart'!$I115*'Prepare Gantt Chart'!$J115),'Prepare Gantt Chart'!V115=17,'Project types'!$Q116*('Prepare Gantt Chart'!$I115*'Prepare Gantt Chart'!$J115),'Prepare Gantt Chart'!V115=0,0)</f>
        <v>0</v>
      </c>
      <c r="J116" s="45">
        <f>_xlfn.IFS('Prepare Gantt Chart'!W115=18,'Project types'!$O116*('Prepare Gantt Chart'!$I115*'Prepare Gantt Chart'!$J115),'Prepare Gantt Chart'!W115=17,'Project types'!$Q116*('Prepare Gantt Chart'!$I115*'Prepare Gantt Chart'!$J115),'Prepare Gantt Chart'!W115=0,0)</f>
        <v>0</v>
      </c>
      <c r="K116" s="45">
        <f>_xlfn.IFS('Prepare Gantt Chart'!X115=18,'Project types'!$O116*('Prepare Gantt Chart'!$I115*'Prepare Gantt Chart'!$J115),'Prepare Gantt Chart'!X115=17,'Project types'!$Q116*('Prepare Gantt Chart'!$I115*'Prepare Gantt Chart'!$J115),'Prepare Gantt Chart'!X115=0,0)</f>
        <v>0</v>
      </c>
      <c r="L116" s="45">
        <f>_xlfn.IFS('Prepare Gantt Chart'!Y115=18,'Project types'!$O116*('Prepare Gantt Chart'!$I115*'Prepare Gantt Chart'!$J115),'Prepare Gantt Chart'!Y115=17,'Project types'!$Q116*('Prepare Gantt Chart'!$I115*'Prepare Gantt Chart'!$J115),'Prepare Gantt Chart'!Y115=0,0)</f>
        <v>0</v>
      </c>
      <c r="M116" s="45">
        <f>_xlfn.IFS('Prepare Gantt Chart'!Z115=18,'Project types'!$O116*('Prepare Gantt Chart'!$I115*'Prepare Gantt Chart'!$J115),'Prepare Gantt Chart'!Z115=17,'Project types'!$Q116*('Prepare Gantt Chart'!$I115*'Prepare Gantt Chart'!$J115),'Prepare Gantt Chart'!Z115=0,0)</f>
        <v>0</v>
      </c>
      <c r="N116" s="45">
        <f>_xlfn.IFS('Prepare Gantt Chart'!AA115=18,'Project types'!$O116*('Prepare Gantt Chart'!$I115*'Prepare Gantt Chart'!$J115),'Prepare Gantt Chart'!AA115=17,'Project types'!$Q116*('Prepare Gantt Chart'!$I115*'Prepare Gantt Chart'!$J115),'Prepare Gantt Chart'!AA115=0,0)</f>
        <v>0</v>
      </c>
      <c r="O116" s="45">
        <f>_xlfn.IFS('Prepare Gantt Chart'!AB115=18,'Project types'!$O116*('Prepare Gantt Chart'!$I115*'Prepare Gantt Chart'!$J115),'Prepare Gantt Chart'!AB115=17,'Project types'!$Q116*('Prepare Gantt Chart'!$I115*'Prepare Gantt Chart'!$J115),'Prepare Gantt Chart'!AB115=0,0)</f>
        <v>0</v>
      </c>
      <c r="P116" s="45">
        <f>_xlfn.IFS('Prepare Gantt Chart'!AC115=18,'Project types'!$O116*('Prepare Gantt Chart'!$I115*'Prepare Gantt Chart'!$J115),'Prepare Gantt Chart'!AC115=17,'Project types'!$Q116*('Prepare Gantt Chart'!$I115*'Prepare Gantt Chart'!$J115),'Prepare Gantt Chart'!AC115=0,0)</f>
        <v>0</v>
      </c>
      <c r="Q116" s="45">
        <f>_xlfn.IFS('Prepare Gantt Chart'!AD115=18,'Project types'!$O116*('Prepare Gantt Chart'!$I115*'Prepare Gantt Chart'!$J115),'Prepare Gantt Chart'!AD115=17,'Project types'!$Q116*('Prepare Gantt Chart'!$I115*'Prepare Gantt Chart'!$J115),'Prepare Gantt Chart'!AD115=0,0)</f>
        <v>0</v>
      </c>
      <c r="R116" s="45">
        <f>_xlfn.IFS('Prepare Gantt Chart'!AE115=18,'Project types'!$O116*('Prepare Gantt Chart'!$I115*'Prepare Gantt Chart'!$J115),'Prepare Gantt Chart'!AE115=17,'Project types'!$Q116*('Prepare Gantt Chart'!$I115*'Prepare Gantt Chart'!$J115),'Prepare Gantt Chart'!AE115=0,0)</f>
        <v>0</v>
      </c>
      <c r="S116" s="45">
        <f>_xlfn.IFS('Prepare Gantt Chart'!AF115=18,'Project types'!$O116*('Prepare Gantt Chart'!$I115*'Prepare Gantt Chart'!$J115),'Prepare Gantt Chart'!AF115=17,'Project types'!$Q116*('Prepare Gantt Chart'!$I115*'Prepare Gantt Chart'!$J115),'Prepare Gantt Chart'!AF115=0,0)</f>
        <v>0</v>
      </c>
      <c r="T116" s="45">
        <f>_xlfn.IFS('Prepare Gantt Chart'!AG115=18,'Project types'!$O116*('Prepare Gantt Chart'!$I115*'Prepare Gantt Chart'!$J115),'Prepare Gantt Chart'!AG115=17,'Project types'!$Q116*('Prepare Gantt Chart'!$I115*'Prepare Gantt Chart'!$J115),'Prepare Gantt Chart'!AG115=0,0)</f>
        <v>0</v>
      </c>
      <c r="U116" s="45">
        <f>_xlfn.IFS('Prepare Gantt Chart'!AH115=18,'Project types'!$O116*('Prepare Gantt Chart'!$I115*'Prepare Gantt Chart'!$J115),'Prepare Gantt Chart'!AH115=17,'Project types'!$Q116*('Prepare Gantt Chart'!$I115*'Prepare Gantt Chart'!$J115),'Prepare Gantt Chart'!AH115=0,0)</f>
        <v>0</v>
      </c>
      <c r="V116" s="45">
        <f>_xlfn.IFS('Prepare Gantt Chart'!AI115=18,'Project types'!$O116*('Prepare Gantt Chart'!$I115*'Prepare Gantt Chart'!$J115),'Prepare Gantt Chart'!AI115=17,'Project types'!$Q116*('Prepare Gantt Chart'!$I115*'Prepare Gantt Chart'!$J115),'Prepare Gantt Chart'!AI115=0,0)</f>
        <v>0</v>
      </c>
      <c r="W116" s="45">
        <f>_xlfn.IFS('Prepare Gantt Chart'!AJ115=18,'Project types'!$O116*('Prepare Gantt Chart'!$I115*'Prepare Gantt Chart'!$J115),'Prepare Gantt Chart'!AJ115=17,'Project types'!$Q116*('Prepare Gantt Chart'!$I115*'Prepare Gantt Chart'!$J115),'Prepare Gantt Chart'!AJ115=0,0)</f>
        <v>0</v>
      </c>
      <c r="X116" s="45">
        <f>_xlfn.IFS('Prepare Gantt Chart'!AK115=18,'Project types'!$O116*('Prepare Gantt Chart'!$I115*'Prepare Gantt Chart'!$J115),'Prepare Gantt Chart'!AK115=17,'Project types'!$Q116*('Prepare Gantt Chart'!$I115*'Prepare Gantt Chart'!$J115),'Prepare Gantt Chart'!AK115=0,0)</f>
        <v>0</v>
      </c>
      <c r="Y116" s="45">
        <f>_xlfn.IFS('Prepare Gantt Chart'!AL115=18,'Project types'!$O116*('Prepare Gantt Chart'!$I115*'Prepare Gantt Chart'!$J115),'Prepare Gantt Chart'!AL115=17,'Project types'!$Q116*('Prepare Gantt Chart'!$I115*'Prepare Gantt Chart'!$J115),'Prepare Gantt Chart'!AL115=0,0)</f>
        <v>0</v>
      </c>
      <c r="Z116" s="45">
        <f>_xlfn.IFS('Prepare Gantt Chart'!AM115=18,'Project types'!$O116*('Prepare Gantt Chart'!$I115*'Prepare Gantt Chart'!$J115),'Prepare Gantt Chart'!AM115=17,'Project types'!$Q116*('Prepare Gantt Chart'!$I115*'Prepare Gantt Chart'!$J115),'Prepare Gantt Chart'!AM115=0,0)</f>
        <v>0</v>
      </c>
      <c r="AA116" s="45">
        <f>_xlfn.IFS('Prepare Gantt Chart'!AN115=18,'Project types'!$O116*('Prepare Gantt Chart'!$I115*'Prepare Gantt Chart'!$J115),'Prepare Gantt Chart'!AN115=17,'Project types'!$Q116*('Prepare Gantt Chart'!$I115*'Prepare Gantt Chart'!$J115),'Prepare Gantt Chart'!AN115=0,0)</f>
        <v>0</v>
      </c>
      <c r="AB116" s="45">
        <f>_xlfn.IFS('Prepare Gantt Chart'!AO115=18,'Project types'!$O116*('Prepare Gantt Chart'!$I115*'Prepare Gantt Chart'!$J115),'Prepare Gantt Chart'!AO115=17,'Project types'!$Q116*('Prepare Gantt Chart'!$I115*'Prepare Gantt Chart'!$J115),'Prepare Gantt Chart'!AO115=0,0)</f>
        <v>0</v>
      </c>
      <c r="AC116" s="45">
        <f>'Prepare Gantt Chart'!J115*'Prepare Gantt Chart'!I115*(AD116/26)</f>
        <v>0</v>
      </c>
      <c r="AD116" s="46">
        <f t="shared" si="2"/>
        <v>0</v>
      </c>
      <c r="AE116" s="72">
        <f>IF('Prepare Gantt Chart'!$J115=0,0,SUM(C116:H116)/6/'Prepare Gantt Chart'!$J115)</f>
        <v>0</v>
      </c>
      <c r="AF116" s="72">
        <f>IF('Prepare Gantt Chart'!$J115=0,0,SUM(I116:M116)/5/'Prepare Gantt Chart'!$J115)</f>
        <v>0</v>
      </c>
      <c r="AG116" s="72">
        <f>IF('Prepare Gantt Chart'!$J115=0,0,SUM(N116:R116)/5/'Prepare Gantt Chart'!$J115)</f>
        <v>0</v>
      </c>
      <c r="AH116" s="72">
        <f>IF('Prepare Gantt Chart'!$J115=0,0,SUM(S116:W116)/5/'Prepare Gantt Chart'!$J115)</f>
        <v>0</v>
      </c>
      <c r="AI116" s="72">
        <f>IF('Prepare Gantt Chart'!$J115=0,0,SUM(X116:AB116)/5/'Prepare Gantt Chart'!$J115)</f>
        <v>0</v>
      </c>
      <c r="AK116" s="42" t="s">
        <v>107</v>
      </c>
      <c r="AL116" s="45">
        <f>_xlfn.IFS('Prepare Gantt Chart'!P115=18,'Project types'!$L116*('Prepare Gantt Chart'!$I115*'Prepare Gantt Chart'!$J115),'Prepare Gantt Chart'!P115=17,'Project types'!$L116*('Prepare Gantt Chart'!$I115*'Prepare Gantt Chart'!$J115),'Prepare Gantt Chart'!P115=0,0)</f>
        <v>0</v>
      </c>
      <c r="AM116" s="45">
        <f>_xlfn.IFS('Prepare Gantt Chart'!Q115=18,'Project types'!$L116*('Prepare Gantt Chart'!$I115*'Prepare Gantt Chart'!$J115),'Prepare Gantt Chart'!Q115=17,'Project types'!$L116*('Prepare Gantt Chart'!$I115*'Prepare Gantt Chart'!$J115),'Prepare Gantt Chart'!Q115=0,0)</f>
        <v>0</v>
      </c>
      <c r="AN116" s="45">
        <f>_xlfn.IFS('Prepare Gantt Chart'!R115=18,'Project types'!$L116*('Prepare Gantt Chart'!$I115*'Prepare Gantt Chart'!$J115),'Prepare Gantt Chart'!R115=17,'Project types'!$L116*('Prepare Gantt Chart'!$I115*'Prepare Gantt Chart'!$J115),'Prepare Gantt Chart'!R115=0,0)</f>
        <v>0</v>
      </c>
      <c r="AO116" s="45">
        <f>_xlfn.IFS('Prepare Gantt Chart'!S115=18,'Project types'!$L116*('Prepare Gantt Chart'!$I115*'Prepare Gantt Chart'!$J115),'Prepare Gantt Chart'!S115=17,'Project types'!$L116*('Prepare Gantt Chart'!$I115*'Prepare Gantt Chart'!$J115),'Prepare Gantt Chart'!S115=0,0)</f>
        <v>0</v>
      </c>
      <c r="AP116" s="45">
        <f>_xlfn.IFS('Prepare Gantt Chart'!T115=18,'Project types'!$L116*('Prepare Gantt Chart'!$I115*'Prepare Gantt Chart'!$J115),'Prepare Gantt Chart'!T115=17,'Project types'!$L116*('Prepare Gantt Chart'!$I115*'Prepare Gantt Chart'!$J115),'Prepare Gantt Chart'!T115=0,0)</f>
        <v>0</v>
      </c>
      <c r="AQ116" s="45">
        <f>_xlfn.IFS('Prepare Gantt Chart'!U115=18,'Project types'!$L116*('Prepare Gantt Chart'!$I115*'Prepare Gantt Chart'!$J115),'Prepare Gantt Chart'!U115=17,'Project types'!$L116*('Prepare Gantt Chart'!$I115*'Prepare Gantt Chart'!$J115),'Prepare Gantt Chart'!U115=0,0)</f>
        <v>0</v>
      </c>
      <c r="AR116" s="45">
        <f>_xlfn.IFS('Prepare Gantt Chart'!V115=18,'Project types'!$L116*('Prepare Gantt Chart'!$I115*'Prepare Gantt Chart'!$J115),'Prepare Gantt Chart'!V115=17,'Project types'!$L116*('Prepare Gantt Chart'!$I115*'Prepare Gantt Chart'!$J115),'Prepare Gantt Chart'!V115=0,0)</f>
        <v>0</v>
      </c>
      <c r="AS116" s="45">
        <f>_xlfn.IFS('Prepare Gantt Chart'!W115=18,'Project types'!$L116*('Prepare Gantt Chart'!$I115*'Prepare Gantt Chart'!$J115),'Prepare Gantt Chart'!W115=17,'Project types'!$L116*('Prepare Gantt Chart'!$I115*'Prepare Gantt Chart'!$J115),'Prepare Gantt Chart'!W115=0,0)</f>
        <v>0</v>
      </c>
      <c r="AT116" s="45">
        <f>_xlfn.IFS('Prepare Gantt Chart'!X115=18,'Project types'!$L116*('Prepare Gantt Chart'!$I115*'Prepare Gantt Chart'!$J115),'Prepare Gantt Chart'!X115=17,'Project types'!$L116*('Prepare Gantt Chart'!$I115*'Prepare Gantt Chart'!$J115),'Prepare Gantt Chart'!X115=0,0)</f>
        <v>0</v>
      </c>
      <c r="AU116" s="45">
        <f>_xlfn.IFS('Prepare Gantt Chart'!Y115=18,'Project types'!$L116*('Prepare Gantt Chart'!$I115*'Prepare Gantt Chart'!$J115),'Prepare Gantt Chart'!Y115=17,'Project types'!$L116*('Prepare Gantt Chart'!$I115*'Prepare Gantt Chart'!$J115),'Prepare Gantt Chart'!Y115=0,0)</f>
        <v>0</v>
      </c>
      <c r="AV116" s="45">
        <f>_xlfn.IFS('Prepare Gantt Chart'!Z115=18,'Project types'!$L116*('Prepare Gantt Chart'!$I115*'Prepare Gantt Chart'!$J115),'Prepare Gantt Chart'!Z115=17,'Project types'!$L116*('Prepare Gantt Chart'!$I115*'Prepare Gantt Chart'!$J115),'Prepare Gantt Chart'!Z115=0,0)</f>
        <v>0</v>
      </c>
      <c r="AW116" s="45">
        <f>_xlfn.IFS('Prepare Gantt Chart'!AA115=18,'Project types'!$L116*('Prepare Gantt Chart'!$I115*'Prepare Gantt Chart'!$J115),'Prepare Gantt Chart'!AA115=17,'Project types'!$L116*('Prepare Gantt Chart'!$I115*'Prepare Gantt Chart'!$J115),'Prepare Gantt Chart'!AA115=0,0)</f>
        <v>0</v>
      </c>
      <c r="AX116" s="45">
        <f>_xlfn.IFS('Prepare Gantt Chart'!AB115=18,'Project types'!$L116*('Prepare Gantt Chart'!$I115*'Prepare Gantt Chart'!$J115),'Prepare Gantt Chart'!AB115=17,'Project types'!$L116*('Prepare Gantt Chart'!$I115*'Prepare Gantt Chart'!$J115),'Prepare Gantt Chart'!AB115=0,0)</f>
        <v>0</v>
      </c>
      <c r="AY116" s="45">
        <f>_xlfn.IFS('Prepare Gantt Chart'!AC115=18,'Project types'!$L116*('Prepare Gantt Chart'!$I115*'Prepare Gantt Chart'!$J115),'Prepare Gantt Chart'!AC115=17,'Project types'!$L116*('Prepare Gantt Chart'!$I115*'Prepare Gantt Chart'!$J115),'Prepare Gantt Chart'!AC115=0,0)</f>
        <v>0</v>
      </c>
      <c r="AZ116" s="45">
        <f>_xlfn.IFS('Prepare Gantt Chart'!AD115=18,'Project types'!$L116*('Prepare Gantt Chart'!$I115*'Prepare Gantt Chart'!$J115),'Prepare Gantt Chart'!AD115=17,'Project types'!$L116*('Prepare Gantt Chart'!$I115*'Prepare Gantt Chart'!$J115),'Prepare Gantt Chart'!AD115=0,0)</f>
        <v>0</v>
      </c>
      <c r="BA116" s="45">
        <f>_xlfn.IFS('Prepare Gantt Chart'!AE115=18,'Project types'!$L116*('Prepare Gantt Chart'!$I115*'Prepare Gantt Chart'!$J115),'Prepare Gantt Chart'!AE115=17,'Project types'!$L116*('Prepare Gantt Chart'!$I115*'Prepare Gantt Chart'!$J115),'Prepare Gantt Chart'!AE115=0,0)</f>
        <v>0</v>
      </c>
      <c r="BB116" s="45">
        <f>_xlfn.IFS('Prepare Gantt Chart'!AF115=18,'Project types'!$L116*('Prepare Gantt Chart'!$I115*'Prepare Gantt Chart'!$J115),'Prepare Gantt Chart'!AF115=17,'Project types'!$L116*('Prepare Gantt Chart'!$I115*'Prepare Gantt Chart'!$J115),'Prepare Gantt Chart'!AF115=0,0)</f>
        <v>0</v>
      </c>
      <c r="BC116" s="45">
        <f>_xlfn.IFS('Prepare Gantt Chart'!AG115=18,'Project types'!$L116*('Prepare Gantt Chart'!$I115*'Prepare Gantt Chart'!$J115),'Prepare Gantt Chart'!AG115=17,'Project types'!$L116*('Prepare Gantt Chart'!$I115*'Prepare Gantt Chart'!$J115),'Prepare Gantt Chart'!AG115=0,0)</f>
        <v>0</v>
      </c>
      <c r="BD116" s="45">
        <f>_xlfn.IFS('Prepare Gantt Chart'!AH115=18,'Project types'!$L116*('Prepare Gantt Chart'!$I115*'Prepare Gantt Chart'!$J115),'Prepare Gantt Chart'!AH115=17,'Project types'!$L116*('Prepare Gantt Chart'!$I115*'Prepare Gantt Chart'!$J115),'Prepare Gantt Chart'!AH115=0,0)</f>
        <v>0</v>
      </c>
      <c r="BE116" s="45">
        <f>_xlfn.IFS('Prepare Gantt Chart'!AI115=18,'Project types'!$L116*('Prepare Gantt Chart'!$I115*'Prepare Gantt Chart'!$J115),'Prepare Gantt Chart'!AI115=17,'Project types'!$L116*('Prepare Gantt Chart'!$I115*'Prepare Gantt Chart'!$J115),'Prepare Gantt Chart'!AI115=0,0)</f>
        <v>0</v>
      </c>
      <c r="BF116" s="45">
        <f>_xlfn.IFS('Prepare Gantt Chart'!AJ115=18,'Project types'!$L116*('Prepare Gantt Chart'!$I115*'Prepare Gantt Chart'!$J115),'Prepare Gantt Chart'!AJ115=17,'Project types'!$L116*('Prepare Gantt Chart'!$I115*'Prepare Gantt Chart'!$J115),'Prepare Gantt Chart'!AJ115=0,0)</f>
        <v>0</v>
      </c>
      <c r="BG116" s="45">
        <f>_xlfn.IFS('Prepare Gantt Chart'!AK115=18,'Project types'!$L116*('Prepare Gantt Chart'!$I115*'Prepare Gantt Chart'!$J115),'Prepare Gantt Chart'!AK115=17,'Project types'!$L116*('Prepare Gantt Chart'!$I115*'Prepare Gantt Chart'!$J115),'Prepare Gantt Chart'!AK115=0,0)</f>
        <v>0</v>
      </c>
      <c r="BH116" s="45">
        <f>_xlfn.IFS('Prepare Gantt Chart'!AL115=18,'Project types'!$L116*('Prepare Gantt Chart'!$I115*'Prepare Gantt Chart'!$J115),'Prepare Gantt Chart'!AL115=17,'Project types'!$L116*('Prepare Gantt Chart'!$I115*'Prepare Gantt Chart'!$J115),'Prepare Gantt Chart'!AL115=0,0)</f>
        <v>0</v>
      </c>
      <c r="BI116" s="45">
        <f>_xlfn.IFS('Prepare Gantt Chart'!AM115=18,'Project types'!$L116*('Prepare Gantt Chart'!$I115*'Prepare Gantt Chart'!$J115),'Prepare Gantt Chart'!AM115=17,'Project types'!$L116*('Prepare Gantt Chart'!$I115*'Prepare Gantt Chart'!$J115),'Prepare Gantt Chart'!AM115=0,0)</f>
        <v>0</v>
      </c>
      <c r="BJ116" s="45">
        <f>_xlfn.IFS('Prepare Gantt Chart'!AN115=18,'Project types'!$L116*('Prepare Gantt Chart'!$I115*'Prepare Gantt Chart'!$J115),'Prepare Gantt Chart'!AN115=17,'Project types'!$L116*('Prepare Gantt Chart'!$I115*'Prepare Gantt Chart'!$J115),'Prepare Gantt Chart'!AN115=0,0)</f>
        <v>0</v>
      </c>
      <c r="BK116" s="45">
        <f>_xlfn.IFS('Prepare Gantt Chart'!AO115=18,'Project types'!$L116*('Prepare Gantt Chart'!$I115*'Prepare Gantt Chart'!$J115),'Prepare Gantt Chart'!AO115=17,'Project types'!$L116*('Prepare Gantt Chart'!$I115*'Prepare Gantt Chart'!$J115),'Prepare Gantt Chart'!AO115=0,0)</f>
        <v>0</v>
      </c>
      <c r="BL116" s="46">
        <f t="shared" si="3"/>
        <v>0</v>
      </c>
      <c r="BM116" s="75">
        <f>IF('Prepare Gantt Chart'!$J115=0,0,SUM(AL116:AQ116)/6/'Prepare Gantt Chart'!$J115)</f>
        <v>0</v>
      </c>
      <c r="BN116" s="75">
        <f>IF('Prepare Gantt Chart'!$J115=0,0,SUM(AR116:AV116)/5/'Prepare Gantt Chart'!$J115)</f>
        <v>0</v>
      </c>
      <c r="BO116" s="75">
        <f>IF('Prepare Gantt Chart'!$J115=0,0,SUM(AW116:BA116)/5/'Prepare Gantt Chart'!$J115)</f>
        <v>0</v>
      </c>
      <c r="BP116" s="75">
        <f>IF('Prepare Gantt Chart'!$J115=0,0,SUM(BB116:BF116)/5/'Prepare Gantt Chart'!$J115)</f>
        <v>0</v>
      </c>
      <c r="BQ116" s="75">
        <f>IF('Prepare Gantt Chart'!$J115=0,0,SUM(BG116:BK116)/5/'Prepare Gantt Chart'!$J115)</f>
        <v>0</v>
      </c>
    </row>
    <row r="117" spans="1:69" x14ac:dyDescent="0.2">
      <c r="A117" s="42" t="s">
        <v>108</v>
      </c>
      <c r="B117" s="1" t="s">
        <v>172</v>
      </c>
      <c r="C117" s="45">
        <f>_xlfn.IFS('Prepare Gantt Chart'!P116=18,'Project types'!$O117*('Prepare Gantt Chart'!$I116*'Prepare Gantt Chart'!$J116),'Prepare Gantt Chart'!P116=17,'Project types'!$Q117*('Prepare Gantt Chart'!$I116*'Prepare Gantt Chart'!$J116),'Prepare Gantt Chart'!P116=0,0)</f>
        <v>0</v>
      </c>
      <c r="D117" s="45">
        <f>_xlfn.IFS('Prepare Gantt Chart'!Q116=18,'Project types'!$O117*('Prepare Gantt Chart'!$I116*'Prepare Gantt Chart'!$J116),'Prepare Gantt Chart'!Q116=17,'Project types'!$Q117*('Prepare Gantt Chart'!$I116*'Prepare Gantt Chart'!$J116),'Prepare Gantt Chart'!Q116=0,0)</f>
        <v>0</v>
      </c>
      <c r="E117" s="45">
        <f>_xlfn.IFS('Prepare Gantt Chart'!R116=18,'Project types'!$O117*('Prepare Gantt Chart'!$I116*'Prepare Gantt Chart'!$J116),'Prepare Gantt Chart'!R116=17,'Project types'!$Q117*('Prepare Gantt Chart'!$I116*'Prepare Gantt Chart'!$J116),'Prepare Gantt Chart'!R116=0,0)</f>
        <v>0</v>
      </c>
      <c r="F117" s="45">
        <f>_xlfn.IFS('Prepare Gantt Chart'!S116=18,'Project types'!$O117*('Prepare Gantt Chart'!$I116*'Prepare Gantt Chart'!$J116),'Prepare Gantt Chart'!S116=17,'Project types'!$Q117*('Prepare Gantt Chart'!$I116*'Prepare Gantt Chart'!$J116),'Prepare Gantt Chart'!S116=0,0)</f>
        <v>0</v>
      </c>
      <c r="G117" s="45">
        <f>_xlfn.IFS('Prepare Gantt Chart'!T116=18,'Project types'!$O117*('Prepare Gantt Chart'!$I116*'Prepare Gantt Chart'!$J116),'Prepare Gantt Chart'!T116=17,'Project types'!$Q117*('Prepare Gantt Chart'!$I116*'Prepare Gantt Chart'!$J116),'Prepare Gantt Chart'!T116=0,0)</f>
        <v>0</v>
      </c>
      <c r="H117" s="45">
        <f>_xlfn.IFS('Prepare Gantt Chart'!U116=18,'Project types'!$O117*('Prepare Gantt Chart'!$I116*'Prepare Gantt Chart'!$J116),'Prepare Gantt Chart'!U116=17,'Project types'!$Q117*('Prepare Gantt Chart'!$I116*'Prepare Gantt Chart'!$J116),'Prepare Gantt Chart'!U116=0,0)</f>
        <v>0</v>
      </c>
      <c r="I117" s="45">
        <f>_xlfn.IFS('Prepare Gantt Chart'!V116=18,'Project types'!$O117*('Prepare Gantt Chart'!$I116*'Prepare Gantt Chart'!$J116),'Prepare Gantt Chart'!V116=17,'Project types'!$Q117*('Prepare Gantt Chart'!$I116*'Prepare Gantt Chart'!$J116),'Prepare Gantt Chart'!V116=0,0)</f>
        <v>0</v>
      </c>
      <c r="J117" s="45">
        <f>_xlfn.IFS('Prepare Gantt Chart'!W116=18,'Project types'!$O117*('Prepare Gantt Chart'!$I116*'Prepare Gantt Chart'!$J116),'Prepare Gantt Chart'!W116=17,'Project types'!$Q117*('Prepare Gantt Chart'!$I116*'Prepare Gantt Chart'!$J116),'Prepare Gantt Chart'!W116=0,0)</f>
        <v>0</v>
      </c>
      <c r="K117" s="45">
        <f>_xlfn.IFS('Prepare Gantt Chart'!X116=18,'Project types'!$O117*('Prepare Gantt Chart'!$I116*'Prepare Gantt Chart'!$J116),'Prepare Gantt Chart'!X116=17,'Project types'!$Q117*('Prepare Gantt Chart'!$I116*'Prepare Gantt Chart'!$J116),'Prepare Gantt Chart'!X116=0,0)</f>
        <v>0</v>
      </c>
      <c r="L117" s="45">
        <f>_xlfn.IFS('Prepare Gantt Chart'!Y116=18,'Project types'!$O117*('Prepare Gantt Chart'!$I116*'Prepare Gantt Chart'!$J116),'Prepare Gantt Chart'!Y116=17,'Project types'!$Q117*('Prepare Gantt Chart'!$I116*'Prepare Gantt Chart'!$J116),'Prepare Gantt Chart'!Y116=0,0)</f>
        <v>0</v>
      </c>
      <c r="M117" s="45">
        <f>_xlfn.IFS('Prepare Gantt Chart'!Z116=18,'Project types'!$O117*('Prepare Gantt Chart'!$I116*'Prepare Gantt Chart'!$J116),'Prepare Gantt Chart'!Z116=17,'Project types'!$Q117*('Prepare Gantt Chart'!$I116*'Prepare Gantt Chart'!$J116),'Prepare Gantt Chart'!Z116=0,0)</f>
        <v>0</v>
      </c>
      <c r="N117" s="45">
        <f>_xlfn.IFS('Prepare Gantt Chart'!AA116=18,'Project types'!$O117*('Prepare Gantt Chart'!$I116*'Prepare Gantt Chart'!$J116),'Prepare Gantt Chart'!AA116=17,'Project types'!$Q117*('Prepare Gantt Chart'!$I116*'Prepare Gantt Chart'!$J116),'Prepare Gantt Chart'!AA116=0,0)</f>
        <v>0</v>
      </c>
      <c r="O117" s="45">
        <f>_xlfn.IFS('Prepare Gantt Chart'!AB116=18,'Project types'!$O117*('Prepare Gantt Chart'!$I116*'Prepare Gantt Chart'!$J116),'Prepare Gantt Chart'!AB116=17,'Project types'!$Q117*('Prepare Gantt Chart'!$I116*'Prepare Gantt Chart'!$J116),'Prepare Gantt Chart'!AB116=0,0)</f>
        <v>0</v>
      </c>
      <c r="P117" s="45">
        <f>_xlfn.IFS('Prepare Gantt Chart'!AC116=18,'Project types'!$O117*('Prepare Gantt Chart'!$I116*'Prepare Gantt Chart'!$J116),'Prepare Gantt Chart'!AC116=17,'Project types'!$Q117*('Prepare Gantt Chart'!$I116*'Prepare Gantt Chart'!$J116),'Prepare Gantt Chart'!AC116=0,0)</f>
        <v>0</v>
      </c>
      <c r="Q117" s="45">
        <f>_xlfn.IFS('Prepare Gantt Chart'!AD116=18,'Project types'!$O117*('Prepare Gantt Chart'!$I116*'Prepare Gantt Chart'!$J116),'Prepare Gantt Chart'!AD116=17,'Project types'!$Q117*('Prepare Gantt Chart'!$I116*'Prepare Gantt Chart'!$J116),'Prepare Gantt Chart'!AD116=0,0)</f>
        <v>0</v>
      </c>
      <c r="R117" s="45">
        <f>_xlfn.IFS('Prepare Gantt Chart'!AE116=18,'Project types'!$O117*('Prepare Gantt Chart'!$I116*'Prepare Gantt Chart'!$J116),'Prepare Gantt Chart'!AE116=17,'Project types'!$Q117*('Prepare Gantt Chart'!$I116*'Prepare Gantt Chart'!$J116),'Prepare Gantt Chart'!AE116=0,0)</f>
        <v>0</v>
      </c>
      <c r="S117" s="45">
        <f>_xlfn.IFS('Prepare Gantt Chart'!AF116=18,'Project types'!$O117*('Prepare Gantt Chart'!$I116*'Prepare Gantt Chart'!$J116),'Prepare Gantt Chart'!AF116=17,'Project types'!$Q117*('Prepare Gantt Chart'!$I116*'Prepare Gantt Chart'!$J116),'Prepare Gantt Chart'!AF116=0,0)</f>
        <v>0</v>
      </c>
      <c r="T117" s="45">
        <f>_xlfn.IFS('Prepare Gantt Chart'!AG116=18,'Project types'!$O117*('Prepare Gantt Chart'!$I116*'Prepare Gantt Chart'!$J116),'Prepare Gantt Chart'!AG116=17,'Project types'!$Q117*('Prepare Gantt Chart'!$I116*'Prepare Gantt Chart'!$J116),'Prepare Gantt Chart'!AG116=0,0)</f>
        <v>0</v>
      </c>
      <c r="U117" s="45">
        <f>_xlfn.IFS('Prepare Gantt Chart'!AH116=18,'Project types'!$O117*('Prepare Gantt Chart'!$I116*'Prepare Gantt Chart'!$J116),'Prepare Gantt Chart'!AH116=17,'Project types'!$Q117*('Prepare Gantt Chart'!$I116*'Prepare Gantt Chart'!$J116),'Prepare Gantt Chart'!AH116=0,0)</f>
        <v>0</v>
      </c>
      <c r="V117" s="45">
        <f>_xlfn.IFS('Prepare Gantt Chart'!AI116=18,'Project types'!$O117*('Prepare Gantt Chart'!$I116*'Prepare Gantt Chart'!$J116),'Prepare Gantt Chart'!AI116=17,'Project types'!$Q117*('Prepare Gantt Chart'!$I116*'Prepare Gantt Chart'!$J116),'Prepare Gantt Chart'!AI116=0,0)</f>
        <v>0</v>
      </c>
      <c r="W117" s="45">
        <f>_xlfn.IFS('Prepare Gantt Chart'!AJ116=18,'Project types'!$O117*('Prepare Gantt Chart'!$I116*'Prepare Gantt Chart'!$J116),'Prepare Gantt Chart'!AJ116=17,'Project types'!$Q117*('Prepare Gantt Chart'!$I116*'Prepare Gantt Chart'!$J116),'Prepare Gantt Chart'!AJ116=0,0)</f>
        <v>0</v>
      </c>
      <c r="X117" s="45">
        <f>_xlfn.IFS('Prepare Gantt Chart'!AK116=18,'Project types'!$O117*('Prepare Gantt Chart'!$I116*'Prepare Gantt Chart'!$J116),'Prepare Gantt Chart'!AK116=17,'Project types'!$Q117*('Prepare Gantt Chart'!$I116*'Prepare Gantt Chart'!$J116),'Prepare Gantt Chart'!AK116=0,0)</f>
        <v>0</v>
      </c>
      <c r="Y117" s="45">
        <f>_xlfn.IFS('Prepare Gantt Chart'!AL116=18,'Project types'!$O117*('Prepare Gantt Chart'!$I116*'Prepare Gantt Chart'!$J116),'Prepare Gantt Chart'!AL116=17,'Project types'!$Q117*('Prepare Gantt Chart'!$I116*'Prepare Gantt Chart'!$J116),'Prepare Gantt Chart'!AL116=0,0)</f>
        <v>0</v>
      </c>
      <c r="Z117" s="45">
        <f>_xlfn.IFS('Prepare Gantt Chart'!AM116=18,'Project types'!$O117*('Prepare Gantt Chart'!$I116*'Prepare Gantt Chart'!$J116),'Prepare Gantt Chart'!AM116=17,'Project types'!$Q117*('Prepare Gantt Chart'!$I116*'Prepare Gantt Chart'!$J116),'Prepare Gantt Chart'!AM116=0,0)</f>
        <v>0</v>
      </c>
      <c r="AA117" s="45">
        <f>_xlfn.IFS('Prepare Gantt Chart'!AN116=18,'Project types'!$O117*('Prepare Gantt Chart'!$I116*'Prepare Gantt Chart'!$J116),'Prepare Gantt Chart'!AN116=17,'Project types'!$Q117*('Prepare Gantt Chart'!$I116*'Prepare Gantt Chart'!$J116),'Prepare Gantt Chart'!AN116=0,0)</f>
        <v>0</v>
      </c>
      <c r="AB117" s="45">
        <f>_xlfn.IFS('Prepare Gantt Chart'!AO116=18,'Project types'!$O117*('Prepare Gantt Chart'!$I116*'Prepare Gantt Chart'!$J116),'Prepare Gantt Chart'!AO116=17,'Project types'!$Q117*('Prepare Gantt Chart'!$I116*'Prepare Gantt Chart'!$J116),'Prepare Gantt Chart'!AO116=0,0)</f>
        <v>0</v>
      </c>
      <c r="AC117" s="45">
        <f>'Prepare Gantt Chart'!J116*'Prepare Gantt Chart'!I116*(AD117/26)</f>
        <v>0</v>
      </c>
      <c r="AD117" s="46">
        <f t="shared" si="2"/>
        <v>0</v>
      </c>
      <c r="AE117" s="72">
        <f>IF('Prepare Gantt Chart'!$J116=0,0,SUM(C117:H117)/6/'Prepare Gantt Chart'!$J116)</f>
        <v>0</v>
      </c>
      <c r="AF117" s="72">
        <f>IF('Prepare Gantt Chart'!$J116=0,0,SUM(I117:M117)/5/'Prepare Gantt Chart'!$J116)</f>
        <v>0</v>
      </c>
      <c r="AG117" s="72">
        <f>IF('Prepare Gantt Chart'!$J116=0,0,SUM(N117:R117)/5/'Prepare Gantt Chart'!$J116)</f>
        <v>0</v>
      </c>
      <c r="AH117" s="72">
        <f>IF('Prepare Gantt Chart'!$J116=0,0,SUM(S117:W117)/5/'Prepare Gantt Chart'!$J116)</f>
        <v>0</v>
      </c>
      <c r="AI117" s="72">
        <f>IF('Prepare Gantt Chart'!$J116=0,0,SUM(X117:AB117)/5/'Prepare Gantt Chart'!$J116)</f>
        <v>0</v>
      </c>
      <c r="AK117" s="42" t="s">
        <v>108</v>
      </c>
      <c r="AL117" s="45">
        <f>_xlfn.IFS('Prepare Gantt Chart'!P116=18,'Project types'!$L117*('Prepare Gantt Chart'!$I116*'Prepare Gantt Chart'!$J116),'Prepare Gantt Chart'!P116=17,'Project types'!$L117*('Prepare Gantt Chart'!$I116*'Prepare Gantt Chart'!$J116),'Prepare Gantt Chart'!P116=0,0)</f>
        <v>0</v>
      </c>
      <c r="AM117" s="45">
        <f>_xlfn.IFS('Prepare Gantt Chart'!Q116=18,'Project types'!$L117*('Prepare Gantt Chart'!$I116*'Prepare Gantt Chart'!$J116),'Prepare Gantt Chart'!Q116=17,'Project types'!$L117*('Prepare Gantt Chart'!$I116*'Prepare Gantt Chart'!$J116),'Prepare Gantt Chart'!Q116=0,0)</f>
        <v>0</v>
      </c>
      <c r="AN117" s="45">
        <f>_xlfn.IFS('Prepare Gantt Chart'!R116=18,'Project types'!$L117*('Prepare Gantt Chart'!$I116*'Prepare Gantt Chart'!$J116),'Prepare Gantt Chart'!R116=17,'Project types'!$L117*('Prepare Gantt Chart'!$I116*'Prepare Gantt Chart'!$J116),'Prepare Gantt Chart'!R116=0,0)</f>
        <v>0</v>
      </c>
      <c r="AO117" s="45">
        <f>_xlfn.IFS('Prepare Gantt Chart'!S116=18,'Project types'!$L117*('Prepare Gantt Chart'!$I116*'Prepare Gantt Chart'!$J116),'Prepare Gantt Chart'!S116=17,'Project types'!$L117*('Prepare Gantt Chart'!$I116*'Prepare Gantt Chart'!$J116),'Prepare Gantt Chart'!S116=0,0)</f>
        <v>0</v>
      </c>
      <c r="AP117" s="45">
        <f>_xlfn.IFS('Prepare Gantt Chart'!T116=18,'Project types'!$L117*('Prepare Gantt Chart'!$I116*'Prepare Gantt Chart'!$J116),'Prepare Gantt Chart'!T116=17,'Project types'!$L117*('Prepare Gantt Chart'!$I116*'Prepare Gantt Chart'!$J116),'Prepare Gantt Chart'!T116=0,0)</f>
        <v>0</v>
      </c>
      <c r="AQ117" s="45">
        <f>_xlfn.IFS('Prepare Gantt Chart'!U116=18,'Project types'!$L117*('Prepare Gantt Chart'!$I116*'Prepare Gantt Chart'!$J116),'Prepare Gantt Chart'!U116=17,'Project types'!$L117*('Prepare Gantt Chart'!$I116*'Prepare Gantt Chart'!$J116),'Prepare Gantt Chart'!U116=0,0)</f>
        <v>0</v>
      </c>
      <c r="AR117" s="45">
        <f>_xlfn.IFS('Prepare Gantt Chart'!V116=18,'Project types'!$L117*('Prepare Gantt Chart'!$I116*'Prepare Gantt Chart'!$J116),'Prepare Gantt Chart'!V116=17,'Project types'!$L117*('Prepare Gantt Chart'!$I116*'Prepare Gantt Chart'!$J116),'Prepare Gantt Chart'!V116=0,0)</f>
        <v>0</v>
      </c>
      <c r="AS117" s="45">
        <f>_xlfn.IFS('Prepare Gantt Chart'!W116=18,'Project types'!$L117*('Prepare Gantt Chart'!$I116*'Prepare Gantt Chart'!$J116),'Prepare Gantt Chart'!W116=17,'Project types'!$L117*('Prepare Gantt Chart'!$I116*'Prepare Gantt Chart'!$J116),'Prepare Gantt Chart'!W116=0,0)</f>
        <v>0</v>
      </c>
      <c r="AT117" s="45">
        <f>_xlfn.IFS('Prepare Gantt Chart'!X116=18,'Project types'!$L117*('Prepare Gantt Chart'!$I116*'Prepare Gantt Chart'!$J116),'Prepare Gantt Chart'!X116=17,'Project types'!$L117*('Prepare Gantt Chart'!$I116*'Prepare Gantt Chart'!$J116),'Prepare Gantt Chart'!X116=0,0)</f>
        <v>0</v>
      </c>
      <c r="AU117" s="45">
        <f>_xlfn.IFS('Prepare Gantt Chart'!Y116=18,'Project types'!$L117*('Prepare Gantt Chart'!$I116*'Prepare Gantt Chart'!$J116),'Prepare Gantt Chart'!Y116=17,'Project types'!$L117*('Prepare Gantt Chart'!$I116*'Prepare Gantt Chart'!$J116),'Prepare Gantt Chart'!Y116=0,0)</f>
        <v>0</v>
      </c>
      <c r="AV117" s="45">
        <f>_xlfn.IFS('Prepare Gantt Chart'!Z116=18,'Project types'!$L117*('Prepare Gantt Chart'!$I116*'Prepare Gantt Chart'!$J116),'Prepare Gantt Chart'!Z116=17,'Project types'!$L117*('Prepare Gantt Chart'!$I116*'Prepare Gantt Chart'!$J116),'Prepare Gantt Chart'!Z116=0,0)</f>
        <v>0</v>
      </c>
      <c r="AW117" s="45">
        <f>_xlfn.IFS('Prepare Gantt Chart'!AA116=18,'Project types'!$L117*('Prepare Gantt Chart'!$I116*'Prepare Gantt Chart'!$J116),'Prepare Gantt Chart'!AA116=17,'Project types'!$L117*('Prepare Gantt Chart'!$I116*'Prepare Gantt Chart'!$J116),'Prepare Gantt Chart'!AA116=0,0)</f>
        <v>0</v>
      </c>
      <c r="AX117" s="45">
        <f>_xlfn.IFS('Prepare Gantt Chart'!AB116=18,'Project types'!$L117*('Prepare Gantt Chart'!$I116*'Prepare Gantt Chart'!$J116),'Prepare Gantt Chart'!AB116=17,'Project types'!$L117*('Prepare Gantt Chart'!$I116*'Prepare Gantt Chart'!$J116),'Prepare Gantt Chart'!AB116=0,0)</f>
        <v>0</v>
      </c>
      <c r="AY117" s="45">
        <f>_xlfn.IFS('Prepare Gantt Chart'!AC116=18,'Project types'!$L117*('Prepare Gantt Chart'!$I116*'Prepare Gantt Chart'!$J116),'Prepare Gantt Chart'!AC116=17,'Project types'!$L117*('Prepare Gantt Chart'!$I116*'Prepare Gantt Chart'!$J116),'Prepare Gantt Chart'!AC116=0,0)</f>
        <v>0</v>
      </c>
      <c r="AZ117" s="45">
        <f>_xlfn.IFS('Prepare Gantt Chart'!AD116=18,'Project types'!$L117*('Prepare Gantt Chart'!$I116*'Prepare Gantt Chart'!$J116),'Prepare Gantt Chart'!AD116=17,'Project types'!$L117*('Prepare Gantt Chart'!$I116*'Prepare Gantt Chart'!$J116),'Prepare Gantt Chart'!AD116=0,0)</f>
        <v>0</v>
      </c>
      <c r="BA117" s="45">
        <f>_xlfn.IFS('Prepare Gantt Chart'!AE116=18,'Project types'!$L117*('Prepare Gantt Chart'!$I116*'Prepare Gantt Chart'!$J116),'Prepare Gantt Chart'!AE116=17,'Project types'!$L117*('Prepare Gantt Chart'!$I116*'Prepare Gantt Chart'!$J116),'Prepare Gantt Chart'!AE116=0,0)</f>
        <v>0</v>
      </c>
      <c r="BB117" s="45">
        <f>_xlfn.IFS('Prepare Gantt Chart'!AF116=18,'Project types'!$L117*('Prepare Gantt Chart'!$I116*'Prepare Gantt Chart'!$J116),'Prepare Gantt Chart'!AF116=17,'Project types'!$L117*('Prepare Gantt Chart'!$I116*'Prepare Gantt Chart'!$J116),'Prepare Gantt Chart'!AF116=0,0)</f>
        <v>0</v>
      </c>
      <c r="BC117" s="45">
        <f>_xlfn.IFS('Prepare Gantt Chart'!AG116=18,'Project types'!$L117*('Prepare Gantt Chart'!$I116*'Prepare Gantt Chart'!$J116),'Prepare Gantt Chart'!AG116=17,'Project types'!$L117*('Prepare Gantt Chart'!$I116*'Prepare Gantt Chart'!$J116),'Prepare Gantt Chart'!AG116=0,0)</f>
        <v>0</v>
      </c>
      <c r="BD117" s="45">
        <f>_xlfn.IFS('Prepare Gantt Chart'!AH116=18,'Project types'!$L117*('Prepare Gantt Chart'!$I116*'Prepare Gantt Chart'!$J116),'Prepare Gantt Chart'!AH116=17,'Project types'!$L117*('Prepare Gantt Chart'!$I116*'Prepare Gantt Chart'!$J116),'Prepare Gantt Chart'!AH116=0,0)</f>
        <v>0</v>
      </c>
      <c r="BE117" s="45">
        <f>_xlfn.IFS('Prepare Gantt Chart'!AI116=18,'Project types'!$L117*('Prepare Gantt Chart'!$I116*'Prepare Gantt Chart'!$J116),'Prepare Gantt Chart'!AI116=17,'Project types'!$L117*('Prepare Gantt Chart'!$I116*'Prepare Gantt Chart'!$J116),'Prepare Gantt Chart'!AI116=0,0)</f>
        <v>0</v>
      </c>
      <c r="BF117" s="45">
        <f>_xlfn.IFS('Prepare Gantt Chart'!AJ116=18,'Project types'!$L117*('Prepare Gantt Chart'!$I116*'Prepare Gantt Chart'!$J116),'Prepare Gantt Chart'!AJ116=17,'Project types'!$L117*('Prepare Gantt Chart'!$I116*'Prepare Gantt Chart'!$J116),'Prepare Gantt Chart'!AJ116=0,0)</f>
        <v>0</v>
      </c>
      <c r="BG117" s="45">
        <f>_xlfn.IFS('Prepare Gantt Chart'!AK116=18,'Project types'!$L117*('Prepare Gantt Chart'!$I116*'Prepare Gantt Chart'!$J116),'Prepare Gantt Chart'!AK116=17,'Project types'!$L117*('Prepare Gantt Chart'!$I116*'Prepare Gantt Chart'!$J116),'Prepare Gantt Chart'!AK116=0,0)</f>
        <v>0</v>
      </c>
      <c r="BH117" s="45">
        <f>_xlfn.IFS('Prepare Gantt Chart'!AL116=18,'Project types'!$L117*('Prepare Gantt Chart'!$I116*'Prepare Gantt Chart'!$J116),'Prepare Gantt Chart'!AL116=17,'Project types'!$L117*('Prepare Gantt Chart'!$I116*'Prepare Gantt Chart'!$J116),'Prepare Gantt Chart'!AL116=0,0)</f>
        <v>0</v>
      </c>
      <c r="BI117" s="45">
        <f>_xlfn.IFS('Prepare Gantt Chart'!AM116=18,'Project types'!$L117*('Prepare Gantt Chart'!$I116*'Prepare Gantt Chart'!$J116),'Prepare Gantt Chart'!AM116=17,'Project types'!$L117*('Prepare Gantt Chart'!$I116*'Prepare Gantt Chart'!$J116),'Prepare Gantt Chart'!AM116=0,0)</f>
        <v>0</v>
      </c>
      <c r="BJ117" s="45">
        <f>_xlfn.IFS('Prepare Gantt Chart'!AN116=18,'Project types'!$L117*('Prepare Gantt Chart'!$I116*'Prepare Gantt Chart'!$J116),'Prepare Gantt Chart'!AN116=17,'Project types'!$L117*('Prepare Gantt Chart'!$I116*'Prepare Gantt Chart'!$J116),'Prepare Gantt Chart'!AN116=0,0)</f>
        <v>0</v>
      </c>
      <c r="BK117" s="45">
        <f>_xlfn.IFS('Prepare Gantt Chart'!AO116=18,'Project types'!$L117*('Prepare Gantt Chart'!$I116*'Prepare Gantt Chart'!$J116),'Prepare Gantt Chart'!AO116=17,'Project types'!$L117*('Prepare Gantt Chart'!$I116*'Prepare Gantt Chart'!$J116),'Prepare Gantt Chart'!AO116=0,0)</f>
        <v>0</v>
      </c>
      <c r="BL117" s="46">
        <f t="shared" si="3"/>
        <v>0</v>
      </c>
      <c r="BM117" s="75">
        <f>IF('Prepare Gantt Chart'!$J116=0,0,SUM(AL117:AQ117)/6/'Prepare Gantt Chart'!$J116)</f>
        <v>0</v>
      </c>
      <c r="BN117" s="75">
        <f>IF('Prepare Gantt Chart'!$J116=0,0,SUM(AR117:AV117)/5/'Prepare Gantt Chart'!$J116)</f>
        <v>0</v>
      </c>
      <c r="BO117" s="75">
        <f>IF('Prepare Gantt Chart'!$J116=0,0,SUM(AW117:BA117)/5/'Prepare Gantt Chart'!$J116)</f>
        <v>0</v>
      </c>
      <c r="BP117" s="75">
        <f>IF('Prepare Gantt Chart'!$J116=0,0,SUM(BB117:BF117)/5/'Prepare Gantt Chart'!$J116)</f>
        <v>0</v>
      </c>
      <c r="BQ117" s="75">
        <f>IF('Prepare Gantt Chart'!$J116=0,0,SUM(BG117:BK117)/5/'Prepare Gantt Chart'!$J116)</f>
        <v>0</v>
      </c>
    </row>
    <row r="118" spans="1:69" x14ac:dyDescent="0.2">
      <c r="A118" s="42" t="s">
        <v>109</v>
      </c>
      <c r="B118" s="1" t="s">
        <v>407</v>
      </c>
      <c r="C118" s="45">
        <f>_xlfn.IFS('Prepare Gantt Chart'!P117=18,'Project types'!$O118*('Prepare Gantt Chart'!$I117*'Prepare Gantt Chart'!$J117),'Prepare Gantt Chart'!P117=17,'Project types'!$Q118*('Prepare Gantt Chart'!$I117*'Prepare Gantt Chart'!$J117),'Prepare Gantt Chart'!P117=0,0)</f>
        <v>0</v>
      </c>
      <c r="D118" s="45">
        <f>_xlfn.IFS('Prepare Gantt Chart'!Q117=18,'Project types'!$O118*('Prepare Gantt Chart'!$I117*'Prepare Gantt Chart'!$J117),'Prepare Gantt Chart'!Q117=17,'Project types'!$Q118*('Prepare Gantt Chart'!$I117*'Prepare Gantt Chart'!$J117),'Prepare Gantt Chart'!Q117=0,0)</f>
        <v>0</v>
      </c>
      <c r="E118" s="45">
        <f>_xlfn.IFS('Prepare Gantt Chart'!R117=18,'Project types'!$O118*('Prepare Gantt Chart'!$I117*'Prepare Gantt Chart'!$J117),'Prepare Gantt Chart'!R117=17,'Project types'!$Q118*('Prepare Gantt Chart'!$I117*'Prepare Gantt Chart'!$J117),'Prepare Gantt Chart'!R117=0,0)</f>
        <v>0</v>
      </c>
      <c r="F118" s="45">
        <f>_xlfn.IFS('Prepare Gantt Chart'!S117=18,'Project types'!$O118*('Prepare Gantt Chart'!$I117*'Prepare Gantt Chart'!$J117),'Prepare Gantt Chart'!S117=17,'Project types'!$Q118*('Prepare Gantt Chart'!$I117*'Prepare Gantt Chart'!$J117),'Prepare Gantt Chart'!S117=0,0)</f>
        <v>0</v>
      </c>
      <c r="G118" s="45">
        <f>_xlfn.IFS('Prepare Gantt Chart'!T117=18,'Project types'!$O118*('Prepare Gantt Chart'!$I117*'Prepare Gantt Chart'!$J117),'Prepare Gantt Chart'!T117=17,'Project types'!$Q118*('Prepare Gantt Chart'!$I117*'Prepare Gantt Chart'!$J117),'Prepare Gantt Chart'!T117=0,0)</f>
        <v>0</v>
      </c>
      <c r="H118" s="45">
        <f>_xlfn.IFS('Prepare Gantt Chart'!U117=18,'Project types'!$O118*('Prepare Gantt Chart'!$I117*'Prepare Gantt Chart'!$J117),'Prepare Gantt Chart'!U117=17,'Project types'!$Q118*('Prepare Gantt Chart'!$I117*'Prepare Gantt Chart'!$J117),'Prepare Gantt Chart'!U117=0,0)</f>
        <v>0</v>
      </c>
      <c r="I118" s="45">
        <f>_xlfn.IFS('Prepare Gantt Chart'!V117=18,'Project types'!$O118*('Prepare Gantt Chart'!$I117*'Prepare Gantt Chart'!$J117),'Prepare Gantt Chart'!V117=17,'Project types'!$Q118*('Prepare Gantt Chart'!$I117*'Prepare Gantt Chart'!$J117),'Prepare Gantt Chart'!V117=0,0)</f>
        <v>0</v>
      </c>
      <c r="J118" s="45">
        <f>_xlfn.IFS('Prepare Gantt Chart'!W117=18,'Project types'!$O118*('Prepare Gantt Chart'!$I117*'Prepare Gantt Chart'!$J117),'Prepare Gantt Chart'!W117=17,'Project types'!$Q118*('Prepare Gantt Chart'!$I117*'Prepare Gantt Chart'!$J117),'Prepare Gantt Chart'!W117=0,0)</f>
        <v>0</v>
      </c>
      <c r="K118" s="45">
        <f>_xlfn.IFS('Prepare Gantt Chart'!X117=18,'Project types'!$O118*('Prepare Gantt Chart'!$I117*'Prepare Gantt Chart'!$J117),'Prepare Gantt Chart'!X117=17,'Project types'!$Q118*('Prepare Gantt Chart'!$I117*'Prepare Gantt Chart'!$J117),'Prepare Gantt Chart'!X117=0,0)</f>
        <v>0</v>
      </c>
      <c r="L118" s="45">
        <f>_xlfn.IFS('Prepare Gantt Chart'!Y117=18,'Project types'!$O118*('Prepare Gantt Chart'!$I117*'Prepare Gantt Chart'!$J117),'Prepare Gantt Chart'!Y117=17,'Project types'!$Q118*('Prepare Gantt Chart'!$I117*'Prepare Gantt Chart'!$J117),'Prepare Gantt Chart'!Y117=0,0)</f>
        <v>0</v>
      </c>
      <c r="M118" s="45">
        <f>_xlfn.IFS('Prepare Gantt Chart'!Z117=18,'Project types'!$O118*('Prepare Gantt Chart'!$I117*'Prepare Gantt Chart'!$J117),'Prepare Gantt Chart'!Z117=17,'Project types'!$Q118*('Prepare Gantt Chart'!$I117*'Prepare Gantt Chart'!$J117),'Prepare Gantt Chart'!Z117=0,0)</f>
        <v>0</v>
      </c>
      <c r="N118" s="45">
        <f>_xlfn.IFS('Prepare Gantt Chart'!AA117=18,'Project types'!$O118*('Prepare Gantt Chart'!$I117*'Prepare Gantt Chart'!$J117),'Prepare Gantt Chart'!AA117=17,'Project types'!$Q118*('Prepare Gantt Chart'!$I117*'Prepare Gantt Chart'!$J117),'Prepare Gantt Chart'!AA117=0,0)</f>
        <v>0</v>
      </c>
      <c r="O118" s="45">
        <f>_xlfn.IFS('Prepare Gantt Chart'!AB117=18,'Project types'!$O118*('Prepare Gantt Chart'!$I117*'Prepare Gantt Chart'!$J117),'Prepare Gantt Chart'!AB117=17,'Project types'!$Q118*('Prepare Gantt Chart'!$I117*'Prepare Gantt Chart'!$J117),'Prepare Gantt Chart'!AB117=0,0)</f>
        <v>0</v>
      </c>
      <c r="P118" s="45">
        <f>_xlfn.IFS('Prepare Gantt Chart'!AC117=18,'Project types'!$O118*('Prepare Gantt Chart'!$I117*'Prepare Gantt Chart'!$J117),'Prepare Gantt Chart'!AC117=17,'Project types'!$Q118*('Prepare Gantt Chart'!$I117*'Prepare Gantt Chart'!$J117),'Prepare Gantt Chart'!AC117=0,0)</f>
        <v>0</v>
      </c>
      <c r="Q118" s="45">
        <f>_xlfn.IFS('Prepare Gantt Chart'!AD117=18,'Project types'!$O118*('Prepare Gantt Chart'!$I117*'Prepare Gantt Chart'!$J117),'Prepare Gantt Chart'!AD117=17,'Project types'!$Q118*('Prepare Gantt Chart'!$I117*'Prepare Gantt Chart'!$J117),'Prepare Gantt Chart'!AD117=0,0)</f>
        <v>0</v>
      </c>
      <c r="R118" s="45">
        <f>_xlfn.IFS('Prepare Gantt Chart'!AE117=18,'Project types'!$O118*('Prepare Gantt Chart'!$I117*'Prepare Gantt Chart'!$J117),'Prepare Gantt Chart'!AE117=17,'Project types'!$Q118*('Prepare Gantt Chart'!$I117*'Prepare Gantt Chart'!$J117),'Prepare Gantt Chart'!AE117=0,0)</f>
        <v>0</v>
      </c>
      <c r="S118" s="45">
        <f>_xlfn.IFS('Prepare Gantt Chart'!AF117=18,'Project types'!$O118*('Prepare Gantt Chart'!$I117*'Prepare Gantt Chart'!$J117),'Prepare Gantt Chart'!AF117=17,'Project types'!$Q118*('Prepare Gantt Chart'!$I117*'Prepare Gantt Chart'!$J117),'Prepare Gantt Chart'!AF117=0,0)</f>
        <v>0</v>
      </c>
      <c r="T118" s="45">
        <f>_xlfn.IFS('Prepare Gantt Chart'!AG117=18,'Project types'!$O118*('Prepare Gantt Chart'!$I117*'Prepare Gantt Chart'!$J117),'Prepare Gantt Chart'!AG117=17,'Project types'!$Q118*('Prepare Gantt Chart'!$I117*'Prepare Gantt Chart'!$J117),'Prepare Gantt Chart'!AG117=0,0)</f>
        <v>0</v>
      </c>
      <c r="U118" s="45">
        <f>_xlfn.IFS('Prepare Gantt Chart'!AH117=18,'Project types'!$O118*('Prepare Gantt Chart'!$I117*'Prepare Gantt Chart'!$J117),'Prepare Gantt Chart'!AH117=17,'Project types'!$Q118*('Prepare Gantt Chart'!$I117*'Prepare Gantt Chart'!$J117),'Prepare Gantt Chart'!AH117=0,0)</f>
        <v>0</v>
      </c>
      <c r="V118" s="45">
        <f>_xlfn.IFS('Prepare Gantt Chart'!AI117=18,'Project types'!$O118*('Prepare Gantt Chart'!$I117*'Prepare Gantt Chart'!$J117),'Prepare Gantt Chart'!AI117=17,'Project types'!$Q118*('Prepare Gantt Chart'!$I117*'Prepare Gantt Chart'!$J117),'Prepare Gantt Chart'!AI117=0,0)</f>
        <v>0</v>
      </c>
      <c r="W118" s="45">
        <f>_xlfn.IFS('Prepare Gantt Chart'!AJ117=18,'Project types'!$O118*('Prepare Gantt Chart'!$I117*'Prepare Gantt Chart'!$J117),'Prepare Gantt Chart'!AJ117=17,'Project types'!$Q118*('Prepare Gantt Chart'!$I117*'Prepare Gantt Chart'!$J117),'Prepare Gantt Chart'!AJ117=0,0)</f>
        <v>0</v>
      </c>
      <c r="X118" s="45">
        <f>_xlfn.IFS('Prepare Gantt Chart'!AK117=18,'Project types'!$O118*('Prepare Gantt Chart'!$I117*'Prepare Gantt Chart'!$J117),'Prepare Gantt Chart'!AK117=17,'Project types'!$Q118*('Prepare Gantt Chart'!$I117*'Prepare Gantt Chart'!$J117),'Prepare Gantt Chart'!AK117=0,0)</f>
        <v>0</v>
      </c>
      <c r="Y118" s="45">
        <f>_xlfn.IFS('Prepare Gantt Chart'!AL117=18,'Project types'!$O118*('Prepare Gantt Chart'!$I117*'Prepare Gantt Chart'!$J117),'Prepare Gantt Chart'!AL117=17,'Project types'!$Q118*('Prepare Gantt Chart'!$I117*'Prepare Gantt Chart'!$J117),'Prepare Gantt Chart'!AL117=0,0)</f>
        <v>0</v>
      </c>
      <c r="Z118" s="45">
        <f>_xlfn.IFS('Prepare Gantt Chart'!AM117=18,'Project types'!$O118*('Prepare Gantt Chart'!$I117*'Prepare Gantt Chart'!$J117),'Prepare Gantt Chart'!AM117=17,'Project types'!$Q118*('Prepare Gantt Chart'!$I117*'Prepare Gantt Chart'!$J117),'Prepare Gantt Chart'!AM117=0,0)</f>
        <v>0</v>
      </c>
      <c r="AA118" s="45">
        <f>_xlfn.IFS('Prepare Gantt Chart'!AN117=18,'Project types'!$O118*('Prepare Gantt Chart'!$I117*'Prepare Gantt Chart'!$J117),'Prepare Gantt Chart'!AN117=17,'Project types'!$Q118*('Prepare Gantt Chart'!$I117*'Prepare Gantt Chart'!$J117),'Prepare Gantt Chart'!AN117=0,0)</f>
        <v>0</v>
      </c>
      <c r="AB118" s="45">
        <f>_xlfn.IFS('Prepare Gantt Chart'!AO117=18,'Project types'!$O118*('Prepare Gantt Chart'!$I117*'Prepare Gantt Chart'!$J117),'Prepare Gantt Chart'!AO117=17,'Project types'!$Q118*('Prepare Gantt Chart'!$I117*'Prepare Gantt Chart'!$J117),'Prepare Gantt Chart'!AO117=0,0)</f>
        <v>0</v>
      </c>
      <c r="AC118" s="45">
        <f>'Prepare Gantt Chart'!J117*'Prepare Gantt Chart'!I117*(AD118/26)</f>
        <v>0</v>
      </c>
      <c r="AD118" s="46">
        <f t="shared" si="2"/>
        <v>0</v>
      </c>
      <c r="AE118" s="72">
        <f>IF('Prepare Gantt Chart'!$J117=0,0,SUM(C118:H118)/6/'Prepare Gantt Chart'!$J117)</f>
        <v>0</v>
      </c>
      <c r="AF118" s="72">
        <f>IF('Prepare Gantt Chart'!$J117=0,0,SUM(I118:M118)/5/'Prepare Gantt Chart'!$J117)</f>
        <v>0</v>
      </c>
      <c r="AG118" s="72">
        <f>IF('Prepare Gantt Chart'!$J117=0,0,SUM(N118:R118)/5/'Prepare Gantt Chart'!$J117)</f>
        <v>0</v>
      </c>
      <c r="AH118" s="72">
        <f>IF('Prepare Gantt Chart'!$J117=0,0,SUM(S118:W118)/5/'Prepare Gantt Chart'!$J117)</f>
        <v>0</v>
      </c>
      <c r="AI118" s="72">
        <f>IF('Prepare Gantt Chart'!$J117=0,0,SUM(X118:AB118)/5/'Prepare Gantt Chart'!$J117)</f>
        <v>0</v>
      </c>
      <c r="AK118" s="42" t="s">
        <v>109</v>
      </c>
      <c r="AL118" s="45">
        <f>_xlfn.IFS('Prepare Gantt Chart'!P117=18,'Project types'!$L118*('Prepare Gantt Chart'!$I117*'Prepare Gantt Chart'!$J117),'Prepare Gantt Chart'!P117=17,'Project types'!$L118*('Prepare Gantt Chart'!$I117*'Prepare Gantt Chart'!$J117),'Prepare Gantt Chart'!P117=0,0)</f>
        <v>0</v>
      </c>
      <c r="AM118" s="45">
        <f>_xlfn.IFS('Prepare Gantt Chart'!Q117=18,'Project types'!$L118*('Prepare Gantt Chart'!$I117*'Prepare Gantt Chart'!$J117),'Prepare Gantt Chart'!Q117=17,'Project types'!$L118*('Prepare Gantt Chart'!$I117*'Prepare Gantt Chart'!$J117),'Prepare Gantt Chart'!Q117=0,0)</f>
        <v>0</v>
      </c>
      <c r="AN118" s="45">
        <f>_xlfn.IFS('Prepare Gantt Chart'!R117=18,'Project types'!$L118*('Prepare Gantt Chart'!$I117*'Prepare Gantt Chart'!$J117),'Prepare Gantt Chart'!R117=17,'Project types'!$L118*('Prepare Gantt Chart'!$I117*'Prepare Gantt Chart'!$J117),'Prepare Gantt Chart'!R117=0,0)</f>
        <v>0</v>
      </c>
      <c r="AO118" s="45">
        <f>_xlfn.IFS('Prepare Gantt Chart'!S117=18,'Project types'!$L118*('Prepare Gantt Chart'!$I117*'Prepare Gantt Chart'!$J117),'Prepare Gantt Chart'!S117=17,'Project types'!$L118*('Prepare Gantt Chart'!$I117*'Prepare Gantt Chart'!$J117),'Prepare Gantt Chart'!S117=0,0)</f>
        <v>0</v>
      </c>
      <c r="AP118" s="45">
        <f>_xlfn.IFS('Prepare Gantt Chart'!T117=18,'Project types'!$L118*('Prepare Gantt Chart'!$I117*'Prepare Gantt Chart'!$J117),'Prepare Gantt Chart'!T117=17,'Project types'!$L118*('Prepare Gantt Chart'!$I117*'Prepare Gantt Chart'!$J117),'Prepare Gantt Chart'!T117=0,0)</f>
        <v>0</v>
      </c>
      <c r="AQ118" s="45">
        <f>_xlfn.IFS('Prepare Gantt Chart'!U117=18,'Project types'!$L118*('Prepare Gantt Chart'!$I117*'Prepare Gantt Chart'!$J117),'Prepare Gantt Chart'!U117=17,'Project types'!$L118*('Prepare Gantt Chart'!$I117*'Prepare Gantt Chart'!$J117),'Prepare Gantt Chart'!U117=0,0)</f>
        <v>0</v>
      </c>
      <c r="AR118" s="45">
        <f>_xlfn.IFS('Prepare Gantt Chart'!V117=18,'Project types'!$L118*('Prepare Gantt Chart'!$I117*'Prepare Gantt Chart'!$J117),'Prepare Gantt Chart'!V117=17,'Project types'!$L118*('Prepare Gantt Chart'!$I117*'Prepare Gantt Chart'!$J117),'Prepare Gantt Chart'!V117=0,0)</f>
        <v>0</v>
      </c>
      <c r="AS118" s="45">
        <f>_xlfn.IFS('Prepare Gantt Chart'!W117=18,'Project types'!$L118*('Prepare Gantt Chart'!$I117*'Prepare Gantt Chart'!$J117),'Prepare Gantt Chart'!W117=17,'Project types'!$L118*('Prepare Gantt Chart'!$I117*'Prepare Gantt Chart'!$J117),'Prepare Gantt Chart'!W117=0,0)</f>
        <v>0</v>
      </c>
      <c r="AT118" s="45">
        <f>_xlfn.IFS('Prepare Gantt Chart'!X117=18,'Project types'!$L118*('Prepare Gantt Chart'!$I117*'Prepare Gantt Chart'!$J117),'Prepare Gantt Chart'!X117=17,'Project types'!$L118*('Prepare Gantt Chart'!$I117*'Prepare Gantt Chart'!$J117),'Prepare Gantt Chart'!X117=0,0)</f>
        <v>0</v>
      </c>
      <c r="AU118" s="45">
        <f>_xlfn.IFS('Prepare Gantt Chart'!Y117=18,'Project types'!$L118*('Prepare Gantt Chart'!$I117*'Prepare Gantt Chart'!$J117),'Prepare Gantt Chart'!Y117=17,'Project types'!$L118*('Prepare Gantt Chart'!$I117*'Prepare Gantt Chart'!$J117),'Prepare Gantt Chart'!Y117=0,0)</f>
        <v>0</v>
      </c>
      <c r="AV118" s="45">
        <f>_xlfn.IFS('Prepare Gantt Chart'!Z117=18,'Project types'!$L118*('Prepare Gantt Chart'!$I117*'Prepare Gantt Chart'!$J117),'Prepare Gantt Chart'!Z117=17,'Project types'!$L118*('Prepare Gantt Chart'!$I117*'Prepare Gantt Chart'!$J117),'Prepare Gantt Chart'!Z117=0,0)</f>
        <v>0</v>
      </c>
      <c r="AW118" s="45">
        <f>_xlfn.IFS('Prepare Gantt Chart'!AA117=18,'Project types'!$L118*('Prepare Gantt Chart'!$I117*'Prepare Gantt Chart'!$J117),'Prepare Gantt Chart'!AA117=17,'Project types'!$L118*('Prepare Gantt Chart'!$I117*'Prepare Gantt Chart'!$J117),'Prepare Gantt Chart'!AA117=0,0)</f>
        <v>0</v>
      </c>
      <c r="AX118" s="45">
        <f>_xlfn.IFS('Prepare Gantt Chart'!AB117=18,'Project types'!$L118*('Prepare Gantt Chart'!$I117*'Prepare Gantt Chart'!$J117),'Prepare Gantt Chart'!AB117=17,'Project types'!$L118*('Prepare Gantt Chart'!$I117*'Prepare Gantt Chart'!$J117),'Prepare Gantt Chart'!AB117=0,0)</f>
        <v>0</v>
      </c>
      <c r="AY118" s="45">
        <f>_xlfn.IFS('Prepare Gantt Chart'!AC117=18,'Project types'!$L118*('Prepare Gantt Chart'!$I117*'Prepare Gantt Chart'!$J117),'Prepare Gantt Chart'!AC117=17,'Project types'!$L118*('Prepare Gantt Chart'!$I117*'Prepare Gantt Chart'!$J117),'Prepare Gantt Chart'!AC117=0,0)</f>
        <v>0</v>
      </c>
      <c r="AZ118" s="45">
        <f>_xlfn.IFS('Prepare Gantt Chart'!AD117=18,'Project types'!$L118*('Prepare Gantt Chart'!$I117*'Prepare Gantt Chart'!$J117),'Prepare Gantt Chart'!AD117=17,'Project types'!$L118*('Prepare Gantt Chart'!$I117*'Prepare Gantt Chart'!$J117),'Prepare Gantt Chart'!AD117=0,0)</f>
        <v>0</v>
      </c>
      <c r="BA118" s="45">
        <f>_xlfn.IFS('Prepare Gantt Chart'!AE117=18,'Project types'!$L118*('Prepare Gantt Chart'!$I117*'Prepare Gantt Chart'!$J117),'Prepare Gantt Chart'!AE117=17,'Project types'!$L118*('Prepare Gantt Chart'!$I117*'Prepare Gantt Chart'!$J117),'Prepare Gantt Chart'!AE117=0,0)</f>
        <v>0</v>
      </c>
      <c r="BB118" s="45">
        <f>_xlfn.IFS('Prepare Gantt Chart'!AF117=18,'Project types'!$L118*('Prepare Gantt Chart'!$I117*'Prepare Gantt Chart'!$J117),'Prepare Gantt Chart'!AF117=17,'Project types'!$L118*('Prepare Gantt Chart'!$I117*'Prepare Gantt Chart'!$J117),'Prepare Gantt Chart'!AF117=0,0)</f>
        <v>0</v>
      </c>
      <c r="BC118" s="45">
        <f>_xlfn.IFS('Prepare Gantt Chart'!AG117=18,'Project types'!$L118*('Prepare Gantt Chart'!$I117*'Prepare Gantt Chart'!$J117),'Prepare Gantt Chart'!AG117=17,'Project types'!$L118*('Prepare Gantt Chart'!$I117*'Prepare Gantt Chart'!$J117),'Prepare Gantt Chart'!AG117=0,0)</f>
        <v>0</v>
      </c>
      <c r="BD118" s="45">
        <f>_xlfn.IFS('Prepare Gantt Chart'!AH117=18,'Project types'!$L118*('Prepare Gantt Chart'!$I117*'Prepare Gantt Chart'!$J117),'Prepare Gantt Chart'!AH117=17,'Project types'!$L118*('Prepare Gantt Chart'!$I117*'Prepare Gantt Chart'!$J117),'Prepare Gantt Chart'!AH117=0,0)</f>
        <v>0</v>
      </c>
      <c r="BE118" s="45">
        <f>_xlfn.IFS('Prepare Gantt Chart'!AI117=18,'Project types'!$L118*('Prepare Gantt Chart'!$I117*'Prepare Gantt Chart'!$J117),'Prepare Gantt Chart'!AI117=17,'Project types'!$L118*('Prepare Gantt Chart'!$I117*'Prepare Gantt Chart'!$J117),'Prepare Gantt Chart'!AI117=0,0)</f>
        <v>0</v>
      </c>
      <c r="BF118" s="45">
        <f>_xlfn.IFS('Prepare Gantt Chart'!AJ117=18,'Project types'!$L118*('Prepare Gantt Chart'!$I117*'Prepare Gantt Chart'!$J117),'Prepare Gantt Chart'!AJ117=17,'Project types'!$L118*('Prepare Gantt Chart'!$I117*'Prepare Gantt Chart'!$J117),'Prepare Gantt Chart'!AJ117=0,0)</f>
        <v>0</v>
      </c>
      <c r="BG118" s="45">
        <f>_xlfn.IFS('Prepare Gantt Chart'!AK117=18,'Project types'!$L118*('Prepare Gantt Chart'!$I117*'Prepare Gantt Chart'!$J117),'Prepare Gantt Chart'!AK117=17,'Project types'!$L118*('Prepare Gantt Chart'!$I117*'Prepare Gantt Chart'!$J117),'Prepare Gantt Chart'!AK117=0,0)</f>
        <v>0</v>
      </c>
      <c r="BH118" s="45">
        <f>_xlfn.IFS('Prepare Gantt Chart'!AL117=18,'Project types'!$L118*('Prepare Gantt Chart'!$I117*'Prepare Gantt Chart'!$J117),'Prepare Gantt Chart'!AL117=17,'Project types'!$L118*('Prepare Gantt Chart'!$I117*'Prepare Gantt Chart'!$J117),'Prepare Gantt Chart'!AL117=0,0)</f>
        <v>0</v>
      </c>
      <c r="BI118" s="45">
        <f>_xlfn.IFS('Prepare Gantt Chart'!AM117=18,'Project types'!$L118*('Prepare Gantt Chart'!$I117*'Prepare Gantt Chart'!$J117),'Prepare Gantt Chart'!AM117=17,'Project types'!$L118*('Prepare Gantt Chart'!$I117*'Prepare Gantt Chart'!$J117),'Prepare Gantt Chart'!AM117=0,0)</f>
        <v>0</v>
      </c>
      <c r="BJ118" s="45">
        <f>_xlfn.IFS('Prepare Gantt Chart'!AN117=18,'Project types'!$L118*('Prepare Gantt Chart'!$I117*'Prepare Gantt Chart'!$J117),'Prepare Gantt Chart'!AN117=17,'Project types'!$L118*('Prepare Gantt Chart'!$I117*'Prepare Gantt Chart'!$J117),'Prepare Gantt Chart'!AN117=0,0)</f>
        <v>0</v>
      </c>
      <c r="BK118" s="45">
        <f>_xlfn.IFS('Prepare Gantt Chart'!AO117=18,'Project types'!$L118*('Prepare Gantt Chart'!$I117*'Prepare Gantt Chart'!$J117),'Prepare Gantt Chart'!AO117=17,'Project types'!$L118*('Prepare Gantt Chart'!$I117*'Prepare Gantt Chart'!$J117),'Prepare Gantt Chart'!AO117=0,0)</f>
        <v>0</v>
      </c>
      <c r="BL118" s="46">
        <f t="shared" si="3"/>
        <v>0</v>
      </c>
      <c r="BM118" s="75">
        <f>IF('Prepare Gantt Chart'!$J117=0,0,SUM(AL118:AQ118)/6/'Prepare Gantt Chart'!$J117)</f>
        <v>0</v>
      </c>
      <c r="BN118" s="75">
        <f>IF('Prepare Gantt Chart'!$J117=0,0,SUM(AR118:AV118)/5/'Prepare Gantt Chart'!$J117)</f>
        <v>0</v>
      </c>
      <c r="BO118" s="75">
        <f>IF('Prepare Gantt Chart'!$J117=0,0,SUM(AW118:BA118)/5/'Prepare Gantt Chart'!$J117)</f>
        <v>0</v>
      </c>
      <c r="BP118" s="75">
        <f>IF('Prepare Gantt Chart'!$J117=0,0,SUM(BB118:BF118)/5/'Prepare Gantt Chart'!$J117)</f>
        <v>0</v>
      </c>
      <c r="BQ118" s="75">
        <f>IF('Prepare Gantt Chart'!$J117=0,0,SUM(BG118:BK118)/5/'Prepare Gantt Chart'!$J117)</f>
        <v>0</v>
      </c>
    </row>
    <row r="119" spans="1:69" x14ac:dyDescent="0.2">
      <c r="A119" s="42" t="s">
        <v>418</v>
      </c>
      <c r="B119" s="1" t="s">
        <v>405</v>
      </c>
      <c r="C119" s="45">
        <f>_xlfn.IFS('Prepare Gantt Chart'!P118=18,'Project types'!$O119*('Prepare Gantt Chart'!$I118*'Prepare Gantt Chart'!$J118),'Prepare Gantt Chart'!P118=17,'Project types'!$Q119*('Prepare Gantt Chart'!$I118*'Prepare Gantt Chart'!$J118),'Prepare Gantt Chart'!P118=0,0)</f>
        <v>0</v>
      </c>
      <c r="D119" s="45">
        <f>_xlfn.IFS('Prepare Gantt Chart'!Q118=18,'Project types'!$O119*('Prepare Gantt Chart'!$I118*'Prepare Gantt Chart'!$J118),'Prepare Gantt Chart'!Q118=17,'Project types'!$Q119*('Prepare Gantt Chart'!$I118*'Prepare Gantt Chart'!$J118),'Prepare Gantt Chart'!Q118=0,0)</f>
        <v>0</v>
      </c>
      <c r="E119" s="45">
        <f>_xlfn.IFS('Prepare Gantt Chart'!R118=18,'Project types'!$O119*('Prepare Gantt Chart'!$I118*'Prepare Gantt Chart'!$J118),'Prepare Gantt Chart'!R118=17,'Project types'!$Q119*('Prepare Gantt Chart'!$I118*'Prepare Gantt Chart'!$J118),'Prepare Gantt Chart'!R118=0,0)</f>
        <v>0</v>
      </c>
      <c r="F119" s="45">
        <f>_xlfn.IFS('Prepare Gantt Chart'!S118=18,'Project types'!$O119*('Prepare Gantt Chart'!$I118*'Prepare Gantt Chart'!$J118),'Prepare Gantt Chart'!S118=17,'Project types'!$Q119*('Prepare Gantt Chart'!$I118*'Prepare Gantt Chart'!$J118),'Prepare Gantt Chart'!S118=0,0)</f>
        <v>0</v>
      </c>
      <c r="G119" s="45">
        <f>_xlfn.IFS('Prepare Gantt Chart'!T118=18,'Project types'!$O119*('Prepare Gantt Chart'!$I118*'Prepare Gantt Chart'!$J118),'Prepare Gantt Chart'!T118=17,'Project types'!$Q119*('Prepare Gantt Chart'!$I118*'Prepare Gantt Chart'!$J118),'Prepare Gantt Chart'!T118=0,0)</f>
        <v>0</v>
      </c>
      <c r="H119" s="45">
        <f>_xlfn.IFS('Prepare Gantt Chart'!U118=18,'Project types'!$O119*('Prepare Gantt Chart'!$I118*'Prepare Gantt Chart'!$J118),'Prepare Gantt Chart'!U118=17,'Project types'!$Q119*('Prepare Gantt Chart'!$I118*'Prepare Gantt Chart'!$J118),'Prepare Gantt Chart'!U118=0,0)</f>
        <v>0</v>
      </c>
      <c r="I119" s="45">
        <f>_xlfn.IFS('Prepare Gantt Chart'!V118=18,'Project types'!$O119*('Prepare Gantt Chart'!$I118*'Prepare Gantt Chart'!$J118),'Prepare Gantt Chart'!V118=17,'Project types'!$Q119*('Prepare Gantt Chart'!$I118*'Prepare Gantt Chart'!$J118),'Prepare Gantt Chart'!V118=0,0)</f>
        <v>0</v>
      </c>
      <c r="J119" s="45">
        <f>_xlfn.IFS('Prepare Gantt Chart'!W118=18,'Project types'!$O119*('Prepare Gantt Chart'!$I118*'Prepare Gantt Chart'!$J118),'Prepare Gantt Chart'!W118=17,'Project types'!$Q119*('Prepare Gantt Chart'!$I118*'Prepare Gantt Chart'!$J118),'Prepare Gantt Chart'!W118=0,0)</f>
        <v>0</v>
      </c>
      <c r="K119" s="45">
        <f>_xlfn.IFS('Prepare Gantt Chart'!X118=18,'Project types'!$O119*('Prepare Gantt Chart'!$I118*'Prepare Gantt Chart'!$J118),'Prepare Gantt Chart'!X118=17,'Project types'!$Q119*('Prepare Gantt Chart'!$I118*'Prepare Gantt Chart'!$J118),'Prepare Gantt Chart'!X118=0,0)</f>
        <v>0</v>
      </c>
      <c r="L119" s="45">
        <f>_xlfn.IFS('Prepare Gantt Chart'!Y118=18,'Project types'!$O119*('Prepare Gantt Chart'!$I118*'Prepare Gantt Chart'!$J118),'Prepare Gantt Chart'!Y118=17,'Project types'!$Q119*('Prepare Gantt Chart'!$I118*'Prepare Gantt Chart'!$J118),'Prepare Gantt Chart'!Y118=0,0)</f>
        <v>0</v>
      </c>
      <c r="M119" s="45">
        <f>_xlfn.IFS('Prepare Gantt Chart'!Z118=18,'Project types'!$O119*('Prepare Gantt Chart'!$I118*'Prepare Gantt Chart'!$J118),'Prepare Gantt Chart'!Z118=17,'Project types'!$Q119*('Prepare Gantt Chart'!$I118*'Prepare Gantt Chart'!$J118),'Prepare Gantt Chart'!Z118=0,0)</f>
        <v>0</v>
      </c>
      <c r="N119" s="45">
        <f>_xlfn.IFS('Prepare Gantt Chart'!AA118=18,'Project types'!$O119*('Prepare Gantt Chart'!$I118*'Prepare Gantt Chart'!$J118),'Prepare Gantt Chart'!AA118=17,'Project types'!$Q119*('Prepare Gantt Chart'!$I118*'Prepare Gantt Chart'!$J118),'Prepare Gantt Chart'!AA118=0,0)</f>
        <v>0</v>
      </c>
      <c r="O119" s="45">
        <f>_xlfn.IFS('Prepare Gantt Chart'!AB118=18,'Project types'!$O119*('Prepare Gantt Chart'!$I118*'Prepare Gantt Chart'!$J118),'Prepare Gantt Chart'!AB118=17,'Project types'!$Q119*('Prepare Gantt Chart'!$I118*'Prepare Gantt Chart'!$J118),'Prepare Gantt Chart'!AB118=0,0)</f>
        <v>0</v>
      </c>
      <c r="P119" s="45">
        <f>_xlfn.IFS('Prepare Gantt Chart'!AC118=18,'Project types'!$O119*('Prepare Gantt Chart'!$I118*'Prepare Gantt Chart'!$J118),'Prepare Gantt Chart'!AC118=17,'Project types'!$Q119*('Prepare Gantt Chart'!$I118*'Prepare Gantt Chart'!$J118),'Prepare Gantt Chart'!AC118=0,0)</f>
        <v>0</v>
      </c>
      <c r="Q119" s="45">
        <f>_xlfn.IFS('Prepare Gantt Chart'!AD118=18,'Project types'!$O119*('Prepare Gantt Chart'!$I118*'Prepare Gantt Chart'!$J118),'Prepare Gantt Chart'!AD118=17,'Project types'!$Q119*('Prepare Gantt Chart'!$I118*'Prepare Gantt Chart'!$J118),'Prepare Gantt Chart'!AD118=0,0)</f>
        <v>0</v>
      </c>
      <c r="R119" s="45">
        <f>_xlfn.IFS('Prepare Gantt Chart'!AE118=18,'Project types'!$O119*('Prepare Gantt Chart'!$I118*'Prepare Gantt Chart'!$J118),'Prepare Gantt Chart'!AE118=17,'Project types'!$Q119*('Prepare Gantt Chart'!$I118*'Prepare Gantt Chart'!$J118),'Prepare Gantt Chart'!AE118=0,0)</f>
        <v>0</v>
      </c>
      <c r="S119" s="45">
        <f>_xlfn.IFS('Prepare Gantt Chart'!AF118=18,'Project types'!$O119*('Prepare Gantt Chart'!$I118*'Prepare Gantt Chart'!$J118),'Prepare Gantt Chart'!AF118=17,'Project types'!$Q119*('Prepare Gantt Chart'!$I118*'Prepare Gantt Chart'!$J118),'Prepare Gantt Chart'!AF118=0,0)</f>
        <v>0</v>
      </c>
      <c r="T119" s="45">
        <f>_xlfn.IFS('Prepare Gantt Chart'!AG118=18,'Project types'!$O119*('Prepare Gantt Chart'!$I118*'Prepare Gantt Chart'!$J118),'Prepare Gantt Chart'!AG118=17,'Project types'!$Q119*('Prepare Gantt Chart'!$I118*'Prepare Gantt Chart'!$J118),'Prepare Gantt Chart'!AG118=0,0)</f>
        <v>0</v>
      </c>
      <c r="U119" s="45">
        <f>_xlfn.IFS('Prepare Gantt Chart'!AH118=18,'Project types'!$O119*('Prepare Gantt Chart'!$I118*'Prepare Gantt Chart'!$J118),'Prepare Gantt Chart'!AH118=17,'Project types'!$Q119*('Prepare Gantt Chart'!$I118*'Prepare Gantt Chart'!$J118),'Prepare Gantt Chart'!AH118=0,0)</f>
        <v>0</v>
      </c>
      <c r="V119" s="45">
        <f>_xlfn.IFS('Prepare Gantt Chart'!AI118=18,'Project types'!$O119*('Prepare Gantt Chart'!$I118*'Prepare Gantt Chart'!$J118),'Prepare Gantt Chart'!AI118=17,'Project types'!$Q119*('Prepare Gantt Chart'!$I118*'Prepare Gantt Chart'!$J118),'Prepare Gantt Chart'!AI118=0,0)</f>
        <v>0</v>
      </c>
      <c r="W119" s="45">
        <f>_xlfn.IFS('Prepare Gantt Chart'!AJ118=18,'Project types'!$O119*('Prepare Gantt Chart'!$I118*'Prepare Gantt Chart'!$J118),'Prepare Gantt Chart'!AJ118=17,'Project types'!$Q119*('Prepare Gantt Chart'!$I118*'Prepare Gantt Chart'!$J118),'Prepare Gantt Chart'!AJ118=0,0)</f>
        <v>0</v>
      </c>
      <c r="X119" s="45">
        <f>_xlfn.IFS('Prepare Gantt Chart'!AK118=18,'Project types'!$O119*('Prepare Gantt Chart'!$I118*'Prepare Gantt Chart'!$J118),'Prepare Gantt Chart'!AK118=17,'Project types'!$Q119*('Prepare Gantt Chart'!$I118*'Prepare Gantt Chart'!$J118),'Prepare Gantt Chart'!AK118=0,0)</f>
        <v>0</v>
      </c>
      <c r="Y119" s="45">
        <f>_xlfn.IFS('Prepare Gantt Chart'!AL118=18,'Project types'!$O119*('Prepare Gantt Chart'!$I118*'Prepare Gantt Chart'!$J118),'Prepare Gantt Chart'!AL118=17,'Project types'!$Q119*('Prepare Gantt Chart'!$I118*'Prepare Gantt Chart'!$J118),'Prepare Gantt Chart'!AL118=0,0)</f>
        <v>0</v>
      </c>
      <c r="Z119" s="45">
        <f>_xlfn.IFS('Prepare Gantt Chart'!AM118=18,'Project types'!$O119*('Prepare Gantt Chart'!$I118*'Prepare Gantt Chart'!$J118),'Prepare Gantt Chart'!AM118=17,'Project types'!$Q119*('Prepare Gantt Chart'!$I118*'Prepare Gantt Chart'!$J118),'Prepare Gantt Chart'!AM118=0,0)</f>
        <v>0</v>
      </c>
      <c r="AA119" s="45">
        <f>_xlfn.IFS('Prepare Gantt Chart'!AN118=18,'Project types'!$O119*('Prepare Gantt Chart'!$I118*'Prepare Gantt Chart'!$J118),'Prepare Gantt Chart'!AN118=17,'Project types'!$Q119*('Prepare Gantt Chart'!$I118*'Prepare Gantt Chart'!$J118),'Prepare Gantt Chart'!AN118=0,0)</f>
        <v>0</v>
      </c>
      <c r="AB119" s="45">
        <f>_xlfn.IFS('Prepare Gantt Chart'!AO118=18,'Project types'!$O119*('Prepare Gantt Chart'!$I118*'Prepare Gantt Chart'!$J118),'Prepare Gantt Chart'!AO118=17,'Project types'!$Q119*('Prepare Gantt Chart'!$I118*'Prepare Gantt Chart'!$J118),'Prepare Gantt Chart'!AO118=0,0)</f>
        <v>0</v>
      </c>
      <c r="AC119" s="45">
        <f>'Prepare Gantt Chart'!J118*'Prepare Gantt Chart'!I118*(AD119/26)</f>
        <v>0</v>
      </c>
      <c r="AD119" s="46">
        <f t="shared" si="2"/>
        <v>0</v>
      </c>
      <c r="AE119" s="72">
        <f>IF('Prepare Gantt Chart'!$J118=0,0,SUM(C119:H119)/6/'Prepare Gantt Chart'!$J118)</f>
        <v>0</v>
      </c>
      <c r="AF119" s="72">
        <f>IF('Prepare Gantt Chart'!$J118=0,0,SUM(I119:M119)/5/'Prepare Gantt Chart'!$J118)</f>
        <v>0</v>
      </c>
      <c r="AG119" s="72">
        <f>IF('Prepare Gantt Chart'!$J118=0,0,SUM(N119:R119)/5/'Prepare Gantt Chart'!$J118)</f>
        <v>0</v>
      </c>
      <c r="AH119" s="72">
        <f>IF('Prepare Gantt Chart'!$J118=0,0,SUM(S119:W119)/5/'Prepare Gantt Chart'!$J118)</f>
        <v>0</v>
      </c>
      <c r="AI119" s="72">
        <f>IF('Prepare Gantt Chart'!$J118=0,0,SUM(X119:AB119)/5/'Prepare Gantt Chart'!$J118)</f>
        <v>0</v>
      </c>
      <c r="AK119" s="42" t="s">
        <v>418</v>
      </c>
      <c r="AL119" s="45">
        <f>_xlfn.IFS('Prepare Gantt Chart'!P118=18,'Project types'!$L119*('Prepare Gantt Chart'!$I118*'Prepare Gantt Chart'!$J118),'Prepare Gantt Chart'!P118=17,'Project types'!$L119*('Prepare Gantt Chart'!$I118*'Prepare Gantt Chart'!$J118),'Prepare Gantt Chart'!P118=0,0)</f>
        <v>0</v>
      </c>
      <c r="AM119" s="45">
        <f>_xlfn.IFS('Prepare Gantt Chart'!Q118=18,'Project types'!$L119*('Prepare Gantt Chart'!$I118*'Prepare Gantt Chart'!$J118),'Prepare Gantt Chart'!Q118=17,'Project types'!$L119*('Prepare Gantt Chart'!$I118*'Prepare Gantt Chart'!$J118),'Prepare Gantt Chart'!Q118=0,0)</f>
        <v>0</v>
      </c>
      <c r="AN119" s="45">
        <f>_xlfn.IFS('Prepare Gantt Chart'!R118=18,'Project types'!$L119*('Prepare Gantt Chart'!$I118*'Prepare Gantt Chart'!$J118),'Prepare Gantt Chart'!R118=17,'Project types'!$L119*('Prepare Gantt Chart'!$I118*'Prepare Gantt Chart'!$J118),'Prepare Gantt Chart'!R118=0,0)</f>
        <v>0</v>
      </c>
      <c r="AO119" s="45">
        <f>_xlfn.IFS('Prepare Gantt Chart'!S118=18,'Project types'!$L119*('Prepare Gantt Chart'!$I118*'Prepare Gantt Chart'!$J118),'Prepare Gantt Chart'!S118=17,'Project types'!$L119*('Prepare Gantt Chart'!$I118*'Prepare Gantt Chart'!$J118),'Prepare Gantt Chart'!S118=0,0)</f>
        <v>0</v>
      </c>
      <c r="AP119" s="45">
        <f>_xlfn.IFS('Prepare Gantt Chart'!T118=18,'Project types'!$L119*('Prepare Gantt Chart'!$I118*'Prepare Gantt Chart'!$J118),'Prepare Gantt Chart'!T118=17,'Project types'!$L119*('Prepare Gantt Chart'!$I118*'Prepare Gantt Chart'!$J118),'Prepare Gantt Chart'!T118=0,0)</f>
        <v>0</v>
      </c>
      <c r="AQ119" s="45">
        <f>_xlfn.IFS('Prepare Gantt Chart'!U118=18,'Project types'!$L119*('Prepare Gantt Chart'!$I118*'Prepare Gantt Chart'!$J118),'Prepare Gantt Chart'!U118=17,'Project types'!$L119*('Prepare Gantt Chart'!$I118*'Prepare Gantt Chart'!$J118),'Prepare Gantt Chart'!U118=0,0)</f>
        <v>0</v>
      </c>
      <c r="AR119" s="45">
        <f>_xlfn.IFS('Prepare Gantt Chart'!V118=18,'Project types'!$L119*('Prepare Gantt Chart'!$I118*'Prepare Gantt Chart'!$J118),'Prepare Gantt Chart'!V118=17,'Project types'!$L119*('Prepare Gantt Chart'!$I118*'Prepare Gantt Chart'!$J118),'Prepare Gantt Chart'!V118=0,0)</f>
        <v>0</v>
      </c>
      <c r="AS119" s="45">
        <f>_xlfn.IFS('Prepare Gantt Chart'!W118=18,'Project types'!$L119*('Prepare Gantt Chart'!$I118*'Prepare Gantt Chart'!$J118),'Prepare Gantt Chart'!W118=17,'Project types'!$L119*('Prepare Gantt Chart'!$I118*'Prepare Gantt Chart'!$J118),'Prepare Gantt Chart'!W118=0,0)</f>
        <v>0</v>
      </c>
      <c r="AT119" s="45">
        <f>_xlfn.IFS('Prepare Gantt Chart'!X118=18,'Project types'!$L119*('Prepare Gantt Chart'!$I118*'Prepare Gantt Chart'!$J118),'Prepare Gantt Chart'!X118=17,'Project types'!$L119*('Prepare Gantt Chart'!$I118*'Prepare Gantt Chart'!$J118),'Prepare Gantt Chart'!X118=0,0)</f>
        <v>0</v>
      </c>
      <c r="AU119" s="45">
        <f>_xlfn.IFS('Prepare Gantt Chart'!Y118=18,'Project types'!$L119*('Prepare Gantt Chart'!$I118*'Prepare Gantt Chart'!$J118),'Prepare Gantt Chart'!Y118=17,'Project types'!$L119*('Prepare Gantt Chart'!$I118*'Prepare Gantt Chart'!$J118),'Prepare Gantt Chart'!Y118=0,0)</f>
        <v>0</v>
      </c>
      <c r="AV119" s="45">
        <f>_xlfn.IFS('Prepare Gantt Chart'!Z118=18,'Project types'!$L119*('Prepare Gantt Chart'!$I118*'Prepare Gantt Chart'!$J118),'Prepare Gantt Chart'!Z118=17,'Project types'!$L119*('Prepare Gantt Chart'!$I118*'Prepare Gantt Chart'!$J118),'Prepare Gantt Chart'!Z118=0,0)</f>
        <v>0</v>
      </c>
      <c r="AW119" s="45">
        <f>_xlfn.IFS('Prepare Gantt Chart'!AA118=18,'Project types'!$L119*('Prepare Gantt Chart'!$I118*'Prepare Gantt Chart'!$J118),'Prepare Gantt Chart'!AA118=17,'Project types'!$L119*('Prepare Gantt Chart'!$I118*'Prepare Gantt Chart'!$J118),'Prepare Gantt Chart'!AA118=0,0)</f>
        <v>0</v>
      </c>
      <c r="AX119" s="45">
        <f>_xlfn.IFS('Prepare Gantt Chart'!AB118=18,'Project types'!$L119*('Prepare Gantt Chart'!$I118*'Prepare Gantt Chart'!$J118),'Prepare Gantt Chart'!AB118=17,'Project types'!$L119*('Prepare Gantt Chart'!$I118*'Prepare Gantt Chart'!$J118),'Prepare Gantt Chart'!AB118=0,0)</f>
        <v>0</v>
      </c>
      <c r="AY119" s="45">
        <f>_xlfn.IFS('Prepare Gantt Chart'!AC118=18,'Project types'!$L119*('Prepare Gantt Chart'!$I118*'Prepare Gantt Chart'!$J118),'Prepare Gantt Chart'!AC118=17,'Project types'!$L119*('Prepare Gantt Chart'!$I118*'Prepare Gantt Chart'!$J118),'Prepare Gantt Chart'!AC118=0,0)</f>
        <v>0</v>
      </c>
      <c r="AZ119" s="45">
        <f>_xlfn.IFS('Prepare Gantt Chart'!AD118=18,'Project types'!$L119*('Prepare Gantt Chart'!$I118*'Prepare Gantt Chart'!$J118),'Prepare Gantt Chart'!AD118=17,'Project types'!$L119*('Prepare Gantt Chart'!$I118*'Prepare Gantt Chart'!$J118),'Prepare Gantt Chart'!AD118=0,0)</f>
        <v>0</v>
      </c>
      <c r="BA119" s="45">
        <f>_xlfn.IFS('Prepare Gantt Chart'!AE118=18,'Project types'!$L119*('Prepare Gantt Chart'!$I118*'Prepare Gantt Chart'!$J118),'Prepare Gantt Chart'!AE118=17,'Project types'!$L119*('Prepare Gantt Chart'!$I118*'Prepare Gantt Chart'!$J118),'Prepare Gantt Chart'!AE118=0,0)</f>
        <v>0</v>
      </c>
      <c r="BB119" s="45">
        <f>_xlfn.IFS('Prepare Gantt Chart'!AF118=18,'Project types'!$L119*('Prepare Gantt Chart'!$I118*'Prepare Gantt Chart'!$J118),'Prepare Gantt Chart'!AF118=17,'Project types'!$L119*('Prepare Gantt Chart'!$I118*'Prepare Gantt Chart'!$J118),'Prepare Gantt Chart'!AF118=0,0)</f>
        <v>0</v>
      </c>
      <c r="BC119" s="45">
        <f>_xlfn.IFS('Prepare Gantt Chart'!AG118=18,'Project types'!$L119*('Prepare Gantt Chart'!$I118*'Prepare Gantt Chart'!$J118),'Prepare Gantt Chart'!AG118=17,'Project types'!$L119*('Prepare Gantt Chart'!$I118*'Prepare Gantt Chart'!$J118),'Prepare Gantt Chart'!AG118=0,0)</f>
        <v>0</v>
      </c>
      <c r="BD119" s="45">
        <f>_xlfn.IFS('Prepare Gantt Chart'!AH118=18,'Project types'!$L119*('Prepare Gantt Chart'!$I118*'Prepare Gantt Chart'!$J118),'Prepare Gantt Chart'!AH118=17,'Project types'!$L119*('Prepare Gantt Chart'!$I118*'Prepare Gantt Chart'!$J118),'Prepare Gantt Chart'!AH118=0,0)</f>
        <v>0</v>
      </c>
      <c r="BE119" s="45">
        <f>_xlfn.IFS('Prepare Gantt Chart'!AI118=18,'Project types'!$L119*('Prepare Gantt Chart'!$I118*'Prepare Gantt Chart'!$J118),'Prepare Gantt Chart'!AI118=17,'Project types'!$L119*('Prepare Gantt Chart'!$I118*'Prepare Gantt Chart'!$J118),'Prepare Gantt Chart'!AI118=0,0)</f>
        <v>0</v>
      </c>
      <c r="BF119" s="45">
        <f>_xlfn.IFS('Prepare Gantt Chart'!AJ118=18,'Project types'!$L119*('Prepare Gantt Chart'!$I118*'Prepare Gantt Chart'!$J118),'Prepare Gantt Chart'!AJ118=17,'Project types'!$L119*('Prepare Gantt Chart'!$I118*'Prepare Gantt Chart'!$J118),'Prepare Gantt Chart'!AJ118=0,0)</f>
        <v>0</v>
      </c>
      <c r="BG119" s="45">
        <f>_xlfn.IFS('Prepare Gantt Chart'!AK118=18,'Project types'!$L119*('Prepare Gantt Chart'!$I118*'Prepare Gantt Chart'!$J118),'Prepare Gantt Chart'!AK118=17,'Project types'!$L119*('Prepare Gantt Chart'!$I118*'Prepare Gantt Chart'!$J118),'Prepare Gantt Chart'!AK118=0,0)</f>
        <v>0</v>
      </c>
      <c r="BH119" s="45">
        <f>_xlfn.IFS('Prepare Gantt Chart'!AL118=18,'Project types'!$L119*('Prepare Gantt Chart'!$I118*'Prepare Gantt Chart'!$J118),'Prepare Gantt Chart'!AL118=17,'Project types'!$L119*('Prepare Gantt Chart'!$I118*'Prepare Gantt Chart'!$J118),'Prepare Gantt Chart'!AL118=0,0)</f>
        <v>0</v>
      </c>
      <c r="BI119" s="45">
        <f>_xlfn.IFS('Prepare Gantt Chart'!AM118=18,'Project types'!$L119*('Prepare Gantt Chart'!$I118*'Prepare Gantt Chart'!$J118),'Prepare Gantt Chart'!AM118=17,'Project types'!$L119*('Prepare Gantt Chart'!$I118*'Prepare Gantt Chart'!$J118),'Prepare Gantt Chart'!AM118=0,0)</f>
        <v>0</v>
      </c>
      <c r="BJ119" s="45">
        <f>_xlfn.IFS('Prepare Gantt Chart'!AN118=18,'Project types'!$L119*('Prepare Gantt Chart'!$I118*'Prepare Gantt Chart'!$J118),'Prepare Gantt Chart'!AN118=17,'Project types'!$L119*('Prepare Gantt Chart'!$I118*'Prepare Gantt Chart'!$J118),'Prepare Gantt Chart'!AN118=0,0)</f>
        <v>0</v>
      </c>
      <c r="BK119" s="45">
        <f>_xlfn.IFS('Prepare Gantt Chart'!AO118=18,'Project types'!$L119*('Prepare Gantt Chart'!$I118*'Prepare Gantt Chart'!$J118),'Prepare Gantt Chart'!AO118=17,'Project types'!$L119*('Prepare Gantt Chart'!$I118*'Prepare Gantt Chart'!$J118),'Prepare Gantt Chart'!AO118=0,0)</f>
        <v>0</v>
      </c>
      <c r="BL119" s="46">
        <f t="shared" si="3"/>
        <v>0</v>
      </c>
      <c r="BM119" s="75">
        <f>IF('Prepare Gantt Chart'!$J118=0,0,SUM(AL119:AQ119)/6/'Prepare Gantt Chart'!$J118)</f>
        <v>0</v>
      </c>
      <c r="BN119" s="75">
        <f>IF('Prepare Gantt Chart'!$J118=0,0,SUM(AR119:AV119)/5/'Prepare Gantt Chart'!$J118)</f>
        <v>0</v>
      </c>
      <c r="BO119" s="75">
        <f>IF('Prepare Gantt Chart'!$J118=0,0,SUM(AW119:BA119)/5/'Prepare Gantt Chart'!$J118)</f>
        <v>0</v>
      </c>
      <c r="BP119" s="75">
        <f>IF('Prepare Gantt Chart'!$J118=0,0,SUM(BB119:BF119)/5/'Prepare Gantt Chart'!$J118)</f>
        <v>0</v>
      </c>
      <c r="BQ119" s="75">
        <f>IF('Prepare Gantt Chart'!$J118=0,0,SUM(BG119:BK119)/5/'Prepare Gantt Chart'!$J118)</f>
        <v>0</v>
      </c>
    </row>
    <row r="120" spans="1:69" x14ac:dyDescent="0.2">
      <c r="A120" s="42" t="s">
        <v>419</v>
      </c>
      <c r="B120" s="1" t="s">
        <v>406</v>
      </c>
      <c r="C120" s="45">
        <f>_xlfn.IFS('Prepare Gantt Chart'!P119=18,'Project types'!$O120*('Prepare Gantt Chart'!$I119*'Prepare Gantt Chart'!$J119),'Prepare Gantt Chart'!P119=17,'Project types'!$Q120*('Prepare Gantt Chart'!$I119*'Prepare Gantt Chart'!$J119),'Prepare Gantt Chart'!P119=0,0)</f>
        <v>0</v>
      </c>
      <c r="D120" s="45">
        <f>_xlfn.IFS('Prepare Gantt Chart'!Q119=18,'Project types'!$O120*('Prepare Gantt Chart'!$I119*'Prepare Gantt Chart'!$J119),'Prepare Gantt Chart'!Q119=17,'Project types'!$Q120*('Prepare Gantt Chart'!$I119*'Prepare Gantt Chart'!$J119),'Prepare Gantt Chart'!Q119=0,0)</f>
        <v>0</v>
      </c>
      <c r="E120" s="45">
        <f>_xlfn.IFS('Prepare Gantt Chart'!R119=18,'Project types'!$O120*('Prepare Gantt Chart'!$I119*'Prepare Gantt Chart'!$J119),'Prepare Gantt Chart'!R119=17,'Project types'!$Q120*('Prepare Gantt Chart'!$I119*'Prepare Gantt Chart'!$J119),'Prepare Gantt Chart'!R119=0,0)</f>
        <v>0</v>
      </c>
      <c r="F120" s="45">
        <f>_xlfn.IFS('Prepare Gantt Chart'!S119=18,'Project types'!$O120*('Prepare Gantt Chart'!$I119*'Prepare Gantt Chart'!$J119),'Prepare Gantt Chart'!S119=17,'Project types'!$Q120*('Prepare Gantt Chart'!$I119*'Prepare Gantt Chart'!$J119),'Prepare Gantt Chart'!S119=0,0)</f>
        <v>0</v>
      </c>
      <c r="G120" s="45">
        <f>_xlfn.IFS('Prepare Gantt Chart'!T119=18,'Project types'!$O120*('Prepare Gantt Chart'!$I119*'Prepare Gantt Chart'!$J119),'Prepare Gantt Chart'!T119=17,'Project types'!$Q120*('Prepare Gantt Chart'!$I119*'Prepare Gantt Chart'!$J119),'Prepare Gantt Chart'!T119=0,0)</f>
        <v>0</v>
      </c>
      <c r="H120" s="45">
        <f>_xlfn.IFS('Prepare Gantt Chart'!U119=18,'Project types'!$O120*('Prepare Gantt Chart'!$I119*'Prepare Gantt Chart'!$J119),'Prepare Gantt Chart'!U119=17,'Project types'!$Q120*('Prepare Gantt Chart'!$I119*'Prepare Gantt Chart'!$J119),'Prepare Gantt Chart'!U119=0,0)</f>
        <v>0</v>
      </c>
      <c r="I120" s="45">
        <f>_xlfn.IFS('Prepare Gantt Chart'!V119=18,'Project types'!$O120*('Prepare Gantt Chart'!$I119*'Prepare Gantt Chart'!$J119),'Prepare Gantt Chart'!V119=17,'Project types'!$Q120*('Prepare Gantt Chart'!$I119*'Prepare Gantt Chart'!$J119),'Prepare Gantt Chart'!V119=0,0)</f>
        <v>0</v>
      </c>
      <c r="J120" s="45">
        <f>_xlfn.IFS('Prepare Gantt Chart'!W119=18,'Project types'!$O120*('Prepare Gantt Chart'!$I119*'Prepare Gantt Chart'!$J119),'Prepare Gantt Chart'!W119=17,'Project types'!$Q120*('Prepare Gantt Chart'!$I119*'Prepare Gantt Chart'!$J119),'Prepare Gantt Chart'!W119=0,0)</f>
        <v>0</v>
      </c>
      <c r="K120" s="45">
        <f>_xlfn.IFS('Prepare Gantt Chart'!X119=18,'Project types'!$O120*('Prepare Gantt Chart'!$I119*'Prepare Gantt Chart'!$J119),'Prepare Gantt Chart'!X119=17,'Project types'!$Q120*('Prepare Gantt Chart'!$I119*'Prepare Gantt Chart'!$J119),'Prepare Gantt Chart'!X119=0,0)</f>
        <v>0</v>
      </c>
      <c r="L120" s="45">
        <f>_xlfn.IFS('Prepare Gantt Chart'!Y119=18,'Project types'!$O120*('Prepare Gantt Chart'!$I119*'Prepare Gantt Chart'!$J119),'Prepare Gantt Chart'!Y119=17,'Project types'!$Q120*('Prepare Gantt Chart'!$I119*'Prepare Gantt Chart'!$J119),'Prepare Gantt Chart'!Y119=0,0)</f>
        <v>0</v>
      </c>
      <c r="M120" s="45">
        <f>_xlfn.IFS('Prepare Gantt Chart'!Z119=18,'Project types'!$O120*('Prepare Gantt Chart'!$I119*'Prepare Gantt Chart'!$J119),'Prepare Gantt Chart'!Z119=17,'Project types'!$Q120*('Prepare Gantt Chart'!$I119*'Prepare Gantt Chart'!$J119),'Prepare Gantt Chart'!Z119=0,0)</f>
        <v>0</v>
      </c>
      <c r="N120" s="45">
        <f>_xlfn.IFS('Prepare Gantt Chart'!AA119=18,'Project types'!$O120*('Prepare Gantt Chart'!$I119*'Prepare Gantt Chart'!$J119),'Prepare Gantt Chart'!AA119=17,'Project types'!$Q120*('Prepare Gantt Chart'!$I119*'Prepare Gantt Chart'!$J119),'Prepare Gantt Chart'!AA119=0,0)</f>
        <v>0</v>
      </c>
      <c r="O120" s="45">
        <f>_xlfn.IFS('Prepare Gantt Chart'!AB119=18,'Project types'!$O120*('Prepare Gantt Chart'!$I119*'Prepare Gantt Chart'!$J119),'Prepare Gantt Chart'!AB119=17,'Project types'!$Q120*('Prepare Gantt Chart'!$I119*'Prepare Gantt Chart'!$J119),'Prepare Gantt Chart'!AB119=0,0)</f>
        <v>0</v>
      </c>
      <c r="P120" s="45">
        <f>_xlfn.IFS('Prepare Gantt Chart'!AC119=18,'Project types'!$O120*('Prepare Gantt Chart'!$I119*'Prepare Gantt Chart'!$J119),'Prepare Gantt Chart'!AC119=17,'Project types'!$Q120*('Prepare Gantt Chart'!$I119*'Prepare Gantt Chart'!$J119),'Prepare Gantt Chart'!AC119=0,0)</f>
        <v>0</v>
      </c>
      <c r="Q120" s="45">
        <f>_xlfn.IFS('Prepare Gantt Chart'!AD119=18,'Project types'!$O120*('Prepare Gantt Chart'!$I119*'Prepare Gantt Chart'!$J119),'Prepare Gantt Chart'!AD119=17,'Project types'!$Q120*('Prepare Gantt Chart'!$I119*'Prepare Gantt Chart'!$J119),'Prepare Gantt Chart'!AD119=0,0)</f>
        <v>0</v>
      </c>
      <c r="R120" s="45">
        <f>_xlfn.IFS('Prepare Gantt Chart'!AE119=18,'Project types'!$O120*('Prepare Gantt Chart'!$I119*'Prepare Gantt Chart'!$J119),'Prepare Gantt Chart'!AE119=17,'Project types'!$Q120*('Prepare Gantt Chart'!$I119*'Prepare Gantt Chart'!$J119),'Prepare Gantt Chart'!AE119=0,0)</f>
        <v>0</v>
      </c>
      <c r="S120" s="45">
        <f>_xlfn.IFS('Prepare Gantt Chart'!AF119=18,'Project types'!$O120*('Prepare Gantt Chart'!$I119*'Prepare Gantt Chart'!$J119),'Prepare Gantt Chart'!AF119=17,'Project types'!$Q120*('Prepare Gantt Chart'!$I119*'Prepare Gantt Chart'!$J119),'Prepare Gantt Chart'!AF119=0,0)</f>
        <v>0</v>
      </c>
      <c r="T120" s="45">
        <f>_xlfn.IFS('Prepare Gantt Chart'!AG119=18,'Project types'!$O120*('Prepare Gantt Chart'!$I119*'Prepare Gantt Chart'!$J119),'Prepare Gantt Chart'!AG119=17,'Project types'!$Q120*('Prepare Gantt Chart'!$I119*'Prepare Gantt Chart'!$J119),'Prepare Gantt Chart'!AG119=0,0)</f>
        <v>0</v>
      </c>
      <c r="U120" s="45">
        <f>_xlfn.IFS('Prepare Gantt Chart'!AH119=18,'Project types'!$O120*('Prepare Gantt Chart'!$I119*'Prepare Gantt Chart'!$J119),'Prepare Gantt Chart'!AH119=17,'Project types'!$Q120*('Prepare Gantt Chart'!$I119*'Prepare Gantt Chart'!$J119),'Prepare Gantt Chart'!AH119=0,0)</f>
        <v>0</v>
      </c>
      <c r="V120" s="45">
        <f>_xlfn.IFS('Prepare Gantt Chart'!AI119=18,'Project types'!$O120*('Prepare Gantt Chart'!$I119*'Prepare Gantt Chart'!$J119),'Prepare Gantt Chart'!AI119=17,'Project types'!$Q120*('Prepare Gantt Chart'!$I119*'Prepare Gantt Chart'!$J119),'Prepare Gantt Chart'!AI119=0,0)</f>
        <v>0</v>
      </c>
      <c r="W120" s="45">
        <f>_xlfn.IFS('Prepare Gantt Chart'!AJ119=18,'Project types'!$O120*('Prepare Gantt Chart'!$I119*'Prepare Gantt Chart'!$J119),'Prepare Gantt Chart'!AJ119=17,'Project types'!$Q120*('Prepare Gantt Chart'!$I119*'Prepare Gantt Chart'!$J119),'Prepare Gantt Chart'!AJ119=0,0)</f>
        <v>0</v>
      </c>
      <c r="X120" s="45">
        <f>_xlfn.IFS('Prepare Gantt Chart'!AK119=18,'Project types'!$O120*('Prepare Gantt Chart'!$I119*'Prepare Gantt Chart'!$J119),'Prepare Gantt Chart'!AK119=17,'Project types'!$Q120*('Prepare Gantt Chart'!$I119*'Prepare Gantt Chart'!$J119),'Prepare Gantt Chart'!AK119=0,0)</f>
        <v>0</v>
      </c>
      <c r="Y120" s="45">
        <f>_xlfn.IFS('Prepare Gantt Chart'!AL119=18,'Project types'!$O120*('Prepare Gantt Chart'!$I119*'Prepare Gantt Chart'!$J119),'Prepare Gantt Chart'!AL119=17,'Project types'!$Q120*('Prepare Gantt Chart'!$I119*'Prepare Gantt Chart'!$J119),'Prepare Gantt Chart'!AL119=0,0)</f>
        <v>0</v>
      </c>
      <c r="Z120" s="45">
        <f>_xlfn.IFS('Prepare Gantt Chart'!AM119=18,'Project types'!$O120*('Prepare Gantt Chart'!$I119*'Prepare Gantt Chart'!$J119),'Prepare Gantt Chart'!AM119=17,'Project types'!$Q120*('Prepare Gantt Chart'!$I119*'Prepare Gantt Chart'!$J119),'Prepare Gantt Chart'!AM119=0,0)</f>
        <v>0</v>
      </c>
      <c r="AA120" s="45">
        <f>_xlfn.IFS('Prepare Gantt Chart'!AN119=18,'Project types'!$O120*('Prepare Gantt Chart'!$I119*'Prepare Gantt Chart'!$J119),'Prepare Gantt Chart'!AN119=17,'Project types'!$Q120*('Prepare Gantt Chart'!$I119*'Prepare Gantt Chart'!$J119),'Prepare Gantt Chart'!AN119=0,0)</f>
        <v>0</v>
      </c>
      <c r="AB120" s="45">
        <f>_xlfn.IFS('Prepare Gantt Chart'!AO119=18,'Project types'!$O120*('Prepare Gantt Chart'!$I119*'Prepare Gantt Chart'!$J119),'Prepare Gantt Chart'!AO119=17,'Project types'!$Q120*('Prepare Gantt Chart'!$I119*'Prepare Gantt Chart'!$J119),'Prepare Gantt Chart'!AO119=0,0)</f>
        <v>0</v>
      </c>
      <c r="AC120" s="45">
        <f>'Prepare Gantt Chart'!J119*'Prepare Gantt Chart'!I119*(AD120/26)</f>
        <v>0</v>
      </c>
      <c r="AD120" s="46">
        <f t="shared" si="2"/>
        <v>0</v>
      </c>
      <c r="AE120" s="72">
        <f>IF('Prepare Gantt Chart'!$J119=0,0,SUM(C120:H120)/6/'Prepare Gantt Chart'!$J119)</f>
        <v>0</v>
      </c>
      <c r="AF120" s="72">
        <f>IF('Prepare Gantt Chart'!$J119=0,0,SUM(I120:M120)/5/'Prepare Gantt Chart'!$J119)</f>
        <v>0</v>
      </c>
      <c r="AG120" s="72">
        <f>IF('Prepare Gantt Chart'!$J119=0,0,SUM(N120:R120)/5/'Prepare Gantt Chart'!$J119)</f>
        <v>0</v>
      </c>
      <c r="AH120" s="72">
        <f>IF('Prepare Gantt Chart'!$J119=0,0,SUM(S120:W120)/5/'Prepare Gantt Chart'!$J119)</f>
        <v>0</v>
      </c>
      <c r="AI120" s="72">
        <f>IF('Prepare Gantt Chart'!$J119=0,0,SUM(X120:AB120)/5/'Prepare Gantt Chart'!$J119)</f>
        <v>0</v>
      </c>
      <c r="AK120" s="42" t="s">
        <v>419</v>
      </c>
      <c r="AL120" s="45">
        <f>_xlfn.IFS('Prepare Gantt Chart'!P119=18,'Project types'!$L120*('Prepare Gantt Chart'!$I119*'Prepare Gantt Chart'!$J119),'Prepare Gantt Chart'!P119=17,'Project types'!$L120*('Prepare Gantt Chart'!$I119*'Prepare Gantt Chart'!$J119),'Prepare Gantt Chart'!P119=0,0)</f>
        <v>0</v>
      </c>
      <c r="AM120" s="45">
        <f>_xlfn.IFS('Prepare Gantt Chart'!Q119=18,'Project types'!$L120*('Prepare Gantt Chart'!$I119*'Prepare Gantt Chart'!$J119),'Prepare Gantt Chart'!Q119=17,'Project types'!$L120*('Prepare Gantt Chart'!$I119*'Prepare Gantt Chart'!$J119),'Prepare Gantt Chart'!Q119=0,0)</f>
        <v>0</v>
      </c>
      <c r="AN120" s="45">
        <f>_xlfn.IFS('Prepare Gantt Chart'!R119=18,'Project types'!$L120*('Prepare Gantt Chart'!$I119*'Prepare Gantt Chart'!$J119),'Prepare Gantt Chart'!R119=17,'Project types'!$L120*('Prepare Gantt Chart'!$I119*'Prepare Gantt Chart'!$J119),'Prepare Gantt Chart'!R119=0,0)</f>
        <v>0</v>
      </c>
      <c r="AO120" s="45">
        <f>_xlfn.IFS('Prepare Gantt Chart'!S119=18,'Project types'!$L120*('Prepare Gantt Chart'!$I119*'Prepare Gantt Chart'!$J119),'Prepare Gantt Chart'!S119=17,'Project types'!$L120*('Prepare Gantt Chart'!$I119*'Prepare Gantt Chart'!$J119),'Prepare Gantt Chart'!S119=0,0)</f>
        <v>0</v>
      </c>
      <c r="AP120" s="45">
        <f>_xlfn.IFS('Prepare Gantt Chart'!T119=18,'Project types'!$L120*('Prepare Gantt Chart'!$I119*'Prepare Gantt Chart'!$J119),'Prepare Gantt Chart'!T119=17,'Project types'!$L120*('Prepare Gantt Chart'!$I119*'Prepare Gantt Chart'!$J119),'Prepare Gantt Chart'!T119=0,0)</f>
        <v>0</v>
      </c>
      <c r="AQ120" s="45">
        <f>_xlfn.IFS('Prepare Gantt Chart'!U119=18,'Project types'!$L120*('Prepare Gantt Chart'!$I119*'Prepare Gantt Chart'!$J119),'Prepare Gantt Chart'!U119=17,'Project types'!$L120*('Prepare Gantt Chart'!$I119*'Prepare Gantt Chart'!$J119),'Prepare Gantt Chart'!U119=0,0)</f>
        <v>0</v>
      </c>
      <c r="AR120" s="45">
        <f>_xlfn.IFS('Prepare Gantt Chart'!V119=18,'Project types'!$L120*('Prepare Gantt Chart'!$I119*'Prepare Gantt Chart'!$J119),'Prepare Gantt Chart'!V119=17,'Project types'!$L120*('Prepare Gantt Chart'!$I119*'Prepare Gantt Chart'!$J119),'Prepare Gantt Chart'!V119=0,0)</f>
        <v>0</v>
      </c>
      <c r="AS120" s="45">
        <f>_xlfn.IFS('Prepare Gantt Chart'!W119=18,'Project types'!$L120*('Prepare Gantt Chart'!$I119*'Prepare Gantt Chart'!$J119),'Prepare Gantt Chart'!W119=17,'Project types'!$L120*('Prepare Gantt Chart'!$I119*'Prepare Gantt Chart'!$J119),'Prepare Gantt Chart'!W119=0,0)</f>
        <v>0</v>
      </c>
      <c r="AT120" s="45">
        <f>_xlfn.IFS('Prepare Gantt Chart'!X119=18,'Project types'!$L120*('Prepare Gantt Chart'!$I119*'Prepare Gantt Chart'!$J119),'Prepare Gantt Chart'!X119=17,'Project types'!$L120*('Prepare Gantt Chart'!$I119*'Prepare Gantt Chart'!$J119),'Prepare Gantt Chart'!X119=0,0)</f>
        <v>0</v>
      </c>
      <c r="AU120" s="45">
        <f>_xlfn.IFS('Prepare Gantt Chart'!Y119=18,'Project types'!$L120*('Prepare Gantt Chart'!$I119*'Prepare Gantt Chart'!$J119),'Prepare Gantt Chart'!Y119=17,'Project types'!$L120*('Prepare Gantt Chart'!$I119*'Prepare Gantt Chart'!$J119),'Prepare Gantt Chart'!Y119=0,0)</f>
        <v>0</v>
      </c>
      <c r="AV120" s="45">
        <f>_xlfn.IFS('Prepare Gantt Chart'!Z119=18,'Project types'!$L120*('Prepare Gantt Chart'!$I119*'Prepare Gantt Chart'!$J119),'Prepare Gantt Chart'!Z119=17,'Project types'!$L120*('Prepare Gantt Chart'!$I119*'Prepare Gantt Chart'!$J119),'Prepare Gantt Chart'!Z119=0,0)</f>
        <v>0</v>
      </c>
      <c r="AW120" s="45">
        <f>_xlfn.IFS('Prepare Gantt Chart'!AA119=18,'Project types'!$L120*('Prepare Gantt Chart'!$I119*'Prepare Gantt Chart'!$J119),'Prepare Gantt Chart'!AA119=17,'Project types'!$L120*('Prepare Gantt Chart'!$I119*'Prepare Gantt Chart'!$J119),'Prepare Gantt Chart'!AA119=0,0)</f>
        <v>0</v>
      </c>
      <c r="AX120" s="45">
        <f>_xlfn.IFS('Prepare Gantt Chart'!AB119=18,'Project types'!$L120*('Prepare Gantt Chart'!$I119*'Prepare Gantt Chart'!$J119),'Prepare Gantt Chart'!AB119=17,'Project types'!$L120*('Prepare Gantt Chart'!$I119*'Prepare Gantt Chart'!$J119),'Prepare Gantt Chart'!AB119=0,0)</f>
        <v>0</v>
      </c>
      <c r="AY120" s="45">
        <f>_xlfn.IFS('Prepare Gantt Chart'!AC119=18,'Project types'!$L120*('Prepare Gantt Chart'!$I119*'Prepare Gantt Chart'!$J119),'Prepare Gantt Chart'!AC119=17,'Project types'!$L120*('Prepare Gantt Chart'!$I119*'Prepare Gantt Chart'!$J119),'Prepare Gantt Chart'!AC119=0,0)</f>
        <v>0</v>
      </c>
      <c r="AZ120" s="45">
        <f>_xlfn.IFS('Prepare Gantt Chart'!AD119=18,'Project types'!$L120*('Prepare Gantt Chart'!$I119*'Prepare Gantt Chart'!$J119),'Prepare Gantt Chart'!AD119=17,'Project types'!$L120*('Prepare Gantt Chart'!$I119*'Prepare Gantt Chart'!$J119),'Prepare Gantt Chart'!AD119=0,0)</f>
        <v>0</v>
      </c>
      <c r="BA120" s="45">
        <f>_xlfn.IFS('Prepare Gantt Chart'!AE119=18,'Project types'!$L120*('Prepare Gantt Chart'!$I119*'Prepare Gantt Chart'!$J119),'Prepare Gantt Chart'!AE119=17,'Project types'!$L120*('Prepare Gantt Chart'!$I119*'Prepare Gantt Chart'!$J119),'Prepare Gantt Chart'!AE119=0,0)</f>
        <v>0</v>
      </c>
      <c r="BB120" s="45">
        <f>_xlfn.IFS('Prepare Gantt Chart'!AF119=18,'Project types'!$L120*('Prepare Gantt Chart'!$I119*'Prepare Gantt Chart'!$J119),'Prepare Gantt Chart'!AF119=17,'Project types'!$L120*('Prepare Gantt Chart'!$I119*'Prepare Gantt Chart'!$J119),'Prepare Gantt Chart'!AF119=0,0)</f>
        <v>0</v>
      </c>
      <c r="BC120" s="45">
        <f>_xlfn.IFS('Prepare Gantt Chart'!AG119=18,'Project types'!$L120*('Prepare Gantt Chart'!$I119*'Prepare Gantt Chart'!$J119),'Prepare Gantt Chart'!AG119=17,'Project types'!$L120*('Prepare Gantt Chart'!$I119*'Prepare Gantt Chart'!$J119),'Prepare Gantt Chart'!AG119=0,0)</f>
        <v>0</v>
      </c>
      <c r="BD120" s="45">
        <f>_xlfn.IFS('Prepare Gantt Chart'!AH119=18,'Project types'!$L120*('Prepare Gantt Chart'!$I119*'Prepare Gantt Chart'!$J119),'Prepare Gantt Chart'!AH119=17,'Project types'!$L120*('Prepare Gantt Chart'!$I119*'Prepare Gantt Chart'!$J119),'Prepare Gantt Chart'!AH119=0,0)</f>
        <v>0</v>
      </c>
      <c r="BE120" s="45">
        <f>_xlfn.IFS('Prepare Gantt Chart'!AI119=18,'Project types'!$L120*('Prepare Gantt Chart'!$I119*'Prepare Gantt Chart'!$J119),'Prepare Gantt Chart'!AI119=17,'Project types'!$L120*('Prepare Gantt Chart'!$I119*'Prepare Gantt Chart'!$J119),'Prepare Gantt Chart'!AI119=0,0)</f>
        <v>0</v>
      </c>
      <c r="BF120" s="45">
        <f>_xlfn.IFS('Prepare Gantt Chart'!AJ119=18,'Project types'!$L120*('Prepare Gantt Chart'!$I119*'Prepare Gantt Chart'!$J119),'Prepare Gantt Chart'!AJ119=17,'Project types'!$L120*('Prepare Gantt Chart'!$I119*'Prepare Gantt Chart'!$J119),'Prepare Gantt Chart'!AJ119=0,0)</f>
        <v>0</v>
      </c>
      <c r="BG120" s="45">
        <f>_xlfn.IFS('Prepare Gantt Chart'!AK119=18,'Project types'!$L120*('Prepare Gantt Chart'!$I119*'Prepare Gantt Chart'!$J119),'Prepare Gantt Chart'!AK119=17,'Project types'!$L120*('Prepare Gantt Chart'!$I119*'Prepare Gantt Chart'!$J119),'Prepare Gantt Chart'!AK119=0,0)</f>
        <v>0</v>
      </c>
      <c r="BH120" s="45">
        <f>_xlfn.IFS('Prepare Gantt Chart'!AL119=18,'Project types'!$L120*('Prepare Gantt Chart'!$I119*'Prepare Gantt Chart'!$J119),'Prepare Gantt Chart'!AL119=17,'Project types'!$L120*('Prepare Gantt Chart'!$I119*'Prepare Gantt Chart'!$J119),'Prepare Gantt Chart'!AL119=0,0)</f>
        <v>0</v>
      </c>
      <c r="BI120" s="45">
        <f>_xlfn.IFS('Prepare Gantt Chart'!AM119=18,'Project types'!$L120*('Prepare Gantt Chart'!$I119*'Prepare Gantt Chart'!$J119),'Prepare Gantt Chart'!AM119=17,'Project types'!$L120*('Prepare Gantt Chart'!$I119*'Prepare Gantt Chart'!$J119),'Prepare Gantt Chart'!AM119=0,0)</f>
        <v>0</v>
      </c>
      <c r="BJ120" s="45">
        <f>_xlfn.IFS('Prepare Gantt Chart'!AN119=18,'Project types'!$L120*('Prepare Gantt Chart'!$I119*'Prepare Gantt Chart'!$J119),'Prepare Gantt Chart'!AN119=17,'Project types'!$L120*('Prepare Gantt Chart'!$I119*'Prepare Gantt Chart'!$J119),'Prepare Gantt Chart'!AN119=0,0)</f>
        <v>0</v>
      </c>
      <c r="BK120" s="45">
        <f>_xlfn.IFS('Prepare Gantt Chart'!AO119=18,'Project types'!$L120*('Prepare Gantt Chart'!$I119*'Prepare Gantt Chart'!$J119),'Prepare Gantt Chart'!AO119=17,'Project types'!$L120*('Prepare Gantt Chart'!$I119*'Prepare Gantt Chart'!$J119),'Prepare Gantt Chart'!AO119=0,0)</f>
        <v>0</v>
      </c>
      <c r="BL120" s="46">
        <f t="shared" si="3"/>
        <v>0</v>
      </c>
      <c r="BM120" s="75">
        <f>IF('Prepare Gantt Chart'!$J119=0,0,SUM(AL120:AQ120)/6/'Prepare Gantt Chart'!$J119)</f>
        <v>0</v>
      </c>
      <c r="BN120" s="75">
        <f>IF('Prepare Gantt Chart'!$J119=0,0,SUM(AR120:AV120)/5/'Prepare Gantt Chart'!$J119)</f>
        <v>0</v>
      </c>
      <c r="BO120" s="75">
        <f>IF('Prepare Gantt Chart'!$J119=0,0,SUM(AW120:BA120)/5/'Prepare Gantt Chart'!$J119)</f>
        <v>0</v>
      </c>
      <c r="BP120" s="75">
        <f>IF('Prepare Gantt Chart'!$J119=0,0,SUM(BB120:BF120)/5/'Prepare Gantt Chart'!$J119)</f>
        <v>0</v>
      </c>
      <c r="BQ120" s="75">
        <f>IF('Prepare Gantt Chart'!$J119=0,0,SUM(BG120:BK120)/5/'Prepare Gantt Chart'!$J119)</f>
        <v>0</v>
      </c>
    </row>
    <row r="121" spans="1:69" x14ac:dyDescent="0.2">
      <c r="A121" s="42" t="s">
        <v>420</v>
      </c>
      <c r="B121" s="1" t="s">
        <v>173</v>
      </c>
      <c r="C121" s="45">
        <f>_xlfn.IFS('Prepare Gantt Chart'!P120=18,'Project types'!$O121*('Prepare Gantt Chart'!$I120*'Prepare Gantt Chart'!$J120),'Prepare Gantt Chart'!P120=17,'Project types'!$Q121*('Prepare Gantt Chart'!$I120*'Prepare Gantt Chart'!$J120),'Prepare Gantt Chart'!P120=0,0)</f>
        <v>0</v>
      </c>
      <c r="D121" s="45">
        <f>_xlfn.IFS('Prepare Gantt Chart'!Q120=18,'Project types'!$O121*('Prepare Gantt Chart'!$I120*'Prepare Gantt Chart'!$J120),'Prepare Gantt Chart'!Q120=17,'Project types'!$Q121*('Prepare Gantt Chart'!$I120*'Prepare Gantt Chart'!$J120),'Prepare Gantt Chart'!Q120=0,0)</f>
        <v>0</v>
      </c>
      <c r="E121" s="45">
        <f>_xlfn.IFS('Prepare Gantt Chart'!R120=18,'Project types'!$O121*('Prepare Gantt Chart'!$I120*'Prepare Gantt Chart'!$J120),'Prepare Gantt Chart'!R120=17,'Project types'!$Q121*('Prepare Gantt Chart'!$I120*'Prepare Gantt Chart'!$J120),'Prepare Gantt Chart'!R120=0,0)</f>
        <v>0</v>
      </c>
      <c r="F121" s="45">
        <f>_xlfn.IFS('Prepare Gantt Chart'!S120=18,'Project types'!$O121*('Prepare Gantt Chart'!$I120*'Prepare Gantt Chart'!$J120),'Prepare Gantt Chart'!S120=17,'Project types'!$Q121*('Prepare Gantt Chart'!$I120*'Prepare Gantt Chart'!$J120),'Prepare Gantt Chart'!S120=0,0)</f>
        <v>0</v>
      </c>
      <c r="G121" s="45">
        <f>_xlfn.IFS('Prepare Gantt Chart'!T120=18,'Project types'!$O121*('Prepare Gantt Chart'!$I120*'Prepare Gantt Chart'!$J120),'Prepare Gantt Chart'!T120=17,'Project types'!$Q121*('Prepare Gantt Chart'!$I120*'Prepare Gantt Chart'!$J120),'Prepare Gantt Chart'!T120=0,0)</f>
        <v>0</v>
      </c>
      <c r="H121" s="45">
        <f>_xlfn.IFS('Prepare Gantt Chart'!U120=18,'Project types'!$O121*('Prepare Gantt Chart'!$I120*'Prepare Gantt Chart'!$J120),'Prepare Gantt Chart'!U120=17,'Project types'!$Q121*('Prepare Gantt Chart'!$I120*'Prepare Gantt Chart'!$J120),'Prepare Gantt Chart'!U120=0,0)</f>
        <v>0</v>
      </c>
      <c r="I121" s="45">
        <f>_xlfn.IFS('Prepare Gantt Chart'!V120=18,'Project types'!$O121*('Prepare Gantt Chart'!$I120*'Prepare Gantt Chart'!$J120),'Prepare Gantt Chart'!V120=17,'Project types'!$Q121*('Prepare Gantt Chart'!$I120*'Prepare Gantt Chart'!$J120),'Prepare Gantt Chart'!V120=0,0)</f>
        <v>0</v>
      </c>
      <c r="J121" s="45">
        <f>_xlfn.IFS('Prepare Gantt Chart'!W120=18,'Project types'!$O121*('Prepare Gantt Chart'!$I120*'Prepare Gantt Chart'!$J120),'Prepare Gantt Chart'!W120=17,'Project types'!$Q121*('Prepare Gantt Chart'!$I120*'Prepare Gantt Chart'!$J120),'Prepare Gantt Chart'!W120=0,0)</f>
        <v>0</v>
      </c>
      <c r="K121" s="45">
        <f>_xlfn.IFS('Prepare Gantt Chart'!X120=18,'Project types'!$O121*('Prepare Gantt Chart'!$I120*'Prepare Gantt Chart'!$J120),'Prepare Gantt Chart'!X120=17,'Project types'!$Q121*('Prepare Gantt Chart'!$I120*'Prepare Gantt Chart'!$J120),'Prepare Gantt Chart'!X120=0,0)</f>
        <v>0</v>
      </c>
      <c r="L121" s="45">
        <f>_xlfn.IFS('Prepare Gantt Chart'!Y120=18,'Project types'!$O121*('Prepare Gantt Chart'!$I120*'Prepare Gantt Chart'!$J120),'Prepare Gantt Chart'!Y120=17,'Project types'!$Q121*('Prepare Gantt Chart'!$I120*'Prepare Gantt Chart'!$J120),'Prepare Gantt Chart'!Y120=0,0)</f>
        <v>0</v>
      </c>
      <c r="M121" s="45">
        <f>_xlfn.IFS('Prepare Gantt Chart'!Z120=18,'Project types'!$O121*('Prepare Gantt Chart'!$I120*'Prepare Gantt Chart'!$J120),'Prepare Gantt Chart'!Z120=17,'Project types'!$Q121*('Prepare Gantt Chart'!$I120*'Prepare Gantt Chart'!$J120),'Prepare Gantt Chart'!Z120=0,0)</f>
        <v>0</v>
      </c>
      <c r="N121" s="45">
        <f>_xlfn.IFS('Prepare Gantt Chart'!AA120=18,'Project types'!$O121*('Prepare Gantt Chart'!$I120*'Prepare Gantt Chart'!$J120),'Prepare Gantt Chart'!AA120=17,'Project types'!$Q121*('Prepare Gantt Chart'!$I120*'Prepare Gantt Chart'!$J120),'Prepare Gantt Chart'!AA120=0,0)</f>
        <v>0</v>
      </c>
      <c r="O121" s="45">
        <f>_xlfn.IFS('Prepare Gantt Chart'!AB120=18,'Project types'!$O121*('Prepare Gantt Chart'!$I120*'Prepare Gantt Chart'!$J120),'Prepare Gantt Chart'!AB120=17,'Project types'!$Q121*('Prepare Gantt Chart'!$I120*'Prepare Gantt Chart'!$J120),'Prepare Gantt Chart'!AB120=0,0)</f>
        <v>0</v>
      </c>
      <c r="P121" s="45">
        <f>_xlfn.IFS('Prepare Gantt Chart'!AC120=18,'Project types'!$O121*('Prepare Gantt Chart'!$I120*'Prepare Gantt Chart'!$J120),'Prepare Gantt Chart'!AC120=17,'Project types'!$Q121*('Prepare Gantt Chart'!$I120*'Prepare Gantt Chart'!$J120),'Prepare Gantt Chart'!AC120=0,0)</f>
        <v>0</v>
      </c>
      <c r="Q121" s="45">
        <f>_xlfn.IFS('Prepare Gantt Chart'!AD120=18,'Project types'!$O121*('Prepare Gantt Chart'!$I120*'Prepare Gantt Chart'!$J120),'Prepare Gantt Chart'!AD120=17,'Project types'!$Q121*('Prepare Gantt Chart'!$I120*'Prepare Gantt Chart'!$J120),'Prepare Gantt Chart'!AD120=0,0)</f>
        <v>0</v>
      </c>
      <c r="R121" s="45">
        <f>_xlfn.IFS('Prepare Gantt Chart'!AE120=18,'Project types'!$O121*('Prepare Gantt Chart'!$I120*'Prepare Gantt Chart'!$J120),'Prepare Gantt Chart'!AE120=17,'Project types'!$Q121*('Prepare Gantt Chart'!$I120*'Prepare Gantt Chart'!$J120),'Prepare Gantt Chart'!AE120=0,0)</f>
        <v>0</v>
      </c>
      <c r="S121" s="45">
        <f>_xlfn.IFS('Prepare Gantt Chart'!AF120=18,'Project types'!$O121*('Prepare Gantt Chart'!$I120*'Prepare Gantt Chart'!$J120),'Prepare Gantt Chart'!AF120=17,'Project types'!$Q121*('Prepare Gantt Chart'!$I120*'Prepare Gantt Chart'!$J120),'Prepare Gantt Chart'!AF120=0,0)</f>
        <v>0</v>
      </c>
      <c r="T121" s="45">
        <f>_xlfn.IFS('Prepare Gantt Chart'!AG120=18,'Project types'!$O121*('Prepare Gantt Chart'!$I120*'Prepare Gantt Chart'!$J120),'Prepare Gantt Chart'!AG120=17,'Project types'!$Q121*('Prepare Gantt Chart'!$I120*'Prepare Gantt Chart'!$J120),'Prepare Gantt Chart'!AG120=0,0)</f>
        <v>0</v>
      </c>
      <c r="U121" s="45">
        <f>_xlfn.IFS('Prepare Gantt Chart'!AH120=18,'Project types'!$O121*('Prepare Gantt Chart'!$I120*'Prepare Gantt Chart'!$J120),'Prepare Gantt Chart'!AH120=17,'Project types'!$Q121*('Prepare Gantt Chart'!$I120*'Prepare Gantt Chart'!$J120),'Prepare Gantt Chart'!AH120=0,0)</f>
        <v>0</v>
      </c>
      <c r="V121" s="45">
        <f>_xlfn.IFS('Prepare Gantt Chart'!AI120=18,'Project types'!$O121*('Prepare Gantt Chart'!$I120*'Prepare Gantt Chart'!$J120),'Prepare Gantt Chart'!AI120=17,'Project types'!$Q121*('Prepare Gantt Chart'!$I120*'Prepare Gantt Chart'!$J120),'Prepare Gantt Chart'!AI120=0,0)</f>
        <v>0</v>
      </c>
      <c r="W121" s="45">
        <f>_xlfn.IFS('Prepare Gantt Chart'!AJ120=18,'Project types'!$O121*('Prepare Gantt Chart'!$I120*'Prepare Gantt Chart'!$J120),'Prepare Gantt Chart'!AJ120=17,'Project types'!$Q121*('Prepare Gantt Chart'!$I120*'Prepare Gantt Chart'!$J120),'Prepare Gantt Chart'!AJ120=0,0)</f>
        <v>0</v>
      </c>
      <c r="X121" s="45">
        <f>_xlfn.IFS('Prepare Gantt Chart'!AK120=18,'Project types'!$O121*('Prepare Gantt Chart'!$I120*'Prepare Gantt Chart'!$J120),'Prepare Gantt Chart'!AK120=17,'Project types'!$Q121*('Prepare Gantt Chart'!$I120*'Prepare Gantt Chart'!$J120),'Prepare Gantt Chart'!AK120=0,0)</f>
        <v>0</v>
      </c>
      <c r="Y121" s="45">
        <f>_xlfn.IFS('Prepare Gantt Chart'!AL120=18,'Project types'!$O121*('Prepare Gantt Chart'!$I120*'Prepare Gantt Chart'!$J120),'Prepare Gantt Chart'!AL120=17,'Project types'!$Q121*('Prepare Gantt Chart'!$I120*'Prepare Gantt Chart'!$J120),'Prepare Gantt Chart'!AL120=0,0)</f>
        <v>0</v>
      </c>
      <c r="Z121" s="45">
        <f>_xlfn.IFS('Prepare Gantt Chart'!AM120=18,'Project types'!$O121*('Prepare Gantt Chart'!$I120*'Prepare Gantt Chart'!$J120),'Prepare Gantt Chart'!AM120=17,'Project types'!$Q121*('Prepare Gantt Chart'!$I120*'Prepare Gantt Chart'!$J120),'Prepare Gantt Chart'!AM120=0,0)</f>
        <v>0</v>
      </c>
      <c r="AA121" s="45">
        <f>_xlfn.IFS('Prepare Gantt Chart'!AN120=18,'Project types'!$O121*('Prepare Gantt Chart'!$I120*'Prepare Gantt Chart'!$J120),'Prepare Gantt Chart'!AN120=17,'Project types'!$Q121*('Prepare Gantt Chart'!$I120*'Prepare Gantt Chart'!$J120),'Prepare Gantt Chart'!AN120=0,0)</f>
        <v>0</v>
      </c>
      <c r="AB121" s="45">
        <f>_xlfn.IFS('Prepare Gantt Chart'!AO120=18,'Project types'!$O121*('Prepare Gantt Chart'!$I120*'Prepare Gantt Chart'!$J120),'Prepare Gantt Chart'!AO120=17,'Project types'!$Q121*('Prepare Gantt Chart'!$I120*'Prepare Gantt Chart'!$J120),'Prepare Gantt Chart'!AO120=0,0)</f>
        <v>0</v>
      </c>
      <c r="AC121" s="45">
        <f>'Prepare Gantt Chart'!J120*'Prepare Gantt Chart'!I120*(AD121/26)</f>
        <v>0</v>
      </c>
      <c r="AD121" s="46">
        <f t="shared" si="2"/>
        <v>0</v>
      </c>
      <c r="AE121" s="72">
        <f>IF('Prepare Gantt Chart'!$J120=0,0,SUM(C121:H121)/6/'Prepare Gantt Chart'!$J120)</f>
        <v>0</v>
      </c>
      <c r="AF121" s="72">
        <f>IF('Prepare Gantt Chart'!$J120=0,0,SUM(I121:M121)/5/'Prepare Gantt Chart'!$J120)</f>
        <v>0</v>
      </c>
      <c r="AG121" s="72">
        <f>IF('Prepare Gantt Chart'!$J120=0,0,SUM(N121:R121)/5/'Prepare Gantt Chart'!$J120)</f>
        <v>0</v>
      </c>
      <c r="AH121" s="72">
        <f>IF('Prepare Gantt Chart'!$J120=0,0,SUM(S121:W121)/5/'Prepare Gantt Chart'!$J120)</f>
        <v>0</v>
      </c>
      <c r="AI121" s="72">
        <f>IF('Prepare Gantt Chart'!$J120=0,0,SUM(X121:AB121)/5/'Prepare Gantt Chart'!$J120)</f>
        <v>0</v>
      </c>
      <c r="AK121" s="42" t="s">
        <v>420</v>
      </c>
      <c r="AL121" s="45">
        <f>_xlfn.IFS('Prepare Gantt Chart'!P120=18,'Project types'!$L121*('Prepare Gantt Chart'!$I120*'Prepare Gantt Chart'!$J120),'Prepare Gantt Chart'!P120=17,'Project types'!$L121*('Prepare Gantt Chart'!$I120*'Prepare Gantt Chart'!$J120),'Prepare Gantt Chart'!P120=0,0)</f>
        <v>0</v>
      </c>
      <c r="AM121" s="45">
        <f>_xlfn.IFS('Prepare Gantt Chart'!Q120=18,'Project types'!$L121*('Prepare Gantt Chart'!$I120*'Prepare Gantt Chart'!$J120),'Prepare Gantt Chart'!Q120=17,'Project types'!$L121*('Prepare Gantt Chart'!$I120*'Prepare Gantt Chart'!$J120),'Prepare Gantt Chart'!Q120=0,0)</f>
        <v>0</v>
      </c>
      <c r="AN121" s="45">
        <f>_xlfn.IFS('Prepare Gantt Chart'!R120=18,'Project types'!$L121*('Prepare Gantt Chart'!$I120*'Prepare Gantt Chart'!$J120),'Prepare Gantt Chart'!R120=17,'Project types'!$L121*('Prepare Gantt Chart'!$I120*'Prepare Gantt Chart'!$J120),'Prepare Gantt Chart'!R120=0,0)</f>
        <v>0</v>
      </c>
      <c r="AO121" s="45">
        <f>_xlfn.IFS('Prepare Gantt Chart'!S120=18,'Project types'!$L121*('Prepare Gantt Chart'!$I120*'Prepare Gantt Chart'!$J120),'Prepare Gantt Chart'!S120=17,'Project types'!$L121*('Prepare Gantt Chart'!$I120*'Prepare Gantt Chart'!$J120),'Prepare Gantt Chart'!S120=0,0)</f>
        <v>0</v>
      </c>
      <c r="AP121" s="45">
        <f>_xlfn.IFS('Prepare Gantt Chart'!T120=18,'Project types'!$L121*('Prepare Gantt Chart'!$I120*'Prepare Gantt Chart'!$J120),'Prepare Gantt Chart'!T120=17,'Project types'!$L121*('Prepare Gantt Chart'!$I120*'Prepare Gantt Chart'!$J120),'Prepare Gantt Chart'!T120=0,0)</f>
        <v>0</v>
      </c>
      <c r="AQ121" s="45">
        <f>_xlfn.IFS('Prepare Gantt Chart'!U120=18,'Project types'!$L121*('Prepare Gantt Chart'!$I120*'Prepare Gantt Chart'!$J120),'Prepare Gantt Chart'!U120=17,'Project types'!$L121*('Prepare Gantt Chart'!$I120*'Prepare Gantt Chart'!$J120),'Prepare Gantt Chart'!U120=0,0)</f>
        <v>0</v>
      </c>
      <c r="AR121" s="45">
        <f>_xlfn.IFS('Prepare Gantt Chart'!V120=18,'Project types'!$L121*('Prepare Gantt Chart'!$I120*'Prepare Gantt Chart'!$J120),'Prepare Gantt Chart'!V120=17,'Project types'!$L121*('Prepare Gantt Chart'!$I120*'Prepare Gantt Chart'!$J120),'Prepare Gantt Chart'!V120=0,0)</f>
        <v>0</v>
      </c>
      <c r="AS121" s="45">
        <f>_xlfn.IFS('Prepare Gantt Chart'!W120=18,'Project types'!$L121*('Prepare Gantt Chart'!$I120*'Prepare Gantt Chart'!$J120),'Prepare Gantt Chart'!W120=17,'Project types'!$L121*('Prepare Gantt Chart'!$I120*'Prepare Gantt Chart'!$J120),'Prepare Gantt Chart'!W120=0,0)</f>
        <v>0</v>
      </c>
      <c r="AT121" s="45">
        <f>_xlfn.IFS('Prepare Gantt Chart'!X120=18,'Project types'!$L121*('Prepare Gantt Chart'!$I120*'Prepare Gantt Chart'!$J120),'Prepare Gantt Chart'!X120=17,'Project types'!$L121*('Prepare Gantt Chart'!$I120*'Prepare Gantt Chart'!$J120),'Prepare Gantt Chart'!X120=0,0)</f>
        <v>0</v>
      </c>
      <c r="AU121" s="45">
        <f>_xlfn.IFS('Prepare Gantt Chart'!Y120=18,'Project types'!$L121*('Prepare Gantt Chart'!$I120*'Prepare Gantt Chart'!$J120),'Prepare Gantt Chart'!Y120=17,'Project types'!$L121*('Prepare Gantt Chart'!$I120*'Prepare Gantt Chart'!$J120),'Prepare Gantt Chart'!Y120=0,0)</f>
        <v>0</v>
      </c>
      <c r="AV121" s="45">
        <f>_xlfn.IFS('Prepare Gantt Chart'!Z120=18,'Project types'!$L121*('Prepare Gantt Chart'!$I120*'Prepare Gantt Chart'!$J120),'Prepare Gantt Chart'!Z120=17,'Project types'!$L121*('Prepare Gantt Chart'!$I120*'Prepare Gantt Chart'!$J120),'Prepare Gantt Chart'!Z120=0,0)</f>
        <v>0</v>
      </c>
      <c r="AW121" s="45">
        <f>_xlfn.IFS('Prepare Gantt Chart'!AA120=18,'Project types'!$L121*('Prepare Gantt Chart'!$I120*'Prepare Gantt Chart'!$J120),'Prepare Gantt Chart'!AA120=17,'Project types'!$L121*('Prepare Gantt Chart'!$I120*'Prepare Gantt Chart'!$J120),'Prepare Gantt Chart'!AA120=0,0)</f>
        <v>0</v>
      </c>
      <c r="AX121" s="45">
        <f>_xlfn.IFS('Prepare Gantt Chart'!AB120=18,'Project types'!$L121*('Prepare Gantt Chart'!$I120*'Prepare Gantt Chart'!$J120),'Prepare Gantt Chart'!AB120=17,'Project types'!$L121*('Prepare Gantt Chart'!$I120*'Prepare Gantt Chart'!$J120),'Prepare Gantt Chart'!AB120=0,0)</f>
        <v>0</v>
      </c>
      <c r="AY121" s="45">
        <f>_xlfn.IFS('Prepare Gantt Chart'!AC120=18,'Project types'!$L121*('Prepare Gantt Chart'!$I120*'Prepare Gantt Chart'!$J120),'Prepare Gantt Chart'!AC120=17,'Project types'!$L121*('Prepare Gantt Chart'!$I120*'Prepare Gantt Chart'!$J120),'Prepare Gantt Chart'!AC120=0,0)</f>
        <v>0</v>
      </c>
      <c r="AZ121" s="45">
        <f>_xlfn.IFS('Prepare Gantt Chart'!AD120=18,'Project types'!$L121*('Prepare Gantt Chart'!$I120*'Prepare Gantt Chart'!$J120),'Prepare Gantt Chart'!AD120=17,'Project types'!$L121*('Prepare Gantt Chart'!$I120*'Prepare Gantt Chart'!$J120),'Prepare Gantt Chart'!AD120=0,0)</f>
        <v>0</v>
      </c>
      <c r="BA121" s="45">
        <f>_xlfn.IFS('Prepare Gantt Chart'!AE120=18,'Project types'!$L121*('Prepare Gantt Chart'!$I120*'Prepare Gantt Chart'!$J120),'Prepare Gantt Chart'!AE120=17,'Project types'!$L121*('Prepare Gantt Chart'!$I120*'Prepare Gantt Chart'!$J120),'Prepare Gantt Chart'!AE120=0,0)</f>
        <v>0</v>
      </c>
      <c r="BB121" s="45">
        <f>_xlfn.IFS('Prepare Gantt Chart'!AF120=18,'Project types'!$L121*('Prepare Gantt Chart'!$I120*'Prepare Gantt Chart'!$J120),'Prepare Gantt Chart'!AF120=17,'Project types'!$L121*('Prepare Gantt Chart'!$I120*'Prepare Gantt Chart'!$J120),'Prepare Gantt Chart'!AF120=0,0)</f>
        <v>0</v>
      </c>
      <c r="BC121" s="45">
        <f>_xlfn.IFS('Prepare Gantt Chart'!AG120=18,'Project types'!$L121*('Prepare Gantt Chart'!$I120*'Prepare Gantt Chart'!$J120),'Prepare Gantt Chart'!AG120=17,'Project types'!$L121*('Prepare Gantt Chart'!$I120*'Prepare Gantt Chart'!$J120),'Prepare Gantt Chart'!AG120=0,0)</f>
        <v>0</v>
      </c>
      <c r="BD121" s="45">
        <f>_xlfn.IFS('Prepare Gantt Chart'!AH120=18,'Project types'!$L121*('Prepare Gantt Chart'!$I120*'Prepare Gantt Chart'!$J120),'Prepare Gantt Chart'!AH120=17,'Project types'!$L121*('Prepare Gantt Chart'!$I120*'Prepare Gantt Chart'!$J120),'Prepare Gantt Chart'!AH120=0,0)</f>
        <v>0</v>
      </c>
      <c r="BE121" s="45">
        <f>_xlfn.IFS('Prepare Gantt Chart'!AI120=18,'Project types'!$L121*('Prepare Gantt Chart'!$I120*'Prepare Gantt Chart'!$J120),'Prepare Gantt Chart'!AI120=17,'Project types'!$L121*('Prepare Gantt Chart'!$I120*'Prepare Gantt Chart'!$J120),'Prepare Gantt Chart'!AI120=0,0)</f>
        <v>0</v>
      </c>
      <c r="BF121" s="45">
        <f>_xlfn.IFS('Prepare Gantt Chart'!AJ120=18,'Project types'!$L121*('Prepare Gantt Chart'!$I120*'Prepare Gantt Chart'!$J120),'Prepare Gantt Chart'!AJ120=17,'Project types'!$L121*('Prepare Gantt Chart'!$I120*'Prepare Gantt Chart'!$J120),'Prepare Gantt Chart'!AJ120=0,0)</f>
        <v>0</v>
      </c>
      <c r="BG121" s="45">
        <f>_xlfn.IFS('Prepare Gantt Chart'!AK120=18,'Project types'!$L121*('Prepare Gantt Chart'!$I120*'Prepare Gantt Chart'!$J120),'Prepare Gantt Chart'!AK120=17,'Project types'!$L121*('Prepare Gantt Chart'!$I120*'Prepare Gantt Chart'!$J120),'Prepare Gantt Chart'!AK120=0,0)</f>
        <v>0</v>
      </c>
      <c r="BH121" s="45">
        <f>_xlfn.IFS('Prepare Gantt Chart'!AL120=18,'Project types'!$L121*('Prepare Gantt Chart'!$I120*'Prepare Gantt Chart'!$J120),'Prepare Gantt Chart'!AL120=17,'Project types'!$L121*('Prepare Gantt Chart'!$I120*'Prepare Gantt Chart'!$J120),'Prepare Gantt Chart'!AL120=0,0)</f>
        <v>0</v>
      </c>
      <c r="BI121" s="45">
        <f>_xlfn.IFS('Prepare Gantt Chart'!AM120=18,'Project types'!$L121*('Prepare Gantt Chart'!$I120*'Prepare Gantt Chart'!$J120),'Prepare Gantt Chart'!AM120=17,'Project types'!$L121*('Prepare Gantt Chart'!$I120*'Prepare Gantt Chart'!$J120),'Prepare Gantt Chart'!AM120=0,0)</f>
        <v>0</v>
      </c>
      <c r="BJ121" s="45">
        <f>_xlfn.IFS('Prepare Gantt Chart'!AN120=18,'Project types'!$L121*('Prepare Gantt Chart'!$I120*'Prepare Gantt Chart'!$J120),'Prepare Gantt Chart'!AN120=17,'Project types'!$L121*('Prepare Gantt Chart'!$I120*'Prepare Gantt Chart'!$J120),'Prepare Gantt Chart'!AN120=0,0)</f>
        <v>0</v>
      </c>
      <c r="BK121" s="45">
        <f>_xlfn.IFS('Prepare Gantt Chart'!AO120=18,'Project types'!$L121*('Prepare Gantt Chart'!$I120*'Prepare Gantt Chart'!$J120),'Prepare Gantt Chart'!AO120=17,'Project types'!$L121*('Prepare Gantt Chart'!$I120*'Prepare Gantt Chart'!$J120),'Prepare Gantt Chart'!AO120=0,0)</f>
        <v>0</v>
      </c>
      <c r="BL121" s="46">
        <f t="shared" si="3"/>
        <v>0</v>
      </c>
      <c r="BM121" s="75">
        <f>IF('Prepare Gantt Chart'!$J120=0,0,SUM(AL121:AQ121)/6/'Prepare Gantt Chart'!$J120)</f>
        <v>0</v>
      </c>
      <c r="BN121" s="75">
        <f>IF('Prepare Gantt Chart'!$J120=0,0,SUM(AR121:AV121)/5/'Prepare Gantt Chart'!$J120)</f>
        <v>0</v>
      </c>
      <c r="BO121" s="75">
        <f>IF('Prepare Gantt Chart'!$J120=0,0,SUM(AW121:BA121)/5/'Prepare Gantt Chart'!$J120)</f>
        <v>0</v>
      </c>
      <c r="BP121" s="75">
        <f>IF('Prepare Gantt Chart'!$J120=0,0,SUM(BB121:BF121)/5/'Prepare Gantt Chart'!$J120)</f>
        <v>0</v>
      </c>
      <c r="BQ121" s="75">
        <f>IF('Prepare Gantt Chart'!$J120=0,0,SUM(BG121:BK121)/5/'Prepare Gantt Chart'!$J120)</f>
        <v>0</v>
      </c>
    </row>
    <row r="122" spans="1:69" ht="16" thickBot="1" x14ac:dyDescent="0.25">
      <c r="A122" s="43" t="s">
        <v>421</v>
      </c>
      <c r="B122" s="8" t="s">
        <v>118</v>
      </c>
      <c r="C122" s="50">
        <f>_xlfn.IFS('Prepare Gantt Chart'!P121=18,'Project types'!$O122*('Prepare Gantt Chart'!$I121*'Prepare Gantt Chart'!$J121),'Prepare Gantt Chart'!P121=17,'Project types'!$Q122*('Prepare Gantt Chart'!$I121*'Prepare Gantt Chart'!$J121),'Prepare Gantt Chart'!P121=0,0)</f>
        <v>0</v>
      </c>
      <c r="D122" s="50">
        <f>_xlfn.IFS('Prepare Gantt Chart'!Q121=18,'Project types'!$O122*('Prepare Gantt Chart'!$I121*'Prepare Gantt Chart'!$J121),'Prepare Gantt Chart'!Q121=17,'Project types'!$Q122*('Prepare Gantt Chart'!$I121*'Prepare Gantt Chart'!$J121),'Prepare Gantt Chart'!Q121=0,0)</f>
        <v>0</v>
      </c>
      <c r="E122" s="50">
        <f>_xlfn.IFS('Prepare Gantt Chart'!R121=18,'Project types'!$O122*('Prepare Gantt Chart'!$I121*'Prepare Gantt Chart'!$J121),'Prepare Gantt Chart'!R121=17,'Project types'!$Q122*('Prepare Gantt Chart'!$I121*'Prepare Gantt Chart'!$J121),'Prepare Gantt Chart'!R121=0,0)</f>
        <v>0</v>
      </c>
      <c r="F122" s="50">
        <f>_xlfn.IFS('Prepare Gantt Chart'!S121=18,'Project types'!$O122*('Prepare Gantt Chart'!$I121*'Prepare Gantt Chart'!$J121),'Prepare Gantt Chart'!S121=17,'Project types'!$Q122*('Prepare Gantt Chart'!$I121*'Prepare Gantt Chart'!$J121),'Prepare Gantt Chart'!S121=0,0)</f>
        <v>0</v>
      </c>
      <c r="G122" s="50">
        <f>_xlfn.IFS('Prepare Gantt Chart'!T121=18,'Project types'!$O122*('Prepare Gantt Chart'!$I121*'Prepare Gantt Chart'!$J121),'Prepare Gantt Chart'!T121=17,'Project types'!$Q122*('Prepare Gantt Chart'!$I121*'Prepare Gantt Chart'!$J121),'Prepare Gantt Chart'!T121=0,0)</f>
        <v>0</v>
      </c>
      <c r="H122" s="50">
        <f>_xlfn.IFS('Prepare Gantt Chart'!U121=18,'Project types'!$O122*('Prepare Gantt Chart'!$I121*'Prepare Gantt Chart'!$J121),'Prepare Gantt Chart'!U121=17,'Project types'!$Q122*('Prepare Gantt Chart'!$I121*'Prepare Gantt Chart'!$J121),'Prepare Gantt Chart'!U121=0,0)</f>
        <v>0</v>
      </c>
      <c r="I122" s="50">
        <f>_xlfn.IFS('Prepare Gantt Chart'!V121=18,'Project types'!$O122*('Prepare Gantt Chart'!$I121*'Prepare Gantt Chart'!$J121),'Prepare Gantt Chart'!V121=17,'Project types'!$Q122*('Prepare Gantt Chart'!$I121*'Prepare Gantt Chart'!$J121),'Prepare Gantt Chart'!V121=0,0)</f>
        <v>0</v>
      </c>
      <c r="J122" s="50">
        <f>_xlfn.IFS('Prepare Gantt Chart'!W121=18,'Project types'!$O122*('Prepare Gantt Chart'!$I121*'Prepare Gantt Chart'!$J121),'Prepare Gantt Chart'!W121=17,'Project types'!$Q122*('Prepare Gantt Chart'!$I121*'Prepare Gantt Chart'!$J121),'Prepare Gantt Chart'!W121=0,0)</f>
        <v>0</v>
      </c>
      <c r="K122" s="50">
        <f>_xlfn.IFS('Prepare Gantt Chart'!X121=18,'Project types'!$O122*('Prepare Gantt Chart'!$I121*'Prepare Gantt Chart'!$J121),'Prepare Gantt Chart'!X121=17,'Project types'!$Q122*('Prepare Gantt Chart'!$I121*'Prepare Gantt Chart'!$J121),'Prepare Gantt Chart'!X121=0,0)</f>
        <v>0</v>
      </c>
      <c r="L122" s="50">
        <f>_xlfn.IFS('Prepare Gantt Chart'!Y121=18,'Project types'!$O122*('Prepare Gantt Chart'!$I121*'Prepare Gantt Chart'!$J121),'Prepare Gantt Chart'!Y121=17,'Project types'!$Q122*('Prepare Gantt Chart'!$I121*'Prepare Gantt Chart'!$J121),'Prepare Gantt Chart'!Y121=0,0)</f>
        <v>0</v>
      </c>
      <c r="M122" s="50">
        <f>_xlfn.IFS('Prepare Gantt Chart'!Z121=18,'Project types'!$O122*('Prepare Gantt Chart'!$I121*'Prepare Gantt Chart'!$J121),'Prepare Gantt Chart'!Z121=17,'Project types'!$Q122*('Prepare Gantt Chart'!$I121*'Prepare Gantt Chart'!$J121),'Prepare Gantt Chart'!Z121=0,0)</f>
        <v>0</v>
      </c>
      <c r="N122" s="50">
        <f>_xlfn.IFS('Prepare Gantt Chart'!AA121=18,'Project types'!$O122*('Prepare Gantt Chart'!$I121*'Prepare Gantt Chart'!$J121),'Prepare Gantt Chart'!AA121=17,'Project types'!$Q122*('Prepare Gantt Chart'!$I121*'Prepare Gantt Chart'!$J121),'Prepare Gantt Chart'!AA121=0,0)</f>
        <v>0</v>
      </c>
      <c r="O122" s="50">
        <f>_xlfn.IFS('Prepare Gantt Chart'!AB121=18,'Project types'!$O122*('Prepare Gantt Chart'!$I121*'Prepare Gantt Chart'!$J121),'Prepare Gantt Chart'!AB121=17,'Project types'!$Q122*('Prepare Gantt Chart'!$I121*'Prepare Gantt Chart'!$J121),'Prepare Gantt Chart'!AB121=0,0)</f>
        <v>0</v>
      </c>
      <c r="P122" s="50">
        <f>_xlfn.IFS('Prepare Gantt Chart'!AC121=18,'Project types'!$O122*('Prepare Gantt Chart'!$I121*'Prepare Gantt Chart'!$J121),'Prepare Gantt Chart'!AC121=17,'Project types'!$Q122*('Prepare Gantt Chart'!$I121*'Prepare Gantt Chart'!$J121),'Prepare Gantt Chart'!AC121=0,0)</f>
        <v>0</v>
      </c>
      <c r="Q122" s="50">
        <f>_xlfn.IFS('Prepare Gantt Chart'!AD121=18,'Project types'!$O122*('Prepare Gantt Chart'!$I121*'Prepare Gantt Chart'!$J121),'Prepare Gantt Chart'!AD121=17,'Project types'!$Q122*('Prepare Gantt Chart'!$I121*'Prepare Gantt Chart'!$J121),'Prepare Gantt Chart'!AD121=0,0)</f>
        <v>0</v>
      </c>
      <c r="R122" s="50">
        <f>_xlfn.IFS('Prepare Gantt Chart'!AE121=18,'Project types'!$O122*('Prepare Gantt Chart'!$I121*'Prepare Gantt Chart'!$J121),'Prepare Gantt Chart'!AE121=17,'Project types'!$Q122*('Prepare Gantt Chart'!$I121*'Prepare Gantt Chart'!$J121),'Prepare Gantt Chart'!AE121=0,0)</f>
        <v>0</v>
      </c>
      <c r="S122" s="50">
        <f>_xlfn.IFS('Prepare Gantt Chart'!AF121=18,'Project types'!$O122*('Prepare Gantt Chart'!$I121*'Prepare Gantt Chart'!$J121),'Prepare Gantt Chart'!AF121=17,'Project types'!$Q122*('Prepare Gantt Chart'!$I121*'Prepare Gantt Chart'!$J121),'Prepare Gantt Chart'!AF121=0,0)</f>
        <v>0</v>
      </c>
      <c r="T122" s="50">
        <f>_xlfn.IFS('Prepare Gantt Chart'!AG121=18,'Project types'!$O122*('Prepare Gantt Chart'!$I121*'Prepare Gantt Chart'!$J121),'Prepare Gantt Chart'!AG121=17,'Project types'!$Q122*('Prepare Gantt Chart'!$I121*'Prepare Gantt Chart'!$J121),'Prepare Gantt Chart'!AG121=0,0)</f>
        <v>0</v>
      </c>
      <c r="U122" s="50">
        <f>_xlfn.IFS('Prepare Gantt Chart'!AH121=18,'Project types'!$O122*('Prepare Gantt Chart'!$I121*'Prepare Gantt Chart'!$J121),'Prepare Gantt Chart'!AH121=17,'Project types'!$Q122*('Prepare Gantt Chart'!$I121*'Prepare Gantt Chart'!$J121),'Prepare Gantt Chart'!AH121=0,0)</f>
        <v>0</v>
      </c>
      <c r="V122" s="50">
        <f>_xlfn.IFS('Prepare Gantt Chart'!AI121=18,'Project types'!$O122*('Prepare Gantt Chart'!$I121*'Prepare Gantt Chart'!$J121),'Prepare Gantt Chart'!AI121=17,'Project types'!$Q122*('Prepare Gantt Chart'!$I121*'Prepare Gantt Chart'!$J121),'Prepare Gantt Chart'!AI121=0,0)</f>
        <v>0</v>
      </c>
      <c r="W122" s="50">
        <f>_xlfn.IFS('Prepare Gantt Chart'!AJ121=18,'Project types'!$O122*('Prepare Gantt Chart'!$I121*'Prepare Gantt Chart'!$J121),'Prepare Gantt Chart'!AJ121=17,'Project types'!$Q122*('Prepare Gantt Chart'!$I121*'Prepare Gantt Chart'!$J121),'Prepare Gantt Chart'!AJ121=0,0)</f>
        <v>0</v>
      </c>
      <c r="X122" s="50">
        <f>_xlfn.IFS('Prepare Gantt Chart'!AK121=18,'Project types'!$O122*('Prepare Gantt Chart'!$I121*'Prepare Gantt Chart'!$J121),'Prepare Gantt Chart'!AK121=17,'Project types'!$Q122*('Prepare Gantt Chart'!$I121*'Prepare Gantt Chart'!$J121),'Prepare Gantt Chart'!AK121=0,0)</f>
        <v>0</v>
      </c>
      <c r="Y122" s="50">
        <f>_xlfn.IFS('Prepare Gantt Chart'!AL121=18,'Project types'!$O122*('Prepare Gantt Chart'!$I121*'Prepare Gantt Chart'!$J121),'Prepare Gantt Chart'!AL121=17,'Project types'!$Q122*('Prepare Gantt Chart'!$I121*'Prepare Gantt Chart'!$J121),'Prepare Gantt Chart'!AL121=0,0)</f>
        <v>0</v>
      </c>
      <c r="Z122" s="50">
        <f>_xlfn.IFS('Prepare Gantt Chart'!AM121=18,'Project types'!$O122*('Prepare Gantt Chart'!$I121*'Prepare Gantt Chart'!$J121),'Prepare Gantt Chart'!AM121=17,'Project types'!$Q122*('Prepare Gantt Chart'!$I121*'Prepare Gantt Chart'!$J121),'Prepare Gantt Chart'!AM121=0,0)</f>
        <v>0</v>
      </c>
      <c r="AA122" s="50">
        <f>_xlfn.IFS('Prepare Gantt Chart'!AN121=18,'Project types'!$O122*('Prepare Gantt Chart'!$I121*'Prepare Gantt Chart'!$J121),'Prepare Gantt Chart'!AN121=17,'Project types'!$Q122*('Prepare Gantt Chart'!$I121*'Prepare Gantt Chart'!$J121),'Prepare Gantt Chart'!AN121=0,0)</f>
        <v>0</v>
      </c>
      <c r="AB122" s="50">
        <f>_xlfn.IFS('Prepare Gantt Chart'!AO121=18,'Project types'!$O122*('Prepare Gantt Chart'!$I121*'Prepare Gantt Chart'!$J121),'Prepare Gantt Chart'!AO121=17,'Project types'!$Q122*('Prepare Gantt Chart'!$I121*'Prepare Gantt Chart'!$J121),'Prepare Gantt Chart'!AO121=0,0)</f>
        <v>0</v>
      </c>
      <c r="AC122" s="50">
        <f>'Prepare Gantt Chart'!J121*'Prepare Gantt Chart'!I121*(AD122/26)</f>
        <v>0</v>
      </c>
      <c r="AD122" s="51">
        <f t="shared" si="2"/>
        <v>0</v>
      </c>
      <c r="AE122" s="73">
        <f>IF('Prepare Gantt Chart'!$J121=0,0,SUM(C122:H122)/6/'Prepare Gantt Chart'!$J121)</f>
        <v>0</v>
      </c>
      <c r="AF122" s="73">
        <f>IF('Prepare Gantt Chart'!$J121=0,0,SUM(I122:M122)/5/'Prepare Gantt Chart'!$J121)</f>
        <v>0</v>
      </c>
      <c r="AG122" s="73">
        <f>IF('Prepare Gantt Chart'!$J121=0,0,SUM(N122:R122)/5/'Prepare Gantt Chart'!$J121)</f>
        <v>0</v>
      </c>
      <c r="AH122" s="73">
        <f>IF('Prepare Gantt Chart'!$J121=0,0,SUM(S122:W122)/5/'Prepare Gantt Chart'!$J121)</f>
        <v>0</v>
      </c>
      <c r="AI122" s="73">
        <f>IF('Prepare Gantt Chart'!$J121=0,0,SUM(X122:AB122)/5/'Prepare Gantt Chart'!$J121)</f>
        <v>0</v>
      </c>
      <c r="AK122" s="43" t="s">
        <v>421</v>
      </c>
      <c r="AL122" s="50">
        <f>_xlfn.IFS('Prepare Gantt Chart'!P121=18,'Project types'!$L122*('Prepare Gantt Chart'!$I121*'Prepare Gantt Chart'!$J121),'Prepare Gantt Chart'!P121=17,'Project types'!$L122*('Prepare Gantt Chart'!$I121*'Prepare Gantt Chart'!$J121),'Prepare Gantt Chart'!P121=0,0)</f>
        <v>0</v>
      </c>
      <c r="AM122" s="50">
        <f>_xlfn.IFS('Prepare Gantt Chart'!Q121=18,'Project types'!$L122*('Prepare Gantt Chart'!$I121*'Prepare Gantt Chart'!$J121),'Prepare Gantt Chart'!Q121=17,'Project types'!$L122*('Prepare Gantt Chart'!$I121*'Prepare Gantt Chart'!$J121),'Prepare Gantt Chart'!Q121=0,0)</f>
        <v>0</v>
      </c>
      <c r="AN122" s="50">
        <f>_xlfn.IFS('Prepare Gantt Chart'!R121=18,'Project types'!$L122*('Prepare Gantt Chart'!$I121*'Prepare Gantt Chart'!$J121),'Prepare Gantt Chart'!R121=17,'Project types'!$L122*('Prepare Gantt Chart'!$I121*'Prepare Gantt Chart'!$J121),'Prepare Gantt Chart'!R121=0,0)</f>
        <v>0</v>
      </c>
      <c r="AO122" s="50">
        <f>_xlfn.IFS('Prepare Gantt Chart'!S121=18,'Project types'!$L122*('Prepare Gantt Chart'!$I121*'Prepare Gantt Chart'!$J121),'Prepare Gantt Chart'!S121=17,'Project types'!$L122*('Prepare Gantt Chart'!$I121*'Prepare Gantt Chart'!$J121),'Prepare Gantt Chart'!S121=0,0)</f>
        <v>0</v>
      </c>
      <c r="AP122" s="50">
        <f>_xlfn.IFS('Prepare Gantt Chart'!T121=18,'Project types'!$L122*('Prepare Gantt Chart'!$I121*'Prepare Gantt Chart'!$J121),'Prepare Gantt Chart'!T121=17,'Project types'!$L122*('Prepare Gantt Chart'!$I121*'Prepare Gantt Chart'!$J121),'Prepare Gantt Chart'!T121=0,0)</f>
        <v>0</v>
      </c>
      <c r="AQ122" s="50">
        <f>_xlfn.IFS('Prepare Gantt Chart'!U121=18,'Project types'!$L122*('Prepare Gantt Chart'!$I121*'Prepare Gantt Chart'!$J121),'Prepare Gantt Chart'!U121=17,'Project types'!$L122*('Prepare Gantt Chart'!$I121*'Prepare Gantt Chart'!$J121),'Prepare Gantt Chart'!U121=0,0)</f>
        <v>0</v>
      </c>
      <c r="AR122" s="50">
        <f>_xlfn.IFS('Prepare Gantt Chart'!V121=18,'Project types'!$L122*('Prepare Gantt Chart'!$I121*'Prepare Gantt Chart'!$J121),'Prepare Gantt Chart'!V121=17,'Project types'!$L122*('Prepare Gantt Chart'!$I121*'Prepare Gantt Chart'!$J121),'Prepare Gantt Chart'!V121=0,0)</f>
        <v>0</v>
      </c>
      <c r="AS122" s="50">
        <f>_xlfn.IFS('Prepare Gantt Chart'!W121=18,'Project types'!$L122*('Prepare Gantt Chart'!$I121*'Prepare Gantt Chart'!$J121),'Prepare Gantt Chart'!W121=17,'Project types'!$L122*('Prepare Gantt Chart'!$I121*'Prepare Gantt Chart'!$J121),'Prepare Gantt Chart'!W121=0,0)</f>
        <v>0</v>
      </c>
      <c r="AT122" s="50">
        <f>_xlfn.IFS('Prepare Gantt Chart'!X121=18,'Project types'!$L122*('Prepare Gantt Chart'!$I121*'Prepare Gantt Chart'!$J121),'Prepare Gantt Chart'!X121=17,'Project types'!$L122*('Prepare Gantt Chart'!$I121*'Prepare Gantt Chart'!$J121),'Prepare Gantt Chart'!X121=0,0)</f>
        <v>0</v>
      </c>
      <c r="AU122" s="50">
        <f>_xlfn.IFS('Prepare Gantt Chart'!Y121=18,'Project types'!$L122*('Prepare Gantt Chart'!$I121*'Prepare Gantt Chart'!$J121),'Prepare Gantt Chart'!Y121=17,'Project types'!$L122*('Prepare Gantt Chart'!$I121*'Prepare Gantt Chart'!$J121),'Prepare Gantt Chart'!Y121=0,0)</f>
        <v>0</v>
      </c>
      <c r="AV122" s="50">
        <f>_xlfn.IFS('Prepare Gantt Chart'!Z121=18,'Project types'!$L122*('Prepare Gantt Chart'!$I121*'Prepare Gantt Chart'!$J121),'Prepare Gantt Chart'!Z121=17,'Project types'!$L122*('Prepare Gantt Chart'!$I121*'Prepare Gantt Chart'!$J121),'Prepare Gantt Chart'!Z121=0,0)</f>
        <v>0</v>
      </c>
      <c r="AW122" s="50">
        <f>_xlfn.IFS('Prepare Gantt Chart'!AA121=18,'Project types'!$L122*('Prepare Gantt Chart'!$I121*'Prepare Gantt Chart'!$J121),'Prepare Gantt Chart'!AA121=17,'Project types'!$L122*('Prepare Gantt Chart'!$I121*'Prepare Gantt Chart'!$J121),'Prepare Gantt Chart'!AA121=0,0)</f>
        <v>0</v>
      </c>
      <c r="AX122" s="50">
        <f>_xlfn.IFS('Prepare Gantt Chart'!AB121=18,'Project types'!$L122*('Prepare Gantt Chart'!$I121*'Prepare Gantt Chart'!$J121),'Prepare Gantt Chart'!AB121=17,'Project types'!$L122*('Prepare Gantt Chart'!$I121*'Prepare Gantt Chart'!$J121),'Prepare Gantt Chart'!AB121=0,0)</f>
        <v>0</v>
      </c>
      <c r="AY122" s="50">
        <f>_xlfn.IFS('Prepare Gantt Chart'!AC121=18,'Project types'!$L122*('Prepare Gantt Chart'!$I121*'Prepare Gantt Chart'!$J121),'Prepare Gantt Chart'!AC121=17,'Project types'!$L122*('Prepare Gantt Chart'!$I121*'Prepare Gantt Chart'!$J121),'Prepare Gantt Chart'!AC121=0,0)</f>
        <v>0</v>
      </c>
      <c r="AZ122" s="50">
        <f>_xlfn.IFS('Prepare Gantt Chart'!AD121=18,'Project types'!$L122*('Prepare Gantt Chart'!$I121*'Prepare Gantt Chart'!$J121),'Prepare Gantt Chart'!AD121=17,'Project types'!$L122*('Prepare Gantt Chart'!$I121*'Prepare Gantt Chart'!$J121),'Prepare Gantt Chart'!AD121=0,0)</f>
        <v>0</v>
      </c>
      <c r="BA122" s="50">
        <f>_xlfn.IFS('Prepare Gantt Chart'!AE121=18,'Project types'!$L122*('Prepare Gantt Chart'!$I121*'Prepare Gantt Chart'!$J121),'Prepare Gantt Chart'!AE121=17,'Project types'!$L122*('Prepare Gantt Chart'!$I121*'Prepare Gantt Chart'!$J121),'Prepare Gantt Chart'!AE121=0,0)</f>
        <v>0</v>
      </c>
      <c r="BB122" s="50">
        <f>_xlfn.IFS('Prepare Gantt Chart'!AF121=18,'Project types'!$L122*('Prepare Gantt Chart'!$I121*'Prepare Gantt Chart'!$J121),'Prepare Gantt Chart'!AF121=17,'Project types'!$L122*('Prepare Gantt Chart'!$I121*'Prepare Gantt Chart'!$J121),'Prepare Gantt Chart'!AF121=0,0)</f>
        <v>0</v>
      </c>
      <c r="BC122" s="50">
        <f>_xlfn.IFS('Prepare Gantt Chart'!AG121=18,'Project types'!$L122*('Prepare Gantt Chart'!$I121*'Prepare Gantt Chart'!$J121),'Prepare Gantt Chart'!AG121=17,'Project types'!$L122*('Prepare Gantt Chart'!$I121*'Prepare Gantt Chart'!$J121),'Prepare Gantt Chart'!AG121=0,0)</f>
        <v>0</v>
      </c>
      <c r="BD122" s="50">
        <f>_xlfn.IFS('Prepare Gantt Chart'!AH121=18,'Project types'!$L122*('Prepare Gantt Chart'!$I121*'Prepare Gantt Chart'!$J121),'Prepare Gantt Chart'!AH121=17,'Project types'!$L122*('Prepare Gantt Chart'!$I121*'Prepare Gantt Chart'!$J121),'Prepare Gantt Chart'!AH121=0,0)</f>
        <v>0</v>
      </c>
      <c r="BE122" s="50">
        <f>_xlfn.IFS('Prepare Gantt Chart'!AI121=18,'Project types'!$L122*('Prepare Gantt Chart'!$I121*'Prepare Gantt Chart'!$J121),'Prepare Gantt Chart'!AI121=17,'Project types'!$L122*('Prepare Gantt Chart'!$I121*'Prepare Gantt Chart'!$J121),'Prepare Gantt Chart'!AI121=0,0)</f>
        <v>0</v>
      </c>
      <c r="BF122" s="50">
        <f>_xlfn.IFS('Prepare Gantt Chart'!AJ121=18,'Project types'!$L122*('Prepare Gantt Chart'!$I121*'Prepare Gantt Chart'!$J121),'Prepare Gantt Chart'!AJ121=17,'Project types'!$L122*('Prepare Gantt Chart'!$I121*'Prepare Gantt Chart'!$J121),'Prepare Gantt Chart'!AJ121=0,0)</f>
        <v>0</v>
      </c>
      <c r="BG122" s="50">
        <f>_xlfn.IFS('Prepare Gantt Chart'!AK121=18,'Project types'!$L122*('Prepare Gantt Chart'!$I121*'Prepare Gantt Chart'!$J121),'Prepare Gantt Chart'!AK121=17,'Project types'!$L122*('Prepare Gantt Chart'!$I121*'Prepare Gantt Chart'!$J121),'Prepare Gantt Chart'!AK121=0,0)</f>
        <v>0</v>
      </c>
      <c r="BH122" s="50">
        <f>_xlfn.IFS('Prepare Gantt Chart'!AL121=18,'Project types'!$L122*('Prepare Gantt Chart'!$I121*'Prepare Gantt Chart'!$J121),'Prepare Gantt Chart'!AL121=17,'Project types'!$L122*('Prepare Gantt Chart'!$I121*'Prepare Gantt Chart'!$J121),'Prepare Gantt Chart'!AL121=0,0)</f>
        <v>0</v>
      </c>
      <c r="BI122" s="50">
        <f>_xlfn.IFS('Prepare Gantt Chart'!AM121=18,'Project types'!$L122*('Prepare Gantt Chart'!$I121*'Prepare Gantt Chart'!$J121),'Prepare Gantt Chart'!AM121=17,'Project types'!$L122*('Prepare Gantt Chart'!$I121*'Prepare Gantt Chart'!$J121),'Prepare Gantt Chart'!AM121=0,0)</f>
        <v>0</v>
      </c>
      <c r="BJ122" s="50">
        <f>_xlfn.IFS('Prepare Gantt Chart'!AN121=18,'Project types'!$L122*('Prepare Gantt Chart'!$I121*'Prepare Gantt Chart'!$J121),'Prepare Gantt Chart'!AN121=17,'Project types'!$L122*('Prepare Gantt Chart'!$I121*'Prepare Gantt Chart'!$J121),'Prepare Gantt Chart'!AN121=0,0)</f>
        <v>0</v>
      </c>
      <c r="BK122" s="50">
        <f>_xlfn.IFS('Prepare Gantt Chart'!AO121=18,'Project types'!$L122*('Prepare Gantt Chart'!$I121*'Prepare Gantt Chart'!$J121),'Prepare Gantt Chart'!AO121=17,'Project types'!$L122*('Prepare Gantt Chart'!$I121*'Prepare Gantt Chart'!$J121),'Prepare Gantt Chart'!AO121=0,0)</f>
        <v>0</v>
      </c>
      <c r="BL122" s="51">
        <f t="shared" si="3"/>
        <v>0</v>
      </c>
      <c r="BM122" s="75">
        <f>IF('Prepare Gantt Chart'!$J121=0,0,SUM(AL122:AQ122)/6/'Prepare Gantt Chart'!$J121)</f>
        <v>0</v>
      </c>
      <c r="BN122" s="75">
        <f>IF('Prepare Gantt Chart'!$J121=0,0,SUM(AR122:AV122)/5/'Prepare Gantt Chart'!$J121)</f>
        <v>0</v>
      </c>
      <c r="BO122" s="75">
        <f>IF('Prepare Gantt Chart'!$J121=0,0,SUM(AW122:BA122)/5/'Prepare Gantt Chart'!$J121)</f>
        <v>0</v>
      </c>
      <c r="BP122" s="75">
        <f>IF('Prepare Gantt Chart'!$J121=0,0,SUM(BB122:BF122)/5/'Prepare Gantt Chart'!$J121)</f>
        <v>0</v>
      </c>
      <c r="BQ122" s="75">
        <f>IF('Prepare Gantt Chart'!$J121=0,0,SUM(BG122:BK122)/5/'Prepare Gantt Chart'!$J121)</f>
        <v>0</v>
      </c>
    </row>
    <row r="123" spans="1:69" ht="26" x14ac:dyDescent="0.3">
      <c r="C123" s="212">
        <f>SUM(C6:C122)</f>
        <v>0</v>
      </c>
      <c r="D123" s="212">
        <f t="shared" ref="D123:AA123" si="4">SUM(D6:D122)</f>
        <v>0</v>
      </c>
      <c r="E123" s="212">
        <f t="shared" si="4"/>
        <v>0</v>
      </c>
      <c r="F123" s="212">
        <f t="shared" si="4"/>
        <v>0</v>
      </c>
      <c r="G123" s="212">
        <f t="shared" si="4"/>
        <v>0</v>
      </c>
      <c r="H123" s="212">
        <f t="shared" si="4"/>
        <v>0</v>
      </c>
      <c r="I123" s="212">
        <f t="shared" si="4"/>
        <v>0</v>
      </c>
      <c r="J123" s="212">
        <f t="shared" si="4"/>
        <v>0</v>
      </c>
      <c r="K123" s="212">
        <f t="shared" si="4"/>
        <v>0</v>
      </c>
      <c r="L123" s="212">
        <f t="shared" si="4"/>
        <v>0</v>
      </c>
      <c r="M123" s="212">
        <f t="shared" si="4"/>
        <v>0</v>
      </c>
      <c r="N123" s="212">
        <f t="shared" si="4"/>
        <v>0</v>
      </c>
      <c r="O123" s="212">
        <f t="shared" si="4"/>
        <v>0</v>
      </c>
      <c r="P123" s="212">
        <f t="shared" si="4"/>
        <v>0</v>
      </c>
      <c r="Q123" s="212">
        <f t="shared" si="4"/>
        <v>0</v>
      </c>
      <c r="R123" s="212">
        <f t="shared" si="4"/>
        <v>0</v>
      </c>
      <c r="S123" s="212">
        <f t="shared" si="4"/>
        <v>0</v>
      </c>
      <c r="T123" s="212">
        <f t="shared" si="4"/>
        <v>0</v>
      </c>
      <c r="U123" s="212">
        <f t="shared" si="4"/>
        <v>0</v>
      </c>
      <c r="V123" s="212">
        <f t="shared" si="4"/>
        <v>0</v>
      </c>
      <c r="W123" s="212">
        <f t="shared" si="4"/>
        <v>0</v>
      </c>
      <c r="X123" s="212">
        <f t="shared" si="4"/>
        <v>0</v>
      </c>
      <c r="Y123" s="212">
        <f t="shared" si="4"/>
        <v>0</v>
      </c>
      <c r="Z123" s="212">
        <f t="shared" si="4"/>
        <v>0</v>
      </c>
      <c r="AA123" s="212">
        <f t="shared" si="4"/>
        <v>0</v>
      </c>
      <c r="AB123" s="212">
        <f>SUM(AB6:AB122)</f>
        <v>0</v>
      </c>
      <c r="AC123" s="60">
        <f>SUM(C123:AB123)/1000000000/26</f>
        <v>0</v>
      </c>
      <c r="AD123" s="60">
        <f>SUM(AD6:AD122)/1000000000/26</f>
        <v>0</v>
      </c>
      <c r="AE123" s="45"/>
      <c r="AF123" s="45"/>
      <c r="AG123" s="45"/>
      <c r="AH123" s="45"/>
      <c r="AI123" s="45"/>
      <c r="AL123" s="53">
        <f>SUM(AL6:AL122)</f>
        <v>0</v>
      </c>
      <c r="AM123" s="53">
        <f t="shared" ref="AM123:BK123" si="5">SUM(AM6:AM122)</f>
        <v>0</v>
      </c>
      <c r="AN123" s="53">
        <f t="shared" si="5"/>
        <v>0</v>
      </c>
      <c r="AO123" s="53">
        <f t="shared" si="5"/>
        <v>0</v>
      </c>
      <c r="AP123" s="53">
        <f t="shared" si="5"/>
        <v>0</v>
      </c>
      <c r="AQ123" s="53">
        <f t="shared" si="5"/>
        <v>0</v>
      </c>
      <c r="AR123" s="53">
        <f t="shared" si="5"/>
        <v>0</v>
      </c>
      <c r="AS123" s="53">
        <f t="shared" si="5"/>
        <v>0</v>
      </c>
      <c r="AT123" s="53">
        <f t="shared" si="5"/>
        <v>0</v>
      </c>
      <c r="AU123" s="53">
        <f t="shared" si="5"/>
        <v>0</v>
      </c>
      <c r="AV123" s="53">
        <f t="shared" si="5"/>
        <v>0</v>
      </c>
      <c r="AW123" s="53">
        <f t="shared" si="5"/>
        <v>0</v>
      </c>
      <c r="AX123" s="53">
        <f t="shared" si="5"/>
        <v>0</v>
      </c>
      <c r="AY123" s="53">
        <f t="shared" si="5"/>
        <v>0</v>
      </c>
      <c r="AZ123" s="53">
        <f t="shared" si="5"/>
        <v>0</v>
      </c>
      <c r="BA123" s="53">
        <f t="shared" si="5"/>
        <v>0</v>
      </c>
      <c r="BB123" s="53">
        <f t="shared" si="5"/>
        <v>0</v>
      </c>
      <c r="BC123" s="53">
        <f t="shared" si="5"/>
        <v>0</v>
      </c>
      <c r="BD123" s="53">
        <f t="shared" si="5"/>
        <v>0</v>
      </c>
      <c r="BE123" s="53">
        <f t="shared" si="5"/>
        <v>0</v>
      </c>
      <c r="BF123" s="53">
        <f t="shared" si="5"/>
        <v>0</v>
      </c>
      <c r="BG123" s="53">
        <f t="shared" si="5"/>
        <v>0</v>
      </c>
      <c r="BH123" s="53">
        <f t="shared" si="5"/>
        <v>0</v>
      </c>
      <c r="BI123" s="53">
        <f t="shared" si="5"/>
        <v>0</v>
      </c>
      <c r="BJ123" s="53">
        <f t="shared" si="5"/>
        <v>0</v>
      </c>
      <c r="BK123" s="53">
        <f t="shared" si="5"/>
        <v>0</v>
      </c>
      <c r="BL123" s="74">
        <f>(SUM(AL123:BK123)/1000000000)/26</f>
        <v>0</v>
      </c>
      <c r="BM123" s="46"/>
      <c r="BN123" s="46"/>
      <c r="BO123" s="46"/>
      <c r="BP123" s="46"/>
      <c r="BQ123" s="46"/>
    </row>
    <row r="124" spans="1:69" x14ac:dyDescent="0.2">
      <c r="AL124" s="78">
        <f>AL123/1000000000</f>
        <v>0</v>
      </c>
      <c r="AM124" s="78">
        <f t="shared" ref="AM124:BK124" si="6">AM123/1000000000</f>
        <v>0</v>
      </c>
      <c r="AN124" s="78">
        <f t="shared" si="6"/>
        <v>0</v>
      </c>
      <c r="AO124" s="78">
        <f t="shared" si="6"/>
        <v>0</v>
      </c>
      <c r="AP124" s="78">
        <f t="shared" si="6"/>
        <v>0</v>
      </c>
      <c r="AQ124" s="78">
        <f t="shared" si="6"/>
        <v>0</v>
      </c>
      <c r="AR124" s="78">
        <f t="shared" si="6"/>
        <v>0</v>
      </c>
      <c r="AS124" s="78">
        <f t="shared" si="6"/>
        <v>0</v>
      </c>
      <c r="AT124" s="78">
        <f t="shared" si="6"/>
        <v>0</v>
      </c>
      <c r="AU124" s="78">
        <f t="shared" si="6"/>
        <v>0</v>
      </c>
      <c r="AV124" s="78">
        <f t="shared" si="6"/>
        <v>0</v>
      </c>
      <c r="AW124" s="78">
        <f t="shared" si="6"/>
        <v>0</v>
      </c>
      <c r="AX124" s="78">
        <f t="shared" si="6"/>
        <v>0</v>
      </c>
      <c r="AY124" s="78">
        <f t="shared" si="6"/>
        <v>0</v>
      </c>
      <c r="AZ124" s="78">
        <f t="shared" si="6"/>
        <v>0</v>
      </c>
      <c r="BA124" s="78">
        <f t="shared" si="6"/>
        <v>0</v>
      </c>
      <c r="BB124" s="78">
        <f t="shared" si="6"/>
        <v>0</v>
      </c>
      <c r="BC124" s="78">
        <f t="shared" si="6"/>
        <v>0</v>
      </c>
      <c r="BD124" s="78">
        <f t="shared" si="6"/>
        <v>0</v>
      </c>
      <c r="BE124" s="78">
        <f t="shared" si="6"/>
        <v>0</v>
      </c>
      <c r="BF124" s="78">
        <f t="shared" si="6"/>
        <v>0</v>
      </c>
      <c r="BG124" s="78">
        <f t="shared" si="6"/>
        <v>0</v>
      </c>
      <c r="BH124" s="78">
        <f t="shared" si="6"/>
        <v>0</v>
      </c>
      <c r="BI124" s="78">
        <f t="shared" si="6"/>
        <v>0</v>
      </c>
      <c r="BJ124" s="78">
        <f t="shared" si="6"/>
        <v>0</v>
      </c>
      <c r="BK124" s="78">
        <f t="shared" si="6"/>
        <v>0</v>
      </c>
    </row>
    <row r="125" spans="1:69" x14ac:dyDescent="0.2">
      <c r="C125" s="45"/>
      <c r="AD125" s="45"/>
      <c r="AL125" s="78">
        <f>AL124</f>
        <v>0</v>
      </c>
      <c r="AM125" s="78">
        <f>AM124+AL125</f>
        <v>0</v>
      </c>
      <c r="AN125" s="78">
        <f>AN124+AM125</f>
        <v>0</v>
      </c>
      <c r="AO125" s="78">
        <f t="shared" ref="AO125:BK125" si="7">AO124+AN125</f>
        <v>0</v>
      </c>
      <c r="AP125" s="78">
        <f t="shared" si="7"/>
        <v>0</v>
      </c>
      <c r="AQ125" s="78">
        <f t="shared" si="7"/>
        <v>0</v>
      </c>
      <c r="AR125" s="78">
        <f t="shared" si="7"/>
        <v>0</v>
      </c>
      <c r="AS125" s="78">
        <f t="shared" si="7"/>
        <v>0</v>
      </c>
      <c r="AT125" s="78">
        <f t="shared" si="7"/>
        <v>0</v>
      </c>
      <c r="AU125" s="78">
        <f t="shared" si="7"/>
        <v>0</v>
      </c>
      <c r="AV125" s="78">
        <f t="shared" si="7"/>
        <v>0</v>
      </c>
      <c r="AW125" s="78">
        <f t="shared" si="7"/>
        <v>0</v>
      </c>
      <c r="AX125" s="78">
        <f t="shared" si="7"/>
        <v>0</v>
      </c>
      <c r="AY125" s="78">
        <f t="shared" si="7"/>
        <v>0</v>
      </c>
      <c r="AZ125" s="78">
        <f t="shared" si="7"/>
        <v>0</v>
      </c>
      <c r="BA125" s="78">
        <f t="shared" si="7"/>
        <v>0</v>
      </c>
      <c r="BB125" s="78">
        <f t="shared" si="7"/>
        <v>0</v>
      </c>
      <c r="BC125" s="78">
        <f t="shared" si="7"/>
        <v>0</v>
      </c>
      <c r="BD125" s="78">
        <f t="shared" si="7"/>
        <v>0</v>
      </c>
      <c r="BE125" s="78">
        <f t="shared" si="7"/>
        <v>0</v>
      </c>
      <c r="BF125" s="78">
        <f t="shared" si="7"/>
        <v>0</v>
      </c>
      <c r="BG125" s="78">
        <f t="shared" si="7"/>
        <v>0</v>
      </c>
      <c r="BH125" s="78">
        <f t="shared" si="7"/>
        <v>0</v>
      </c>
      <c r="BI125" s="78">
        <f t="shared" si="7"/>
        <v>0</v>
      </c>
      <c r="BJ125" s="78">
        <f t="shared" si="7"/>
        <v>0</v>
      </c>
      <c r="BK125" s="78">
        <f t="shared" si="7"/>
        <v>0</v>
      </c>
    </row>
    <row r="128" spans="1:69" ht="51" thickBot="1" x14ac:dyDescent="0.25">
      <c r="B128" s="71" t="s">
        <v>0</v>
      </c>
      <c r="C128" s="56">
        <v>2025</v>
      </c>
      <c r="D128" s="56">
        <v>2026</v>
      </c>
      <c r="E128" s="56">
        <v>2027</v>
      </c>
      <c r="F128" s="56">
        <v>2028</v>
      </c>
      <c r="G128" s="56">
        <v>2029</v>
      </c>
      <c r="H128" s="56">
        <v>2030</v>
      </c>
      <c r="I128" s="56">
        <v>2031</v>
      </c>
      <c r="J128" s="56">
        <v>2032</v>
      </c>
      <c r="K128" s="56">
        <v>2033</v>
      </c>
      <c r="L128" s="56">
        <v>2034</v>
      </c>
      <c r="M128" s="56">
        <v>2035</v>
      </c>
      <c r="N128" s="56">
        <v>2036</v>
      </c>
      <c r="O128" s="56">
        <v>2037</v>
      </c>
      <c r="P128" s="56">
        <v>2038</v>
      </c>
      <c r="Q128" s="56">
        <v>2039</v>
      </c>
      <c r="R128" s="56">
        <v>2040</v>
      </c>
      <c r="S128" s="56">
        <v>2041</v>
      </c>
      <c r="T128" s="56">
        <v>2042</v>
      </c>
      <c r="U128" s="56">
        <v>2043</v>
      </c>
      <c r="V128" s="56">
        <v>2044</v>
      </c>
      <c r="W128" s="56">
        <v>2045</v>
      </c>
      <c r="X128" s="56">
        <v>2046</v>
      </c>
      <c r="Y128" s="56">
        <v>2047</v>
      </c>
      <c r="Z128" s="56">
        <v>2048</v>
      </c>
      <c r="AA128" s="56">
        <v>2049</v>
      </c>
      <c r="AB128" s="56">
        <v>2050</v>
      </c>
      <c r="AC128" s="61" t="s">
        <v>615</v>
      </c>
    </row>
    <row r="129" spans="2:29" ht="19" x14ac:dyDescent="0.2">
      <c r="B129" s="62" t="s">
        <v>630</v>
      </c>
      <c r="C129" s="213">
        <f>SUM(C6:C17)</f>
        <v>0</v>
      </c>
      <c r="D129" s="213">
        <f t="shared" ref="D129:AA129" si="8">SUM(D6:D17)</f>
        <v>0</v>
      </c>
      <c r="E129" s="213">
        <f t="shared" si="8"/>
        <v>0</v>
      </c>
      <c r="F129" s="213">
        <f t="shared" si="8"/>
        <v>0</v>
      </c>
      <c r="G129" s="213">
        <f t="shared" si="8"/>
        <v>0</v>
      </c>
      <c r="H129" s="213">
        <f t="shared" si="8"/>
        <v>0</v>
      </c>
      <c r="I129" s="213">
        <f t="shared" si="8"/>
        <v>0</v>
      </c>
      <c r="J129" s="213">
        <f t="shared" si="8"/>
        <v>0</v>
      </c>
      <c r="K129" s="213">
        <f t="shared" si="8"/>
        <v>0</v>
      </c>
      <c r="L129" s="213">
        <f t="shared" si="8"/>
        <v>0</v>
      </c>
      <c r="M129" s="213">
        <f t="shared" si="8"/>
        <v>0</v>
      </c>
      <c r="N129" s="213">
        <f t="shared" si="8"/>
        <v>0</v>
      </c>
      <c r="O129" s="213">
        <f t="shared" si="8"/>
        <v>0</v>
      </c>
      <c r="P129" s="213">
        <f t="shared" si="8"/>
        <v>0</v>
      </c>
      <c r="Q129" s="213">
        <f t="shared" si="8"/>
        <v>0</v>
      </c>
      <c r="R129" s="213">
        <f t="shared" si="8"/>
        <v>0</v>
      </c>
      <c r="S129" s="213">
        <f t="shared" si="8"/>
        <v>0</v>
      </c>
      <c r="T129" s="213">
        <f t="shared" si="8"/>
        <v>0</v>
      </c>
      <c r="U129" s="213">
        <f t="shared" si="8"/>
        <v>0</v>
      </c>
      <c r="V129" s="213">
        <f t="shared" si="8"/>
        <v>0</v>
      </c>
      <c r="W129" s="213">
        <f t="shared" si="8"/>
        <v>0</v>
      </c>
      <c r="X129" s="213">
        <f t="shared" si="8"/>
        <v>0</v>
      </c>
      <c r="Y129" s="213">
        <f t="shared" si="8"/>
        <v>0</v>
      </c>
      <c r="Z129" s="213">
        <f t="shared" si="8"/>
        <v>0</v>
      </c>
      <c r="AA129" s="213">
        <f t="shared" si="8"/>
        <v>0</v>
      </c>
      <c r="AB129" s="213">
        <f>SUM(AB6:AB17)</f>
        <v>0</v>
      </c>
      <c r="AC129" s="213">
        <f t="shared" ref="AC129:AC137" si="9">SUM(C129:AB129)</f>
        <v>0</v>
      </c>
    </row>
    <row r="130" spans="2:29" ht="19" x14ac:dyDescent="0.2">
      <c r="B130" s="63" t="s">
        <v>631</v>
      </c>
      <c r="C130" s="213">
        <v>0</v>
      </c>
      <c r="D130" s="213">
        <f t="shared" ref="D130:AB130" si="10">SUM(D18:D28)</f>
        <v>0</v>
      </c>
      <c r="E130" s="213">
        <f t="shared" si="10"/>
        <v>0</v>
      </c>
      <c r="F130" s="213">
        <f t="shared" si="10"/>
        <v>0</v>
      </c>
      <c r="G130" s="213">
        <f t="shared" si="10"/>
        <v>0</v>
      </c>
      <c r="H130" s="213">
        <f t="shared" si="10"/>
        <v>0</v>
      </c>
      <c r="I130" s="213">
        <f t="shared" si="10"/>
        <v>0</v>
      </c>
      <c r="J130" s="213">
        <f t="shared" si="10"/>
        <v>0</v>
      </c>
      <c r="K130" s="213">
        <f t="shared" si="10"/>
        <v>0</v>
      </c>
      <c r="L130" s="213">
        <f t="shared" si="10"/>
        <v>0</v>
      </c>
      <c r="M130" s="213">
        <f t="shared" si="10"/>
        <v>0</v>
      </c>
      <c r="N130" s="213">
        <f t="shared" si="10"/>
        <v>0</v>
      </c>
      <c r="O130" s="213">
        <f t="shared" si="10"/>
        <v>0</v>
      </c>
      <c r="P130" s="213">
        <f t="shared" si="10"/>
        <v>0</v>
      </c>
      <c r="Q130" s="213">
        <f t="shared" si="10"/>
        <v>0</v>
      </c>
      <c r="R130" s="213">
        <f t="shared" si="10"/>
        <v>0</v>
      </c>
      <c r="S130" s="213">
        <f t="shared" si="10"/>
        <v>0</v>
      </c>
      <c r="T130" s="213">
        <f t="shared" si="10"/>
        <v>0</v>
      </c>
      <c r="U130" s="213">
        <f t="shared" si="10"/>
        <v>0</v>
      </c>
      <c r="V130" s="213">
        <f t="shared" si="10"/>
        <v>0</v>
      </c>
      <c r="W130" s="213">
        <f t="shared" si="10"/>
        <v>0</v>
      </c>
      <c r="X130" s="213">
        <f t="shared" si="10"/>
        <v>0</v>
      </c>
      <c r="Y130" s="213">
        <f t="shared" si="10"/>
        <v>0</v>
      </c>
      <c r="Z130" s="213">
        <f t="shared" si="10"/>
        <v>0</v>
      </c>
      <c r="AA130" s="213">
        <f t="shared" si="10"/>
        <v>0</v>
      </c>
      <c r="AB130" s="213">
        <f t="shared" si="10"/>
        <v>0</v>
      </c>
      <c r="AC130" s="213">
        <f t="shared" si="9"/>
        <v>0</v>
      </c>
    </row>
    <row r="131" spans="2:29" ht="19" x14ac:dyDescent="0.2">
      <c r="B131" s="64" t="s">
        <v>632</v>
      </c>
      <c r="C131" s="213">
        <f>SUM(C29:C35)</f>
        <v>0</v>
      </c>
      <c r="D131" s="213">
        <f t="shared" ref="D131:AB131" si="11">SUM(D29:D35)</f>
        <v>0</v>
      </c>
      <c r="E131" s="213">
        <f t="shared" si="11"/>
        <v>0</v>
      </c>
      <c r="F131" s="213">
        <f t="shared" si="11"/>
        <v>0</v>
      </c>
      <c r="G131" s="213">
        <f t="shared" si="11"/>
        <v>0</v>
      </c>
      <c r="H131" s="213">
        <f t="shared" si="11"/>
        <v>0</v>
      </c>
      <c r="I131" s="213">
        <f t="shared" si="11"/>
        <v>0</v>
      </c>
      <c r="J131" s="213">
        <f t="shared" si="11"/>
        <v>0</v>
      </c>
      <c r="K131" s="213">
        <f t="shared" si="11"/>
        <v>0</v>
      </c>
      <c r="L131" s="213">
        <f t="shared" si="11"/>
        <v>0</v>
      </c>
      <c r="M131" s="213">
        <f t="shared" si="11"/>
        <v>0</v>
      </c>
      <c r="N131" s="213">
        <f t="shared" si="11"/>
        <v>0</v>
      </c>
      <c r="O131" s="213">
        <f t="shared" si="11"/>
        <v>0</v>
      </c>
      <c r="P131" s="213">
        <f t="shared" si="11"/>
        <v>0</v>
      </c>
      <c r="Q131" s="213">
        <f t="shared" si="11"/>
        <v>0</v>
      </c>
      <c r="R131" s="213">
        <f t="shared" si="11"/>
        <v>0</v>
      </c>
      <c r="S131" s="213">
        <f t="shared" si="11"/>
        <v>0</v>
      </c>
      <c r="T131" s="213">
        <f t="shared" si="11"/>
        <v>0</v>
      </c>
      <c r="U131" s="213">
        <f t="shared" si="11"/>
        <v>0</v>
      </c>
      <c r="V131" s="213">
        <f t="shared" si="11"/>
        <v>0</v>
      </c>
      <c r="W131" s="213">
        <f t="shared" si="11"/>
        <v>0</v>
      </c>
      <c r="X131" s="213">
        <f t="shared" si="11"/>
        <v>0</v>
      </c>
      <c r="Y131" s="213">
        <f t="shared" si="11"/>
        <v>0</v>
      </c>
      <c r="Z131" s="213">
        <f t="shared" si="11"/>
        <v>0</v>
      </c>
      <c r="AA131" s="213">
        <f t="shared" si="11"/>
        <v>0</v>
      </c>
      <c r="AB131" s="213">
        <f t="shared" si="11"/>
        <v>0</v>
      </c>
      <c r="AC131" s="213">
        <f t="shared" si="9"/>
        <v>0</v>
      </c>
    </row>
    <row r="132" spans="2:29" ht="19" x14ac:dyDescent="0.2">
      <c r="B132" s="65" t="s">
        <v>633</v>
      </c>
      <c r="C132" s="213">
        <f t="shared" ref="C132:AB132" si="12">SUM(C36:C50)</f>
        <v>0</v>
      </c>
      <c r="D132" s="213">
        <f t="shared" si="12"/>
        <v>0</v>
      </c>
      <c r="E132" s="213">
        <f t="shared" si="12"/>
        <v>0</v>
      </c>
      <c r="F132" s="213">
        <f t="shared" si="12"/>
        <v>0</v>
      </c>
      <c r="G132" s="213">
        <f t="shared" si="12"/>
        <v>0</v>
      </c>
      <c r="H132" s="213">
        <f t="shared" si="12"/>
        <v>0</v>
      </c>
      <c r="I132" s="213">
        <f t="shared" si="12"/>
        <v>0</v>
      </c>
      <c r="J132" s="213">
        <f t="shared" si="12"/>
        <v>0</v>
      </c>
      <c r="K132" s="213">
        <f t="shared" si="12"/>
        <v>0</v>
      </c>
      <c r="L132" s="213">
        <f t="shared" si="12"/>
        <v>0</v>
      </c>
      <c r="M132" s="213">
        <f t="shared" si="12"/>
        <v>0</v>
      </c>
      <c r="N132" s="213">
        <f t="shared" si="12"/>
        <v>0</v>
      </c>
      <c r="O132" s="213">
        <f t="shared" si="12"/>
        <v>0</v>
      </c>
      <c r="P132" s="213">
        <f t="shared" si="12"/>
        <v>0</v>
      </c>
      <c r="Q132" s="213">
        <f t="shared" si="12"/>
        <v>0</v>
      </c>
      <c r="R132" s="213">
        <f t="shared" si="12"/>
        <v>0</v>
      </c>
      <c r="S132" s="213">
        <f t="shared" si="12"/>
        <v>0</v>
      </c>
      <c r="T132" s="213">
        <f t="shared" si="12"/>
        <v>0</v>
      </c>
      <c r="U132" s="213">
        <f t="shared" si="12"/>
        <v>0</v>
      </c>
      <c r="V132" s="213">
        <f t="shared" si="12"/>
        <v>0</v>
      </c>
      <c r="W132" s="213">
        <f t="shared" si="12"/>
        <v>0</v>
      </c>
      <c r="X132" s="213">
        <f t="shared" si="12"/>
        <v>0</v>
      </c>
      <c r="Y132" s="213">
        <f t="shared" si="12"/>
        <v>0</v>
      </c>
      <c r="Z132" s="213">
        <f t="shared" si="12"/>
        <v>0</v>
      </c>
      <c r="AA132" s="213">
        <f t="shared" si="12"/>
        <v>0</v>
      </c>
      <c r="AB132" s="213">
        <f t="shared" si="12"/>
        <v>0</v>
      </c>
      <c r="AC132" s="213">
        <f t="shared" si="9"/>
        <v>0</v>
      </c>
    </row>
    <row r="133" spans="2:29" ht="19" x14ac:dyDescent="0.2">
      <c r="B133" s="66" t="s">
        <v>634</v>
      </c>
      <c r="C133" s="213">
        <f t="shared" ref="C133:AB133" si="13">SUM(C51:C62)</f>
        <v>0</v>
      </c>
      <c r="D133" s="213">
        <f t="shared" si="13"/>
        <v>0</v>
      </c>
      <c r="E133" s="213">
        <f t="shared" si="13"/>
        <v>0</v>
      </c>
      <c r="F133" s="213">
        <f t="shared" si="13"/>
        <v>0</v>
      </c>
      <c r="G133" s="213">
        <f t="shared" si="13"/>
        <v>0</v>
      </c>
      <c r="H133" s="213">
        <f t="shared" si="13"/>
        <v>0</v>
      </c>
      <c r="I133" s="213">
        <f t="shared" si="13"/>
        <v>0</v>
      </c>
      <c r="J133" s="213">
        <f t="shared" si="13"/>
        <v>0</v>
      </c>
      <c r="K133" s="213">
        <f t="shared" si="13"/>
        <v>0</v>
      </c>
      <c r="L133" s="213">
        <f t="shared" si="13"/>
        <v>0</v>
      </c>
      <c r="M133" s="213">
        <f t="shared" si="13"/>
        <v>0</v>
      </c>
      <c r="N133" s="213">
        <f t="shared" si="13"/>
        <v>0</v>
      </c>
      <c r="O133" s="213">
        <f t="shared" si="13"/>
        <v>0</v>
      </c>
      <c r="P133" s="213">
        <f t="shared" si="13"/>
        <v>0</v>
      </c>
      <c r="Q133" s="213">
        <f t="shared" si="13"/>
        <v>0</v>
      </c>
      <c r="R133" s="213">
        <f t="shared" si="13"/>
        <v>0</v>
      </c>
      <c r="S133" s="213">
        <f t="shared" si="13"/>
        <v>0</v>
      </c>
      <c r="T133" s="213">
        <f t="shared" si="13"/>
        <v>0</v>
      </c>
      <c r="U133" s="213">
        <f t="shared" si="13"/>
        <v>0</v>
      </c>
      <c r="V133" s="213">
        <f t="shared" si="13"/>
        <v>0</v>
      </c>
      <c r="W133" s="213">
        <f t="shared" si="13"/>
        <v>0</v>
      </c>
      <c r="X133" s="213">
        <f t="shared" si="13"/>
        <v>0</v>
      </c>
      <c r="Y133" s="213">
        <f t="shared" si="13"/>
        <v>0</v>
      </c>
      <c r="Z133" s="213">
        <f t="shared" si="13"/>
        <v>0</v>
      </c>
      <c r="AA133" s="213">
        <f t="shared" si="13"/>
        <v>0</v>
      </c>
      <c r="AB133" s="213">
        <f t="shared" si="13"/>
        <v>0</v>
      </c>
      <c r="AC133" s="213">
        <f t="shared" si="9"/>
        <v>0</v>
      </c>
    </row>
    <row r="134" spans="2:29" ht="19" x14ac:dyDescent="0.2">
      <c r="B134" s="67" t="s">
        <v>635</v>
      </c>
      <c r="C134" s="213">
        <f t="shared" ref="C134:AB134" si="14">SUM(C63:C75)</f>
        <v>0</v>
      </c>
      <c r="D134" s="213">
        <f t="shared" si="14"/>
        <v>0</v>
      </c>
      <c r="E134" s="213">
        <f t="shared" si="14"/>
        <v>0</v>
      </c>
      <c r="F134" s="213">
        <f t="shared" si="14"/>
        <v>0</v>
      </c>
      <c r="G134" s="213">
        <f t="shared" si="14"/>
        <v>0</v>
      </c>
      <c r="H134" s="213">
        <f t="shared" si="14"/>
        <v>0</v>
      </c>
      <c r="I134" s="213">
        <f t="shared" si="14"/>
        <v>0</v>
      </c>
      <c r="J134" s="213">
        <f t="shared" si="14"/>
        <v>0</v>
      </c>
      <c r="K134" s="213">
        <f t="shared" si="14"/>
        <v>0</v>
      </c>
      <c r="L134" s="213">
        <f t="shared" si="14"/>
        <v>0</v>
      </c>
      <c r="M134" s="213">
        <f t="shared" si="14"/>
        <v>0</v>
      </c>
      <c r="N134" s="213">
        <f t="shared" si="14"/>
        <v>0</v>
      </c>
      <c r="O134" s="213">
        <f t="shared" si="14"/>
        <v>0</v>
      </c>
      <c r="P134" s="213">
        <f t="shared" si="14"/>
        <v>0</v>
      </c>
      <c r="Q134" s="213">
        <f t="shared" si="14"/>
        <v>0</v>
      </c>
      <c r="R134" s="213">
        <f t="shared" si="14"/>
        <v>0</v>
      </c>
      <c r="S134" s="213">
        <f t="shared" si="14"/>
        <v>0</v>
      </c>
      <c r="T134" s="213">
        <f t="shared" si="14"/>
        <v>0</v>
      </c>
      <c r="U134" s="213">
        <f t="shared" si="14"/>
        <v>0</v>
      </c>
      <c r="V134" s="213">
        <f t="shared" si="14"/>
        <v>0</v>
      </c>
      <c r="W134" s="213">
        <f t="shared" si="14"/>
        <v>0</v>
      </c>
      <c r="X134" s="213">
        <f t="shared" si="14"/>
        <v>0</v>
      </c>
      <c r="Y134" s="213">
        <f t="shared" si="14"/>
        <v>0</v>
      </c>
      <c r="Z134" s="213">
        <f t="shared" si="14"/>
        <v>0</v>
      </c>
      <c r="AA134" s="213">
        <f t="shared" si="14"/>
        <v>0</v>
      </c>
      <c r="AB134" s="213">
        <f t="shared" si="14"/>
        <v>0</v>
      </c>
      <c r="AC134" s="213">
        <f t="shared" si="9"/>
        <v>0</v>
      </c>
    </row>
    <row r="135" spans="2:29" ht="19" x14ac:dyDescent="0.2">
      <c r="B135" s="68" t="s">
        <v>636</v>
      </c>
      <c r="C135" s="213">
        <v>0</v>
      </c>
      <c r="D135" s="213">
        <f t="shared" ref="D135:AB135" si="15">SUM(D76:D86)</f>
        <v>0</v>
      </c>
      <c r="E135" s="213">
        <f t="shared" si="15"/>
        <v>0</v>
      </c>
      <c r="F135" s="213">
        <f t="shared" si="15"/>
        <v>0</v>
      </c>
      <c r="G135" s="213">
        <f t="shared" si="15"/>
        <v>0</v>
      </c>
      <c r="H135" s="213">
        <f t="shared" si="15"/>
        <v>0</v>
      </c>
      <c r="I135" s="213">
        <f t="shared" si="15"/>
        <v>0</v>
      </c>
      <c r="J135" s="213">
        <f t="shared" si="15"/>
        <v>0</v>
      </c>
      <c r="K135" s="213">
        <f t="shared" si="15"/>
        <v>0</v>
      </c>
      <c r="L135" s="213">
        <f t="shared" si="15"/>
        <v>0</v>
      </c>
      <c r="M135" s="213">
        <f t="shared" si="15"/>
        <v>0</v>
      </c>
      <c r="N135" s="213">
        <f t="shared" si="15"/>
        <v>0</v>
      </c>
      <c r="O135" s="213">
        <f t="shared" si="15"/>
        <v>0</v>
      </c>
      <c r="P135" s="213">
        <f t="shared" si="15"/>
        <v>0</v>
      </c>
      <c r="Q135" s="213">
        <f t="shared" si="15"/>
        <v>0</v>
      </c>
      <c r="R135" s="213">
        <f t="shared" si="15"/>
        <v>0</v>
      </c>
      <c r="S135" s="213">
        <f t="shared" si="15"/>
        <v>0</v>
      </c>
      <c r="T135" s="213">
        <f t="shared" si="15"/>
        <v>0</v>
      </c>
      <c r="U135" s="213">
        <f t="shared" si="15"/>
        <v>0</v>
      </c>
      <c r="V135" s="213">
        <f t="shared" si="15"/>
        <v>0</v>
      </c>
      <c r="W135" s="213">
        <f t="shared" si="15"/>
        <v>0</v>
      </c>
      <c r="X135" s="213">
        <f t="shared" si="15"/>
        <v>0</v>
      </c>
      <c r="Y135" s="213">
        <f t="shared" si="15"/>
        <v>0</v>
      </c>
      <c r="Z135" s="213">
        <f t="shared" si="15"/>
        <v>0</v>
      </c>
      <c r="AA135" s="213">
        <f t="shared" si="15"/>
        <v>0</v>
      </c>
      <c r="AB135" s="213">
        <f t="shared" si="15"/>
        <v>0</v>
      </c>
      <c r="AC135" s="213">
        <f t="shared" si="9"/>
        <v>0</v>
      </c>
    </row>
    <row r="136" spans="2:29" ht="19" x14ac:dyDescent="0.2">
      <c r="B136" s="69" t="s">
        <v>637</v>
      </c>
      <c r="C136" s="213">
        <f t="shared" ref="C136:AB136" si="16">SUM(C87:C102)</f>
        <v>0</v>
      </c>
      <c r="D136" s="213">
        <f t="shared" si="16"/>
        <v>0</v>
      </c>
      <c r="E136" s="213">
        <f t="shared" si="16"/>
        <v>0</v>
      </c>
      <c r="F136" s="213">
        <f t="shared" si="16"/>
        <v>0</v>
      </c>
      <c r="G136" s="213">
        <f t="shared" si="16"/>
        <v>0</v>
      </c>
      <c r="H136" s="213">
        <f t="shared" si="16"/>
        <v>0</v>
      </c>
      <c r="I136" s="213">
        <f t="shared" si="16"/>
        <v>0</v>
      </c>
      <c r="J136" s="213">
        <f t="shared" si="16"/>
        <v>0</v>
      </c>
      <c r="K136" s="213">
        <f t="shared" si="16"/>
        <v>0</v>
      </c>
      <c r="L136" s="213">
        <f t="shared" si="16"/>
        <v>0</v>
      </c>
      <c r="M136" s="213">
        <f t="shared" si="16"/>
        <v>0</v>
      </c>
      <c r="N136" s="213">
        <f t="shared" si="16"/>
        <v>0</v>
      </c>
      <c r="O136" s="213">
        <f t="shared" si="16"/>
        <v>0</v>
      </c>
      <c r="P136" s="213">
        <f t="shared" si="16"/>
        <v>0</v>
      </c>
      <c r="Q136" s="213">
        <f t="shared" si="16"/>
        <v>0</v>
      </c>
      <c r="R136" s="213">
        <f t="shared" si="16"/>
        <v>0</v>
      </c>
      <c r="S136" s="213">
        <f t="shared" si="16"/>
        <v>0</v>
      </c>
      <c r="T136" s="213">
        <f t="shared" si="16"/>
        <v>0</v>
      </c>
      <c r="U136" s="213">
        <f t="shared" si="16"/>
        <v>0</v>
      </c>
      <c r="V136" s="213">
        <f t="shared" si="16"/>
        <v>0</v>
      </c>
      <c r="W136" s="213">
        <f t="shared" si="16"/>
        <v>0</v>
      </c>
      <c r="X136" s="213">
        <f t="shared" si="16"/>
        <v>0</v>
      </c>
      <c r="Y136" s="213">
        <f t="shared" si="16"/>
        <v>0</v>
      </c>
      <c r="Z136" s="213">
        <f t="shared" si="16"/>
        <v>0</v>
      </c>
      <c r="AA136" s="213">
        <f t="shared" si="16"/>
        <v>0</v>
      </c>
      <c r="AB136" s="213">
        <f t="shared" si="16"/>
        <v>0</v>
      </c>
      <c r="AC136" s="213">
        <f t="shared" si="9"/>
        <v>0</v>
      </c>
    </row>
    <row r="137" spans="2:29" ht="19" x14ac:dyDescent="0.2">
      <c r="B137" s="70" t="s">
        <v>638</v>
      </c>
      <c r="C137" s="213">
        <v>0</v>
      </c>
      <c r="D137" s="213">
        <f t="shared" ref="D137:AB137" si="17">SUM(D103:D122)</f>
        <v>0</v>
      </c>
      <c r="E137" s="213">
        <f t="shared" si="17"/>
        <v>0</v>
      </c>
      <c r="F137" s="213">
        <f t="shared" si="17"/>
        <v>0</v>
      </c>
      <c r="G137" s="213">
        <f t="shared" si="17"/>
        <v>0</v>
      </c>
      <c r="H137" s="213">
        <f t="shared" si="17"/>
        <v>0</v>
      </c>
      <c r="I137" s="213">
        <f t="shared" si="17"/>
        <v>0</v>
      </c>
      <c r="J137" s="213">
        <f t="shared" si="17"/>
        <v>0</v>
      </c>
      <c r="K137" s="213">
        <f t="shared" si="17"/>
        <v>0</v>
      </c>
      <c r="L137" s="213">
        <f t="shared" si="17"/>
        <v>0</v>
      </c>
      <c r="M137" s="213">
        <f t="shared" si="17"/>
        <v>0</v>
      </c>
      <c r="N137" s="213">
        <f t="shared" si="17"/>
        <v>0</v>
      </c>
      <c r="O137" s="213">
        <f t="shared" si="17"/>
        <v>0</v>
      </c>
      <c r="P137" s="213">
        <f t="shared" si="17"/>
        <v>0</v>
      </c>
      <c r="Q137" s="213">
        <f t="shared" si="17"/>
        <v>0</v>
      </c>
      <c r="R137" s="213">
        <f t="shared" si="17"/>
        <v>0</v>
      </c>
      <c r="S137" s="213">
        <f t="shared" si="17"/>
        <v>0</v>
      </c>
      <c r="T137" s="213">
        <f t="shared" si="17"/>
        <v>0</v>
      </c>
      <c r="U137" s="213">
        <f t="shared" si="17"/>
        <v>0</v>
      </c>
      <c r="V137" s="213">
        <f t="shared" si="17"/>
        <v>0</v>
      </c>
      <c r="W137" s="213">
        <f t="shared" si="17"/>
        <v>0</v>
      </c>
      <c r="X137" s="213">
        <f t="shared" si="17"/>
        <v>0</v>
      </c>
      <c r="Y137" s="213">
        <f t="shared" si="17"/>
        <v>0</v>
      </c>
      <c r="Z137" s="213">
        <f t="shared" si="17"/>
        <v>0</v>
      </c>
      <c r="AA137" s="213">
        <f t="shared" si="17"/>
        <v>0</v>
      </c>
      <c r="AB137" s="213">
        <f t="shared" si="17"/>
        <v>0</v>
      </c>
      <c r="AC137" s="213">
        <f t="shared" si="9"/>
        <v>0</v>
      </c>
    </row>
    <row r="138" spans="2:29" ht="19" x14ac:dyDescent="0.2">
      <c r="B138" s="77" t="s">
        <v>639</v>
      </c>
      <c r="C138" s="79">
        <f>AL125</f>
        <v>0</v>
      </c>
      <c r="D138" s="79">
        <f t="shared" ref="D138:AB138" si="18">AM125</f>
        <v>0</v>
      </c>
      <c r="E138" s="79">
        <f t="shared" si="18"/>
        <v>0</v>
      </c>
      <c r="F138" s="79">
        <f t="shared" si="18"/>
        <v>0</v>
      </c>
      <c r="G138" s="79">
        <f t="shared" si="18"/>
        <v>0</v>
      </c>
      <c r="H138" s="79">
        <f t="shared" si="18"/>
        <v>0</v>
      </c>
      <c r="I138" s="79">
        <f t="shared" si="18"/>
        <v>0</v>
      </c>
      <c r="J138" s="79">
        <f t="shared" si="18"/>
        <v>0</v>
      </c>
      <c r="K138" s="79">
        <f t="shared" si="18"/>
        <v>0</v>
      </c>
      <c r="L138" s="79">
        <f t="shared" si="18"/>
        <v>0</v>
      </c>
      <c r="M138" s="79">
        <f t="shared" si="18"/>
        <v>0</v>
      </c>
      <c r="N138" s="79">
        <f t="shared" si="18"/>
        <v>0</v>
      </c>
      <c r="O138" s="79">
        <f t="shared" si="18"/>
        <v>0</v>
      </c>
      <c r="P138" s="79">
        <f t="shared" si="18"/>
        <v>0</v>
      </c>
      <c r="Q138" s="79">
        <f t="shared" si="18"/>
        <v>0</v>
      </c>
      <c r="R138" s="79">
        <f t="shared" si="18"/>
        <v>0</v>
      </c>
      <c r="S138" s="79">
        <f t="shared" si="18"/>
        <v>0</v>
      </c>
      <c r="T138" s="79">
        <f t="shared" si="18"/>
        <v>0</v>
      </c>
      <c r="U138" s="79">
        <f t="shared" si="18"/>
        <v>0</v>
      </c>
      <c r="V138" s="79">
        <f t="shared" si="18"/>
        <v>0</v>
      </c>
      <c r="W138" s="79">
        <f t="shared" si="18"/>
        <v>0</v>
      </c>
      <c r="X138" s="79">
        <f t="shared" si="18"/>
        <v>0</v>
      </c>
      <c r="Y138" s="79">
        <f t="shared" si="18"/>
        <v>0</v>
      </c>
      <c r="Z138" s="79">
        <f t="shared" si="18"/>
        <v>0</v>
      </c>
      <c r="AA138" s="79">
        <f t="shared" si="18"/>
        <v>0</v>
      </c>
      <c r="AB138" s="79">
        <f t="shared" si="18"/>
        <v>0</v>
      </c>
      <c r="AC138" s="46"/>
    </row>
    <row r="140" spans="2:29" ht="21" x14ac:dyDescent="0.25">
      <c r="B140" s="427" t="s">
        <v>921</v>
      </c>
      <c r="C140" s="213">
        <f>('Prepare Gantt Chart'!$G$123*1000000000)*'Prepare Gantt Chart'!$J$123</f>
        <v>0</v>
      </c>
      <c r="D140" s="213">
        <f>('Prepare Gantt Chart'!$G$123*1000000000)*'Prepare Gantt Chart'!$J$123</f>
        <v>0</v>
      </c>
      <c r="E140" s="213">
        <f>('Prepare Gantt Chart'!$G$123*1000000000)*'Prepare Gantt Chart'!$J$123</f>
        <v>0</v>
      </c>
      <c r="F140" s="213">
        <f>('Prepare Gantt Chart'!$G$123*1000000000)*'Prepare Gantt Chart'!$J$123</f>
        <v>0</v>
      </c>
      <c r="G140" s="213">
        <f>('Prepare Gantt Chart'!$G$123*1000000000)*'Prepare Gantt Chart'!$J$123</f>
        <v>0</v>
      </c>
      <c r="H140" s="213">
        <f>('Prepare Gantt Chart'!$G$123*1000000000)*'Prepare Gantt Chart'!$J$123</f>
        <v>0</v>
      </c>
      <c r="I140" s="213">
        <f>('Prepare Gantt Chart'!$G$123*1000000000)*'Prepare Gantt Chart'!$J$123</f>
        <v>0</v>
      </c>
      <c r="J140" s="213">
        <f>('Prepare Gantt Chart'!$G$123*1000000000)*'Prepare Gantt Chart'!$J$123</f>
        <v>0</v>
      </c>
      <c r="K140" s="213">
        <f>('Prepare Gantt Chart'!$G$123*1000000000)*'Prepare Gantt Chart'!$J$123</f>
        <v>0</v>
      </c>
      <c r="L140" s="213">
        <f>('Prepare Gantt Chart'!$G$123*1000000000)*'Prepare Gantt Chart'!$J$123</f>
        <v>0</v>
      </c>
      <c r="M140" s="213">
        <f>('Prepare Gantt Chart'!$G$123*1000000000)*'Prepare Gantt Chart'!$J$123</f>
        <v>0</v>
      </c>
      <c r="N140" s="213">
        <f>('Prepare Gantt Chart'!$G$123*1000000000)*'Prepare Gantt Chart'!$J$123</f>
        <v>0</v>
      </c>
      <c r="O140" s="213">
        <f>('Prepare Gantt Chart'!$G$123*1000000000)*'Prepare Gantt Chart'!$J$123</f>
        <v>0</v>
      </c>
      <c r="P140" s="213">
        <f>('Prepare Gantt Chart'!$G$123*1000000000)*'Prepare Gantt Chart'!$J$123</f>
        <v>0</v>
      </c>
      <c r="Q140" s="213">
        <f>('Prepare Gantt Chart'!$G$123*1000000000)*'Prepare Gantt Chart'!$J$123</f>
        <v>0</v>
      </c>
      <c r="R140" s="213">
        <f>('Prepare Gantt Chart'!$G$123*1000000000)*'Prepare Gantt Chart'!$J$123</f>
        <v>0</v>
      </c>
      <c r="S140" s="213">
        <f>('Prepare Gantt Chart'!$G$123*1000000000)*'Prepare Gantt Chart'!$J$123</f>
        <v>0</v>
      </c>
      <c r="T140" s="213">
        <f>('Prepare Gantt Chart'!$G$123*1000000000)*'Prepare Gantt Chart'!$J$123</f>
        <v>0</v>
      </c>
      <c r="U140" s="213">
        <f>('Prepare Gantt Chart'!$G$123*1000000000)*'Prepare Gantt Chart'!$J$123</f>
        <v>0</v>
      </c>
      <c r="V140" s="213">
        <f>('Prepare Gantt Chart'!$G$123*1000000000)*'Prepare Gantt Chart'!$J$123</f>
        <v>0</v>
      </c>
      <c r="W140" s="213">
        <f>('Prepare Gantt Chart'!$G$123*1000000000)*'Prepare Gantt Chart'!$J$123</f>
        <v>0</v>
      </c>
      <c r="X140" s="213">
        <f>('Prepare Gantt Chart'!$G$123*1000000000)*'Prepare Gantt Chart'!$J$123</f>
        <v>0</v>
      </c>
      <c r="Y140" s="213">
        <f>('Prepare Gantt Chart'!$G$123*1000000000)*'Prepare Gantt Chart'!$J$123</f>
        <v>0</v>
      </c>
      <c r="Z140" s="213">
        <f>('Prepare Gantt Chart'!$G$123*1000000000)*'Prepare Gantt Chart'!$J$123</f>
        <v>0</v>
      </c>
      <c r="AA140" s="213">
        <f>('Prepare Gantt Chart'!$G$123*1000000000)*'Prepare Gantt Chart'!$J$123</f>
        <v>0</v>
      </c>
      <c r="AB140" s="213">
        <f>('Prepare Gantt Chart'!$G$123*1000000000)*'Prepare Gantt Chart'!$J$123</f>
        <v>0</v>
      </c>
    </row>
    <row r="141" spans="2:29" ht="21" x14ac:dyDescent="0.25">
      <c r="B141" s="427" t="s">
        <v>922</v>
      </c>
      <c r="C141" s="213">
        <f>$G$1*1000000000</f>
        <v>0</v>
      </c>
      <c r="D141" s="213">
        <f t="shared" ref="D141:AB141" si="19">$G$1*1000000000</f>
        <v>0</v>
      </c>
      <c r="E141" s="213">
        <f t="shared" si="19"/>
        <v>0</v>
      </c>
      <c r="F141" s="213">
        <f t="shared" si="19"/>
        <v>0</v>
      </c>
      <c r="G141" s="213">
        <f t="shared" si="19"/>
        <v>0</v>
      </c>
      <c r="H141" s="213">
        <f t="shared" si="19"/>
        <v>0</v>
      </c>
      <c r="I141" s="213">
        <f t="shared" si="19"/>
        <v>0</v>
      </c>
      <c r="J141" s="213">
        <f t="shared" si="19"/>
        <v>0</v>
      </c>
      <c r="K141" s="213">
        <f t="shared" si="19"/>
        <v>0</v>
      </c>
      <c r="L141" s="213">
        <f t="shared" si="19"/>
        <v>0</v>
      </c>
      <c r="M141" s="213">
        <f t="shared" si="19"/>
        <v>0</v>
      </c>
      <c r="N141" s="213">
        <f t="shared" si="19"/>
        <v>0</v>
      </c>
      <c r="O141" s="213">
        <f t="shared" si="19"/>
        <v>0</v>
      </c>
      <c r="P141" s="213">
        <f t="shared" si="19"/>
        <v>0</v>
      </c>
      <c r="Q141" s="213">
        <f t="shared" si="19"/>
        <v>0</v>
      </c>
      <c r="R141" s="213">
        <f t="shared" si="19"/>
        <v>0</v>
      </c>
      <c r="S141" s="213">
        <f t="shared" si="19"/>
        <v>0</v>
      </c>
      <c r="T141" s="213">
        <f t="shared" si="19"/>
        <v>0</v>
      </c>
      <c r="U141" s="213">
        <f t="shared" si="19"/>
        <v>0</v>
      </c>
      <c r="V141" s="213">
        <f t="shared" si="19"/>
        <v>0</v>
      </c>
      <c r="W141" s="213">
        <f t="shared" si="19"/>
        <v>0</v>
      </c>
      <c r="X141" s="213">
        <f t="shared" si="19"/>
        <v>0</v>
      </c>
      <c r="Y141" s="213">
        <f t="shared" si="19"/>
        <v>0</v>
      </c>
      <c r="Z141" s="213">
        <f t="shared" si="19"/>
        <v>0</v>
      </c>
      <c r="AA141" s="213">
        <f t="shared" si="19"/>
        <v>0</v>
      </c>
      <c r="AB141" s="213">
        <f t="shared" si="19"/>
        <v>0</v>
      </c>
    </row>
    <row r="142" spans="2:29" ht="21" x14ac:dyDescent="0.25">
      <c r="B142" s="215" t="s">
        <v>919</v>
      </c>
      <c r="C142" s="213">
        <f>SUM(C129:C137)</f>
        <v>0</v>
      </c>
      <c r="D142" s="213">
        <f t="shared" ref="D142:AB142" si="20">SUM(D129:D137)</f>
        <v>0</v>
      </c>
      <c r="E142" s="213">
        <f t="shared" si="20"/>
        <v>0</v>
      </c>
      <c r="F142" s="213">
        <f t="shared" si="20"/>
        <v>0</v>
      </c>
      <c r="G142" s="213">
        <f t="shared" si="20"/>
        <v>0</v>
      </c>
      <c r="H142" s="213">
        <f t="shared" si="20"/>
        <v>0</v>
      </c>
      <c r="I142" s="213">
        <f t="shared" si="20"/>
        <v>0</v>
      </c>
      <c r="J142" s="213">
        <f t="shared" si="20"/>
        <v>0</v>
      </c>
      <c r="K142" s="213">
        <f t="shared" si="20"/>
        <v>0</v>
      </c>
      <c r="L142" s="213">
        <f t="shared" si="20"/>
        <v>0</v>
      </c>
      <c r="M142" s="213">
        <f t="shared" si="20"/>
        <v>0</v>
      </c>
      <c r="N142" s="213">
        <f t="shared" si="20"/>
        <v>0</v>
      </c>
      <c r="O142" s="213">
        <f t="shared" si="20"/>
        <v>0</v>
      </c>
      <c r="P142" s="213">
        <f t="shared" si="20"/>
        <v>0</v>
      </c>
      <c r="Q142" s="213">
        <f t="shared" si="20"/>
        <v>0</v>
      </c>
      <c r="R142" s="213">
        <f t="shared" si="20"/>
        <v>0</v>
      </c>
      <c r="S142" s="213">
        <f t="shared" si="20"/>
        <v>0</v>
      </c>
      <c r="T142" s="213">
        <f t="shared" si="20"/>
        <v>0</v>
      </c>
      <c r="U142" s="213">
        <f t="shared" si="20"/>
        <v>0</v>
      </c>
      <c r="V142" s="213">
        <f t="shared" si="20"/>
        <v>0</v>
      </c>
      <c r="W142" s="213">
        <f t="shared" si="20"/>
        <v>0</v>
      </c>
      <c r="X142" s="213">
        <f t="shared" si="20"/>
        <v>0</v>
      </c>
      <c r="Y142" s="213">
        <f t="shared" si="20"/>
        <v>0</v>
      </c>
      <c r="Z142" s="213">
        <f t="shared" si="20"/>
        <v>0</v>
      </c>
      <c r="AA142" s="213">
        <f t="shared" si="20"/>
        <v>0</v>
      </c>
      <c r="AB142" s="213">
        <f t="shared" si="20"/>
        <v>0</v>
      </c>
    </row>
    <row r="143" spans="2:29" ht="21" x14ac:dyDescent="0.25">
      <c r="B143" s="214" t="s">
        <v>918</v>
      </c>
      <c r="C143" s="426">
        <f t="shared" ref="C143:AB143" si="21">AL124</f>
        <v>0</v>
      </c>
      <c r="D143" s="426">
        <f t="shared" si="21"/>
        <v>0</v>
      </c>
      <c r="E143" s="426">
        <f t="shared" si="21"/>
        <v>0</v>
      </c>
      <c r="F143" s="426">
        <f t="shared" si="21"/>
        <v>0</v>
      </c>
      <c r="G143" s="426">
        <f t="shared" si="21"/>
        <v>0</v>
      </c>
      <c r="H143" s="426">
        <f t="shared" si="21"/>
        <v>0</v>
      </c>
      <c r="I143" s="426">
        <f t="shared" si="21"/>
        <v>0</v>
      </c>
      <c r="J143" s="426">
        <f t="shared" si="21"/>
        <v>0</v>
      </c>
      <c r="K143" s="426">
        <f t="shared" si="21"/>
        <v>0</v>
      </c>
      <c r="L143" s="426">
        <f t="shared" si="21"/>
        <v>0</v>
      </c>
      <c r="M143" s="426">
        <f t="shared" si="21"/>
        <v>0</v>
      </c>
      <c r="N143" s="426">
        <f t="shared" si="21"/>
        <v>0</v>
      </c>
      <c r="O143" s="426">
        <f t="shared" si="21"/>
        <v>0</v>
      </c>
      <c r="P143" s="426">
        <f t="shared" si="21"/>
        <v>0</v>
      </c>
      <c r="Q143" s="426">
        <f t="shared" si="21"/>
        <v>0</v>
      </c>
      <c r="R143" s="426">
        <f t="shared" si="21"/>
        <v>0</v>
      </c>
      <c r="S143" s="426">
        <f t="shared" si="21"/>
        <v>0</v>
      </c>
      <c r="T143" s="426">
        <f t="shared" si="21"/>
        <v>0</v>
      </c>
      <c r="U143" s="426">
        <f t="shared" si="21"/>
        <v>0</v>
      </c>
      <c r="V143" s="426">
        <f t="shared" si="21"/>
        <v>0</v>
      </c>
      <c r="W143" s="426">
        <f t="shared" si="21"/>
        <v>0</v>
      </c>
      <c r="X143" s="426">
        <f t="shared" si="21"/>
        <v>0</v>
      </c>
      <c r="Y143" s="426">
        <f t="shared" si="21"/>
        <v>0</v>
      </c>
      <c r="Z143" s="426">
        <f t="shared" si="21"/>
        <v>0</v>
      </c>
      <c r="AA143" s="426">
        <f t="shared" si="21"/>
        <v>0</v>
      </c>
      <c r="AB143" s="426">
        <f t="shared" si="21"/>
        <v>0</v>
      </c>
      <c r="AC143" s="78"/>
    </row>
    <row r="144" spans="2:29" x14ac:dyDescent="0.2">
      <c r="C144" s="78"/>
    </row>
    <row r="145" spans="3:3" x14ac:dyDescent="0.2">
      <c r="C145" s="78"/>
    </row>
    <row r="146" spans="3:3" x14ac:dyDescent="0.2">
      <c r="C146" s="78"/>
    </row>
  </sheetData>
  <sheetProtection algorithmName="SHA-512" hashValue="Ea++sOHeDmEldOAx9Ys4SJrqEo7d3fLCiZJr32KsxEuCvzBVzIJNmMBUm9dtLBsQ8pQ3CRGQcK4UNFxZbaL/Kw==" saltValue="Xvm3B5+ITMkybM3TwHHtcw==" spinCount="100000" sheet="1" objects="1" scenarios="1" selectLockedCells="1" selectUnlockedCells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E2788-C7A7-41B5-AF31-FEC698BADCB3}">
  <dimension ref="A1:AI323"/>
  <sheetViews>
    <sheetView showGridLines="0" zoomScale="35" zoomScaleNormal="35" workbookViewId="0">
      <selection activeCell="A2" sqref="A2"/>
    </sheetView>
  </sheetViews>
  <sheetFormatPr baseColWidth="10" defaultColWidth="8.6640625" defaultRowHeight="10.5" customHeight="1" x14ac:dyDescent="0.2"/>
  <cols>
    <col min="1" max="1" width="1.5" customWidth="1"/>
    <col min="2" max="2" width="7.5" style="2" hidden="1" customWidth="1"/>
    <col min="3" max="3" width="7.83203125" style="193" bestFit="1" customWidth="1"/>
    <col min="4" max="4" width="0.83203125" style="1" customWidth="1"/>
    <col min="5" max="5" width="2.83203125" style="1" hidden="1" customWidth="1"/>
    <col min="6" max="9" width="2.83203125" style="1" customWidth="1"/>
    <col min="10" max="31" width="2.83203125" customWidth="1"/>
    <col min="32" max="32" width="3.5" hidden="1" customWidth="1"/>
    <col min="33" max="33" width="0.83203125" customWidth="1"/>
    <col min="34" max="34" width="64.1640625" style="2" bestFit="1" customWidth="1"/>
    <col min="35" max="35" width="2.5" customWidth="1"/>
    <col min="36" max="36" width="8.6640625" style="192"/>
    <col min="37" max="37" width="8.5" style="192" customWidth="1"/>
    <col min="38" max="38" width="8.1640625" style="192" customWidth="1"/>
    <col min="39" max="39" width="5.5" style="192" customWidth="1"/>
    <col min="40" max="16384" width="8.6640625" style="192"/>
  </cols>
  <sheetData>
    <row r="1" spans="1:35" ht="47.25" customHeight="1" x14ac:dyDescent="0.2">
      <c r="B1" s="459"/>
      <c r="C1" s="459"/>
      <c r="D1"/>
      <c r="E1"/>
      <c r="F1"/>
      <c r="G1"/>
      <c r="H1"/>
      <c r="I1"/>
      <c r="AH1"/>
    </row>
    <row r="2" spans="1:35" s="191" customFormat="1" ht="15" customHeight="1" thickBot="1" x14ac:dyDescent="0.2">
      <c r="A2" s="2"/>
      <c r="B2" s="2"/>
      <c r="C2" s="193"/>
      <c r="D2" s="2"/>
      <c r="E2" s="194"/>
      <c r="F2" s="195">
        <v>25</v>
      </c>
      <c r="G2" s="194"/>
      <c r="H2" s="194"/>
      <c r="I2" s="194"/>
      <c r="J2" s="194"/>
      <c r="K2" s="195">
        <v>30</v>
      </c>
      <c r="L2" s="194"/>
      <c r="M2" s="194"/>
      <c r="N2" s="194"/>
      <c r="O2" s="194"/>
      <c r="P2" s="195">
        <v>35</v>
      </c>
      <c r="Q2" s="194"/>
      <c r="R2" s="194"/>
      <c r="S2" s="194"/>
      <c r="T2" s="194"/>
      <c r="U2" s="195">
        <v>40</v>
      </c>
      <c r="V2" s="194"/>
      <c r="W2" s="194"/>
      <c r="X2" s="194"/>
      <c r="Y2" s="194"/>
      <c r="Z2" s="195">
        <v>45</v>
      </c>
      <c r="AA2" s="194"/>
      <c r="AB2" s="194"/>
      <c r="AC2" s="194"/>
      <c r="AD2" s="194"/>
      <c r="AE2" s="195">
        <v>50</v>
      </c>
      <c r="AF2" s="2"/>
      <c r="AG2" s="2"/>
      <c r="AH2" s="2"/>
      <c r="AI2" s="2"/>
    </row>
    <row r="3" spans="1:35" ht="4" customHeight="1" x14ac:dyDescent="0.2"/>
    <row r="4" spans="1:35" ht="12" customHeight="1" x14ac:dyDescent="0.2">
      <c r="A4" s="196">
        <f>'Prepare Gantt Chart'!C5</f>
        <v>1</v>
      </c>
      <c r="C4" s="2" t="str">
        <f>'Prepare Gantt Chart'!E5</f>
        <v>OCN_01</v>
      </c>
      <c r="D4"/>
      <c r="E4" s="197"/>
      <c r="F4" s="198"/>
      <c r="G4" s="199"/>
      <c r="H4" s="200"/>
      <c r="I4" s="200"/>
      <c r="J4" s="200"/>
      <c r="K4" s="201"/>
      <c r="L4" s="202"/>
      <c r="M4" s="200"/>
      <c r="N4" s="200"/>
      <c r="O4" s="200"/>
      <c r="P4" s="201"/>
      <c r="Q4" s="202"/>
      <c r="R4" s="200"/>
      <c r="S4" s="200"/>
      <c r="T4" s="200"/>
      <c r="U4" s="201"/>
      <c r="V4" s="202"/>
      <c r="W4" s="200"/>
      <c r="X4" s="200"/>
      <c r="Y4" s="200"/>
      <c r="Z4" s="201"/>
      <c r="AA4" s="202"/>
      <c r="AB4" s="200"/>
      <c r="AC4" s="200"/>
      <c r="AD4" s="200"/>
      <c r="AE4" s="200"/>
      <c r="AF4" s="197" t="str">
        <f>IF('Prepare Gantt Chart'!$M5=2051,"●","")</f>
        <v/>
      </c>
      <c r="AG4" s="203"/>
      <c r="AH4" s="2" t="str">
        <f>'Prepare Gantt Chart'!F5</f>
        <v>Enhance sustainable marine area conservation</v>
      </c>
    </row>
    <row r="5" spans="1:35" ht="12" customHeight="1" x14ac:dyDescent="0.2">
      <c r="A5" s="196">
        <f>'Prepare Gantt Chart'!C6</f>
        <v>1</v>
      </c>
      <c r="C5" s="2" t="str">
        <f>'Prepare Gantt Chart'!E6</f>
        <v>OCN_02</v>
      </c>
      <c r="D5"/>
      <c r="E5" s="197"/>
      <c r="F5" s="198"/>
      <c r="G5" s="199"/>
      <c r="H5" s="200"/>
      <c r="I5" s="200"/>
      <c r="J5" s="200"/>
      <c r="K5" s="201"/>
      <c r="L5" s="202"/>
      <c r="M5" s="200"/>
      <c r="N5" s="200"/>
      <c r="O5" s="200"/>
      <c r="P5" s="201"/>
      <c r="Q5" s="202"/>
      <c r="R5" s="200"/>
      <c r="S5" s="200"/>
      <c r="T5" s="200"/>
      <c r="U5" s="201"/>
      <c r="V5" s="202"/>
      <c r="W5" s="200"/>
      <c r="X5" s="200"/>
      <c r="Y5" s="200"/>
      <c r="Z5" s="201"/>
      <c r="AA5" s="202"/>
      <c r="AB5" s="200"/>
      <c r="AC5" s="200"/>
      <c r="AD5" s="200"/>
      <c r="AE5" s="200"/>
      <c r="AF5" s="197" t="str">
        <f>IF('Prepare Gantt Chart'!$M6=2051,"●","")</f>
        <v/>
      </c>
      <c r="AG5" s="203"/>
      <c r="AH5" s="2" t="str">
        <f>'Prepare Gantt Chart'!F6</f>
        <v>Enhance sustainable mangrove conservation</v>
      </c>
    </row>
    <row r="6" spans="1:35" ht="12" customHeight="1" x14ac:dyDescent="0.2">
      <c r="A6" s="196">
        <f>'Prepare Gantt Chart'!C7</f>
        <v>1</v>
      </c>
      <c r="C6" s="2" t="str">
        <f>'Prepare Gantt Chart'!E7</f>
        <v>OCN_03</v>
      </c>
      <c r="D6"/>
      <c r="E6" s="197"/>
      <c r="F6" s="198"/>
      <c r="G6" s="199"/>
      <c r="H6" s="200"/>
      <c r="I6" s="200"/>
      <c r="J6" s="200"/>
      <c r="K6" s="201"/>
      <c r="L6" s="202"/>
      <c r="M6" s="200"/>
      <c r="N6" s="200"/>
      <c r="O6" s="200"/>
      <c r="P6" s="201"/>
      <c r="Q6" s="202"/>
      <c r="R6" s="200"/>
      <c r="S6" s="200"/>
      <c r="T6" s="200"/>
      <c r="U6" s="201"/>
      <c r="V6" s="202"/>
      <c r="W6" s="200"/>
      <c r="X6" s="200"/>
      <c r="Y6" s="200"/>
      <c r="Z6" s="201"/>
      <c r="AA6" s="202"/>
      <c r="AB6" s="200"/>
      <c r="AC6" s="200"/>
      <c r="AD6" s="200"/>
      <c r="AE6" s="200"/>
      <c r="AF6" s="197" t="str">
        <f>IF('Prepare Gantt Chart'!$M7=2051,"●","")</f>
        <v/>
      </c>
      <c r="AG6" s="203"/>
      <c r="AH6" s="2" t="str">
        <f>'Prepare Gantt Chart'!F7</f>
        <v>Enhance sustainable coral reef conservation</v>
      </c>
    </row>
    <row r="7" spans="1:35" ht="12" customHeight="1" x14ac:dyDescent="0.2">
      <c r="A7" s="196">
        <f>'Prepare Gantt Chart'!C8</f>
        <v>1</v>
      </c>
      <c r="C7" s="2" t="str">
        <f>'Prepare Gantt Chart'!E8</f>
        <v>OCN_04</v>
      </c>
      <c r="D7"/>
      <c r="E7" s="197"/>
      <c r="F7" s="198"/>
      <c r="G7" s="199"/>
      <c r="H7" s="200"/>
      <c r="I7" s="200"/>
      <c r="J7" s="200"/>
      <c r="K7" s="201"/>
      <c r="L7" s="202"/>
      <c r="M7" s="200"/>
      <c r="N7" s="200"/>
      <c r="O7" s="200"/>
      <c r="P7" s="201"/>
      <c r="Q7" s="202"/>
      <c r="R7" s="200"/>
      <c r="S7" s="200"/>
      <c r="T7" s="200"/>
      <c r="U7" s="201"/>
      <c r="V7" s="202"/>
      <c r="W7" s="200"/>
      <c r="X7" s="200"/>
      <c r="Y7" s="200"/>
      <c r="Z7" s="201"/>
      <c r="AA7" s="202"/>
      <c r="AB7" s="200"/>
      <c r="AC7" s="200"/>
      <c r="AD7" s="200"/>
      <c r="AE7" s="200"/>
      <c r="AF7" s="197" t="str">
        <f>IF('Prepare Gantt Chart'!$M8=2051,"●","")</f>
        <v/>
      </c>
      <c r="AG7" s="203"/>
      <c r="AH7" s="2" t="str">
        <f>'Prepare Gantt Chart'!F8</f>
        <v>Enhance mangrove restoration</v>
      </c>
    </row>
    <row r="8" spans="1:35" ht="12" customHeight="1" x14ac:dyDescent="0.2">
      <c r="A8" s="196">
        <f>'Prepare Gantt Chart'!C9</f>
        <v>1</v>
      </c>
      <c r="C8" s="2" t="str">
        <f>'Prepare Gantt Chart'!E9</f>
        <v>OCN_05</v>
      </c>
      <c r="D8"/>
      <c r="E8" s="197"/>
      <c r="F8" s="198"/>
      <c r="G8" s="199"/>
      <c r="H8" s="200"/>
      <c r="I8" s="200"/>
      <c r="J8" s="200"/>
      <c r="K8" s="201"/>
      <c r="L8" s="202"/>
      <c r="M8" s="200"/>
      <c r="N8" s="200"/>
      <c r="O8" s="200"/>
      <c r="P8" s="201"/>
      <c r="Q8" s="202"/>
      <c r="R8" s="200"/>
      <c r="S8" s="200"/>
      <c r="T8" s="200"/>
      <c r="U8" s="201"/>
      <c r="V8" s="202"/>
      <c r="W8" s="200"/>
      <c r="X8" s="200"/>
      <c r="Y8" s="200"/>
      <c r="Z8" s="201"/>
      <c r="AA8" s="202"/>
      <c r="AB8" s="200"/>
      <c r="AC8" s="200"/>
      <c r="AD8" s="200"/>
      <c r="AE8" s="200"/>
      <c r="AF8" s="197" t="str">
        <f>IF('Prepare Gantt Chart'!$M9=2051,"●","")</f>
        <v/>
      </c>
      <c r="AG8" s="203"/>
      <c r="AH8" s="2" t="str">
        <f>'Prepare Gantt Chart'!F9</f>
        <v>Enhance coral reef restoration</v>
      </c>
    </row>
    <row r="9" spans="1:35" ht="12" customHeight="1" x14ac:dyDescent="0.2">
      <c r="A9" s="196">
        <f>'Prepare Gantt Chart'!C10</f>
        <v>1</v>
      </c>
      <c r="C9" s="2" t="str">
        <f>'Prepare Gantt Chart'!E10</f>
        <v>OCN_06</v>
      </c>
      <c r="D9"/>
      <c r="E9" s="197"/>
      <c r="F9" s="198"/>
      <c r="G9" s="199"/>
      <c r="H9" s="200"/>
      <c r="I9" s="200"/>
      <c r="J9" s="200"/>
      <c r="K9" s="201"/>
      <c r="L9" s="202"/>
      <c r="M9" s="200"/>
      <c r="N9" s="200"/>
      <c r="O9" s="200"/>
      <c r="P9" s="201"/>
      <c r="Q9" s="202"/>
      <c r="R9" s="200"/>
      <c r="S9" s="200"/>
      <c r="T9" s="200"/>
      <c r="U9" s="201"/>
      <c r="V9" s="202"/>
      <c r="W9" s="200"/>
      <c r="X9" s="200"/>
      <c r="Y9" s="200"/>
      <c r="Z9" s="201"/>
      <c r="AA9" s="202"/>
      <c r="AB9" s="200"/>
      <c r="AC9" s="200"/>
      <c r="AD9" s="200"/>
      <c r="AE9" s="200"/>
      <c r="AF9" s="197" t="str">
        <f>IF('Prepare Gantt Chart'!$M10=2051,"●","")</f>
        <v/>
      </c>
      <c r="AG9" s="203"/>
      <c r="AH9" s="2" t="str">
        <f>'Prepare Gantt Chart'!F10</f>
        <v>Enhance sustainable fishing</v>
      </c>
    </row>
    <row r="10" spans="1:35" ht="12" customHeight="1" x14ac:dyDescent="0.2">
      <c r="A10" s="196">
        <f>'Prepare Gantt Chart'!C11</f>
        <v>1</v>
      </c>
      <c r="C10" s="2" t="str">
        <f>'Prepare Gantt Chart'!E11</f>
        <v>OCN_07</v>
      </c>
      <c r="D10"/>
      <c r="E10" s="197"/>
      <c r="F10" s="198"/>
      <c r="G10" s="199"/>
      <c r="H10" s="200"/>
      <c r="I10" s="200"/>
      <c r="J10" s="200"/>
      <c r="K10" s="201"/>
      <c r="L10" s="202"/>
      <c r="M10" s="200"/>
      <c r="N10" s="200"/>
      <c r="O10" s="200"/>
      <c r="P10" s="201"/>
      <c r="Q10" s="202"/>
      <c r="R10" s="200"/>
      <c r="S10" s="200"/>
      <c r="T10" s="200"/>
      <c r="U10" s="201"/>
      <c r="V10" s="202"/>
      <c r="W10" s="200"/>
      <c r="X10" s="200"/>
      <c r="Y10" s="200"/>
      <c r="Z10" s="201"/>
      <c r="AA10" s="202"/>
      <c r="AB10" s="200"/>
      <c r="AC10" s="200"/>
      <c r="AD10" s="200"/>
      <c r="AE10" s="200"/>
      <c r="AF10" s="197" t="str">
        <f>IF('Prepare Gantt Chart'!$M11=2051,"●","")</f>
        <v/>
      </c>
      <c r="AG10" s="203"/>
      <c r="AH10" s="2" t="str">
        <f>'Prepare Gantt Chart'!F11</f>
        <v>Enhance ocean fertilization</v>
      </c>
    </row>
    <row r="11" spans="1:35" ht="12" customHeight="1" x14ac:dyDescent="0.2">
      <c r="A11" s="196">
        <f>'Prepare Gantt Chart'!C12</f>
        <v>1</v>
      </c>
      <c r="C11" s="2" t="str">
        <f>'Prepare Gantt Chart'!E12</f>
        <v>OCN_08</v>
      </c>
      <c r="D11"/>
      <c r="E11" s="197"/>
      <c r="F11" s="198"/>
      <c r="G11" s="199"/>
      <c r="H11" s="200"/>
      <c r="I11" s="200"/>
      <c r="J11" s="200"/>
      <c r="K11" s="201"/>
      <c r="L11" s="202"/>
      <c r="M11" s="200"/>
      <c r="N11" s="200"/>
      <c r="O11" s="200"/>
      <c r="P11" s="201"/>
      <c r="Q11" s="202"/>
      <c r="R11" s="200"/>
      <c r="S11" s="200"/>
      <c r="T11" s="200"/>
      <c r="U11" s="201"/>
      <c r="V11" s="202"/>
      <c r="W11" s="200"/>
      <c r="X11" s="200"/>
      <c r="Y11" s="200"/>
      <c r="Z11" s="201"/>
      <c r="AA11" s="202"/>
      <c r="AB11" s="200"/>
      <c r="AC11" s="200"/>
      <c r="AD11" s="200"/>
      <c r="AE11" s="200"/>
      <c r="AF11" s="197" t="str">
        <f>IF('Prepare Gantt Chart'!$M12=2051,"●","")</f>
        <v/>
      </c>
      <c r="AG11" s="203"/>
      <c r="AH11" s="2" t="str">
        <f>'Prepare Gantt Chart'!F12</f>
        <v>Enhance repopulating overfished area</v>
      </c>
    </row>
    <row r="12" spans="1:35" ht="12" customHeight="1" x14ac:dyDescent="0.2">
      <c r="A12" s="196">
        <f>'Prepare Gantt Chart'!C13</f>
        <v>1</v>
      </c>
      <c r="C12" s="2" t="str">
        <f>'Prepare Gantt Chart'!E13</f>
        <v>OCN_09</v>
      </c>
      <c r="D12"/>
      <c r="E12" s="197"/>
      <c r="F12" s="198"/>
      <c r="G12" s="199"/>
      <c r="H12" s="200"/>
      <c r="I12" s="200"/>
      <c r="J12" s="200"/>
      <c r="K12" s="201"/>
      <c r="L12" s="202"/>
      <c r="M12" s="200"/>
      <c r="N12" s="200"/>
      <c r="O12" s="200"/>
      <c r="P12" s="201"/>
      <c r="Q12" s="202"/>
      <c r="R12" s="200"/>
      <c r="S12" s="200"/>
      <c r="T12" s="200"/>
      <c r="U12" s="201"/>
      <c r="V12" s="202"/>
      <c r="W12" s="200"/>
      <c r="X12" s="200"/>
      <c r="Y12" s="200"/>
      <c r="Z12" s="201"/>
      <c r="AA12" s="202"/>
      <c r="AB12" s="200"/>
      <c r="AC12" s="200"/>
      <c r="AD12" s="200"/>
      <c r="AE12" s="200"/>
      <c r="AF12" s="197" t="str">
        <f>IF('Prepare Gantt Chart'!$M13=2051,"●","")</f>
        <v/>
      </c>
      <c r="AG12" s="203"/>
      <c r="AH12" s="2" t="str">
        <f>'Prepare Gantt Chart'!F13</f>
        <v>Enhance sustainable aquaculture management</v>
      </c>
    </row>
    <row r="13" spans="1:35" ht="12" customHeight="1" x14ac:dyDescent="0.2">
      <c r="A13" s="196">
        <f>'Prepare Gantt Chart'!C14</f>
        <v>1</v>
      </c>
      <c r="C13" s="2" t="str">
        <f>'Prepare Gantt Chart'!E14</f>
        <v>OCN_10</v>
      </c>
      <c r="D13"/>
      <c r="E13" s="197"/>
      <c r="F13" s="198"/>
      <c r="G13" s="199"/>
      <c r="H13" s="200"/>
      <c r="I13" s="200"/>
      <c r="J13" s="200"/>
      <c r="K13" s="201"/>
      <c r="L13" s="202"/>
      <c r="M13" s="200"/>
      <c r="N13" s="200"/>
      <c r="O13" s="200"/>
      <c r="P13" s="201"/>
      <c r="Q13" s="202"/>
      <c r="R13" s="200"/>
      <c r="S13" s="200"/>
      <c r="T13" s="200"/>
      <c r="U13" s="201"/>
      <c r="V13" s="202"/>
      <c r="W13" s="200"/>
      <c r="X13" s="200"/>
      <c r="Y13" s="200"/>
      <c r="Z13" s="201"/>
      <c r="AA13" s="202"/>
      <c r="AB13" s="200"/>
      <c r="AC13" s="200"/>
      <c r="AD13" s="200"/>
      <c r="AE13" s="200"/>
      <c r="AF13" s="197" t="str">
        <f>IF('Prepare Gantt Chart'!$M14=2051,"●","")</f>
        <v/>
      </c>
      <c r="AG13" s="203"/>
      <c r="AH13" s="2" t="str">
        <f>'Prepare Gantt Chart'!F14</f>
        <v>Eliminate shipping pollution</v>
      </c>
    </row>
    <row r="14" spans="1:35" ht="12" customHeight="1" x14ac:dyDescent="0.2">
      <c r="A14" s="196">
        <f>'Prepare Gantt Chart'!C15</f>
        <v>1</v>
      </c>
      <c r="C14" s="2" t="str">
        <f>'Prepare Gantt Chart'!E15</f>
        <v>OCN_11</v>
      </c>
      <c r="D14"/>
      <c r="E14" s="197"/>
      <c r="F14" s="198"/>
      <c r="G14" s="199"/>
      <c r="H14" s="200"/>
      <c r="I14" s="200"/>
      <c r="J14" s="200"/>
      <c r="K14" s="201"/>
      <c r="L14" s="202"/>
      <c r="M14" s="200"/>
      <c r="N14" s="200"/>
      <c r="O14" s="200"/>
      <c r="P14" s="201"/>
      <c r="Q14" s="202"/>
      <c r="R14" s="200"/>
      <c r="S14" s="200"/>
      <c r="T14" s="200"/>
      <c r="U14" s="201"/>
      <c r="V14" s="202"/>
      <c r="W14" s="200"/>
      <c r="X14" s="200"/>
      <c r="Y14" s="200"/>
      <c r="Z14" s="201"/>
      <c r="AA14" s="202"/>
      <c r="AB14" s="200"/>
      <c r="AC14" s="200"/>
      <c r="AD14" s="200"/>
      <c r="AE14" s="200"/>
      <c r="AF14" s="197" t="str">
        <f>IF('Prepare Gantt Chart'!$M15=2051,"●","")</f>
        <v/>
      </c>
      <c r="AG14" s="203"/>
      <c r="AH14" s="2" t="str">
        <f>'Prepare Gantt Chart'!F15</f>
        <v>Limit bottom trawling</v>
      </c>
    </row>
    <row r="15" spans="1:35" ht="12" customHeight="1" x14ac:dyDescent="0.2">
      <c r="A15" s="196">
        <f>'Prepare Gantt Chart'!C16</f>
        <v>1</v>
      </c>
      <c r="C15" s="2" t="str">
        <f>'Prepare Gantt Chart'!E16</f>
        <v>OCN_12</v>
      </c>
      <c r="D15"/>
      <c r="E15" s="197"/>
      <c r="F15" s="198"/>
      <c r="G15" s="199"/>
      <c r="H15" s="200"/>
      <c r="I15" s="200"/>
      <c r="J15" s="200"/>
      <c r="K15" s="201"/>
      <c r="L15" s="202"/>
      <c r="M15" s="200"/>
      <c r="N15" s="200"/>
      <c r="O15" s="200"/>
      <c r="P15" s="201"/>
      <c r="Q15" s="202"/>
      <c r="R15" s="200"/>
      <c r="S15" s="200"/>
      <c r="T15" s="200"/>
      <c r="U15" s="201"/>
      <c r="V15" s="202"/>
      <c r="W15" s="200"/>
      <c r="X15" s="200"/>
      <c r="Y15" s="200"/>
      <c r="Z15" s="201"/>
      <c r="AA15" s="202"/>
      <c r="AB15" s="200"/>
      <c r="AC15" s="200"/>
      <c r="AD15" s="200"/>
      <c r="AE15" s="200"/>
      <c r="AF15" s="197" t="str">
        <f>IF('Prepare Gantt Chart'!$M16=2051,"●","")</f>
        <v/>
      </c>
      <c r="AG15" s="203"/>
      <c r="AH15" s="2" t="str">
        <f>'Prepare Gantt Chart'!F16</f>
        <v>Adopt carbon taxation for emissions, benefits for sequestration</v>
      </c>
    </row>
    <row r="16" spans="1:35" ht="12" customHeight="1" x14ac:dyDescent="0.2">
      <c r="A16" s="196">
        <f>'Prepare Gantt Chart'!C17</f>
        <v>2</v>
      </c>
      <c r="C16" s="2" t="str">
        <f>'Prepare Gantt Chart'!E17</f>
        <v>WAT_01</v>
      </c>
      <c r="D16"/>
      <c r="E16" s="197"/>
      <c r="F16" s="201"/>
      <c r="G16" s="202"/>
      <c r="H16" s="200"/>
      <c r="I16" s="200"/>
      <c r="J16" s="200"/>
      <c r="K16" s="201"/>
      <c r="L16" s="202"/>
      <c r="M16" s="200"/>
      <c r="N16" s="200"/>
      <c r="O16" s="200"/>
      <c r="P16" s="201"/>
      <c r="Q16" s="202"/>
      <c r="R16" s="200"/>
      <c r="S16" s="200"/>
      <c r="T16" s="200"/>
      <c r="U16" s="201"/>
      <c r="V16" s="202"/>
      <c r="W16" s="200"/>
      <c r="X16" s="200"/>
      <c r="Y16" s="200"/>
      <c r="Z16" s="201"/>
      <c r="AA16" s="202"/>
      <c r="AB16" s="200"/>
      <c r="AC16" s="200"/>
      <c r="AD16" s="200"/>
      <c r="AE16" s="200"/>
      <c r="AF16" s="197" t="str">
        <f>IF('Prepare Gantt Chart'!$M17=2051,"●","")</f>
        <v/>
      </c>
      <c r="AG16" s="203"/>
      <c r="AH16" s="2" t="str">
        <f>'Prepare Gantt Chart'!F17</f>
        <v>Enhance sustainable wetland conservation</v>
      </c>
    </row>
    <row r="17" spans="1:34" ht="12" customHeight="1" x14ac:dyDescent="0.2">
      <c r="A17" s="196">
        <f>'Prepare Gantt Chart'!C18</f>
        <v>2</v>
      </c>
      <c r="C17" s="2" t="str">
        <f>'Prepare Gantt Chart'!E18</f>
        <v>WAT_02</v>
      </c>
      <c r="D17"/>
      <c r="E17" s="197"/>
      <c r="F17" s="201"/>
      <c r="G17" s="202"/>
      <c r="H17" s="200"/>
      <c r="I17" s="200"/>
      <c r="J17" s="200"/>
      <c r="K17" s="201"/>
      <c r="L17" s="202"/>
      <c r="M17" s="200"/>
      <c r="N17" s="200"/>
      <c r="O17" s="200"/>
      <c r="P17" s="201"/>
      <c r="Q17" s="202"/>
      <c r="R17" s="200"/>
      <c r="S17" s="200"/>
      <c r="T17" s="200"/>
      <c r="U17" s="201"/>
      <c r="V17" s="202"/>
      <c r="W17" s="200"/>
      <c r="X17" s="200"/>
      <c r="Y17" s="200"/>
      <c r="Z17" s="201"/>
      <c r="AA17" s="202"/>
      <c r="AB17" s="200"/>
      <c r="AC17" s="200"/>
      <c r="AD17" s="200"/>
      <c r="AE17" s="200"/>
      <c r="AF17" s="197" t="str">
        <f>IF('Prepare Gantt Chart'!$M18=2051,"●","")</f>
        <v/>
      </c>
      <c r="AG17" s="203"/>
      <c r="AH17" s="2" t="str">
        <f>'Prepare Gantt Chart'!F18</f>
        <v>Enhance sustainable lake conservation</v>
      </c>
    </row>
    <row r="18" spans="1:34" ht="12" customHeight="1" x14ac:dyDescent="0.2">
      <c r="A18" s="196">
        <f>'Prepare Gantt Chart'!C19</f>
        <v>2</v>
      </c>
      <c r="C18" s="2" t="str">
        <f>'Prepare Gantt Chart'!E19</f>
        <v>WAT_03</v>
      </c>
      <c r="D18"/>
      <c r="E18" s="197"/>
      <c r="F18" s="201"/>
      <c r="G18" s="202"/>
      <c r="H18" s="200"/>
      <c r="I18" s="200"/>
      <c r="J18" s="200"/>
      <c r="K18" s="201"/>
      <c r="L18" s="202"/>
      <c r="M18" s="200"/>
      <c r="N18" s="200"/>
      <c r="O18" s="200"/>
      <c r="P18" s="201"/>
      <c r="Q18" s="202"/>
      <c r="R18" s="200"/>
      <c r="S18" s="200"/>
      <c r="T18" s="200"/>
      <c r="U18" s="201"/>
      <c r="V18" s="202"/>
      <c r="W18" s="200"/>
      <c r="X18" s="200"/>
      <c r="Y18" s="200"/>
      <c r="Z18" s="201"/>
      <c r="AA18" s="202"/>
      <c r="AB18" s="200"/>
      <c r="AC18" s="200"/>
      <c r="AD18" s="200"/>
      <c r="AE18" s="200"/>
      <c r="AF18" s="197" t="str">
        <f>IF('Prepare Gantt Chart'!$M19=2051,"●","")</f>
        <v/>
      </c>
      <c r="AG18" s="203"/>
      <c r="AH18" s="2" t="str">
        <f>'Prepare Gantt Chart'!F19</f>
        <v>Enhance sustainable river conservation</v>
      </c>
    </row>
    <row r="19" spans="1:34" ht="12" customHeight="1" x14ac:dyDescent="0.2">
      <c r="A19" s="196">
        <f>'Prepare Gantt Chart'!C20</f>
        <v>2</v>
      </c>
      <c r="C19" s="2" t="str">
        <f>'Prepare Gantt Chart'!E20</f>
        <v>WAT_04</v>
      </c>
      <c r="D19"/>
      <c r="E19" s="197"/>
      <c r="F19" s="201"/>
      <c r="G19" s="202"/>
      <c r="H19" s="200"/>
      <c r="I19" s="200"/>
      <c r="J19" s="200"/>
      <c r="K19" s="201"/>
      <c r="L19" s="202"/>
      <c r="M19" s="200"/>
      <c r="N19" s="200"/>
      <c r="O19" s="200"/>
      <c r="P19" s="201"/>
      <c r="Q19" s="202"/>
      <c r="R19" s="200"/>
      <c r="S19" s="200"/>
      <c r="T19" s="200"/>
      <c r="U19" s="201"/>
      <c r="V19" s="202"/>
      <c r="W19" s="200"/>
      <c r="X19" s="200"/>
      <c r="Y19" s="200"/>
      <c r="Z19" s="201"/>
      <c r="AA19" s="202"/>
      <c r="AB19" s="200"/>
      <c r="AC19" s="200"/>
      <c r="AD19" s="200"/>
      <c r="AE19" s="200"/>
      <c r="AF19" s="197" t="str">
        <f>IF('Prepare Gantt Chart'!$M20=2051,"●","")</f>
        <v/>
      </c>
      <c r="AG19" s="203"/>
      <c r="AH19" s="2" t="str">
        <f>'Prepare Gantt Chart'!F20</f>
        <v>Enhance aquifer conservation, infiltration and recharge</v>
      </c>
    </row>
    <row r="20" spans="1:34" ht="12" customHeight="1" x14ac:dyDescent="0.2">
      <c r="A20" s="196">
        <f>'Prepare Gantt Chart'!C21</f>
        <v>2</v>
      </c>
      <c r="C20" s="2" t="str">
        <f>'Prepare Gantt Chart'!E21</f>
        <v>WAT_05</v>
      </c>
      <c r="D20"/>
      <c r="E20" s="197"/>
      <c r="F20" s="201"/>
      <c r="G20" s="202"/>
      <c r="H20" s="200"/>
      <c r="I20" s="200"/>
      <c r="J20" s="200"/>
      <c r="K20" s="201"/>
      <c r="L20" s="202"/>
      <c r="M20" s="200"/>
      <c r="N20" s="200"/>
      <c r="O20" s="200"/>
      <c r="P20" s="201"/>
      <c r="Q20" s="202"/>
      <c r="R20" s="200"/>
      <c r="S20" s="200"/>
      <c r="T20" s="200"/>
      <c r="U20" s="201"/>
      <c r="V20" s="202"/>
      <c r="W20" s="200"/>
      <c r="X20" s="200"/>
      <c r="Y20" s="200"/>
      <c r="Z20" s="201"/>
      <c r="AA20" s="202"/>
      <c r="AB20" s="200"/>
      <c r="AC20" s="200"/>
      <c r="AD20" s="200"/>
      <c r="AE20" s="200"/>
      <c r="AF20" s="197" t="str">
        <f>IF('Prepare Gantt Chart'!$M21=2051,"●","")</f>
        <v/>
      </c>
      <c r="AG20" s="203"/>
      <c r="AH20" s="2" t="str">
        <f>'Prepare Gantt Chart'!F21</f>
        <v>Enhance wetland restoration</v>
      </c>
    </row>
    <row r="21" spans="1:34" ht="12" customHeight="1" x14ac:dyDescent="0.2">
      <c r="A21" s="196">
        <f>'Prepare Gantt Chart'!C22</f>
        <v>2</v>
      </c>
      <c r="C21" s="2" t="str">
        <f>'Prepare Gantt Chart'!E22</f>
        <v>WAT_06</v>
      </c>
      <c r="D21"/>
      <c r="E21" s="197"/>
      <c r="F21" s="201"/>
      <c r="G21" s="202"/>
      <c r="H21" s="200"/>
      <c r="I21" s="200"/>
      <c r="J21" s="200"/>
      <c r="K21" s="201"/>
      <c r="L21" s="202"/>
      <c r="M21" s="200"/>
      <c r="N21" s="200"/>
      <c r="O21" s="200"/>
      <c r="P21" s="201"/>
      <c r="Q21" s="202"/>
      <c r="R21" s="200"/>
      <c r="S21" s="200"/>
      <c r="T21" s="200"/>
      <c r="U21" s="201"/>
      <c r="V21" s="202"/>
      <c r="W21" s="200"/>
      <c r="X21" s="200"/>
      <c r="Y21" s="200"/>
      <c r="Z21" s="201"/>
      <c r="AA21" s="202"/>
      <c r="AB21" s="200"/>
      <c r="AC21" s="200"/>
      <c r="AD21" s="200"/>
      <c r="AE21" s="200"/>
      <c r="AF21" s="197" t="str">
        <f>IF('Prepare Gantt Chart'!$M22=2051,"●","")</f>
        <v/>
      </c>
      <c r="AG21" s="203"/>
      <c r="AH21" s="2" t="str">
        <f>'Prepare Gantt Chart'!F22</f>
        <v>Enhance lake restoration</v>
      </c>
    </row>
    <row r="22" spans="1:34" ht="12" customHeight="1" x14ac:dyDescent="0.2">
      <c r="A22" s="196">
        <f>'Prepare Gantt Chart'!C23</f>
        <v>2</v>
      </c>
      <c r="C22" s="2" t="str">
        <f>'Prepare Gantt Chart'!E23</f>
        <v>WAT_07</v>
      </c>
      <c r="D22"/>
      <c r="E22" s="197"/>
      <c r="F22" s="201"/>
      <c r="G22" s="202"/>
      <c r="H22" s="200"/>
      <c r="I22" s="200"/>
      <c r="J22" s="200"/>
      <c r="K22" s="201"/>
      <c r="L22" s="202"/>
      <c r="M22" s="200"/>
      <c r="N22" s="200"/>
      <c r="O22" s="200"/>
      <c r="P22" s="201"/>
      <c r="Q22" s="202"/>
      <c r="R22" s="200"/>
      <c r="S22" s="200"/>
      <c r="T22" s="200"/>
      <c r="U22" s="201"/>
      <c r="V22" s="202"/>
      <c r="W22" s="200"/>
      <c r="X22" s="200"/>
      <c r="Y22" s="200"/>
      <c r="Z22" s="201"/>
      <c r="AA22" s="202"/>
      <c r="AB22" s="200"/>
      <c r="AC22" s="200"/>
      <c r="AD22" s="200"/>
      <c r="AE22" s="200"/>
      <c r="AF22" s="197" t="str">
        <f>IF('Prepare Gantt Chart'!$M23=2051,"●","")</f>
        <v/>
      </c>
      <c r="AG22" s="203"/>
      <c r="AH22" s="2" t="str">
        <f>'Prepare Gantt Chart'!F23</f>
        <v>Enhance river restoration</v>
      </c>
    </row>
    <row r="23" spans="1:34" ht="12" customHeight="1" x14ac:dyDescent="0.2">
      <c r="A23" s="196">
        <f>'Prepare Gantt Chart'!C24</f>
        <v>2</v>
      </c>
      <c r="C23" s="2" t="str">
        <f>'Prepare Gantt Chart'!E24</f>
        <v>WAT_08</v>
      </c>
      <c r="D23"/>
      <c r="E23" s="197"/>
      <c r="F23" s="201"/>
      <c r="G23" s="202"/>
      <c r="H23" s="200"/>
      <c r="I23" s="200"/>
      <c r="J23" s="200"/>
      <c r="K23" s="201"/>
      <c r="L23" s="202"/>
      <c r="M23" s="200"/>
      <c r="N23" s="200"/>
      <c r="O23" s="200"/>
      <c r="P23" s="201"/>
      <c r="Q23" s="202"/>
      <c r="R23" s="200"/>
      <c r="S23" s="200"/>
      <c r="T23" s="200"/>
      <c r="U23" s="201"/>
      <c r="V23" s="202"/>
      <c r="W23" s="200"/>
      <c r="X23" s="200"/>
      <c r="Y23" s="200"/>
      <c r="Z23" s="201"/>
      <c r="AA23" s="202"/>
      <c r="AB23" s="200"/>
      <c r="AC23" s="200"/>
      <c r="AD23" s="200"/>
      <c r="AE23" s="200"/>
      <c r="AF23" s="197" t="str">
        <f>IF('Prepare Gantt Chart'!$M24=2051,"●","")</f>
        <v/>
      </c>
      <c r="AG23" s="203"/>
      <c r="AH23" s="2" t="str">
        <f>'Prepare Gantt Chart'!F24</f>
        <v>Enhance sustainable aquifer restoration</v>
      </c>
    </row>
    <row r="24" spans="1:34" ht="12" customHeight="1" x14ac:dyDescent="0.2">
      <c r="A24" s="196">
        <f>'Prepare Gantt Chart'!C25</f>
        <v>2</v>
      </c>
      <c r="C24" s="2" t="str">
        <f>'Prepare Gantt Chart'!E25</f>
        <v>WAT_09</v>
      </c>
      <c r="D24"/>
      <c r="E24" s="197"/>
      <c r="F24" s="201"/>
      <c r="G24" s="202"/>
      <c r="H24" s="200"/>
      <c r="I24" s="200"/>
      <c r="J24" s="200"/>
      <c r="K24" s="201"/>
      <c r="L24" s="202"/>
      <c r="M24" s="200"/>
      <c r="N24" s="200"/>
      <c r="O24" s="200"/>
      <c r="P24" s="201"/>
      <c r="Q24" s="202"/>
      <c r="R24" s="200"/>
      <c r="S24" s="200"/>
      <c r="T24" s="200"/>
      <c r="U24" s="201"/>
      <c r="V24" s="202"/>
      <c r="W24" s="200"/>
      <c r="X24" s="200"/>
      <c r="Y24" s="200"/>
      <c r="Z24" s="201"/>
      <c r="AA24" s="202"/>
      <c r="AB24" s="200"/>
      <c r="AC24" s="200"/>
      <c r="AD24" s="200"/>
      <c r="AE24" s="200"/>
      <c r="AF24" s="197" t="str">
        <f>IF('Prepare Gantt Chart'!$M25=2051,"●","")</f>
        <v/>
      </c>
      <c r="AG24" s="203"/>
      <c r="AH24" s="2" t="str">
        <f>'Prepare Gantt Chart'!F25</f>
        <v>Enhance sustainable wastewater treatment and recycling</v>
      </c>
    </row>
    <row r="25" spans="1:34" ht="12" customHeight="1" x14ac:dyDescent="0.2">
      <c r="A25" s="196">
        <f>'Prepare Gantt Chart'!C26</f>
        <v>2</v>
      </c>
      <c r="C25" s="2" t="str">
        <f>'Prepare Gantt Chart'!E26</f>
        <v>WAT_10</v>
      </c>
      <c r="D25"/>
      <c r="E25" s="197"/>
      <c r="F25" s="201"/>
      <c r="G25" s="202"/>
      <c r="H25" s="200"/>
      <c r="I25" s="200"/>
      <c r="J25" s="200"/>
      <c r="K25" s="201"/>
      <c r="L25" s="202"/>
      <c r="M25" s="200"/>
      <c r="N25" s="200"/>
      <c r="O25" s="200"/>
      <c r="P25" s="201"/>
      <c r="Q25" s="202"/>
      <c r="R25" s="200"/>
      <c r="S25" s="200"/>
      <c r="T25" s="200"/>
      <c r="U25" s="201"/>
      <c r="V25" s="202"/>
      <c r="W25" s="200"/>
      <c r="X25" s="200"/>
      <c r="Y25" s="200"/>
      <c r="Z25" s="201"/>
      <c r="AA25" s="202"/>
      <c r="AB25" s="200"/>
      <c r="AC25" s="200"/>
      <c r="AD25" s="200"/>
      <c r="AE25" s="200"/>
      <c r="AF25" s="197" t="str">
        <f>IF('Prepare Gantt Chart'!$M26=2051,"●","")</f>
        <v/>
      </c>
      <c r="AG25" s="203"/>
      <c r="AH25" s="2" t="str">
        <f>'Prepare Gantt Chart'!F26</f>
        <v>Enhance sustainable water supply</v>
      </c>
    </row>
    <row r="26" spans="1:34" ht="12" customHeight="1" x14ac:dyDescent="0.2">
      <c r="A26" s="196">
        <f>'Prepare Gantt Chart'!C27</f>
        <v>2</v>
      </c>
      <c r="C26" s="2" t="str">
        <f>'Prepare Gantt Chart'!E27</f>
        <v>WAT_11</v>
      </c>
      <c r="D26"/>
      <c r="E26" s="197"/>
      <c r="F26" s="201"/>
      <c r="G26" s="202"/>
      <c r="H26" s="200"/>
      <c r="I26" s="200"/>
      <c r="J26" s="200"/>
      <c r="K26" s="201"/>
      <c r="L26" s="202"/>
      <c r="M26" s="200"/>
      <c r="N26" s="200"/>
      <c r="O26" s="200"/>
      <c r="P26" s="201"/>
      <c r="Q26" s="202"/>
      <c r="R26" s="200"/>
      <c r="S26" s="200"/>
      <c r="T26" s="200"/>
      <c r="U26" s="201"/>
      <c r="V26" s="202"/>
      <c r="W26" s="200"/>
      <c r="X26" s="200"/>
      <c r="Y26" s="200"/>
      <c r="Z26" s="201"/>
      <c r="AA26" s="202"/>
      <c r="AB26" s="200"/>
      <c r="AC26" s="200"/>
      <c r="AD26" s="200"/>
      <c r="AE26" s="200"/>
      <c r="AF26" s="197" t="str">
        <f>IF('Prepare Gantt Chart'!$M27=2051,"●","")</f>
        <v/>
      </c>
      <c r="AG26" s="203"/>
      <c r="AH26" s="2" t="str">
        <f>'Prepare Gantt Chart'!F27</f>
        <v>Adopt carbon taxation for emissions, benefits for sequestration</v>
      </c>
    </row>
    <row r="27" spans="1:34" ht="12" customHeight="1" x14ac:dyDescent="0.2">
      <c r="A27" s="196">
        <f>'Prepare Gantt Chart'!C28</f>
        <v>3</v>
      </c>
      <c r="C27" s="2" t="str">
        <f>'Prepare Gantt Chart'!E28</f>
        <v>BAR_01</v>
      </c>
      <c r="D27"/>
      <c r="E27" s="197"/>
      <c r="F27" s="201"/>
      <c r="G27" s="202"/>
      <c r="H27" s="200"/>
      <c r="I27" s="200"/>
      <c r="J27" s="200"/>
      <c r="K27" s="201"/>
      <c r="L27" s="202"/>
      <c r="M27" s="200"/>
      <c r="N27" s="200"/>
      <c r="O27" s="200"/>
      <c r="P27" s="201"/>
      <c r="Q27" s="202"/>
      <c r="R27" s="200"/>
      <c r="S27" s="200"/>
      <c r="T27" s="200"/>
      <c r="U27" s="201"/>
      <c r="V27" s="202"/>
      <c r="W27" s="200"/>
      <c r="X27" s="200"/>
      <c r="Y27" s="200"/>
      <c r="Z27" s="201"/>
      <c r="AA27" s="202"/>
      <c r="AB27" s="200"/>
      <c r="AC27" s="200"/>
      <c r="AD27" s="200"/>
      <c r="AE27" s="200"/>
      <c r="AF27" s="197" t="str">
        <f>IF('Prepare Gantt Chart'!$M28=2051,"●","")</f>
        <v/>
      </c>
      <c r="AG27" s="203"/>
      <c r="AH27" s="2" t="str">
        <f>'Prepare Gantt Chart'!F28</f>
        <v>Enhance conservation of barren regions</v>
      </c>
    </row>
    <row r="28" spans="1:34" ht="12" customHeight="1" x14ac:dyDescent="0.2">
      <c r="A28" s="196">
        <f>'Prepare Gantt Chart'!C29</f>
        <v>3</v>
      </c>
      <c r="C28" s="2" t="str">
        <f>'Prepare Gantt Chart'!E29</f>
        <v>BAR_02</v>
      </c>
      <c r="D28"/>
      <c r="E28" s="197"/>
      <c r="F28" s="201"/>
      <c r="G28" s="202"/>
      <c r="H28" s="200"/>
      <c r="I28" s="200"/>
      <c r="J28" s="200"/>
      <c r="K28" s="201"/>
      <c r="L28" s="202"/>
      <c r="M28" s="200"/>
      <c r="N28" s="200"/>
      <c r="O28" s="200"/>
      <c r="P28" s="201"/>
      <c r="Q28" s="202"/>
      <c r="R28" s="200"/>
      <c r="S28" s="200"/>
      <c r="T28" s="200"/>
      <c r="U28" s="201"/>
      <c r="V28" s="202"/>
      <c r="W28" s="200"/>
      <c r="X28" s="200"/>
      <c r="Y28" s="200"/>
      <c r="Z28" s="201"/>
      <c r="AA28" s="202"/>
      <c r="AB28" s="200"/>
      <c r="AC28" s="200"/>
      <c r="AD28" s="200"/>
      <c r="AE28" s="200"/>
      <c r="AF28" s="197" t="str">
        <f>IF('Prepare Gantt Chart'!$M29=2051,"●","")</f>
        <v/>
      </c>
      <c r="AG28" s="203"/>
      <c r="AH28" s="2" t="str">
        <f>'Prepare Gantt Chart'!F29</f>
        <v>Enhance sustainable water management</v>
      </c>
    </row>
    <row r="29" spans="1:34" ht="12" customHeight="1" x14ac:dyDescent="0.2">
      <c r="A29" s="196">
        <f>'Prepare Gantt Chart'!C30</f>
        <v>3</v>
      </c>
      <c r="C29" s="2" t="str">
        <f>'Prepare Gantt Chart'!E30</f>
        <v>BAR_03</v>
      </c>
      <c r="D29"/>
      <c r="E29" s="197"/>
      <c r="F29" s="201"/>
      <c r="G29" s="202"/>
      <c r="H29" s="200"/>
      <c r="I29" s="200"/>
      <c r="J29" s="200"/>
      <c r="K29" s="201"/>
      <c r="L29" s="202"/>
      <c r="M29" s="200"/>
      <c r="N29" s="200"/>
      <c r="O29" s="200"/>
      <c r="P29" s="201"/>
      <c r="Q29" s="202"/>
      <c r="R29" s="200"/>
      <c r="S29" s="200"/>
      <c r="T29" s="200"/>
      <c r="U29" s="201"/>
      <c r="V29" s="202"/>
      <c r="W29" s="200"/>
      <c r="X29" s="200"/>
      <c r="Y29" s="200"/>
      <c r="Z29" s="201"/>
      <c r="AA29" s="202"/>
      <c r="AB29" s="200"/>
      <c r="AC29" s="200"/>
      <c r="AD29" s="200"/>
      <c r="AE29" s="200"/>
      <c r="AF29" s="197" t="str">
        <f>IF('Prepare Gantt Chart'!$M30=2051,"●","")</f>
        <v/>
      </c>
      <c r="AG29" s="203"/>
      <c r="AH29" s="2" t="str">
        <f>'Prepare Gantt Chart'!F30</f>
        <v>Enhance wetlands management</v>
      </c>
    </row>
    <row r="30" spans="1:34" ht="12" customHeight="1" x14ac:dyDescent="0.2">
      <c r="A30" s="196">
        <f>'Prepare Gantt Chart'!C31</f>
        <v>3</v>
      </c>
      <c r="C30" s="2" t="str">
        <f>'Prepare Gantt Chart'!E31</f>
        <v>BAR_04</v>
      </c>
      <c r="D30"/>
      <c r="E30" s="197"/>
      <c r="F30" s="201"/>
      <c r="G30" s="202"/>
      <c r="H30" s="200"/>
      <c r="I30" s="200"/>
      <c r="J30" s="200"/>
      <c r="K30" s="201"/>
      <c r="L30" s="202"/>
      <c r="M30" s="200"/>
      <c r="N30" s="200"/>
      <c r="O30" s="200"/>
      <c r="P30" s="201"/>
      <c r="Q30" s="202"/>
      <c r="R30" s="200"/>
      <c r="S30" s="200"/>
      <c r="T30" s="200"/>
      <c r="U30" s="201"/>
      <c r="V30" s="202"/>
      <c r="W30" s="200"/>
      <c r="X30" s="200"/>
      <c r="Y30" s="200"/>
      <c r="Z30" s="201"/>
      <c r="AA30" s="202"/>
      <c r="AB30" s="200"/>
      <c r="AC30" s="200"/>
      <c r="AD30" s="200"/>
      <c r="AE30" s="200"/>
      <c r="AF30" s="197" t="str">
        <f>IF('Prepare Gantt Chart'!$M31=2051,"●","")</f>
        <v/>
      </c>
      <c r="AG30" s="203"/>
      <c r="AH30" s="2" t="str">
        <f>'Prepare Gantt Chart'!F31</f>
        <v>Enhance sustainable soil management</v>
      </c>
    </row>
    <row r="31" spans="1:34" ht="12" customHeight="1" x14ac:dyDescent="0.2">
      <c r="A31" s="196">
        <f>'Prepare Gantt Chart'!C32</f>
        <v>3</v>
      </c>
      <c r="C31" s="2" t="str">
        <f>'Prepare Gantt Chart'!E32</f>
        <v>BAR_05</v>
      </c>
      <c r="D31"/>
      <c r="E31" s="197"/>
      <c r="F31" s="201"/>
      <c r="G31" s="202"/>
      <c r="H31" s="200"/>
      <c r="I31" s="200"/>
      <c r="J31" s="200"/>
      <c r="K31" s="201"/>
      <c r="L31" s="202"/>
      <c r="M31" s="200"/>
      <c r="N31" s="200"/>
      <c r="O31" s="200"/>
      <c r="P31" s="201"/>
      <c r="Q31" s="202"/>
      <c r="R31" s="200"/>
      <c r="S31" s="200"/>
      <c r="T31" s="200"/>
      <c r="U31" s="201"/>
      <c r="V31" s="202"/>
      <c r="W31" s="200"/>
      <c r="X31" s="200"/>
      <c r="Y31" s="200"/>
      <c r="Z31" s="201"/>
      <c r="AA31" s="202"/>
      <c r="AB31" s="200"/>
      <c r="AC31" s="200"/>
      <c r="AD31" s="200"/>
      <c r="AE31" s="200"/>
      <c r="AF31" s="197" t="str">
        <f>IF('Prepare Gantt Chart'!$M32=2051,"●","")</f>
        <v/>
      </c>
      <c r="AG31" s="203"/>
      <c r="AH31" s="2" t="str">
        <f>'Prepare Gantt Chart'!F32</f>
        <v>Afforestation</v>
      </c>
    </row>
    <row r="32" spans="1:34" ht="12" customHeight="1" x14ac:dyDescent="0.2">
      <c r="A32" s="196">
        <f>'Prepare Gantt Chart'!C33</f>
        <v>3</v>
      </c>
      <c r="C32" s="2" t="str">
        <f>'Prepare Gantt Chart'!E33</f>
        <v>BAR_06</v>
      </c>
      <c r="D32"/>
      <c r="E32" s="197"/>
      <c r="F32" s="201"/>
      <c r="G32" s="202"/>
      <c r="H32" s="200"/>
      <c r="I32" s="200"/>
      <c r="J32" s="200"/>
      <c r="K32" s="201"/>
      <c r="L32" s="202"/>
      <c r="M32" s="200"/>
      <c r="N32" s="200"/>
      <c r="O32" s="200"/>
      <c r="P32" s="201"/>
      <c r="Q32" s="202"/>
      <c r="R32" s="200"/>
      <c r="S32" s="200"/>
      <c r="T32" s="200"/>
      <c r="U32" s="201"/>
      <c r="V32" s="202"/>
      <c r="W32" s="200"/>
      <c r="X32" s="200"/>
      <c r="Y32" s="200"/>
      <c r="Z32" s="201"/>
      <c r="AA32" s="202"/>
      <c r="AB32" s="200"/>
      <c r="AC32" s="200"/>
      <c r="AD32" s="200"/>
      <c r="AE32" s="200"/>
      <c r="AF32" s="197" t="str">
        <f>IF('Prepare Gantt Chart'!$M33=2051,"●","")</f>
        <v/>
      </c>
      <c r="AG32" s="203"/>
      <c r="AH32" s="2" t="str">
        <f>'Prepare Gantt Chart'!F33</f>
        <v>Adopt sustainable agro-forestry management</v>
      </c>
    </row>
    <row r="33" spans="1:34" ht="12" customHeight="1" x14ac:dyDescent="0.2">
      <c r="A33" s="196">
        <f>'Prepare Gantt Chart'!C34</f>
        <v>3</v>
      </c>
      <c r="C33" s="2" t="str">
        <f>'Prepare Gantt Chart'!E34</f>
        <v>BAR_07</v>
      </c>
      <c r="D33"/>
      <c r="E33" s="197"/>
      <c r="F33" s="201"/>
      <c r="G33" s="202"/>
      <c r="H33" s="200"/>
      <c r="I33" s="200"/>
      <c r="J33" s="200"/>
      <c r="K33" s="201"/>
      <c r="L33" s="202"/>
      <c r="M33" s="200"/>
      <c r="N33" s="200"/>
      <c r="O33" s="200"/>
      <c r="P33" s="201"/>
      <c r="Q33" s="202"/>
      <c r="R33" s="200"/>
      <c r="S33" s="200"/>
      <c r="T33" s="200"/>
      <c r="U33" s="201"/>
      <c r="V33" s="202"/>
      <c r="W33" s="200"/>
      <c r="X33" s="200"/>
      <c r="Y33" s="200"/>
      <c r="Z33" s="201"/>
      <c r="AA33" s="202"/>
      <c r="AB33" s="200"/>
      <c r="AC33" s="200"/>
      <c r="AD33" s="200"/>
      <c r="AE33" s="200"/>
      <c r="AF33" s="197" t="str">
        <f>IF('Prepare Gantt Chart'!$M34=2051,"●","")</f>
        <v/>
      </c>
      <c r="AG33" s="203"/>
      <c r="AH33" s="2" t="str">
        <f>'Prepare Gantt Chart'!F34</f>
        <v>Adopt carbon taxation for emissions, benefits for sequestration</v>
      </c>
    </row>
    <row r="34" spans="1:34" ht="12" customHeight="1" x14ac:dyDescent="0.2">
      <c r="A34" s="196">
        <f>'Prepare Gantt Chart'!C35</f>
        <v>4</v>
      </c>
      <c r="C34" s="2" t="str">
        <f>'Prepare Gantt Chart'!E35</f>
        <v>FOR_01</v>
      </c>
      <c r="D34"/>
      <c r="E34" s="197"/>
      <c r="F34" s="201"/>
      <c r="G34" s="202"/>
      <c r="H34" s="200"/>
      <c r="I34" s="200"/>
      <c r="J34" s="200"/>
      <c r="K34" s="201"/>
      <c r="L34" s="202"/>
      <c r="M34" s="200"/>
      <c r="N34" s="200"/>
      <c r="O34" s="200"/>
      <c r="P34" s="201"/>
      <c r="Q34" s="202"/>
      <c r="R34" s="200"/>
      <c r="S34" s="200"/>
      <c r="T34" s="200"/>
      <c r="U34" s="201"/>
      <c r="V34" s="202"/>
      <c r="W34" s="200"/>
      <c r="X34" s="200"/>
      <c r="Y34" s="200"/>
      <c r="Z34" s="201"/>
      <c r="AA34" s="202"/>
      <c r="AB34" s="200"/>
      <c r="AC34" s="200"/>
      <c r="AD34" s="200"/>
      <c r="AE34" s="200"/>
      <c r="AF34" s="197" t="str">
        <f>IF('Prepare Gantt Chart'!$M35=2051,"●","")</f>
        <v/>
      </c>
      <c r="AG34" s="203"/>
      <c r="AH34" s="2" t="str">
        <f>'Prepare Gantt Chart'!F35</f>
        <v>Conserve Priority Areas for Species</v>
      </c>
    </row>
    <row r="35" spans="1:34" ht="12" customHeight="1" x14ac:dyDescent="0.2">
      <c r="A35" s="196">
        <f>'Prepare Gantt Chart'!C36</f>
        <v>4</v>
      </c>
      <c r="C35" s="2" t="str">
        <f>'Prepare Gantt Chart'!E36</f>
        <v>FOR_02</v>
      </c>
      <c r="D35"/>
      <c r="E35" s="197"/>
      <c r="F35" s="201"/>
      <c r="G35" s="202"/>
      <c r="H35" s="200"/>
      <c r="I35" s="200"/>
      <c r="J35" s="200"/>
      <c r="K35" s="201"/>
      <c r="L35" s="202"/>
      <c r="M35" s="200"/>
      <c r="N35" s="200"/>
      <c r="O35" s="200"/>
      <c r="P35" s="201"/>
      <c r="Q35" s="202"/>
      <c r="R35" s="200"/>
      <c r="S35" s="200"/>
      <c r="T35" s="200"/>
      <c r="U35" s="201"/>
      <c r="V35" s="202"/>
      <c r="W35" s="200"/>
      <c r="X35" s="200"/>
      <c r="Y35" s="200"/>
      <c r="Z35" s="201"/>
      <c r="AA35" s="202"/>
      <c r="AB35" s="200"/>
      <c r="AC35" s="200"/>
      <c r="AD35" s="200"/>
      <c r="AE35" s="200"/>
      <c r="AF35" s="197" t="str">
        <f>IF('Prepare Gantt Chart'!$M36=2051,"●","")</f>
        <v/>
      </c>
      <c r="AG35" s="203"/>
      <c r="AH35" s="2" t="str">
        <f>'Prepare Gantt Chart'!F36</f>
        <v>Conserve Rare Species</v>
      </c>
    </row>
    <row r="36" spans="1:34" ht="12" customHeight="1" x14ac:dyDescent="0.2">
      <c r="A36" s="196">
        <f>'Prepare Gantt Chart'!C37</f>
        <v>4</v>
      </c>
      <c r="C36" s="2" t="str">
        <f>'Prepare Gantt Chart'!E37</f>
        <v>FOR_03</v>
      </c>
      <c r="D36"/>
      <c r="E36" s="197"/>
      <c r="F36" s="201"/>
      <c r="G36" s="202"/>
      <c r="H36" s="200"/>
      <c r="I36" s="200"/>
      <c r="J36" s="200"/>
      <c r="K36" s="201"/>
      <c r="L36" s="202"/>
      <c r="M36" s="200"/>
      <c r="N36" s="200"/>
      <c r="O36" s="200"/>
      <c r="P36" s="201"/>
      <c r="Q36" s="202"/>
      <c r="R36" s="200"/>
      <c r="S36" s="200"/>
      <c r="T36" s="200"/>
      <c r="U36" s="201"/>
      <c r="V36" s="202"/>
      <c r="W36" s="200"/>
      <c r="X36" s="200"/>
      <c r="Y36" s="200"/>
      <c r="Z36" s="201"/>
      <c r="AA36" s="202"/>
      <c r="AB36" s="200"/>
      <c r="AC36" s="200"/>
      <c r="AD36" s="200"/>
      <c r="AE36" s="200"/>
      <c r="AF36" s="197" t="str">
        <f>IF('Prepare Gantt Chart'!$M37=2051,"●","")</f>
        <v/>
      </c>
      <c r="AG36" s="203"/>
      <c r="AH36" s="2" t="str">
        <f>'Prepare Gantt Chart'!F37</f>
        <v>Enhance old-growth forest conservation</v>
      </c>
    </row>
    <row r="37" spans="1:34" ht="12" customHeight="1" x14ac:dyDescent="0.2">
      <c r="A37" s="196">
        <f>'Prepare Gantt Chart'!C38</f>
        <v>4</v>
      </c>
      <c r="C37" s="2" t="str">
        <f>'Prepare Gantt Chart'!E38</f>
        <v>FOR_04</v>
      </c>
      <c r="D37"/>
      <c r="E37" s="197"/>
      <c r="F37" s="201"/>
      <c r="G37" s="202"/>
      <c r="H37" s="200"/>
      <c r="I37" s="200"/>
      <c r="J37" s="200"/>
      <c r="K37" s="201"/>
      <c r="L37" s="202"/>
      <c r="M37" s="200"/>
      <c r="N37" s="200"/>
      <c r="O37" s="200"/>
      <c r="P37" s="201"/>
      <c r="Q37" s="202"/>
      <c r="R37" s="200"/>
      <c r="S37" s="200"/>
      <c r="T37" s="200"/>
      <c r="U37" s="201"/>
      <c r="V37" s="202"/>
      <c r="W37" s="200"/>
      <c r="X37" s="200"/>
      <c r="Y37" s="200"/>
      <c r="Z37" s="201"/>
      <c r="AA37" s="202"/>
      <c r="AB37" s="200"/>
      <c r="AC37" s="200"/>
      <c r="AD37" s="200"/>
      <c r="AE37" s="200"/>
      <c r="AF37" s="197" t="str">
        <f>IF('Prepare Gantt Chart'!$M38=2051,"●","")</f>
        <v/>
      </c>
      <c r="AG37" s="203"/>
      <c r="AH37" s="2" t="str">
        <f>'Prepare Gantt Chart'!F38</f>
        <v>Enhance conservation from deforestation</v>
      </c>
    </row>
    <row r="38" spans="1:34" ht="12" customHeight="1" x14ac:dyDescent="0.2">
      <c r="A38" s="196">
        <f>'Prepare Gantt Chart'!C39</f>
        <v>4</v>
      </c>
      <c r="C38" s="2" t="str">
        <f>'Prepare Gantt Chart'!E39</f>
        <v>FOR_05</v>
      </c>
      <c r="D38"/>
      <c r="E38" s="197"/>
      <c r="F38" s="201"/>
      <c r="G38" s="202"/>
      <c r="H38" s="200"/>
      <c r="I38" s="200"/>
      <c r="J38" s="200"/>
      <c r="K38" s="201"/>
      <c r="L38" s="202"/>
      <c r="M38" s="200"/>
      <c r="N38" s="200"/>
      <c r="O38" s="200"/>
      <c r="P38" s="201"/>
      <c r="Q38" s="202"/>
      <c r="R38" s="200"/>
      <c r="S38" s="200"/>
      <c r="T38" s="200"/>
      <c r="U38" s="201"/>
      <c r="V38" s="202"/>
      <c r="W38" s="200"/>
      <c r="X38" s="200"/>
      <c r="Y38" s="200"/>
      <c r="Z38" s="201"/>
      <c r="AA38" s="202"/>
      <c r="AB38" s="200"/>
      <c r="AC38" s="200"/>
      <c r="AD38" s="200"/>
      <c r="AE38" s="200"/>
      <c r="AF38" s="197" t="str">
        <f>IF('Prepare Gantt Chart'!$M39=2051,"●","")</f>
        <v/>
      </c>
      <c r="AG38" s="203"/>
      <c r="AH38" s="2" t="str">
        <f>'Prepare Gantt Chart'!F39</f>
        <v>Enhance sustainable forest mangement</v>
      </c>
    </row>
    <row r="39" spans="1:34" ht="12" customHeight="1" x14ac:dyDescent="0.2">
      <c r="A39" s="196">
        <f>'Prepare Gantt Chart'!C40</f>
        <v>4</v>
      </c>
      <c r="C39" s="2" t="str">
        <f>'Prepare Gantt Chart'!E40</f>
        <v>FOR_06</v>
      </c>
      <c r="D39"/>
      <c r="E39" s="197"/>
      <c r="F39" s="201"/>
      <c r="G39" s="202"/>
      <c r="H39" s="200"/>
      <c r="I39" s="200"/>
      <c r="J39" s="200"/>
      <c r="K39" s="201"/>
      <c r="L39" s="202"/>
      <c r="M39" s="200"/>
      <c r="N39" s="200"/>
      <c r="O39" s="200"/>
      <c r="P39" s="201"/>
      <c r="Q39" s="202"/>
      <c r="R39" s="200"/>
      <c r="S39" s="200"/>
      <c r="T39" s="200"/>
      <c r="U39" s="201"/>
      <c r="V39" s="202"/>
      <c r="W39" s="200"/>
      <c r="X39" s="200"/>
      <c r="Y39" s="200"/>
      <c r="Z39" s="201"/>
      <c r="AA39" s="202"/>
      <c r="AB39" s="200"/>
      <c r="AC39" s="200"/>
      <c r="AD39" s="200"/>
      <c r="AE39" s="200"/>
      <c r="AF39" s="197" t="str">
        <f>IF('Prepare Gantt Chart'!$M40=2051,"●","")</f>
        <v/>
      </c>
      <c r="AG39" s="203"/>
      <c r="AH39" s="2" t="str">
        <f>'Prepare Gantt Chart'!F40</f>
        <v>Enhance sustainable grassland management</v>
      </c>
    </row>
    <row r="40" spans="1:34" ht="12" customHeight="1" x14ac:dyDescent="0.2">
      <c r="A40" s="196">
        <f>'Prepare Gantt Chart'!C41</f>
        <v>4</v>
      </c>
      <c r="C40" s="2" t="str">
        <f>'Prepare Gantt Chart'!E41</f>
        <v>FOR_07</v>
      </c>
      <c r="D40"/>
      <c r="E40" s="197"/>
      <c r="F40" s="201"/>
      <c r="G40" s="202"/>
      <c r="H40" s="200"/>
      <c r="I40" s="200"/>
      <c r="J40" s="200"/>
      <c r="K40" s="201"/>
      <c r="L40" s="202"/>
      <c r="M40" s="200"/>
      <c r="N40" s="200"/>
      <c r="O40" s="200"/>
      <c r="P40" s="201"/>
      <c r="Q40" s="202"/>
      <c r="R40" s="200"/>
      <c r="S40" s="200"/>
      <c r="T40" s="200"/>
      <c r="U40" s="201"/>
      <c r="V40" s="202"/>
      <c r="W40" s="200"/>
      <c r="X40" s="200"/>
      <c r="Y40" s="200"/>
      <c r="Z40" s="201"/>
      <c r="AA40" s="202"/>
      <c r="AB40" s="200"/>
      <c r="AC40" s="200"/>
      <c r="AD40" s="200"/>
      <c r="AE40" s="200"/>
      <c r="AF40" s="197" t="str">
        <f>IF('Prepare Gantt Chart'!$M41=2051,"●","")</f>
        <v/>
      </c>
      <c r="AG40" s="203"/>
      <c r="AH40" s="2" t="str">
        <f>'Prepare Gantt Chart'!F41</f>
        <v>Enhance forest restoration</v>
      </c>
    </row>
    <row r="41" spans="1:34" ht="12" customHeight="1" x14ac:dyDescent="0.2">
      <c r="A41" s="196">
        <f>'Prepare Gantt Chart'!C42</f>
        <v>4</v>
      </c>
      <c r="C41" s="2" t="str">
        <f>'Prepare Gantt Chart'!E42</f>
        <v>FOR_08</v>
      </c>
      <c r="D41"/>
      <c r="E41" s="197"/>
      <c r="F41" s="201"/>
      <c r="G41" s="202"/>
      <c r="H41" s="200"/>
      <c r="I41" s="200"/>
      <c r="J41" s="200"/>
      <c r="K41" s="201"/>
      <c r="L41" s="202"/>
      <c r="M41" s="200"/>
      <c r="N41" s="200"/>
      <c r="O41" s="200"/>
      <c r="P41" s="201"/>
      <c r="Q41" s="202"/>
      <c r="R41" s="200"/>
      <c r="S41" s="200"/>
      <c r="T41" s="200"/>
      <c r="U41" s="201"/>
      <c r="V41" s="202"/>
      <c r="W41" s="200"/>
      <c r="X41" s="200"/>
      <c r="Y41" s="200"/>
      <c r="Z41" s="201"/>
      <c r="AA41" s="202"/>
      <c r="AB41" s="200"/>
      <c r="AC41" s="200"/>
      <c r="AD41" s="200"/>
      <c r="AE41" s="200"/>
      <c r="AF41" s="197" t="str">
        <f>IF('Prepare Gantt Chart'!$M42=2051,"●","")</f>
        <v/>
      </c>
      <c r="AG41" s="203"/>
      <c r="AH41" s="2" t="str">
        <f>'Prepare Gantt Chart'!F42</f>
        <v>Enhance grassland restoration</v>
      </c>
    </row>
    <row r="42" spans="1:34" ht="12" customHeight="1" x14ac:dyDescent="0.2">
      <c r="A42" s="196">
        <f>'Prepare Gantt Chart'!C43</f>
        <v>4</v>
      </c>
      <c r="C42" s="2" t="str">
        <f>'Prepare Gantt Chart'!E43</f>
        <v>FOR_09</v>
      </c>
      <c r="D42"/>
      <c r="E42" s="197"/>
      <c r="F42" s="201"/>
      <c r="G42" s="202"/>
      <c r="H42" s="200"/>
      <c r="I42" s="200"/>
      <c r="J42" s="200"/>
      <c r="K42" s="201"/>
      <c r="L42" s="202"/>
      <c r="M42" s="200"/>
      <c r="N42" s="200"/>
      <c r="O42" s="200"/>
      <c r="P42" s="201"/>
      <c r="Q42" s="202"/>
      <c r="R42" s="200"/>
      <c r="S42" s="200"/>
      <c r="T42" s="200"/>
      <c r="U42" s="201"/>
      <c r="V42" s="202"/>
      <c r="W42" s="200"/>
      <c r="X42" s="200"/>
      <c r="Y42" s="200"/>
      <c r="Z42" s="201"/>
      <c r="AA42" s="202"/>
      <c r="AB42" s="200"/>
      <c r="AC42" s="200"/>
      <c r="AD42" s="200"/>
      <c r="AE42" s="200"/>
      <c r="AF42" s="197" t="str">
        <f>IF('Prepare Gantt Chart'!$M43=2051,"●","")</f>
        <v/>
      </c>
      <c r="AG42" s="203"/>
      <c r="AH42" s="2" t="str">
        <f>'Prepare Gantt Chart'!F43</f>
        <v>Enhance agroforestry</v>
      </c>
    </row>
    <row r="43" spans="1:34" ht="12" customHeight="1" x14ac:dyDescent="0.2">
      <c r="A43" s="196">
        <f>'Prepare Gantt Chart'!C44</f>
        <v>4</v>
      </c>
      <c r="C43" s="2" t="str">
        <f>'Prepare Gantt Chart'!E44</f>
        <v>FOR_10</v>
      </c>
      <c r="D43"/>
      <c r="E43" s="197"/>
      <c r="F43" s="201"/>
      <c r="G43" s="202"/>
      <c r="H43" s="200"/>
      <c r="I43" s="200"/>
      <c r="J43" s="200"/>
      <c r="K43" s="201"/>
      <c r="L43" s="202"/>
      <c r="M43" s="200"/>
      <c r="N43" s="200"/>
      <c r="O43" s="200"/>
      <c r="P43" s="201"/>
      <c r="Q43" s="202"/>
      <c r="R43" s="200"/>
      <c r="S43" s="200"/>
      <c r="T43" s="200"/>
      <c r="U43" s="201"/>
      <c r="V43" s="202"/>
      <c r="W43" s="200"/>
      <c r="X43" s="200"/>
      <c r="Y43" s="200"/>
      <c r="Z43" s="201"/>
      <c r="AA43" s="202"/>
      <c r="AB43" s="200"/>
      <c r="AC43" s="200"/>
      <c r="AD43" s="200"/>
      <c r="AE43" s="200"/>
      <c r="AF43" s="197" t="str">
        <f>IF('Prepare Gantt Chart'!$M44=2051,"●","")</f>
        <v/>
      </c>
      <c r="AG43" s="203"/>
      <c r="AH43" s="2" t="str">
        <f>'Prepare Gantt Chart'!F44</f>
        <v>Enhance silviculture</v>
      </c>
    </row>
    <row r="44" spans="1:34" ht="12" customHeight="1" x14ac:dyDescent="0.2">
      <c r="A44" s="196">
        <f>'Prepare Gantt Chart'!C45</f>
        <v>4</v>
      </c>
      <c r="C44" s="2" t="str">
        <f>'Prepare Gantt Chart'!E45</f>
        <v>FOR_11</v>
      </c>
      <c r="D44"/>
      <c r="E44" s="197"/>
      <c r="F44" s="201"/>
      <c r="G44" s="202"/>
      <c r="H44" s="200"/>
      <c r="I44" s="200"/>
      <c r="J44" s="200"/>
      <c r="K44" s="201"/>
      <c r="L44" s="202"/>
      <c r="M44" s="200"/>
      <c r="N44" s="200"/>
      <c r="O44" s="200"/>
      <c r="P44" s="201"/>
      <c r="Q44" s="202"/>
      <c r="R44" s="200"/>
      <c r="S44" s="200"/>
      <c r="T44" s="200"/>
      <c r="U44" s="201"/>
      <c r="V44" s="202"/>
      <c r="W44" s="200"/>
      <c r="X44" s="200"/>
      <c r="Y44" s="200"/>
      <c r="Z44" s="201"/>
      <c r="AA44" s="202"/>
      <c r="AB44" s="200"/>
      <c r="AC44" s="200"/>
      <c r="AD44" s="200"/>
      <c r="AE44" s="200"/>
      <c r="AF44" s="197" t="str">
        <f>IF('Prepare Gantt Chart'!$M45=2051,"●","")</f>
        <v/>
      </c>
      <c r="AG44" s="203"/>
      <c r="AH44" s="2" t="str">
        <f>'Prepare Gantt Chart'!F45</f>
        <v>Enhance silvo-pastoral practices</v>
      </c>
    </row>
    <row r="45" spans="1:34" ht="12" customHeight="1" x14ac:dyDescent="0.2">
      <c r="A45" s="196">
        <f>'Prepare Gantt Chart'!C46</f>
        <v>4</v>
      </c>
      <c r="C45" s="2" t="str">
        <f>'Prepare Gantt Chart'!E46</f>
        <v>FOR_12</v>
      </c>
      <c r="D45"/>
      <c r="E45" s="197"/>
      <c r="F45" s="201"/>
      <c r="G45" s="202"/>
      <c r="H45" s="200"/>
      <c r="I45" s="200"/>
      <c r="J45" s="200"/>
      <c r="K45" s="201"/>
      <c r="L45" s="202"/>
      <c r="M45" s="200"/>
      <c r="N45" s="200"/>
      <c r="O45" s="200"/>
      <c r="P45" s="201"/>
      <c r="Q45" s="202"/>
      <c r="R45" s="200"/>
      <c r="S45" s="200"/>
      <c r="T45" s="200"/>
      <c r="U45" s="201"/>
      <c r="V45" s="202"/>
      <c r="W45" s="200"/>
      <c r="X45" s="200"/>
      <c r="Y45" s="200"/>
      <c r="Z45" s="201"/>
      <c r="AA45" s="202"/>
      <c r="AB45" s="200"/>
      <c r="AC45" s="200"/>
      <c r="AD45" s="200"/>
      <c r="AE45" s="200"/>
      <c r="AF45" s="197" t="str">
        <f>IF('Prepare Gantt Chart'!$M46=2051,"●","")</f>
        <v/>
      </c>
      <c r="AG45" s="203"/>
      <c r="AH45" s="2" t="str">
        <f>'Prepare Gantt Chart'!F46</f>
        <v xml:space="preserve">Enhance energy efficiency </v>
      </c>
    </row>
    <row r="46" spans="1:34" ht="12" customHeight="1" x14ac:dyDescent="0.2">
      <c r="A46" s="196">
        <f>'Prepare Gantt Chart'!C47</f>
        <v>4</v>
      </c>
      <c r="C46" s="2" t="str">
        <f>'Prepare Gantt Chart'!E47</f>
        <v>FOR_13</v>
      </c>
      <c r="D46"/>
      <c r="E46" s="197"/>
      <c r="F46" s="201"/>
      <c r="G46" s="202"/>
      <c r="H46" s="200"/>
      <c r="I46" s="200"/>
      <c r="J46" s="200"/>
      <c r="K46" s="201"/>
      <c r="L46" s="202"/>
      <c r="M46" s="200"/>
      <c r="N46" s="200"/>
      <c r="O46" s="200"/>
      <c r="P46" s="201"/>
      <c r="Q46" s="202"/>
      <c r="R46" s="200"/>
      <c r="S46" s="200"/>
      <c r="T46" s="200"/>
      <c r="U46" s="201"/>
      <c r="V46" s="202"/>
      <c r="W46" s="200"/>
      <c r="X46" s="200"/>
      <c r="Y46" s="200"/>
      <c r="Z46" s="201"/>
      <c r="AA46" s="202"/>
      <c r="AB46" s="200"/>
      <c r="AC46" s="200"/>
      <c r="AD46" s="200"/>
      <c r="AE46" s="200"/>
      <c r="AF46" s="197" t="str">
        <f>IF('Prepare Gantt Chart'!$M47=2051,"●","")</f>
        <v/>
      </c>
      <c r="AG46" s="203"/>
      <c r="AH46" s="2" t="str">
        <f>'Prepare Gantt Chart'!F47</f>
        <v>Enhance fire-prone areas management</v>
      </c>
    </row>
    <row r="47" spans="1:34" ht="12" customHeight="1" x14ac:dyDescent="0.2">
      <c r="A47" s="196">
        <f>'Prepare Gantt Chart'!C48</f>
        <v>4</v>
      </c>
      <c r="C47" s="2" t="str">
        <f>'Prepare Gantt Chart'!E48</f>
        <v>FOR_14</v>
      </c>
      <c r="D47"/>
      <c r="E47" s="197"/>
      <c r="F47" s="201"/>
      <c r="G47" s="202"/>
      <c r="H47" s="200"/>
      <c r="I47" s="200"/>
      <c r="J47" s="200"/>
      <c r="K47" s="201"/>
      <c r="L47" s="202"/>
      <c r="M47" s="200"/>
      <c r="N47" s="200"/>
      <c r="O47" s="200"/>
      <c r="P47" s="201"/>
      <c r="Q47" s="202"/>
      <c r="R47" s="200"/>
      <c r="S47" s="200"/>
      <c r="T47" s="200"/>
      <c r="U47" s="201"/>
      <c r="V47" s="202"/>
      <c r="W47" s="200"/>
      <c r="X47" s="200"/>
      <c r="Y47" s="200"/>
      <c r="Z47" s="201"/>
      <c r="AA47" s="202"/>
      <c r="AB47" s="200"/>
      <c r="AC47" s="200"/>
      <c r="AD47" s="200"/>
      <c r="AE47" s="200"/>
      <c r="AF47" s="197" t="str">
        <f>IF('Prepare Gantt Chart'!$M48=2051,"●","")</f>
        <v/>
      </c>
      <c r="AG47" s="203"/>
      <c r="AH47" s="2" t="str">
        <f>'Prepare Gantt Chart'!F48</f>
        <v>Adopt carbon taxation for emissions, benefits for sequestration</v>
      </c>
    </row>
    <row r="48" spans="1:34" ht="12" customHeight="1" x14ac:dyDescent="0.2">
      <c r="A48" s="196">
        <f>'Prepare Gantt Chart'!C49</f>
        <v>4</v>
      </c>
      <c r="C48" s="2" t="str">
        <f>'Prepare Gantt Chart'!E49</f>
        <v>FOR_15</v>
      </c>
      <c r="D48"/>
      <c r="E48" s="197"/>
      <c r="F48" s="201"/>
      <c r="G48" s="202"/>
      <c r="H48" s="200"/>
      <c r="I48" s="200"/>
      <c r="J48" s="200"/>
      <c r="K48" s="201"/>
      <c r="L48" s="202"/>
      <c r="M48" s="200"/>
      <c r="N48" s="200"/>
      <c r="O48" s="200"/>
      <c r="P48" s="201"/>
      <c r="Q48" s="202"/>
      <c r="R48" s="200"/>
      <c r="S48" s="200"/>
      <c r="T48" s="200"/>
      <c r="U48" s="201"/>
      <c r="V48" s="202"/>
      <c r="W48" s="200"/>
      <c r="X48" s="200"/>
      <c r="Y48" s="200"/>
      <c r="Z48" s="201"/>
      <c r="AA48" s="202"/>
      <c r="AB48" s="200"/>
      <c r="AC48" s="200"/>
      <c r="AD48" s="200"/>
      <c r="AE48" s="200"/>
      <c r="AF48" s="197" t="str">
        <f>IF('Prepare Gantt Chart'!$M49=2051,"●","")</f>
        <v/>
      </c>
      <c r="AG48" s="203"/>
      <c r="AH48" s="2" t="str">
        <f>'Prepare Gantt Chart'!F49</f>
        <v>Adopt carbon offsets</v>
      </c>
    </row>
    <row r="49" spans="1:34" ht="12" customHeight="1" x14ac:dyDescent="0.2">
      <c r="A49" s="196">
        <f>'Prepare Gantt Chart'!C50</f>
        <v>5</v>
      </c>
      <c r="C49" s="2" t="str">
        <f>'Prepare Gantt Chart'!E50</f>
        <v>AGR_01</v>
      </c>
      <c r="D49"/>
      <c r="E49" s="197"/>
      <c r="F49" s="201"/>
      <c r="G49" s="202"/>
      <c r="H49" s="200"/>
      <c r="I49" s="200"/>
      <c r="J49" s="200"/>
      <c r="K49" s="201"/>
      <c r="L49" s="202"/>
      <c r="M49" s="200"/>
      <c r="N49" s="200"/>
      <c r="O49" s="200"/>
      <c r="P49" s="201"/>
      <c r="Q49" s="202"/>
      <c r="R49" s="200"/>
      <c r="S49" s="200"/>
      <c r="T49" s="200"/>
      <c r="U49" s="201"/>
      <c r="V49" s="202"/>
      <c r="W49" s="200"/>
      <c r="X49" s="200"/>
      <c r="Y49" s="200"/>
      <c r="Z49" s="201"/>
      <c r="AA49" s="202"/>
      <c r="AB49" s="200"/>
      <c r="AC49" s="200"/>
      <c r="AD49" s="200"/>
      <c r="AE49" s="200"/>
      <c r="AF49" s="197" t="str">
        <f>IF('Prepare Gantt Chart'!$M50=2051,"●","")</f>
        <v/>
      </c>
      <c r="AG49" s="203"/>
      <c r="AH49" s="2" t="str">
        <f>'Prepare Gantt Chart'!F50</f>
        <v>Enhance conservation of productive soils</v>
      </c>
    </row>
    <row r="50" spans="1:34" ht="12" customHeight="1" x14ac:dyDescent="0.2">
      <c r="A50" s="196">
        <f>'Prepare Gantt Chart'!C51</f>
        <v>5</v>
      </c>
      <c r="C50" s="2" t="str">
        <f>'Prepare Gantt Chart'!E51</f>
        <v>AGR_02</v>
      </c>
      <c r="D50"/>
      <c r="E50" s="197"/>
      <c r="F50" s="201"/>
      <c r="G50" s="202"/>
      <c r="H50" s="200"/>
      <c r="I50" s="200"/>
      <c r="J50" s="200"/>
      <c r="K50" s="201"/>
      <c r="L50" s="202"/>
      <c r="M50" s="200"/>
      <c r="N50" s="200"/>
      <c r="O50" s="200"/>
      <c r="P50" s="201"/>
      <c r="Q50" s="202"/>
      <c r="R50" s="200"/>
      <c r="S50" s="200"/>
      <c r="T50" s="200"/>
      <c r="U50" s="201"/>
      <c r="V50" s="202"/>
      <c r="W50" s="200"/>
      <c r="X50" s="200"/>
      <c r="Y50" s="200"/>
      <c r="Z50" s="201"/>
      <c r="AA50" s="202"/>
      <c r="AB50" s="200"/>
      <c r="AC50" s="200"/>
      <c r="AD50" s="200"/>
      <c r="AE50" s="200"/>
      <c r="AF50" s="197" t="str">
        <f>IF('Prepare Gantt Chart'!$M51=2051,"●","")</f>
        <v/>
      </c>
      <c r="AG50" s="203"/>
      <c r="AH50" s="2" t="str">
        <f>'Prepare Gantt Chart'!F51</f>
        <v>Enhance afforestation</v>
      </c>
    </row>
    <row r="51" spans="1:34" ht="12" customHeight="1" x14ac:dyDescent="0.2">
      <c r="A51" s="196">
        <f>'Prepare Gantt Chart'!C52</f>
        <v>5</v>
      </c>
      <c r="C51" s="2" t="str">
        <f>'Prepare Gantt Chart'!E52</f>
        <v>AGR_03</v>
      </c>
      <c r="D51"/>
      <c r="E51" s="197"/>
      <c r="F51" s="201"/>
      <c r="G51" s="202"/>
      <c r="H51" s="200"/>
      <c r="I51" s="200"/>
      <c r="J51" s="200"/>
      <c r="K51" s="201"/>
      <c r="L51" s="202"/>
      <c r="M51" s="200"/>
      <c r="N51" s="200"/>
      <c r="O51" s="200"/>
      <c r="P51" s="201"/>
      <c r="Q51" s="202"/>
      <c r="R51" s="200"/>
      <c r="S51" s="200"/>
      <c r="T51" s="200"/>
      <c r="U51" s="201"/>
      <c r="V51" s="202"/>
      <c r="W51" s="200"/>
      <c r="X51" s="200"/>
      <c r="Y51" s="200"/>
      <c r="Z51" s="201"/>
      <c r="AA51" s="202"/>
      <c r="AB51" s="200"/>
      <c r="AC51" s="200"/>
      <c r="AD51" s="200"/>
      <c r="AE51" s="200"/>
      <c r="AF51" s="197" t="str">
        <f>IF('Prepare Gantt Chart'!$M52=2051,"●","")</f>
        <v/>
      </c>
      <c r="AG51" s="203"/>
      <c r="AH51" s="2" t="str">
        <f>'Prepare Gantt Chart'!F52</f>
        <v>Enhance sustainable crops emissions management</v>
      </c>
    </row>
    <row r="52" spans="1:34" ht="12" customHeight="1" x14ac:dyDescent="0.2">
      <c r="A52" s="196">
        <f>'Prepare Gantt Chart'!C53</f>
        <v>5</v>
      </c>
      <c r="C52" s="2" t="str">
        <f>'Prepare Gantt Chart'!E53</f>
        <v>AGR_04</v>
      </c>
      <c r="D52"/>
      <c r="E52" s="197"/>
      <c r="F52" s="201"/>
      <c r="G52" s="202"/>
      <c r="H52" s="200"/>
      <c r="I52" s="200"/>
      <c r="J52" s="200"/>
      <c r="K52" s="201"/>
      <c r="L52" s="202"/>
      <c r="M52" s="200"/>
      <c r="N52" s="200"/>
      <c r="O52" s="200"/>
      <c r="P52" s="201"/>
      <c r="Q52" s="202"/>
      <c r="R52" s="200"/>
      <c r="S52" s="200"/>
      <c r="T52" s="200"/>
      <c r="U52" s="201"/>
      <c r="V52" s="202"/>
      <c r="W52" s="200"/>
      <c r="X52" s="200"/>
      <c r="Y52" s="200"/>
      <c r="Z52" s="201"/>
      <c r="AA52" s="202"/>
      <c r="AB52" s="200"/>
      <c r="AC52" s="200"/>
      <c r="AD52" s="200"/>
      <c r="AE52" s="200"/>
      <c r="AF52" s="197" t="str">
        <f>IF('Prepare Gantt Chart'!$M53=2051,"●","")</f>
        <v/>
      </c>
      <c r="AG52" s="203"/>
      <c r="AH52" s="2" t="str">
        <f>'Prepare Gantt Chart'!F53</f>
        <v>Enhance sustainable pasture emissions management</v>
      </c>
    </row>
    <row r="53" spans="1:34" ht="12" customHeight="1" x14ac:dyDescent="0.2">
      <c r="A53" s="196">
        <f>'Prepare Gantt Chart'!C54</f>
        <v>5</v>
      </c>
      <c r="C53" s="2" t="str">
        <f>'Prepare Gantt Chart'!E54</f>
        <v>AGR_05</v>
      </c>
      <c r="D53"/>
      <c r="E53" s="197"/>
      <c r="F53" s="201"/>
      <c r="G53" s="202"/>
      <c r="H53" s="200"/>
      <c r="I53" s="200"/>
      <c r="J53" s="200"/>
      <c r="K53" s="201"/>
      <c r="L53" s="202"/>
      <c r="M53" s="200"/>
      <c r="N53" s="200"/>
      <c r="O53" s="200"/>
      <c r="P53" s="201"/>
      <c r="Q53" s="202"/>
      <c r="R53" s="200"/>
      <c r="S53" s="200"/>
      <c r="T53" s="200"/>
      <c r="U53" s="201"/>
      <c r="V53" s="202"/>
      <c r="W53" s="200"/>
      <c r="X53" s="200"/>
      <c r="Y53" s="200"/>
      <c r="Z53" s="201"/>
      <c r="AA53" s="202"/>
      <c r="AB53" s="200"/>
      <c r="AC53" s="200"/>
      <c r="AD53" s="200"/>
      <c r="AE53" s="200"/>
      <c r="AF53" s="197" t="str">
        <f>IF('Prepare Gantt Chart'!$M54=2051,"●","")</f>
        <v/>
      </c>
      <c r="AG53" s="203"/>
      <c r="AH53" s="2" t="str">
        <f>'Prepare Gantt Chart'!F54</f>
        <v>Enhance sustainable rice fields emissions management</v>
      </c>
    </row>
    <row r="54" spans="1:34" ht="12" customHeight="1" x14ac:dyDescent="0.2">
      <c r="A54" s="196">
        <f>'Prepare Gantt Chart'!C55</f>
        <v>5</v>
      </c>
      <c r="C54" s="2" t="str">
        <f>'Prepare Gantt Chart'!E55</f>
        <v>AGR_06</v>
      </c>
      <c r="D54"/>
      <c r="E54" s="197"/>
      <c r="F54" s="201"/>
      <c r="G54" s="202"/>
      <c r="H54" s="200"/>
      <c r="I54" s="200"/>
      <c r="J54" s="200"/>
      <c r="K54" s="201"/>
      <c r="L54" s="202"/>
      <c r="M54" s="200"/>
      <c r="N54" s="200"/>
      <c r="O54" s="200"/>
      <c r="P54" s="201"/>
      <c r="Q54" s="202"/>
      <c r="R54" s="200"/>
      <c r="S54" s="200"/>
      <c r="T54" s="200"/>
      <c r="U54" s="201"/>
      <c r="V54" s="202"/>
      <c r="W54" s="200"/>
      <c r="X54" s="200"/>
      <c r="Y54" s="200"/>
      <c r="Z54" s="201"/>
      <c r="AA54" s="202"/>
      <c r="AB54" s="200"/>
      <c r="AC54" s="200"/>
      <c r="AD54" s="200"/>
      <c r="AE54" s="200"/>
      <c r="AF54" s="197" t="str">
        <f>IF('Prepare Gantt Chart'!$M55=2051,"●","")</f>
        <v/>
      </c>
      <c r="AG54" s="203"/>
      <c r="AH54" s="2" t="str">
        <f>'Prepare Gantt Chart'!F55</f>
        <v>Enhance sustainable manure emissions management</v>
      </c>
    </row>
    <row r="55" spans="1:34" ht="12" customHeight="1" x14ac:dyDescent="0.2">
      <c r="A55" s="196">
        <f>'Prepare Gantt Chart'!C56</f>
        <v>5</v>
      </c>
      <c r="C55" s="2" t="str">
        <f>'Prepare Gantt Chart'!E56</f>
        <v>AGR_07</v>
      </c>
      <c r="D55"/>
      <c r="E55" s="197"/>
      <c r="F55" s="201"/>
      <c r="G55" s="202"/>
      <c r="H55" s="200"/>
      <c r="I55" s="200"/>
      <c r="J55" s="200"/>
      <c r="K55" s="201"/>
      <c r="L55" s="202"/>
      <c r="M55" s="200"/>
      <c r="N55" s="200"/>
      <c r="O55" s="200"/>
      <c r="P55" s="201"/>
      <c r="Q55" s="202"/>
      <c r="R55" s="200"/>
      <c r="S55" s="200"/>
      <c r="T55" s="200"/>
      <c r="U55" s="201"/>
      <c r="V55" s="202"/>
      <c r="W55" s="200"/>
      <c r="X55" s="200"/>
      <c r="Y55" s="200"/>
      <c r="Z55" s="201"/>
      <c r="AA55" s="202"/>
      <c r="AB55" s="200"/>
      <c r="AC55" s="200"/>
      <c r="AD55" s="200"/>
      <c r="AE55" s="200"/>
      <c r="AF55" s="197" t="str">
        <f>IF('Prepare Gantt Chart'!$M56=2051,"●","")</f>
        <v/>
      </c>
      <c r="AG55" s="203"/>
      <c r="AH55" s="2" t="str">
        <f>'Prepare Gantt Chart'!F56</f>
        <v>Reduce enteric fermentation</v>
      </c>
    </row>
    <row r="56" spans="1:34" ht="12" customHeight="1" x14ac:dyDescent="0.2">
      <c r="A56" s="196">
        <f>'Prepare Gantt Chart'!C57</f>
        <v>5</v>
      </c>
      <c r="C56" s="2" t="str">
        <f>'Prepare Gantt Chart'!E57</f>
        <v>AGR_08</v>
      </c>
      <c r="D56"/>
      <c r="E56" s="197"/>
      <c r="F56" s="201"/>
      <c r="G56" s="202"/>
      <c r="H56" s="200"/>
      <c r="I56" s="200"/>
      <c r="J56" s="200"/>
      <c r="K56" s="201"/>
      <c r="L56" s="202"/>
      <c r="M56" s="200"/>
      <c r="N56" s="200"/>
      <c r="O56" s="200"/>
      <c r="P56" s="201"/>
      <c r="Q56" s="202"/>
      <c r="R56" s="200"/>
      <c r="S56" s="200"/>
      <c r="T56" s="200"/>
      <c r="U56" s="201"/>
      <c r="V56" s="202"/>
      <c r="W56" s="200"/>
      <c r="X56" s="200"/>
      <c r="Y56" s="200"/>
      <c r="Z56" s="201"/>
      <c r="AA56" s="202"/>
      <c r="AB56" s="200"/>
      <c r="AC56" s="200"/>
      <c r="AD56" s="200"/>
      <c r="AE56" s="200"/>
      <c r="AF56" s="197" t="str">
        <f>IF('Prepare Gantt Chart'!$M57=2051,"●","")</f>
        <v/>
      </c>
      <c r="AG56" s="203"/>
      <c r="AH56" s="2" t="str">
        <f>'Prepare Gantt Chart'!F57</f>
        <v>Reduce use of synthetic fertilizers</v>
      </c>
    </row>
    <row r="57" spans="1:34" ht="12" customHeight="1" x14ac:dyDescent="0.2">
      <c r="A57" s="196">
        <f>'Prepare Gantt Chart'!C58</f>
        <v>5</v>
      </c>
      <c r="C57" s="2" t="str">
        <f>'Prepare Gantt Chart'!E58</f>
        <v>AGR_09</v>
      </c>
      <c r="D57"/>
      <c r="E57" s="197"/>
      <c r="F57" s="201"/>
      <c r="G57" s="202"/>
      <c r="H57" s="200"/>
      <c r="I57" s="200"/>
      <c r="J57" s="200"/>
      <c r="K57" s="201"/>
      <c r="L57" s="202"/>
      <c r="M57" s="200"/>
      <c r="N57" s="200"/>
      <c r="O57" s="200"/>
      <c r="P57" s="201"/>
      <c r="Q57" s="202"/>
      <c r="R57" s="200"/>
      <c r="S57" s="200"/>
      <c r="T57" s="200"/>
      <c r="U57" s="201"/>
      <c r="V57" s="202"/>
      <c r="W57" s="200"/>
      <c r="X57" s="200"/>
      <c r="Y57" s="200"/>
      <c r="Z57" s="201"/>
      <c r="AA57" s="202"/>
      <c r="AB57" s="200"/>
      <c r="AC57" s="200"/>
      <c r="AD57" s="200"/>
      <c r="AE57" s="200"/>
      <c r="AF57" s="197" t="str">
        <f>IF('Prepare Gantt Chart'!$M58=2051,"●","")</f>
        <v/>
      </c>
      <c r="AG57" s="203"/>
      <c r="AH57" s="2" t="str">
        <f>'Prepare Gantt Chart'!F58</f>
        <v xml:space="preserve">Enhance sustainable water management </v>
      </c>
    </row>
    <row r="58" spans="1:34" ht="12" customHeight="1" x14ac:dyDescent="0.2">
      <c r="A58" s="196">
        <f>'Prepare Gantt Chart'!C59</f>
        <v>5</v>
      </c>
      <c r="C58" s="2" t="str">
        <f>'Prepare Gantt Chart'!E59</f>
        <v>AGR_10</v>
      </c>
      <c r="D58"/>
      <c r="E58" s="197"/>
      <c r="F58" s="201"/>
      <c r="G58" s="202"/>
      <c r="H58" s="200"/>
      <c r="I58" s="200"/>
      <c r="J58" s="200"/>
      <c r="K58" s="201"/>
      <c r="L58" s="202"/>
      <c r="M58" s="200"/>
      <c r="N58" s="200"/>
      <c r="O58" s="200"/>
      <c r="P58" s="201"/>
      <c r="Q58" s="202"/>
      <c r="R58" s="200"/>
      <c r="S58" s="200"/>
      <c r="T58" s="200"/>
      <c r="U58" s="201"/>
      <c r="V58" s="202"/>
      <c r="W58" s="200"/>
      <c r="X58" s="200"/>
      <c r="Y58" s="200"/>
      <c r="Z58" s="201"/>
      <c r="AA58" s="202"/>
      <c r="AB58" s="200"/>
      <c r="AC58" s="200"/>
      <c r="AD58" s="200"/>
      <c r="AE58" s="200"/>
      <c r="AF58" s="197" t="str">
        <f>IF('Prepare Gantt Chart'!$M59=2051,"●","")</f>
        <v/>
      </c>
      <c r="AG58" s="203"/>
      <c r="AH58" s="2" t="str">
        <f>'Prepare Gantt Chart'!F59</f>
        <v xml:space="preserve">Enhance sustainable waste management </v>
      </c>
    </row>
    <row r="59" spans="1:34" ht="12" customHeight="1" x14ac:dyDescent="0.2">
      <c r="A59" s="196">
        <f>'Prepare Gantt Chart'!C60</f>
        <v>5</v>
      </c>
      <c r="C59" s="2" t="str">
        <f>'Prepare Gantt Chart'!E60</f>
        <v>AGR_11</v>
      </c>
      <c r="D59"/>
      <c r="E59" s="197"/>
      <c r="F59" s="201"/>
      <c r="G59" s="202"/>
      <c r="H59" s="200"/>
      <c r="I59" s="200"/>
      <c r="J59" s="200"/>
      <c r="K59" s="201"/>
      <c r="L59" s="202"/>
      <c r="M59" s="200"/>
      <c r="N59" s="200"/>
      <c r="O59" s="200"/>
      <c r="P59" s="201"/>
      <c r="Q59" s="202"/>
      <c r="R59" s="200"/>
      <c r="S59" s="200"/>
      <c r="T59" s="200"/>
      <c r="U59" s="201"/>
      <c r="V59" s="202"/>
      <c r="W59" s="200"/>
      <c r="X59" s="200"/>
      <c r="Y59" s="200"/>
      <c r="Z59" s="201"/>
      <c r="AA59" s="202"/>
      <c r="AB59" s="200"/>
      <c r="AC59" s="200"/>
      <c r="AD59" s="200"/>
      <c r="AE59" s="200"/>
      <c r="AF59" s="197" t="str">
        <f>IF('Prepare Gantt Chart'!$M60=2051,"●","")</f>
        <v/>
      </c>
      <c r="AG59" s="203"/>
      <c r="AH59" s="2" t="str">
        <f>'Prepare Gantt Chart'!F60</f>
        <v>Enhance energy efficiency</v>
      </c>
    </row>
    <row r="60" spans="1:34" ht="12" customHeight="1" x14ac:dyDescent="0.2">
      <c r="A60" s="196">
        <f>'Prepare Gantt Chart'!C61</f>
        <v>5</v>
      </c>
      <c r="C60" s="2" t="str">
        <f>'Prepare Gantt Chart'!E61</f>
        <v>AGR_12</v>
      </c>
      <c r="D60"/>
      <c r="E60" s="197"/>
      <c r="F60" s="201"/>
      <c r="G60" s="202"/>
      <c r="H60" s="200"/>
      <c r="I60" s="200"/>
      <c r="J60" s="200"/>
      <c r="K60" s="201"/>
      <c r="L60" s="202"/>
      <c r="M60" s="200"/>
      <c r="N60" s="200"/>
      <c r="O60" s="200"/>
      <c r="P60" s="201"/>
      <c r="Q60" s="202"/>
      <c r="R60" s="200"/>
      <c r="S60" s="200"/>
      <c r="T60" s="200"/>
      <c r="U60" s="201"/>
      <c r="V60" s="202"/>
      <c r="W60" s="200"/>
      <c r="X60" s="200"/>
      <c r="Y60" s="200"/>
      <c r="Z60" s="201"/>
      <c r="AA60" s="202"/>
      <c r="AB60" s="200"/>
      <c r="AC60" s="200"/>
      <c r="AD60" s="200"/>
      <c r="AE60" s="200"/>
      <c r="AF60" s="197" t="str">
        <f>IF('Prepare Gantt Chart'!$M61=2051,"●","")</f>
        <v/>
      </c>
      <c r="AG60" s="203"/>
      <c r="AH60" s="2" t="str">
        <f>'Prepare Gantt Chart'!F61</f>
        <v>Adopt carbon taxation for emissions, benefits for sequestration</v>
      </c>
    </row>
    <row r="61" spans="1:34" ht="12" customHeight="1" x14ac:dyDescent="0.2">
      <c r="A61" s="196">
        <f>'Prepare Gantt Chart'!C62</f>
        <v>6</v>
      </c>
      <c r="C61" s="2" t="str">
        <f>'Prepare Gantt Chart'!E62</f>
        <v>STL_01</v>
      </c>
      <c r="D61"/>
      <c r="E61" s="197"/>
      <c r="F61" s="201"/>
      <c r="G61" s="202"/>
      <c r="H61" s="200"/>
      <c r="I61" s="200"/>
      <c r="J61" s="200"/>
      <c r="K61" s="201"/>
      <c r="L61" s="202"/>
      <c r="M61" s="200"/>
      <c r="N61" s="200"/>
      <c r="O61" s="200"/>
      <c r="P61" s="201"/>
      <c r="Q61" s="202"/>
      <c r="R61" s="200"/>
      <c r="S61" s="200"/>
      <c r="T61" s="200"/>
      <c r="U61" s="201"/>
      <c r="V61" s="202"/>
      <c r="W61" s="200"/>
      <c r="X61" s="200"/>
      <c r="Y61" s="200"/>
      <c r="Z61" s="201"/>
      <c r="AA61" s="202"/>
      <c r="AB61" s="200"/>
      <c r="AC61" s="200"/>
      <c r="AD61" s="200"/>
      <c r="AE61" s="200"/>
      <c r="AF61" s="197" t="str">
        <f>IF('Prepare Gantt Chart'!$M62=2051,"●","")</f>
        <v/>
      </c>
      <c r="AG61" s="203"/>
      <c r="AH61" s="2" t="str">
        <f>'Prepare Gantt Chart'!F62</f>
        <v>Enhance green infrastructure</v>
      </c>
    </row>
    <row r="62" spans="1:34" ht="12" customHeight="1" x14ac:dyDescent="0.2">
      <c r="A62" s="196">
        <f>'Prepare Gantt Chart'!C63</f>
        <v>6</v>
      </c>
      <c r="C62" s="2" t="str">
        <f>'Prepare Gantt Chart'!E63</f>
        <v>STL_02</v>
      </c>
      <c r="D62"/>
      <c r="E62" s="197"/>
      <c r="F62" s="201"/>
      <c r="G62" s="202"/>
      <c r="H62" s="200"/>
      <c r="I62" s="200"/>
      <c r="J62" s="200"/>
      <c r="K62" s="201"/>
      <c r="L62" s="202"/>
      <c r="M62" s="200"/>
      <c r="N62" s="200"/>
      <c r="O62" s="200"/>
      <c r="P62" s="201"/>
      <c r="Q62" s="202"/>
      <c r="R62" s="200"/>
      <c r="S62" s="200"/>
      <c r="T62" s="200"/>
      <c r="U62" s="201"/>
      <c r="V62" s="202"/>
      <c r="W62" s="200"/>
      <c r="X62" s="200"/>
      <c r="Y62" s="200"/>
      <c r="Z62" s="201"/>
      <c r="AA62" s="202"/>
      <c r="AB62" s="200"/>
      <c r="AC62" s="200"/>
      <c r="AD62" s="200"/>
      <c r="AE62" s="200"/>
      <c r="AF62" s="197" t="str">
        <f>IF('Prepare Gantt Chart'!$M63=2051,"●","")</f>
        <v/>
      </c>
      <c r="AG62" s="203"/>
      <c r="AH62" s="2" t="str">
        <f>'Prepare Gantt Chart'!F63</f>
        <v>Enhance sustainable water supply</v>
      </c>
    </row>
    <row r="63" spans="1:34" ht="12" customHeight="1" x14ac:dyDescent="0.2">
      <c r="A63" s="196">
        <f>'Prepare Gantt Chart'!C64</f>
        <v>6</v>
      </c>
      <c r="C63" s="2" t="str">
        <f>'Prepare Gantt Chart'!E64</f>
        <v>STL_03</v>
      </c>
      <c r="D63"/>
      <c r="E63" s="197"/>
      <c r="F63" s="201"/>
      <c r="G63" s="202"/>
      <c r="H63" s="200"/>
      <c r="I63" s="200"/>
      <c r="J63" s="200"/>
      <c r="K63" s="201"/>
      <c r="L63" s="202"/>
      <c r="M63" s="200"/>
      <c r="N63" s="200"/>
      <c r="O63" s="200"/>
      <c r="P63" s="201"/>
      <c r="Q63" s="202"/>
      <c r="R63" s="200"/>
      <c r="S63" s="200"/>
      <c r="T63" s="200"/>
      <c r="U63" s="201"/>
      <c r="V63" s="202"/>
      <c r="W63" s="200"/>
      <c r="X63" s="200"/>
      <c r="Y63" s="200"/>
      <c r="Z63" s="201"/>
      <c r="AA63" s="202"/>
      <c r="AB63" s="200"/>
      <c r="AC63" s="200"/>
      <c r="AD63" s="200"/>
      <c r="AE63" s="200"/>
      <c r="AF63" s="197" t="str">
        <f>IF('Prepare Gantt Chart'!$M64=2051,"●","")</f>
        <v/>
      </c>
      <c r="AG63" s="203"/>
      <c r="AH63" s="2" t="str">
        <f>'Prepare Gantt Chart'!F64</f>
        <v>Enhance renewable energy grids and storage</v>
      </c>
    </row>
    <row r="64" spans="1:34" ht="12" customHeight="1" x14ac:dyDescent="0.2">
      <c r="A64" s="196">
        <f>'Prepare Gantt Chart'!C65</f>
        <v>6</v>
      </c>
      <c r="C64" s="2" t="str">
        <f>'Prepare Gantt Chart'!E65</f>
        <v>STL_04</v>
      </c>
      <c r="D64"/>
      <c r="E64" s="197"/>
      <c r="F64" s="201"/>
      <c r="G64" s="202"/>
      <c r="H64" s="200"/>
      <c r="I64" s="200"/>
      <c r="J64" s="200"/>
      <c r="K64" s="201"/>
      <c r="L64" s="202"/>
      <c r="M64" s="200"/>
      <c r="N64" s="200"/>
      <c r="O64" s="200"/>
      <c r="P64" s="201"/>
      <c r="Q64" s="202"/>
      <c r="R64" s="200"/>
      <c r="S64" s="200"/>
      <c r="T64" s="200"/>
      <c r="U64" s="201"/>
      <c r="V64" s="202"/>
      <c r="W64" s="200"/>
      <c r="X64" s="200"/>
      <c r="Y64" s="200"/>
      <c r="Z64" s="201"/>
      <c r="AA64" s="202"/>
      <c r="AB64" s="200"/>
      <c r="AC64" s="200"/>
      <c r="AD64" s="200"/>
      <c r="AE64" s="200"/>
      <c r="AF64" s="197" t="str">
        <f>IF('Prepare Gantt Chart'!$M65=2051,"●","")</f>
        <v/>
      </c>
      <c r="AG64" s="203"/>
      <c r="AH64" s="2" t="str">
        <f>'Prepare Gantt Chart'!F65</f>
        <v>Enhance energy systems electrification</v>
      </c>
    </row>
    <row r="65" spans="1:34" ht="12" customHeight="1" x14ac:dyDescent="0.2">
      <c r="A65" s="196">
        <f>'Prepare Gantt Chart'!C66</f>
        <v>6</v>
      </c>
      <c r="C65" s="2" t="str">
        <f>'Prepare Gantt Chart'!E66</f>
        <v>STL_05</v>
      </c>
      <c r="D65"/>
      <c r="E65" s="197"/>
      <c r="F65" s="201"/>
      <c r="G65" s="202"/>
      <c r="H65" s="200"/>
      <c r="I65" s="200"/>
      <c r="J65" s="200"/>
      <c r="K65" s="201"/>
      <c r="L65" s="202"/>
      <c r="M65" s="200"/>
      <c r="N65" s="200"/>
      <c r="O65" s="200"/>
      <c r="P65" s="201"/>
      <c r="Q65" s="202"/>
      <c r="R65" s="200"/>
      <c r="S65" s="200"/>
      <c r="T65" s="200"/>
      <c r="U65" s="201"/>
      <c r="V65" s="202"/>
      <c r="W65" s="200"/>
      <c r="X65" s="200"/>
      <c r="Y65" s="200"/>
      <c r="Z65" s="201"/>
      <c r="AA65" s="202"/>
      <c r="AB65" s="200"/>
      <c r="AC65" s="200"/>
      <c r="AD65" s="200"/>
      <c r="AE65" s="200"/>
      <c r="AF65" s="197" t="str">
        <f>IF('Prepare Gantt Chart'!$M66=2051,"●","")</f>
        <v/>
      </c>
      <c r="AG65" s="203"/>
      <c r="AH65" s="2" t="str">
        <f>'Prepare Gantt Chart'!F66</f>
        <v>Enhance building energy retrofitting</v>
      </c>
    </row>
    <row r="66" spans="1:34" ht="12" customHeight="1" x14ac:dyDescent="0.2">
      <c r="A66" s="196">
        <f>'Prepare Gantt Chart'!C67</f>
        <v>6</v>
      </c>
      <c r="C66" s="2" t="str">
        <f>'Prepare Gantt Chart'!E67</f>
        <v>STL_06</v>
      </c>
      <c r="D66"/>
      <c r="E66" s="197"/>
      <c r="F66" s="201"/>
      <c r="G66" s="202"/>
      <c r="H66" s="200"/>
      <c r="I66" s="200"/>
      <c r="J66" s="200"/>
      <c r="K66" s="201"/>
      <c r="L66" s="202"/>
      <c r="M66" s="200"/>
      <c r="N66" s="200"/>
      <c r="O66" s="200"/>
      <c r="P66" s="201"/>
      <c r="Q66" s="202"/>
      <c r="R66" s="200"/>
      <c r="S66" s="200"/>
      <c r="T66" s="200"/>
      <c r="U66" s="201"/>
      <c r="V66" s="202"/>
      <c r="W66" s="200"/>
      <c r="X66" s="200"/>
      <c r="Y66" s="200"/>
      <c r="Z66" s="201"/>
      <c r="AA66" s="202"/>
      <c r="AB66" s="200"/>
      <c r="AC66" s="200"/>
      <c r="AD66" s="200"/>
      <c r="AE66" s="200"/>
      <c r="AF66" s="197" t="str">
        <f>IF('Prepare Gantt Chart'!$M67=2051,"●","")</f>
        <v/>
      </c>
      <c r="AG66" s="203"/>
      <c r="AH66" s="2" t="str">
        <f>'Prepare Gantt Chart'!F67</f>
        <v>Enhance sustainable wastewater treatment and recycling</v>
      </c>
    </row>
    <row r="67" spans="1:34" ht="12" customHeight="1" x14ac:dyDescent="0.2">
      <c r="A67" s="196">
        <f>'Prepare Gantt Chart'!C68</f>
        <v>6</v>
      </c>
      <c r="C67" s="2" t="str">
        <f>'Prepare Gantt Chart'!E68</f>
        <v>STL_07</v>
      </c>
      <c r="D67"/>
      <c r="E67" s="197"/>
      <c r="F67" s="201"/>
      <c r="G67" s="202"/>
      <c r="H67" s="200"/>
      <c r="I67" s="200"/>
      <c r="J67" s="200"/>
      <c r="K67" s="201"/>
      <c r="L67" s="202"/>
      <c r="M67" s="200"/>
      <c r="N67" s="200"/>
      <c r="O67" s="200"/>
      <c r="P67" s="201"/>
      <c r="Q67" s="202"/>
      <c r="R67" s="200"/>
      <c r="S67" s="200"/>
      <c r="T67" s="200"/>
      <c r="U67" s="201"/>
      <c r="V67" s="202"/>
      <c r="W67" s="200"/>
      <c r="X67" s="200"/>
      <c r="Y67" s="200"/>
      <c r="Z67" s="201"/>
      <c r="AA67" s="202"/>
      <c r="AB67" s="200"/>
      <c r="AC67" s="200"/>
      <c r="AD67" s="200"/>
      <c r="AE67" s="200"/>
      <c r="AF67" s="197" t="str">
        <f>IF('Prepare Gantt Chart'!$M68=2051,"●","")</f>
        <v/>
      </c>
      <c r="AG67" s="203"/>
      <c r="AH67" s="2" t="str">
        <f>'Prepare Gantt Chart'!F68</f>
        <v>Enhance sustainable solid waste management</v>
      </c>
    </row>
    <row r="68" spans="1:34" ht="12" customHeight="1" x14ac:dyDescent="0.2">
      <c r="A68" s="196">
        <f>'Prepare Gantt Chart'!C69</f>
        <v>6</v>
      </c>
      <c r="C68" s="2" t="str">
        <f>'Prepare Gantt Chart'!E69</f>
        <v>STL_08</v>
      </c>
      <c r="D68"/>
      <c r="E68" s="197"/>
      <c r="F68" s="201"/>
      <c r="G68" s="202"/>
      <c r="H68" s="200"/>
      <c r="I68" s="200"/>
      <c r="J68" s="200"/>
      <c r="K68" s="201"/>
      <c r="L68" s="202"/>
      <c r="M68" s="200"/>
      <c r="N68" s="200"/>
      <c r="O68" s="200"/>
      <c r="P68" s="201"/>
      <c r="Q68" s="202"/>
      <c r="R68" s="200"/>
      <c r="S68" s="200"/>
      <c r="T68" s="200"/>
      <c r="U68" s="201"/>
      <c r="V68" s="202"/>
      <c r="W68" s="200"/>
      <c r="X68" s="200"/>
      <c r="Y68" s="200"/>
      <c r="Z68" s="201"/>
      <c r="AA68" s="202"/>
      <c r="AB68" s="200"/>
      <c r="AC68" s="200"/>
      <c r="AD68" s="200"/>
      <c r="AE68" s="200"/>
      <c r="AF68" s="197" t="str">
        <f>IF('Prepare Gantt Chart'!$M69=2051,"●","")</f>
        <v/>
      </c>
      <c r="AG68" s="203"/>
      <c r="AH68" s="2" t="str">
        <f>'Prepare Gantt Chart'!F69</f>
        <v>Reduce fluorinated gasses emission</v>
      </c>
    </row>
    <row r="69" spans="1:34" ht="12" customHeight="1" x14ac:dyDescent="0.2">
      <c r="A69" s="196">
        <f>'Prepare Gantt Chart'!C70</f>
        <v>6</v>
      </c>
      <c r="C69" s="2" t="str">
        <f>'Prepare Gantt Chart'!E70</f>
        <v>STL_09</v>
      </c>
      <c r="D69"/>
      <c r="E69" s="197"/>
      <c r="F69" s="201"/>
      <c r="G69" s="202"/>
      <c r="H69" s="200"/>
      <c r="I69" s="200"/>
      <c r="J69" s="200"/>
      <c r="K69" s="201"/>
      <c r="L69" s="202"/>
      <c r="M69" s="200"/>
      <c r="N69" s="200"/>
      <c r="O69" s="200"/>
      <c r="P69" s="201"/>
      <c r="Q69" s="202"/>
      <c r="R69" s="200"/>
      <c r="S69" s="200"/>
      <c r="T69" s="200"/>
      <c r="U69" s="201"/>
      <c r="V69" s="202"/>
      <c r="W69" s="200"/>
      <c r="X69" s="200"/>
      <c r="Y69" s="200"/>
      <c r="Z69" s="201"/>
      <c r="AA69" s="202"/>
      <c r="AB69" s="200"/>
      <c r="AC69" s="200"/>
      <c r="AD69" s="200"/>
      <c r="AE69" s="200"/>
      <c r="AF69" s="197" t="str">
        <f>IF('Prepare Gantt Chart'!$M70=2051,"●","")</f>
        <v/>
      </c>
      <c r="AG69" s="203"/>
      <c r="AH69" s="2" t="str">
        <f>'Prepare Gantt Chart'!F70</f>
        <v>Enhance compact mixed land use</v>
      </c>
    </row>
    <row r="70" spans="1:34" ht="12" customHeight="1" x14ac:dyDescent="0.2">
      <c r="A70" s="196">
        <f>'Prepare Gantt Chart'!C71</f>
        <v>6</v>
      </c>
      <c r="C70" s="2" t="str">
        <f>'Prepare Gantt Chart'!E71</f>
        <v>STL_10</v>
      </c>
      <c r="D70"/>
      <c r="E70" s="197"/>
      <c r="F70" s="201"/>
      <c r="G70" s="202"/>
      <c r="H70" s="200"/>
      <c r="I70" s="200"/>
      <c r="J70" s="200"/>
      <c r="K70" s="201"/>
      <c r="L70" s="202"/>
      <c r="M70" s="200"/>
      <c r="N70" s="200"/>
      <c r="O70" s="200"/>
      <c r="P70" s="201"/>
      <c r="Q70" s="202"/>
      <c r="R70" s="200"/>
      <c r="S70" s="200"/>
      <c r="T70" s="200"/>
      <c r="U70" s="201"/>
      <c r="V70" s="202"/>
      <c r="W70" s="200"/>
      <c r="X70" s="200"/>
      <c r="Y70" s="200"/>
      <c r="Z70" s="201"/>
      <c r="AA70" s="202"/>
      <c r="AB70" s="200"/>
      <c r="AC70" s="200"/>
      <c r="AD70" s="200"/>
      <c r="AE70" s="200"/>
      <c r="AF70" s="197" t="str">
        <f>IF('Prepare Gantt Chart'!$M71=2051,"●","")</f>
        <v/>
      </c>
      <c r="AG70" s="203"/>
      <c r="AH70" s="2" t="str">
        <f>'Prepare Gantt Chart'!F71</f>
        <v>Adopt appliances performance standards</v>
      </c>
    </row>
    <row r="71" spans="1:34" ht="12" customHeight="1" x14ac:dyDescent="0.2">
      <c r="A71" s="196">
        <f>'Prepare Gantt Chart'!C72</f>
        <v>6</v>
      </c>
      <c r="C71" s="2" t="str">
        <f>'Prepare Gantt Chart'!E72</f>
        <v>STL_11</v>
      </c>
      <c r="D71"/>
      <c r="E71" s="197"/>
      <c r="F71" s="201"/>
      <c r="G71" s="202"/>
      <c r="H71" s="200"/>
      <c r="I71" s="200"/>
      <c r="J71" s="200"/>
      <c r="K71" s="201"/>
      <c r="L71" s="202"/>
      <c r="M71" s="200"/>
      <c r="N71" s="200"/>
      <c r="O71" s="200"/>
      <c r="P71" s="201"/>
      <c r="Q71" s="202"/>
      <c r="R71" s="200"/>
      <c r="S71" s="200"/>
      <c r="T71" s="200"/>
      <c r="U71" s="201"/>
      <c r="V71" s="202"/>
      <c r="W71" s="200"/>
      <c r="X71" s="200"/>
      <c r="Y71" s="200"/>
      <c r="Z71" s="201"/>
      <c r="AA71" s="202"/>
      <c r="AB71" s="200"/>
      <c r="AC71" s="200"/>
      <c r="AD71" s="200"/>
      <c r="AE71" s="200"/>
      <c r="AF71" s="197" t="str">
        <f>IF('Prepare Gantt Chart'!$M72=2051,"●","")</f>
        <v/>
      </c>
      <c r="AG71" s="203"/>
      <c r="AH71" s="2" t="str">
        <f>'Prepare Gantt Chart'!F72</f>
        <v>Adopt removal of energy efficiency subsidies</v>
      </c>
    </row>
    <row r="72" spans="1:34" ht="12" customHeight="1" x14ac:dyDescent="0.2">
      <c r="A72" s="196">
        <f>'Prepare Gantt Chart'!C73</f>
        <v>6</v>
      </c>
      <c r="C72" s="2" t="str">
        <f>'Prepare Gantt Chart'!E73</f>
        <v>STL_12</v>
      </c>
      <c r="D72"/>
      <c r="E72" s="197"/>
      <c r="F72" s="201"/>
      <c r="G72" s="202"/>
      <c r="H72" s="200"/>
      <c r="I72" s="200"/>
      <c r="J72" s="200"/>
      <c r="K72" s="201"/>
      <c r="L72" s="202"/>
      <c r="M72" s="200"/>
      <c r="N72" s="200"/>
      <c r="O72" s="200"/>
      <c r="P72" s="201"/>
      <c r="Q72" s="202"/>
      <c r="R72" s="200"/>
      <c r="S72" s="200"/>
      <c r="T72" s="200"/>
      <c r="U72" s="201"/>
      <c r="V72" s="202"/>
      <c r="W72" s="200"/>
      <c r="X72" s="200"/>
      <c r="Y72" s="200"/>
      <c r="Z72" s="201"/>
      <c r="AA72" s="202"/>
      <c r="AB72" s="200"/>
      <c r="AC72" s="200"/>
      <c r="AD72" s="200"/>
      <c r="AE72" s="200"/>
      <c r="AF72" s="197" t="str">
        <f>IF('Prepare Gantt Chart'!$M73=2051,"●","")</f>
        <v/>
      </c>
      <c r="AG72" s="203"/>
      <c r="AH72" s="2" t="str">
        <f>'Prepare Gantt Chart'!F73</f>
        <v>Adopt building energy use and and emissions certification</v>
      </c>
    </row>
    <row r="73" spans="1:34" ht="12" customHeight="1" x14ac:dyDescent="0.2">
      <c r="A73" s="196">
        <f>'Prepare Gantt Chart'!C74</f>
        <v>6</v>
      </c>
      <c r="C73" s="2" t="str">
        <f>'Prepare Gantt Chart'!E74</f>
        <v>STL_13</v>
      </c>
      <c r="D73"/>
      <c r="E73" s="197"/>
      <c r="F73" s="201"/>
      <c r="G73" s="202"/>
      <c r="H73" s="200"/>
      <c r="I73" s="200"/>
      <c r="J73" s="200"/>
      <c r="K73" s="201"/>
      <c r="L73" s="202"/>
      <c r="M73" s="200"/>
      <c r="N73" s="200"/>
      <c r="O73" s="200"/>
      <c r="P73" s="201"/>
      <c r="Q73" s="202"/>
      <c r="R73" s="200"/>
      <c r="S73" s="200"/>
      <c r="T73" s="200"/>
      <c r="U73" s="201"/>
      <c r="V73" s="202"/>
      <c r="W73" s="200"/>
      <c r="X73" s="200"/>
      <c r="Y73" s="200"/>
      <c r="Z73" s="201"/>
      <c r="AA73" s="202"/>
      <c r="AB73" s="200"/>
      <c r="AC73" s="200"/>
      <c r="AD73" s="200"/>
      <c r="AE73" s="200"/>
      <c r="AF73" s="197" t="str">
        <f>IF('Prepare Gantt Chart'!$M74=2051,"●","")</f>
        <v/>
      </c>
      <c r="AG73" s="203"/>
      <c r="AH73" s="2" t="str">
        <f>'Prepare Gantt Chart'!F74</f>
        <v>Adopt carbon taxation for emissions, benefits for sequestration</v>
      </c>
    </row>
    <row r="74" spans="1:34" ht="12" customHeight="1" x14ac:dyDescent="0.2">
      <c r="A74" s="196">
        <f>'Prepare Gantt Chart'!C75</f>
        <v>7</v>
      </c>
      <c r="C74" s="2" t="str">
        <f>'Prepare Gantt Chart'!E75</f>
        <v>TRN_01</v>
      </c>
      <c r="D74"/>
      <c r="E74" s="197"/>
      <c r="F74" s="201"/>
      <c r="G74" s="202"/>
      <c r="H74" s="200"/>
      <c r="I74" s="200"/>
      <c r="J74" s="200"/>
      <c r="K74" s="201"/>
      <c r="L74" s="202"/>
      <c r="M74" s="200"/>
      <c r="N74" s="200"/>
      <c r="O74" s="200"/>
      <c r="P74" s="201"/>
      <c r="Q74" s="202"/>
      <c r="R74" s="200"/>
      <c r="S74" s="200"/>
      <c r="T74" s="200"/>
      <c r="U74" s="201"/>
      <c r="V74" s="202"/>
      <c r="W74" s="200"/>
      <c r="X74" s="200"/>
      <c r="Y74" s="200"/>
      <c r="Z74" s="201"/>
      <c r="AA74" s="202"/>
      <c r="AB74" s="200"/>
      <c r="AC74" s="200"/>
      <c r="AD74" s="200"/>
      <c r="AE74" s="200"/>
      <c r="AF74" s="197" t="str">
        <f>IF('Prepare Gantt Chart'!$M75=2051,"●","")</f>
        <v/>
      </c>
      <c r="AG74" s="203"/>
      <c r="AH74" s="2" t="str">
        <f>'Prepare Gantt Chart'!F75</f>
        <v xml:space="preserve">Enhance public transport </v>
      </c>
    </row>
    <row r="75" spans="1:34" ht="12" customHeight="1" x14ac:dyDescent="0.2">
      <c r="A75" s="196">
        <f>'Prepare Gantt Chart'!C76</f>
        <v>7</v>
      </c>
      <c r="C75" s="2" t="str">
        <f>'Prepare Gantt Chart'!E76</f>
        <v>TRN_02</v>
      </c>
      <c r="D75"/>
      <c r="E75" s="197"/>
      <c r="F75" s="201"/>
      <c r="G75" s="202"/>
      <c r="H75" s="200"/>
      <c r="I75" s="200"/>
      <c r="J75" s="200"/>
      <c r="K75" s="201"/>
      <c r="L75" s="202"/>
      <c r="M75" s="200"/>
      <c r="N75" s="200"/>
      <c r="O75" s="200"/>
      <c r="P75" s="201"/>
      <c r="Q75" s="202"/>
      <c r="R75" s="200"/>
      <c r="S75" s="200"/>
      <c r="T75" s="200"/>
      <c r="U75" s="201"/>
      <c r="V75" s="202"/>
      <c r="W75" s="200"/>
      <c r="X75" s="200"/>
      <c r="Y75" s="200"/>
      <c r="Z75" s="201"/>
      <c r="AA75" s="202"/>
      <c r="AB75" s="200"/>
      <c r="AC75" s="200"/>
      <c r="AD75" s="200"/>
      <c r="AE75" s="200"/>
      <c r="AF75" s="197" t="str">
        <f>IF('Prepare Gantt Chart'!$M76=2051,"●","")</f>
        <v/>
      </c>
      <c r="AG75" s="203"/>
      <c r="AH75" s="2" t="str">
        <f>'Prepare Gantt Chart'!F76</f>
        <v xml:space="preserve">Enhance multi-modal transport </v>
      </c>
    </row>
    <row r="76" spans="1:34" ht="12" customHeight="1" x14ac:dyDescent="0.2">
      <c r="A76" s="196">
        <f>'Prepare Gantt Chart'!C77</f>
        <v>7</v>
      </c>
      <c r="C76" s="2" t="str">
        <f>'Prepare Gantt Chart'!E77</f>
        <v>TRN_03</v>
      </c>
      <c r="D76"/>
      <c r="E76" s="197"/>
      <c r="F76" s="201"/>
      <c r="G76" s="202"/>
      <c r="H76" s="200"/>
      <c r="I76" s="200"/>
      <c r="J76" s="200"/>
      <c r="K76" s="201"/>
      <c r="L76" s="202"/>
      <c r="M76" s="200"/>
      <c r="N76" s="200"/>
      <c r="O76" s="200"/>
      <c r="P76" s="201"/>
      <c r="Q76" s="202"/>
      <c r="R76" s="200"/>
      <c r="S76" s="200"/>
      <c r="T76" s="200"/>
      <c r="U76" s="201"/>
      <c r="V76" s="202"/>
      <c r="W76" s="200"/>
      <c r="X76" s="200"/>
      <c r="Y76" s="200"/>
      <c r="Z76" s="201"/>
      <c r="AA76" s="202"/>
      <c r="AB76" s="200"/>
      <c r="AC76" s="200"/>
      <c r="AD76" s="200"/>
      <c r="AE76" s="200"/>
      <c r="AF76" s="197" t="str">
        <f>IF('Prepare Gantt Chart'!$M77=2051,"●","")</f>
        <v/>
      </c>
      <c r="AG76" s="203"/>
      <c r="AH76" s="2" t="str">
        <f>'Prepare Gantt Chart'!F77</f>
        <v>Enhance rail transport</v>
      </c>
    </row>
    <row r="77" spans="1:34" ht="12" customHeight="1" x14ac:dyDescent="0.2">
      <c r="A77" s="196">
        <f>'Prepare Gantt Chart'!C78</f>
        <v>7</v>
      </c>
      <c r="C77" s="2" t="str">
        <f>'Prepare Gantt Chart'!E78</f>
        <v>TRN_04</v>
      </c>
      <c r="D77"/>
      <c r="E77" s="197"/>
      <c r="F77" s="201"/>
      <c r="G77" s="202"/>
      <c r="H77" s="200"/>
      <c r="I77" s="200"/>
      <c r="J77" s="200"/>
      <c r="K77" s="201"/>
      <c r="L77" s="202"/>
      <c r="M77" s="200"/>
      <c r="N77" s="200"/>
      <c r="O77" s="200"/>
      <c r="P77" s="201"/>
      <c r="Q77" s="202"/>
      <c r="R77" s="200"/>
      <c r="S77" s="200"/>
      <c r="T77" s="200"/>
      <c r="U77" s="201"/>
      <c r="V77" s="202"/>
      <c r="W77" s="200"/>
      <c r="X77" s="200"/>
      <c r="Y77" s="200"/>
      <c r="Z77" s="201"/>
      <c r="AA77" s="202"/>
      <c r="AB77" s="200"/>
      <c r="AC77" s="200"/>
      <c r="AD77" s="200"/>
      <c r="AE77" s="200"/>
      <c r="AF77" s="197" t="str">
        <f>IF('Prepare Gantt Chart'!$M78=2051,"●","")</f>
        <v/>
      </c>
      <c r="AG77" s="203"/>
      <c r="AH77" s="2" t="str">
        <f>'Prepare Gantt Chart'!F78</f>
        <v>Enhance EV charging network distribution</v>
      </c>
    </row>
    <row r="78" spans="1:34" ht="12" customHeight="1" x14ac:dyDescent="0.2">
      <c r="A78" s="196">
        <f>'Prepare Gantt Chart'!C79</f>
        <v>7</v>
      </c>
      <c r="C78" s="2" t="str">
        <f>'Prepare Gantt Chart'!E79</f>
        <v>TRN_05</v>
      </c>
      <c r="D78"/>
      <c r="E78" s="197"/>
      <c r="F78" s="201"/>
      <c r="G78" s="202"/>
      <c r="H78" s="200"/>
      <c r="I78" s="200"/>
      <c r="J78" s="200"/>
      <c r="K78" s="201"/>
      <c r="L78" s="202"/>
      <c r="M78" s="200"/>
      <c r="N78" s="200"/>
      <c r="O78" s="200"/>
      <c r="P78" s="201"/>
      <c r="Q78" s="202"/>
      <c r="R78" s="200"/>
      <c r="S78" s="200"/>
      <c r="T78" s="200"/>
      <c r="U78" s="201"/>
      <c r="V78" s="202"/>
      <c r="W78" s="200"/>
      <c r="X78" s="200"/>
      <c r="Y78" s="200"/>
      <c r="Z78" s="201"/>
      <c r="AA78" s="202"/>
      <c r="AB78" s="200"/>
      <c r="AC78" s="200"/>
      <c r="AD78" s="200"/>
      <c r="AE78" s="200"/>
      <c r="AF78" s="197" t="str">
        <f>IF('Prepare Gantt Chart'!$M79=2051,"●","")</f>
        <v/>
      </c>
      <c r="AG78" s="203"/>
      <c r="AH78" s="2" t="str">
        <f>'Prepare Gantt Chart'!F79</f>
        <v>Enhance sustainable maritime transport</v>
      </c>
    </row>
    <row r="79" spans="1:34" ht="12" customHeight="1" x14ac:dyDescent="0.2">
      <c r="A79" s="196">
        <f>'Prepare Gantt Chart'!C80</f>
        <v>7</v>
      </c>
      <c r="C79" s="2" t="str">
        <f>'Prepare Gantt Chart'!E80</f>
        <v>TRN_06</v>
      </c>
      <c r="D79"/>
      <c r="E79" s="197"/>
      <c r="F79" s="201"/>
      <c r="G79" s="202"/>
      <c r="H79" s="200"/>
      <c r="I79" s="200"/>
      <c r="J79" s="200"/>
      <c r="K79" s="201"/>
      <c r="L79" s="202"/>
      <c r="M79" s="200"/>
      <c r="N79" s="200"/>
      <c r="O79" s="200"/>
      <c r="P79" s="201"/>
      <c r="Q79" s="202"/>
      <c r="R79" s="200"/>
      <c r="S79" s="200"/>
      <c r="T79" s="200"/>
      <c r="U79" s="201"/>
      <c r="V79" s="202"/>
      <c r="W79" s="200"/>
      <c r="X79" s="200"/>
      <c r="Y79" s="200"/>
      <c r="Z79" s="201"/>
      <c r="AA79" s="202"/>
      <c r="AB79" s="200"/>
      <c r="AC79" s="200"/>
      <c r="AD79" s="200"/>
      <c r="AE79" s="200"/>
      <c r="AF79" s="197" t="str">
        <f>IF('Prepare Gantt Chart'!$M80=2051,"●","")</f>
        <v/>
      </c>
      <c r="AG79" s="203"/>
      <c r="AH79" s="2" t="str">
        <f>'Prepare Gantt Chart'!F80</f>
        <v>Reduce inland shipping emissions and pollution</v>
      </c>
    </row>
    <row r="80" spans="1:34" ht="12" customHeight="1" x14ac:dyDescent="0.2">
      <c r="A80" s="196">
        <f>'Prepare Gantt Chart'!C81</f>
        <v>7</v>
      </c>
      <c r="C80" s="2" t="str">
        <f>'Prepare Gantt Chart'!E81</f>
        <v>TRN_07</v>
      </c>
      <c r="D80"/>
      <c r="E80" s="197"/>
      <c r="F80" s="201"/>
      <c r="G80" s="202"/>
      <c r="H80" s="200"/>
      <c r="I80" s="200"/>
      <c r="J80" s="200"/>
      <c r="K80" s="201"/>
      <c r="L80" s="202"/>
      <c r="M80" s="200"/>
      <c r="N80" s="200"/>
      <c r="O80" s="200"/>
      <c r="P80" s="201"/>
      <c r="Q80" s="202"/>
      <c r="R80" s="200"/>
      <c r="S80" s="200"/>
      <c r="T80" s="200"/>
      <c r="U80" s="201"/>
      <c r="V80" s="202"/>
      <c r="W80" s="200"/>
      <c r="X80" s="200"/>
      <c r="Y80" s="200"/>
      <c r="Z80" s="201"/>
      <c r="AA80" s="202"/>
      <c r="AB80" s="200"/>
      <c r="AC80" s="200"/>
      <c r="AD80" s="200"/>
      <c r="AE80" s="200"/>
      <c r="AF80" s="197" t="str">
        <f>IF('Prepare Gantt Chart'!$M81=2051,"●","")</f>
        <v/>
      </c>
      <c r="AG80" s="203"/>
      <c r="AH80" s="2" t="str">
        <f>'Prepare Gantt Chart'!F81</f>
        <v xml:space="preserve">Reduce aviation emissions and pollution </v>
      </c>
    </row>
    <row r="81" spans="1:34" ht="12" customHeight="1" x14ac:dyDescent="0.2">
      <c r="A81" s="196">
        <f>'Prepare Gantt Chart'!C82</f>
        <v>7</v>
      </c>
      <c r="C81" s="2" t="str">
        <f>'Prepare Gantt Chart'!E82</f>
        <v>TRN_08</v>
      </c>
      <c r="D81"/>
      <c r="E81" s="197"/>
      <c r="F81" s="201"/>
      <c r="G81" s="202"/>
      <c r="H81" s="200"/>
      <c r="I81" s="200"/>
      <c r="J81" s="200"/>
      <c r="K81" s="201"/>
      <c r="L81" s="202"/>
      <c r="M81" s="200"/>
      <c r="N81" s="200"/>
      <c r="O81" s="200"/>
      <c r="P81" s="201"/>
      <c r="Q81" s="202"/>
      <c r="R81" s="200"/>
      <c r="S81" s="200"/>
      <c r="T81" s="200"/>
      <c r="U81" s="201"/>
      <c r="V81" s="202"/>
      <c r="W81" s="200"/>
      <c r="X81" s="200"/>
      <c r="Y81" s="200"/>
      <c r="Z81" s="201"/>
      <c r="AA81" s="202"/>
      <c r="AB81" s="200"/>
      <c r="AC81" s="200"/>
      <c r="AD81" s="200"/>
      <c r="AE81" s="200"/>
      <c r="AF81" s="197" t="str">
        <f>IF('Prepare Gantt Chart'!$M82=2051,"●","")</f>
        <v/>
      </c>
      <c r="AG81" s="203"/>
      <c r="AH81" s="2" t="str">
        <f>'Prepare Gantt Chart'!F82</f>
        <v>Adopt public transportation subsidies</v>
      </c>
    </row>
    <row r="82" spans="1:34" ht="12" customHeight="1" x14ac:dyDescent="0.2">
      <c r="A82" s="196">
        <f>'Prepare Gantt Chart'!C83</f>
        <v>7</v>
      </c>
      <c r="C82" s="2" t="str">
        <f>'Prepare Gantt Chart'!E83</f>
        <v>TRN_09</v>
      </c>
      <c r="D82"/>
      <c r="E82" s="197"/>
      <c r="F82" s="201"/>
      <c r="G82" s="202"/>
      <c r="H82" s="200"/>
      <c r="I82" s="200"/>
      <c r="J82" s="200"/>
      <c r="K82" s="201"/>
      <c r="L82" s="202"/>
      <c r="M82" s="200"/>
      <c r="N82" s="200"/>
      <c r="O82" s="200"/>
      <c r="P82" s="201"/>
      <c r="Q82" s="202"/>
      <c r="R82" s="200"/>
      <c r="S82" s="200"/>
      <c r="T82" s="200"/>
      <c r="U82" s="201"/>
      <c r="V82" s="202"/>
      <c r="W82" s="200"/>
      <c r="X82" s="200"/>
      <c r="Y82" s="200"/>
      <c r="Z82" s="201"/>
      <c r="AA82" s="202"/>
      <c r="AB82" s="200"/>
      <c r="AC82" s="200"/>
      <c r="AD82" s="200"/>
      <c r="AE82" s="200"/>
      <c r="AF82" s="197" t="str">
        <f>IF('Prepare Gantt Chart'!$M83=2051,"●","")</f>
        <v/>
      </c>
      <c r="AG82" s="203"/>
      <c r="AH82" s="2" t="str">
        <f>'Prepare Gantt Chart'!F83</f>
        <v>Adopt fossil fuel vehicles removal strategy</v>
      </c>
    </row>
    <row r="83" spans="1:34" ht="12" customHeight="1" x14ac:dyDescent="0.2">
      <c r="A83" s="196">
        <f>'Prepare Gantt Chart'!C84</f>
        <v>7</v>
      </c>
      <c r="C83" s="2" t="str">
        <f>'Prepare Gantt Chart'!E84</f>
        <v>TRN_10</v>
      </c>
      <c r="D83"/>
      <c r="E83" s="197"/>
      <c r="F83" s="201"/>
      <c r="G83" s="202"/>
      <c r="H83" s="200"/>
      <c r="I83" s="200"/>
      <c r="J83" s="200"/>
      <c r="K83" s="201"/>
      <c r="L83" s="202"/>
      <c r="M83" s="200"/>
      <c r="N83" s="200"/>
      <c r="O83" s="200"/>
      <c r="P83" s="201"/>
      <c r="Q83" s="202"/>
      <c r="R83" s="200"/>
      <c r="S83" s="200"/>
      <c r="T83" s="200"/>
      <c r="U83" s="201"/>
      <c r="V83" s="202"/>
      <c r="W83" s="200"/>
      <c r="X83" s="200"/>
      <c r="Y83" s="200"/>
      <c r="Z83" s="201"/>
      <c r="AA83" s="202"/>
      <c r="AB83" s="200"/>
      <c r="AC83" s="200"/>
      <c r="AD83" s="200"/>
      <c r="AE83" s="200"/>
      <c r="AF83" s="197" t="str">
        <f>IF('Prepare Gantt Chart'!$M84=2051,"●","")</f>
        <v/>
      </c>
      <c r="AG83" s="203"/>
      <c r="AH83" s="2" t="str">
        <f>'Prepare Gantt Chart'!F84</f>
        <v>Adopt vehicles energy performance standards</v>
      </c>
    </row>
    <row r="84" spans="1:34" ht="12" customHeight="1" x14ac:dyDescent="0.2">
      <c r="A84" s="196">
        <f>'Prepare Gantt Chart'!C85</f>
        <v>7</v>
      </c>
      <c r="C84" s="2" t="str">
        <f>'Prepare Gantt Chart'!E85</f>
        <v>TRN_11</v>
      </c>
      <c r="D84"/>
      <c r="E84" s="197"/>
      <c r="F84" s="201"/>
      <c r="G84" s="202"/>
      <c r="H84" s="200"/>
      <c r="I84" s="200"/>
      <c r="J84" s="200"/>
      <c r="K84" s="201"/>
      <c r="L84" s="202"/>
      <c r="M84" s="200"/>
      <c r="N84" s="200"/>
      <c r="O84" s="200"/>
      <c r="P84" s="201"/>
      <c r="Q84" s="202"/>
      <c r="R84" s="200"/>
      <c r="S84" s="200"/>
      <c r="T84" s="200"/>
      <c r="U84" s="201"/>
      <c r="V84" s="202"/>
      <c r="W84" s="200"/>
      <c r="X84" s="200"/>
      <c r="Y84" s="200"/>
      <c r="Z84" s="201"/>
      <c r="AA84" s="202"/>
      <c r="AB84" s="200"/>
      <c r="AC84" s="200"/>
      <c r="AD84" s="200"/>
      <c r="AE84" s="200"/>
      <c r="AF84" s="197" t="str">
        <f>IF('Prepare Gantt Chart'!$M85=2051,"●","")</f>
        <v/>
      </c>
      <c r="AG84" s="203"/>
      <c r="AH84" s="2" t="str">
        <f>'Prepare Gantt Chart'!F85</f>
        <v>Adopt carbon taxation for emissions, benefits for sequestration</v>
      </c>
    </row>
    <row r="85" spans="1:34" ht="12" customHeight="1" x14ac:dyDescent="0.2">
      <c r="A85" s="196">
        <f>'Prepare Gantt Chart'!C86</f>
        <v>8</v>
      </c>
      <c r="C85" s="2" t="str">
        <f>'Prepare Gantt Chart'!E86</f>
        <v>IND_01</v>
      </c>
      <c r="D85"/>
      <c r="E85" s="197"/>
      <c r="F85" s="201"/>
      <c r="G85" s="202"/>
      <c r="H85" s="200"/>
      <c r="I85" s="200"/>
      <c r="J85" s="200"/>
      <c r="K85" s="201"/>
      <c r="L85" s="202"/>
      <c r="M85" s="200"/>
      <c r="N85" s="200"/>
      <c r="O85" s="200"/>
      <c r="P85" s="201"/>
      <c r="Q85" s="202"/>
      <c r="R85" s="200"/>
      <c r="S85" s="200"/>
      <c r="T85" s="200"/>
      <c r="U85" s="201"/>
      <c r="V85" s="202"/>
      <c r="W85" s="200"/>
      <c r="X85" s="200"/>
      <c r="Y85" s="200"/>
      <c r="Z85" s="201"/>
      <c r="AA85" s="202"/>
      <c r="AB85" s="200"/>
      <c r="AC85" s="200"/>
      <c r="AD85" s="200"/>
      <c r="AE85" s="200"/>
      <c r="AF85" s="197" t="str">
        <f>IF('Prepare Gantt Chart'!$M86=2051,"●","")</f>
        <v/>
      </c>
      <c r="AG85" s="203"/>
      <c r="AH85" s="2" t="str">
        <f>'Prepare Gantt Chart'!F86</f>
        <v>Enhance glass/lime/electronics industry energy efficiency and ER</v>
      </c>
    </row>
    <row r="86" spans="1:34" ht="12" customHeight="1" x14ac:dyDescent="0.2">
      <c r="A86" s="196">
        <f>'Prepare Gantt Chart'!C87</f>
        <v>8</v>
      </c>
      <c r="C86" s="2" t="str">
        <f>'Prepare Gantt Chart'!E87</f>
        <v>IND_02</v>
      </c>
      <c r="D86"/>
      <c r="E86" s="197"/>
      <c r="F86" s="201"/>
      <c r="G86" s="202"/>
      <c r="H86" s="200"/>
      <c r="I86" s="200"/>
      <c r="J86" s="200"/>
      <c r="K86" s="201"/>
      <c r="L86" s="202"/>
      <c r="M86" s="200"/>
      <c r="N86" s="200"/>
      <c r="O86" s="200"/>
      <c r="P86" s="201"/>
      <c r="Q86" s="202"/>
      <c r="R86" s="200"/>
      <c r="S86" s="200"/>
      <c r="T86" s="200"/>
      <c r="U86" s="201"/>
      <c r="V86" s="202"/>
      <c r="W86" s="200"/>
      <c r="X86" s="200"/>
      <c r="Y86" s="200"/>
      <c r="Z86" s="201"/>
      <c r="AA86" s="202"/>
      <c r="AB86" s="200"/>
      <c r="AC86" s="200"/>
      <c r="AD86" s="200"/>
      <c r="AE86" s="200"/>
      <c r="AF86" s="197" t="str">
        <f>IF('Prepare Gantt Chart'!$M87=2051,"●","")</f>
        <v/>
      </c>
      <c r="AG86" s="203"/>
      <c r="AH86" s="2" t="str">
        <f>'Prepare Gantt Chart'!F87</f>
        <v>Enhance steel industry energy efficiency and ER</v>
      </c>
    </row>
    <row r="87" spans="1:34" ht="12" customHeight="1" x14ac:dyDescent="0.2">
      <c r="A87" s="196">
        <f>'Prepare Gantt Chart'!C88</f>
        <v>8</v>
      </c>
      <c r="C87" s="2" t="str">
        <f>'Prepare Gantt Chart'!E88</f>
        <v>IND_03</v>
      </c>
      <c r="D87"/>
      <c r="E87" s="197"/>
      <c r="F87" s="201"/>
      <c r="G87" s="202"/>
      <c r="H87" s="200"/>
      <c r="I87" s="200"/>
      <c r="J87" s="200"/>
      <c r="K87" s="201"/>
      <c r="L87" s="202"/>
      <c r="M87" s="200"/>
      <c r="N87" s="200"/>
      <c r="O87" s="200"/>
      <c r="P87" s="201"/>
      <c r="Q87" s="202"/>
      <c r="R87" s="200"/>
      <c r="S87" s="200"/>
      <c r="T87" s="200"/>
      <c r="U87" s="201"/>
      <c r="V87" s="202"/>
      <c r="W87" s="200"/>
      <c r="X87" s="200"/>
      <c r="Y87" s="200"/>
      <c r="Z87" s="201"/>
      <c r="AA87" s="202"/>
      <c r="AB87" s="200"/>
      <c r="AC87" s="200"/>
      <c r="AD87" s="200"/>
      <c r="AE87" s="200"/>
      <c r="AF87" s="197" t="str">
        <f>IF('Prepare Gantt Chart'!$M88=2051,"●","")</f>
        <v/>
      </c>
      <c r="AG87" s="203"/>
      <c r="AH87" s="2" t="str">
        <f>'Prepare Gantt Chart'!F88</f>
        <v>Enhance cement industry energy efficiency and ER</v>
      </c>
    </row>
    <row r="88" spans="1:34" ht="12" customHeight="1" x14ac:dyDescent="0.2">
      <c r="A88" s="196">
        <f>'Prepare Gantt Chart'!C89</f>
        <v>8</v>
      </c>
      <c r="C88" s="2" t="str">
        <f>'Prepare Gantt Chart'!E89</f>
        <v>IND_04</v>
      </c>
      <c r="D88"/>
      <c r="E88" s="197"/>
      <c r="F88" s="201"/>
      <c r="G88" s="202"/>
      <c r="H88" s="200"/>
      <c r="I88" s="200"/>
      <c r="J88" s="200"/>
      <c r="K88" s="201"/>
      <c r="L88" s="202"/>
      <c r="M88" s="200"/>
      <c r="N88" s="200"/>
      <c r="O88" s="200"/>
      <c r="P88" s="201"/>
      <c r="Q88" s="202"/>
      <c r="R88" s="200"/>
      <c r="S88" s="200"/>
      <c r="T88" s="200"/>
      <c r="U88" s="201"/>
      <c r="V88" s="202"/>
      <c r="W88" s="200"/>
      <c r="X88" s="200"/>
      <c r="Y88" s="200"/>
      <c r="Z88" s="201"/>
      <c r="AA88" s="202"/>
      <c r="AB88" s="200"/>
      <c r="AC88" s="200"/>
      <c r="AD88" s="200"/>
      <c r="AE88" s="200"/>
      <c r="AF88" s="197" t="str">
        <f>IF('Prepare Gantt Chart'!$M89=2051,"●","")</f>
        <v/>
      </c>
      <c r="AG88" s="203"/>
      <c r="AH88" s="2" t="str">
        <f>'Prepare Gantt Chart'!F89</f>
        <v>Enhance cloud computing energy efficiency and ER</v>
      </c>
    </row>
    <row r="89" spans="1:34" ht="12" customHeight="1" x14ac:dyDescent="0.2">
      <c r="A89" s="196">
        <f>'Prepare Gantt Chart'!C90</f>
        <v>8</v>
      </c>
      <c r="C89" s="2" t="str">
        <f>'Prepare Gantt Chart'!E90</f>
        <v>IND_05</v>
      </c>
      <c r="D89"/>
      <c r="E89" s="197"/>
      <c r="F89" s="201"/>
      <c r="G89" s="202"/>
      <c r="H89" s="200"/>
      <c r="I89" s="200"/>
      <c r="J89" s="200"/>
      <c r="K89" s="201"/>
      <c r="L89" s="202"/>
      <c r="M89" s="200"/>
      <c r="N89" s="200"/>
      <c r="O89" s="200"/>
      <c r="P89" s="201"/>
      <c r="Q89" s="202"/>
      <c r="R89" s="200"/>
      <c r="S89" s="200"/>
      <c r="T89" s="200"/>
      <c r="U89" s="201"/>
      <c r="V89" s="202"/>
      <c r="W89" s="200"/>
      <c r="X89" s="200"/>
      <c r="Y89" s="200"/>
      <c r="Z89" s="201"/>
      <c r="AA89" s="202"/>
      <c r="AB89" s="200"/>
      <c r="AC89" s="200"/>
      <c r="AD89" s="200"/>
      <c r="AE89" s="200"/>
      <c r="AF89" s="197" t="str">
        <f>IF('Prepare Gantt Chart'!$M90=2051,"●","")</f>
        <v/>
      </c>
      <c r="AG89" s="203"/>
      <c r="AH89" s="2" t="str">
        <f>'Prepare Gantt Chart'!F90</f>
        <v>Enhance oil industry energy efficiency and ER</v>
      </c>
    </row>
    <row r="90" spans="1:34" ht="12" customHeight="1" x14ac:dyDescent="0.2">
      <c r="A90" s="196">
        <f>'Prepare Gantt Chart'!C91</f>
        <v>8</v>
      </c>
      <c r="C90" s="2" t="str">
        <f>'Prepare Gantt Chart'!E91</f>
        <v>IND_06</v>
      </c>
      <c r="D90"/>
      <c r="E90" s="197"/>
      <c r="F90" s="201"/>
      <c r="G90" s="202"/>
      <c r="H90" s="200"/>
      <c r="I90" s="200"/>
      <c r="J90" s="200"/>
      <c r="K90" s="201"/>
      <c r="L90" s="202"/>
      <c r="M90" s="200"/>
      <c r="N90" s="200"/>
      <c r="O90" s="200"/>
      <c r="P90" s="201"/>
      <c r="Q90" s="202"/>
      <c r="R90" s="200"/>
      <c r="S90" s="200"/>
      <c r="T90" s="200"/>
      <c r="U90" s="201"/>
      <c r="V90" s="202"/>
      <c r="W90" s="200"/>
      <c r="X90" s="200"/>
      <c r="Y90" s="200"/>
      <c r="Z90" s="201"/>
      <c r="AA90" s="202"/>
      <c r="AB90" s="200"/>
      <c r="AC90" s="200"/>
      <c r="AD90" s="200"/>
      <c r="AE90" s="200"/>
      <c r="AF90" s="197" t="str">
        <f>IF('Prepare Gantt Chart'!$M91=2051,"●","")</f>
        <v/>
      </c>
      <c r="AG90" s="203"/>
      <c r="AH90" s="2" t="str">
        <f>'Prepare Gantt Chart'!F91</f>
        <v>Enhance chemicals industry energy efficiency and ER</v>
      </c>
    </row>
    <row r="91" spans="1:34" ht="12" customHeight="1" x14ac:dyDescent="0.2">
      <c r="A91" s="196">
        <f>'Prepare Gantt Chart'!C92</f>
        <v>8</v>
      </c>
      <c r="C91" s="2" t="str">
        <f>'Prepare Gantt Chart'!E92</f>
        <v>IND_07</v>
      </c>
      <c r="D91"/>
      <c r="E91" s="197"/>
      <c r="F91" s="201"/>
      <c r="G91" s="202"/>
      <c r="H91" s="200"/>
      <c r="I91" s="200"/>
      <c r="J91" s="200"/>
      <c r="K91" s="201"/>
      <c r="L91" s="202"/>
      <c r="M91" s="200"/>
      <c r="N91" s="200"/>
      <c r="O91" s="200"/>
      <c r="P91" s="201"/>
      <c r="Q91" s="202"/>
      <c r="R91" s="200"/>
      <c r="S91" s="200"/>
      <c r="T91" s="200"/>
      <c r="U91" s="201"/>
      <c r="V91" s="202"/>
      <c r="W91" s="200"/>
      <c r="X91" s="200"/>
      <c r="Y91" s="200"/>
      <c r="Z91" s="201"/>
      <c r="AA91" s="202"/>
      <c r="AB91" s="200"/>
      <c r="AC91" s="200"/>
      <c r="AD91" s="200"/>
      <c r="AE91" s="200"/>
      <c r="AF91" s="197" t="str">
        <f>IF('Prepare Gantt Chart'!$M92=2051,"●","")</f>
        <v/>
      </c>
      <c r="AG91" s="203"/>
      <c r="AH91" s="2" t="str">
        <f>'Prepare Gantt Chart'!F92</f>
        <v>Enhance petrochemicals industry energy efficiency and ER</v>
      </c>
    </row>
    <row r="92" spans="1:34" ht="12" customHeight="1" x14ac:dyDescent="0.2">
      <c r="A92" s="196">
        <f>'Prepare Gantt Chart'!C93</f>
        <v>8</v>
      </c>
      <c r="C92" s="2" t="str">
        <f>'Prepare Gantt Chart'!E93</f>
        <v>IND_08</v>
      </c>
      <c r="D92"/>
      <c r="E92" s="197"/>
      <c r="F92" s="201"/>
      <c r="G92" s="202"/>
      <c r="H92" s="200"/>
      <c r="I92" s="200"/>
      <c r="J92" s="200"/>
      <c r="K92" s="201"/>
      <c r="L92" s="202"/>
      <c r="M92" s="200"/>
      <c r="N92" s="200"/>
      <c r="O92" s="200"/>
      <c r="P92" s="201"/>
      <c r="Q92" s="202"/>
      <c r="R92" s="200"/>
      <c r="S92" s="200"/>
      <c r="T92" s="200"/>
      <c r="U92" s="201"/>
      <c r="V92" s="202"/>
      <c r="W92" s="200"/>
      <c r="X92" s="200"/>
      <c r="Y92" s="200"/>
      <c r="Z92" s="201"/>
      <c r="AA92" s="202"/>
      <c r="AB92" s="200"/>
      <c r="AC92" s="200"/>
      <c r="AD92" s="200"/>
      <c r="AE92" s="200"/>
      <c r="AF92" s="197" t="str">
        <f>IF('Prepare Gantt Chart'!$M93=2051,"●","")</f>
        <v/>
      </c>
      <c r="AG92" s="203"/>
      <c r="AH92" s="2" t="str">
        <f>'Prepare Gantt Chart'!F93</f>
        <v>Enhance aluminum industry energy efficiency and ER</v>
      </c>
    </row>
    <row r="93" spans="1:34" ht="12" customHeight="1" x14ac:dyDescent="0.2">
      <c r="A93" s="196">
        <f>'Prepare Gantt Chart'!C94</f>
        <v>8</v>
      </c>
      <c r="C93" s="2" t="str">
        <f>'Prepare Gantt Chart'!E94</f>
        <v>IND_09</v>
      </c>
      <c r="D93"/>
      <c r="E93" s="197"/>
      <c r="F93" s="201"/>
      <c r="G93" s="202"/>
      <c r="H93" s="200"/>
      <c r="I93" s="200"/>
      <c r="J93" s="200"/>
      <c r="K93" s="201"/>
      <c r="L93" s="202"/>
      <c r="M93" s="200"/>
      <c r="N93" s="200"/>
      <c r="O93" s="200"/>
      <c r="P93" s="201"/>
      <c r="Q93" s="202"/>
      <c r="R93" s="200"/>
      <c r="S93" s="200"/>
      <c r="T93" s="200"/>
      <c r="U93" s="201"/>
      <c r="V93" s="202"/>
      <c r="W93" s="200"/>
      <c r="X93" s="200"/>
      <c r="Y93" s="200"/>
      <c r="Z93" s="201"/>
      <c r="AA93" s="202"/>
      <c r="AB93" s="200"/>
      <c r="AC93" s="200"/>
      <c r="AD93" s="200"/>
      <c r="AE93" s="200"/>
      <c r="AF93" s="197" t="str">
        <f>IF('Prepare Gantt Chart'!$M94=2051,"●","")</f>
        <v/>
      </c>
      <c r="AG93" s="203"/>
      <c r="AH93" s="2" t="str">
        <f>'Prepare Gantt Chart'!F94</f>
        <v>Enhance paper industry energy efficiency and ER</v>
      </c>
    </row>
    <row r="94" spans="1:34" ht="12" customHeight="1" x14ac:dyDescent="0.2">
      <c r="A94" s="196">
        <f>'Prepare Gantt Chart'!C95</f>
        <v>8</v>
      </c>
      <c r="C94" s="2" t="str">
        <f>'Prepare Gantt Chart'!E95</f>
        <v>IND_10</v>
      </c>
      <c r="D94"/>
      <c r="E94" s="197"/>
      <c r="F94" s="201"/>
      <c r="G94" s="202"/>
      <c r="H94" s="200"/>
      <c r="I94" s="200"/>
      <c r="J94" s="200"/>
      <c r="K94" s="201"/>
      <c r="L94" s="202"/>
      <c r="M94" s="200"/>
      <c r="N94" s="200"/>
      <c r="O94" s="200"/>
      <c r="P94" s="201"/>
      <c r="Q94" s="202"/>
      <c r="R94" s="200"/>
      <c r="S94" s="200"/>
      <c r="T94" s="200"/>
      <c r="U94" s="201"/>
      <c r="V94" s="202"/>
      <c r="W94" s="200"/>
      <c r="X94" s="200"/>
      <c r="Y94" s="200"/>
      <c r="Z94" s="201"/>
      <c r="AA94" s="202"/>
      <c r="AB94" s="200"/>
      <c r="AC94" s="200"/>
      <c r="AD94" s="200"/>
      <c r="AE94" s="200"/>
      <c r="AF94" s="197" t="str">
        <f>IF('Prepare Gantt Chart'!$M95=2051,"●","")</f>
        <v/>
      </c>
      <c r="AG94" s="203"/>
      <c r="AH94" s="2" t="str">
        <f>'Prepare Gantt Chart'!F95</f>
        <v>Enhance mining industries energy efficiency and ER</v>
      </c>
    </row>
    <row r="95" spans="1:34" ht="12" customHeight="1" x14ac:dyDescent="0.2">
      <c r="A95" s="196">
        <f>'Prepare Gantt Chart'!C96</f>
        <v>8</v>
      </c>
      <c r="C95" s="2" t="str">
        <f>'Prepare Gantt Chart'!E96</f>
        <v>IND_11</v>
      </c>
      <c r="D95"/>
      <c r="E95" s="197"/>
      <c r="F95" s="201"/>
      <c r="G95" s="202"/>
      <c r="H95" s="200"/>
      <c r="I95" s="200"/>
      <c r="J95" s="200"/>
      <c r="K95" s="201"/>
      <c r="L95" s="202"/>
      <c r="M95" s="200"/>
      <c r="N95" s="200"/>
      <c r="O95" s="200"/>
      <c r="P95" s="201"/>
      <c r="Q95" s="202"/>
      <c r="R95" s="200"/>
      <c r="S95" s="200"/>
      <c r="T95" s="200"/>
      <c r="U95" s="201"/>
      <c r="V95" s="202"/>
      <c r="W95" s="200"/>
      <c r="X95" s="200"/>
      <c r="Y95" s="200"/>
      <c r="Z95" s="201"/>
      <c r="AA95" s="202"/>
      <c r="AB95" s="200"/>
      <c r="AC95" s="200"/>
      <c r="AD95" s="200"/>
      <c r="AE95" s="200"/>
      <c r="AF95" s="197" t="str">
        <f>IF('Prepare Gantt Chart'!$M96=2051,"●","")</f>
        <v/>
      </c>
      <c r="AG95" s="203"/>
      <c r="AH95" s="2" t="str">
        <f>'Prepare Gantt Chart'!F96</f>
        <v>Enhance sustainable water management</v>
      </c>
    </row>
    <row r="96" spans="1:34" ht="12" customHeight="1" x14ac:dyDescent="0.2">
      <c r="A96" s="196">
        <f>'Prepare Gantt Chart'!C97</f>
        <v>8</v>
      </c>
      <c r="C96" s="2" t="str">
        <f>'Prepare Gantt Chart'!E97</f>
        <v>IND_12</v>
      </c>
      <c r="D96"/>
      <c r="E96" s="197"/>
      <c r="F96" s="201"/>
      <c r="G96" s="202"/>
      <c r="H96" s="200"/>
      <c r="I96" s="200"/>
      <c r="J96" s="200"/>
      <c r="K96" s="201"/>
      <c r="L96" s="202"/>
      <c r="M96" s="200"/>
      <c r="N96" s="200"/>
      <c r="O96" s="200"/>
      <c r="P96" s="201"/>
      <c r="Q96" s="202"/>
      <c r="R96" s="200"/>
      <c r="S96" s="200"/>
      <c r="T96" s="200"/>
      <c r="U96" s="201"/>
      <c r="V96" s="202"/>
      <c r="W96" s="200"/>
      <c r="X96" s="200"/>
      <c r="Y96" s="200"/>
      <c r="Z96" s="201"/>
      <c r="AA96" s="202"/>
      <c r="AB96" s="200"/>
      <c r="AC96" s="200"/>
      <c r="AD96" s="200"/>
      <c r="AE96" s="200"/>
      <c r="AF96" s="197" t="str">
        <f>IF('Prepare Gantt Chart'!$M97=2051,"●","")</f>
        <v/>
      </c>
      <c r="AG96" s="203"/>
      <c r="AH96" s="2" t="str">
        <f>'Prepare Gantt Chart'!F97</f>
        <v>Enhance sustainable waste management</v>
      </c>
    </row>
    <row r="97" spans="1:34" ht="12" customHeight="1" x14ac:dyDescent="0.2">
      <c r="A97" s="196">
        <f>'Prepare Gantt Chart'!C98</f>
        <v>8</v>
      </c>
      <c r="C97" s="2" t="str">
        <f>'Prepare Gantt Chart'!E98</f>
        <v>IND_13</v>
      </c>
      <c r="D97"/>
      <c r="E97" s="197"/>
      <c r="F97" s="201"/>
      <c r="G97" s="202"/>
      <c r="H97" s="200"/>
      <c r="I97" s="200"/>
      <c r="J97" s="200"/>
      <c r="K97" s="201"/>
      <c r="L97" s="202"/>
      <c r="M97" s="200"/>
      <c r="N97" s="200"/>
      <c r="O97" s="200"/>
      <c r="P97" s="201"/>
      <c r="Q97" s="202"/>
      <c r="R97" s="200"/>
      <c r="S97" s="200"/>
      <c r="T97" s="200"/>
      <c r="U97" s="201"/>
      <c r="V97" s="202"/>
      <c r="W97" s="200"/>
      <c r="X97" s="200"/>
      <c r="Y97" s="200"/>
      <c r="Z97" s="201"/>
      <c r="AA97" s="202"/>
      <c r="AB97" s="200"/>
      <c r="AC97" s="200"/>
      <c r="AD97" s="200"/>
      <c r="AE97" s="200"/>
      <c r="AF97" s="197" t="str">
        <f>IF('Prepare Gantt Chart'!$M98=2051,"●","")</f>
        <v/>
      </c>
      <c r="AG97" s="203"/>
      <c r="AH97" s="2" t="str">
        <f>'Prepare Gantt Chart'!F98</f>
        <v>Enhance water desalination</v>
      </c>
    </row>
    <row r="98" spans="1:34" ht="12" customHeight="1" x14ac:dyDescent="0.2">
      <c r="A98" s="196">
        <f>'Prepare Gantt Chart'!C99</f>
        <v>8</v>
      </c>
      <c r="C98" s="2" t="str">
        <f>'Prepare Gantt Chart'!E99</f>
        <v>IND_14</v>
      </c>
      <c r="D98"/>
      <c r="E98" s="197"/>
      <c r="F98" s="201"/>
      <c r="G98" s="202"/>
      <c r="H98" s="200"/>
      <c r="I98" s="200"/>
      <c r="J98" s="200"/>
      <c r="K98" s="201"/>
      <c r="L98" s="202"/>
      <c r="M98" s="200"/>
      <c r="N98" s="200"/>
      <c r="O98" s="200"/>
      <c r="P98" s="201"/>
      <c r="Q98" s="202"/>
      <c r="R98" s="200"/>
      <c r="S98" s="200"/>
      <c r="T98" s="200"/>
      <c r="U98" s="201"/>
      <c r="V98" s="202"/>
      <c r="W98" s="200"/>
      <c r="X98" s="200"/>
      <c r="Y98" s="200"/>
      <c r="Z98" s="201"/>
      <c r="AA98" s="202"/>
      <c r="AB98" s="200"/>
      <c r="AC98" s="200"/>
      <c r="AD98" s="200"/>
      <c r="AE98" s="200"/>
      <c r="AF98" s="197" t="str">
        <f>IF('Prepare Gantt Chart'!$M99=2051,"●","")</f>
        <v/>
      </c>
      <c r="AG98" s="203"/>
      <c r="AH98" s="2" t="str">
        <f>'Prepare Gantt Chart'!F99</f>
        <v>Remove pricing subsidies for heavy energy use</v>
      </c>
    </row>
    <row r="99" spans="1:34" ht="12" customHeight="1" x14ac:dyDescent="0.2">
      <c r="A99" s="196">
        <f>'Prepare Gantt Chart'!C100</f>
        <v>8</v>
      </c>
      <c r="C99" s="2" t="str">
        <f>'Prepare Gantt Chart'!E100</f>
        <v>IND_15</v>
      </c>
      <c r="D99"/>
      <c r="E99" s="197"/>
      <c r="F99" s="201"/>
      <c r="G99" s="202"/>
      <c r="H99" s="200"/>
      <c r="I99" s="200"/>
      <c r="J99" s="200"/>
      <c r="K99" s="201"/>
      <c r="L99" s="202"/>
      <c r="M99" s="200"/>
      <c r="N99" s="200"/>
      <c r="O99" s="200"/>
      <c r="P99" s="201"/>
      <c r="Q99" s="202"/>
      <c r="R99" s="200"/>
      <c r="S99" s="200"/>
      <c r="T99" s="200"/>
      <c r="U99" s="201"/>
      <c r="V99" s="202"/>
      <c r="W99" s="200"/>
      <c r="X99" s="200"/>
      <c r="Y99" s="200"/>
      <c r="Z99" s="201"/>
      <c r="AA99" s="202"/>
      <c r="AB99" s="200"/>
      <c r="AC99" s="200"/>
      <c r="AD99" s="200"/>
      <c r="AE99" s="200"/>
      <c r="AF99" s="197" t="str">
        <f>IF('Prepare Gantt Chart'!$M100=2051,"●","")</f>
        <v/>
      </c>
      <c r="AG99" s="203"/>
      <c r="AH99" s="2" t="str">
        <f>'Prepare Gantt Chart'!F100</f>
        <v>Adopt performance standards for electric motors</v>
      </c>
    </row>
    <row r="100" spans="1:34" ht="12" customHeight="1" x14ac:dyDescent="0.2">
      <c r="A100" s="196">
        <f>'Prepare Gantt Chart'!C101</f>
        <v>8</v>
      </c>
      <c r="C100" s="2" t="str">
        <f>'Prepare Gantt Chart'!E101</f>
        <v>IND_16</v>
      </c>
      <c r="D100"/>
      <c r="E100" s="197"/>
      <c r="F100" s="201"/>
      <c r="G100" s="202"/>
      <c r="H100" s="200"/>
      <c r="I100" s="200"/>
      <c r="J100" s="200"/>
      <c r="K100" s="201"/>
      <c r="L100" s="202"/>
      <c r="M100" s="200"/>
      <c r="N100" s="200"/>
      <c r="O100" s="200"/>
      <c r="P100" s="201"/>
      <c r="Q100" s="202"/>
      <c r="R100" s="200"/>
      <c r="S100" s="200"/>
      <c r="T100" s="200"/>
      <c r="U100" s="201"/>
      <c r="V100" s="202"/>
      <c r="W100" s="200"/>
      <c r="X100" s="200"/>
      <c r="Y100" s="200"/>
      <c r="Z100" s="201"/>
      <c r="AA100" s="202"/>
      <c r="AB100" s="200"/>
      <c r="AC100" s="200"/>
      <c r="AD100" s="200"/>
      <c r="AE100" s="200"/>
      <c r="AF100" s="197" t="str">
        <f>IF('Prepare Gantt Chart'!$M101=2051,"●","")</f>
        <v/>
      </c>
      <c r="AG100" s="203"/>
      <c r="AH100" s="2" t="str">
        <f>'Prepare Gantt Chart'!F101</f>
        <v>Adopt carbon taxation for emissions, benefits for sequestration</v>
      </c>
    </row>
    <row r="101" spans="1:34" ht="12" customHeight="1" x14ac:dyDescent="0.2">
      <c r="A101" s="196">
        <f>'Prepare Gantt Chart'!C102</f>
        <v>9</v>
      </c>
      <c r="C101" s="2" t="str">
        <f>'Prepare Gantt Chart'!E102</f>
        <v>ENE_01</v>
      </c>
      <c r="D101"/>
      <c r="E101" s="197"/>
      <c r="F101" s="201"/>
      <c r="G101" s="202"/>
      <c r="H101" s="200"/>
      <c r="I101" s="200"/>
      <c r="J101" s="200"/>
      <c r="K101" s="201"/>
      <c r="L101" s="202"/>
      <c r="M101" s="200"/>
      <c r="N101" s="200"/>
      <c r="O101" s="200"/>
      <c r="P101" s="201"/>
      <c r="Q101" s="202"/>
      <c r="R101" s="200"/>
      <c r="S101" s="200"/>
      <c r="T101" s="200"/>
      <c r="U101" s="201"/>
      <c r="V101" s="202"/>
      <c r="W101" s="200"/>
      <c r="X101" s="200"/>
      <c r="Y101" s="200"/>
      <c r="Z101" s="201"/>
      <c r="AA101" s="202"/>
      <c r="AB101" s="200"/>
      <c r="AC101" s="200"/>
      <c r="AD101" s="200"/>
      <c r="AE101" s="200"/>
      <c r="AF101" s="197" t="str">
        <f>IF('Prepare Gantt Chart'!$M102=2051,"●","")</f>
        <v/>
      </c>
      <c r="AG101" s="203"/>
      <c r="AH101" s="2" t="str">
        <f>'Prepare Gantt Chart'!F102</f>
        <v>Enhance solar photovoltaic energy production</v>
      </c>
    </row>
    <row r="102" spans="1:34" ht="12" customHeight="1" x14ac:dyDescent="0.2">
      <c r="A102" s="196">
        <f>'Prepare Gantt Chart'!C103</f>
        <v>9</v>
      </c>
      <c r="C102" s="2" t="str">
        <f>'Prepare Gantt Chart'!E103</f>
        <v>ENE_02</v>
      </c>
      <c r="D102"/>
      <c r="E102" s="197"/>
      <c r="F102" s="201"/>
      <c r="G102" s="202"/>
      <c r="H102" s="200"/>
      <c r="I102" s="200"/>
      <c r="J102" s="200"/>
      <c r="K102" s="201"/>
      <c r="L102" s="202"/>
      <c r="M102" s="200"/>
      <c r="N102" s="200"/>
      <c r="O102" s="200"/>
      <c r="P102" s="201"/>
      <c r="Q102" s="202"/>
      <c r="R102" s="200"/>
      <c r="S102" s="200"/>
      <c r="T102" s="200"/>
      <c r="U102" s="201"/>
      <c r="V102" s="202"/>
      <c r="W102" s="200"/>
      <c r="X102" s="200"/>
      <c r="Y102" s="200"/>
      <c r="Z102" s="201"/>
      <c r="AA102" s="202"/>
      <c r="AB102" s="200"/>
      <c r="AC102" s="200"/>
      <c r="AD102" s="200"/>
      <c r="AE102" s="200"/>
      <c r="AF102" s="197" t="str">
        <f>IF('Prepare Gantt Chart'!$M103=2051,"●","")</f>
        <v/>
      </c>
      <c r="AG102" s="203"/>
      <c r="AH102" s="2" t="str">
        <f>'Prepare Gantt Chart'!F103</f>
        <v>Enhance off-shore wind energy production</v>
      </c>
    </row>
    <row r="103" spans="1:34" ht="12" customHeight="1" x14ac:dyDescent="0.2">
      <c r="A103" s="196">
        <f>'Prepare Gantt Chart'!C104</f>
        <v>9</v>
      </c>
      <c r="C103" s="2" t="str">
        <f>'Prepare Gantt Chart'!E104</f>
        <v>ENE_03</v>
      </c>
      <c r="D103"/>
      <c r="E103" s="197"/>
      <c r="F103" s="201"/>
      <c r="G103" s="202"/>
      <c r="H103" s="200"/>
      <c r="I103" s="200"/>
      <c r="J103" s="200"/>
      <c r="K103" s="201"/>
      <c r="L103" s="202"/>
      <c r="M103" s="200"/>
      <c r="N103" s="200"/>
      <c r="O103" s="200"/>
      <c r="P103" s="201"/>
      <c r="Q103" s="202"/>
      <c r="R103" s="200"/>
      <c r="S103" s="200"/>
      <c r="T103" s="200"/>
      <c r="U103" s="201"/>
      <c r="V103" s="202"/>
      <c r="W103" s="200"/>
      <c r="X103" s="200"/>
      <c r="Y103" s="200"/>
      <c r="Z103" s="201"/>
      <c r="AA103" s="202"/>
      <c r="AB103" s="200"/>
      <c r="AC103" s="200"/>
      <c r="AD103" s="200"/>
      <c r="AE103" s="200"/>
      <c r="AF103" s="197" t="str">
        <f>IF('Prepare Gantt Chart'!$M104=2051,"●","")</f>
        <v/>
      </c>
      <c r="AG103" s="203"/>
      <c r="AH103" s="2" t="str">
        <f>'Prepare Gantt Chart'!F104</f>
        <v>Enhance on-shore wind energy production</v>
      </c>
    </row>
    <row r="104" spans="1:34" ht="12" customHeight="1" x14ac:dyDescent="0.2">
      <c r="A104" s="196">
        <f>'Prepare Gantt Chart'!C105</f>
        <v>9</v>
      </c>
      <c r="C104" s="2" t="str">
        <f>'Prepare Gantt Chart'!E105</f>
        <v>ENE_04</v>
      </c>
      <c r="D104"/>
      <c r="E104" s="197"/>
      <c r="F104" s="201"/>
      <c r="G104" s="202"/>
      <c r="H104" s="200"/>
      <c r="I104" s="200"/>
      <c r="J104" s="200"/>
      <c r="K104" s="201"/>
      <c r="L104" s="202"/>
      <c r="M104" s="200"/>
      <c r="N104" s="200"/>
      <c r="O104" s="200"/>
      <c r="P104" s="201"/>
      <c r="Q104" s="202"/>
      <c r="R104" s="200"/>
      <c r="S104" s="200"/>
      <c r="T104" s="200"/>
      <c r="U104" s="201"/>
      <c r="V104" s="202"/>
      <c r="W104" s="200"/>
      <c r="X104" s="200"/>
      <c r="Y104" s="200"/>
      <c r="Z104" s="201"/>
      <c r="AA104" s="202"/>
      <c r="AB104" s="200"/>
      <c r="AC104" s="200"/>
      <c r="AD104" s="200"/>
      <c r="AE104" s="200"/>
      <c r="AF104" s="197" t="str">
        <f>IF('Prepare Gantt Chart'!$M105=2051,"●","")</f>
        <v/>
      </c>
      <c r="AG104" s="203"/>
      <c r="AH104" s="2" t="str">
        <f>'Prepare Gantt Chart'!F105</f>
        <v>Enhance geothermal energy production</v>
      </c>
    </row>
    <row r="105" spans="1:34" ht="12" customHeight="1" x14ac:dyDescent="0.2">
      <c r="A105" s="196">
        <f>'Prepare Gantt Chart'!C106</f>
        <v>9</v>
      </c>
      <c r="C105" s="2" t="str">
        <f>'Prepare Gantt Chart'!E106</f>
        <v>ENE_05</v>
      </c>
      <c r="D105"/>
      <c r="E105" s="197"/>
      <c r="F105" s="201"/>
      <c r="G105" s="202"/>
      <c r="H105" s="200"/>
      <c r="I105" s="200"/>
      <c r="J105" s="200"/>
      <c r="K105" s="201"/>
      <c r="L105" s="202"/>
      <c r="M105" s="200"/>
      <c r="N105" s="200"/>
      <c r="O105" s="200"/>
      <c r="P105" s="201"/>
      <c r="Q105" s="202"/>
      <c r="R105" s="200"/>
      <c r="S105" s="200"/>
      <c r="T105" s="200"/>
      <c r="U105" s="201"/>
      <c r="V105" s="202"/>
      <c r="W105" s="200"/>
      <c r="X105" s="200"/>
      <c r="Y105" s="200"/>
      <c r="Z105" s="201"/>
      <c r="AA105" s="202"/>
      <c r="AB105" s="200"/>
      <c r="AC105" s="200"/>
      <c r="AD105" s="200"/>
      <c r="AE105" s="200"/>
      <c r="AF105" s="197" t="str">
        <f>IF('Prepare Gantt Chart'!$M106=2051,"●","")</f>
        <v/>
      </c>
      <c r="AG105" s="203"/>
      <c r="AH105" s="2" t="str">
        <f>'Prepare Gantt Chart'!F106</f>
        <v>Enhance hydro energy production</v>
      </c>
    </row>
    <row r="106" spans="1:34" ht="12" customHeight="1" x14ac:dyDescent="0.2">
      <c r="A106" s="196">
        <f>'Prepare Gantt Chart'!C107</f>
        <v>9</v>
      </c>
      <c r="C106" s="2" t="str">
        <f>'Prepare Gantt Chart'!E107</f>
        <v>ENE_06</v>
      </c>
      <c r="D106"/>
      <c r="E106" s="197"/>
      <c r="F106" s="201"/>
      <c r="G106" s="202"/>
      <c r="H106" s="200"/>
      <c r="I106" s="200"/>
      <c r="J106" s="200"/>
      <c r="K106" s="201"/>
      <c r="L106" s="202"/>
      <c r="M106" s="200"/>
      <c r="N106" s="200"/>
      <c r="O106" s="200"/>
      <c r="P106" s="201"/>
      <c r="Q106" s="202"/>
      <c r="R106" s="200"/>
      <c r="S106" s="200"/>
      <c r="T106" s="200"/>
      <c r="U106" s="201"/>
      <c r="V106" s="202"/>
      <c r="W106" s="200"/>
      <c r="X106" s="200"/>
      <c r="Y106" s="200"/>
      <c r="Z106" s="201"/>
      <c r="AA106" s="202"/>
      <c r="AB106" s="200"/>
      <c r="AC106" s="200"/>
      <c r="AD106" s="200"/>
      <c r="AE106" s="200"/>
      <c r="AF106" s="197" t="str">
        <f>IF('Prepare Gantt Chart'!$M107=2051,"●","")</f>
        <v/>
      </c>
      <c r="AG106" s="203"/>
      <c r="AH106" s="2" t="str">
        <f>'Prepare Gantt Chart'!F107</f>
        <v>Enhance ocean wave energy production</v>
      </c>
    </row>
    <row r="107" spans="1:34" ht="12" customHeight="1" x14ac:dyDescent="0.2">
      <c r="A107" s="196">
        <f>'Prepare Gantt Chart'!C108</f>
        <v>9</v>
      </c>
      <c r="C107" s="2" t="str">
        <f>'Prepare Gantt Chart'!E108</f>
        <v>ENE_07</v>
      </c>
      <c r="D107"/>
      <c r="E107" s="197"/>
      <c r="F107" s="201"/>
      <c r="G107" s="202"/>
      <c r="H107" s="200"/>
      <c r="I107" s="200"/>
      <c r="J107" s="200"/>
      <c r="K107" s="201"/>
      <c r="L107" s="202"/>
      <c r="M107" s="200"/>
      <c r="N107" s="200"/>
      <c r="O107" s="200"/>
      <c r="P107" s="201"/>
      <c r="Q107" s="202"/>
      <c r="R107" s="200"/>
      <c r="S107" s="200"/>
      <c r="T107" s="200"/>
      <c r="U107" s="201"/>
      <c r="V107" s="202"/>
      <c r="W107" s="200"/>
      <c r="X107" s="200"/>
      <c r="Y107" s="200"/>
      <c r="Z107" s="201"/>
      <c r="AA107" s="202"/>
      <c r="AB107" s="200"/>
      <c r="AC107" s="200"/>
      <c r="AD107" s="200"/>
      <c r="AE107" s="200"/>
      <c r="AF107" s="197" t="str">
        <f>IF('Prepare Gantt Chart'!$M108=2051,"●","")</f>
        <v/>
      </c>
      <c r="AG107" s="203"/>
      <c r="AH107" s="2" t="str">
        <f>'Prepare Gantt Chart'!F108</f>
        <v>Enhance tidal energy production</v>
      </c>
    </row>
    <row r="108" spans="1:34" ht="12" customHeight="1" x14ac:dyDescent="0.2">
      <c r="A108" s="196">
        <f>'Prepare Gantt Chart'!C109</f>
        <v>9</v>
      </c>
      <c r="C108" s="2" t="str">
        <f>'Prepare Gantt Chart'!E109</f>
        <v>ENE_08</v>
      </c>
      <c r="D108"/>
      <c r="E108" s="197"/>
      <c r="F108" s="201"/>
      <c r="G108" s="202"/>
      <c r="H108" s="200"/>
      <c r="I108" s="200"/>
      <c r="J108" s="200"/>
      <c r="K108" s="201"/>
      <c r="L108" s="202"/>
      <c r="M108" s="200"/>
      <c r="N108" s="200"/>
      <c r="O108" s="200"/>
      <c r="P108" s="201"/>
      <c r="Q108" s="202"/>
      <c r="R108" s="200"/>
      <c r="S108" s="200"/>
      <c r="T108" s="200"/>
      <c r="U108" s="201"/>
      <c r="V108" s="202"/>
      <c r="W108" s="200"/>
      <c r="X108" s="200"/>
      <c r="Y108" s="200"/>
      <c r="Z108" s="201"/>
      <c r="AA108" s="202"/>
      <c r="AB108" s="200"/>
      <c r="AC108" s="200"/>
      <c r="AD108" s="200"/>
      <c r="AE108" s="200"/>
      <c r="AF108" s="197" t="str">
        <f>IF('Prepare Gantt Chart'!$M109=2051,"●","")</f>
        <v/>
      </c>
      <c r="AG108" s="203"/>
      <c r="AH108" s="2" t="str">
        <f>'Prepare Gantt Chart'!F109</f>
        <v xml:space="preserve">Enhance nuclear energy production </v>
      </c>
    </row>
    <row r="109" spans="1:34" ht="12" customHeight="1" x14ac:dyDescent="0.2">
      <c r="A109" s="196">
        <f>'Prepare Gantt Chart'!C110</f>
        <v>9</v>
      </c>
      <c r="B109" s="204"/>
      <c r="C109" s="2" t="str">
        <f>'Prepare Gantt Chart'!E110</f>
        <v>ENE_09</v>
      </c>
      <c r="D109"/>
      <c r="E109" s="197"/>
      <c r="F109" s="201"/>
      <c r="G109" s="202"/>
      <c r="H109" s="200"/>
      <c r="I109" s="200"/>
      <c r="J109" s="200"/>
      <c r="K109" s="201"/>
      <c r="L109" s="202"/>
      <c r="M109" s="200"/>
      <c r="N109" s="200"/>
      <c r="O109" s="200"/>
      <c r="P109" s="201"/>
      <c r="Q109" s="202"/>
      <c r="R109" s="200"/>
      <c r="S109" s="200"/>
      <c r="T109" s="200"/>
      <c r="U109" s="201"/>
      <c r="V109" s="202"/>
      <c r="W109" s="200"/>
      <c r="X109" s="200"/>
      <c r="Y109" s="200"/>
      <c r="Z109" s="201"/>
      <c r="AA109" s="202"/>
      <c r="AB109" s="200"/>
      <c r="AC109" s="200"/>
      <c r="AD109" s="200"/>
      <c r="AE109" s="200"/>
      <c r="AF109" s="197" t="str">
        <f>IF('Prepare Gantt Chart'!$M110=2051,"●","")</f>
        <v/>
      </c>
      <c r="AG109" s="203"/>
      <c r="AH109" s="2" t="str">
        <f>'Prepare Gantt Chart'!F110</f>
        <v>Enhance thermal gradient energy production</v>
      </c>
    </row>
    <row r="110" spans="1:34" ht="12" customHeight="1" x14ac:dyDescent="0.2">
      <c r="B110" s="205"/>
      <c r="C110" s="206" t="str">
        <f>'Prepare Gantt Chart'!E111</f>
        <v>ENE_10</v>
      </c>
      <c r="D110"/>
      <c r="E110" s="197"/>
      <c r="F110" s="201"/>
      <c r="G110" s="202"/>
      <c r="H110" s="200"/>
      <c r="I110" s="200"/>
      <c r="J110" s="200"/>
      <c r="K110" s="201"/>
      <c r="L110" s="202"/>
      <c r="M110" s="200"/>
      <c r="N110" s="200"/>
      <c r="O110" s="200"/>
      <c r="P110" s="201"/>
      <c r="Q110" s="202"/>
      <c r="R110" s="200"/>
      <c r="S110" s="200"/>
      <c r="T110" s="200"/>
      <c r="U110" s="201"/>
      <c r="V110" s="202"/>
      <c r="W110" s="200"/>
      <c r="X110" s="200"/>
      <c r="Y110" s="200"/>
      <c r="Z110" s="201"/>
      <c r="AA110" s="202"/>
      <c r="AB110" s="200"/>
      <c r="AC110" s="200"/>
      <c r="AD110" s="200"/>
      <c r="AE110" s="200"/>
      <c r="AF110" s="197" t="str">
        <f>IF('Prepare Gantt Chart'!$M111=2051,"●","")</f>
        <v/>
      </c>
      <c r="AG110" s="203"/>
      <c r="AH110" s="2" t="str">
        <f>'Prepare Gantt Chart'!F111</f>
        <v>Enhance waste to energy production</v>
      </c>
    </row>
    <row r="111" spans="1:34" ht="12" customHeight="1" x14ac:dyDescent="0.2">
      <c r="B111" s="205"/>
      <c r="C111" s="206" t="str">
        <f>'Prepare Gantt Chart'!E112</f>
        <v>ENE_11</v>
      </c>
      <c r="D111"/>
      <c r="E111" s="197"/>
      <c r="F111" s="201"/>
      <c r="G111" s="202"/>
      <c r="H111" s="200"/>
      <c r="I111" s="200"/>
      <c r="J111" s="200"/>
      <c r="K111" s="201"/>
      <c r="L111" s="202"/>
      <c r="M111" s="200"/>
      <c r="N111" s="200"/>
      <c r="O111" s="200"/>
      <c r="P111" s="201"/>
      <c r="Q111" s="202"/>
      <c r="R111" s="200"/>
      <c r="S111" s="200"/>
      <c r="T111" s="200"/>
      <c r="U111" s="201"/>
      <c r="V111" s="202"/>
      <c r="W111" s="200"/>
      <c r="X111" s="200"/>
      <c r="Y111" s="200"/>
      <c r="Z111" s="201"/>
      <c r="AA111" s="202"/>
      <c r="AB111" s="200"/>
      <c r="AC111" s="200"/>
      <c r="AD111" s="200"/>
      <c r="AE111" s="200"/>
      <c r="AF111" s="197" t="str">
        <f>IF('Prepare Gantt Chart'!$M112=2051,"●","")</f>
        <v/>
      </c>
      <c r="AG111" s="203"/>
      <c r="AH111" s="2" t="str">
        <f>'Prepare Gantt Chart'!F112</f>
        <v>Enhance green hydrogen production</v>
      </c>
    </row>
    <row r="112" spans="1:34" ht="12" customHeight="1" x14ac:dyDescent="0.2">
      <c r="B112" s="205"/>
      <c r="C112" s="206" t="str">
        <f>'Prepare Gantt Chart'!E113</f>
        <v>ENE_12</v>
      </c>
      <c r="D112"/>
      <c r="E112" s="197"/>
      <c r="F112" s="201"/>
      <c r="G112" s="202"/>
      <c r="H112" s="200"/>
      <c r="I112" s="200"/>
      <c r="J112" s="200"/>
      <c r="K112" s="201"/>
      <c r="L112" s="202"/>
      <c r="M112" s="200"/>
      <c r="N112" s="200"/>
      <c r="O112" s="200"/>
      <c r="P112" s="201"/>
      <c r="Q112" s="202"/>
      <c r="R112" s="200"/>
      <c r="S112" s="200"/>
      <c r="T112" s="200"/>
      <c r="U112" s="201"/>
      <c r="V112" s="202"/>
      <c r="W112" s="200"/>
      <c r="X112" s="200"/>
      <c r="Y112" s="200"/>
      <c r="Z112" s="201"/>
      <c r="AA112" s="202"/>
      <c r="AB112" s="200"/>
      <c r="AC112" s="200"/>
      <c r="AD112" s="200"/>
      <c r="AE112" s="200"/>
      <c r="AF112" s="197" t="str">
        <f>IF('Prepare Gantt Chart'!$M113=2051,"●","")</f>
        <v/>
      </c>
      <c r="AG112" s="203"/>
      <c r="AH112" s="2" t="str">
        <f>'Prepare Gantt Chart'!F113</f>
        <v>Phase out fossil fuel production</v>
      </c>
    </row>
    <row r="113" spans="2:34" ht="12" customHeight="1" x14ac:dyDescent="0.2">
      <c r="B113" s="205"/>
      <c r="C113" s="206" t="str">
        <f>'Prepare Gantt Chart'!E114</f>
        <v>ENE_13</v>
      </c>
      <c r="D113"/>
      <c r="E113" s="197"/>
      <c r="F113" s="201"/>
      <c r="G113" s="202"/>
      <c r="H113" s="200"/>
      <c r="I113" s="200"/>
      <c r="J113" s="200"/>
      <c r="K113" s="201"/>
      <c r="L113" s="202"/>
      <c r="M113" s="200"/>
      <c r="N113" s="200"/>
      <c r="O113" s="200"/>
      <c r="P113" s="201"/>
      <c r="Q113" s="202"/>
      <c r="R113" s="200"/>
      <c r="S113" s="200"/>
      <c r="T113" s="200"/>
      <c r="U113" s="201"/>
      <c r="V113" s="202"/>
      <c r="W113" s="200"/>
      <c r="X113" s="200"/>
      <c r="Y113" s="200"/>
      <c r="Z113" s="201"/>
      <c r="AA113" s="202"/>
      <c r="AB113" s="200"/>
      <c r="AC113" s="200"/>
      <c r="AD113" s="200"/>
      <c r="AE113" s="200"/>
      <c r="AF113" s="197" t="str">
        <f>IF('Prepare Gantt Chart'!$M114=2051,"●","")</f>
        <v/>
      </c>
      <c r="AG113" s="203"/>
      <c r="AH113" s="2" t="str">
        <f>'Prepare Gantt Chart'!F114</f>
        <v>Phase out fossil fuel power plants</v>
      </c>
    </row>
    <row r="114" spans="2:34" ht="12" customHeight="1" x14ac:dyDescent="0.2">
      <c r="B114" s="205"/>
      <c r="C114" s="206" t="str">
        <f>'Prepare Gantt Chart'!E115</f>
        <v>ENE_14</v>
      </c>
      <c r="D114"/>
      <c r="E114" s="197"/>
      <c r="F114" s="201"/>
      <c r="G114" s="202"/>
      <c r="H114" s="200"/>
      <c r="I114" s="200"/>
      <c r="J114" s="200"/>
      <c r="K114" s="201"/>
      <c r="L114" s="202"/>
      <c r="M114" s="200"/>
      <c r="N114" s="200"/>
      <c r="O114" s="200"/>
      <c r="P114" s="201"/>
      <c r="Q114" s="202"/>
      <c r="R114" s="200"/>
      <c r="S114" s="200"/>
      <c r="T114" s="200"/>
      <c r="U114" s="201"/>
      <c r="V114" s="202"/>
      <c r="W114" s="200"/>
      <c r="X114" s="200"/>
      <c r="Y114" s="200"/>
      <c r="Z114" s="201"/>
      <c r="AA114" s="202"/>
      <c r="AB114" s="200"/>
      <c r="AC114" s="200"/>
      <c r="AD114" s="200"/>
      <c r="AE114" s="200"/>
      <c r="AF114" s="197" t="str">
        <f>IF('Prepare Gantt Chart'!$M115=2051,"●","")</f>
        <v/>
      </c>
      <c r="AG114" s="203"/>
      <c r="AH114" s="2" t="str">
        <f>'Prepare Gantt Chart'!F115</f>
        <v>Retrofit fossil fuel to renewable power plants</v>
      </c>
    </row>
    <row r="115" spans="2:34" ht="12" customHeight="1" x14ac:dyDescent="0.2">
      <c r="B115" s="205"/>
      <c r="C115" s="206" t="str">
        <f>'Prepare Gantt Chart'!E116</f>
        <v>ENE_15</v>
      </c>
      <c r="D115"/>
      <c r="E115" s="197"/>
      <c r="F115" s="201"/>
      <c r="G115" s="202"/>
      <c r="H115" s="200"/>
      <c r="I115" s="200"/>
      <c r="J115" s="200"/>
      <c r="K115" s="201"/>
      <c r="L115" s="202"/>
      <c r="M115" s="200"/>
      <c r="N115" s="200"/>
      <c r="O115" s="200"/>
      <c r="P115" s="201"/>
      <c r="Q115" s="202"/>
      <c r="R115" s="200"/>
      <c r="S115" s="200"/>
      <c r="T115" s="200"/>
      <c r="U115" s="201"/>
      <c r="V115" s="202"/>
      <c r="W115" s="200"/>
      <c r="X115" s="200"/>
      <c r="Y115" s="200"/>
      <c r="Z115" s="201"/>
      <c r="AA115" s="202"/>
      <c r="AB115" s="200"/>
      <c r="AC115" s="200"/>
      <c r="AD115" s="200"/>
      <c r="AE115" s="200"/>
      <c r="AF115" s="197" t="str">
        <f>IF('Prepare Gantt Chart'!$M116=2051,"●","")</f>
        <v/>
      </c>
      <c r="AG115" s="203"/>
      <c r="AH115" s="2" t="str">
        <f>'Prepare Gantt Chart'!F116</f>
        <v>Enhance renewable energy distribution</v>
      </c>
    </row>
    <row r="116" spans="2:34" ht="12" customHeight="1" x14ac:dyDescent="0.2">
      <c r="B116" s="205"/>
      <c r="C116" s="206" t="str">
        <f>'Prepare Gantt Chart'!E117</f>
        <v>ENE_16</v>
      </c>
      <c r="D116"/>
      <c r="E116" s="197"/>
      <c r="F116" s="201"/>
      <c r="G116" s="202"/>
      <c r="H116" s="200"/>
      <c r="I116" s="200"/>
      <c r="J116" s="200"/>
      <c r="K116" s="201"/>
      <c r="L116" s="202"/>
      <c r="M116" s="200"/>
      <c r="N116" s="200"/>
      <c r="O116" s="200"/>
      <c r="P116" s="201"/>
      <c r="Q116" s="202"/>
      <c r="R116" s="200"/>
      <c r="S116" s="200"/>
      <c r="T116" s="200"/>
      <c r="U116" s="201"/>
      <c r="V116" s="202"/>
      <c r="W116" s="200"/>
      <c r="X116" s="200"/>
      <c r="Y116" s="200"/>
      <c r="Z116" s="201"/>
      <c r="AA116" s="202"/>
      <c r="AB116" s="200"/>
      <c r="AC116" s="200"/>
      <c r="AD116" s="200"/>
      <c r="AE116" s="200"/>
      <c r="AF116" s="197" t="str">
        <f>IF('Prepare Gantt Chart'!$M117=2051,"●","")</f>
        <v/>
      </c>
      <c r="AG116" s="203"/>
      <c r="AH116" s="2" t="str">
        <f>'Prepare Gantt Chart'!F117</f>
        <v>Enhance energy efficiency</v>
      </c>
    </row>
    <row r="117" spans="2:34" ht="12" customHeight="1" x14ac:dyDescent="0.2">
      <c r="B117" s="205"/>
      <c r="C117" s="206" t="str">
        <f>'Prepare Gantt Chart'!E118</f>
        <v>ENE_17</v>
      </c>
      <c r="D117"/>
      <c r="E117" s="197"/>
      <c r="F117" s="201"/>
      <c r="G117" s="202"/>
      <c r="H117" s="200"/>
      <c r="I117" s="200"/>
      <c r="J117" s="200"/>
      <c r="K117" s="201"/>
      <c r="L117" s="202"/>
      <c r="M117" s="200"/>
      <c r="N117" s="200"/>
      <c r="O117" s="200"/>
      <c r="P117" s="201"/>
      <c r="Q117" s="202"/>
      <c r="R117" s="200"/>
      <c r="S117" s="200"/>
      <c r="T117" s="200"/>
      <c r="U117" s="201"/>
      <c r="V117" s="202"/>
      <c r="W117" s="200"/>
      <c r="X117" s="200"/>
      <c r="Y117" s="200"/>
      <c r="Z117" s="201"/>
      <c r="AA117" s="202"/>
      <c r="AB117" s="200"/>
      <c r="AC117" s="200"/>
      <c r="AD117" s="200"/>
      <c r="AE117" s="200"/>
      <c r="AF117" s="197" t="str">
        <f>IF('Prepare Gantt Chart'!$M118=2051,"●","")</f>
        <v/>
      </c>
      <c r="AG117" s="203"/>
      <c r="AH117" s="2" t="str">
        <f>'Prepare Gantt Chart'!F118</f>
        <v xml:space="preserve">Enhance sustainable water management </v>
      </c>
    </row>
    <row r="118" spans="2:34" ht="12" customHeight="1" x14ac:dyDescent="0.2">
      <c r="B118" s="205"/>
      <c r="C118" s="206" t="str">
        <f>'Prepare Gantt Chart'!E119</f>
        <v>ENE_18</v>
      </c>
      <c r="D118"/>
      <c r="E118" s="197"/>
      <c r="F118" s="201"/>
      <c r="G118" s="202"/>
      <c r="H118" s="200"/>
      <c r="I118" s="200"/>
      <c r="J118" s="200"/>
      <c r="K118" s="201"/>
      <c r="L118" s="202"/>
      <c r="M118" s="200"/>
      <c r="N118" s="200"/>
      <c r="O118" s="200"/>
      <c r="P118" s="201"/>
      <c r="Q118" s="202"/>
      <c r="R118" s="200"/>
      <c r="S118" s="200"/>
      <c r="T118" s="200"/>
      <c r="U118" s="201"/>
      <c r="V118" s="202"/>
      <c r="W118" s="200"/>
      <c r="X118" s="200"/>
      <c r="Y118" s="200"/>
      <c r="Z118" s="201"/>
      <c r="AA118" s="202"/>
      <c r="AB118" s="200"/>
      <c r="AC118" s="200"/>
      <c r="AD118" s="200"/>
      <c r="AE118" s="200"/>
      <c r="AF118" s="197" t="str">
        <f>IF('Prepare Gantt Chart'!$M119=2051,"●","")</f>
        <v/>
      </c>
      <c r="AG118" s="203"/>
      <c r="AH118" s="2" t="str">
        <f>'Prepare Gantt Chart'!F119</f>
        <v xml:space="preserve">Enhance sustainable waste management </v>
      </c>
    </row>
    <row r="119" spans="2:34" ht="12" customHeight="1" x14ac:dyDescent="0.2">
      <c r="B119" s="205"/>
      <c r="C119" s="206" t="str">
        <f>'Prepare Gantt Chart'!E120</f>
        <v>ENE_19</v>
      </c>
      <c r="D119"/>
      <c r="E119" s="197"/>
      <c r="F119" s="201"/>
      <c r="G119" s="202"/>
      <c r="H119" s="200"/>
      <c r="I119" s="200"/>
      <c r="J119" s="200"/>
      <c r="K119" s="201"/>
      <c r="L119" s="202"/>
      <c r="M119" s="200"/>
      <c r="N119" s="200"/>
      <c r="O119" s="200"/>
      <c r="P119" s="201"/>
      <c r="Q119" s="202"/>
      <c r="R119" s="200"/>
      <c r="S119" s="200"/>
      <c r="T119" s="200"/>
      <c r="U119" s="201"/>
      <c r="V119" s="202"/>
      <c r="W119" s="200"/>
      <c r="X119" s="200"/>
      <c r="Y119" s="200"/>
      <c r="Z119" s="201"/>
      <c r="AA119" s="202"/>
      <c r="AB119" s="200"/>
      <c r="AC119" s="200"/>
      <c r="AD119" s="200"/>
      <c r="AE119" s="200"/>
      <c r="AF119" s="197" t="str">
        <f>IF('Prepare Gantt Chart'!$M120=2051,"●","")</f>
        <v/>
      </c>
      <c r="AG119" s="203"/>
      <c r="AH119" s="2" t="str">
        <f>'Prepare Gantt Chart'!F120</f>
        <v>Eliminate fossil fuel subsidy programs</v>
      </c>
    </row>
    <row r="120" spans="2:34" ht="12" customHeight="1" x14ac:dyDescent="0.2">
      <c r="B120" s="205"/>
      <c r="C120" s="206" t="str">
        <f>'Prepare Gantt Chart'!E121</f>
        <v>ENE_20</v>
      </c>
      <c r="D120"/>
      <c r="E120" s="197"/>
      <c r="F120" s="201"/>
      <c r="G120" s="202"/>
      <c r="H120" s="200"/>
      <c r="I120" s="200"/>
      <c r="J120" s="200"/>
      <c r="K120" s="201"/>
      <c r="L120" s="202"/>
      <c r="M120" s="200"/>
      <c r="N120" s="200"/>
      <c r="O120" s="200"/>
      <c r="P120" s="201"/>
      <c r="Q120" s="202"/>
      <c r="R120" s="200"/>
      <c r="S120" s="200"/>
      <c r="T120" s="200"/>
      <c r="U120" s="201"/>
      <c r="V120" s="202"/>
      <c r="W120" s="200"/>
      <c r="X120" s="200"/>
      <c r="Y120" s="200"/>
      <c r="Z120" s="201"/>
      <c r="AA120" s="202"/>
      <c r="AB120" s="200"/>
      <c r="AC120" s="200"/>
      <c r="AD120" s="200"/>
      <c r="AE120" s="200"/>
      <c r="AF120" s="197" t="str">
        <f>IF('Prepare Gantt Chart'!$M121=2051,"●","")</f>
        <v/>
      </c>
      <c r="AG120" s="203"/>
      <c r="AH120" s="2" t="str">
        <f>'Prepare Gantt Chart'!F121</f>
        <v>Adopt carbon taxation for emissions, benefits for sequestration</v>
      </c>
    </row>
    <row r="121" spans="2:34" ht="12" customHeight="1" x14ac:dyDescent="0.2"/>
    <row r="122" spans="2:34" ht="12" customHeight="1" x14ac:dyDescent="0.2">
      <c r="AH122" s="2" t="str">
        <f>COUNTIF('Prepare Gantt Chart'!G5:G121,"1")+COUNTIF('Prepare Gantt Chart'!G5:G121,"2")&amp;" PTs included"</f>
        <v>0 PTs included</v>
      </c>
    </row>
    <row r="123" spans="2:34" ht="12" customHeight="1" x14ac:dyDescent="0.2">
      <c r="AH123" s="2" t="str">
        <f>(117-(COUNTIF('Prepare Gantt Chart'!G5:G121,"1")+COUNTIF('Prepare Gantt Chart'!G5:G121,"2")))&amp;" Non applicable PTs"</f>
        <v>117 Non applicable PTs</v>
      </c>
    </row>
    <row r="124" spans="2:34" ht="12" customHeight="1" x14ac:dyDescent="0.2"/>
    <row r="125" spans="2:34" ht="12" customHeight="1" x14ac:dyDescent="0.2"/>
    <row r="126" spans="2:34" ht="12" customHeight="1" x14ac:dyDescent="0.2"/>
    <row r="127" spans="2:34" ht="12" customHeight="1" x14ac:dyDescent="0.2"/>
    <row r="128" spans="2:34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</sheetData>
  <sheetProtection algorithmName="SHA-512" hashValue="NIpU2r34sLHaQQXVcgY2DlHr+Y1mxd7lkcn2eRPCFAAcMeIpAtRzfkAvGBwafSL+9yroSKk1N4CxDUdZ5shtKw==" saltValue="qu6xJKrcMzuoEKMle53sGQ==" spinCount="100000" sheet="1" objects="1" scenarios="1"/>
  <mergeCells count="1">
    <mergeCell ref="B1:C1"/>
  </mergeCells>
  <conditionalFormatting sqref="B4:C109">
    <cfRule type="expression" dxfId="30" priority="1">
      <formula>$A4=3</formula>
    </cfRule>
    <cfRule type="expression" dxfId="29" priority="2">
      <formula>$A4=9</formula>
    </cfRule>
    <cfRule type="expression" dxfId="28" priority="3">
      <formula>$A4=5</formula>
    </cfRule>
    <cfRule type="expression" dxfId="27" priority="4">
      <formula>$A4=2</formula>
    </cfRule>
    <cfRule type="expression" dxfId="26" priority="5">
      <formula>$A4=7</formula>
    </cfRule>
    <cfRule type="expression" dxfId="25" priority="6">
      <formula>$A4=8</formula>
    </cfRule>
    <cfRule type="expression" dxfId="24" priority="7">
      <formula>$A4=6</formula>
    </cfRule>
    <cfRule type="expression" dxfId="23" priority="8">
      <formula>$A4=1</formula>
    </cfRule>
    <cfRule type="expression" dxfId="22" priority="9">
      <formula>$A4=4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71" id="{ABECDBE1-C57D-444C-86FC-09D5FC167EC7}">
            <xm:f>'Prepare Gantt Chart'!#REF!=1</xm:f>
            <x14:dxf>
              <fill>
                <patternFill>
                  <bgColor theme="0" tint="-0.14996795556505021"/>
                </patternFill>
              </fill>
              <border>
                <left/>
                <top style="thin">
                  <color theme="0"/>
                </top>
                <bottom style="thin">
                  <color theme="0"/>
                </bottom>
                <vertical/>
                <horizontal/>
              </border>
            </x14:dxf>
          </x14:cfRule>
          <x14:cfRule type="expression" priority="270" id="{1019140E-C8C2-4144-B77C-5FE83803BEBA}">
            <xm:f>'Prepare Gantt Chart'!#REF!=2</xm:f>
            <x14:dxf>
              <fill>
                <patternFill>
                  <bgColor theme="0" tint="-0.34998626667073579"/>
                </patternFill>
              </fill>
              <border>
                <top style="thin">
                  <color theme="0"/>
                </top>
                <bottom style="thin">
                  <color theme="0"/>
                </bottom>
                <vertical/>
                <horizontal/>
              </border>
            </x14:dxf>
          </x14:cfRule>
          <xm:sqref>E4:E120</xm:sqref>
        </x14:conditionalFormatting>
        <x14:conditionalFormatting xmlns:xm="http://schemas.microsoft.com/office/excel/2006/main">
          <x14:cfRule type="expression" priority="21" id="{B2CBF8BF-13B6-4CF3-B27E-BF721E7DA7A3}">
            <xm:f>'Prepare Gantt Chart'!P5=12</xm:f>
            <x14:dxf>
              <fill>
                <patternFill>
                  <bgColor rgb="FFC84B58"/>
                </patternFill>
              </fill>
              <border>
                <top style="thin">
                  <color theme="0"/>
                </top>
                <bottom style="thin">
                  <color theme="0"/>
                </bottom>
                <vertical/>
                <horizontal/>
              </border>
            </x14:dxf>
          </x14:cfRule>
          <x14:cfRule type="expression" priority="11" id="{13B3DFEF-30F2-4A97-A060-B38978BEF4FC}">
            <xm:f>'Prepare Gantt Chart'!P5=2</xm:f>
            <x14:dxf>
              <fill>
                <patternFill>
                  <bgColor rgb="FF71A6A9"/>
                </patternFill>
              </fill>
              <border>
                <top style="thin">
                  <color theme="0"/>
                </top>
                <bottom style="thin">
                  <color theme="0"/>
                </bottom>
                <vertical/>
                <horizontal/>
              </border>
            </x14:dxf>
          </x14:cfRule>
          <x14:cfRule type="expression" priority="14" id="{7C62B643-5AD3-4680-9FC1-BC385CB620C5}">
            <xm:f>'Prepare Gantt Chart'!P5=5</xm:f>
            <x14:dxf>
              <fill>
                <patternFill>
                  <bgColor rgb="FFE1E1E1"/>
                </patternFill>
              </fill>
              <border>
                <top style="thin">
                  <color theme="0"/>
                </top>
                <bottom style="thin">
                  <color theme="0"/>
                </bottom>
                <vertical/>
                <horizontal/>
              </border>
            </x14:dxf>
          </x14:cfRule>
          <x14:cfRule type="expression" priority="15" id="{4BE0B465-923B-4E2A-96A5-337FD68134D7}">
            <xm:f>'Prepare Gantt Chart'!P5=6</xm:f>
            <x14:dxf>
              <fill>
                <patternFill>
                  <bgColor rgb="FFB2B2B2"/>
                </patternFill>
              </fill>
              <border>
                <top style="thin">
                  <color theme="0"/>
                </top>
                <bottom style="thin">
                  <color theme="0"/>
                </bottom>
                <vertical/>
                <horizontal/>
              </border>
            </x14:dxf>
          </x14:cfRule>
          <x14:cfRule type="expression" priority="16" id="{C421E2FE-5672-49A5-B27A-38EF50EC7BBE}">
            <xm:f>'Prepare Gantt Chart'!P5=7</xm:f>
            <x14:dxf>
              <fill>
                <patternFill>
                  <bgColor rgb="FF90CE9F"/>
                </patternFill>
              </fill>
              <border>
                <top style="thin">
                  <color theme="0"/>
                </top>
                <bottom style="thin">
                  <color theme="0"/>
                </bottom>
                <vertical/>
                <horizontal/>
              </border>
            </x14:dxf>
          </x14:cfRule>
          <x14:cfRule type="expression" priority="17" id="{047957B5-6CFC-430B-8492-6BEAF8F96B52}">
            <xm:f>'Prepare Gantt Chart'!P5=8</xm:f>
            <x14:dxf>
              <fill>
                <patternFill>
                  <bgColor rgb="FF548C61"/>
                </patternFill>
              </fill>
              <border>
                <top style="thin">
                  <color theme="0"/>
                </top>
                <bottom style="thin">
                  <color theme="0"/>
                </bottom>
                <vertical/>
                <horizontal/>
              </border>
            </x14:dxf>
          </x14:cfRule>
          <x14:cfRule type="expression" priority="18" id="{0481371F-21EB-4104-876E-A2310D2B595B}">
            <xm:f>'Prepare Gantt Chart'!P5=9</xm:f>
            <x14:dxf>
              <fill>
                <patternFill>
                  <bgColor rgb="FFEDE09E"/>
                </patternFill>
              </fill>
              <border>
                <top style="thin">
                  <color theme="0"/>
                </top>
                <bottom style="thin">
                  <color theme="0"/>
                </bottom>
                <vertical/>
                <horizontal/>
              </border>
            </x14:dxf>
          </x14:cfRule>
          <x14:cfRule type="expression" priority="19" id="{342FA928-5A41-4842-AFD9-2F8000E89750}">
            <xm:f>'Prepare Gantt Chart'!P5=10</xm:f>
            <x14:dxf>
              <fill>
                <patternFill>
                  <bgColor rgb="FFB4AA78"/>
                </patternFill>
              </fill>
              <border>
                <top style="thin">
                  <color theme="0"/>
                </top>
                <bottom style="thin">
                  <color theme="0"/>
                </bottom>
                <vertical/>
                <horizontal/>
              </border>
            </x14:dxf>
          </x14:cfRule>
          <x14:cfRule type="expression" priority="20" id="{AE4B652B-B060-4BA2-8B92-DE5E606E0C6B}">
            <xm:f>'Prepare Gantt Chart'!P5=11</xm:f>
            <x14:dxf>
              <fill>
                <patternFill>
                  <bgColor rgb="FFF17872"/>
                </patternFill>
              </fill>
              <border>
                <top style="thin">
                  <color theme="0"/>
                </top>
                <bottom style="thin">
                  <color theme="0"/>
                </bottom>
                <vertical/>
                <horizontal/>
              </border>
            </x14:dxf>
          </x14:cfRule>
          <x14:cfRule type="expression" priority="12" id="{F312322E-FF56-49BA-8811-A0CEF5559641}">
            <xm:f>'Prepare Gantt Chart'!P5=3</xm:f>
            <x14:dxf>
              <fill>
                <patternFill>
                  <bgColor rgb="FF7FBED8"/>
                </patternFill>
              </fill>
              <border>
                <top style="thin">
                  <color theme="0"/>
                </top>
                <bottom style="thin">
                  <color theme="0"/>
                </bottom>
              </border>
            </x14:dxf>
          </x14:cfRule>
          <x14:cfRule type="expression" priority="22" id="{735F8137-711A-4221-AFE0-7D0D3EEC649B}">
            <xm:f>'Prepare Gantt Chart'!P5=13</xm:f>
            <x14:dxf>
              <fill>
                <patternFill>
                  <bgColor rgb="FF728383"/>
                </patternFill>
              </fill>
              <border>
                <top style="thin">
                  <color theme="0"/>
                </top>
                <bottom style="thin">
                  <color theme="0"/>
                </bottom>
                <vertical/>
                <horizontal/>
              </border>
            </x14:dxf>
          </x14:cfRule>
          <x14:cfRule type="expression" priority="23" id="{7A4BD9DC-CE2A-4666-AC21-F1773B8D32BF}">
            <xm:f>'Prepare Gantt Chart'!P5=14</xm:f>
            <x14:dxf>
              <fill>
                <patternFill>
                  <bgColor rgb="FF5E5555"/>
                </patternFill>
              </fill>
              <border>
                <top style="thin">
                  <color theme="0"/>
                </top>
                <bottom style="thin">
                  <color theme="0"/>
                </bottom>
                <vertical/>
                <horizontal/>
              </border>
            </x14:dxf>
          </x14:cfRule>
          <x14:cfRule type="expression" priority="24" id="{79B77EFB-D29F-4CED-B3BD-43D8A809936C}">
            <xm:f>'Prepare Gantt Chart'!P5=15</xm:f>
            <x14:dxf>
              <fill>
                <patternFill>
                  <bgColor rgb="FFB78ACE"/>
                </patternFill>
              </fill>
              <border>
                <top style="thin">
                  <color theme="0"/>
                </top>
                <bottom style="thin">
                  <color theme="0"/>
                </bottom>
                <vertical/>
                <horizontal/>
              </border>
            </x14:dxf>
          </x14:cfRule>
          <x14:cfRule type="expression" priority="25" id="{77EA9D62-A3F4-4FFF-8634-049C6D59E7B9}">
            <xm:f>'Prepare Gantt Chart'!P5=16</xm:f>
            <x14:dxf>
              <fill>
                <patternFill>
                  <bgColor rgb="FF745782"/>
                </patternFill>
              </fill>
              <border>
                <top style="thin">
                  <color theme="0"/>
                </top>
                <bottom style="thin">
                  <color theme="0"/>
                </bottom>
                <vertical/>
                <horizontal/>
              </border>
            </x14:dxf>
          </x14:cfRule>
          <x14:cfRule type="expression" priority="26" id="{011EAA86-77C7-491E-8BE9-7F7C12D64DF0}">
            <xm:f>'Prepare Gantt Chart'!P5=17</xm:f>
            <x14:dxf>
              <fill>
                <patternFill>
                  <bgColor rgb="FFD2629B"/>
                </patternFill>
              </fill>
              <border>
                <top style="thin">
                  <color theme="0"/>
                </top>
                <bottom style="thin">
                  <color theme="0"/>
                </bottom>
                <vertical/>
                <horizontal/>
              </border>
            </x14:dxf>
          </x14:cfRule>
          <x14:cfRule type="expression" priority="27" id="{25F018AA-9B6A-4D14-BC84-997EC68E9EB7}">
            <xm:f>'Prepare Gantt Chart'!P5=18</xm:f>
            <x14:dxf>
              <fill>
                <patternFill>
                  <bgColor rgb="FF97476F"/>
                </patternFill>
              </fill>
              <border>
                <top style="thin">
                  <color theme="0"/>
                </top>
                <bottom style="thin">
                  <color theme="0"/>
                </bottom>
                <vertical/>
                <horizontal/>
              </border>
            </x14:dxf>
          </x14:cfRule>
          <x14:cfRule type="expression" priority="10" id="{4C2EAFAC-0ECA-457A-A472-59390E5827D1}">
            <xm:f>'Prepare Gantt Chart'!P5=1</xm:f>
            <x14:dxf>
              <fill>
                <patternFill>
                  <bgColor rgb="FF9FE9ED"/>
                </patternFill>
              </fill>
              <border>
                <top style="thin">
                  <color theme="0"/>
                </top>
                <bottom style="thin">
                  <color theme="0"/>
                </bottom>
                <vertical/>
                <horizontal/>
              </border>
            </x14:dxf>
          </x14:cfRule>
          <x14:cfRule type="expression" priority="13" id="{6A80207A-3BE2-4E9D-91FF-C92A42B83F34}">
            <xm:f>'Prepare Gantt Chart'!P5=4</xm:f>
            <x14:dxf>
              <fill>
                <patternFill>
                  <bgColor rgb="FF567D8D"/>
                </patternFill>
              </fill>
              <border>
                <top style="thin">
                  <color theme="0"/>
                </top>
                <bottom style="thin">
                  <color theme="0"/>
                </bottom>
              </border>
            </x14:dxf>
          </x14:cfRule>
          <xm:sqref>F4:AE120</xm:sqref>
        </x14:conditionalFormatting>
        <x14:conditionalFormatting xmlns:xm="http://schemas.microsoft.com/office/excel/2006/main">
          <x14:cfRule type="expression" priority="285" id="{1019140E-C8C2-4144-B77C-5FE83803BEBA}">
            <xm:f>'Prepare Gantt Chart'!#REF!=2</xm:f>
            <x14:dxf>
              <fill>
                <patternFill>
                  <bgColor theme="0" tint="-0.34998626667073579"/>
                </patternFill>
              </fill>
              <border>
                <top style="thin">
                  <color theme="0"/>
                </top>
                <bottom style="thin">
                  <color theme="0"/>
                </bottom>
                <vertical/>
                <horizontal/>
              </border>
            </x14:dxf>
          </x14:cfRule>
          <x14:cfRule type="expression" priority="286" id="{ABECDBE1-C57D-444C-86FC-09D5FC167EC7}">
            <xm:f>'Prepare Gantt Chart'!#REF!=1</xm:f>
            <x14:dxf>
              <fill>
                <patternFill>
                  <bgColor theme="0" tint="-0.14996795556505021"/>
                </patternFill>
              </fill>
              <border>
                <left/>
                <top style="thin">
                  <color theme="0"/>
                </top>
                <bottom style="thin">
                  <color theme="0"/>
                </bottom>
                <vertical/>
                <horizontal/>
              </border>
            </x14:dxf>
          </x14:cfRule>
          <xm:sqref>AF4:AF120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1146A-7757-485B-84A9-7D68A18B1666}">
  <dimension ref="A1:MP15847"/>
  <sheetViews>
    <sheetView showZeros="0" zoomScale="80" zoomScaleNormal="80" workbookViewId="0">
      <selection activeCell="C5" sqref="C5"/>
    </sheetView>
  </sheetViews>
  <sheetFormatPr baseColWidth="10" defaultColWidth="8.83203125" defaultRowHeight="15" x14ac:dyDescent="0.2"/>
  <cols>
    <col min="1" max="1" width="55.33203125" style="83" bestFit="1" customWidth="1"/>
    <col min="2" max="3" width="50.6640625" style="83" customWidth="1"/>
    <col min="4" max="13" width="11.83203125" style="83" bestFit="1" customWidth="1"/>
    <col min="14" max="24" width="12.1640625" style="83" bestFit="1" customWidth="1"/>
    <col min="25" max="26" width="11.5" style="83" bestFit="1" customWidth="1"/>
    <col min="27" max="27" width="11.6640625" style="83" bestFit="1" customWidth="1"/>
    <col min="28" max="28" width="11.5" style="83" customWidth="1"/>
    <col min="29" max="29" width="12.6640625" style="83" bestFit="1" customWidth="1"/>
    <col min="30" max="30" width="11.6640625" style="83" bestFit="1" customWidth="1"/>
    <col min="31" max="32" width="11.5" style="83" bestFit="1" customWidth="1"/>
    <col min="33" max="33" width="11.6640625" style="83" bestFit="1" customWidth="1"/>
    <col min="34" max="35" width="11.5" style="83" bestFit="1" customWidth="1"/>
    <col min="36" max="36" width="11.6640625" style="83" bestFit="1" customWidth="1"/>
    <col min="37" max="38" width="11.5" style="83" bestFit="1" customWidth="1"/>
    <col min="39" max="39" width="11.6640625" style="83" bestFit="1" customWidth="1"/>
    <col min="40" max="41" width="11.5" style="83" bestFit="1" customWidth="1"/>
    <col min="42" max="42" width="12" style="83" bestFit="1" customWidth="1"/>
    <col min="43" max="44" width="11.5" style="83" bestFit="1" customWidth="1"/>
    <col min="45" max="45" width="12" style="83" bestFit="1" customWidth="1"/>
    <col min="46" max="46" width="11.5" style="83" bestFit="1" customWidth="1"/>
    <col min="47" max="47" width="11.6640625" style="83" bestFit="1" customWidth="1"/>
    <col min="48" max="48" width="12" style="83" bestFit="1" customWidth="1"/>
    <col min="49" max="50" width="11.6640625" style="83" bestFit="1" customWidth="1"/>
    <col min="51" max="51" width="12" style="83" bestFit="1" customWidth="1"/>
    <col min="52" max="53" width="11.6640625" style="83" bestFit="1" customWidth="1"/>
    <col min="54" max="54" width="12" style="83" bestFit="1" customWidth="1"/>
    <col min="55" max="56" width="11.6640625" style="83" bestFit="1" customWidth="1"/>
    <col min="57" max="57" width="12" style="83" bestFit="1" customWidth="1"/>
    <col min="58" max="58" width="11.6640625" style="83" bestFit="1" customWidth="1"/>
    <col min="59" max="59" width="11.1640625" style="83" bestFit="1" customWidth="1"/>
    <col min="60" max="60" width="12" style="83" bestFit="1" customWidth="1"/>
    <col min="61" max="61" width="11" style="83" bestFit="1" customWidth="1"/>
    <col min="62" max="62" width="11.1640625" style="83" bestFit="1" customWidth="1"/>
    <col min="63" max="63" width="12" style="83" bestFit="1" customWidth="1"/>
    <col min="64" max="64" width="11" style="83" bestFit="1" customWidth="1"/>
    <col min="65" max="65" width="11.1640625" style="83" bestFit="1" customWidth="1"/>
    <col min="66" max="66" width="12" style="83" bestFit="1" customWidth="1"/>
    <col min="67" max="67" width="11" style="83" bestFit="1" customWidth="1"/>
    <col min="68" max="68" width="11.1640625" style="83" bestFit="1" customWidth="1"/>
    <col min="69" max="69" width="12" style="83" bestFit="1" customWidth="1"/>
    <col min="70" max="70" width="11" style="83" bestFit="1" customWidth="1"/>
    <col min="71" max="71" width="11.1640625" style="83" bestFit="1" customWidth="1"/>
    <col min="72" max="72" width="12" style="83" bestFit="1" customWidth="1"/>
    <col min="73" max="82" width="11.5" style="83" bestFit="1" customWidth="1"/>
    <col min="83" max="98" width="11.33203125" style="83" bestFit="1" customWidth="1"/>
    <col min="99" max="118" width="11.5" style="83" bestFit="1" customWidth="1"/>
    <col min="119" max="130" width="11.83203125" style="83" bestFit="1" customWidth="1"/>
    <col min="131" max="141" width="12.1640625" style="83" bestFit="1" customWidth="1"/>
    <col min="142" max="163" width="11.5" style="83" bestFit="1" customWidth="1"/>
    <col min="164" max="175" width="11.6640625" style="83" bestFit="1" customWidth="1"/>
    <col min="176" max="188" width="10.83203125" style="83" bestFit="1" customWidth="1"/>
    <col min="189" max="199" width="11.5" style="83" bestFit="1" customWidth="1"/>
    <col min="200" max="215" width="11.33203125" style="83" bestFit="1" customWidth="1"/>
    <col min="216" max="235" width="11.5" style="83" bestFit="1" customWidth="1"/>
    <col min="236" max="236" width="10.5" style="83" bestFit="1" customWidth="1"/>
    <col min="237" max="237" width="11.33203125" style="83" bestFit="1" customWidth="1"/>
    <col min="238" max="239" width="10.5" style="83" bestFit="1" customWidth="1"/>
    <col min="240" max="240" width="11.33203125" style="83" bestFit="1" customWidth="1"/>
    <col min="241" max="242" width="10.5" style="83" bestFit="1" customWidth="1"/>
    <col min="243" max="243" width="11.33203125" style="83" bestFit="1" customWidth="1"/>
    <col min="244" max="245" width="10.5" style="83" bestFit="1" customWidth="1"/>
    <col min="246" max="246" width="11.33203125" style="83" bestFit="1" customWidth="1"/>
    <col min="247" max="248" width="10.5" style="83" bestFit="1" customWidth="1"/>
    <col min="249" max="249" width="11.1640625" style="83" bestFit="1" customWidth="1"/>
    <col min="250" max="251" width="10.5" style="83" bestFit="1" customWidth="1"/>
    <col min="252" max="252" width="11.1640625" style="83" bestFit="1" customWidth="1"/>
    <col min="253" max="254" width="10.5" style="83" bestFit="1" customWidth="1"/>
    <col min="255" max="255" width="11.1640625" style="83" bestFit="1" customWidth="1"/>
    <col min="256" max="257" width="10.5" style="83" bestFit="1" customWidth="1"/>
    <col min="258" max="258" width="11.1640625" style="83" bestFit="1" customWidth="1"/>
    <col min="259" max="260" width="10.5" style="83" bestFit="1" customWidth="1"/>
    <col min="261" max="261" width="11.1640625" style="83" bestFit="1" customWidth="1"/>
    <col min="262" max="263" width="10.5" style="83" bestFit="1" customWidth="1"/>
    <col min="264" max="264" width="11.1640625" style="83" bestFit="1" customWidth="1"/>
    <col min="265" max="266" width="10.5" style="83" bestFit="1" customWidth="1"/>
    <col min="267" max="267" width="11.1640625" style="83" bestFit="1" customWidth="1"/>
    <col min="268" max="269" width="10.5" style="83" bestFit="1" customWidth="1"/>
    <col min="270" max="270" width="11.1640625" style="83" bestFit="1" customWidth="1"/>
    <col min="271" max="272" width="10.5" style="83" bestFit="1" customWidth="1"/>
    <col min="273" max="273" width="11.1640625" style="83" bestFit="1" customWidth="1"/>
    <col min="274" max="275" width="10.5" style="83" bestFit="1" customWidth="1"/>
    <col min="276" max="276" width="11.1640625" style="83" bestFit="1" customWidth="1"/>
    <col min="277" max="278" width="10.5" style="83" bestFit="1" customWidth="1"/>
    <col min="279" max="279" width="11.1640625" style="83" bestFit="1" customWidth="1"/>
    <col min="280" max="281" width="10.5" style="83" bestFit="1" customWidth="1"/>
    <col min="282" max="282" width="11.1640625" style="83" bestFit="1" customWidth="1"/>
    <col min="283" max="284" width="10.5" style="83" bestFit="1" customWidth="1"/>
    <col min="285" max="285" width="11.1640625" style="83" bestFit="1" customWidth="1"/>
    <col min="286" max="287" width="10.5" style="83" bestFit="1" customWidth="1"/>
    <col min="288" max="288" width="11.1640625" style="83" bestFit="1" customWidth="1"/>
    <col min="289" max="290" width="10.5" style="83" bestFit="1" customWidth="1"/>
    <col min="291" max="291" width="11.1640625" style="83" bestFit="1" customWidth="1"/>
    <col min="292" max="293" width="10.5" style="83" bestFit="1" customWidth="1"/>
    <col min="294" max="294" width="11.1640625" style="83" bestFit="1" customWidth="1"/>
    <col min="295" max="296" width="10.5" style="83" bestFit="1" customWidth="1"/>
    <col min="297" max="297" width="11.33203125" style="83" bestFit="1" customWidth="1"/>
    <col min="298" max="299" width="10.5" style="83" bestFit="1" customWidth="1"/>
    <col min="300" max="300" width="11.33203125" style="83" bestFit="1" customWidth="1"/>
    <col min="301" max="302" width="10.5" style="83" bestFit="1" customWidth="1"/>
    <col min="303" max="303" width="11.33203125" style="83" bestFit="1" customWidth="1"/>
    <col min="304" max="305" width="10.5" style="83" bestFit="1" customWidth="1"/>
    <col min="306" max="306" width="11.33203125" style="83" bestFit="1" customWidth="1"/>
    <col min="307" max="308" width="10.5" style="83" bestFit="1" customWidth="1"/>
    <col min="309" max="309" width="11.33203125" style="83" bestFit="1" customWidth="1"/>
    <col min="310" max="311" width="10.5" style="83" bestFit="1" customWidth="1"/>
    <col min="312" max="312" width="11.33203125" style="83" bestFit="1" customWidth="1"/>
    <col min="313" max="314" width="10.5" style="83" bestFit="1" customWidth="1"/>
    <col min="315" max="315" width="11.33203125" style="83" bestFit="1" customWidth="1"/>
    <col min="316" max="317" width="10.5" style="83" bestFit="1" customWidth="1"/>
    <col min="318" max="318" width="11.33203125" style="83" bestFit="1" customWidth="1"/>
    <col min="319" max="320" width="10.5" style="83" bestFit="1" customWidth="1"/>
    <col min="321" max="321" width="11.33203125" style="83" bestFit="1" customWidth="1"/>
    <col min="322" max="323" width="10.5" style="83" bestFit="1" customWidth="1"/>
    <col min="324" max="324" width="11.33203125" style="83" bestFit="1" customWidth="1"/>
    <col min="325" max="326" width="10.5" style="83" bestFit="1" customWidth="1"/>
    <col min="327" max="327" width="11.33203125" style="83" bestFit="1" customWidth="1"/>
    <col min="328" max="329" width="10.5" style="83" bestFit="1" customWidth="1"/>
    <col min="330" max="330" width="11.33203125" style="83" bestFit="1" customWidth="1"/>
    <col min="331" max="332" width="10.5" style="83" bestFit="1" customWidth="1"/>
    <col min="333" max="333" width="11.33203125" style="83" bestFit="1" customWidth="1"/>
    <col min="334" max="335" width="10.5" style="83" bestFit="1" customWidth="1"/>
    <col min="336" max="336" width="11.33203125" style="83" bestFit="1" customWidth="1"/>
    <col min="337" max="338" width="10.5" style="83" bestFit="1" customWidth="1"/>
    <col min="339" max="339" width="11.33203125" style="83" bestFit="1" customWidth="1"/>
    <col min="340" max="341" width="10.5" style="83" bestFit="1" customWidth="1"/>
    <col min="342" max="342" width="11.33203125" style="83" bestFit="1" customWidth="1"/>
    <col min="343" max="344" width="10.5" style="83" bestFit="1" customWidth="1"/>
    <col min="345" max="345" width="11.33203125" style="83" bestFit="1" customWidth="1"/>
    <col min="346" max="347" width="10.5" style="83" bestFit="1" customWidth="1"/>
    <col min="348" max="348" width="11.33203125" style="83" bestFit="1" customWidth="1"/>
    <col min="349" max="350" width="10.5" style="83" bestFit="1" customWidth="1"/>
    <col min="351" max="351" width="11.33203125" style="83" bestFit="1" customWidth="1"/>
    <col min="352" max="353" width="10.5" style="83" bestFit="1" customWidth="1"/>
    <col min="354" max="354" width="11.33203125" style="83" bestFit="1" customWidth="1"/>
  </cols>
  <sheetData>
    <row r="1" spans="1:354" x14ac:dyDescent="0.2">
      <c r="A1" s="459"/>
    </row>
    <row r="2" spans="1:354" x14ac:dyDescent="0.2">
      <c r="A2" s="459"/>
    </row>
    <row r="3" spans="1:354" x14ac:dyDescent="0.2">
      <c r="A3" s="459"/>
    </row>
    <row r="4" spans="1:354" s="5" customFormat="1" x14ac:dyDescent="0.2">
      <c r="A4" s="82" t="s">
        <v>672</v>
      </c>
      <c r="B4" s="82" t="s">
        <v>654</v>
      </c>
      <c r="C4" s="82" t="s">
        <v>655</v>
      </c>
      <c r="D4" s="82" t="s">
        <v>174</v>
      </c>
      <c r="E4" s="82" t="s">
        <v>175</v>
      </c>
      <c r="F4" s="82" t="s">
        <v>523</v>
      </c>
      <c r="G4" s="82" t="s">
        <v>176</v>
      </c>
      <c r="H4" s="82" t="s">
        <v>177</v>
      </c>
      <c r="I4" s="82" t="s">
        <v>522</v>
      </c>
      <c r="J4" s="82" t="s">
        <v>178</v>
      </c>
      <c r="K4" s="82" t="s">
        <v>179</v>
      </c>
      <c r="L4" s="82" t="s">
        <v>521</v>
      </c>
      <c r="M4" s="82" t="s">
        <v>180</v>
      </c>
      <c r="N4" s="82" t="s">
        <v>181</v>
      </c>
      <c r="O4" s="82" t="s">
        <v>520</v>
      </c>
      <c r="P4" s="82" t="s">
        <v>182</v>
      </c>
      <c r="Q4" s="82" t="s">
        <v>183</v>
      </c>
      <c r="R4" s="82" t="s">
        <v>519</v>
      </c>
      <c r="S4" s="82" t="s">
        <v>184</v>
      </c>
      <c r="T4" s="82" t="s">
        <v>185</v>
      </c>
      <c r="U4" s="82" t="s">
        <v>518</v>
      </c>
      <c r="V4" s="82" t="s">
        <v>186</v>
      </c>
      <c r="W4" s="82" t="s">
        <v>187</v>
      </c>
      <c r="X4" s="82" t="s">
        <v>517</v>
      </c>
      <c r="Y4" s="82" t="s">
        <v>188</v>
      </c>
      <c r="Z4" s="82" t="s">
        <v>189</v>
      </c>
      <c r="AA4" s="82" t="s">
        <v>516</v>
      </c>
      <c r="AB4" s="82" t="s">
        <v>190</v>
      </c>
      <c r="AC4" s="82" t="s">
        <v>191</v>
      </c>
      <c r="AD4" s="82" t="s">
        <v>515</v>
      </c>
      <c r="AE4" s="82" t="s">
        <v>192</v>
      </c>
      <c r="AF4" s="82" t="s">
        <v>193</v>
      </c>
      <c r="AG4" s="82" t="s">
        <v>514</v>
      </c>
      <c r="AH4" s="82" t="s">
        <v>194</v>
      </c>
      <c r="AI4" s="82" t="s">
        <v>195</v>
      </c>
      <c r="AJ4" s="82" t="s">
        <v>513</v>
      </c>
      <c r="AK4" s="82" t="s">
        <v>196</v>
      </c>
      <c r="AL4" s="82" t="s">
        <v>197</v>
      </c>
      <c r="AM4" s="82" t="s">
        <v>512</v>
      </c>
      <c r="AN4" s="82" t="s">
        <v>198</v>
      </c>
      <c r="AO4" s="82" t="s">
        <v>199</v>
      </c>
      <c r="AP4" s="82" t="s">
        <v>511</v>
      </c>
      <c r="AQ4" s="82" t="s">
        <v>200</v>
      </c>
      <c r="AR4" s="82" t="s">
        <v>201</v>
      </c>
      <c r="AS4" s="82" t="s">
        <v>510</v>
      </c>
      <c r="AT4" s="82" t="s">
        <v>202</v>
      </c>
      <c r="AU4" s="82" t="s">
        <v>203</v>
      </c>
      <c r="AV4" s="82" t="s">
        <v>509</v>
      </c>
      <c r="AW4" s="82" t="s">
        <v>204</v>
      </c>
      <c r="AX4" s="82" t="s">
        <v>205</v>
      </c>
      <c r="AY4" s="82" t="s">
        <v>508</v>
      </c>
      <c r="AZ4" s="82" t="s">
        <v>206</v>
      </c>
      <c r="BA4" s="82" t="s">
        <v>207</v>
      </c>
      <c r="BB4" s="82" t="s">
        <v>507</v>
      </c>
      <c r="BC4" s="82" t="s">
        <v>208</v>
      </c>
      <c r="BD4" s="82" t="s">
        <v>209</v>
      </c>
      <c r="BE4" s="82" t="s">
        <v>506</v>
      </c>
      <c r="BF4" s="82" t="s">
        <v>210</v>
      </c>
      <c r="BG4" s="82" t="s">
        <v>211</v>
      </c>
      <c r="BH4" s="82" t="s">
        <v>505</v>
      </c>
      <c r="BI4" s="82" t="s">
        <v>212</v>
      </c>
      <c r="BJ4" s="82" t="s">
        <v>213</v>
      </c>
      <c r="BK4" s="82" t="s">
        <v>504</v>
      </c>
      <c r="BL4" s="82" t="s">
        <v>214</v>
      </c>
      <c r="BM4" s="82" t="s">
        <v>215</v>
      </c>
      <c r="BN4" s="82" t="s">
        <v>503</v>
      </c>
      <c r="BO4" s="82" t="s">
        <v>216</v>
      </c>
      <c r="BP4" s="82" t="s">
        <v>217</v>
      </c>
      <c r="BQ4" s="82" t="s">
        <v>502</v>
      </c>
      <c r="BR4" s="82" t="s">
        <v>218</v>
      </c>
      <c r="BS4" s="82" t="s">
        <v>219</v>
      </c>
      <c r="BT4" s="82" t="s">
        <v>501</v>
      </c>
      <c r="BU4" s="82" t="s">
        <v>220</v>
      </c>
      <c r="BV4" s="82" t="s">
        <v>221</v>
      </c>
      <c r="BW4" s="82" t="s">
        <v>500</v>
      </c>
      <c r="BX4" s="82" t="s">
        <v>222</v>
      </c>
      <c r="BY4" s="82" t="s">
        <v>223</v>
      </c>
      <c r="BZ4" s="82" t="s">
        <v>499</v>
      </c>
      <c r="CA4" s="82" t="s">
        <v>224</v>
      </c>
      <c r="CB4" s="82" t="s">
        <v>225</v>
      </c>
      <c r="CC4" s="82" t="s">
        <v>498</v>
      </c>
      <c r="CD4" s="82" t="s">
        <v>226</v>
      </c>
      <c r="CE4" s="82" t="s">
        <v>227</v>
      </c>
      <c r="CF4" s="82" t="s">
        <v>497</v>
      </c>
      <c r="CG4" s="82" t="s">
        <v>228</v>
      </c>
      <c r="CH4" s="82" t="s">
        <v>229</v>
      </c>
      <c r="CI4" s="82" t="s">
        <v>496</v>
      </c>
      <c r="CJ4" s="82" t="s">
        <v>230</v>
      </c>
      <c r="CK4" s="82" t="s">
        <v>231</v>
      </c>
      <c r="CL4" s="82" t="s">
        <v>495</v>
      </c>
      <c r="CM4" s="82" t="s">
        <v>232</v>
      </c>
      <c r="CN4" s="82" t="s">
        <v>233</v>
      </c>
      <c r="CO4" s="82" t="s">
        <v>494</v>
      </c>
      <c r="CP4" s="82" t="s">
        <v>234</v>
      </c>
      <c r="CQ4" s="82" t="s">
        <v>235</v>
      </c>
      <c r="CR4" s="82" t="s">
        <v>493</v>
      </c>
      <c r="CS4" s="82" t="s">
        <v>236</v>
      </c>
      <c r="CT4" s="82" t="s">
        <v>237</v>
      </c>
      <c r="CU4" s="82" t="s">
        <v>492</v>
      </c>
      <c r="CV4" s="82" t="s">
        <v>238</v>
      </c>
      <c r="CW4" s="82" t="s">
        <v>239</v>
      </c>
      <c r="CX4" s="82" t="s">
        <v>491</v>
      </c>
      <c r="CY4" s="82" t="s">
        <v>240</v>
      </c>
      <c r="CZ4" s="82" t="s">
        <v>241</v>
      </c>
      <c r="DA4" s="82" t="s">
        <v>490</v>
      </c>
      <c r="DB4" s="82" t="s">
        <v>242</v>
      </c>
      <c r="DC4" s="82" t="s">
        <v>243</v>
      </c>
      <c r="DD4" s="82" t="s">
        <v>524</v>
      </c>
      <c r="DE4" s="82" t="s">
        <v>244</v>
      </c>
      <c r="DF4" s="82" t="s">
        <v>245</v>
      </c>
      <c r="DG4" s="82" t="s">
        <v>525</v>
      </c>
      <c r="DH4" s="82" t="s">
        <v>246</v>
      </c>
      <c r="DI4" s="82" t="s">
        <v>247</v>
      </c>
      <c r="DJ4" s="82" t="s">
        <v>526</v>
      </c>
      <c r="DK4" s="82" t="s">
        <v>248</v>
      </c>
      <c r="DL4" s="82" t="s">
        <v>249</v>
      </c>
      <c r="DM4" s="82" t="s">
        <v>527</v>
      </c>
      <c r="DN4" s="82" t="s">
        <v>250</v>
      </c>
      <c r="DO4" s="82" t="s">
        <v>251</v>
      </c>
      <c r="DP4" s="82" t="s">
        <v>528</v>
      </c>
      <c r="DQ4" s="82" t="s">
        <v>252</v>
      </c>
      <c r="DR4" s="82" t="s">
        <v>253</v>
      </c>
      <c r="DS4" s="82" t="s">
        <v>529</v>
      </c>
      <c r="DT4" s="82" t="s">
        <v>254</v>
      </c>
      <c r="DU4" s="82" t="s">
        <v>255</v>
      </c>
      <c r="DV4" s="82" t="s">
        <v>530</v>
      </c>
      <c r="DW4" s="82" t="s">
        <v>426</v>
      </c>
      <c r="DX4" s="82" t="s">
        <v>427</v>
      </c>
      <c r="DY4" s="82" t="s">
        <v>531</v>
      </c>
      <c r="DZ4" s="82" t="s">
        <v>428</v>
      </c>
      <c r="EA4" s="82" t="s">
        <v>429</v>
      </c>
      <c r="EB4" s="82" t="s">
        <v>532</v>
      </c>
      <c r="EC4" s="82" t="s">
        <v>430</v>
      </c>
      <c r="ED4" s="82" t="s">
        <v>431</v>
      </c>
      <c r="EE4" s="82" t="s">
        <v>533</v>
      </c>
      <c r="EF4" s="82" t="s">
        <v>432</v>
      </c>
      <c r="EG4" s="82" t="s">
        <v>433</v>
      </c>
      <c r="EH4" s="82" t="s">
        <v>534</v>
      </c>
      <c r="EI4" s="82" t="s">
        <v>256</v>
      </c>
      <c r="EJ4" s="82" t="s">
        <v>257</v>
      </c>
      <c r="EK4" s="82" t="s">
        <v>535</v>
      </c>
      <c r="EL4" s="82" t="s">
        <v>258</v>
      </c>
      <c r="EM4" s="82" t="s">
        <v>259</v>
      </c>
      <c r="EN4" s="82" t="s">
        <v>536</v>
      </c>
      <c r="EO4" s="82" t="s">
        <v>260</v>
      </c>
      <c r="EP4" s="82" t="s">
        <v>261</v>
      </c>
      <c r="EQ4" s="82" t="s">
        <v>537</v>
      </c>
      <c r="ER4" s="82" t="s">
        <v>262</v>
      </c>
      <c r="ES4" s="82" t="s">
        <v>263</v>
      </c>
      <c r="ET4" s="82" t="s">
        <v>538</v>
      </c>
      <c r="EU4" s="82" t="s">
        <v>264</v>
      </c>
      <c r="EV4" s="82" t="s">
        <v>265</v>
      </c>
      <c r="EW4" s="82" t="s">
        <v>539</v>
      </c>
      <c r="EX4" s="82" t="s">
        <v>266</v>
      </c>
      <c r="EY4" s="82" t="s">
        <v>267</v>
      </c>
      <c r="EZ4" s="82" t="s">
        <v>540</v>
      </c>
      <c r="FA4" s="82" t="s">
        <v>268</v>
      </c>
      <c r="FB4" s="82" t="s">
        <v>269</v>
      </c>
      <c r="FC4" s="82" t="s">
        <v>541</v>
      </c>
      <c r="FD4" s="82" t="s">
        <v>270</v>
      </c>
      <c r="FE4" s="82" t="s">
        <v>271</v>
      </c>
      <c r="FF4" s="82" t="s">
        <v>542</v>
      </c>
      <c r="FG4" s="82" t="s">
        <v>272</v>
      </c>
      <c r="FH4" s="82" t="s">
        <v>273</v>
      </c>
      <c r="FI4" s="82" t="s">
        <v>543</v>
      </c>
      <c r="FJ4" s="82" t="s">
        <v>435</v>
      </c>
      <c r="FK4" s="82" t="s">
        <v>436</v>
      </c>
      <c r="FL4" s="82" t="s">
        <v>544</v>
      </c>
      <c r="FM4" s="82" t="s">
        <v>437</v>
      </c>
      <c r="FN4" s="82" t="s">
        <v>438</v>
      </c>
      <c r="FO4" s="82" t="s">
        <v>545</v>
      </c>
      <c r="FP4" s="82" t="s">
        <v>439</v>
      </c>
      <c r="FQ4" s="82" t="s">
        <v>434</v>
      </c>
      <c r="FR4" s="82" t="s">
        <v>546</v>
      </c>
      <c r="FS4" s="82" t="s">
        <v>274</v>
      </c>
      <c r="FT4" s="82" t="s">
        <v>275</v>
      </c>
      <c r="FU4" s="82" t="s">
        <v>547</v>
      </c>
      <c r="FV4" s="82" t="s">
        <v>276</v>
      </c>
      <c r="FW4" s="82" t="s">
        <v>277</v>
      </c>
      <c r="FX4" s="82" t="s">
        <v>548</v>
      </c>
      <c r="FY4" s="82" t="s">
        <v>278</v>
      </c>
      <c r="FZ4" s="82" t="s">
        <v>279</v>
      </c>
      <c r="GA4" s="82" t="s">
        <v>549</v>
      </c>
      <c r="GB4" s="82" t="s">
        <v>280</v>
      </c>
      <c r="GC4" s="82" t="s">
        <v>281</v>
      </c>
      <c r="GD4" s="82" t="s">
        <v>550</v>
      </c>
      <c r="GE4" s="82" t="s">
        <v>282</v>
      </c>
      <c r="GF4" s="82" t="s">
        <v>283</v>
      </c>
      <c r="GG4" s="82" t="s">
        <v>551</v>
      </c>
      <c r="GH4" s="82" t="s">
        <v>284</v>
      </c>
      <c r="GI4" s="82" t="s">
        <v>285</v>
      </c>
      <c r="GJ4" s="82" t="s">
        <v>552</v>
      </c>
      <c r="GK4" s="82" t="s">
        <v>286</v>
      </c>
      <c r="GL4" s="82" t="s">
        <v>287</v>
      </c>
      <c r="GM4" s="82" t="s">
        <v>553</v>
      </c>
      <c r="GN4" s="82" t="s">
        <v>288</v>
      </c>
      <c r="GO4" s="82" t="s">
        <v>289</v>
      </c>
      <c r="GP4" s="82" t="s">
        <v>554</v>
      </c>
      <c r="GQ4" s="82" t="s">
        <v>290</v>
      </c>
      <c r="GR4" s="82" t="s">
        <v>291</v>
      </c>
      <c r="GS4" s="82" t="s">
        <v>555</v>
      </c>
      <c r="GT4" s="82" t="s">
        <v>292</v>
      </c>
      <c r="GU4" s="82" t="s">
        <v>293</v>
      </c>
      <c r="GV4" s="82" t="s">
        <v>556</v>
      </c>
      <c r="GW4" s="82" t="s">
        <v>294</v>
      </c>
      <c r="GX4" s="82" t="s">
        <v>295</v>
      </c>
      <c r="GY4" s="82" t="s">
        <v>557</v>
      </c>
      <c r="GZ4" s="82" t="s">
        <v>296</v>
      </c>
      <c r="HA4" s="82" t="s">
        <v>297</v>
      </c>
      <c r="HB4" s="82" t="s">
        <v>558</v>
      </c>
      <c r="HC4" s="82" t="s">
        <v>298</v>
      </c>
      <c r="HD4" s="82" t="s">
        <v>299</v>
      </c>
      <c r="HE4" s="82" t="s">
        <v>559</v>
      </c>
      <c r="HF4" s="82" t="s">
        <v>300</v>
      </c>
      <c r="HG4" s="82" t="s">
        <v>301</v>
      </c>
      <c r="HH4" s="82" t="s">
        <v>560</v>
      </c>
      <c r="HI4" s="82" t="s">
        <v>302</v>
      </c>
      <c r="HJ4" s="82" t="s">
        <v>303</v>
      </c>
      <c r="HK4" s="82" t="s">
        <v>561</v>
      </c>
      <c r="HL4" s="82" t="s">
        <v>304</v>
      </c>
      <c r="HM4" s="82" t="s">
        <v>305</v>
      </c>
      <c r="HN4" s="82" t="s">
        <v>562</v>
      </c>
      <c r="HO4" s="82" t="s">
        <v>306</v>
      </c>
      <c r="HP4" s="82" t="s">
        <v>307</v>
      </c>
      <c r="HQ4" s="82" t="s">
        <v>563</v>
      </c>
      <c r="HR4" s="82" t="s">
        <v>308</v>
      </c>
      <c r="HS4" s="82" t="s">
        <v>309</v>
      </c>
      <c r="HT4" s="82" t="s">
        <v>564</v>
      </c>
      <c r="HU4" s="82" t="s">
        <v>310</v>
      </c>
      <c r="HV4" s="82" t="s">
        <v>311</v>
      </c>
      <c r="HW4" s="82" t="s">
        <v>565</v>
      </c>
      <c r="HX4" s="82" t="s">
        <v>312</v>
      </c>
      <c r="HY4" s="82" t="s">
        <v>313</v>
      </c>
      <c r="HZ4" s="82" t="s">
        <v>566</v>
      </c>
      <c r="IA4" s="82" t="s">
        <v>314</v>
      </c>
      <c r="IB4" s="82" t="s">
        <v>315</v>
      </c>
      <c r="IC4" s="82" t="s">
        <v>567</v>
      </c>
      <c r="ID4" s="82" t="s">
        <v>316</v>
      </c>
      <c r="IE4" s="82" t="s">
        <v>317</v>
      </c>
      <c r="IF4" s="82" t="s">
        <v>568</v>
      </c>
      <c r="IG4" s="82" t="s">
        <v>318</v>
      </c>
      <c r="IH4" s="82" t="s">
        <v>319</v>
      </c>
      <c r="II4" s="82" t="s">
        <v>569</v>
      </c>
      <c r="IJ4" s="82" t="s">
        <v>320</v>
      </c>
      <c r="IK4" s="82" t="s">
        <v>321</v>
      </c>
      <c r="IL4" s="82" t="s">
        <v>570</v>
      </c>
      <c r="IM4" s="82" t="s">
        <v>322</v>
      </c>
      <c r="IN4" s="82" t="s">
        <v>323</v>
      </c>
      <c r="IO4" s="82" t="s">
        <v>571</v>
      </c>
      <c r="IP4" s="82" t="s">
        <v>324</v>
      </c>
      <c r="IQ4" s="82" t="s">
        <v>325</v>
      </c>
      <c r="IR4" s="82" t="s">
        <v>572</v>
      </c>
      <c r="IS4" s="82" t="s">
        <v>326</v>
      </c>
      <c r="IT4" s="82" t="s">
        <v>327</v>
      </c>
      <c r="IU4" s="82" t="s">
        <v>573</v>
      </c>
      <c r="IV4" s="82" t="s">
        <v>328</v>
      </c>
      <c r="IW4" s="82" t="s">
        <v>329</v>
      </c>
      <c r="IX4" s="82" t="s">
        <v>574</v>
      </c>
      <c r="IY4" s="82" t="s">
        <v>330</v>
      </c>
      <c r="IZ4" s="82" t="s">
        <v>331</v>
      </c>
      <c r="JA4" s="82" t="s">
        <v>575</v>
      </c>
      <c r="JB4" s="82" t="s">
        <v>332</v>
      </c>
      <c r="JC4" s="82" t="s">
        <v>333</v>
      </c>
      <c r="JD4" s="82" t="s">
        <v>576</v>
      </c>
      <c r="JE4" s="82" t="s">
        <v>334</v>
      </c>
      <c r="JF4" s="82" t="s">
        <v>335</v>
      </c>
      <c r="JG4" s="82" t="s">
        <v>577</v>
      </c>
      <c r="JH4" s="82" t="s">
        <v>336</v>
      </c>
      <c r="JI4" s="82" t="s">
        <v>337</v>
      </c>
      <c r="JJ4" s="82" t="s">
        <v>578</v>
      </c>
      <c r="JK4" s="82" t="s">
        <v>338</v>
      </c>
      <c r="JL4" s="82" t="s">
        <v>339</v>
      </c>
      <c r="JM4" s="82" t="s">
        <v>579</v>
      </c>
      <c r="JN4" s="82" t="s">
        <v>340</v>
      </c>
      <c r="JO4" s="82" t="s">
        <v>341</v>
      </c>
      <c r="JP4" s="82" t="s">
        <v>580</v>
      </c>
      <c r="JQ4" s="82" t="s">
        <v>342</v>
      </c>
      <c r="JR4" s="82" t="s">
        <v>343</v>
      </c>
      <c r="JS4" s="82" t="s">
        <v>581</v>
      </c>
      <c r="JT4" s="82" t="s">
        <v>344</v>
      </c>
      <c r="JU4" s="82" t="s">
        <v>345</v>
      </c>
      <c r="JV4" s="82" t="s">
        <v>582</v>
      </c>
      <c r="JW4" s="82" t="s">
        <v>346</v>
      </c>
      <c r="JX4" s="82" t="s">
        <v>347</v>
      </c>
      <c r="JY4" s="82" t="s">
        <v>583</v>
      </c>
      <c r="JZ4" s="82" t="s">
        <v>348</v>
      </c>
      <c r="KA4" s="82" t="s">
        <v>349</v>
      </c>
      <c r="KB4" s="82" t="s">
        <v>584</v>
      </c>
      <c r="KC4" s="82" t="s">
        <v>350</v>
      </c>
      <c r="KD4" s="82" t="s">
        <v>351</v>
      </c>
      <c r="KE4" s="82" t="s">
        <v>585</v>
      </c>
      <c r="KF4" s="82" t="s">
        <v>440</v>
      </c>
      <c r="KG4" s="82" t="s">
        <v>441</v>
      </c>
      <c r="KH4" s="82" t="s">
        <v>586</v>
      </c>
      <c r="KI4" s="82" t="s">
        <v>352</v>
      </c>
      <c r="KJ4" s="82" t="s">
        <v>353</v>
      </c>
      <c r="KK4" s="82" t="s">
        <v>587</v>
      </c>
      <c r="KL4" s="82" t="s">
        <v>354</v>
      </c>
      <c r="KM4" s="82" t="s">
        <v>355</v>
      </c>
      <c r="KN4" s="82" t="s">
        <v>588</v>
      </c>
      <c r="KO4" s="82" t="s">
        <v>356</v>
      </c>
      <c r="KP4" s="82" t="s">
        <v>357</v>
      </c>
      <c r="KQ4" s="82" t="s">
        <v>589</v>
      </c>
      <c r="KR4" s="82" t="s">
        <v>358</v>
      </c>
      <c r="KS4" s="82" t="s">
        <v>359</v>
      </c>
      <c r="KT4" s="82" t="s">
        <v>590</v>
      </c>
      <c r="KU4" s="82" t="s">
        <v>360</v>
      </c>
      <c r="KV4" s="82" t="s">
        <v>361</v>
      </c>
      <c r="KW4" s="82" t="s">
        <v>591</v>
      </c>
      <c r="KX4" s="82" t="s">
        <v>362</v>
      </c>
      <c r="KY4" s="82" t="s">
        <v>363</v>
      </c>
      <c r="KZ4" s="82" t="s">
        <v>592</v>
      </c>
      <c r="LA4" s="82" t="s">
        <v>364</v>
      </c>
      <c r="LB4" s="82" t="s">
        <v>365</v>
      </c>
      <c r="LC4" s="82" t="s">
        <v>593</v>
      </c>
      <c r="LD4" s="82" t="s">
        <v>366</v>
      </c>
      <c r="LE4" s="82" t="s">
        <v>367</v>
      </c>
      <c r="LF4" s="82" t="s">
        <v>594</v>
      </c>
      <c r="LG4" s="82" t="s">
        <v>368</v>
      </c>
      <c r="LH4" s="82" t="s">
        <v>369</v>
      </c>
      <c r="LI4" s="82" t="s">
        <v>595</v>
      </c>
      <c r="LJ4" s="82" t="s">
        <v>370</v>
      </c>
      <c r="LK4" s="82" t="s">
        <v>371</v>
      </c>
      <c r="LL4" s="82" t="s">
        <v>596</v>
      </c>
      <c r="LM4" s="82" t="s">
        <v>372</v>
      </c>
      <c r="LN4" s="82" t="s">
        <v>373</v>
      </c>
      <c r="LO4" s="82" t="s">
        <v>597</v>
      </c>
      <c r="LP4" s="82" t="s">
        <v>374</v>
      </c>
      <c r="LQ4" s="82" t="s">
        <v>375</v>
      </c>
      <c r="LR4" s="82" t="s">
        <v>598</v>
      </c>
      <c r="LS4" s="82" t="s">
        <v>376</v>
      </c>
      <c r="LT4" s="82" t="s">
        <v>377</v>
      </c>
      <c r="LU4" s="82" t="s">
        <v>599</v>
      </c>
      <c r="LV4" s="82" t="s">
        <v>378</v>
      </c>
      <c r="LW4" s="82" t="s">
        <v>379</v>
      </c>
      <c r="LX4" s="82" t="s">
        <v>600</v>
      </c>
      <c r="LY4" s="82" t="s">
        <v>380</v>
      </c>
      <c r="LZ4" s="82" t="s">
        <v>381</v>
      </c>
      <c r="MA4" s="82" t="s">
        <v>601</v>
      </c>
      <c r="MB4" s="82" t="s">
        <v>382</v>
      </c>
      <c r="MC4" s="82" t="s">
        <v>383</v>
      </c>
      <c r="MD4" s="82" t="s">
        <v>602</v>
      </c>
      <c r="ME4" s="82" t="s">
        <v>442</v>
      </c>
      <c r="MF4" s="82" t="s">
        <v>443</v>
      </c>
      <c r="MG4" s="82" t="s">
        <v>603</v>
      </c>
      <c r="MH4" s="82" t="s">
        <v>444</v>
      </c>
      <c r="MI4" s="82" t="s">
        <v>445</v>
      </c>
      <c r="MJ4" s="82" t="s">
        <v>604</v>
      </c>
      <c r="MK4" s="82" t="s">
        <v>446</v>
      </c>
      <c r="ML4" s="82" t="s">
        <v>447</v>
      </c>
      <c r="MM4" s="82" t="s">
        <v>605</v>
      </c>
      <c r="MN4" s="82" t="s">
        <v>448</v>
      </c>
      <c r="MO4" s="82" t="s">
        <v>449</v>
      </c>
      <c r="MP4" s="82" t="s">
        <v>606</v>
      </c>
    </row>
    <row r="5" spans="1:354" x14ac:dyDescent="0.2">
      <c r="A5" s="211"/>
      <c r="B5" s="1" t="str">
        <f ca="1">MID(CELL("filename"),SEARCH("[",CELL("filename"))+1, SEARCH("]",CELL("filename"))-SEARCH("[",CELL("filename"))-1)</f>
        <v>Gantt chart GLG_v3.00_March 11 2026 - CLEAN.xlsx</v>
      </c>
      <c r="C5" s="211"/>
      <c r="D5" s="84" t="str">
        <f>IF('Prepare Gantt Chart'!H5="_","01/01/1900","01/01/"&amp;'Prepare Gantt Chart'!H5)</f>
        <v>01/01/1900</v>
      </c>
      <c r="E5" s="84" t="str">
        <f>IF('Prepare Gantt Chart'!H5="_","31/12/1900","31/12/"&amp;'Prepare Gantt Chart'!N5)</f>
        <v>31/12/1900</v>
      </c>
      <c r="F5" s="85">
        <f>'Prepare Gantt Chart'!I5</f>
        <v>1</v>
      </c>
      <c r="G5" s="84" t="str">
        <f>IF('Prepare Gantt Chart'!H6="_","01/01/1900","01/01/"&amp;'Prepare Gantt Chart'!H6)</f>
        <v>01/01/1900</v>
      </c>
      <c r="H5" s="84" t="str">
        <f>IF('Prepare Gantt Chart'!H6="_","31/12/1900","31/12/"&amp;'Prepare Gantt Chart'!N6)</f>
        <v>31/12/1900</v>
      </c>
      <c r="I5" s="85">
        <f>'Prepare Gantt Chart'!I6</f>
        <v>1</v>
      </c>
      <c r="J5" s="84" t="str">
        <f>IF('Prepare Gantt Chart'!H7="_","01/01/1900","01/01/"&amp;'Prepare Gantt Chart'!H7)</f>
        <v>01/01/1900</v>
      </c>
      <c r="K5" s="84" t="str">
        <f>IF('Prepare Gantt Chart'!H7="_","31/12/1900","31/12/"&amp;'Prepare Gantt Chart'!N7)</f>
        <v>31/12/1900</v>
      </c>
      <c r="L5" s="85">
        <f>'Prepare Gantt Chart'!I7</f>
        <v>1</v>
      </c>
      <c r="M5" s="84" t="str">
        <f>IF('Prepare Gantt Chart'!H8="_","01/01/1900","01/01/"&amp;'Prepare Gantt Chart'!H8)</f>
        <v>01/01/1900</v>
      </c>
      <c r="N5" s="84" t="str">
        <f>IF('Prepare Gantt Chart'!H8="_","31/12/1900","31/12/"&amp;'Prepare Gantt Chart'!N8)</f>
        <v>31/12/1900</v>
      </c>
      <c r="O5" s="85">
        <f>'Prepare Gantt Chart'!I8</f>
        <v>1</v>
      </c>
      <c r="P5" s="84" t="str">
        <f>IF('Prepare Gantt Chart'!H9="_","01/01/1900","01/01/"&amp;'Prepare Gantt Chart'!H9)</f>
        <v>01/01/1900</v>
      </c>
      <c r="Q5" s="84" t="str">
        <f>IF('Prepare Gantt Chart'!H9="_","31/12/1900","31/12/"&amp;'Prepare Gantt Chart'!N9)</f>
        <v>31/12/1900</v>
      </c>
      <c r="R5" s="85">
        <f>'Prepare Gantt Chart'!I9</f>
        <v>1</v>
      </c>
      <c r="S5" s="84" t="str">
        <f>IF('Prepare Gantt Chart'!H10="_","01/01/1900","01/01/"&amp;'Prepare Gantt Chart'!H10)</f>
        <v>01/01/1900</v>
      </c>
      <c r="T5" s="84" t="str">
        <f>IF('Prepare Gantt Chart'!H10="_","31/12/1900","31/12/"&amp;'Prepare Gantt Chart'!N10)</f>
        <v>31/12/1900</v>
      </c>
      <c r="U5" s="85">
        <f>'Prepare Gantt Chart'!I10</f>
        <v>0.01</v>
      </c>
      <c r="V5" s="84" t="str">
        <f>IF('Prepare Gantt Chart'!H11="_","01/01/1900","01/01/"&amp;'Prepare Gantt Chart'!H11)</f>
        <v>01/01/1900</v>
      </c>
      <c r="W5" s="84" t="str">
        <f>IF('Prepare Gantt Chart'!H11="_","31/12/1900","31/12/"&amp;'Prepare Gantt Chart'!N11)</f>
        <v>31/12/1900</v>
      </c>
      <c r="X5" s="85">
        <f>'Prepare Gantt Chart'!I11</f>
        <v>0.01</v>
      </c>
      <c r="Y5" s="84" t="str">
        <f>IF('Prepare Gantt Chart'!H12="_","01/01/1900","01/01/"&amp;'Prepare Gantt Chart'!H12)</f>
        <v>01/01/1900</v>
      </c>
      <c r="Z5" s="84" t="str">
        <f>IF('Prepare Gantt Chart'!H12="_","31/12/1900","31/12/"&amp;'Prepare Gantt Chart'!N12)</f>
        <v>31/12/1900</v>
      </c>
      <c r="AA5" s="85">
        <f>'Prepare Gantt Chart'!I12</f>
        <v>0.01</v>
      </c>
      <c r="AB5" s="84" t="str">
        <f>IF('Prepare Gantt Chart'!H13="_","01/01/1900","01/01/"&amp;'Prepare Gantt Chart'!H13)</f>
        <v>01/01/1900</v>
      </c>
      <c r="AC5" s="84" t="str">
        <f>IF('Prepare Gantt Chart'!H13="_","31/12/1900","31/12/"&amp;'Prepare Gantt Chart'!N13)</f>
        <v>31/12/1900</v>
      </c>
      <c r="AD5" s="85">
        <f>'Prepare Gantt Chart'!I13</f>
        <v>0.01</v>
      </c>
      <c r="AE5" s="84" t="str">
        <f>IF('Prepare Gantt Chart'!H14="_","01/01/1900","01/01/"&amp;'Prepare Gantt Chart'!H14)</f>
        <v>01/01/1900</v>
      </c>
      <c r="AF5" s="84" t="str">
        <f>IF('Prepare Gantt Chart'!H14="_","31/12/1900","31/12/"&amp;'Prepare Gantt Chart'!N14)</f>
        <v>31/12/1900</v>
      </c>
      <c r="AG5" s="85">
        <f>'Prepare Gantt Chart'!I14</f>
        <v>1</v>
      </c>
      <c r="AH5" s="84" t="str">
        <f>IF('Prepare Gantt Chart'!H15="_","01/01/1900","01/01/"&amp;'Prepare Gantt Chart'!H15)</f>
        <v>01/01/1900</v>
      </c>
      <c r="AI5" s="84" t="str">
        <f>IF('Prepare Gantt Chart'!H15="_","31/12/1900","31/12/"&amp;'Prepare Gantt Chart'!N15)</f>
        <v>31/12/1900</v>
      </c>
      <c r="AJ5" s="85">
        <f>'Prepare Gantt Chart'!I15</f>
        <v>1</v>
      </c>
      <c r="AK5" s="84" t="str">
        <f>IF('Prepare Gantt Chart'!H16="_","01/01/1900","01/01/"&amp;'Prepare Gantt Chart'!H16)</f>
        <v>01/01/1900</v>
      </c>
      <c r="AL5" s="84" t="str">
        <f>IF('Prepare Gantt Chart'!H16="_","31/12/1900","31/12/"&amp;'Prepare Gantt Chart'!N16)</f>
        <v>31/12/1900</v>
      </c>
      <c r="AM5" s="85">
        <f>'Prepare Gantt Chart'!I16</f>
        <v>0.01</v>
      </c>
      <c r="AN5" s="84" t="str">
        <f>IF('Prepare Gantt Chart'!H17="_","01/01/1900","01/01/"&amp;'Prepare Gantt Chart'!H17)</f>
        <v>01/01/1900</v>
      </c>
      <c r="AO5" s="84" t="str">
        <f>IF('Prepare Gantt Chart'!H17="_","31/12/1900","31/12/"&amp;'Prepare Gantt Chart'!N17)</f>
        <v>31/12/1900</v>
      </c>
      <c r="AP5" s="85">
        <f>'Prepare Gantt Chart'!I17</f>
        <v>1</v>
      </c>
      <c r="AQ5" s="84" t="str">
        <f>IF('Prepare Gantt Chart'!H18="_","01/01/1900","01/01/"&amp;'Prepare Gantt Chart'!H18)</f>
        <v>01/01/1900</v>
      </c>
      <c r="AR5" s="84" t="str">
        <f>IF('Prepare Gantt Chart'!H18="_","31/12/1900","31/12/"&amp;'Prepare Gantt Chart'!N18)</f>
        <v>31/12/1900</v>
      </c>
      <c r="AS5" s="85">
        <f>'Prepare Gantt Chart'!I18</f>
        <v>1</v>
      </c>
      <c r="AT5" s="84" t="str">
        <f>IF('Prepare Gantt Chart'!H19="_","01/01/1900","01/01/"&amp;'Prepare Gantt Chart'!H19)</f>
        <v>01/01/1900</v>
      </c>
      <c r="AU5" s="84" t="str">
        <f>IF('Prepare Gantt Chart'!H19="_","31/12/1900","31/12/"&amp;'Prepare Gantt Chart'!N19)</f>
        <v>31/12/1900</v>
      </c>
      <c r="AV5" s="85">
        <f>'Prepare Gantt Chart'!I19</f>
        <v>1</v>
      </c>
      <c r="AW5" s="84" t="str">
        <f>IF('Prepare Gantt Chart'!H20="_","01/01/1900","01/01/"&amp;'Prepare Gantt Chart'!H20)</f>
        <v>01/01/1900</v>
      </c>
      <c r="AX5" s="84" t="str">
        <f>IF('Prepare Gantt Chart'!H20="_","31/12/1900","31/12/"&amp;'Prepare Gantt Chart'!N20)</f>
        <v>31/12/1900</v>
      </c>
      <c r="AY5" s="85">
        <f>'Prepare Gantt Chart'!I20</f>
        <v>0.1</v>
      </c>
      <c r="AZ5" s="84" t="str">
        <f>IF('Prepare Gantt Chart'!H21="_","01/01/1900","01/01/"&amp;'Prepare Gantt Chart'!H21)</f>
        <v>01/01/1900</v>
      </c>
      <c r="BA5" s="84" t="str">
        <f>IF('Prepare Gantt Chart'!H21="_","31/12/1900","31/12/"&amp;'Prepare Gantt Chart'!N21)</f>
        <v>31/12/1900</v>
      </c>
      <c r="BB5" s="85">
        <f>'Prepare Gantt Chart'!I21</f>
        <v>0.2</v>
      </c>
      <c r="BC5" s="84" t="str">
        <f>IF('Prepare Gantt Chart'!H22="_","01/01/1900","01/01/"&amp;'Prepare Gantt Chart'!H22)</f>
        <v>01/01/1900</v>
      </c>
      <c r="BD5" s="84" t="str">
        <f>IF('Prepare Gantt Chart'!H22="_","31/12/1900","31/12/"&amp;'Prepare Gantt Chart'!N22)</f>
        <v>31/12/1900</v>
      </c>
      <c r="BE5" s="85">
        <f>'Prepare Gantt Chart'!I22</f>
        <v>1</v>
      </c>
      <c r="BF5" s="84" t="str">
        <f>IF('Prepare Gantt Chart'!H23="_","01/01/1900","01/01/"&amp;'Prepare Gantt Chart'!H23)</f>
        <v>01/01/1900</v>
      </c>
      <c r="BG5" s="84" t="str">
        <f>IF('Prepare Gantt Chart'!H23="_","31/12/1900","31/12/"&amp;'Prepare Gantt Chart'!N23)</f>
        <v>31/12/1900</v>
      </c>
      <c r="BH5" s="85">
        <f>'Prepare Gantt Chart'!I23</f>
        <v>1</v>
      </c>
      <c r="BI5" s="84" t="str">
        <f>IF('Prepare Gantt Chart'!H24="_","01/01/1900","01/01/"&amp;'Prepare Gantt Chart'!H24)</f>
        <v>01/01/1900</v>
      </c>
      <c r="BJ5" s="84" t="str">
        <f>IF('Prepare Gantt Chart'!H24="_","31/12/1900","31/12/"&amp;'Prepare Gantt Chart'!N24)</f>
        <v>31/12/1900</v>
      </c>
      <c r="BK5" s="85">
        <f>'Prepare Gantt Chart'!I24</f>
        <v>0.01</v>
      </c>
      <c r="BL5" s="84" t="str">
        <f>IF('Prepare Gantt Chart'!H25="_","01/01/1900","01/01/"&amp;'Prepare Gantt Chart'!H25)</f>
        <v>01/01/1900</v>
      </c>
      <c r="BM5" s="84" t="str">
        <f>IF('Prepare Gantt Chart'!H25="_","31/12/1900","31/12/"&amp;'Prepare Gantt Chart'!N25)</f>
        <v>31/12/1900</v>
      </c>
      <c r="BN5" s="85">
        <f>'Prepare Gantt Chart'!I25</f>
        <v>1</v>
      </c>
      <c r="BO5" s="84" t="str">
        <f>IF('Prepare Gantt Chart'!H26="_","01/01/1900","01/01/"&amp;'Prepare Gantt Chart'!H26)</f>
        <v>01/01/1900</v>
      </c>
      <c r="BP5" s="84" t="str">
        <f>IF('Prepare Gantt Chart'!H26="_","31/12/1900","31/12/"&amp;'Prepare Gantt Chart'!N26)</f>
        <v>31/12/1900</v>
      </c>
      <c r="BQ5" s="85">
        <f>'Prepare Gantt Chart'!I26</f>
        <v>1</v>
      </c>
      <c r="BR5" s="84" t="str">
        <f>IF('Prepare Gantt Chart'!H27="_","01/01/1900","01/01/"&amp;'Prepare Gantt Chart'!H27)</f>
        <v>01/01/1900</v>
      </c>
      <c r="BS5" s="84" t="str">
        <f>IF('Prepare Gantt Chart'!H27="_","31/12/1900","31/12/"&amp;'Prepare Gantt Chart'!N27)</f>
        <v>31/12/1900</v>
      </c>
      <c r="BT5" s="85">
        <f>'Prepare Gantt Chart'!I27</f>
        <v>1</v>
      </c>
      <c r="BU5" s="84" t="str">
        <f>IF('Prepare Gantt Chart'!H28="_","01/01/1900","01/01/"&amp;'Prepare Gantt Chart'!H28)</f>
        <v>01/01/1900</v>
      </c>
      <c r="BV5" s="84" t="str">
        <f>IF('Prepare Gantt Chart'!H28="_","31/12/1900","31/12/"&amp;'Prepare Gantt Chart'!N28)</f>
        <v>31/12/1900</v>
      </c>
      <c r="BW5" s="85">
        <f>'Prepare Gantt Chart'!I28</f>
        <v>0.01</v>
      </c>
      <c r="BX5" s="84" t="str">
        <f>IF('Prepare Gantt Chart'!H29="_","01/01/1900","01/01/"&amp;'Prepare Gantt Chart'!H29)</f>
        <v>01/01/1900</v>
      </c>
      <c r="BY5" s="84" t="str">
        <f>IF('Prepare Gantt Chart'!H29="_","31/12/1900","31/12/"&amp;'Prepare Gantt Chart'!N29)</f>
        <v>31/12/1900</v>
      </c>
      <c r="BZ5" s="85">
        <f>'Prepare Gantt Chart'!I29</f>
        <v>0.01</v>
      </c>
      <c r="CA5" s="84" t="str">
        <f>IF('Prepare Gantt Chart'!H30="_","01/01/1900","01/01/"&amp;'Prepare Gantt Chart'!H30)</f>
        <v>01/01/1900</v>
      </c>
      <c r="CB5" s="84" t="str">
        <f>IF('Prepare Gantt Chart'!H30="_","31/12/1900","31/12/"&amp;'Prepare Gantt Chart'!N30)</f>
        <v>31/12/1900</v>
      </c>
      <c r="CC5" s="85">
        <f>'Prepare Gantt Chart'!I30</f>
        <v>0.01</v>
      </c>
      <c r="CD5" s="84" t="str">
        <f>IF('Prepare Gantt Chart'!H31="_","01/01/1900","01/01/"&amp;'Prepare Gantt Chart'!H31)</f>
        <v>01/01/1900</v>
      </c>
      <c r="CE5" s="84" t="str">
        <f>IF('Prepare Gantt Chart'!H31="_","31/12/1900","31/12/"&amp;'Prepare Gantt Chart'!N31)</f>
        <v>31/12/1900</v>
      </c>
      <c r="CF5" s="85">
        <f>'Prepare Gantt Chart'!I31</f>
        <v>0.01</v>
      </c>
      <c r="CG5" s="84" t="str">
        <f>IF('Prepare Gantt Chart'!H32="_","01/01/1900","01/01/"&amp;'Prepare Gantt Chart'!H32)</f>
        <v>01/01/1900</v>
      </c>
      <c r="CH5" s="84" t="str">
        <f>IF('Prepare Gantt Chart'!H32="_","31/12/1900","31/12/"&amp;'Prepare Gantt Chart'!N32)</f>
        <v>31/12/1900</v>
      </c>
      <c r="CI5" s="85">
        <f>'Prepare Gantt Chart'!I32</f>
        <v>0.01</v>
      </c>
      <c r="CJ5" s="84" t="str">
        <f>IF('Prepare Gantt Chart'!H33="_","01/01/1900","01/01/"&amp;'Prepare Gantt Chart'!H33)</f>
        <v>01/01/1900</v>
      </c>
      <c r="CK5" s="84" t="str">
        <f>IF('Prepare Gantt Chart'!H33="_","31/12/1900","31/12/"&amp;'Prepare Gantt Chart'!N33)</f>
        <v>31/12/1900</v>
      </c>
      <c r="CL5" s="85">
        <f>'Prepare Gantt Chart'!I33</f>
        <v>0.01</v>
      </c>
      <c r="CM5" s="84" t="str">
        <f>IF('Prepare Gantt Chart'!H34="_","01/01/1900","01/01/"&amp;'Prepare Gantt Chart'!H34)</f>
        <v>01/01/1900</v>
      </c>
      <c r="CN5" s="84" t="str">
        <f>IF('Prepare Gantt Chart'!H34="_","31/12/1900","31/12/"&amp;'Prepare Gantt Chart'!N34)</f>
        <v>31/12/1900</v>
      </c>
      <c r="CO5" s="85">
        <f>'Prepare Gantt Chart'!I34</f>
        <v>0.01</v>
      </c>
      <c r="CP5" s="84" t="str">
        <f>IF('Prepare Gantt Chart'!H35="_","01/01/1900","01/01/"&amp;'Prepare Gantt Chart'!H35)</f>
        <v>01/01/1900</v>
      </c>
      <c r="CQ5" s="84" t="str">
        <f>IF('Prepare Gantt Chart'!H35="_","31/12/1900","31/12/"&amp;'Prepare Gantt Chart'!N35)</f>
        <v>31/12/1900</v>
      </c>
      <c r="CR5" s="85">
        <f>'Prepare Gantt Chart'!I35</f>
        <v>1</v>
      </c>
      <c r="CS5" s="84" t="str">
        <f>IF('Prepare Gantt Chart'!H36="_","01/01/1900","01/01/"&amp;'Prepare Gantt Chart'!H36)</f>
        <v>01/01/1900</v>
      </c>
      <c r="CT5" s="84" t="str">
        <f>IF('Prepare Gantt Chart'!H36="_","31/12/1900","31/12/"&amp;'Prepare Gantt Chart'!N36)</f>
        <v>31/12/1900</v>
      </c>
      <c r="CU5" s="85">
        <f>'Prepare Gantt Chart'!I36</f>
        <v>1</v>
      </c>
      <c r="CV5" s="84" t="str">
        <f>IF('Prepare Gantt Chart'!H37="_","01/01/1900","01/01/"&amp;'Prepare Gantt Chart'!H37)</f>
        <v>01/01/1900</v>
      </c>
      <c r="CW5" s="84" t="str">
        <f>IF('Prepare Gantt Chart'!H37="_","31/12/1900","31/12/"&amp;'Prepare Gantt Chart'!N37)</f>
        <v>31/12/1900</v>
      </c>
      <c r="CX5" s="85">
        <f>'Prepare Gantt Chart'!I37</f>
        <v>1</v>
      </c>
      <c r="CY5" s="84" t="str">
        <f>IF('Prepare Gantt Chart'!H38="_","01/01/1900","01/01/"&amp;'Prepare Gantt Chart'!H38)</f>
        <v>01/01/1900</v>
      </c>
      <c r="CZ5" s="84" t="str">
        <f>IF('Prepare Gantt Chart'!H38="_","31/12/1900","31/12/"&amp;'Prepare Gantt Chart'!N38)</f>
        <v>31/12/1900</v>
      </c>
      <c r="DA5" s="85">
        <f>'Prepare Gantt Chart'!I38</f>
        <v>0.2</v>
      </c>
      <c r="DB5" s="84" t="str">
        <f>IF('Prepare Gantt Chart'!H39="_","01/01/1900","01/01/"&amp;'Prepare Gantt Chart'!H39)</f>
        <v>01/01/1900</v>
      </c>
      <c r="DC5" s="84" t="str">
        <f>IF('Prepare Gantt Chart'!H39="_","31/12/1900","31/12/"&amp;'Prepare Gantt Chart'!N39)</f>
        <v>31/12/1900</v>
      </c>
      <c r="DD5" s="85">
        <f>'Prepare Gantt Chart'!I39</f>
        <v>1</v>
      </c>
      <c r="DE5" s="84" t="str">
        <f>IF('Prepare Gantt Chart'!H40="_","01/01/1900","01/01/"&amp;'Prepare Gantt Chart'!H40)</f>
        <v>01/01/1900</v>
      </c>
      <c r="DF5" s="84" t="str">
        <f>IF('Prepare Gantt Chart'!H40="_","31/12/1900","31/12/"&amp;'Prepare Gantt Chart'!N40)</f>
        <v>31/12/1900</v>
      </c>
      <c r="DG5" s="85">
        <f>'Prepare Gantt Chart'!I40</f>
        <v>1</v>
      </c>
      <c r="DH5" s="84" t="str">
        <f>IF('Prepare Gantt Chart'!H41="_","01/01/1900","01/01/"&amp;'Prepare Gantt Chart'!H41)</f>
        <v>01/01/1900</v>
      </c>
      <c r="DI5" s="84" t="str">
        <f>IF('Prepare Gantt Chart'!H41="_","31/12/1900","31/12/"&amp;'Prepare Gantt Chart'!N41)</f>
        <v>31/12/1900</v>
      </c>
      <c r="DJ5" s="85">
        <f>'Prepare Gantt Chart'!I41</f>
        <v>1</v>
      </c>
      <c r="DK5" s="84" t="str">
        <f>IF('Prepare Gantt Chart'!H42="_","01/01/1900","01/01/"&amp;'Prepare Gantt Chart'!H42)</f>
        <v>01/01/1900</v>
      </c>
      <c r="DL5" s="84" t="str">
        <f>IF('Prepare Gantt Chart'!H42="_","31/12/1900","31/12/"&amp;'Prepare Gantt Chart'!N42)</f>
        <v>31/12/1900</v>
      </c>
      <c r="DM5" s="85">
        <f>'Prepare Gantt Chart'!I42</f>
        <v>1</v>
      </c>
      <c r="DN5" s="84" t="str">
        <f>IF('Prepare Gantt Chart'!H43="_","01/01/1900","01/01/"&amp;'Prepare Gantt Chart'!H43)</f>
        <v>01/01/1900</v>
      </c>
      <c r="DO5" s="84" t="str">
        <f>IF('Prepare Gantt Chart'!H43="_","31/12/1900","31/12/"&amp;'Prepare Gantt Chart'!N43)</f>
        <v>31/12/1900</v>
      </c>
      <c r="DP5" s="85">
        <f>'Prepare Gantt Chart'!I43</f>
        <v>1</v>
      </c>
      <c r="DQ5" s="84" t="str">
        <f>IF('Prepare Gantt Chart'!H44="_","01/01/1900","01/01/"&amp;'Prepare Gantt Chart'!H44)</f>
        <v>01/01/1900</v>
      </c>
      <c r="DR5" s="84" t="str">
        <f>IF('Prepare Gantt Chart'!H44="_","31/12/1900","31/12/"&amp;'Prepare Gantt Chart'!N44)</f>
        <v>31/12/1900</v>
      </c>
      <c r="DS5" s="85">
        <f>'Prepare Gantt Chart'!I44</f>
        <v>0.01</v>
      </c>
      <c r="DT5" s="84" t="str">
        <f>IF('Prepare Gantt Chart'!H45="_","01/01/1900","01/01/"&amp;'Prepare Gantt Chart'!H45)</f>
        <v>01/01/1900</v>
      </c>
      <c r="DU5" s="84" t="str">
        <f>IF('Prepare Gantt Chart'!H45="_","31/12/1900","31/12/"&amp;'Prepare Gantt Chart'!N45)</f>
        <v>31/12/1900</v>
      </c>
      <c r="DV5" s="85">
        <f>'Prepare Gantt Chart'!I45</f>
        <v>0.01</v>
      </c>
      <c r="DW5" s="84" t="str">
        <f>IF('Prepare Gantt Chart'!H46="_","01/01/1900","01/01/"&amp;'Prepare Gantt Chart'!H46)</f>
        <v>01/01/1900</v>
      </c>
      <c r="DX5" s="84" t="str">
        <f>IF('Prepare Gantt Chart'!H46="_","31/12/1900","31/12/"&amp;'Prepare Gantt Chart'!N46)</f>
        <v>31/12/1900</v>
      </c>
      <c r="DY5" s="85">
        <f>'Prepare Gantt Chart'!I46</f>
        <v>1</v>
      </c>
      <c r="DZ5" s="84" t="str">
        <f>IF('Prepare Gantt Chart'!H47="_","01/01/1900","01/01/"&amp;'Prepare Gantt Chart'!H47)</f>
        <v>01/01/1900</v>
      </c>
      <c r="EA5" s="84" t="str">
        <f>IF('Prepare Gantt Chart'!H47="_","31/12/1900","31/12/"&amp;'Prepare Gantt Chart'!N47)</f>
        <v>31/12/1900</v>
      </c>
      <c r="EB5" s="85">
        <f>'Prepare Gantt Chart'!I47</f>
        <v>1</v>
      </c>
      <c r="EC5" s="84" t="str">
        <f>IF('Prepare Gantt Chart'!H48="_","01/01/1900","01/01/"&amp;'Prepare Gantt Chart'!H48)</f>
        <v>01/01/1900</v>
      </c>
      <c r="ED5" s="84" t="str">
        <f>IF('Prepare Gantt Chart'!H48="_","31/12/1900","31/12/"&amp;'Prepare Gantt Chart'!N48)</f>
        <v>31/12/1900</v>
      </c>
      <c r="EE5" s="85">
        <f>'Prepare Gantt Chart'!I48</f>
        <v>1</v>
      </c>
      <c r="EF5" s="84" t="str">
        <f>IF('Prepare Gantt Chart'!H49="_","01/01/1900","01/01/"&amp;'Prepare Gantt Chart'!H49)</f>
        <v>01/01/1900</v>
      </c>
      <c r="EG5" s="84" t="str">
        <f>IF('Prepare Gantt Chart'!H49="_","31/12/1900","31/12/"&amp;'Prepare Gantt Chart'!N49)</f>
        <v>31/12/1900</v>
      </c>
      <c r="EH5" s="85">
        <f>'Prepare Gantt Chart'!I49</f>
        <v>1</v>
      </c>
      <c r="EI5" s="84" t="str">
        <f>IF('Prepare Gantt Chart'!H50="_","01/01/1900","01/01/"&amp;'Prepare Gantt Chart'!H50)</f>
        <v>01/01/1900</v>
      </c>
      <c r="EJ5" s="84" t="str">
        <f>IF('Prepare Gantt Chart'!H50="_","31/12/1900","31/12/"&amp;'Prepare Gantt Chart'!N50)</f>
        <v>31/12/1900</v>
      </c>
      <c r="EK5" s="85">
        <f>'Prepare Gantt Chart'!I50</f>
        <v>1</v>
      </c>
      <c r="EL5" s="84" t="str">
        <f>IF('Prepare Gantt Chart'!H51="_","01/01/1900","01/01/"&amp;'Prepare Gantt Chart'!H51)</f>
        <v>01/01/1900</v>
      </c>
      <c r="EM5" s="84" t="str">
        <f>IF('Prepare Gantt Chart'!H51="_","31/12/1900","31/12/"&amp;'Prepare Gantt Chart'!N51)</f>
        <v>31/12/1900</v>
      </c>
      <c r="EN5" s="85">
        <f>'Prepare Gantt Chart'!I51</f>
        <v>0.01</v>
      </c>
      <c r="EO5" s="84" t="str">
        <f>IF('Prepare Gantt Chart'!H52="_","01/01/1900","01/01/"&amp;'Prepare Gantt Chart'!H52)</f>
        <v>01/01/1900</v>
      </c>
      <c r="EP5" s="84" t="str">
        <f>IF('Prepare Gantt Chart'!H52="_","31/12/1900","31/12/"&amp;'Prepare Gantt Chart'!N52)</f>
        <v>31/12/1900</v>
      </c>
      <c r="EQ5" s="85">
        <f>'Prepare Gantt Chart'!I52</f>
        <v>1</v>
      </c>
      <c r="ER5" s="84" t="str">
        <f>IF('Prepare Gantt Chart'!H53="_","01/01/1900","01/01/"&amp;'Prepare Gantt Chart'!H53)</f>
        <v>01/01/1900</v>
      </c>
      <c r="ES5" s="84" t="str">
        <f>IF('Prepare Gantt Chart'!H53="_","31/12/1900","31/12/"&amp;'Prepare Gantt Chart'!N53)</f>
        <v>31/12/1900</v>
      </c>
      <c r="ET5" s="85">
        <f>'Prepare Gantt Chart'!I53</f>
        <v>1</v>
      </c>
      <c r="EU5" s="84" t="str">
        <f>IF('Prepare Gantt Chart'!H54="_","01/01/1900","01/01/"&amp;'Prepare Gantt Chart'!H54)</f>
        <v>01/01/1900</v>
      </c>
      <c r="EV5" s="84" t="str">
        <f>IF('Prepare Gantt Chart'!H54="_","31/12/1900","31/12/"&amp;'Prepare Gantt Chart'!N54)</f>
        <v>31/12/1900</v>
      </c>
      <c r="EW5" s="85">
        <f>'Prepare Gantt Chart'!I54</f>
        <v>1</v>
      </c>
      <c r="EX5" s="84" t="str">
        <f>IF('Prepare Gantt Chart'!H55="_","01/01/1900","01/01/"&amp;'Prepare Gantt Chart'!H55)</f>
        <v>01/01/1900</v>
      </c>
      <c r="EY5" s="84" t="str">
        <f>IF('Prepare Gantt Chart'!H55="_","31/12/1900","31/12/"&amp;'Prepare Gantt Chart'!N55)</f>
        <v>31/12/1900</v>
      </c>
      <c r="EZ5" s="85">
        <f>'Prepare Gantt Chart'!I55</f>
        <v>1</v>
      </c>
      <c r="FA5" s="84" t="str">
        <f>IF('Prepare Gantt Chart'!H56="_","01/01/1900","01/01/"&amp;'Prepare Gantt Chart'!H56)</f>
        <v>01/01/1900</v>
      </c>
      <c r="FB5" s="84" t="str">
        <f>IF('Prepare Gantt Chart'!H56="_","31/12/1900","31/12/"&amp;'Prepare Gantt Chart'!N56)</f>
        <v>31/12/1900</v>
      </c>
      <c r="FC5" s="85">
        <f>'Prepare Gantt Chart'!I56</f>
        <v>1</v>
      </c>
      <c r="FD5" s="84" t="str">
        <f>IF('Prepare Gantt Chart'!H57="_","01/01/1900","01/01/"&amp;'Prepare Gantt Chart'!H57)</f>
        <v>01/01/1900</v>
      </c>
      <c r="FE5" s="84" t="str">
        <f>IF('Prepare Gantt Chart'!H57="_","31/12/1900","31/12/"&amp;'Prepare Gantt Chart'!N57)</f>
        <v>31/12/1900</v>
      </c>
      <c r="FF5" s="85">
        <f>'Prepare Gantt Chart'!I57</f>
        <v>1</v>
      </c>
      <c r="FG5" s="84" t="str">
        <f>IF('Prepare Gantt Chart'!H58="_","01/01/1900","01/01/"&amp;'Prepare Gantt Chart'!H58)</f>
        <v>01/01/1900</v>
      </c>
      <c r="FH5" s="84" t="str">
        <f>IF('Prepare Gantt Chart'!H58="_","31/12/1900","31/12/"&amp;'Prepare Gantt Chart'!N58)</f>
        <v>31/12/1900</v>
      </c>
      <c r="FI5" s="85">
        <f>'Prepare Gantt Chart'!I58</f>
        <v>0.1</v>
      </c>
      <c r="FJ5" s="84" t="str">
        <f>IF('Prepare Gantt Chart'!H59="_","01/01/1900","01/01/"&amp;'Prepare Gantt Chart'!H59)</f>
        <v>01/01/1900</v>
      </c>
      <c r="FK5" s="84" t="str">
        <f>IF('Prepare Gantt Chart'!H59="_","31/12/1900","31/12/"&amp;'Prepare Gantt Chart'!N59)</f>
        <v>31/12/1900</v>
      </c>
      <c r="FL5" s="85">
        <f>'Prepare Gantt Chart'!I59</f>
        <v>1</v>
      </c>
      <c r="FM5" s="84" t="str">
        <f>IF('Prepare Gantt Chart'!H60="_","01/01/1900","01/01/"&amp;'Prepare Gantt Chart'!H60)</f>
        <v>01/01/1900</v>
      </c>
      <c r="FN5" s="84" t="str">
        <f>IF('Prepare Gantt Chart'!H60="_","31/12/1900","31/12/"&amp;'Prepare Gantt Chart'!N60)</f>
        <v>31/12/1900</v>
      </c>
      <c r="FO5" s="85">
        <f>'Prepare Gantt Chart'!I60</f>
        <v>1</v>
      </c>
      <c r="FP5" s="84" t="str">
        <f>IF('Prepare Gantt Chart'!H61="_","01/01/1900","01/01/"&amp;'Prepare Gantt Chart'!H61)</f>
        <v>01/01/1900</v>
      </c>
      <c r="FQ5" s="84" t="str">
        <f>IF('Prepare Gantt Chart'!H61="_","31/12/1900","31/12/"&amp;'Prepare Gantt Chart'!N61)</f>
        <v>31/12/1900</v>
      </c>
      <c r="FR5" s="85">
        <f>'Prepare Gantt Chart'!I61</f>
        <v>1</v>
      </c>
      <c r="FS5" s="84" t="str">
        <f>IF('Prepare Gantt Chart'!H62="_","01/01/1900","01/01/"&amp;'Prepare Gantt Chart'!H62)</f>
        <v>01/01/1900</v>
      </c>
      <c r="FT5" s="84" t="str">
        <f>IF('Prepare Gantt Chart'!H62="_","31/12/1900","31/12/"&amp;'Prepare Gantt Chart'!N62)</f>
        <v>31/12/1900</v>
      </c>
      <c r="FU5" s="85">
        <f>'Prepare Gantt Chart'!I62</f>
        <v>0.01</v>
      </c>
      <c r="FV5" s="84" t="str">
        <f>IF('Prepare Gantt Chart'!H63="_","01/01/1900","01/01/"&amp;'Prepare Gantt Chart'!H63)</f>
        <v>01/01/1900</v>
      </c>
      <c r="FW5" s="84" t="str">
        <f>IF('Prepare Gantt Chart'!H63="_","31/12/1900","31/12/"&amp;'Prepare Gantt Chart'!N63)</f>
        <v>31/12/1900</v>
      </c>
      <c r="FX5" s="85">
        <f>'Prepare Gantt Chart'!I63</f>
        <v>1</v>
      </c>
      <c r="FY5" s="84" t="str">
        <f>IF('Prepare Gantt Chart'!H64="_","01/01/1900","01/01/"&amp;'Prepare Gantt Chart'!H64)</f>
        <v>01/01/1900</v>
      </c>
      <c r="FZ5" s="84" t="str">
        <f>IF('Prepare Gantt Chart'!H64="_","31/12/1900","31/12/"&amp;'Prepare Gantt Chart'!N64)</f>
        <v>31/12/1900</v>
      </c>
      <c r="GA5" s="85">
        <f>'Prepare Gantt Chart'!I64</f>
        <v>1</v>
      </c>
      <c r="GB5" s="84" t="str">
        <f>IF('Prepare Gantt Chart'!H65="_","01/01/1900","01/01/"&amp;'Prepare Gantt Chart'!H65)</f>
        <v>01/01/1900</v>
      </c>
      <c r="GC5" s="84" t="str">
        <f>IF('Prepare Gantt Chart'!H65="_","31/12/1900","31/12/"&amp;'Prepare Gantt Chart'!N65)</f>
        <v>31/12/1900</v>
      </c>
      <c r="GD5" s="85">
        <f>'Prepare Gantt Chart'!I65</f>
        <v>1</v>
      </c>
      <c r="GE5" s="84" t="str">
        <f>IF('Prepare Gantt Chart'!H66="_","01/01/1900","01/01/"&amp;'Prepare Gantt Chart'!H66)</f>
        <v>01/01/1900</v>
      </c>
      <c r="GF5" s="84" t="str">
        <f>IF('Prepare Gantt Chart'!H66="_","31/12/1900","31/12/"&amp;'Prepare Gantt Chart'!N66)</f>
        <v>31/12/1900</v>
      </c>
      <c r="GG5" s="85">
        <f>'Prepare Gantt Chart'!I66</f>
        <v>1</v>
      </c>
      <c r="GH5" s="84" t="str">
        <f>IF('Prepare Gantt Chart'!H67="_","01/01/1900","01/01/"&amp;'Prepare Gantt Chart'!H67)</f>
        <v>01/01/1900</v>
      </c>
      <c r="GI5" s="84" t="str">
        <f>IF('Prepare Gantt Chart'!H67="_","31/12/1900","31/12/"&amp;'Prepare Gantt Chart'!N67)</f>
        <v>31/12/1900</v>
      </c>
      <c r="GJ5" s="85">
        <f>'Prepare Gantt Chart'!I67</f>
        <v>1</v>
      </c>
      <c r="GK5" s="84" t="str">
        <f>IF('Prepare Gantt Chart'!H68="_","01/01/1900","01/01/"&amp;'Prepare Gantt Chart'!H68)</f>
        <v>01/01/1900</v>
      </c>
      <c r="GL5" s="84" t="str">
        <f>IF('Prepare Gantt Chart'!H68="_","31/12/1900","31/12/"&amp;'Prepare Gantt Chart'!N68)</f>
        <v>31/12/1900</v>
      </c>
      <c r="GM5" s="85">
        <f>'Prepare Gantt Chart'!I68</f>
        <v>1</v>
      </c>
      <c r="GN5" s="84" t="str">
        <f>IF('Prepare Gantt Chart'!H69="_","01/01/1900","01/01/"&amp;'Prepare Gantt Chart'!H69)</f>
        <v>01/01/1900</v>
      </c>
      <c r="GO5" s="84" t="str">
        <f>IF('Prepare Gantt Chart'!H69="_","31/12/1900","31/12/"&amp;'Prepare Gantt Chart'!N69)</f>
        <v>31/12/1900</v>
      </c>
      <c r="GP5" s="85">
        <f>'Prepare Gantt Chart'!I69</f>
        <v>1</v>
      </c>
      <c r="GQ5" s="84" t="str">
        <f>IF('Prepare Gantt Chart'!H70="_","01/01/1900","01/01/"&amp;'Prepare Gantt Chart'!H70)</f>
        <v>01/01/1900</v>
      </c>
      <c r="GR5" s="84" t="str">
        <f>IF('Prepare Gantt Chart'!H70="_","31/12/1900","31/12/"&amp;'Prepare Gantt Chart'!N70)</f>
        <v>31/12/1900</v>
      </c>
      <c r="GS5" s="85">
        <f>'Prepare Gantt Chart'!I70</f>
        <v>1</v>
      </c>
      <c r="GT5" s="84" t="str">
        <f>IF('Prepare Gantt Chart'!H71="_","01/01/1900","01/01/"&amp;'Prepare Gantt Chart'!H71)</f>
        <v>01/01/1900</v>
      </c>
      <c r="GU5" s="84" t="str">
        <f>IF('Prepare Gantt Chart'!H71="_","31/12/1900","31/12/"&amp;'Prepare Gantt Chart'!N71)</f>
        <v>31/12/1900</v>
      </c>
      <c r="GV5" s="85">
        <f>'Prepare Gantt Chart'!I71</f>
        <v>1</v>
      </c>
      <c r="GW5" s="84" t="str">
        <f>IF('Prepare Gantt Chart'!H72="_","01/01/1900","01/01/"&amp;'Prepare Gantt Chart'!H72)</f>
        <v>01/01/1900</v>
      </c>
      <c r="GX5" s="84" t="str">
        <f>IF('Prepare Gantt Chart'!H72="_","31/12/1900","31/12/"&amp;'Prepare Gantt Chart'!N72)</f>
        <v>31/12/1900</v>
      </c>
      <c r="GY5" s="85">
        <f>'Prepare Gantt Chart'!I72</f>
        <v>1</v>
      </c>
      <c r="GZ5" s="84" t="str">
        <f>IF('Prepare Gantt Chart'!H73="_","01/01/1900","01/01/"&amp;'Prepare Gantt Chart'!H73)</f>
        <v>01/01/1900</v>
      </c>
      <c r="HA5" s="84" t="str">
        <f>IF('Prepare Gantt Chart'!H73="_","31/12/1900","31/12/"&amp;'Prepare Gantt Chart'!N73)</f>
        <v>31/12/1900</v>
      </c>
      <c r="HB5" s="85">
        <f>'Prepare Gantt Chart'!I73</f>
        <v>1</v>
      </c>
      <c r="HC5" s="84" t="str">
        <f>IF('Prepare Gantt Chart'!H74="_","01/01/1900","01/01/"&amp;'Prepare Gantt Chart'!H74)</f>
        <v>01/01/1900</v>
      </c>
      <c r="HD5" s="84" t="str">
        <f>IF('Prepare Gantt Chart'!H74="_","31/12/1900","31/12/"&amp;'Prepare Gantt Chart'!N74)</f>
        <v>31/12/1900</v>
      </c>
      <c r="HE5" s="85">
        <f>'Prepare Gantt Chart'!I74</f>
        <v>1</v>
      </c>
      <c r="HF5" s="84" t="str">
        <f>IF('Prepare Gantt Chart'!H75="_","01/01/1900","01/01/"&amp;'Prepare Gantt Chart'!H75)</f>
        <v>01/01/1900</v>
      </c>
      <c r="HG5" s="84" t="str">
        <f>IF('Prepare Gantt Chart'!H75="_","31/12/1900","31/12/"&amp;'Prepare Gantt Chart'!N75)</f>
        <v>31/12/1900</v>
      </c>
      <c r="HH5" s="85">
        <f>'Prepare Gantt Chart'!I75</f>
        <v>1</v>
      </c>
      <c r="HI5" s="84" t="str">
        <f>IF('Prepare Gantt Chart'!H76="_","01/01/1900","01/01/"&amp;'Prepare Gantt Chart'!H76)</f>
        <v>01/01/1900</v>
      </c>
      <c r="HJ5" s="84" t="str">
        <f>IF('Prepare Gantt Chart'!H76="_","31/12/1900","31/12/"&amp;'Prepare Gantt Chart'!N76)</f>
        <v>31/12/1900</v>
      </c>
      <c r="HK5" s="85">
        <f>'Prepare Gantt Chart'!I76</f>
        <v>1</v>
      </c>
      <c r="HL5" s="84" t="str">
        <f>IF('Prepare Gantt Chart'!H77="_","01/01/1900","01/01/"&amp;'Prepare Gantt Chart'!H77)</f>
        <v>01/01/1900</v>
      </c>
      <c r="HM5" s="84" t="str">
        <f>IF('Prepare Gantt Chart'!H77="_","31/12/1900","31/12/"&amp;'Prepare Gantt Chart'!N77)</f>
        <v>31/12/1900</v>
      </c>
      <c r="HN5" s="85">
        <f>'Prepare Gantt Chart'!I77</f>
        <v>1</v>
      </c>
      <c r="HO5" s="84" t="str">
        <f>IF('Prepare Gantt Chart'!H78="_","01/01/1900","01/01/"&amp;'Prepare Gantt Chart'!H78)</f>
        <v>01/01/1900</v>
      </c>
      <c r="HP5" s="84" t="str">
        <f>IF('Prepare Gantt Chart'!H78="_","31/12/1900","31/12/"&amp;'Prepare Gantt Chart'!N78)</f>
        <v>31/12/1900</v>
      </c>
      <c r="HQ5" s="85">
        <f>'Prepare Gantt Chart'!I78</f>
        <v>1</v>
      </c>
      <c r="HR5" s="84" t="str">
        <f>IF('Prepare Gantt Chart'!H79="_","01/01/1900","01/01/"&amp;'Prepare Gantt Chart'!H79)</f>
        <v>01/01/1900</v>
      </c>
      <c r="HS5" s="84" t="str">
        <f>IF('Prepare Gantt Chart'!H79="_","31/12/1900","31/12/"&amp;'Prepare Gantt Chart'!N79)</f>
        <v>31/12/1900</v>
      </c>
      <c r="HT5" s="85">
        <f>'Prepare Gantt Chart'!I79</f>
        <v>1</v>
      </c>
      <c r="HU5" s="84" t="str">
        <f>IF('Prepare Gantt Chart'!H80="_","01/01/1900","01/01/"&amp;'Prepare Gantt Chart'!H80)</f>
        <v>01/01/1900</v>
      </c>
      <c r="HV5" s="84" t="str">
        <f>IF('Prepare Gantt Chart'!H80="_","31/12/1900","31/12/"&amp;'Prepare Gantt Chart'!N80)</f>
        <v>31/12/1900</v>
      </c>
      <c r="HW5" s="85">
        <f>'Prepare Gantt Chart'!I80</f>
        <v>1</v>
      </c>
      <c r="HX5" s="84" t="str">
        <f>IF('Prepare Gantt Chart'!H81="_","01/01/1900","01/01/"&amp;'Prepare Gantt Chart'!H81)</f>
        <v>01/01/1900</v>
      </c>
      <c r="HY5" s="84" t="str">
        <f>IF('Prepare Gantt Chart'!H81="_","31/12/1900","31/12/"&amp;'Prepare Gantt Chart'!N81)</f>
        <v>31/12/1900</v>
      </c>
      <c r="HZ5" s="85">
        <f>'Prepare Gantt Chart'!I81</f>
        <v>1</v>
      </c>
      <c r="IA5" s="84" t="str">
        <f>IF('Prepare Gantt Chart'!H82="_","01/01/1900","01/01/"&amp;'Prepare Gantt Chart'!H82)</f>
        <v>01/01/1900</v>
      </c>
      <c r="IB5" s="84" t="str">
        <f>IF('Prepare Gantt Chart'!H82="_","31/12/1900","31/12/"&amp;'Prepare Gantt Chart'!N82)</f>
        <v>31/12/1900</v>
      </c>
      <c r="IC5" s="85">
        <f>'Prepare Gantt Chart'!I82</f>
        <v>1</v>
      </c>
      <c r="ID5" s="84" t="str">
        <f>IF('Prepare Gantt Chart'!H83="_","01/01/1900","01/01/"&amp;'Prepare Gantt Chart'!H83)</f>
        <v>01/01/1900</v>
      </c>
      <c r="IE5" s="84" t="str">
        <f>IF('Prepare Gantt Chart'!H83="_","31/12/1900","31/12/"&amp;'Prepare Gantt Chart'!N83)</f>
        <v>31/12/1900</v>
      </c>
      <c r="IF5" s="85">
        <f>'Prepare Gantt Chart'!I83</f>
        <v>1</v>
      </c>
      <c r="IG5" s="84" t="str">
        <f>IF('Prepare Gantt Chart'!H84="_","01/01/1900","01/01/"&amp;'Prepare Gantt Chart'!H84)</f>
        <v>01/01/1900</v>
      </c>
      <c r="IH5" s="84" t="str">
        <f>IF('Prepare Gantt Chart'!H84="_","31/12/1900","31/12/"&amp;'Prepare Gantt Chart'!N84)</f>
        <v>31/12/1900</v>
      </c>
      <c r="II5" s="85">
        <f>'Prepare Gantt Chart'!I84</f>
        <v>1</v>
      </c>
      <c r="IJ5" s="84" t="str">
        <f>IF('Prepare Gantt Chart'!H85="_","01/01/1900","01/01/"&amp;'Prepare Gantt Chart'!H85)</f>
        <v>01/01/1900</v>
      </c>
      <c r="IK5" s="84" t="str">
        <f>IF('Prepare Gantt Chart'!H85="_","31/12/1900","31/12/"&amp;'Prepare Gantt Chart'!N85)</f>
        <v>31/12/1900</v>
      </c>
      <c r="IL5" s="85">
        <f>'Prepare Gantt Chart'!I85</f>
        <v>1</v>
      </c>
      <c r="IM5" s="84" t="str">
        <f>IF('Prepare Gantt Chart'!H86="_","01/01/1900","01/01/"&amp;'Prepare Gantt Chart'!H86)</f>
        <v>01/01/1900</v>
      </c>
      <c r="IN5" s="84" t="str">
        <f>IF('Prepare Gantt Chart'!H86="_","31/12/1900","31/12/"&amp;'Prepare Gantt Chart'!N86)</f>
        <v>31/12/1900</v>
      </c>
      <c r="IO5" s="85">
        <f>'Prepare Gantt Chart'!I86</f>
        <v>1</v>
      </c>
      <c r="IP5" s="84" t="str">
        <f>IF('Prepare Gantt Chart'!H87="_","01/01/1900","01/01/"&amp;'Prepare Gantt Chart'!H87)</f>
        <v>01/01/1900</v>
      </c>
      <c r="IQ5" s="84" t="str">
        <f>IF('Prepare Gantt Chart'!H87="_","31/12/1900","31/12/"&amp;'Prepare Gantt Chart'!N87)</f>
        <v>31/12/1900</v>
      </c>
      <c r="IR5" s="85">
        <f>'Prepare Gantt Chart'!I87</f>
        <v>1</v>
      </c>
      <c r="IS5" s="84" t="str">
        <f>IF('Prepare Gantt Chart'!H88="_","01/01/1900","01/01/"&amp;'Prepare Gantt Chart'!H88)</f>
        <v>01/01/1900</v>
      </c>
      <c r="IT5" s="84" t="str">
        <f>IF('Prepare Gantt Chart'!H88="_","31/12/1900","31/12/"&amp;'Prepare Gantt Chart'!N88)</f>
        <v>31/12/1900</v>
      </c>
      <c r="IU5" s="85">
        <f>'Prepare Gantt Chart'!I88</f>
        <v>1</v>
      </c>
      <c r="IV5" s="84" t="str">
        <f>IF('Prepare Gantt Chart'!H89="_","01/01/1900","01/01/"&amp;'Prepare Gantt Chart'!H89)</f>
        <v>01/01/1900</v>
      </c>
      <c r="IW5" s="84" t="str">
        <f>IF('Prepare Gantt Chart'!H89="_","31/12/1900","31/12/"&amp;'Prepare Gantt Chart'!N89)</f>
        <v>31/12/1900</v>
      </c>
      <c r="IX5" s="85">
        <f>'Prepare Gantt Chart'!I89</f>
        <v>1</v>
      </c>
      <c r="IY5" s="84" t="str">
        <f>IF('Prepare Gantt Chart'!H90="_","01/01/1900","01/01/"&amp;'Prepare Gantt Chart'!H90)</f>
        <v>01/01/1900</v>
      </c>
      <c r="IZ5" s="84" t="str">
        <f>IF('Prepare Gantt Chart'!H90="_","31/12/1900","31/12/"&amp;'Prepare Gantt Chart'!N90)</f>
        <v>31/12/1900</v>
      </c>
      <c r="JA5" s="85">
        <f>'Prepare Gantt Chart'!I90</f>
        <v>1</v>
      </c>
      <c r="JB5" s="84" t="str">
        <f>IF('Prepare Gantt Chart'!H91="_","01/01/1900","01/01/"&amp;'Prepare Gantt Chart'!H91)</f>
        <v>01/01/1900</v>
      </c>
      <c r="JC5" s="84" t="str">
        <f>IF('Prepare Gantt Chart'!H91="_","31/12/1900","31/12/"&amp;'Prepare Gantt Chart'!N91)</f>
        <v>31/12/1900</v>
      </c>
      <c r="JD5" s="85">
        <f>'Prepare Gantt Chart'!I91</f>
        <v>1</v>
      </c>
      <c r="JE5" s="84" t="str">
        <f>IF('Prepare Gantt Chart'!H92="_","01/01/1900","01/01/"&amp;'Prepare Gantt Chart'!H92)</f>
        <v>01/01/1900</v>
      </c>
      <c r="JF5" s="84" t="str">
        <f>IF('Prepare Gantt Chart'!H92="_","31/12/1900","31/12/"&amp;'Prepare Gantt Chart'!N92)</f>
        <v>31/12/1900</v>
      </c>
      <c r="JG5" s="85">
        <f>'Prepare Gantt Chart'!I92</f>
        <v>1</v>
      </c>
      <c r="JH5" s="84" t="str">
        <f>IF('Prepare Gantt Chart'!H93="_","01/01/1900","01/01/"&amp;'Prepare Gantt Chart'!H93)</f>
        <v>01/01/1900</v>
      </c>
      <c r="JI5" s="84" t="str">
        <f>IF('Prepare Gantt Chart'!H93="_","31/12/1900","31/12/"&amp;'Prepare Gantt Chart'!N93)</f>
        <v>31/12/1900</v>
      </c>
      <c r="JJ5" s="85">
        <f>'Prepare Gantt Chart'!I93</f>
        <v>1</v>
      </c>
      <c r="JK5" s="84" t="str">
        <f>IF('Prepare Gantt Chart'!H94="_","01/01/1900","01/01/"&amp;'Prepare Gantt Chart'!H94)</f>
        <v>01/01/1900</v>
      </c>
      <c r="JL5" s="84" t="str">
        <f>IF('Prepare Gantt Chart'!H94="_","31/12/1900","31/12/"&amp;'Prepare Gantt Chart'!N94)</f>
        <v>31/12/1900</v>
      </c>
      <c r="JM5" s="85">
        <f>'Prepare Gantt Chart'!I94</f>
        <v>1</v>
      </c>
      <c r="JN5" s="84" t="str">
        <f>IF('Prepare Gantt Chart'!H95="_","01/01/1900","01/01/"&amp;'Prepare Gantt Chart'!H95)</f>
        <v>01/01/1900</v>
      </c>
      <c r="JO5" s="84" t="str">
        <f>IF('Prepare Gantt Chart'!H95="_","31/12/1900","31/12/"&amp;'Prepare Gantt Chart'!N95)</f>
        <v>31/12/1900</v>
      </c>
      <c r="JP5" s="85">
        <f>'Prepare Gantt Chart'!I95</f>
        <v>1</v>
      </c>
      <c r="JQ5" s="84" t="str">
        <f>IF('Prepare Gantt Chart'!H96="_","01/01/1900","01/01/"&amp;'Prepare Gantt Chart'!H96)</f>
        <v>01/01/1900</v>
      </c>
      <c r="JR5" s="84" t="str">
        <f>IF('Prepare Gantt Chart'!H96="_","31/12/1900","31/12/"&amp;'Prepare Gantt Chart'!N96)</f>
        <v>31/12/1900</v>
      </c>
      <c r="JS5" s="85">
        <f>'Prepare Gantt Chart'!I96</f>
        <v>1</v>
      </c>
      <c r="JT5" s="84" t="str">
        <f>IF('Prepare Gantt Chart'!H97="_","01/01/1900","01/01/"&amp;'Prepare Gantt Chart'!H97)</f>
        <v>01/01/1900</v>
      </c>
      <c r="JU5" s="84" t="str">
        <f>IF('Prepare Gantt Chart'!H97="_","31/12/1900","31/12/"&amp;'Prepare Gantt Chart'!N97)</f>
        <v>31/12/1900</v>
      </c>
      <c r="JV5" s="85">
        <f>'Prepare Gantt Chart'!I97</f>
        <v>1</v>
      </c>
      <c r="JW5" s="84" t="str">
        <f>IF('Prepare Gantt Chart'!H98="_","01/01/1900","01/01/"&amp;'Prepare Gantt Chart'!H98)</f>
        <v>01/01/1900</v>
      </c>
      <c r="JX5" s="84" t="str">
        <f>IF('Prepare Gantt Chart'!H98="_","31/12/1900","31/12/"&amp;'Prepare Gantt Chart'!N98)</f>
        <v>31/12/1900</v>
      </c>
      <c r="JY5" s="85">
        <f>'Prepare Gantt Chart'!I98</f>
        <v>0.01</v>
      </c>
      <c r="JZ5" s="84" t="str">
        <f>IF('Prepare Gantt Chart'!H99="_","01/01/1900","01/01/"&amp;'Prepare Gantt Chart'!H99)</f>
        <v>01/01/1900</v>
      </c>
      <c r="KA5" s="84" t="str">
        <f>IF('Prepare Gantt Chart'!H99="_","31/12/1900","31/12/"&amp;'Prepare Gantt Chart'!N99)</f>
        <v>31/12/1900</v>
      </c>
      <c r="KB5" s="85">
        <f>'Prepare Gantt Chart'!I99</f>
        <v>1</v>
      </c>
      <c r="KC5" s="84" t="str">
        <f>IF('Prepare Gantt Chart'!H100="_","01/01/1900","01/01/"&amp;'Prepare Gantt Chart'!H100)</f>
        <v>01/01/1900</v>
      </c>
      <c r="KD5" s="84" t="str">
        <f>IF('Prepare Gantt Chart'!H100="_","31/12/1900","31/12/"&amp;'Prepare Gantt Chart'!N100)</f>
        <v>31/12/1900</v>
      </c>
      <c r="KE5" s="85">
        <f>'Prepare Gantt Chart'!I100</f>
        <v>1</v>
      </c>
      <c r="KF5" s="84" t="str">
        <f>IF('Prepare Gantt Chart'!H101="_","01/01/1900","01/01/"&amp;'Prepare Gantt Chart'!H101)</f>
        <v>01/01/1900</v>
      </c>
      <c r="KG5" s="84" t="str">
        <f>IF('Prepare Gantt Chart'!H101="_","31/12/1900","31/12/"&amp;'Prepare Gantt Chart'!N101)</f>
        <v>31/12/1900</v>
      </c>
      <c r="KH5" s="85">
        <f>'Prepare Gantt Chart'!I101</f>
        <v>1</v>
      </c>
      <c r="KI5" s="84" t="str">
        <f>IF('Prepare Gantt Chart'!H102="_","01/01/1900","01/01/"&amp;'Prepare Gantt Chart'!H102)</f>
        <v>01/01/1900</v>
      </c>
      <c r="KJ5" s="84" t="str">
        <f>IF('Prepare Gantt Chart'!H102="_","31/12/1900","31/12/"&amp;'Prepare Gantt Chart'!N102)</f>
        <v>31/12/1900</v>
      </c>
      <c r="KK5" s="85">
        <f>'Prepare Gantt Chart'!I102</f>
        <v>0.01</v>
      </c>
      <c r="KL5" s="84" t="str">
        <f>IF('Prepare Gantt Chart'!H103="_","01/01/1900","01/01/"&amp;'Prepare Gantt Chart'!H103)</f>
        <v>01/01/1900</v>
      </c>
      <c r="KM5" s="84" t="str">
        <f>IF('Prepare Gantt Chart'!H103="_","31/12/1900","31/12/"&amp;'Prepare Gantt Chart'!N103)</f>
        <v>31/12/1900</v>
      </c>
      <c r="KN5" s="85">
        <f>'Prepare Gantt Chart'!I103</f>
        <v>0.01</v>
      </c>
      <c r="KO5" s="84" t="str">
        <f>IF('Prepare Gantt Chart'!H104="_","01/01/1900","01/01/"&amp;'Prepare Gantt Chart'!H104)</f>
        <v>01/01/1900</v>
      </c>
      <c r="KP5" s="84" t="str">
        <f>IF('Prepare Gantt Chart'!H104="_","31/12/1900","31/12/"&amp;'Prepare Gantt Chart'!N104)</f>
        <v>31/12/1900</v>
      </c>
      <c r="KQ5" s="85">
        <f>'Prepare Gantt Chart'!I104</f>
        <v>0.01</v>
      </c>
      <c r="KR5" s="84" t="str">
        <f>IF('Prepare Gantt Chart'!H105="_","01/01/1900","01/01/"&amp;'Prepare Gantt Chart'!H105)</f>
        <v>01/01/1900</v>
      </c>
      <c r="KS5" s="84" t="str">
        <f>IF('Prepare Gantt Chart'!H105="_","31/12/1900","31/12/"&amp;'Prepare Gantt Chart'!N105)</f>
        <v>31/12/1900</v>
      </c>
      <c r="KT5" s="85">
        <f>'Prepare Gantt Chart'!I105</f>
        <v>0.2</v>
      </c>
      <c r="KU5" s="84" t="str">
        <f>IF('Prepare Gantt Chart'!H106="_","01/01/1900","01/01/"&amp;'Prepare Gantt Chart'!H106)</f>
        <v>01/01/1900</v>
      </c>
      <c r="KV5" s="84" t="str">
        <f>IF('Prepare Gantt Chart'!H106="_","31/12/1900","31/12/"&amp;'Prepare Gantt Chart'!N106)</f>
        <v>31/12/1900</v>
      </c>
      <c r="KW5" s="85">
        <f>'Prepare Gantt Chart'!I106</f>
        <v>1</v>
      </c>
      <c r="KX5" s="84" t="str">
        <f>IF('Prepare Gantt Chart'!H107="_","01/01/1900","01/01/"&amp;'Prepare Gantt Chart'!H107)</f>
        <v>01/01/1900</v>
      </c>
      <c r="KY5" s="84" t="str">
        <f>IF('Prepare Gantt Chart'!H107="_","31/12/1900","31/12/"&amp;'Prepare Gantt Chart'!N107)</f>
        <v>31/12/1900</v>
      </c>
      <c r="KZ5" s="85">
        <f>'Prepare Gantt Chart'!I107</f>
        <v>0.01</v>
      </c>
      <c r="LA5" s="84" t="str">
        <f>IF('Prepare Gantt Chart'!H108="_","01/01/1900","01/01/"&amp;'Prepare Gantt Chart'!H108)</f>
        <v>01/01/1900</v>
      </c>
      <c r="LB5" s="84" t="str">
        <f>IF('Prepare Gantt Chart'!H108="_","31/12/1900","31/12/"&amp;'Prepare Gantt Chart'!N108)</f>
        <v>31/12/1900</v>
      </c>
      <c r="LC5" s="85">
        <f>'Prepare Gantt Chart'!I108</f>
        <v>0.01</v>
      </c>
      <c r="LD5" s="84" t="str">
        <f>IF('Prepare Gantt Chart'!H109="_","01/01/1900","01/01/"&amp;'Prepare Gantt Chart'!H109)</f>
        <v>01/01/1900</v>
      </c>
      <c r="LE5" s="84" t="str">
        <f>IF('Prepare Gantt Chart'!H109="_","31/12/1900","31/12/"&amp;'Prepare Gantt Chart'!N109)</f>
        <v>31/12/1900</v>
      </c>
      <c r="LF5" s="85">
        <f>'Prepare Gantt Chart'!I109</f>
        <v>1</v>
      </c>
      <c r="LG5" s="84" t="str">
        <f>IF('Prepare Gantt Chart'!H110="_","01/01/1900","01/01/"&amp;'Prepare Gantt Chart'!H110)</f>
        <v>01/01/1900</v>
      </c>
      <c r="LH5" s="84" t="str">
        <f>IF('Prepare Gantt Chart'!H110="_","31/12/1900","31/12/"&amp;'Prepare Gantt Chart'!N110)</f>
        <v>31/12/1900</v>
      </c>
      <c r="LI5" s="85">
        <f>'Prepare Gantt Chart'!I110</f>
        <v>0.01</v>
      </c>
      <c r="LJ5" s="84" t="str">
        <f>IF('Prepare Gantt Chart'!H111="_","01/01/1900","01/01/"&amp;'Prepare Gantt Chart'!H111)</f>
        <v>01/01/1900</v>
      </c>
      <c r="LK5" s="84" t="str">
        <f>IF('Prepare Gantt Chart'!H111="_","31/12/1900","31/12/"&amp;'Prepare Gantt Chart'!N111)</f>
        <v>31/12/1900</v>
      </c>
      <c r="LL5" s="85">
        <f>'Prepare Gantt Chart'!I111</f>
        <v>1</v>
      </c>
      <c r="LM5" s="84" t="str">
        <f>IF('Prepare Gantt Chart'!H112="_","01/01/1900","01/01/"&amp;'Prepare Gantt Chart'!H112)</f>
        <v>01/01/1900</v>
      </c>
      <c r="LN5" s="84" t="str">
        <f>IF('Prepare Gantt Chart'!H112="_","31/12/1900","31/12/"&amp;'Prepare Gantt Chart'!N112)</f>
        <v>31/12/1900</v>
      </c>
      <c r="LO5" s="85">
        <f>'Prepare Gantt Chart'!I112</f>
        <v>0.1</v>
      </c>
      <c r="LP5" s="84" t="str">
        <f>IF('Prepare Gantt Chart'!H113="_","01/01/1900","01/01/"&amp;'Prepare Gantt Chart'!H113)</f>
        <v>01/01/1900</v>
      </c>
      <c r="LQ5" s="84" t="str">
        <f>IF('Prepare Gantt Chart'!H113="_","31/12/1900","31/12/"&amp;'Prepare Gantt Chart'!N113)</f>
        <v>31/12/1900</v>
      </c>
      <c r="LR5" s="85">
        <f>'Prepare Gantt Chart'!I113</f>
        <v>1</v>
      </c>
      <c r="LS5" s="84" t="str">
        <f>IF('Prepare Gantt Chart'!H114="_","01/01/1900","01/01/"&amp;'Prepare Gantt Chart'!H114)</f>
        <v>01/01/1900</v>
      </c>
      <c r="LT5" s="84" t="str">
        <f>IF('Prepare Gantt Chart'!H114="_","31/12/1900","31/12/"&amp;'Prepare Gantt Chart'!N114)</f>
        <v>31/12/1900</v>
      </c>
      <c r="LU5" s="85">
        <f>'Prepare Gantt Chart'!I114</f>
        <v>1</v>
      </c>
      <c r="LV5" s="84" t="str">
        <f>IF('Prepare Gantt Chart'!H115="_","01/01/1900","01/01/"&amp;'Prepare Gantt Chart'!H115)</f>
        <v>01/01/1900</v>
      </c>
      <c r="LW5" s="84" t="str">
        <f>IF('Prepare Gantt Chart'!H115="_","31/12/1900","31/12/"&amp;'Prepare Gantt Chart'!N115)</f>
        <v>31/12/1900</v>
      </c>
      <c r="LX5" s="85">
        <f>'Prepare Gantt Chart'!I115</f>
        <v>1</v>
      </c>
      <c r="LY5" s="84" t="str">
        <f>IF('Prepare Gantt Chart'!H116="_","01/01/1900","01/01/"&amp;'Prepare Gantt Chart'!H116)</f>
        <v>01/01/1900</v>
      </c>
      <c r="LZ5" s="84" t="str">
        <f>IF('Prepare Gantt Chart'!H116="_","31/12/1900","31/12/"&amp;'Prepare Gantt Chart'!N116)</f>
        <v>31/12/1900</v>
      </c>
      <c r="MA5" s="85">
        <f>'Prepare Gantt Chart'!I116</f>
        <v>1</v>
      </c>
      <c r="MB5" s="84" t="str">
        <f>IF('Prepare Gantt Chart'!H117="_","01/01/1900","01/01/"&amp;'Prepare Gantt Chart'!H117)</f>
        <v>01/01/1900</v>
      </c>
      <c r="MC5" s="84" t="str">
        <f>IF('Prepare Gantt Chart'!H117="_","31/12/1900","31/12/"&amp;'Prepare Gantt Chart'!N117)</f>
        <v>31/12/1900</v>
      </c>
      <c r="MD5" s="85">
        <f>'Prepare Gantt Chart'!I117</f>
        <v>1</v>
      </c>
      <c r="ME5" s="84" t="str">
        <f>IF('Prepare Gantt Chart'!H118="_","01/01/1900","01/01/"&amp;'Prepare Gantt Chart'!H118)</f>
        <v>01/01/1900</v>
      </c>
      <c r="MF5" s="84" t="str">
        <f>IF('Prepare Gantt Chart'!H118="_","31/12/1900","31/12/"&amp;'Prepare Gantt Chart'!N118)</f>
        <v>31/12/1900</v>
      </c>
      <c r="MG5" s="85">
        <f>'Prepare Gantt Chart'!I118</f>
        <v>1</v>
      </c>
      <c r="MH5" s="84" t="str">
        <f>IF('Prepare Gantt Chart'!H119="_","01/01/1900","01/01/"&amp;'Prepare Gantt Chart'!H119)</f>
        <v>01/01/1900</v>
      </c>
      <c r="MI5" s="84" t="str">
        <f>IF('Prepare Gantt Chart'!H119="_","31/12/1900","31/12/"&amp;'Prepare Gantt Chart'!N119)</f>
        <v>31/12/1900</v>
      </c>
      <c r="MJ5" s="85">
        <f>'Prepare Gantt Chart'!I119</f>
        <v>1</v>
      </c>
      <c r="MK5" s="84" t="str">
        <f>IF('Prepare Gantt Chart'!H120="_","01/01/1900","01/01/"&amp;'Prepare Gantt Chart'!H120)</f>
        <v>01/01/1900</v>
      </c>
      <c r="ML5" s="84" t="str">
        <f>IF('Prepare Gantt Chart'!H120="_","31/12/1900","31/12/"&amp;'Prepare Gantt Chart'!N120)</f>
        <v>31/12/1900</v>
      </c>
      <c r="MM5" s="85">
        <f>'Prepare Gantt Chart'!I120</f>
        <v>1</v>
      </c>
      <c r="MN5" s="84" t="str">
        <f>IF('Prepare Gantt Chart'!H121="_","01/01/1900","01/01/"&amp;'Prepare Gantt Chart'!H121)</f>
        <v>01/01/1900</v>
      </c>
      <c r="MO5" s="84" t="str">
        <f>IF('Prepare Gantt Chart'!H121="_","31/12/1900","31/12/"&amp;'Prepare Gantt Chart'!N121)</f>
        <v>31/12/1900</v>
      </c>
      <c r="MP5" s="85">
        <f>'Prepare Gantt Chart'!I121</f>
        <v>1</v>
      </c>
    </row>
    <row r="8" spans="1:354" x14ac:dyDescent="0.2">
      <c r="A8" s="82" t="s">
        <v>672</v>
      </c>
      <c r="B8" s="82" t="s">
        <v>654</v>
      </c>
      <c r="C8" s="82" t="s">
        <v>655</v>
      </c>
      <c r="D8" s="82" t="s">
        <v>790</v>
      </c>
      <c r="E8" s="82" t="s">
        <v>791</v>
      </c>
      <c r="F8" s="82" t="s">
        <v>792</v>
      </c>
      <c r="G8" s="82" t="s">
        <v>793</v>
      </c>
      <c r="H8" s="82" t="s">
        <v>794</v>
      </c>
      <c r="I8" s="82" t="s">
        <v>795</v>
      </c>
      <c r="J8" s="82" t="s">
        <v>796</v>
      </c>
      <c r="K8" s="82" t="s">
        <v>797</v>
      </c>
      <c r="L8" s="82" t="s">
        <v>798</v>
      </c>
      <c r="M8" s="82" t="s">
        <v>799</v>
      </c>
      <c r="N8" s="82" t="s">
        <v>800</v>
      </c>
      <c r="O8" s="82" t="s">
        <v>801</v>
      </c>
      <c r="P8" s="82" t="s">
        <v>802</v>
      </c>
      <c r="Q8" s="82" t="s">
        <v>803</v>
      </c>
      <c r="R8" s="82" t="s">
        <v>804</v>
      </c>
      <c r="S8" s="82" t="s">
        <v>805</v>
      </c>
      <c r="T8" s="82" t="s">
        <v>806</v>
      </c>
      <c r="U8" s="82" t="s">
        <v>807</v>
      </c>
      <c r="V8" s="82" t="s">
        <v>808</v>
      </c>
      <c r="W8" s="82" t="s">
        <v>809</v>
      </c>
      <c r="X8" s="82" t="s">
        <v>810</v>
      </c>
      <c r="Y8" s="82" t="s">
        <v>811</v>
      </c>
      <c r="Z8" s="82" t="s">
        <v>812</v>
      </c>
      <c r="AA8" s="82" t="s">
        <v>813</v>
      </c>
      <c r="AB8" s="82" t="s">
        <v>814</v>
      </c>
      <c r="AC8" s="82" t="s">
        <v>815</v>
      </c>
      <c r="AD8" s="82" t="s">
        <v>816</v>
      </c>
      <c r="AE8" s="82" t="s">
        <v>817</v>
      </c>
      <c r="AF8" s="82" t="s">
        <v>818</v>
      </c>
      <c r="AG8" s="82" t="s">
        <v>819</v>
      </c>
      <c r="AH8" s="82" t="s">
        <v>820</v>
      </c>
      <c r="AI8" s="82" t="s">
        <v>821</v>
      </c>
      <c r="AJ8" s="82" t="s">
        <v>822</v>
      </c>
      <c r="AK8" s="82" t="s">
        <v>823</v>
      </c>
      <c r="AL8" s="82" t="s">
        <v>824</v>
      </c>
      <c r="AM8" s="82" t="s">
        <v>825</v>
      </c>
      <c r="AN8" s="82" t="s">
        <v>826</v>
      </c>
      <c r="AO8" s="82" t="s">
        <v>827</v>
      </c>
      <c r="AP8" s="82" t="s">
        <v>828</v>
      </c>
      <c r="AQ8" s="82" t="s">
        <v>829</v>
      </c>
      <c r="AR8" s="82" t="s">
        <v>830</v>
      </c>
      <c r="AS8" s="82" t="s">
        <v>831</v>
      </c>
      <c r="AT8" s="82" t="s">
        <v>832</v>
      </c>
      <c r="AU8" s="82" t="s">
        <v>833</v>
      </c>
      <c r="AV8" s="82" t="s">
        <v>834</v>
      </c>
      <c r="AW8" s="82" t="s">
        <v>835</v>
      </c>
      <c r="AX8" s="82" t="s">
        <v>836</v>
      </c>
      <c r="AY8" s="82" t="s">
        <v>837</v>
      </c>
      <c r="AZ8" s="82" t="s">
        <v>838</v>
      </c>
      <c r="BA8" s="82" t="s">
        <v>839</v>
      </c>
      <c r="BB8" s="82" t="s">
        <v>840</v>
      </c>
      <c r="BC8" s="82" t="s">
        <v>841</v>
      </c>
      <c r="BD8" s="82" t="s">
        <v>842</v>
      </c>
      <c r="BE8" s="82" t="s">
        <v>843</v>
      </c>
      <c r="BF8" s="82" t="s">
        <v>844</v>
      </c>
      <c r="BG8" s="82" t="s">
        <v>845</v>
      </c>
      <c r="BH8" s="82" t="s">
        <v>846</v>
      </c>
      <c r="BI8" s="82" t="s">
        <v>847</v>
      </c>
      <c r="BJ8" s="82" t="s">
        <v>848</v>
      </c>
      <c r="BK8" s="82" t="s">
        <v>849</v>
      </c>
      <c r="BL8" s="82" t="s">
        <v>850</v>
      </c>
      <c r="BM8" s="82" t="s">
        <v>851</v>
      </c>
      <c r="BN8" s="82" t="s">
        <v>852</v>
      </c>
      <c r="BO8" s="82" t="s">
        <v>853</v>
      </c>
      <c r="BP8" s="82" t="s">
        <v>854</v>
      </c>
      <c r="BQ8" s="82" t="s">
        <v>855</v>
      </c>
      <c r="BR8" s="82" t="s">
        <v>856</v>
      </c>
      <c r="BS8" s="82" t="s">
        <v>857</v>
      </c>
      <c r="BT8" s="82" t="s">
        <v>858</v>
      </c>
      <c r="BU8" s="82" t="s">
        <v>859</v>
      </c>
      <c r="BV8" s="82" t="s">
        <v>860</v>
      </c>
      <c r="BW8" s="82" t="s">
        <v>861</v>
      </c>
      <c r="BX8" s="82" t="s">
        <v>862</v>
      </c>
      <c r="BY8" s="82" t="s">
        <v>863</v>
      </c>
      <c r="BZ8" s="82" t="s">
        <v>864</v>
      </c>
      <c r="CA8" s="82" t="s">
        <v>865</v>
      </c>
      <c r="CB8" s="82" t="s">
        <v>866</v>
      </c>
      <c r="CC8" s="82" t="s">
        <v>867</v>
      </c>
      <c r="CD8" s="82" t="s">
        <v>868</v>
      </c>
      <c r="CE8" s="82" t="s">
        <v>869</v>
      </c>
      <c r="CF8" s="82" t="s">
        <v>870</v>
      </c>
      <c r="CG8" s="82" t="s">
        <v>871</v>
      </c>
      <c r="CH8" s="82" t="s">
        <v>872</v>
      </c>
      <c r="CI8" s="82" t="s">
        <v>873</v>
      </c>
      <c r="CJ8" s="82" t="s">
        <v>874</v>
      </c>
      <c r="CK8" s="82" t="s">
        <v>875</v>
      </c>
      <c r="CL8" s="82" t="s">
        <v>876</v>
      </c>
      <c r="CM8" s="82" t="s">
        <v>877</v>
      </c>
      <c r="CN8" s="82" t="s">
        <v>878</v>
      </c>
      <c r="CO8" s="82" t="s">
        <v>879</v>
      </c>
      <c r="CP8" s="82" t="s">
        <v>880</v>
      </c>
      <c r="CQ8" s="82" t="s">
        <v>881</v>
      </c>
      <c r="CR8" s="82" t="s">
        <v>882</v>
      </c>
      <c r="CS8" s="82" t="s">
        <v>883</v>
      </c>
      <c r="CT8" s="82" t="s">
        <v>884</v>
      </c>
      <c r="CU8" s="82" t="s">
        <v>885</v>
      </c>
      <c r="CV8" s="82" t="s">
        <v>886</v>
      </c>
      <c r="CW8" s="82" t="s">
        <v>887</v>
      </c>
      <c r="CX8" s="82" t="s">
        <v>888</v>
      </c>
      <c r="CY8" s="82" t="s">
        <v>889</v>
      </c>
      <c r="CZ8" s="82" t="s">
        <v>890</v>
      </c>
      <c r="DA8" s="82" t="s">
        <v>891</v>
      </c>
      <c r="DB8" s="82" t="s">
        <v>892</v>
      </c>
      <c r="DC8" s="82" t="s">
        <v>893</v>
      </c>
      <c r="DD8" s="82" t="s">
        <v>894</v>
      </c>
      <c r="DE8" s="82" t="s">
        <v>895</v>
      </c>
      <c r="DF8" s="82" t="s">
        <v>896</v>
      </c>
      <c r="DG8" s="82" t="s">
        <v>897</v>
      </c>
      <c r="DH8" s="82" t="s">
        <v>898</v>
      </c>
      <c r="DI8" s="82" t="s">
        <v>899</v>
      </c>
      <c r="DJ8" s="82" t="s">
        <v>900</v>
      </c>
      <c r="DK8" s="82" t="s">
        <v>901</v>
      </c>
      <c r="DL8" s="82" t="s">
        <v>902</v>
      </c>
      <c r="DM8" s="82" t="s">
        <v>903</v>
      </c>
      <c r="DN8" s="82" t="s">
        <v>904</v>
      </c>
      <c r="DO8" s="82" t="s">
        <v>905</v>
      </c>
      <c r="DP8" s="82" t="s">
        <v>906</v>
      </c>
      <c r="DQ8" s="82" t="s">
        <v>673</v>
      </c>
      <c r="DR8" s="82" t="s">
        <v>674</v>
      </c>
      <c r="DS8" s="82" t="s">
        <v>675</v>
      </c>
      <c r="DT8" s="82" t="s">
        <v>676</v>
      </c>
      <c r="DU8" s="82" t="s">
        <v>677</v>
      </c>
      <c r="DV8" s="82" t="s">
        <v>678</v>
      </c>
      <c r="DW8" s="82" t="s">
        <v>679</v>
      </c>
      <c r="DX8" s="82" t="s">
        <v>680</v>
      </c>
      <c r="DY8" s="82" t="s">
        <v>681</v>
      </c>
      <c r="DZ8" s="82" t="s">
        <v>682</v>
      </c>
      <c r="EA8" s="82" t="s">
        <v>683</v>
      </c>
      <c r="EB8" s="82" t="s">
        <v>684</v>
      </c>
      <c r="EC8" s="82" t="s">
        <v>685</v>
      </c>
      <c r="ED8" s="82" t="s">
        <v>686</v>
      </c>
      <c r="EE8" s="82" t="s">
        <v>687</v>
      </c>
      <c r="EF8" s="82" t="s">
        <v>688</v>
      </c>
      <c r="EG8" s="82" t="s">
        <v>689</v>
      </c>
      <c r="EH8" s="82" t="s">
        <v>690</v>
      </c>
      <c r="EI8" s="82" t="s">
        <v>691</v>
      </c>
      <c r="EJ8" s="82" t="s">
        <v>692</v>
      </c>
      <c r="EK8" s="82" t="s">
        <v>693</v>
      </c>
      <c r="EL8" s="82" t="s">
        <v>694</v>
      </c>
      <c r="EM8" s="82" t="s">
        <v>695</v>
      </c>
      <c r="EN8" s="82" t="s">
        <v>696</v>
      </c>
      <c r="EO8" s="82" t="s">
        <v>697</v>
      </c>
      <c r="EP8" s="82" t="s">
        <v>698</v>
      </c>
      <c r="EQ8" s="82" t="s">
        <v>699</v>
      </c>
      <c r="ER8" s="82" t="s">
        <v>700</v>
      </c>
      <c r="ES8" s="82" t="s">
        <v>701</v>
      </c>
      <c r="ET8" s="82" t="s">
        <v>702</v>
      </c>
      <c r="EU8" s="82" t="s">
        <v>703</v>
      </c>
      <c r="EV8" s="82" t="s">
        <v>704</v>
      </c>
      <c r="EW8" s="82" t="s">
        <v>705</v>
      </c>
      <c r="EX8" s="82" t="s">
        <v>706</v>
      </c>
      <c r="EY8" s="82" t="s">
        <v>707</v>
      </c>
      <c r="EZ8" s="82" t="s">
        <v>708</v>
      </c>
      <c r="FA8" s="82" t="s">
        <v>709</v>
      </c>
      <c r="FB8" s="82" t="s">
        <v>710</v>
      </c>
      <c r="FC8" s="82" t="s">
        <v>711</v>
      </c>
      <c r="FD8" s="82" t="s">
        <v>712</v>
      </c>
      <c r="FE8" s="82" t="s">
        <v>713</v>
      </c>
      <c r="FF8" s="82" t="s">
        <v>714</v>
      </c>
      <c r="FG8" s="82" t="s">
        <v>715</v>
      </c>
      <c r="FH8" s="82" t="s">
        <v>716</v>
      </c>
      <c r="FI8" s="82" t="s">
        <v>717</v>
      </c>
      <c r="FJ8" s="82" t="s">
        <v>718</v>
      </c>
      <c r="FK8" s="82" t="s">
        <v>719</v>
      </c>
      <c r="FL8" s="82" t="s">
        <v>720</v>
      </c>
      <c r="FM8" s="82" t="s">
        <v>721</v>
      </c>
      <c r="FN8" s="82" t="s">
        <v>722</v>
      </c>
      <c r="FO8" s="82" t="s">
        <v>723</v>
      </c>
      <c r="FP8" s="82" t="s">
        <v>724</v>
      </c>
      <c r="FQ8" s="82" t="s">
        <v>725</v>
      </c>
      <c r="FR8" s="82" t="s">
        <v>726</v>
      </c>
      <c r="FS8" s="82" t="s">
        <v>727</v>
      </c>
      <c r="FT8" s="82" t="s">
        <v>728</v>
      </c>
      <c r="FU8" s="82" t="s">
        <v>729</v>
      </c>
      <c r="FV8" s="82" t="s">
        <v>730</v>
      </c>
      <c r="FW8" s="82" t="s">
        <v>731</v>
      </c>
      <c r="FX8" s="82" t="s">
        <v>732</v>
      </c>
      <c r="FY8" s="82" t="s">
        <v>733</v>
      </c>
      <c r="FZ8" s="82" t="s">
        <v>734</v>
      </c>
      <c r="GA8" s="82" t="s">
        <v>735</v>
      </c>
      <c r="GB8" s="82" t="s">
        <v>736</v>
      </c>
      <c r="GC8" s="82" t="s">
        <v>737</v>
      </c>
      <c r="GD8" s="82" t="s">
        <v>738</v>
      </c>
      <c r="GE8" s="82" t="s">
        <v>739</v>
      </c>
      <c r="GF8" s="82" t="s">
        <v>740</v>
      </c>
      <c r="GG8" s="82" t="s">
        <v>741</v>
      </c>
      <c r="GH8" s="82" t="s">
        <v>742</v>
      </c>
      <c r="GI8" s="82" t="s">
        <v>743</v>
      </c>
      <c r="GJ8" s="82" t="s">
        <v>744</v>
      </c>
      <c r="GK8" s="82" t="s">
        <v>745</v>
      </c>
      <c r="GL8" s="82" t="s">
        <v>746</v>
      </c>
      <c r="GM8" s="82" t="s">
        <v>747</v>
      </c>
      <c r="GN8" s="82" t="s">
        <v>748</v>
      </c>
      <c r="GO8" s="82" t="s">
        <v>749</v>
      </c>
      <c r="GP8" s="82" t="s">
        <v>750</v>
      </c>
      <c r="GQ8" s="82" t="s">
        <v>751</v>
      </c>
      <c r="GR8" s="82" t="s">
        <v>752</v>
      </c>
      <c r="GS8" s="82" t="s">
        <v>753</v>
      </c>
      <c r="GT8" s="82" t="s">
        <v>754</v>
      </c>
      <c r="GU8" s="82" t="s">
        <v>755</v>
      </c>
      <c r="GV8" s="82" t="s">
        <v>756</v>
      </c>
      <c r="GW8" s="82" t="s">
        <v>757</v>
      </c>
      <c r="GX8" s="82" t="s">
        <v>758</v>
      </c>
      <c r="GY8" s="82" t="s">
        <v>759</v>
      </c>
      <c r="GZ8" s="82" t="s">
        <v>760</v>
      </c>
      <c r="HA8" s="82" t="s">
        <v>761</v>
      </c>
      <c r="HB8" s="82" t="s">
        <v>762</v>
      </c>
      <c r="HC8" s="82" t="s">
        <v>763</v>
      </c>
      <c r="HD8" s="82" t="s">
        <v>764</v>
      </c>
      <c r="HE8" s="82" t="s">
        <v>765</v>
      </c>
      <c r="HF8" s="82" t="s">
        <v>766</v>
      </c>
      <c r="HG8" s="82" t="s">
        <v>767</v>
      </c>
      <c r="HH8" s="82" t="s">
        <v>768</v>
      </c>
      <c r="HI8" s="82" t="s">
        <v>769</v>
      </c>
      <c r="HJ8" s="82" t="s">
        <v>770</v>
      </c>
      <c r="HK8" s="82" t="s">
        <v>771</v>
      </c>
      <c r="HL8" s="82" t="s">
        <v>772</v>
      </c>
      <c r="HM8" s="82" t="s">
        <v>773</v>
      </c>
      <c r="HN8" s="82" t="s">
        <v>774</v>
      </c>
      <c r="HO8" s="82" t="s">
        <v>775</v>
      </c>
      <c r="HP8" s="82" t="s">
        <v>776</v>
      </c>
      <c r="HQ8" s="82" t="s">
        <v>777</v>
      </c>
      <c r="HR8" s="82" t="s">
        <v>778</v>
      </c>
      <c r="HS8" s="82" t="s">
        <v>779</v>
      </c>
      <c r="HT8" s="82" t="s">
        <v>780</v>
      </c>
      <c r="HU8" s="82" t="s">
        <v>781</v>
      </c>
      <c r="HV8" s="82" t="s">
        <v>782</v>
      </c>
      <c r="HW8" s="82" t="s">
        <v>783</v>
      </c>
      <c r="HX8" s="82" t="s">
        <v>784</v>
      </c>
      <c r="HY8" s="82" t="s">
        <v>785</v>
      </c>
      <c r="HZ8" s="82" t="s">
        <v>786</v>
      </c>
      <c r="IA8" s="82" t="s">
        <v>787</v>
      </c>
      <c r="IB8" s="82" t="s">
        <v>788</v>
      </c>
      <c r="IC8" s="82" t="s">
        <v>789</v>
      </c>
    </row>
    <row r="9" spans="1:354" x14ac:dyDescent="0.2">
      <c r="A9" s="83">
        <f>A5</f>
        <v>0</v>
      </c>
      <c r="B9" s="83" t="str">
        <f ca="1">B5</f>
        <v>Gantt chart GLG_v3.00_March 11 2026 - CLEAN.xlsx</v>
      </c>
      <c r="C9" s="83">
        <f>C5</f>
        <v>0</v>
      </c>
      <c r="D9" s="85">
        <f>AC16</f>
        <v>0</v>
      </c>
      <c r="E9" s="85">
        <f>AC17</f>
        <v>0</v>
      </c>
      <c r="F9" s="85">
        <f>AC18</f>
        <v>0</v>
      </c>
      <c r="G9" s="85">
        <f>AC19</f>
        <v>0</v>
      </c>
      <c r="H9" s="85">
        <f>AC20</f>
        <v>0</v>
      </c>
      <c r="I9" s="85">
        <f>AC21</f>
        <v>0</v>
      </c>
      <c r="J9" s="85">
        <f>AC22</f>
        <v>0</v>
      </c>
      <c r="K9" s="85">
        <f>AC23</f>
        <v>0</v>
      </c>
      <c r="L9" s="85">
        <f>AC24</f>
        <v>0</v>
      </c>
      <c r="M9" s="85">
        <f>AC25</f>
        <v>0</v>
      </c>
      <c r="N9" s="85">
        <f>AC26</f>
        <v>0</v>
      </c>
      <c r="O9" s="85">
        <f>AC27</f>
        <v>0</v>
      </c>
      <c r="P9" s="85">
        <f>AC28</f>
        <v>0</v>
      </c>
      <c r="Q9" s="85">
        <f>AC29</f>
        <v>0</v>
      </c>
      <c r="R9" s="85">
        <f>AC30</f>
        <v>0</v>
      </c>
      <c r="S9" s="85">
        <f>AC31</f>
        <v>0</v>
      </c>
      <c r="T9" s="85">
        <f>AC32</f>
        <v>0</v>
      </c>
      <c r="U9" s="85">
        <f>AC33</f>
        <v>0</v>
      </c>
      <c r="V9" s="85">
        <f>AC34</f>
        <v>0</v>
      </c>
      <c r="W9" s="85">
        <f>AC35</f>
        <v>0</v>
      </c>
      <c r="X9" s="85">
        <f>AC36</f>
        <v>0</v>
      </c>
      <c r="Y9" s="85">
        <f>AC37</f>
        <v>0</v>
      </c>
      <c r="Z9" s="85">
        <f>AC38</f>
        <v>0</v>
      </c>
      <c r="AA9" s="85">
        <f>AC39</f>
        <v>0</v>
      </c>
      <c r="AB9" s="85">
        <f>AC40</f>
        <v>0</v>
      </c>
      <c r="AC9" s="85">
        <f>AC41</f>
        <v>0</v>
      </c>
      <c r="AD9" s="85">
        <f>AC42</f>
        <v>0</v>
      </c>
      <c r="AE9" s="85">
        <f>AC43</f>
        <v>0</v>
      </c>
      <c r="AF9" s="85">
        <f>AC44</f>
        <v>0</v>
      </c>
      <c r="AG9" s="85">
        <f>AC45</f>
        <v>0</v>
      </c>
      <c r="AH9" s="85">
        <f>AC46</f>
        <v>0</v>
      </c>
      <c r="AI9" s="85">
        <f>AC47</f>
        <v>0</v>
      </c>
      <c r="AJ9" s="85">
        <f>AC48</f>
        <v>0</v>
      </c>
      <c r="AK9" s="85">
        <f>AC49</f>
        <v>0</v>
      </c>
      <c r="AL9" s="85">
        <f>AC50</f>
        <v>0</v>
      </c>
      <c r="AM9" s="85">
        <f>AC51</f>
        <v>0</v>
      </c>
      <c r="AN9" s="85">
        <f>AC52</f>
        <v>0</v>
      </c>
      <c r="AO9" s="85">
        <f>AC53</f>
        <v>0</v>
      </c>
      <c r="AP9" s="85">
        <f>AC54</f>
        <v>0</v>
      </c>
      <c r="AQ9" s="85">
        <f>AC55</f>
        <v>0</v>
      </c>
      <c r="AR9" s="85">
        <f>AC56</f>
        <v>0</v>
      </c>
      <c r="AS9" s="85">
        <f>AC57</f>
        <v>0</v>
      </c>
      <c r="AT9" s="85">
        <f>AC58</f>
        <v>0</v>
      </c>
      <c r="AU9" s="85">
        <f>AC59</f>
        <v>0</v>
      </c>
      <c r="AV9" s="85">
        <f>AC60</f>
        <v>0</v>
      </c>
      <c r="AW9" s="85">
        <f>AC61</f>
        <v>0</v>
      </c>
      <c r="AX9" s="85">
        <f>AC62</f>
        <v>0</v>
      </c>
      <c r="AY9" s="85">
        <f>AC63</f>
        <v>0</v>
      </c>
      <c r="AZ9" s="85">
        <f>AC64</f>
        <v>0</v>
      </c>
      <c r="BA9" s="85">
        <f>AC65</f>
        <v>0</v>
      </c>
      <c r="BB9" s="85">
        <f>AC66</f>
        <v>0</v>
      </c>
      <c r="BC9" s="85">
        <f>AC67</f>
        <v>0</v>
      </c>
      <c r="BD9" s="85">
        <f>AC68</f>
        <v>0</v>
      </c>
      <c r="BE9" s="85">
        <f>AC69</f>
        <v>0</v>
      </c>
      <c r="BF9" s="85">
        <f>AC70</f>
        <v>0</v>
      </c>
      <c r="BG9" s="85">
        <f>AC71</f>
        <v>0</v>
      </c>
      <c r="BH9" s="85">
        <f>AC72</f>
        <v>0</v>
      </c>
      <c r="BI9" s="85">
        <f>AC73</f>
        <v>0</v>
      </c>
      <c r="BJ9" s="85">
        <f>AC74</f>
        <v>0</v>
      </c>
      <c r="BK9" s="85">
        <f>AC75</f>
        <v>0</v>
      </c>
      <c r="BL9" s="85">
        <f>AC76</f>
        <v>0</v>
      </c>
      <c r="BM9" s="85">
        <f>AC77</f>
        <v>0</v>
      </c>
      <c r="BN9" s="85">
        <f>AC78</f>
        <v>0</v>
      </c>
      <c r="BO9" s="85">
        <f>AC79</f>
        <v>0</v>
      </c>
      <c r="BP9" s="85">
        <f>AC80</f>
        <v>0</v>
      </c>
      <c r="BQ9" s="85">
        <f>AC81</f>
        <v>0</v>
      </c>
      <c r="BR9" s="85">
        <f>AC82</f>
        <v>0</v>
      </c>
      <c r="BS9" s="85">
        <f>AC83</f>
        <v>0</v>
      </c>
      <c r="BT9" s="85">
        <f>AC84</f>
        <v>0</v>
      </c>
      <c r="BU9" s="85">
        <f>AC85</f>
        <v>0</v>
      </c>
      <c r="BV9" s="85">
        <f>AC86</f>
        <v>0</v>
      </c>
      <c r="BW9" s="85">
        <f>AC87</f>
        <v>0</v>
      </c>
      <c r="BX9" s="85">
        <f>AC88</f>
        <v>0</v>
      </c>
      <c r="BY9" s="85">
        <f>AC89</f>
        <v>0</v>
      </c>
      <c r="BZ9" s="85">
        <f>AC90</f>
        <v>0</v>
      </c>
      <c r="CA9" s="85">
        <f>AC91</f>
        <v>0</v>
      </c>
      <c r="CB9" s="85">
        <f>AC92</f>
        <v>0</v>
      </c>
      <c r="CC9" s="85">
        <f>AC93</f>
        <v>0</v>
      </c>
      <c r="CD9" s="85">
        <f>AC94</f>
        <v>0</v>
      </c>
      <c r="CE9" s="85">
        <f>AC95</f>
        <v>0</v>
      </c>
      <c r="CF9" s="85">
        <f>AC96</f>
        <v>0</v>
      </c>
      <c r="CG9" s="85">
        <f>AC97</f>
        <v>0</v>
      </c>
      <c r="CH9" s="85">
        <f>AC98</f>
        <v>0</v>
      </c>
      <c r="CI9" s="85">
        <f>AC99</f>
        <v>0</v>
      </c>
      <c r="CJ9" s="85">
        <f>AC100</f>
        <v>0</v>
      </c>
      <c r="CK9" s="85">
        <f>AC101</f>
        <v>0</v>
      </c>
      <c r="CL9" s="85">
        <f>AC102</f>
        <v>0</v>
      </c>
      <c r="CM9" s="85">
        <f>AC103</f>
        <v>0</v>
      </c>
      <c r="CN9" s="85">
        <f>AC104</f>
        <v>0</v>
      </c>
      <c r="CO9" s="85">
        <f>AC105</f>
        <v>0</v>
      </c>
      <c r="CP9" s="85">
        <f>AC106</f>
        <v>0</v>
      </c>
      <c r="CQ9" s="85">
        <f>AC107</f>
        <v>0</v>
      </c>
      <c r="CR9" s="85">
        <f>AC108</f>
        <v>0</v>
      </c>
      <c r="CS9" s="85">
        <f>AC109</f>
        <v>0</v>
      </c>
      <c r="CT9" s="85">
        <f>AC110</f>
        <v>0</v>
      </c>
      <c r="CU9" s="85">
        <f>AC111</f>
        <v>0</v>
      </c>
      <c r="CV9" s="85">
        <f>AC112</f>
        <v>0</v>
      </c>
      <c r="CW9" s="85">
        <f>AC113</f>
        <v>0</v>
      </c>
      <c r="CX9" s="85">
        <f>AC114</f>
        <v>0</v>
      </c>
      <c r="CY9" s="85">
        <f>AC115</f>
        <v>0</v>
      </c>
      <c r="CZ9" s="85">
        <f>AC116</f>
        <v>0</v>
      </c>
      <c r="DA9" s="85">
        <f>AC117</f>
        <v>0</v>
      </c>
      <c r="DB9" s="85">
        <f>AC118</f>
        <v>0</v>
      </c>
      <c r="DC9" s="85">
        <f>AC119</f>
        <v>0</v>
      </c>
      <c r="DD9" s="85">
        <f>AC120</f>
        <v>0</v>
      </c>
      <c r="DE9" s="85">
        <f>AC121</f>
        <v>0</v>
      </c>
      <c r="DF9" s="85">
        <f>AC122</f>
        <v>0</v>
      </c>
      <c r="DG9" s="85">
        <f>AC123</f>
        <v>0</v>
      </c>
      <c r="DH9" s="85">
        <f>AC124</f>
        <v>0</v>
      </c>
      <c r="DI9" s="85">
        <f>AC125</f>
        <v>0</v>
      </c>
      <c r="DJ9" s="85">
        <f>AC126</f>
        <v>0</v>
      </c>
      <c r="DK9" s="85">
        <f>AC127</f>
        <v>0</v>
      </c>
      <c r="DL9" s="85">
        <f>AC128</f>
        <v>0</v>
      </c>
      <c r="DM9" s="85">
        <f>AC129</f>
        <v>0</v>
      </c>
      <c r="DN9" s="85">
        <f>AC130</f>
        <v>0</v>
      </c>
      <c r="DO9" s="85">
        <f>AC131</f>
        <v>0</v>
      </c>
      <c r="DP9" s="85">
        <f>AC132</f>
        <v>0</v>
      </c>
      <c r="DQ9" s="85">
        <f>BD16</f>
        <v>0</v>
      </c>
      <c r="DR9" s="85">
        <f>BD17</f>
        <v>0</v>
      </c>
      <c r="DS9" s="85">
        <f>BD18</f>
        <v>0</v>
      </c>
      <c r="DT9" s="85">
        <f>BD19</f>
        <v>0</v>
      </c>
      <c r="DU9" s="85">
        <f>BD20</f>
        <v>0</v>
      </c>
      <c r="DV9" s="85">
        <f>BD21</f>
        <v>0</v>
      </c>
      <c r="DW9" s="85">
        <f>BD22</f>
        <v>0</v>
      </c>
      <c r="DX9" s="85">
        <f>BD23</f>
        <v>0</v>
      </c>
      <c r="DY9" s="85">
        <f>BD24</f>
        <v>0</v>
      </c>
      <c r="DZ9" s="85">
        <f>BD25</f>
        <v>0</v>
      </c>
      <c r="EA9" s="85">
        <f>BD26</f>
        <v>0</v>
      </c>
      <c r="EB9" s="85">
        <f>BD27</f>
        <v>0</v>
      </c>
      <c r="EC9" s="85">
        <f>BD28</f>
        <v>0</v>
      </c>
      <c r="ED9" s="85">
        <f>BD29</f>
        <v>0</v>
      </c>
      <c r="EE9" s="85">
        <f>BD30</f>
        <v>0</v>
      </c>
      <c r="EF9" s="85">
        <f>BD31</f>
        <v>0</v>
      </c>
      <c r="EG9" s="85">
        <f>BD32</f>
        <v>0</v>
      </c>
      <c r="EH9" s="85">
        <f>BD33</f>
        <v>0</v>
      </c>
      <c r="EI9" s="85">
        <f>BD34</f>
        <v>0</v>
      </c>
      <c r="EJ9" s="85">
        <f>BD35</f>
        <v>0</v>
      </c>
      <c r="EK9" s="85">
        <f>BD36</f>
        <v>0</v>
      </c>
      <c r="EL9" s="85">
        <f>BD37</f>
        <v>0</v>
      </c>
      <c r="EM9" s="85">
        <f>BD38</f>
        <v>0</v>
      </c>
      <c r="EN9" s="85">
        <f>BD39</f>
        <v>0</v>
      </c>
      <c r="EO9" s="85">
        <f>BD40</f>
        <v>0</v>
      </c>
      <c r="EP9" s="85">
        <f>BD41</f>
        <v>0</v>
      </c>
      <c r="EQ9" s="85">
        <f>BD42</f>
        <v>0</v>
      </c>
      <c r="ER9" s="85">
        <f>BD43</f>
        <v>0</v>
      </c>
      <c r="ES9" s="85">
        <f>BD44</f>
        <v>0</v>
      </c>
      <c r="ET9" s="85">
        <f>BD45</f>
        <v>0</v>
      </c>
      <c r="EU9" s="85">
        <f>BD46</f>
        <v>0</v>
      </c>
      <c r="EV9" s="85">
        <f>BD47</f>
        <v>0</v>
      </c>
      <c r="EW9" s="85">
        <f>BD48</f>
        <v>0</v>
      </c>
      <c r="EX9" s="85">
        <f>BD49</f>
        <v>0</v>
      </c>
      <c r="EY9" s="85">
        <f>BD50</f>
        <v>0</v>
      </c>
      <c r="EZ9" s="85">
        <f>BD51</f>
        <v>0</v>
      </c>
      <c r="FA9" s="85">
        <f>BD52</f>
        <v>0</v>
      </c>
      <c r="FB9" s="85">
        <f>BD53</f>
        <v>0</v>
      </c>
      <c r="FC9" s="85">
        <f>BD54</f>
        <v>0</v>
      </c>
      <c r="FD9" s="85">
        <f>BD55</f>
        <v>0</v>
      </c>
      <c r="FE9" s="85">
        <f>BD56</f>
        <v>0</v>
      </c>
      <c r="FF9" s="85">
        <f>BD57</f>
        <v>0</v>
      </c>
      <c r="FG9" s="85">
        <f>BD58</f>
        <v>0</v>
      </c>
      <c r="FH9" s="85">
        <f>BD59</f>
        <v>0</v>
      </c>
      <c r="FI9" s="85">
        <f>BD60</f>
        <v>0</v>
      </c>
      <c r="FJ9" s="85">
        <f>BD61</f>
        <v>0</v>
      </c>
      <c r="FK9" s="85">
        <f>BD62</f>
        <v>0</v>
      </c>
      <c r="FL9" s="85">
        <f>BD63</f>
        <v>0</v>
      </c>
      <c r="FM9" s="85">
        <f>BD64</f>
        <v>0</v>
      </c>
      <c r="FN9" s="85">
        <f>BD65</f>
        <v>0</v>
      </c>
      <c r="FO9" s="85">
        <f>BD66</f>
        <v>0</v>
      </c>
      <c r="FP9" s="85">
        <f>BD67</f>
        <v>0</v>
      </c>
      <c r="FQ9" s="85">
        <f>BD68</f>
        <v>0</v>
      </c>
      <c r="FR9" s="85">
        <f>BD69</f>
        <v>0</v>
      </c>
      <c r="FS9" s="85">
        <f>BD70</f>
        <v>0</v>
      </c>
      <c r="FT9" s="85">
        <f>BD71</f>
        <v>0</v>
      </c>
      <c r="FU9" s="85">
        <f>BD72</f>
        <v>0</v>
      </c>
      <c r="FV9" s="85">
        <f>BD73</f>
        <v>0</v>
      </c>
      <c r="FW9" s="85">
        <f>BD74</f>
        <v>0</v>
      </c>
      <c r="FX9" s="85">
        <f>BD75</f>
        <v>0</v>
      </c>
      <c r="FY9" s="85">
        <f>BD76</f>
        <v>0</v>
      </c>
      <c r="FZ9" s="85">
        <f>BD77</f>
        <v>0</v>
      </c>
      <c r="GA9" s="85">
        <f>BD78</f>
        <v>0</v>
      </c>
      <c r="GB9" s="85">
        <f>BD79</f>
        <v>0</v>
      </c>
      <c r="GC9" s="85">
        <f>BD80</f>
        <v>0</v>
      </c>
      <c r="GD9" s="85">
        <f>BD81</f>
        <v>0</v>
      </c>
      <c r="GE9" s="85">
        <f>BD82</f>
        <v>0</v>
      </c>
      <c r="GF9" s="85">
        <f>BD83</f>
        <v>0</v>
      </c>
      <c r="GG9" s="85">
        <f>BD84</f>
        <v>0</v>
      </c>
      <c r="GH9" s="85">
        <f>BD85</f>
        <v>0</v>
      </c>
      <c r="GI9" s="85">
        <f>BD86</f>
        <v>0</v>
      </c>
      <c r="GJ9" s="85">
        <f>BD87</f>
        <v>0</v>
      </c>
      <c r="GK9" s="85">
        <f>BD88</f>
        <v>0</v>
      </c>
      <c r="GL9" s="85">
        <f>BD89</f>
        <v>0</v>
      </c>
      <c r="GM9" s="85">
        <f>BD90</f>
        <v>0</v>
      </c>
      <c r="GN9" s="85">
        <f>BD91</f>
        <v>0</v>
      </c>
      <c r="GO9" s="85">
        <f>BD92</f>
        <v>0</v>
      </c>
      <c r="GP9" s="85">
        <f>BD93</f>
        <v>0</v>
      </c>
      <c r="GQ9" s="85">
        <f>BD94</f>
        <v>0</v>
      </c>
      <c r="GR9" s="85">
        <f>BD95</f>
        <v>0</v>
      </c>
      <c r="GS9" s="85">
        <f>BD96</f>
        <v>0</v>
      </c>
      <c r="GT9" s="85">
        <f>BD97</f>
        <v>0</v>
      </c>
      <c r="GU9" s="85">
        <f>BD98</f>
        <v>0</v>
      </c>
      <c r="GV9" s="85">
        <f>BD99</f>
        <v>0</v>
      </c>
      <c r="GW9" s="85">
        <f>BD100</f>
        <v>0</v>
      </c>
      <c r="GX9" s="85">
        <f>BD101</f>
        <v>0</v>
      </c>
      <c r="GY9" s="85">
        <f>BD102</f>
        <v>0</v>
      </c>
      <c r="GZ9" s="85">
        <f>BD103</f>
        <v>0</v>
      </c>
      <c r="HA9" s="85">
        <f>BD104</f>
        <v>0</v>
      </c>
      <c r="HB9" s="85">
        <f>BD105</f>
        <v>0</v>
      </c>
      <c r="HC9" s="85">
        <f>BD106</f>
        <v>0</v>
      </c>
      <c r="HD9" s="85">
        <f>BD107</f>
        <v>0</v>
      </c>
      <c r="HE9" s="85">
        <f>BD108</f>
        <v>0</v>
      </c>
      <c r="HF9" s="85">
        <f>BD109</f>
        <v>0</v>
      </c>
      <c r="HG9" s="85">
        <f>BD110</f>
        <v>0</v>
      </c>
      <c r="HH9" s="85">
        <f>BD111</f>
        <v>0</v>
      </c>
      <c r="HI9" s="85">
        <f>BD112</f>
        <v>0</v>
      </c>
      <c r="HJ9" s="85">
        <f>BD113</f>
        <v>0</v>
      </c>
      <c r="HK9" s="85">
        <f>BD114</f>
        <v>0</v>
      </c>
      <c r="HL9" s="85">
        <f>BD115</f>
        <v>0</v>
      </c>
      <c r="HM9" s="85">
        <f>BD116</f>
        <v>0</v>
      </c>
      <c r="HN9" s="85">
        <f>BD117</f>
        <v>0</v>
      </c>
      <c r="HO9" s="85">
        <f>BD118</f>
        <v>0</v>
      </c>
      <c r="HP9" s="85">
        <f>BD119</f>
        <v>0</v>
      </c>
      <c r="HQ9" s="85">
        <f>BD120</f>
        <v>0</v>
      </c>
      <c r="HR9" s="85">
        <f>BD121</f>
        <v>0</v>
      </c>
      <c r="HS9" s="85">
        <f>BD122</f>
        <v>0</v>
      </c>
      <c r="HT9" s="85">
        <f>BD123</f>
        <v>0</v>
      </c>
      <c r="HU9" s="85">
        <f>BD124</f>
        <v>0</v>
      </c>
      <c r="HV9" s="85">
        <f>BD125</f>
        <v>0</v>
      </c>
      <c r="HW9" s="85">
        <f>BD126</f>
        <v>0</v>
      </c>
      <c r="HX9" s="85">
        <f>BD127</f>
        <v>0</v>
      </c>
      <c r="HY9" s="85">
        <f>BD128</f>
        <v>0</v>
      </c>
      <c r="HZ9" s="85">
        <f>BD129</f>
        <v>0</v>
      </c>
      <c r="IA9" s="85">
        <f>BD130</f>
        <v>0</v>
      </c>
      <c r="IB9" s="85">
        <f>BD131</f>
        <v>0</v>
      </c>
      <c r="IC9" s="85">
        <f>BD132</f>
        <v>0</v>
      </c>
    </row>
    <row r="10" spans="1:354" x14ac:dyDescent="0.2">
      <c r="CI10" s="85"/>
      <c r="GY10" s="85"/>
    </row>
    <row r="11" spans="1:354" x14ac:dyDescent="0.2">
      <c r="CI11" s="85"/>
      <c r="GY11" s="85"/>
    </row>
    <row r="12" spans="1:354" x14ac:dyDescent="0.2">
      <c r="CI12" s="85"/>
      <c r="GY12" s="85"/>
    </row>
    <row r="13" spans="1:354" ht="16" thickBot="1" x14ac:dyDescent="0.25">
      <c r="CI13" s="85"/>
      <c r="GY13" s="85"/>
    </row>
    <row r="14" spans="1:354" ht="16" thickBot="1" x14ac:dyDescent="0.25">
      <c r="A14" s="463" t="s">
        <v>909</v>
      </c>
      <c r="B14" s="464"/>
      <c r="C14" s="460" t="s">
        <v>908</v>
      </c>
      <c r="D14" s="461"/>
      <c r="E14" s="461"/>
      <c r="F14" s="461"/>
      <c r="G14" s="461"/>
      <c r="H14" s="461"/>
      <c r="I14" s="461"/>
      <c r="J14" s="461"/>
      <c r="K14" s="461"/>
      <c r="L14" s="461"/>
      <c r="M14" s="461"/>
      <c r="N14" s="461"/>
      <c r="O14" s="461"/>
      <c r="P14" s="461"/>
      <c r="Q14" s="461"/>
      <c r="R14" s="461"/>
      <c r="S14" s="461"/>
      <c r="T14" s="461"/>
      <c r="U14" s="461"/>
      <c r="V14" s="461"/>
      <c r="W14" s="461"/>
      <c r="X14" s="461"/>
      <c r="Y14" s="461"/>
      <c r="Z14" s="461"/>
      <c r="AA14" s="461"/>
      <c r="AB14" s="461"/>
      <c r="AC14" s="462"/>
      <c r="AD14" s="465" t="s">
        <v>910</v>
      </c>
      <c r="AE14" s="466"/>
      <c r="AF14" s="466"/>
      <c r="AG14" s="466"/>
      <c r="AH14" s="466"/>
      <c r="AI14" s="466"/>
      <c r="AJ14" s="466"/>
      <c r="AK14" s="466"/>
      <c r="AL14" s="466"/>
      <c r="AM14" s="466"/>
      <c r="AN14" s="466"/>
      <c r="AO14" s="466"/>
      <c r="AP14" s="466"/>
      <c r="AQ14" s="466"/>
      <c r="AR14" s="466"/>
      <c r="AS14" s="466"/>
      <c r="AT14" s="466"/>
      <c r="AU14" s="466"/>
      <c r="AV14" s="466"/>
      <c r="AW14" s="466"/>
      <c r="AX14" s="466"/>
      <c r="AY14" s="466"/>
      <c r="AZ14" s="466"/>
      <c r="BA14" s="466"/>
      <c r="BB14" s="466"/>
      <c r="BC14" s="466"/>
      <c r="BD14" s="467"/>
      <c r="CI14" s="85"/>
      <c r="GY14" s="85"/>
    </row>
    <row r="15" spans="1:354" ht="17" thickBot="1" x14ac:dyDescent="0.25">
      <c r="A15" s="3" t="s">
        <v>1</v>
      </c>
      <c r="B15" s="7" t="s">
        <v>425</v>
      </c>
      <c r="C15" s="97">
        <v>2025</v>
      </c>
      <c r="D15" s="98">
        <v>2026</v>
      </c>
      <c r="E15" s="98">
        <v>2027</v>
      </c>
      <c r="F15" s="98">
        <v>2028</v>
      </c>
      <c r="G15" s="98">
        <v>2029</v>
      </c>
      <c r="H15" s="98">
        <v>2030</v>
      </c>
      <c r="I15" s="98">
        <v>2031</v>
      </c>
      <c r="J15" s="98">
        <v>2032</v>
      </c>
      <c r="K15" s="98">
        <v>2033</v>
      </c>
      <c r="L15" s="98">
        <v>2034</v>
      </c>
      <c r="M15" s="98">
        <v>2035</v>
      </c>
      <c r="N15" s="98">
        <v>2036</v>
      </c>
      <c r="O15" s="98">
        <v>2037</v>
      </c>
      <c r="P15" s="98">
        <v>2038</v>
      </c>
      <c r="Q15" s="98">
        <v>2039</v>
      </c>
      <c r="R15" s="98">
        <v>2040</v>
      </c>
      <c r="S15" s="98">
        <v>2041</v>
      </c>
      <c r="T15" s="98">
        <v>2042</v>
      </c>
      <c r="U15" s="98">
        <v>2043</v>
      </c>
      <c r="V15" s="98">
        <v>2044</v>
      </c>
      <c r="W15" s="98">
        <v>2045</v>
      </c>
      <c r="X15" s="98">
        <v>2046</v>
      </c>
      <c r="Y15" s="98">
        <v>2047</v>
      </c>
      <c r="Z15" s="98">
        <v>2048</v>
      </c>
      <c r="AA15" s="98">
        <v>2049</v>
      </c>
      <c r="AB15" s="98">
        <v>2050</v>
      </c>
      <c r="AC15" s="99" t="s">
        <v>907</v>
      </c>
      <c r="AD15" s="97">
        <v>2025</v>
      </c>
      <c r="AE15" s="98">
        <v>2026</v>
      </c>
      <c r="AF15" s="98">
        <v>2027</v>
      </c>
      <c r="AG15" s="98">
        <v>2028</v>
      </c>
      <c r="AH15" s="98">
        <v>2029</v>
      </c>
      <c r="AI15" s="98">
        <v>2030</v>
      </c>
      <c r="AJ15" s="98">
        <v>2031</v>
      </c>
      <c r="AK15" s="98">
        <v>2032</v>
      </c>
      <c r="AL15" s="98">
        <v>2033</v>
      </c>
      <c r="AM15" s="98">
        <v>2034</v>
      </c>
      <c r="AN15" s="98">
        <v>2035</v>
      </c>
      <c r="AO15" s="98">
        <v>2036</v>
      </c>
      <c r="AP15" s="98">
        <v>2037</v>
      </c>
      <c r="AQ15" s="98">
        <v>2038</v>
      </c>
      <c r="AR15" s="98">
        <v>2039</v>
      </c>
      <c r="AS15" s="98">
        <v>2040</v>
      </c>
      <c r="AT15" s="98">
        <v>2041</v>
      </c>
      <c r="AU15" s="98">
        <v>2042</v>
      </c>
      <c r="AV15" s="98">
        <v>2043</v>
      </c>
      <c r="AW15" s="98">
        <v>2044</v>
      </c>
      <c r="AX15" s="98">
        <v>2045</v>
      </c>
      <c r="AY15" s="98">
        <v>2046</v>
      </c>
      <c r="AZ15" s="98">
        <v>2047</v>
      </c>
      <c r="BA15" s="98">
        <v>2048</v>
      </c>
      <c r="BB15" s="98">
        <v>2049</v>
      </c>
      <c r="BC15" s="98">
        <v>2050</v>
      </c>
      <c r="BD15" s="100" t="s">
        <v>907</v>
      </c>
      <c r="CI15" s="85"/>
      <c r="GY15" s="85"/>
    </row>
    <row r="16" spans="1:354" x14ac:dyDescent="0.2">
      <c r="A16" s="4" t="s">
        <v>384</v>
      </c>
      <c r="B16" s="17" t="s">
        <v>5</v>
      </c>
      <c r="C16" s="83">
        <f>_xlfn.IFS('Prepare Gantt Chart'!P5=2,'Project types'!$O6,'Prepare Gantt Chart'!P5=1,'Project types'!$Q6,'Prepare Gantt Chart'!P5=0,0)</f>
        <v>0</v>
      </c>
      <c r="D16" s="83">
        <f>_xlfn.IFS('Prepare Gantt Chart'!Q5=2,'Project types'!$O6,'Prepare Gantt Chart'!Q5=1,'Project types'!$Q6,'Prepare Gantt Chart'!Q5=0,0)</f>
        <v>0</v>
      </c>
      <c r="E16" s="83">
        <f>_xlfn.IFS('Prepare Gantt Chart'!R5=2,'Project types'!$O6,'Prepare Gantt Chart'!R5=1,'Project types'!$Q6,'Prepare Gantt Chart'!R5=0,0)</f>
        <v>0</v>
      </c>
      <c r="F16" s="83">
        <f>_xlfn.IFS('Prepare Gantt Chart'!S5=2,'Project types'!$O6,'Prepare Gantt Chart'!S5=1,'Project types'!$Q6,'Prepare Gantt Chart'!S5=0,0)</f>
        <v>0</v>
      </c>
      <c r="G16" s="83">
        <f>_xlfn.IFS('Prepare Gantt Chart'!T5=2,'Project types'!$O6,'Prepare Gantt Chart'!T5=1,'Project types'!$Q6,'Prepare Gantt Chart'!T5=0,0)</f>
        <v>0</v>
      </c>
      <c r="H16" s="83">
        <f>_xlfn.IFS('Prepare Gantt Chart'!U5=2,'Project types'!$O6,'Prepare Gantt Chart'!U5=1,'Project types'!$Q6,'Prepare Gantt Chart'!U5=0,0)</f>
        <v>0</v>
      </c>
      <c r="I16" s="83">
        <f>_xlfn.IFS('Prepare Gantt Chart'!V5=2,'Project types'!$O6,'Prepare Gantt Chart'!V5=1,'Project types'!$Q6,'Prepare Gantt Chart'!V5=0,0)</f>
        <v>0</v>
      </c>
      <c r="J16" s="83">
        <f>_xlfn.IFS('Prepare Gantt Chart'!W5=2,'Project types'!$O6,'Prepare Gantt Chart'!W5=1,'Project types'!$Q6,'Prepare Gantt Chart'!W5=0,0)</f>
        <v>0</v>
      </c>
      <c r="K16" s="83">
        <f>_xlfn.IFS('Prepare Gantt Chart'!X5=2,'Project types'!$O6,'Prepare Gantt Chart'!X5=1,'Project types'!$Q6,'Prepare Gantt Chart'!X5=0,0)</f>
        <v>0</v>
      </c>
      <c r="L16" s="83">
        <f>_xlfn.IFS('Prepare Gantt Chart'!Y5=2,'Project types'!$O6,'Prepare Gantt Chart'!Y5=1,'Project types'!$Q6,'Prepare Gantt Chart'!Y5=0,0)</f>
        <v>0</v>
      </c>
      <c r="M16" s="83">
        <f>_xlfn.IFS('Prepare Gantt Chart'!Z5=2,'Project types'!$O6,'Prepare Gantt Chart'!Z5=1,'Project types'!$Q6,'Prepare Gantt Chart'!Z5=0,0)</f>
        <v>0</v>
      </c>
      <c r="N16" s="83">
        <f>_xlfn.IFS('Prepare Gantt Chart'!AA5=2,'Project types'!$O6,'Prepare Gantt Chart'!AA5=1,'Project types'!$Q6,'Prepare Gantt Chart'!AA5=0,0)</f>
        <v>0</v>
      </c>
      <c r="O16" s="83">
        <f>_xlfn.IFS('Prepare Gantt Chart'!AB5=2,'Project types'!$O6,'Prepare Gantt Chart'!AB5=1,'Project types'!$Q6,'Prepare Gantt Chart'!AB5=0,0)</f>
        <v>0</v>
      </c>
      <c r="P16" s="83">
        <f>_xlfn.IFS('Prepare Gantt Chart'!AC5=2,'Project types'!$O6,'Prepare Gantt Chart'!AC5=1,'Project types'!$Q6,'Prepare Gantt Chart'!AC5=0,0)</f>
        <v>0</v>
      </c>
      <c r="Q16" s="83">
        <f>_xlfn.IFS('Prepare Gantt Chart'!AD5=2,'Project types'!$O6,'Prepare Gantt Chart'!AD5=1,'Project types'!$Q6,'Prepare Gantt Chart'!AD5=0,0)</f>
        <v>0</v>
      </c>
      <c r="R16" s="83">
        <f>_xlfn.IFS('Prepare Gantt Chart'!AE5=2,'Project types'!$O6,'Prepare Gantt Chart'!AE5=1,'Project types'!$Q6,'Prepare Gantt Chart'!AE5=0,0)</f>
        <v>0</v>
      </c>
      <c r="S16" s="83">
        <f>_xlfn.IFS('Prepare Gantt Chart'!AF5=2,'Project types'!$O6,'Prepare Gantt Chart'!AF5=1,'Project types'!$Q6,'Prepare Gantt Chart'!AF5=0,0)</f>
        <v>0</v>
      </c>
      <c r="T16" s="83">
        <f>_xlfn.IFS('Prepare Gantt Chart'!AG5=2,'Project types'!$O6,'Prepare Gantt Chart'!AG5=1,'Project types'!$Q6,'Prepare Gantt Chart'!AG5=0,0)</f>
        <v>0</v>
      </c>
      <c r="U16" s="83">
        <f>_xlfn.IFS('Prepare Gantt Chart'!AH5=2,'Project types'!$O6,'Prepare Gantt Chart'!AH5=1,'Project types'!$Q6,'Prepare Gantt Chart'!AH5=0,0)</f>
        <v>0</v>
      </c>
      <c r="V16" s="83">
        <f>_xlfn.IFS('Prepare Gantt Chart'!AI5=2,'Project types'!$O6,'Prepare Gantt Chart'!AI5=1,'Project types'!$Q6,'Prepare Gantt Chart'!AI5=0,0)</f>
        <v>0</v>
      </c>
      <c r="W16" s="83">
        <f>_xlfn.IFS('Prepare Gantt Chart'!AJ5=2,'Project types'!$O6,'Prepare Gantt Chart'!AJ5=1,'Project types'!$Q6,'Prepare Gantt Chart'!AJ5=0,0)</f>
        <v>0</v>
      </c>
      <c r="X16" s="83">
        <f>_xlfn.IFS('Prepare Gantt Chart'!AK5=2,'Project types'!$O6,'Prepare Gantt Chart'!AK5=1,'Project types'!$Q6,'Prepare Gantt Chart'!AK5=0,0)</f>
        <v>0</v>
      </c>
      <c r="Y16" s="83">
        <f>_xlfn.IFS('Prepare Gantt Chart'!AL5=2,'Project types'!$O6,'Prepare Gantt Chart'!AL5=1,'Project types'!$Q6,'Prepare Gantt Chart'!AL5=0,0)</f>
        <v>0</v>
      </c>
      <c r="Z16" s="83">
        <f>_xlfn.IFS('Prepare Gantt Chart'!AM5=2,'Project types'!$O6,'Prepare Gantt Chart'!AM5=1,'Project types'!$Q6,'Prepare Gantt Chart'!AM5=0,0)</f>
        <v>0</v>
      </c>
      <c r="AA16" s="83">
        <f>_xlfn.IFS('Prepare Gantt Chart'!AN5=2,'Project types'!$O6,'Prepare Gantt Chart'!AN5=1,'Project types'!$Q6,'Prepare Gantt Chart'!AN5=0,0)</f>
        <v>0</v>
      </c>
      <c r="AB16" s="96">
        <f>_xlfn.IFS('Prepare Gantt Chart'!AO5=2,'Project types'!$O6,'Prepare Gantt Chart'!AO5=1,'Project types'!$Q6,'Prepare Gantt Chart'!AO5=0,0)</f>
        <v>0</v>
      </c>
      <c r="AC16" s="93">
        <f>SUM(C16:AB16)/COUNT(C16:AB16)</f>
        <v>0</v>
      </c>
      <c r="AD16" s="87">
        <f>_xlfn.IFS('Prepare Gantt Chart'!P5=2,'Project types'!$L6,'Prepare Gantt Chart'!P5=1,'Project types'!$L6,'Prepare Gantt Chart'!P5=0,0)</f>
        <v>0</v>
      </c>
      <c r="AE16" s="88">
        <f>_xlfn.IFS('Prepare Gantt Chart'!Q5=2,'Project types'!$L6,'Prepare Gantt Chart'!Q5=1,'Project types'!$L6,'Prepare Gantt Chart'!Q5=0,0)</f>
        <v>0</v>
      </c>
      <c r="AF16" s="88">
        <f>_xlfn.IFS('Prepare Gantt Chart'!R5=2,'Project types'!$L6,'Prepare Gantt Chart'!R5=1,'Project types'!$L6,'Prepare Gantt Chart'!R5=0,0)</f>
        <v>0</v>
      </c>
      <c r="AG16" s="88">
        <f>_xlfn.IFS('Prepare Gantt Chart'!S5=2,'Project types'!$L6,'Prepare Gantt Chart'!S5=1,'Project types'!$L6,'Prepare Gantt Chart'!S5=0,0)</f>
        <v>0</v>
      </c>
      <c r="AH16" s="88">
        <f>_xlfn.IFS('Prepare Gantt Chart'!T5=2,'Project types'!$L6,'Prepare Gantt Chart'!T5=1,'Project types'!$L6,'Prepare Gantt Chart'!T5=0,0)</f>
        <v>0</v>
      </c>
      <c r="AI16" s="88">
        <f>_xlfn.IFS('Prepare Gantt Chart'!U5=2,'Project types'!$L6,'Prepare Gantt Chart'!U5=1,'Project types'!$L6,'Prepare Gantt Chart'!U5=0,0)</f>
        <v>0</v>
      </c>
      <c r="AJ16" s="88">
        <f>_xlfn.IFS('Prepare Gantt Chart'!V5=2,'Project types'!$L6,'Prepare Gantt Chart'!V5=1,'Project types'!$L6,'Prepare Gantt Chart'!V5=0,0)</f>
        <v>0</v>
      </c>
      <c r="AK16" s="88">
        <f>_xlfn.IFS('Prepare Gantt Chart'!W5=2,'Project types'!$L6,'Prepare Gantt Chart'!W5=1,'Project types'!$L6,'Prepare Gantt Chart'!W5=0,0)</f>
        <v>0</v>
      </c>
      <c r="AL16" s="88">
        <f>_xlfn.IFS('Prepare Gantt Chart'!X5=2,'Project types'!$L6,'Prepare Gantt Chart'!X5=1,'Project types'!$L6,'Prepare Gantt Chart'!X5=0,0)</f>
        <v>0</v>
      </c>
      <c r="AM16" s="88">
        <f>_xlfn.IFS('Prepare Gantt Chart'!Y5=2,'Project types'!$L6,'Prepare Gantt Chart'!Y5=1,'Project types'!$L6,'Prepare Gantt Chart'!Y5=0,0)</f>
        <v>0</v>
      </c>
      <c r="AN16" s="88">
        <f>_xlfn.IFS('Prepare Gantt Chart'!Z5=2,'Project types'!$L6,'Prepare Gantt Chart'!Z5=1,'Project types'!$L6,'Prepare Gantt Chart'!Z5=0,0)</f>
        <v>0</v>
      </c>
      <c r="AO16" s="88">
        <f>_xlfn.IFS('Prepare Gantt Chart'!AA5=2,'Project types'!$L6,'Prepare Gantt Chart'!AA5=1,'Project types'!$L6,'Prepare Gantt Chart'!AA5=0,0)</f>
        <v>0</v>
      </c>
      <c r="AP16" s="88">
        <f>_xlfn.IFS('Prepare Gantt Chart'!AB5=2,'Project types'!$L6,'Prepare Gantt Chart'!AB5=1,'Project types'!$L6,'Prepare Gantt Chart'!AB5=0,0)</f>
        <v>0</v>
      </c>
      <c r="AQ16" s="88">
        <f>_xlfn.IFS('Prepare Gantt Chart'!AC5=2,'Project types'!$L6,'Prepare Gantt Chart'!AC5=1,'Project types'!$L6,'Prepare Gantt Chart'!AC5=0,0)</f>
        <v>0</v>
      </c>
      <c r="AR16" s="88">
        <f>_xlfn.IFS('Prepare Gantt Chart'!AD5=2,'Project types'!$L6,'Prepare Gantt Chart'!AD5=1,'Project types'!$L6,'Prepare Gantt Chart'!AD5=0,0)</f>
        <v>0</v>
      </c>
      <c r="AS16" s="88">
        <f>_xlfn.IFS('Prepare Gantt Chart'!AE5=2,'Project types'!$L6,'Prepare Gantt Chart'!AE5=1,'Project types'!$L6,'Prepare Gantt Chart'!AE5=0,0)</f>
        <v>0</v>
      </c>
      <c r="AT16" s="88">
        <f>_xlfn.IFS('Prepare Gantt Chart'!AF5=2,'Project types'!$L6,'Prepare Gantt Chart'!AF5=1,'Project types'!$L6,'Prepare Gantt Chart'!AF5=0,0)</f>
        <v>0</v>
      </c>
      <c r="AU16" s="88">
        <f>_xlfn.IFS('Prepare Gantt Chart'!AG5=2,'Project types'!$L6,'Prepare Gantt Chart'!AG5=1,'Project types'!$L6,'Prepare Gantt Chart'!AG5=0,0)</f>
        <v>0</v>
      </c>
      <c r="AV16" s="88">
        <f>_xlfn.IFS('Prepare Gantt Chart'!AH5=2,'Project types'!$L6,'Prepare Gantt Chart'!AH5=1,'Project types'!$L6,'Prepare Gantt Chart'!AH5=0,0)</f>
        <v>0</v>
      </c>
      <c r="AW16" s="88">
        <f>_xlfn.IFS('Prepare Gantt Chart'!AI5=2,'Project types'!$L6,'Prepare Gantt Chart'!AI5=1,'Project types'!$L6,'Prepare Gantt Chart'!AI5=0,0)</f>
        <v>0</v>
      </c>
      <c r="AX16" s="88">
        <f>_xlfn.IFS('Prepare Gantt Chart'!AJ5=2,'Project types'!$L6,'Prepare Gantt Chart'!AJ5=1,'Project types'!$L6,'Prepare Gantt Chart'!AJ5=0,0)</f>
        <v>0</v>
      </c>
      <c r="AY16" s="88">
        <f>_xlfn.IFS('Prepare Gantt Chart'!AK5=2,'Project types'!$L6,'Prepare Gantt Chart'!AK5=1,'Project types'!$L6,'Prepare Gantt Chart'!AK5=0,0)</f>
        <v>0</v>
      </c>
      <c r="AZ16" s="88">
        <f>_xlfn.IFS('Prepare Gantt Chart'!AL5=2,'Project types'!$L6,'Prepare Gantt Chart'!AL5=1,'Project types'!$L6,'Prepare Gantt Chart'!AL5=0,0)</f>
        <v>0</v>
      </c>
      <c r="BA16" s="88">
        <f>_xlfn.IFS('Prepare Gantt Chart'!AM5=2,'Project types'!$L6,'Prepare Gantt Chart'!AM5=1,'Project types'!$L6,'Prepare Gantt Chart'!AM5=0,0)</f>
        <v>0</v>
      </c>
      <c r="BB16" s="88">
        <f>_xlfn.IFS('Prepare Gantt Chart'!AN5=2,'Project types'!$L6,'Prepare Gantt Chart'!AN5=1,'Project types'!$L6,'Prepare Gantt Chart'!AN5=0,0)</f>
        <v>0</v>
      </c>
      <c r="BC16" s="88">
        <f>_xlfn.IFS('Prepare Gantt Chart'!AO5=2,'Project types'!$L6,'Prepare Gantt Chart'!AO5=1,'Project types'!$L6,'Prepare Gantt Chart'!AO5=0,0)</f>
        <v>0</v>
      </c>
      <c r="BD16" s="91">
        <f>SUM(AD16:BC16)/COUNT(AD16:BC16)</f>
        <v>0</v>
      </c>
      <c r="CI16" s="85"/>
      <c r="GY16" s="85"/>
    </row>
    <row r="17" spans="1:207" x14ac:dyDescent="0.2">
      <c r="A17" s="1" t="s">
        <v>385</v>
      </c>
      <c r="B17" s="18" t="s">
        <v>6</v>
      </c>
      <c r="C17" s="83">
        <f>_xlfn.IFS('Prepare Gantt Chart'!P6=2,'Project types'!$O7,'Prepare Gantt Chart'!P6=1,'Project types'!$Q7,'Prepare Gantt Chart'!P6=0,0)</f>
        <v>0</v>
      </c>
      <c r="D17" s="83">
        <f>_xlfn.IFS('Prepare Gantt Chart'!Q6=2,'Project types'!$O7,'Prepare Gantt Chart'!Q6=1,'Project types'!$Q7,'Prepare Gantt Chart'!Q6=0,0)</f>
        <v>0</v>
      </c>
      <c r="E17" s="83">
        <f>_xlfn.IFS('Prepare Gantt Chart'!R6=2,'Project types'!$O7,'Prepare Gantt Chart'!R6=1,'Project types'!$Q7,'Prepare Gantt Chart'!R6=0,0)</f>
        <v>0</v>
      </c>
      <c r="F17" s="83">
        <f>_xlfn.IFS('Prepare Gantt Chart'!S6=2,'Project types'!$O7,'Prepare Gantt Chart'!S6=1,'Project types'!$Q7,'Prepare Gantt Chart'!S6=0,0)</f>
        <v>0</v>
      </c>
      <c r="G17" s="83">
        <f>_xlfn.IFS('Prepare Gantt Chart'!T6=2,'Project types'!$O7,'Prepare Gantt Chart'!T6=1,'Project types'!$Q7,'Prepare Gantt Chart'!T6=0,0)</f>
        <v>0</v>
      </c>
      <c r="H17" s="83">
        <f>_xlfn.IFS('Prepare Gantt Chart'!U6=2,'Project types'!$O7,'Prepare Gantt Chart'!U6=1,'Project types'!$Q7,'Prepare Gantt Chart'!U6=0,0)</f>
        <v>0</v>
      </c>
      <c r="I17" s="83">
        <f>_xlfn.IFS('Prepare Gantt Chart'!V6=2,'Project types'!$O7,'Prepare Gantt Chart'!V6=1,'Project types'!$Q7,'Prepare Gantt Chart'!V6=0,0)</f>
        <v>0</v>
      </c>
      <c r="J17" s="83">
        <f>_xlfn.IFS('Prepare Gantt Chart'!W6=2,'Project types'!$O7,'Prepare Gantt Chart'!W6=1,'Project types'!$Q7,'Prepare Gantt Chart'!W6=0,0)</f>
        <v>0</v>
      </c>
      <c r="K17" s="83">
        <f>_xlfn.IFS('Prepare Gantt Chart'!X6=2,'Project types'!$O7,'Prepare Gantt Chart'!X6=1,'Project types'!$Q7,'Prepare Gantt Chart'!X6=0,0)</f>
        <v>0</v>
      </c>
      <c r="L17" s="83">
        <f>_xlfn.IFS('Prepare Gantt Chart'!Y6=2,'Project types'!$O7,'Prepare Gantt Chart'!Y6=1,'Project types'!$Q7,'Prepare Gantt Chart'!Y6=0,0)</f>
        <v>0</v>
      </c>
      <c r="M17" s="83">
        <f>_xlfn.IFS('Prepare Gantt Chart'!Z6=2,'Project types'!$O7,'Prepare Gantt Chart'!Z6=1,'Project types'!$Q7,'Prepare Gantt Chart'!Z6=0,0)</f>
        <v>0</v>
      </c>
      <c r="N17" s="83">
        <f>_xlfn.IFS('Prepare Gantt Chart'!AA6=2,'Project types'!$O7,'Prepare Gantt Chart'!AA6=1,'Project types'!$Q7,'Prepare Gantt Chart'!AA6=0,0)</f>
        <v>0</v>
      </c>
      <c r="O17" s="83">
        <f>_xlfn.IFS('Prepare Gantt Chart'!AB6=2,'Project types'!$O7,'Prepare Gantt Chart'!AB6=1,'Project types'!$Q7,'Prepare Gantt Chart'!AB6=0,0)</f>
        <v>0</v>
      </c>
      <c r="P17" s="83">
        <f>_xlfn.IFS('Prepare Gantt Chart'!AC6=2,'Project types'!$O7,'Prepare Gantt Chart'!AC6=1,'Project types'!$Q7,'Prepare Gantt Chart'!AC6=0,0)</f>
        <v>0</v>
      </c>
      <c r="Q17" s="83">
        <f>_xlfn.IFS('Prepare Gantt Chart'!AD6=2,'Project types'!$O7,'Prepare Gantt Chart'!AD6=1,'Project types'!$Q7,'Prepare Gantt Chart'!AD6=0,0)</f>
        <v>0</v>
      </c>
      <c r="R17" s="83">
        <f>_xlfn.IFS('Prepare Gantt Chart'!AE6=2,'Project types'!$O7,'Prepare Gantt Chart'!AE6=1,'Project types'!$Q7,'Prepare Gantt Chart'!AE6=0,0)</f>
        <v>0</v>
      </c>
      <c r="S17" s="83">
        <f>_xlfn.IFS('Prepare Gantt Chart'!AF6=2,'Project types'!$O7,'Prepare Gantt Chart'!AF6=1,'Project types'!$Q7,'Prepare Gantt Chart'!AF6=0,0)</f>
        <v>0</v>
      </c>
      <c r="T17" s="83">
        <f>_xlfn.IFS('Prepare Gantt Chart'!AG6=2,'Project types'!$O7,'Prepare Gantt Chart'!AG6=1,'Project types'!$Q7,'Prepare Gantt Chart'!AG6=0,0)</f>
        <v>0</v>
      </c>
      <c r="U17" s="83">
        <f>_xlfn.IFS('Prepare Gantt Chart'!AH6=2,'Project types'!$O7,'Prepare Gantt Chart'!AH6=1,'Project types'!$Q7,'Prepare Gantt Chart'!AH6=0,0)</f>
        <v>0</v>
      </c>
      <c r="V17" s="83">
        <f>_xlfn.IFS('Prepare Gantt Chart'!AI6=2,'Project types'!$O7,'Prepare Gantt Chart'!AI6=1,'Project types'!$Q7,'Prepare Gantt Chart'!AI6=0,0)</f>
        <v>0</v>
      </c>
      <c r="W17" s="83">
        <f>_xlfn.IFS('Prepare Gantt Chart'!AJ6=2,'Project types'!$O7,'Prepare Gantt Chart'!AJ6=1,'Project types'!$Q7,'Prepare Gantt Chart'!AJ6=0,0)</f>
        <v>0</v>
      </c>
      <c r="X17" s="83">
        <f>_xlfn.IFS('Prepare Gantt Chart'!AK6=2,'Project types'!$O7,'Prepare Gantt Chart'!AK6=1,'Project types'!$Q7,'Prepare Gantt Chart'!AK6=0,0)</f>
        <v>0</v>
      </c>
      <c r="Y17" s="83">
        <f>_xlfn.IFS('Prepare Gantt Chart'!AL6=2,'Project types'!$O7,'Prepare Gantt Chart'!AL6=1,'Project types'!$Q7,'Prepare Gantt Chart'!AL6=0,0)</f>
        <v>0</v>
      </c>
      <c r="Z17" s="83">
        <f>_xlfn.IFS('Prepare Gantt Chart'!AM6=2,'Project types'!$O7,'Prepare Gantt Chart'!AM6=1,'Project types'!$Q7,'Prepare Gantt Chart'!AM6=0,0)</f>
        <v>0</v>
      </c>
      <c r="AA17" s="83">
        <f>_xlfn.IFS('Prepare Gantt Chart'!AN6=2,'Project types'!$O7,'Prepare Gantt Chart'!AN6=1,'Project types'!$Q7,'Prepare Gantt Chart'!AN6=0,0)</f>
        <v>0</v>
      </c>
      <c r="AB17" s="83">
        <f>_xlfn.IFS('Prepare Gantt Chart'!AO6=2,'Project types'!$O7,'Prepare Gantt Chart'!AO6=1,'Project types'!$Q7,'Prepare Gantt Chart'!AO6=0,0)</f>
        <v>0</v>
      </c>
      <c r="AC17" s="93">
        <f t="shared" ref="AC17:AC80" si="0">SUM(C17:AB17)/COUNT(C17:AB17)</f>
        <v>0</v>
      </c>
      <c r="AD17" s="86">
        <f>_xlfn.IFS('Prepare Gantt Chart'!P6=2,'Project types'!$L7,'Prepare Gantt Chart'!P6=1,'Project types'!$L7,'Prepare Gantt Chart'!P6=0,0)</f>
        <v>0</v>
      </c>
      <c r="AE17" s="83">
        <f>_xlfn.IFS('Prepare Gantt Chart'!Q6=2,'Project types'!$L7,'Prepare Gantt Chart'!Q6=1,'Project types'!$L7,'Prepare Gantt Chart'!Q6=0,0)</f>
        <v>0</v>
      </c>
      <c r="AF17" s="83">
        <f>_xlfn.IFS('Prepare Gantt Chart'!R6=2,'Project types'!$L7,'Prepare Gantt Chart'!R6=1,'Project types'!$L7,'Prepare Gantt Chart'!R6=0,0)</f>
        <v>0</v>
      </c>
      <c r="AG17" s="83">
        <f>_xlfn.IFS('Prepare Gantt Chart'!S6=2,'Project types'!$L7,'Prepare Gantt Chart'!S6=1,'Project types'!$L7,'Prepare Gantt Chart'!S6=0,0)</f>
        <v>0</v>
      </c>
      <c r="AH17" s="83">
        <f>_xlfn.IFS('Prepare Gantt Chart'!T6=2,'Project types'!$L7,'Prepare Gantt Chart'!T6=1,'Project types'!$L7,'Prepare Gantt Chart'!T6=0,0)</f>
        <v>0</v>
      </c>
      <c r="AI17" s="83">
        <f>_xlfn.IFS('Prepare Gantt Chart'!U6=2,'Project types'!$L7,'Prepare Gantt Chart'!U6=1,'Project types'!$L7,'Prepare Gantt Chart'!U6=0,0)</f>
        <v>0</v>
      </c>
      <c r="AJ17" s="83">
        <f>_xlfn.IFS('Prepare Gantt Chart'!V6=2,'Project types'!$L7,'Prepare Gantt Chart'!V6=1,'Project types'!$L7,'Prepare Gantt Chart'!V6=0,0)</f>
        <v>0</v>
      </c>
      <c r="AK17" s="83">
        <f>_xlfn.IFS('Prepare Gantt Chart'!W6=2,'Project types'!$L7,'Prepare Gantt Chart'!W6=1,'Project types'!$L7,'Prepare Gantt Chart'!W6=0,0)</f>
        <v>0</v>
      </c>
      <c r="AL17" s="83">
        <f>_xlfn.IFS('Prepare Gantt Chart'!X6=2,'Project types'!$L7,'Prepare Gantt Chart'!X6=1,'Project types'!$L7,'Prepare Gantt Chart'!X6=0,0)</f>
        <v>0</v>
      </c>
      <c r="AM17" s="83">
        <f>_xlfn.IFS('Prepare Gantt Chart'!Y6=2,'Project types'!$L7,'Prepare Gantt Chart'!Y6=1,'Project types'!$L7,'Prepare Gantt Chart'!Y6=0,0)</f>
        <v>0</v>
      </c>
      <c r="AN17" s="83">
        <f>_xlfn.IFS('Prepare Gantt Chart'!Z6=2,'Project types'!$L7,'Prepare Gantt Chart'!Z6=1,'Project types'!$L7,'Prepare Gantt Chart'!Z6=0,0)</f>
        <v>0</v>
      </c>
      <c r="AO17" s="83">
        <f>_xlfn.IFS('Prepare Gantt Chart'!AA6=2,'Project types'!$L7,'Prepare Gantt Chart'!AA6=1,'Project types'!$L7,'Prepare Gantt Chart'!AA6=0,0)</f>
        <v>0</v>
      </c>
      <c r="AP17" s="83">
        <f>_xlfn.IFS('Prepare Gantt Chart'!AB6=2,'Project types'!$L7,'Prepare Gantt Chart'!AB6=1,'Project types'!$L7,'Prepare Gantt Chart'!AB6=0,0)</f>
        <v>0</v>
      </c>
      <c r="AQ17" s="83">
        <f>_xlfn.IFS('Prepare Gantt Chart'!AC6=2,'Project types'!$L7,'Prepare Gantt Chart'!AC6=1,'Project types'!$L7,'Prepare Gantt Chart'!AC6=0,0)</f>
        <v>0</v>
      </c>
      <c r="AR17" s="83">
        <f>_xlfn.IFS('Prepare Gantt Chart'!AD6=2,'Project types'!$L7,'Prepare Gantt Chart'!AD6=1,'Project types'!$L7,'Prepare Gantt Chart'!AD6=0,0)</f>
        <v>0</v>
      </c>
      <c r="AS17" s="83">
        <f>_xlfn.IFS('Prepare Gantt Chart'!AE6=2,'Project types'!$L7,'Prepare Gantt Chart'!AE6=1,'Project types'!$L7,'Prepare Gantt Chart'!AE6=0,0)</f>
        <v>0</v>
      </c>
      <c r="AT17" s="83">
        <f>_xlfn.IFS('Prepare Gantt Chart'!AF6=2,'Project types'!$L7,'Prepare Gantt Chart'!AF6=1,'Project types'!$L7,'Prepare Gantt Chart'!AF6=0,0)</f>
        <v>0</v>
      </c>
      <c r="AU17" s="83">
        <f>_xlfn.IFS('Prepare Gantt Chart'!AG6=2,'Project types'!$L7,'Prepare Gantt Chart'!AG6=1,'Project types'!$L7,'Prepare Gantt Chart'!AG6=0,0)</f>
        <v>0</v>
      </c>
      <c r="AV17" s="83">
        <f>_xlfn.IFS('Prepare Gantt Chart'!AH6=2,'Project types'!$L7,'Prepare Gantt Chart'!AH6=1,'Project types'!$L7,'Prepare Gantt Chart'!AH6=0,0)</f>
        <v>0</v>
      </c>
      <c r="AW17" s="83">
        <f>_xlfn.IFS('Prepare Gantt Chart'!AI6=2,'Project types'!$L7,'Prepare Gantt Chart'!AI6=1,'Project types'!$L7,'Prepare Gantt Chart'!AI6=0,0)</f>
        <v>0</v>
      </c>
      <c r="AX17" s="83">
        <f>_xlfn.IFS('Prepare Gantt Chart'!AJ6=2,'Project types'!$L7,'Prepare Gantt Chart'!AJ6=1,'Project types'!$L7,'Prepare Gantt Chart'!AJ6=0,0)</f>
        <v>0</v>
      </c>
      <c r="AY17" s="83">
        <f>_xlfn.IFS('Prepare Gantt Chart'!AK6=2,'Project types'!$L7,'Prepare Gantt Chart'!AK6=1,'Project types'!$L7,'Prepare Gantt Chart'!AK6=0,0)</f>
        <v>0</v>
      </c>
      <c r="AZ17" s="83">
        <f>_xlfn.IFS('Prepare Gantt Chart'!AL6=2,'Project types'!$L7,'Prepare Gantt Chart'!AL6=1,'Project types'!$L7,'Prepare Gantt Chart'!AL6=0,0)</f>
        <v>0</v>
      </c>
      <c r="BA17" s="83">
        <f>_xlfn.IFS('Prepare Gantt Chart'!AM6=2,'Project types'!$L7,'Prepare Gantt Chart'!AM6=1,'Project types'!$L7,'Prepare Gantt Chart'!AM6=0,0)</f>
        <v>0</v>
      </c>
      <c r="BB17" s="83">
        <f>_xlfn.IFS('Prepare Gantt Chart'!AN6=2,'Project types'!$L7,'Prepare Gantt Chart'!AN6=1,'Project types'!$L7,'Prepare Gantt Chart'!AN6=0,0)</f>
        <v>0</v>
      </c>
      <c r="BC17" s="83">
        <f>_xlfn.IFS('Prepare Gantt Chart'!AO6=2,'Project types'!$L7,'Prepare Gantt Chart'!AO6=1,'Project types'!$L7,'Prepare Gantt Chart'!AO6=0,0)</f>
        <v>0</v>
      </c>
      <c r="BD17" s="91">
        <f t="shared" ref="BD17:BD80" si="1">SUM(AD17:BC17)/COUNT(AD17:BC17)</f>
        <v>0</v>
      </c>
      <c r="CI17" s="85"/>
      <c r="GY17" s="85"/>
    </row>
    <row r="18" spans="1:207" x14ac:dyDescent="0.2">
      <c r="A18" s="1" t="s">
        <v>386</v>
      </c>
      <c r="B18" s="18" t="s">
        <v>7</v>
      </c>
      <c r="C18" s="83">
        <f>_xlfn.IFS('Prepare Gantt Chart'!P7=2,'Project types'!$O8,'Prepare Gantt Chart'!P7=1,'Project types'!$Q8,'Prepare Gantt Chart'!P7=0,0)</f>
        <v>0</v>
      </c>
      <c r="D18" s="83">
        <f>_xlfn.IFS('Prepare Gantt Chart'!Q7=2,'Project types'!$O8,'Prepare Gantt Chart'!Q7=1,'Project types'!$Q8,'Prepare Gantt Chart'!Q7=0,0)</f>
        <v>0</v>
      </c>
      <c r="E18" s="83">
        <f>_xlfn.IFS('Prepare Gantt Chart'!R7=2,'Project types'!$O8,'Prepare Gantt Chart'!R7=1,'Project types'!$Q8,'Prepare Gantt Chart'!R7=0,0)</f>
        <v>0</v>
      </c>
      <c r="F18" s="83">
        <f>_xlfn.IFS('Prepare Gantt Chart'!S7=2,'Project types'!$O8,'Prepare Gantt Chart'!S7=1,'Project types'!$Q8,'Prepare Gantt Chart'!S7=0,0)</f>
        <v>0</v>
      </c>
      <c r="G18" s="83">
        <f>_xlfn.IFS('Prepare Gantt Chart'!T7=2,'Project types'!$O8,'Prepare Gantt Chart'!T7=1,'Project types'!$Q8,'Prepare Gantt Chart'!T7=0,0)</f>
        <v>0</v>
      </c>
      <c r="H18" s="83">
        <f>_xlfn.IFS('Prepare Gantt Chart'!U7=2,'Project types'!$O8,'Prepare Gantt Chart'!U7=1,'Project types'!$Q8,'Prepare Gantt Chart'!U7=0,0)</f>
        <v>0</v>
      </c>
      <c r="I18" s="83">
        <f>_xlfn.IFS('Prepare Gantt Chart'!V7=2,'Project types'!$O8,'Prepare Gantt Chart'!V7=1,'Project types'!$Q8,'Prepare Gantt Chart'!V7=0,0)</f>
        <v>0</v>
      </c>
      <c r="J18" s="83">
        <f>_xlfn.IFS('Prepare Gantt Chart'!W7=2,'Project types'!$O8,'Prepare Gantt Chart'!W7=1,'Project types'!$Q8,'Prepare Gantt Chart'!W7=0,0)</f>
        <v>0</v>
      </c>
      <c r="K18" s="83">
        <f>_xlfn.IFS('Prepare Gantt Chart'!X7=2,'Project types'!$O8,'Prepare Gantt Chart'!X7=1,'Project types'!$Q8,'Prepare Gantt Chart'!X7=0,0)</f>
        <v>0</v>
      </c>
      <c r="L18" s="83">
        <f>_xlfn.IFS('Prepare Gantt Chart'!Y7=2,'Project types'!$O8,'Prepare Gantt Chart'!Y7=1,'Project types'!$Q8,'Prepare Gantt Chart'!Y7=0,0)</f>
        <v>0</v>
      </c>
      <c r="M18" s="83">
        <f>_xlfn.IFS('Prepare Gantt Chart'!Z7=2,'Project types'!$O8,'Prepare Gantt Chart'!Z7=1,'Project types'!$Q8,'Prepare Gantt Chart'!Z7=0,0)</f>
        <v>0</v>
      </c>
      <c r="N18" s="83">
        <f>_xlfn.IFS('Prepare Gantt Chart'!AA7=2,'Project types'!$O8,'Prepare Gantt Chart'!AA7=1,'Project types'!$Q8,'Prepare Gantt Chart'!AA7=0,0)</f>
        <v>0</v>
      </c>
      <c r="O18" s="83">
        <f>_xlfn.IFS('Prepare Gantt Chart'!AB7=2,'Project types'!$O8,'Prepare Gantt Chart'!AB7=1,'Project types'!$Q8,'Prepare Gantt Chart'!AB7=0,0)</f>
        <v>0</v>
      </c>
      <c r="P18" s="83">
        <f>_xlfn.IFS('Prepare Gantt Chart'!AC7=2,'Project types'!$O8,'Prepare Gantt Chart'!AC7=1,'Project types'!$Q8,'Prepare Gantt Chart'!AC7=0,0)</f>
        <v>0</v>
      </c>
      <c r="Q18" s="83">
        <f>_xlfn.IFS('Prepare Gantt Chart'!AD7=2,'Project types'!$O8,'Prepare Gantt Chart'!AD7=1,'Project types'!$Q8,'Prepare Gantt Chart'!AD7=0,0)</f>
        <v>0</v>
      </c>
      <c r="R18" s="83">
        <f>_xlfn.IFS('Prepare Gantt Chart'!AE7=2,'Project types'!$O8,'Prepare Gantt Chart'!AE7=1,'Project types'!$Q8,'Prepare Gantt Chart'!AE7=0,0)</f>
        <v>0</v>
      </c>
      <c r="S18" s="83">
        <f>_xlfn.IFS('Prepare Gantt Chart'!AF7=2,'Project types'!$O8,'Prepare Gantt Chart'!AF7=1,'Project types'!$Q8,'Prepare Gantt Chart'!AF7=0,0)</f>
        <v>0</v>
      </c>
      <c r="T18" s="83">
        <f>_xlfn.IFS('Prepare Gantt Chart'!AG7=2,'Project types'!$O8,'Prepare Gantt Chart'!AG7=1,'Project types'!$Q8,'Prepare Gantt Chart'!AG7=0,0)</f>
        <v>0</v>
      </c>
      <c r="U18" s="83">
        <f>_xlfn.IFS('Prepare Gantt Chart'!AH7=2,'Project types'!$O8,'Prepare Gantt Chart'!AH7=1,'Project types'!$Q8,'Prepare Gantt Chart'!AH7=0,0)</f>
        <v>0</v>
      </c>
      <c r="V18" s="83">
        <f>_xlfn.IFS('Prepare Gantt Chart'!AI7=2,'Project types'!$O8,'Prepare Gantt Chart'!AI7=1,'Project types'!$Q8,'Prepare Gantt Chart'!AI7=0,0)</f>
        <v>0</v>
      </c>
      <c r="W18" s="83">
        <f>_xlfn.IFS('Prepare Gantt Chart'!AJ7=2,'Project types'!$O8,'Prepare Gantt Chart'!AJ7=1,'Project types'!$Q8,'Prepare Gantt Chart'!AJ7=0,0)</f>
        <v>0</v>
      </c>
      <c r="X18" s="83">
        <f>_xlfn.IFS('Prepare Gantt Chart'!AK7=2,'Project types'!$O8,'Prepare Gantt Chart'!AK7=1,'Project types'!$Q8,'Prepare Gantt Chart'!AK7=0,0)</f>
        <v>0</v>
      </c>
      <c r="Y18" s="83">
        <f>_xlfn.IFS('Prepare Gantt Chart'!AL7=2,'Project types'!$O8,'Prepare Gantt Chart'!AL7=1,'Project types'!$Q8,'Prepare Gantt Chart'!AL7=0,0)</f>
        <v>0</v>
      </c>
      <c r="Z18" s="83">
        <f>_xlfn.IFS('Prepare Gantt Chart'!AM7=2,'Project types'!$O8,'Prepare Gantt Chart'!AM7=1,'Project types'!$Q8,'Prepare Gantt Chart'!AM7=0,0)</f>
        <v>0</v>
      </c>
      <c r="AA18" s="83">
        <f>_xlfn.IFS('Prepare Gantt Chart'!AN7=2,'Project types'!$O8,'Prepare Gantt Chart'!AN7=1,'Project types'!$Q8,'Prepare Gantt Chart'!AN7=0,0)</f>
        <v>0</v>
      </c>
      <c r="AB18" s="83">
        <f>_xlfn.IFS('Prepare Gantt Chart'!AO7=2,'Project types'!$O8,'Prepare Gantt Chart'!AO7=1,'Project types'!$Q8,'Prepare Gantt Chart'!AO7=0,0)</f>
        <v>0</v>
      </c>
      <c r="AC18" s="93">
        <f t="shared" si="0"/>
        <v>0</v>
      </c>
      <c r="AD18" s="86">
        <f>_xlfn.IFS('Prepare Gantt Chart'!P7=2,'Project types'!$L8,'Prepare Gantt Chart'!P7=1,'Project types'!$L8,'Prepare Gantt Chart'!P7=0,0)</f>
        <v>0</v>
      </c>
      <c r="AE18" s="83">
        <f>_xlfn.IFS('Prepare Gantt Chart'!Q7=2,'Project types'!$L8,'Prepare Gantt Chart'!Q7=1,'Project types'!$L8,'Prepare Gantt Chart'!Q7=0,0)</f>
        <v>0</v>
      </c>
      <c r="AF18" s="83">
        <f>_xlfn.IFS('Prepare Gantt Chart'!R7=2,'Project types'!$L8,'Prepare Gantt Chart'!R7=1,'Project types'!$L8,'Prepare Gantt Chart'!R7=0,0)</f>
        <v>0</v>
      </c>
      <c r="AG18" s="83">
        <f>_xlfn.IFS('Prepare Gantt Chart'!S7=2,'Project types'!$L8,'Prepare Gantt Chart'!S7=1,'Project types'!$L8,'Prepare Gantt Chart'!S7=0,0)</f>
        <v>0</v>
      </c>
      <c r="AH18" s="83">
        <f>_xlfn.IFS('Prepare Gantt Chart'!T7=2,'Project types'!$L8,'Prepare Gantt Chart'!T7=1,'Project types'!$L8,'Prepare Gantt Chart'!T7=0,0)</f>
        <v>0</v>
      </c>
      <c r="AI18" s="83">
        <f>_xlfn.IFS('Prepare Gantt Chart'!U7=2,'Project types'!$L8,'Prepare Gantt Chart'!U7=1,'Project types'!$L8,'Prepare Gantt Chart'!U7=0,0)</f>
        <v>0</v>
      </c>
      <c r="AJ18" s="83">
        <f>_xlfn.IFS('Prepare Gantt Chart'!V7=2,'Project types'!$L8,'Prepare Gantt Chart'!V7=1,'Project types'!$L8,'Prepare Gantt Chart'!V7=0,0)</f>
        <v>0</v>
      </c>
      <c r="AK18" s="83">
        <f>_xlfn.IFS('Prepare Gantt Chart'!W7=2,'Project types'!$L8,'Prepare Gantt Chart'!W7=1,'Project types'!$L8,'Prepare Gantt Chart'!W7=0,0)</f>
        <v>0</v>
      </c>
      <c r="AL18" s="83">
        <f>_xlfn.IFS('Prepare Gantt Chart'!X7=2,'Project types'!$L8,'Prepare Gantt Chart'!X7=1,'Project types'!$L8,'Prepare Gantt Chart'!X7=0,0)</f>
        <v>0</v>
      </c>
      <c r="AM18" s="83">
        <f>_xlfn.IFS('Prepare Gantt Chart'!Y7=2,'Project types'!$L8,'Prepare Gantt Chart'!Y7=1,'Project types'!$L8,'Prepare Gantt Chart'!Y7=0,0)</f>
        <v>0</v>
      </c>
      <c r="AN18" s="83">
        <f>_xlfn.IFS('Prepare Gantt Chart'!Z7=2,'Project types'!$L8,'Prepare Gantt Chart'!Z7=1,'Project types'!$L8,'Prepare Gantt Chart'!Z7=0,0)</f>
        <v>0</v>
      </c>
      <c r="AO18" s="83">
        <f>_xlfn.IFS('Prepare Gantt Chart'!AA7=2,'Project types'!$L8,'Prepare Gantt Chart'!AA7=1,'Project types'!$L8,'Prepare Gantt Chart'!AA7=0,0)</f>
        <v>0</v>
      </c>
      <c r="AP18" s="83">
        <f>_xlfn.IFS('Prepare Gantt Chart'!AB7=2,'Project types'!$L8,'Prepare Gantt Chart'!AB7=1,'Project types'!$L8,'Prepare Gantt Chart'!AB7=0,0)</f>
        <v>0</v>
      </c>
      <c r="AQ18" s="83">
        <f>_xlfn.IFS('Prepare Gantt Chart'!AC7=2,'Project types'!$L8,'Prepare Gantt Chart'!AC7=1,'Project types'!$L8,'Prepare Gantt Chart'!AC7=0,0)</f>
        <v>0</v>
      </c>
      <c r="AR18" s="83">
        <f>_xlfn.IFS('Prepare Gantt Chart'!AD7=2,'Project types'!$L8,'Prepare Gantt Chart'!AD7=1,'Project types'!$L8,'Prepare Gantt Chart'!AD7=0,0)</f>
        <v>0</v>
      </c>
      <c r="AS18" s="83">
        <f>_xlfn.IFS('Prepare Gantt Chart'!AE7=2,'Project types'!$L8,'Prepare Gantt Chart'!AE7=1,'Project types'!$L8,'Prepare Gantt Chart'!AE7=0,0)</f>
        <v>0</v>
      </c>
      <c r="AT18" s="83">
        <f>_xlfn.IFS('Prepare Gantt Chart'!AF7=2,'Project types'!$L8,'Prepare Gantt Chart'!AF7=1,'Project types'!$L8,'Prepare Gantt Chart'!AF7=0,0)</f>
        <v>0</v>
      </c>
      <c r="AU18" s="83">
        <f>_xlfn.IFS('Prepare Gantt Chart'!AG7=2,'Project types'!$L8,'Prepare Gantt Chart'!AG7=1,'Project types'!$L8,'Prepare Gantt Chart'!AG7=0,0)</f>
        <v>0</v>
      </c>
      <c r="AV18" s="83">
        <f>_xlfn.IFS('Prepare Gantt Chart'!AH7=2,'Project types'!$L8,'Prepare Gantt Chart'!AH7=1,'Project types'!$L8,'Prepare Gantt Chart'!AH7=0,0)</f>
        <v>0</v>
      </c>
      <c r="AW18" s="83">
        <f>_xlfn.IFS('Prepare Gantt Chart'!AI7=2,'Project types'!$L8,'Prepare Gantt Chart'!AI7=1,'Project types'!$L8,'Prepare Gantt Chart'!AI7=0,0)</f>
        <v>0</v>
      </c>
      <c r="AX18" s="83">
        <f>_xlfn.IFS('Prepare Gantt Chart'!AJ7=2,'Project types'!$L8,'Prepare Gantt Chart'!AJ7=1,'Project types'!$L8,'Prepare Gantt Chart'!AJ7=0,0)</f>
        <v>0</v>
      </c>
      <c r="AY18" s="83">
        <f>_xlfn.IFS('Prepare Gantt Chart'!AK7=2,'Project types'!$L8,'Prepare Gantt Chart'!AK7=1,'Project types'!$L8,'Prepare Gantt Chart'!AK7=0,0)</f>
        <v>0</v>
      </c>
      <c r="AZ18" s="83">
        <f>_xlfn.IFS('Prepare Gantt Chart'!AL7=2,'Project types'!$L8,'Prepare Gantt Chart'!AL7=1,'Project types'!$L8,'Prepare Gantt Chart'!AL7=0,0)</f>
        <v>0</v>
      </c>
      <c r="BA18" s="83">
        <f>_xlfn.IFS('Prepare Gantt Chart'!AM7=2,'Project types'!$L8,'Prepare Gantt Chart'!AM7=1,'Project types'!$L8,'Prepare Gantt Chart'!AM7=0,0)</f>
        <v>0</v>
      </c>
      <c r="BB18" s="83">
        <f>_xlfn.IFS('Prepare Gantt Chart'!AN7=2,'Project types'!$L8,'Prepare Gantt Chart'!AN7=1,'Project types'!$L8,'Prepare Gantt Chart'!AN7=0,0)</f>
        <v>0</v>
      </c>
      <c r="BC18" s="83">
        <f>_xlfn.IFS('Prepare Gantt Chart'!AO7=2,'Project types'!$L8,'Prepare Gantt Chart'!AO7=1,'Project types'!$L8,'Prepare Gantt Chart'!AO7=0,0)</f>
        <v>0</v>
      </c>
      <c r="BD18" s="91">
        <f t="shared" si="1"/>
        <v>0</v>
      </c>
      <c r="CI18" s="85"/>
      <c r="GY18" s="85"/>
    </row>
    <row r="19" spans="1:207" x14ac:dyDescent="0.2">
      <c r="A19" s="1" t="s">
        <v>110</v>
      </c>
      <c r="B19" s="18" t="s">
        <v>8</v>
      </c>
      <c r="C19" s="83">
        <f>_xlfn.IFS('Prepare Gantt Chart'!P8=2,'Project types'!$O9,'Prepare Gantt Chart'!P8=1,'Project types'!$Q9,'Prepare Gantt Chart'!P8=0,0)</f>
        <v>0</v>
      </c>
      <c r="D19" s="83">
        <f>_xlfn.IFS('Prepare Gantt Chart'!Q8=2,'Project types'!$O9,'Prepare Gantt Chart'!Q8=1,'Project types'!$Q9,'Prepare Gantt Chart'!Q8=0,0)</f>
        <v>0</v>
      </c>
      <c r="E19" s="83">
        <f>_xlfn.IFS('Prepare Gantt Chart'!R8=2,'Project types'!$O9,'Prepare Gantt Chart'!R8=1,'Project types'!$Q9,'Prepare Gantt Chart'!R8=0,0)</f>
        <v>0</v>
      </c>
      <c r="F19" s="83">
        <f>_xlfn.IFS('Prepare Gantt Chart'!S8=2,'Project types'!$O9,'Prepare Gantt Chart'!S8=1,'Project types'!$Q9,'Prepare Gantt Chart'!S8=0,0)</f>
        <v>0</v>
      </c>
      <c r="G19" s="83">
        <f>_xlfn.IFS('Prepare Gantt Chart'!T8=2,'Project types'!$O9,'Prepare Gantt Chart'!T8=1,'Project types'!$Q9,'Prepare Gantt Chart'!T8=0,0)</f>
        <v>0</v>
      </c>
      <c r="H19" s="83">
        <f>_xlfn.IFS('Prepare Gantt Chart'!U8=2,'Project types'!$O9,'Prepare Gantt Chart'!U8=1,'Project types'!$Q9,'Prepare Gantt Chart'!U8=0,0)</f>
        <v>0</v>
      </c>
      <c r="I19" s="83">
        <f>_xlfn.IFS('Prepare Gantt Chart'!V8=2,'Project types'!$O9,'Prepare Gantt Chart'!V8=1,'Project types'!$Q9,'Prepare Gantt Chart'!V8=0,0)</f>
        <v>0</v>
      </c>
      <c r="J19" s="83">
        <f>_xlfn.IFS('Prepare Gantt Chart'!W8=2,'Project types'!$O9,'Prepare Gantt Chart'!W8=1,'Project types'!$Q9,'Prepare Gantt Chart'!W8=0,0)</f>
        <v>0</v>
      </c>
      <c r="K19" s="83">
        <f>_xlfn.IFS('Prepare Gantt Chart'!X8=2,'Project types'!$O9,'Prepare Gantt Chart'!X8=1,'Project types'!$Q9,'Prepare Gantt Chart'!X8=0,0)</f>
        <v>0</v>
      </c>
      <c r="L19" s="83">
        <f>_xlfn.IFS('Prepare Gantt Chart'!Y8=2,'Project types'!$O9,'Prepare Gantt Chart'!Y8=1,'Project types'!$Q9,'Prepare Gantt Chart'!Y8=0,0)</f>
        <v>0</v>
      </c>
      <c r="M19" s="83">
        <f>_xlfn.IFS('Prepare Gantt Chart'!Z8=2,'Project types'!$O9,'Prepare Gantt Chart'!Z8=1,'Project types'!$Q9,'Prepare Gantt Chart'!Z8=0,0)</f>
        <v>0</v>
      </c>
      <c r="N19" s="83">
        <f>_xlfn.IFS('Prepare Gantt Chart'!AA8=2,'Project types'!$O9,'Prepare Gantt Chart'!AA8=1,'Project types'!$Q9,'Prepare Gantt Chart'!AA8=0,0)</f>
        <v>0</v>
      </c>
      <c r="O19" s="83">
        <f>_xlfn.IFS('Prepare Gantt Chart'!AB8=2,'Project types'!$O9,'Prepare Gantt Chart'!AB8=1,'Project types'!$Q9,'Prepare Gantt Chart'!AB8=0,0)</f>
        <v>0</v>
      </c>
      <c r="P19" s="83">
        <f>_xlfn.IFS('Prepare Gantt Chart'!AC8=2,'Project types'!$O9,'Prepare Gantt Chart'!AC8=1,'Project types'!$Q9,'Prepare Gantt Chart'!AC8=0,0)</f>
        <v>0</v>
      </c>
      <c r="Q19" s="83">
        <f>_xlfn.IFS('Prepare Gantt Chart'!AD8=2,'Project types'!$O9,'Prepare Gantt Chart'!AD8=1,'Project types'!$Q9,'Prepare Gantt Chart'!AD8=0,0)</f>
        <v>0</v>
      </c>
      <c r="R19" s="83">
        <f>_xlfn.IFS('Prepare Gantt Chart'!AE8=2,'Project types'!$O9,'Prepare Gantt Chart'!AE8=1,'Project types'!$Q9,'Prepare Gantt Chart'!AE8=0,0)</f>
        <v>0</v>
      </c>
      <c r="S19" s="83">
        <f>_xlfn.IFS('Prepare Gantt Chart'!AF8=2,'Project types'!$O9,'Prepare Gantt Chart'!AF8=1,'Project types'!$Q9,'Prepare Gantt Chart'!AF8=0,0)</f>
        <v>0</v>
      </c>
      <c r="T19" s="83">
        <f>_xlfn.IFS('Prepare Gantt Chart'!AG8=2,'Project types'!$O9,'Prepare Gantt Chart'!AG8=1,'Project types'!$Q9,'Prepare Gantt Chart'!AG8=0,0)</f>
        <v>0</v>
      </c>
      <c r="U19" s="83">
        <f>_xlfn.IFS('Prepare Gantt Chart'!AH8=2,'Project types'!$O9,'Prepare Gantt Chart'!AH8=1,'Project types'!$Q9,'Prepare Gantt Chart'!AH8=0,0)</f>
        <v>0</v>
      </c>
      <c r="V19" s="83">
        <f>_xlfn.IFS('Prepare Gantt Chart'!AI8=2,'Project types'!$O9,'Prepare Gantt Chart'!AI8=1,'Project types'!$Q9,'Prepare Gantt Chart'!AI8=0,0)</f>
        <v>0</v>
      </c>
      <c r="W19" s="83">
        <f>_xlfn.IFS('Prepare Gantt Chart'!AJ8=2,'Project types'!$O9,'Prepare Gantt Chart'!AJ8=1,'Project types'!$Q9,'Prepare Gantt Chart'!AJ8=0,0)</f>
        <v>0</v>
      </c>
      <c r="X19" s="83">
        <f>_xlfn.IFS('Prepare Gantt Chart'!AK8=2,'Project types'!$O9,'Prepare Gantt Chart'!AK8=1,'Project types'!$Q9,'Prepare Gantt Chart'!AK8=0,0)</f>
        <v>0</v>
      </c>
      <c r="Y19" s="83">
        <f>_xlfn.IFS('Prepare Gantt Chart'!AL8=2,'Project types'!$O9,'Prepare Gantt Chart'!AL8=1,'Project types'!$Q9,'Prepare Gantt Chart'!AL8=0,0)</f>
        <v>0</v>
      </c>
      <c r="Z19" s="83">
        <f>_xlfn.IFS('Prepare Gantt Chart'!AM8=2,'Project types'!$O9,'Prepare Gantt Chart'!AM8=1,'Project types'!$Q9,'Prepare Gantt Chart'!AM8=0,0)</f>
        <v>0</v>
      </c>
      <c r="AA19" s="83">
        <f>_xlfn.IFS('Prepare Gantt Chart'!AN8=2,'Project types'!$O9,'Prepare Gantt Chart'!AN8=1,'Project types'!$Q9,'Prepare Gantt Chart'!AN8=0,0)</f>
        <v>0</v>
      </c>
      <c r="AB19" s="83">
        <f>_xlfn.IFS('Prepare Gantt Chart'!AO8=2,'Project types'!$O9,'Prepare Gantt Chart'!AO8=1,'Project types'!$Q9,'Prepare Gantt Chart'!AO8=0,0)</f>
        <v>0</v>
      </c>
      <c r="AC19" s="93">
        <f t="shared" si="0"/>
        <v>0</v>
      </c>
      <c r="AD19" s="86">
        <f>_xlfn.IFS('Prepare Gantt Chart'!P8=2,'Project types'!$L9,'Prepare Gantt Chart'!P8=1,'Project types'!$L9,'Prepare Gantt Chart'!P8=0,0)</f>
        <v>0</v>
      </c>
      <c r="AE19" s="83">
        <f>_xlfn.IFS('Prepare Gantt Chart'!Q8=2,'Project types'!$L9,'Prepare Gantt Chart'!Q8=1,'Project types'!$L9,'Prepare Gantt Chart'!Q8=0,0)</f>
        <v>0</v>
      </c>
      <c r="AF19" s="83">
        <f>_xlfn.IFS('Prepare Gantt Chart'!R8=2,'Project types'!$L9,'Prepare Gantt Chart'!R8=1,'Project types'!$L9,'Prepare Gantt Chart'!R8=0,0)</f>
        <v>0</v>
      </c>
      <c r="AG19" s="83">
        <f>_xlfn.IFS('Prepare Gantt Chart'!S8=2,'Project types'!$L9,'Prepare Gantt Chart'!S8=1,'Project types'!$L9,'Prepare Gantt Chart'!S8=0,0)</f>
        <v>0</v>
      </c>
      <c r="AH19" s="83">
        <f>_xlfn.IFS('Prepare Gantt Chart'!T8=2,'Project types'!$L9,'Prepare Gantt Chart'!T8=1,'Project types'!$L9,'Prepare Gantt Chart'!T8=0,0)</f>
        <v>0</v>
      </c>
      <c r="AI19" s="83">
        <f>_xlfn.IFS('Prepare Gantt Chart'!U8=2,'Project types'!$L9,'Prepare Gantt Chart'!U8=1,'Project types'!$L9,'Prepare Gantt Chart'!U8=0,0)</f>
        <v>0</v>
      </c>
      <c r="AJ19" s="83">
        <f>_xlfn.IFS('Prepare Gantt Chart'!V8=2,'Project types'!$L9,'Prepare Gantt Chart'!V8=1,'Project types'!$L9,'Prepare Gantt Chart'!V8=0,0)</f>
        <v>0</v>
      </c>
      <c r="AK19" s="83">
        <f>_xlfn.IFS('Prepare Gantt Chart'!W8=2,'Project types'!$L9,'Prepare Gantt Chart'!W8=1,'Project types'!$L9,'Prepare Gantt Chart'!W8=0,0)</f>
        <v>0</v>
      </c>
      <c r="AL19" s="83">
        <f>_xlfn.IFS('Prepare Gantt Chart'!X8=2,'Project types'!$L9,'Prepare Gantt Chart'!X8=1,'Project types'!$L9,'Prepare Gantt Chart'!X8=0,0)</f>
        <v>0</v>
      </c>
      <c r="AM19" s="83">
        <f>_xlfn.IFS('Prepare Gantt Chart'!Y8=2,'Project types'!$L9,'Prepare Gantt Chart'!Y8=1,'Project types'!$L9,'Prepare Gantt Chart'!Y8=0,0)</f>
        <v>0</v>
      </c>
      <c r="AN19" s="83">
        <f>_xlfn.IFS('Prepare Gantt Chart'!Z8=2,'Project types'!$L9,'Prepare Gantt Chart'!Z8=1,'Project types'!$L9,'Prepare Gantt Chart'!Z8=0,0)</f>
        <v>0</v>
      </c>
      <c r="AO19" s="83">
        <f>_xlfn.IFS('Prepare Gantt Chart'!AA8=2,'Project types'!$L9,'Prepare Gantt Chart'!AA8=1,'Project types'!$L9,'Prepare Gantt Chart'!AA8=0,0)</f>
        <v>0</v>
      </c>
      <c r="AP19" s="83">
        <f>_xlfn.IFS('Prepare Gantt Chart'!AB8=2,'Project types'!$L9,'Prepare Gantt Chart'!AB8=1,'Project types'!$L9,'Prepare Gantt Chart'!AB8=0,0)</f>
        <v>0</v>
      </c>
      <c r="AQ19" s="83">
        <f>_xlfn.IFS('Prepare Gantt Chart'!AC8=2,'Project types'!$L9,'Prepare Gantt Chart'!AC8=1,'Project types'!$L9,'Prepare Gantt Chart'!AC8=0,0)</f>
        <v>0</v>
      </c>
      <c r="AR19" s="83">
        <f>_xlfn.IFS('Prepare Gantt Chart'!AD8=2,'Project types'!$L9,'Prepare Gantt Chart'!AD8=1,'Project types'!$L9,'Prepare Gantt Chart'!AD8=0,0)</f>
        <v>0</v>
      </c>
      <c r="AS19" s="83">
        <f>_xlfn.IFS('Prepare Gantt Chart'!AE8=2,'Project types'!$L9,'Prepare Gantt Chart'!AE8=1,'Project types'!$L9,'Prepare Gantt Chart'!AE8=0,0)</f>
        <v>0</v>
      </c>
      <c r="AT19" s="83">
        <f>_xlfn.IFS('Prepare Gantt Chart'!AF8=2,'Project types'!$L9,'Prepare Gantt Chart'!AF8=1,'Project types'!$L9,'Prepare Gantt Chart'!AF8=0,0)</f>
        <v>0</v>
      </c>
      <c r="AU19" s="83">
        <f>_xlfn.IFS('Prepare Gantt Chart'!AG8=2,'Project types'!$L9,'Prepare Gantt Chart'!AG8=1,'Project types'!$L9,'Prepare Gantt Chart'!AG8=0,0)</f>
        <v>0</v>
      </c>
      <c r="AV19" s="83">
        <f>_xlfn.IFS('Prepare Gantt Chart'!AH8=2,'Project types'!$L9,'Prepare Gantt Chart'!AH8=1,'Project types'!$L9,'Prepare Gantt Chart'!AH8=0,0)</f>
        <v>0</v>
      </c>
      <c r="AW19" s="83">
        <f>_xlfn.IFS('Prepare Gantt Chart'!AI8=2,'Project types'!$L9,'Prepare Gantt Chart'!AI8=1,'Project types'!$L9,'Prepare Gantt Chart'!AI8=0,0)</f>
        <v>0</v>
      </c>
      <c r="AX19" s="83">
        <f>_xlfn.IFS('Prepare Gantt Chart'!AJ8=2,'Project types'!$L9,'Prepare Gantt Chart'!AJ8=1,'Project types'!$L9,'Prepare Gantt Chart'!AJ8=0,0)</f>
        <v>0</v>
      </c>
      <c r="AY19" s="83">
        <f>_xlfn.IFS('Prepare Gantt Chart'!AK8=2,'Project types'!$L9,'Prepare Gantt Chart'!AK8=1,'Project types'!$L9,'Prepare Gantt Chart'!AK8=0,0)</f>
        <v>0</v>
      </c>
      <c r="AZ19" s="83">
        <f>_xlfn.IFS('Prepare Gantt Chart'!AL8=2,'Project types'!$L9,'Prepare Gantt Chart'!AL8=1,'Project types'!$L9,'Prepare Gantt Chart'!AL8=0,0)</f>
        <v>0</v>
      </c>
      <c r="BA19" s="83">
        <f>_xlfn.IFS('Prepare Gantt Chart'!AM8=2,'Project types'!$L9,'Prepare Gantt Chart'!AM8=1,'Project types'!$L9,'Prepare Gantt Chart'!AM8=0,0)</f>
        <v>0</v>
      </c>
      <c r="BB19" s="83">
        <f>_xlfn.IFS('Prepare Gantt Chart'!AN8=2,'Project types'!$L9,'Prepare Gantt Chart'!AN8=1,'Project types'!$L9,'Prepare Gantt Chart'!AN8=0,0)</f>
        <v>0</v>
      </c>
      <c r="BC19" s="83">
        <f>_xlfn.IFS('Prepare Gantt Chart'!AO8=2,'Project types'!$L9,'Prepare Gantt Chart'!AO8=1,'Project types'!$L9,'Prepare Gantt Chart'!AO8=0,0)</f>
        <v>0</v>
      </c>
      <c r="BD19" s="91">
        <f t="shared" si="1"/>
        <v>0</v>
      </c>
      <c r="CI19" s="85"/>
      <c r="GY19" s="85"/>
    </row>
    <row r="20" spans="1:207" x14ac:dyDescent="0.2">
      <c r="A20" s="1" t="s">
        <v>111</v>
      </c>
      <c r="B20" s="18" t="s">
        <v>9</v>
      </c>
      <c r="C20" s="83">
        <f>_xlfn.IFS('Prepare Gantt Chart'!P9=2,'Project types'!$O10,'Prepare Gantt Chart'!P9=1,'Project types'!$Q10,'Prepare Gantt Chart'!P9=0,0)</f>
        <v>0</v>
      </c>
      <c r="D20" s="83">
        <f>_xlfn.IFS('Prepare Gantt Chart'!Q9=2,'Project types'!$O10,'Prepare Gantt Chart'!Q9=1,'Project types'!$Q10,'Prepare Gantt Chart'!Q9=0,0)</f>
        <v>0</v>
      </c>
      <c r="E20" s="83">
        <f>_xlfn.IFS('Prepare Gantt Chart'!R9=2,'Project types'!$O10,'Prepare Gantt Chart'!R9=1,'Project types'!$Q10,'Prepare Gantt Chart'!R9=0,0)</f>
        <v>0</v>
      </c>
      <c r="F20" s="83">
        <f>_xlfn.IFS('Prepare Gantt Chart'!S9=2,'Project types'!$O10,'Prepare Gantt Chart'!S9=1,'Project types'!$Q10,'Prepare Gantt Chart'!S9=0,0)</f>
        <v>0</v>
      </c>
      <c r="G20" s="83">
        <f>_xlfn.IFS('Prepare Gantt Chart'!T9=2,'Project types'!$O10,'Prepare Gantt Chart'!T9=1,'Project types'!$Q10,'Prepare Gantt Chart'!T9=0,0)</f>
        <v>0</v>
      </c>
      <c r="H20" s="83">
        <f>_xlfn.IFS('Prepare Gantt Chart'!U9=2,'Project types'!$O10,'Prepare Gantt Chart'!U9=1,'Project types'!$Q10,'Prepare Gantt Chart'!U9=0,0)</f>
        <v>0</v>
      </c>
      <c r="I20" s="83">
        <f>_xlfn.IFS('Prepare Gantt Chart'!V9=2,'Project types'!$O10,'Prepare Gantt Chart'!V9=1,'Project types'!$Q10,'Prepare Gantt Chart'!V9=0,0)</f>
        <v>0</v>
      </c>
      <c r="J20" s="83">
        <f>_xlfn.IFS('Prepare Gantt Chart'!W9=2,'Project types'!$O10,'Prepare Gantt Chart'!W9=1,'Project types'!$Q10,'Prepare Gantt Chart'!W9=0,0)</f>
        <v>0</v>
      </c>
      <c r="K20" s="83">
        <f>_xlfn.IFS('Prepare Gantt Chart'!X9=2,'Project types'!$O10,'Prepare Gantt Chart'!X9=1,'Project types'!$Q10,'Prepare Gantt Chart'!X9=0,0)</f>
        <v>0</v>
      </c>
      <c r="L20" s="83">
        <f>_xlfn.IFS('Prepare Gantt Chart'!Y9=2,'Project types'!$O10,'Prepare Gantt Chart'!Y9=1,'Project types'!$Q10,'Prepare Gantt Chart'!Y9=0,0)</f>
        <v>0</v>
      </c>
      <c r="M20" s="83">
        <f>_xlfn.IFS('Prepare Gantt Chart'!Z9=2,'Project types'!$O10,'Prepare Gantt Chart'!Z9=1,'Project types'!$Q10,'Prepare Gantt Chart'!Z9=0,0)</f>
        <v>0</v>
      </c>
      <c r="N20" s="83">
        <f>_xlfn.IFS('Prepare Gantt Chart'!AA9=2,'Project types'!$O10,'Prepare Gantt Chart'!AA9=1,'Project types'!$Q10,'Prepare Gantt Chart'!AA9=0,0)</f>
        <v>0</v>
      </c>
      <c r="O20" s="83">
        <f>_xlfn.IFS('Prepare Gantt Chart'!AB9=2,'Project types'!$O10,'Prepare Gantt Chart'!AB9=1,'Project types'!$Q10,'Prepare Gantt Chart'!AB9=0,0)</f>
        <v>0</v>
      </c>
      <c r="P20" s="83">
        <f>_xlfn.IFS('Prepare Gantt Chart'!AC9=2,'Project types'!$O10,'Prepare Gantt Chart'!AC9=1,'Project types'!$Q10,'Prepare Gantt Chart'!AC9=0,0)</f>
        <v>0</v>
      </c>
      <c r="Q20" s="83">
        <f>_xlfn.IFS('Prepare Gantt Chart'!AD9=2,'Project types'!$O10,'Prepare Gantt Chart'!AD9=1,'Project types'!$Q10,'Prepare Gantt Chart'!AD9=0,0)</f>
        <v>0</v>
      </c>
      <c r="R20" s="83">
        <f>_xlfn.IFS('Prepare Gantt Chart'!AE9=2,'Project types'!$O10,'Prepare Gantt Chart'!AE9=1,'Project types'!$Q10,'Prepare Gantt Chart'!AE9=0,0)</f>
        <v>0</v>
      </c>
      <c r="S20" s="83">
        <f>_xlfn.IFS('Prepare Gantt Chart'!AF9=2,'Project types'!$O10,'Prepare Gantt Chart'!AF9=1,'Project types'!$Q10,'Prepare Gantt Chart'!AF9=0,0)</f>
        <v>0</v>
      </c>
      <c r="T20" s="83">
        <f>_xlfn.IFS('Prepare Gantt Chart'!AG9=2,'Project types'!$O10,'Prepare Gantt Chart'!AG9=1,'Project types'!$Q10,'Prepare Gantt Chart'!AG9=0,0)</f>
        <v>0</v>
      </c>
      <c r="U20" s="83">
        <f>_xlfn.IFS('Prepare Gantt Chart'!AH9=2,'Project types'!$O10,'Prepare Gantt Chart'!AH9=1,'Project types'!$Q10,'Prepare Gantt Chart'!AH9=0,0)</f>
        <v>0</v>
      </c>
      <c r="V20" s="83">
        <f>_xlfn.IFS('Prepare Gantt Chart'!AI9=2,'Project types'!$O10,'Prepare Gantt Chart'!AI9=1,'Project types'!$Q10,'Prepare Gantt Chart'!AI9=0,0)</f>
        <v>0</v>
      </c>
      <c r="W20" s="83">
        <f>_xlfn.IFS('Prepare Gantt Chart'!AJ9=2,'Project types'!$O10,'Prepare Gantt Chart'!AJ9=1,'Project types'!$Q10,'Prepare Gantt Chart'!AJ9=0,0)</f>
        <v>0</v>
      </c>
      <c r="X20" s="83">
        <f>_xlfn.IFS('Prepare Gantt Chart'!AK9=2,'Project types'!$O10,'Prepare Gantt Chart'!AK9=1,'Project types'!$Q10,'Prepare Gantt Chart'!AK9=0,0)</f>
        <v>0</v>
      </c>
      <c r="Y20" s="83">
        <f>_xlfn.IFS('Prepare Gantt Chart'!AL9=2,'Project types'!$O10,'Prepare Gantt Chart'!AL9=1,'Project types'!$Q10,'Prepare Gantt Chart'!AL9=0,0)</f>
        <v>0</v>
      </c>
      <c r="Z20" s="83">
        <f>_xlfn.IFS('Prepare Gantt Chart'!AM9=2,'Project types'!$O10,'Prepare Gantt Chart'!AM9=1,'Project types'!$Q10,'Prepare Gantt Chart'!AM9=0,0)</f>
        <v>0</v>
      </c>
      <c r="AA20" s="83">
        <f>_xlfn.IFS('Prepare Gantt Chart'!AN9=2,'Project types'!$O10,'Prepare Gantt Chart'!AN9=1,'Project types'!$Q10,'Prepare Gantt Chart'!AN9=0,0)</f>
        <v>0</v>
      </c>
      <c r="AB20" s="83">
        <f>_xlfn.IFS('Prepare Gantt Chart'!AO9=2,'Project types'!$O10,'Prepare Gantt Chart'!AO9=1,'Project types'!$Q10,'Prepare Gantt Chart'!AO9=0,0)</f>
        <v>0</v>
      </c>
      <c r="AC20" s="93">
        <f t="shared" si="0"/>
        <v>0</v>
      </c>
      <c r="AD20" s="86">
        <f>_xlfn.IFS('Prepare Gantt Chart'!P9=2,'Project types'!$L10,'Prepare Gantt Chart'!P9=1,'Project types'!$L10,'Prepare Gantt Chart'!P9=0,0)</f>
        <v>0</v>
      </c>
      <c r="AE20" s="83">
        <f>_xlfn.IFS('Prepare Gantt Chart'!Q9=2,'Project types'!$L10,'Prepare Gantt Chart'!Q9=1,'Project types'!$L10,'Prepare Gantt Chart'!Q9=0,0)</f>
        <v>0</v>
      </c>
      <c r="AF20" s="83">
        <f>_xlfn.IFS('Prepare Gantt Chart'!R9=2,'Project types'!$L10,'Prepare Gantt Chart'!R9=1,'Project types'!$L10,'Prepare Gantt Chart'!R9=0,0)</f>
        <v>0</v>
      </c>
      <c r="AG20" s="83">
        <f>_xlfn.IFS('Prepare Gantt Chart'!S9=2,'Project types'!$L10,'Prepare Gantt Chart'!S9=1,'Project types'!$L10,'Prepare Gantt Chart'!S9=0,0)</f>
        <v>0</v>
      </c>
      <c r="AH20" s="83">
        <f>_xlfn.IFS('Prepare Gantt Chart'!T9=2,'Project types'!$L10,'Prepare Gantt Chart'!T9=1,'Project types'!$L10,'Prepare Gantt Chart'!T9=0,0)</f>
        <v>0</v>
      </c>
      <c r="AI20" s="83">
        <f>_xlfn.IFS('Prepare Gantt Chart'!U9=2,'Project types'!$L10,'Prepare Gantt Chart'!U9=1,'Project types'!$L10,'Prepare Gantt Chart'!U9=0,0)</f>
        <v>0</v>
      </c>
      <c r="AJ20" s="83">
        <f>_xlfn.IFS('Prepare Gantt Chart'!V9=2,'Project types'!$L10,'Prepare Gantt Chart'!V9=1,'Project types'!$L10,'Prepare Gantt Chart'!V9=0,0)</f>
        <v>0</v>
      </c>
      <c r="AK20" s="83">
        <f>_xlfn.IFS('Prepare Gantt Chart'!W9=2,'Project types'!$L10,'Prepare Gantt Chart'!W9=1,'Project types'!$L10,'Prepare Gantt Chart'!W9=0,0)</f>
        <v>0</v>
      </c>
      <c r="AL20" s="83">
        <f>_xlfn.IFS('Prepare Gantt Chart'!X9=2,'Project types'!$L10,'Prepare Gantt Chart'!X9=1,'Project types'!$L10,'Prepare Gantt Chart'!X9=0,0)</f>
        <v>0</v>
      </c>
      <c r="AM20" s="83">
        <f>_xlfn.IFS('Prepare Gantt Chart'!Y9=2,'Project types'!$L10,'Prepare Gantt Chart'!Y9=1,'Project types'!$L10,'Prepare Gantt Chart'!Y9=0,0)</f>
        <v>0</v>
      </c>
      <c r="AN20" s="83">
        <f>_xlfn.IFS('Prepare Gantt Chart'!Z9=2,'Project types'!$L10,'Prepare Gantt Chart'!Z9=1,'Project types'!$L10,'Prepare Gantt Chart'!Z9=0,0)</f>
        <v>0</v>
      </c>
      <c r="AO20" s="83">
        <f>_xlfn.IFS('Prepare Gantt Chart'!AA9=2,'Project types'!$L10,'Prepare Gantt Chart'!AA9=1,'Project types'!$L10,'Prepare Gantt Chart'!AA9=0,0)</f>
        <v>0</v>
      </c>
      <c r="AP20" s="83">
        <f>_xlfn.IFS('Prepare Gantt Chart'!AB9=2,'Project types'!$L10,'Prepare Gantt Chart'!AB9=1,'Project types'!$L10,'Prepare Gantt Chart'!AB9=0,0)</f>
        <v>0</v>
      </c>
      <c r="AQ20" s="83">
        <f>_xlfn.IFS('Prepare Gantt Chart'!AC9=2,'Project types'!$L10,'Prepare Gantt Chart'!AC9=1,'Project types'!$L10,'Prepare Gantt Chart'!AC9=0,0)</f>
        <v>0</v>
      </c>
      <c r="AR20" s="83">
        <f>_xlfn.IFS('Prepare Gantt Chart'!AD9=2,'Project types'!$L10,'Prepare Gantt Chart'!AD9=1,'Project types'!$L10,'Prepare Gantt Chart'!AD9=0,0)</f>
        <v>0</v>
      </c>
      <c r="AS20" s="83">
        <f>_xlfn.IFS('Prepare Gantt Chart'!AE9=2,'Project types'!$L10,'Prepare Gantt Chart'!AE9=1,'Project types'!$L10,'Prepare Gantt Chart'!AE9=0,0)</f>
        <v>0</v>
      </c>
      <c r="AT20" s="83">
        <f>_xlfn.IFS('Prepare Gantt Chart'!AF9=2,'Project types'!$L10,'Prepare Gantt Chart'!AF9=1,'Project types'!$L10,'Prepare Gantt Chart'!AF9=0,0)</f>
        <v>0</v>
      </c>
      <c r="AU20" s="83">
        <f>_xlfn.IFS('Prepare Gantt Chart'!AG9=2,'Project types'!$L10,'Prepare Gantt Chart'!AG9=1,'Project types'!$L10,'Prepare Gantt Chart'!AG9=0,0)</f>
        <v>0</v>
      </c>
      <c r="AV20" s="83">
        <f>_xlfn.IFS('Prepare Gantt Chart'!AH9=2,'Project types'!$L10,'Prepare Gantt Chart'!AH9=1,'Project types'!$L10,'Prepare Gantt Chart'!AH9=0,0)</f>
        <v>0</v>
      </c>
      <c r="AW20" s="83">
        <f>_xlfn.IFS('Prepare Gantt Chart'!AI9=2,'Project types'!$L10,'Prepare Gantt Chart'!AI9=1,'Project types'!$L10,'Prepare Gantt Chart'!AI9=0,0)</f>
        <v>0</v>
      </c>
      <c r="AX20" s="83">
        <f>_xlfn.IFS('Prepare Gantt Chart'!AJ9=2,'Project types'!$L10,'Prepare Gantt Chart'!AJ9=1,'Project types'!$L10,'Prepare Gantt Chart'!AJ9=0,0)</f>
        <v>0</v>
      </c>
      <c r="AY20" s="83">
        <f>_xlfn.IFS('Prepare Gantt Chart'!AK9=2,'Project types'!$L10,'Prepare Gantt Chart'!AK9=1,'Project types'!$L10,'Prepare Gantt Chart'!AK9=0,0)</f>
        <v>0</v>
      </c>
      <c r="AZ20" s="83">
        <f>_xlfn.IFS('Prepare Gantt Chart'!AL9=2,'Project types'!$L10,'Prepare Gantt Chart'!AL9=1,'Project types'!$L10,'Prepare Gantt Chart'!AL9=0,0)</f>
        <v>0</v>
      </c>
      <c r="BA20" s="83">
        <f>_xlfn.IFS('Prepare Gantt Chart'!AM9=2,'Project types'!$L10,'Prepare Gantt Chart'!AM9=1,'Project types'!$L10,'Prepare Gantt Chart'!AM9=0,0)</f>
        <v>0</v>
      </c>
      <c r="BB20" s="83">
        <f>_xlfn.IFS('Prepare Gantt Chart'!AN9=2,'Project types'!$L10,'Prepare Gantt Chart'!AN9=1,'Project types'!$L10,'Prepare Gantt Chart'!AN9=0,0)</f>
        <v>0</v>
      </c>
      <c r="BC20" s="83">
        <f>_xlfn.IFS('Prepare Gantt Chart'!AO9=2,'Project types'!$L10,'Prepare Gantt Chart'!AO9=1,'Project types'!$L10,'Prepare Gantt Chart'!AO9=0,0)</f>
        <v>0</v>
      </c>
      <c r="BD20" s="91">
        <f t="shared" si="1"/>
        <v>0</v>
      </c>
      <c r="CI20" s="85"/>
      <c r="GY20" s="85"/>
    </row>
    <row r="21" spans="1:207" x14ac:dyDescent="0.2">
      <c r="A21" s="1" t="s">
        <v>112</v>
      </c>
      <c r="B21" s="18" t="s">
        <v>10</v>
      </c>
      <c r="C21" s="83">
        <f>_xlfn.IFS('Prepare Gantt Chart'!P10=2,'Project types'!$O11,'Prepare Gantt Chart'!P10=1,'Project types'!$Q11,'Prepare Gantt Chart'!P10=0,0)</f>
        <v>0</v>
      </c>
      <c r="D21" s="83">
        <f>_xlfn.IFS('Prepare Gantt Chart'!Q10=2,'Project types'!$O11,'Prepare Gantt Chart'!Q10=1,'Project types'!$Q11,'Prepare Gantt Chart'!Q10=0,0)</f>
        <v>0</v>
      </c>
      <c r="E21" s="83">
        <f>_xlfn.IFS('Prepare Gantt Chart'!R10=2,'Project types'!$O11,'Prepare Gantt Chart'!R10=1,'Project types'!$Q11,'Prepare Gantt Chart'!R10=0,0)</f>
        <v>0</v>
      </c>
      <c r="F21" s="83">
        <f>_xlfn.IFS('Prepare Gantt Chart'!S10=2,'Project types'!$O11,'Prepare Gantt Chart'!S10=1,'Project types'!$Q11,'Prepare Gantt Chart'!S10=0,0)</f>
        <v>0</v>
      </c>
      <c r="G21" s="83">
        <f>_xlfn.IFS('Prepare Gantt Chart'!T10=2,'Project types'!$O11,'Prepare Gantt Chart'!T10=1,'Project types'!$Q11,'Prepare Gantt Chart'!T10=0,0)</f>
        <v>0</v>
      </c>
      <c r="H21" s="83">
        <f>_xlfn.IFS('Prepare Gantt Chart'!U10=2,'Project types'!$O11,'Prepare Gantt Chart'!U10=1,'Project types'!$Q11,'Prepare Gantt Chart'!U10=0,0)</f>
        <v>0</v>
      </c>
      <c r="I21" s="83">
        <f>_xlfn.IFS('Prepare Gantt Chart'!V10=2,'Project types'!$O11,'Prepare Gantt Chart'!V10=1,'Project types'!$Q11,'Prepare Gantt Chart'!V10=0,0)</f>
        <v>0</v>
      </c>
      <c r="J21" s="83">
        <f>_xlfn.IFS('Prepare Gantt Chart'!W10=2,'Project types'!$O11,'Prepare Gantt Chart'!W10=1,'Project types'!$Q11,'Prepare Gantt Chart'!W10=0,0)</f>
        <v>0</v>
      </c>
      <c r="K21" s="83">
        <f>_xlfn.IFS('Prepare Gantt Chart'!X10=2,'Project types'!$O11,'Prepare Gantt Chart'!X10=1,'Project types'!$Q11,'Prepare Gantt Chart'!X10=0,0)</f>
        <v>0</v>
      </c>
      <c r="L21" s="83">
        <f>_xlfn.IFS('Prepare Gantt Chart'!Y10=2,'Project types'!$O11,'Prepare Gantt Chart'!Y10=1,'Project types'!$Q11,'Prepare Gantt Chart'!Y10=0,0)</f>
        <v>0</v>
      </c>
      <c r="M21" s="83">
        <f>_xlfn.IFS('Prepare Gantt Chart'!Z10=2,'Project types'!$O11,'Prepare Gantt Chart'!Z10=1,'Project types'!$Q11,'Prepare Gantt Chart'!Z10=0,0)</f>
        <v>0</v>
      </c>
      <c r="N21" s="83">
        <f>_xlfn.IFS('Prepare Gantt Chart'!AA10=2,'Project types'!$O11,'Prepare Gantt Chart'!AA10=1,'Project types'!$Q11,'Prepare Gantt Chart'!AA10=0,0)</f>
        <v>0</v>
      </c>
      <c r="O21" s="83">
        <f>_xlfn.IFS('Prepare Gantt Chart'!AB10=2,'Project types'!$O11,'Prepare Gantt Chart'!AB10=1,'Project types'!$Q11,'Prepare Gantt Chart'!AB10=0,0)</f>
        <v>0</v>
      </c>
      <c r="P21" s="83">
        <f>_xlfn.IFS('Prepare Gantt Chart'!AC10=2,'Project types'!$O11,'Prepare Gantt Chart'!AC10=1,'Project types'!$Q11,'Prepare Gantt Chart'!AC10=0,0)</f>
        <v>0</v>
      </c>
      <c r="Q21" s="83">
        <f>_xlfn.IFS('Prepare Gantt Chart'!AD10=2,'Project types'!$O11,'Prepare Gantt Chart'!AD10=1,'Project types'!$Q11,'Prepare Gantt Chart'!AD10=0,0)</f>
        <v>0</v>
      </c>
      <c r="R21" s="83">
        <f>_xlfn.IFS('Prepare Gantt Chart'!AE10=2,'Project types'!$O11,'Prepare Gantt Chart'!AE10=1,'Project types'!$Q11,'Prepare Gantt Chart'!AE10=0,0)</f>
        <v>0</v>
      </c>
      <c r="S21" s="83">
        <f>_xlfn.IFS('Prepare Gantt Chart'!AF10=2,'Project types'!$O11,'Prepare Gantt Chart'!AF10=1,'Project types'!$Q11,'Prepare Gantt Chart'!AF10=0,0)</f>
        <v>0</v>
      </c>
      <c r="T21" s="83">
        <f>_xlfn.IFS('Prepare Gantt Chart'!AG10=2,'Project types'!$O11,'Prepare Gantt Chart'!AG10=1,'Project types'!$Q11,'Prepare Gantt Chart'!AG10=0,0)</f>
        <v>0</v>
      </c>
      <c r="U21" s="83">
        <f>_xlfn.IFS('Prepare Gantt Chart'!AH10=2,'Project types'!$O11,'Prepare Gantt Chart'!AH10=1,'Project types'!$Q11,'Prepare Gantt Chart'!AH10=0,0)</f>
        <v>0</v>
      </c>
      <c r="V21" s="83">
        <f>_xlfn.IFS('Prepare Gantt Chart'!AI10=2,'Project types'!$O11,'Prepare Gantt Chart'!AI10=1,'Project types'!$Q11,'Prepare Gantt Chart'!AI10=0,0)</f>
        <v>0</v>
      </c>
      <c r="W21" s="83">
        <f>_xlfn.IFS('Prepare Gantt Chart'!AJ10=2,'Project types'!$O11,'Prepare Gantt Chart'!AJ10=1,'Project types'!$Q11,'Prepare Gantt Chart'!AJ10=0,0)</f>
        <v>0</v>
      </c>
      <c r="X21" s="83">
        <f>_xlfn.IFS('Prepare Gantt Chart'!AK10=2,'Project types'!$O11,'Prepare Gantt Chart'!AK10=1,'Project types'!$Q11,'Prepare Gantt Chart'!AK10=0,0)</f>
        <v>0</v>
      </c>
      <c r="Y21" s="83">
        <f>_xlfn.IFS('Prepare Gantt Chart'!AL10=2,'Project types'!$O11,'Prepare Gantt Chart'!AL10=1,'Project types'!$Q11,'Prepare Gantt Chart'!AL10=0,0)</f>
        <v>0</v>
      </c>
      <c r="Z21" s="83">
        <f>_xlfn.IFS('Prepare Gantt Chart'!AM10=2,'Project types'!$O11,'Prepare Gantt Chart'!AM10=1,'Project types'!$Q11,'Prepare Gantt Chart'!AM10=0,0)</f>
        <v>0</v>
      </c>
      <c r="AA21" s="83">
        <f>_xlfn.IFS('Prepare Gantt Chart'!AN10=2,'Project types'!$O11,'Prepare Gantt Chart'!AN10=1,'Project types'!$Q11,'Prepare Gantt Chart'!AN10=0,0)</f>
        <v>0</v>
      </c>
      <c r="AB21" s="83">
        <f>_xlfn.IFS('Prepare Gantt Chart'!AO10=2,'Project types'!$O11,'Prepare Gantt Chart'!AO10=1,'Project types'!$Q11,'Prepare Gantt Chart'!AO10=0,0)</f>
        <v>0</v>
      </c>
      <c r="AC21" s="93">
        <f t="shared" si="0"/>
        <v>0</v>
      </c>
      <c r="AD21" s="86">
        <f>_xlfn.IFS('Prepare Gantt Chart'!P10=2,'Project types'!$L11,'Prepare Gantt Chart'!P10=1,'Project types'!$L11,'Prepare Gantt Chart'!P10=0,0)</f>
        <v>0</v>
      </c>
      <c r="AE21" s="83">
        <f>_xlfn.IFS('Prepare Gantt Chart'!Q10=2,'Project types'!$L11,'Prepare Gantt Chart'!Q10=1,'Project types'!$L11,'Prepare Gantt Chart'!Q10=0,0)</f>
        <v>0</v>
      </c>
      <c r="AF21" s="83">
        <f>_xlfn.IFS('Prepare Gantt Chart'!R10=2,'Project types'!$L11,'Prepare Gantt Chart'!R10=1,'Project types'!$L11,'Prepare Gantt Chart'!R10=0,0)</f>
        <v>0</v>
      </c>
      <c r="AG21" s="83">
        <f>_xlfn.IFS('Prepare Gantt Chart'!S10=2,'Project types'!$L11,'Prepare Gantt Chart'!S10=1,'Project types'!$L11,'Prepare Gantt Chart'!S10=0,0)</f>
        <v>0</v>
      </c>
      <c r="AH21" s="83">
        <f>_xlfn.IFS('Prepare Gantt Chart'!T10=2,'Project types'!$L11,'Prepare Gantt Chart'!T10=1,'Project types'!$L11,'Prepare Gantt Chart'!T10=0,0)</f>
        <v>0</v>
      </c>
      <c r="AI21" s="83">
        <f>_xlfn.IFS('Prepare Gantt Chart'!U10=2,'Project types'!$L11,'Prepare Gantt Chart'!U10=1,'Project types'!$L11,'Prepare Gantt Chart'!U10=0,0)</f>
        <v>0</v>
      </c>
      <c r="AJ21" s="83">
        <f>_xlfn.IFS('Prepare Gantt Chart'!V10=2,'Project types'!$L11,'Prepare Gantt Chart'!V10=1,'Project types'!$L11,'Prepare Gantt Chart'!V10=0,0)</f>
        <v>0</v>
      </c>
      <c r="AK21" s="83">
        <f>_xlfn.IFS('Prepare Gantt Chart'!W10=2,'Project types'!$L11,'Prepare Gantt Chart'!W10=1,'Project types'!$L11,'Prepare Gantt Chart'!W10=0,0)</f>
        <v>0</v>
      </c>
      <c r="AL21" s="83">
        <f>_xlfn.IFS('Prepare Gantt Chart'!X10=2,'Project types'!$L11,'Prepare Gantt Chart'!X10=1,'Project types'!$L11,'Prepare Gantt Chart'!X10=0,0)</f>
        <v>0</v>
      </c>
      <c r="AM21" s="83">
        <f>_xlfn.IFS('Prepare Gantt Chart'!Y10=2,'Project types'!$L11,'Prepare Gantt Chart'!Y10=1,'Project types'!$L11,'Prepare Gantt Chart'!Y10=0,0)</f>
        <v>0</v>
      </c>
      <c r="AN21" s="83">
        <f>_xlfn.IFS('Prepare Gantt Chart'!Z10=2,'Project types'!$L11,'Prepare Gantt Chart'!Z10=1,'Project types'!$L11,'Prepare Gantt Chart'!Z10=0,0)</f>
        <v>0</v>
      </c>
      <c r="AO21" s="83">
        <f>_xlfn.IFS('Prepare Gantt Chart'!AA10=2,'Project types'!$L11,'Prepare Gantt Chart'!AA10=1,'Project types'!$L11,'Prepare Gantt Chart'!AA10=0,0)</f>
        <v>0</v>
      </c>
      <c r="AP21" s="83">
        <f>_xlfn.IFS('Prepare Gantt Chart'!AB10=2,'Project types'!$L11,'Prepare Gantt Chart'!AB10=1,'Project types'!$L11,'Prepare Gantt Chart'!AB10=0,0)</f>
        <v>0</v>
      </c>
      <c r="AQ21" s="83">
        <f>_xlfn.IFS('Prepare Gantt Chart'!AC10=2,'Project types'!$L11,'Prepare Gantt Chart'!AC10=1,'Project types'!$L11,'Prepare Gantt Chart'!AC10=0,0)</f>
        <v>0</v>
      </c>
      <c r="AR21" s="83">
        <f>_xlfn.IFS('Prepare Gantt Chart'!AD10=2,'Project types'!$L11,'Prepare Gantt Chart'!AD10=1,'Project types'!$L11,'Prepare Gantt Chart'!AD10=0,0)</f>
        <v>0</v>
      </c>
      <c r="AS21" s="83">
        <f>_xlfn.IFS('Prepare Gantt Chart'!AE10=2,'Project types'!$L11,'Prepare Gantt Chart'!AE10=1,'Project types'!$L11,'Prepare Gantt Chart'!AE10=0,0)</f>
        <v>0</v>
      </c>
      <c r="AT21" s="83">
        <f>_xlfn.IFS('Prepare Gantt Chart'!AF10=2,'Project types'!$L11,'Prepare Gantt Chart'!AF10=1,'Project types'!$L11,'Prepare Gantt Chart'!AF10=0,0)</f>
        <v>0</v>
      </c>
      <c r="AU21" s="83">
        <f>_xlfn.IFS('Prepare Gantt Chart'!AG10=2,'Project types'!$L11,'Prepare Gantt Chart'!AG10=1,'Project types'!$L11,'Prepare Gantt Chart'!AG10=0,0)</f>
        <v>0</v>
      </c>
      <c r="AV21" s="83">
        <f>_xlfn.IFS('Prepare Gantt Chart'!AH10=2,'Project types'!$L11,'Prepare Gantt Chart'!AH10=1,'Project types'!$L11,'Prepare Gantt Chart'!AH10=0,0)</f>
        <v>0</v>
      </c>
      <c r="AW21" s="83">
        <f>_xlfn.IFS('Prepare Gantt Chart'!AI10=2,'Project types'!$L11,'Prepare Gantt Chart'!AI10=1,'Project types'!$L11,'Prepare Gantt Chart'!AI10=0,0)</f>
        <v>0</v>
      </c>
      <c r="AX21" s="83">
        <f>_xlfn.IFS('Prepare Gantt Chart'!AJ10=2,'Project types'!$L11,'Prepare Gantt Chart'!AJ10=1,'Project types'!$L11,'Prepare Gantt Chart'!AJ10=0,0)</f>
        <v>0</v>
      </c>
      <c r="AY21" s="83">
        <f>_xlfn.IFS('Prepare Gantt Chart'!AK10=2,'Project types'!$L11,'Prepare Gantt Chart'!AK10=1,'Project types'!$L11,'Prepare Gantt Chart'!AK10=0,0)</f>
        <v>0</v>
      </c>
      <c r="AZ21" s="83">
        <f>_xlfn.IFS('Prepare Gantt Chart'!AL10=2,'Project types'!$L11,'Prepare Gantt Chart'!AL10=1,'Project types'!$L11,'Prepare Gantt Chart'!AL10=0,0)</f>
        <v>0</v>
      </c>
      <c r="BA21" s="83">
        <f>_xlfn.IFS('Prepare Gantt Chart'!AM10=2,'Project types'!$L11,'Prepare Gantt Chart'!AM10=1,'Project types'!$L11,'Prepare Gantt Chart'!AM10=0,0)</f>
        <v>0</v>
      </c>
      <c r="BB21" s="83">
        <f>_xlfn.IFS('Prepare Gantt Chart'!AN10=2,'Project types'!$L11,'Prepare Gantt Chart'!AN10=1,'Project types'!$L11,'Prepare Gantt Chart'!AN10=0,0)</f>
        <v>0</v>
      </c>
      <c r="BC21" s="83">
        <f>_xlfn.IFS('Prepare Gantt Chart'!AO10=2,'Project types'!$L11,'Prepare Gantt Chart'!AO10=1,'Project types'!$L11,'Prepare Gantt Chart'!AO10=0,0)</f>
        <v>0</v>
      </c>
      <c r="BD21" s="91">
        <f t="shared" si="1"/>
        <v>0</v>
      </c>
      <c r="CI21" s="85"/>
      <c r="GY21" s="85"/>
    </row>
    <row r="22" spans="1:207" x14ac:dyDescent="0.2">
      <c r="A22" s="1" t="s">
        <v>113</v>
      </c>
      <c r="B22" s="18" t="s">
        <v>11</v>
      </c>
      <c r="C22" s="83">
        <f>_xlfn.IFS('Prepare Gantt Chart'!P11=2,'Project types'!$O12,'Prepare Gantt Chart'!P11=1,'Project types'!$Q12,'Prepare Gantt Chart'!P11=0,0)</f>
        <v>0</v>
      </c>
      <c r="D22" s="83">
        <f>_xlfn.IFS('Prepare Gantt Chart'!Q11=2,'Project types'!$O12,'Prepare Gantt Chart'!Q11=1,'Project types'!$Q12,'Prepare Gantt Chart'!Q11=0,0)</f>
        <v>0</v>
      </c>
      <c r="E22" s="83">
        <f>_xlfn.IFS('Prepare Gantt Chart'!R11=2,'Project types'!$O12,'Prepare Gantt Chart'!R11=1,'Project types'!$Q12,'Prepare Gantt Chart'!R11=0,0)</f>
        <v>0</v>
      </c>
      <c r="F22" s="83">
        <f>_xlfn.IFS('Prepare Gantt Chart'!S11=2,'Project types'!$O12,'Prepare Gantt Chart'!S11=1,'Project types'!$Q12,'Prepare Gantt Chart'!S11=0,0)</f>
        <v>0</v>
      </c>
      <c r="G22" s="83">
        <f>_xlfn.IFS('Prepare Gantt Chart'!T11=2,'Project types'!$O12,'Prepare Gantt Chart'!T11=1,'Project types'!$Q12,'Prepare Gantt Chart'!T11=0,0)</f>
        <v>0</v>
      </c>
      <c r="H22" s="83">
        <f>_xlfn.IFS('Prepare Gantt Chart'!U11=2,'Project types'!$O12,'Prepare Gantt Chart'!U11=1,'Project types'!$Q12,'Prepare Gantt Chart'!U11=0,0)</f>
        <v>0</v>
      </c>
      <c r="I22" s="83">
        <f>_xlfn.IFS('Prepare Gantt Chart'!V11=2,'Project types'!$O12,'Prepare Gantt Chart'!V11=1,'Project types'!$Q12,'Prepare Gantt Chart'!V11=0,0)</f>
        <v>0</v>
      </c>
      <c r="J22" s="83">
        <f>_xlfn.IFS('Prepare Gantt Chart'!W11=2,'Project types'!$O12,'Prepare Gantt Chart'!W11=1,'Project types'!$Q12,'Prepare Gantt Chart'!W11=0,0)</f>
        <v>0</v>
      </c>
      <c r="K22" s="83">
        <f>_xlfn.IFS('Prepare Gantt Chart'!X11=2,'Project types'!$O12,'Prepare Gantt Chart'!X11=1,'Project types'!$Q12,'Prepare Gantt Chart'!X11=0,0)</f>
        <v>0</v>
      </c>
      <c r="L22" s="83">
        <f>_xlfn.IFS('Prepare Gantt Chart'!Y11=2,'Project types'!$O12,'Prepare Gantt Chart'!Y11=1,'Project types'!$Q12,'Prepare Gantt Chart'!Y11=0,0)</f>
        <v>0</v>
      </c>
      <c r="M22" s="83">
        <f>_xlfn.IFS('Prepare Gantt Chart'!Z11=2,'Project types'!$O12,'Prepare Gantt Chart'!Z11=1,'Project types'!$Q12,'Prepare Gantt Chart'!Z11=0,0)</f>
        <v>0</v>
      </c>
      <c r="N22" s="83">
        <f>_xlfn.IFS('Prepare Gantt Chart'!AA11=2,'Project types'!$O12,'Prepare Gantt Chart'!AA11=1,'Project types'!$Q12,'Prepare Gantt Chart'!AA11=0,0)</f>
        <v>0</v>
      </c>
      <c r="O22" s="83">
        <f>_xlfn.IFS('Prepare Gantt Chart'!AB11=2,'Project types'!$O12,'Prepare Gantt Chart'!AB11=1,'Project types'!$Q12,'Prepare Gantt Chart'!AB11=0,0)</f>
        <v>0</v>
      </c>
      <c r="P22" s="83">
        <f>_xlfn.IFS('Prepare Gantt Chart'!AC11=2,'Project types'!$O12,'Prepare Gantt Chart'!AC11=1,'Project types'!$Q12,'Prepare Gantt Chart'!AC11=0,0)</f>
        <v>0</v>
      </c>
      <c r="Q22" s="83">
        <f>_xlfn.IFS('Prepare Gantt Chart'!AD11=2,'Project types'!$O12,'Prepare Gantt Chart'!AD11=1,'Project types'!$Q12,'Prepare Gantt Chart'!AD11=0,0)</f>
        <v>0</v>
      </c>
      <c r="R22" s="83">
        <f>_xlfn.IFS('Prepare Gantt Chart'!AE11=2,'Project types'!$O12,'Prepare Gantt Chart'!AE11=1,'Project types'!$Q12,'Prepare Gantt Chart'!AE11=0,0)</f>
        <v>0</v>
      </c>
      <c r="S22" s="83">
        <f>_xlfn.IFS('Prepare Gantt Chart'!AF11=2,'Project types'!$O12,'Prepare Gantt Chart'!AF11=1,'Project types'!$Q12,'Prepare Gantt Chart'!AF11=0,0)</f>
        <v>0</v>
      </c>
      <c r="T22" s="83">
        <f>_xlfn.IFS('Prepare Gantt Chart'!AG11=2,'Project types'!$O12,'Prepare Gantt Chart'!AG11=1,'Project types'!$Q12,'Prepare Gantt Chart'!AG11=0,0)</f>
        <v>0</v>
      </c>
      <c r="U22" s="83">
        <f>_xlfn.IFS('Prepare Gantt Chart'!AH11=2,'Project types'!$O12,'Prepare Gantt Chart'!AH11=1,'Project types'!$Q12,'Prepare Gantt Chart'!AH11=0,0)</f>
        <v>0</v>
      </c>
      <c r="V22" s="83">
        <f>_xlfn.IFS('Prepare Gantt Chart'!AI11=2,'Project types'!$O12,'Prepare Gantt Chart'!AI11=1,'Project types'!$Q12,'Prepare Gantt Chart'!AI11=0,0)</f>
        <v>0</v>
      </c>
      <c r="W22" s="83">
        <f>_xlfn.IFS('Prepare Gantt Chart'!AJ11=2,'Project types'!$O12,'Prepare Gantt Chart'!AJ11=1,'Project types'!$Q12,'Prepare Gantt Chart'!AJ11=0,0)</f>
        <v>0</v>
      </c>
      <c r="X22" s="83">
        <f>_xlfn.IFS('Prepare Gantt Chart'!AK11=2,'Project types'!$O12,'Prepare Gantt Chart'!AK11=1,'Project types'!$Q12,'Prepare Gantt Chart'!AK11=0,0)</f>
        <v>0</v>
      </c>
      <c r="Y22" s="83">
        <f>_xlfn.IFS('Prepare Gantt Chart'!AL11=2,'Project types'!$O12,'Prepare Gantt Chart'!AL11=1,'Project types'!$Q12,'Prepare Gantt Chart'!AL11=0,0)</f>
        <v>0</v>
      </c>
      <c r="Z22" s="83">
        <f>_xlfn.IFS('Prepare Gantt Chart'!AM11=2,'Project types'!$O12,'Prepare Gantt Chart'!AM11=1,'Project types'!$Q12,'Prepare Gantt Chart'!AM11=0,0)</f>
        <v>0</v>
      </c>
      <c r="AA22" s="83">
        <f>_xlfn.IFS('Prepare Gantt Chart'!AN11=2,'Project types'!$O12,'Prepare Gantt Chart'!AN11=1,'Project types'!$Q12,'Prepare Gantt Chart'!AN11=0,0)</f>
        <v>0</v>
      </c>
      <c r="AB22" s="83">
        <f>_xlfn.IFS('Prepare Gantt Chart'!AO11=2,'Project types'!$O12,'Prepare Gantt Chart'!AO11=1,'Project types'!$Q12,'Prepare Gantt Chart'!AO11=0,0)</f>
        <v>0</v>
      </c>
      <c r="AC22" s="93">
        <f t="shared" si="0"/>
        <v>0</v>
      </c>
      <c r="AD22" s="86">
        <f>_xlfn.IFS('Prepare Gantt Chart'!P11=2,'Project types'!$L12,'Prepare Gantt Chart'!P11=1,'Project types'!$L12,'Prepare Gantt Chart'!P11=0,0)</f>
        <v>0</v>
      </c>
      <c r="AE22" s="83">
        <f>_xlfn.IFS('Prepare Gantt Chart'!Q11=2,'Project types'!$L12,'Prepare Gantt Chart'!Q11=1,'Project types'!$L12,'Prepare Gantt Chart'!Q11=0,0)</f>
        <v>0</v>
      </c>
      <c r="AF22" s="83">
        <f>_xlfn.IFS('Prepare Gantt Chart'!R11=2,'Project types'!$L12,'Prepare Gantt Chart'!R11=1,'Project types'!$L12,'Prepare Gantt Chart'!R11=0,0)</f>
        <v>0</v>
      </c>
      <c r="AG22" s="83">
        <f>_xlfn.IFS('Prepare Gantt Chart'!S11=2,'Project types'!$L12,'Prepare Gantt Chart'!S11=1,'Project types'!$L12,'Prepare Gantt Chart'!S11=0,0)</f>
        <v>0</v>
      </c>
      <c r="AH22" s="83">
        <f>_xlfn.IFS('Prepare Gantt Chart'!T11=2,'Project types'!$L12,'Prepare Gantt Chart'!T11=1,'Project types'!$L12,'Prepare Gantt Chart'!T11=0,0)</f>
        <v>0</v>
      </c>
      <c r="AI22" s="83">
        <f>_xlfn.IFS('Prepare Gantt Chart'!U11=2,'Project types'!$L12,'Prepare Gantt Chart'!U11=1,'Project types'!$L12,'Prepare Gantt Chart'!U11=0,0)</f>
        <v>0</v>
      </c>
      <c r="AJ22" s="83">
        <f>_xlfn.IFS('Prepare Gantt Chart'!V11=2,'Project types'!$L12,'Prepare Gantt Chart'!V11=1,'Project types'!$L12,'Prepare Gantt Chart'!V11=0,0)</f>
        <v>0</v>
      </c>
      <c r="AK22" s="83">
        <f>_xlfn.IFS('Prepare Gantt Chart'!W11=2,'Project types'!$L12,'Prepare Gantt Chart'!W11=1,'Project types'!$L12,'Prepare Gantt Chart'!W11=0,0)</f>
        <v>0</v>
      </c>
      <c r="AL22" s="83">
        <f>_xlfn.IFS('Prepare Gantt Chart'!X11=2,'Project types'!$L12,'Prepare Gantt Chart'!X11=1,'Project types'!$L12,'Prepare Gantt Chart'!X11=0,0)</f>
        <v>0</v>
      </c>
      <c r="AM22" s="83">
        <f>_xlfn.IFS('Prepare Gantt Chart'!Y11=2,'Project types'!$L12,'Prepare Gantt Chart'!Y11=1,'Project types'!$L12,'Prepare Gantt Chart'!Y11=0,0)</f>
        <v>0</v>
      </c>
      <c r="AN22" s="83">
        <f>_xlfn.IFS('Prepare Gantt Chart'!Z11=2,'Project types'!$L12,'Prepare Gantt Chart'!Z11=1,'Project types'!$L12,'Prepare Gantt Chart'!Z11=0,0)</f>
        <v>0</v>
      </c>
      <c r="AO22" s="83">
        <f>_xlfn.IFS('Prepare Gantt Chart'!AA11=2,'Project types'!$L12,'Prepare Gantt Chart'!AA11=1,'Project types'!$L12,'Prepare Gantt Chart'!AA11=0,0)</f>
        <v>0</v>
      </c>
      <c r="AP22" s="83">
        <f>_xlfn.IFS('Prepare Gantt Chart'!AB11=2,'Project types'!$L12,'Prepare Gantt Chart'!AB11=1,'Project types'!$L12,'Prepare Gantt Chart'!AB11=0,0)</f>
        <v>0</v>
      </c>
      <c r="AQ22" s="83">
        <f>_xlfn.IFS('Prepare Gantt Chart'!AC11=2,'Project types'!$L12,'Prepare Gantt Chart'!AC11=1,'Project types'!$L12,'Prepare Gantt Chart'!AC11=0,0)</f>
        <v>0</v>
      </c>
      <c r="AR22" s="83">
        <f>_xlfn.IFS('Prepare Gantt Chart'!AD11=2,'Project types'!$L12,'Prepare Gantt Chart'!AD11=1,'Project types'!$L12,'Prepare Gantt Chart'!AD11=0,0)</f>
        <v>0</v>
      </c>
      <c r="AS22" s="83">
        <f>_xlfn.IFS('Prepare Gantt Chart'!AE11=2,'Project types'!$L12,'Prepare Gantt Chart'!AE11=1,'Project types'!$L12,'Prepare Gantt Chart'!AE11=0,0)</f>
        <v>0</v>
      </c>
      <c r="AT22" s="83">
        <f>_xlfn.IFS('Prepare Gantt Chart'!AF11=2,'Project types'!$L12,'Prepare Gantt Chart'!AF11=1,'Project types'!$L12,'Prepare Gantt Chart'!AF11=0,0)</f>
        <v>0</v>
      </c>
      <c r="AU22" s="83">
        <f>_xlfn.IFS('Prepare Gantt Chart'!AG11=2,'Project types'!$L12,'Prepare Gantt Chart'!AG11=1,'Project types'!$L12,'Prepare Gantt Chart'!AG11=0,0)</f>
        <v>0</v>
      </c>
      <c r="AV22" s="83">
        <f>_xlfn.IFS('Prepare Gantt Chart'!AH11=2,'Project types'!$L12,'Prepare Gantt Chart'!AH11=1,'Project types'!$L12,'Prepare Gantt Chart'!AH11=0,0)</f>
        <v>0</v>
      </c>
      <c r="AW22" s="83">
        <f>_xlfn.IFS('Prepare Gantt Chart'!AI11=2,'Project types'!$L12,'Prepare Gantt Chart'!AI11=1,'Project types'!$L12,'Prepare Gantt Chart'!AI11=0,0)</f>
        <v>0</v>
      </c>
      <c r="AX22" s="83">
        <f>_xlfn.IFS('Prepare Gantt Chart'!AJ11=2,'Project types'!$L12,'Prepare Gantt Chart'!AJ11=1,'Project types'!$L12,'Prepare Gantt Chart'!AJ11=0,0)</f>
        <v>0</v>
      </c>
      <c r="AY22" s="83">
        <f>_xlfn.IFS('Prepare Gantt Chart'!AK11=2,'Project types'!$L12,'Prepare Gantt Chart'!AK11=1,'Project types'!$L12,'Prepare Gantt Chart'!AK11=0,0)</f>
        <v>0</v>
      </c>
      <c r="AZ22" s="83">
        <f>_xlfn.IFS('Prepare Gantt Chart'!AL11=2,'Project types'!$L12,'Prepare Gantt Chart'!AL11=1,'Project types'!$L12,'Prepare Gantt Chart'!AL11=0,0)</f>
        <v>0</v>
      </c>
      <c r="BA22" s="83">
        <f>_xlfn.IFS('Prepare Gantt Chart'!AM11=2,'Project types'!$L12,'Prepare Gantt Chart'!AM11=1,'Project types'!$L12,'Prepare Gantt Chart'!AM11=0,0)</f>
        <v>0</v>
      </c>
      <c r="BB22" s="83">
        <f>_xlfn.IFS('Prepare Gantt Chart'!AN11=2,'Project types'!$L12,'Prepare Gantt Chart'!AN11=1,'Project types'!$L12,'Prepare Gantt Chart'!AN11=0,0)</f>
        <v>0</v>
      </c>
      <c r="BC22" s="83">
        <f>_xlfn.IFS('Prepare Gantt Chart'!AO11=2,'Project types'!$L12,'Prepare Gantt Chart'!AO11=1,'Project types'!$L12,'Prepare Gantt Chart'!AO11=0,0)</f>
        <v>0</v>
      </c>
      <c r="BD22" s="91">
        <f t="shared" si="1"/>
        <v>0</v>
      </c>
      <c r="CI22" s="85"/>
      <c r="GY22" s="85"/>
    </row>
    <row r="23" spans="1:207" x14ac:dyDescent="0.2">
      <c r="A23" s="1" t="s">
        <v>114</v>
      </c>
      <c r="B23" s="18" t="s">
        <v>12</v>
      </c>
      <c r="C23" s="83">
        <f>_xlfn.IFS('Prepare Gantt Chart'!P12=2,'Project types'!$O13,'Prepare Gantt Chart'!P12=1,'Project types'!$Q13,'Prepare Gantt Chart'!P12=0,0)</f>
        <v>0</v>
      </c>
      <c r="D23" s="83">
        <f>_xlfn.IFS('Prepare Gantt Chart'!Q12=2,'Project types'!$O13,'Prepare Gantt Chart'!Q12=1,'Project types'!$Q13,'Prepare Gantt Chart'!Q12=0,0)</f>
        <v>0</v>
      </c>
      <c r="E23" s="83">
        <f>_xlfn.IFS('Prepare Gantt Chart'!R12=2,'Project types'!$O13,'Prepare Gantt Chart'!R12=1,'Project types'!$Q13,'Prepare Gantt Chart'!R12=0,0)</f>
        <v>0</v>
      </c>
      <c r="F23" s="83">
        <f>_xlfn.IFS('Prepare Gantt Chart'!S12=2,'Project types'!$O13,'Prepare Gantt Chart'!S12=1,'Project types'!$Q13,'Prepare Gantt Chart'!S12=0,0)</f>
        <v>0</v>
      </c>
      <c r="G23" s="83">
        <f>_xlfn.IFS('Prepare Gantt Chart'!T12=2,'Project types'!$O13,'Prepare Gantt Chart'!T12=1,'Project types'!$Q13,'Prepare Gantt Chart'!T12=0,0)</f>
        <v>0</v>
      </c>
      <c r="H23" s="83">
        <f>_xlfn.IFS('Prepare Gantt Chart'!U12=2,'Project types'!$O13,'Prepare Gantt Chart'!U12=1,'Project types'!$Q13,'Prepare Gantt Chart'!U12=0,0)</f>
        <v>0</v>
      </c>
      <c r="I23" s="83">
        <f>_xlfn.IFS('Prepare Gantt Chart'!V12=2,'Project types'!$O13,'Prepare Gantt Chart'!V12=1,'Project types'!$Q13,'Prepare Gantt Chart'!V12=0,0)</f>
        <v>0</v>
      </c>
      <c r="J23" s="83">
        <f>_xlfn.IFS('Prepare Gantt Chart'!W12=2,'Project types'!$O13,'Prepare Gantt Chart'!W12=1,'Project types'!$Q13,'Prepare Gantt Chart'!W12=0,0)</f>
        <v>0</v>
      </c>
      <c r="K23" s="83">
        <f>_xlfn.IFS('Prepare Gantt Chart'!X12=2,'Project types'!$O13,'Prepare Gantt Chart'!X12=1,'Project types'!$Q13,'Prepare Gantt Chart'!X12=0,0)</f>
        <v>0</v>
      </c>
      <c r="L23" s="83">
        <f>_xlfn.IFS('Prepare Gantt Chart'!Y12=2,'Project types'!$O13,'Prepare Gantt Chart'!Y12=1,'Project types'!$Q13,'Prepare Gantt Chart'!Y12=0,0)</f>
        <v>0</v>
      </c>
      <c r="M23" s="83">
        <f>_xlfn.IFS('Prepare Gantt Chart'!Z12=2,'Project types'!$O13,'Prepare Gantt Chart'!Z12=1,'Project types'!$Q13,'Prepare Gantt Chart'!Z12=0,0)</f>
        <v>0</v>
      </c>
      <c r="N23" s="83">
        <f>_xlfn.IFS('Prepare Gantt Chart'!AA12=2,'Project types'!$O13,'Prepare Gantt Chart'!AA12=1,'Project types'!$Q13,'Prepare Gantt Chart'!AA12=0,0)</f>
        <v>0</v>
      </c>
      <c r="O23" s="83">
        <f>_xlfn.IFS('Prepare Gantt Chart'!AB12=2,'Project types'!$O13,'Prepare Gantt Chart'!AB12=1,'Project types'!$Q13,'Prepare Gantt Chart'!AB12=0,0)</f>
        <v>0</v>
      </c>
      <c r="P23" s="83">
        <f>_xlfn.IFS('Prepare Gantt Chart'!AC12=2,'Project types'!$O13,'Prepare Gantt Chart'!AC12=1,'Project types'!$Q13,'Prepare Gantt Chart'!AC12=0,0)</f>
        <v>0</v>
      </c>
      <c r="Q23" s="83">
        <f>_xlfn.IFS('Prepare Gantt Chart'!AD12=2,'Project types'!$O13,'Prepare Gantt Chart'!AD12=1,'Project types'!$Q13,'Prepare Gantt Chart'!AD12=0,0)</f>
        <v>0</v>
      </c>
      <c r="R23" s="83">
        <f>_xlfn.IFS('Prepare Gantt Chart'!AE12=2,'Project types'!$O13,'Prepare Gantt Chart'!AE12=1,'Project types'!$Q13,'Prepare Gantt Chart'!AE12=0,0)</f>
        <v>0</v>
      </c>
      <c r="S23" s="83">
        <f>_xlfn.IFS('Prepare Gantt Chart'!AF12=2,'Project types'!$O13,'Prepare Gantt Chart'!AF12=1,'Project types'!$Q13,'Prepare Gantt Chart'!AF12=0,0)</f>
        <v>0</v>
      </c>
      <c r="T23" s="83">
        <f>_xlfn.IFS('Prepare Gantt Chart'!AG12=2,'Project types'!$O13,'Prepare Gantt Chart'!AG12=1,'Project types'!$Q13,'Prepare Gantt Chart'!AG12=0,0)</f>
        <v>0</v>
      </c>
      <c r="U23" s="83">
        <f>_xlfn.IFS('Prepare Gantt Chart'!AH12=2,'Project types'!$O13,'Prepare Gantt Chart'!AH12=1,'Project types'!$Q13,'Prepare Gantt Chart'!AH12=0,0)</f>
        <v>0</v>
      </c>
      <c r="V23" s="83">
        <f>_xlfn.IFS('Prepare Gantt Chart'!AI12=2,'Project types'!$O13,'Prepare Gantt Chart'!AI12=1,'Project types'!$Q13,'Prepare Gantt Chart'!AI12=0,0)</f>
        <v>0</v>
      </c>
      <c r="W23" s="83">
        <f>_xlfn.IFS('Prepare Gantt Chart'!AJ12=2,'Project types'!$O13,'Prepare Gantt Chart'!AJ12=1,'Project types'!$Q13,'Prepare Gantt Chart'!AJ12=0,0)</f>
        <v>0</v>
      </c>
      <c r="X23" s="83">
        <f>_xlfn.IFS('Prepare Gantt Chart'!AK12=2,'Project types'!$O13,'Prepare Gantt Chart'!AK12=1,'Project types'!$Q13,'Prepare Gantt Chart'!AK12=0,0)</f>
        <v>0</v>
      </c>
      <c r="Y23" s="83">
        <f>_xlfn.IFS('Prepare Gantt Chart'!AL12=2,'Project types'!$O13,'Prepare Gantt Chart'!AL12=1,'Project types'!$Q13,'Prepare Gantt Chart'!AL12=0,0)</f>
        <v>0</v>
      </c>
      <c r="Z23" s="83">
        <f>_xlfn.IFS('Prepare Gantt Chart'!AM12=2,'Project types'!$O13,'Prepare Gantt Chart'!AM12=1,'Project types'!$Q13,'Prepare Gantt Chart'!AM12=0,0)</f>
        <v>0</v>
      </c>
      <c r="AA23" s="83">
        <f>_xlfn.IFS('Prepare Gantt Chart'!AN12=2,'Project types'!$O13,'Prepare Gantt Chart'!AN12=1,'Project types'!$Q13,'Prepare Gantt Chart'!AN12=0,0)</f>
        <v>0</v>
      </c>
      <c r="AB23" s="83">
        <f>_xlfn.IFS('Prepare Gantt Chart'!AO12=2,'Project types'!$O13,'Prepare Gantt Chart'!AO12=1,'Project types'!$Q13,'Prepare Gantt Chart'!AO12=0,0)</f>
        <v>0</v>
      </c>
      <c r="AC23" s="93">
        <f t="shared" si="0"/>
        <v>0</v>
      </c>
      <c r="AD23" s="86">
        <f>_xlfn.IFS('Prepare Gantt Chart'!P12=2,'Project types'!$L13,'Prepare Gantt Chart'!P12=1,'Project types'!$L13,'Prepare Gantt Chart'!P12=0,0)</f>
        <v>0</v>
      </c>
      <c r="AE23" s="83">
        <f>_xlfn.IFS('Prepare Gantt Chart'!Q12=2,'Project types'!$L13,'Prepare Gantt Chart'!Q12=1,'Project types'!$L13,'Prepare Gantt Chart'!Q12=0,0)</f>
        <v>0</v>
      </c>
      <c r="AF23" s="83">
        <f>_xlfn.IFS('Prepare Gantt Chart'!R12=2,'Project types'!$L13,'Prepare Gantt Chart'!R12=1,'Project types'!$L13,'Prepare Gantt Chart'!R12=0,0)</f>
        <v>0</v>
      </c>
      <c r="AG23" s="83">
        <f>_xlfn.IFS('Prepare Gantt Chart'!S12=2,'Project types'!$L13,'Prepare Gantt Chart'!S12=1,'Project types'!$L13,'Prepare Gantt Chart'!S12=0,0)</f>
        <v>0</v>
      </c>
      <c r="AH23" s="83">
        <f>_xlfn.IFS('Prepare Gantt Chart'!T12=2,'Project types'!$L13,'Prepare Gantt Chart'!T12=1,'Project types'!$L13,'Prepare Gantt Chart'!T12=0,0)</f>
        <v>0</v>
      </c>
      <c r="AI23" s="83">
        <f>_xlfn.IFS('Prepare Gantt Chart'!U12=2,'Project types'!$L13,'Prepare Gantt Chart'!U12=1,'Project types'!$L13,'Prepare Gantt Chart'!U12=0,0)</f>
        <v>0</v>
      </c>
      <c r="AJ23" s="83">
        <f>_xlfn.IFS('Prepare Gantt Chart'!V12=2,'Project types'!$L13,'Prepare Gantt Chart'!V12=1,'Project types'!$L13,'Prepare Gantt Chart'!V12=0,0)</f>
        <v>0</v>
      </c>
      <c r="AK23" s="83">
        <f>_xlfn.IFS('Prepare Gantt Chart'!W12=2,'Project types'!$L13,'Prepare Gantt Chart'!W12=1,'Project types'!$L13,'Prepare Gantt Chart'!W12=0,0)</f>
        <v>0</v>
      </c>
      <c r="AL23" s="83">
        <f>_xlfn.IFS('Prepare Gantt Chart'!X12=2,'Project types'!$L13,'Prepare Gantt Chart'!X12=1,'Project types'!$L13,'Prepare Gantt Chart'!X12=0,0)</f>
        <v>0</v>
      </c>
      <c r="AM23" s="83">
        <f>_xlfn.IFS('Prepare Gantt Chart'!Y12=2,'Project types'!$L13,'Prepare Gantt Chart'!Y12=1,'Project types'!$L13,'Prepare Gantt Chart'!Y12=0,0)</f>
        <v>0</v>
      </c>
      <c r="AN23" s="83">
        <f>_xlfn.IFS('Prepare Gantt Chart'!Z12=2,'Project types'!$L13,'Prepare Gantt Chart'!Z12=1,'Project types'!$L13,'Prepare Gantt Chart'!Z12=0,0)</f>
        <v>0</v>
      </c>
      <c r="AO23" s="83">
        <f>_xlfn.IFS('Prepare Gantt Chart'!AA12=2,'Project types'!$L13,'Prepare Gantt Chart'!AA12=1,'Project types'!$L13,'Prepare Gantt Chart'!AA12=0,0)</f>
        <v>0</v>
      </c>
      <c r="AP23" s="83">
        <f>_xlfn.IFS('Prepare Gantt Chart'!AB12=2,'Project types'!$L13,'Prepare Gantt Chart'!AB12=1,'Project types'!$L13,'Prepare Gantt Chart'!AB12=0,0)</f>
        <v>0</v>
      </c>
      <c r="AQ23" s="83">
        <f>_xlfn.IFS('Prepare Gantt Chart'!AC12=2,'Project types'!$L13,'Prepare Gantt Chart'!AC12=1,'Project types'!$L13,'Prepare Gantt Chart'!AC12=0,0)</f>
        <v>0</v>
      </c>
      <c r="AR23" s="83">
        <f>_xlfn.IFS('Prepare Gantt Chart'!AD12=2,'Project types'!$L13,'Prepare Gantt Chart'!AD12=1,'Project types'!$L13,'Prepare Gantt Chart'!AD12=0,0)</f>
        <v>0</v>
      </c>
      <c r="AS23" s="83">
        <f>_xlfn.IFS('Prepare Gantt Chart'!AE12=2,'Project types'!$L13,'Prepare Gantt Chart'!AE12=1,'Project types'!$L13,'Prepare Gantt Chart'!AE12=0,0)</f>
        <v>0</v>
      </c>
      <c r="AT23" s="83">
        <f>_xlfn.IFS('Prepare Gantt Chart'!AF12=2,'Project types'!$L13,'Prepare Gantt Chart'!AF12=1,'Project types'!$L13,'Prepare Gantt Chart'!AF12=0,0)</f>
        <v>0</v>
      </c>
      <c r="AU23" s="83">
        <f>_xlfn.IFS('Prepare Gantt Chart'!AG12=2,'Project types'!$L13,'Prepare Gantt Chart'!AG12=1,'Project types'!$L13,'Prepare Gantt Chart'!AG12=0,0)</f>
        <v>0</v>
      </c>
      <c r="AV23" s="83">
        <f>_xlfn.IFS('Prepare Gantt Chart'!AH12=2,'Project types'!$L13,'Prepare Gantt Chart'!AH12=1,'Project types'!$L13,'Prepare Gantt Chart'!AH12=0,0)</f>
        <v>0</v>
      </c>
      <c r="AW23" s="83">
        <f>_xlfn.IFS('Prepare Gantt Chart'!AI12=2,'Project types'!$L13,'Prepare Gantt Chart'!AI12=1,'Project types'!$L13,'Prepare Gantt Chart'!AI12=0,0)</f>
        <v>0</v>
      </c>
      <c r="AX23" s="83">
        <f>_xlfn.IFS('Prepare Gantt Chart'!AJ12=2,'Project types'!$L13,'Prepare Gantt Chart'!AJ12=1,'Project types'!$L13,'Prepare Gantt Chart'!AJ12=0,0)</f>
        <v>0</v>
      </c>
      <c r="AY23" s="83">
        <f>_xlfn.IFS('Prepare Gantt Chart'!AK12=2,'Project types'!$L13,'Prepare Gantt Chart'!AK12=1,'Project types'!$L13,'Prepare Gantt Chart'!AK12=0,0)</f>
        <v>0</v>
      </c>
      <c r="AZ23" s="83">
        <f>_xlfn.IFS('Prepare Gantt Chart'!AL12=2,'Project types'!$L13,'Prepare Gantt Chart'!AL12=1,'Project types'!$L13,'Prepare Gantt Chart'!AL12=0,0)</f>
        <v>0</v>
      </c>
      <c r="BA23" s="83">
        <f>_xlfn.IFS('Prepare Gantt Chart'!AM12=2,'Project types'!$L13,'Prepare Gantt Chart'!AM12=1,'Project types'!$L13,'Prepare Gantt Chart'!AM12=0,0)</f>
        <v>0</v>
      </c>
      <c r="BB23" s="83">
        <f>_xlfn.IFS('Prepare Gantt Chart'!AN12=2,'Project types'!$L13,'Prepare Gantt Chart'!AN12=1,'Project types'!$L13,'Prepare Gantt Chart'!AN12=0,0)</f>
        <v>0</v>
      </c>
      <c r="BC23" s="83">
        <f>_xlfn.IFS('Prepare Gantt Chart'!AO12=2,'Project types'!$L13,'Prepare Gantt Chart'!AO12=1,'Project types'!$L13,'Prepare Gantt Chart'!AO12=0,0)</f>
        <v>0</v>
      </c>
      <c r="BD23" s="91">
        <f t="shared" si="1"/>
        <v>0</v>
      </c>
      <c r="CI23" s="85"/>
      <c r="GY23" s="85"/>
    </row>
    <row r="24" spans="1:207" x14ac:dyDescent="0.2">
      <c r="A24" s="1" t="s">
        <v>116</v>
      </c>
      <c r="B24" s="18" t="s">
        <v>13</v>
      </c>
      <c r="C24" s="83">
        <f>_xlfn.IFS('Prepare Gantt Chart'!P13=2,'Project types'!$O14,'Prepare Gantt Chart'!P13=1,'Project types'!$Q14,'Prepare Gantt Chart'!P13=0,0)</f>
        <v>0</v>
      </c>
      <c r="D24" s="83">
        <f>_xlfn.IFS('Prepare Gantt Chart'!Q13=2,'Project types'!$O14,'Prepare Gantt Chart'!Q13=1,'Project types'!$Q14,'Prepare Gantt Chart'!Q13=0,0)</f>
        <v>0</v>
      </c>
      <c r="E24" s="83">
        <f>_xlfn.IFS('Prepare Gantt Chart'!R13=2,'Project types'!$O14,'Prepare Gantt Chart'!R13=1,'Project types'!$Q14,'Prepare Gantt Chart'!R13=0,0)</f>
        <v>0</v>
      </c>
      <c r="F24" s="83">
        <f>_xlfn.IFS('Prepare Gantt Chart'!S13=2,'Project types'!$O14,'Prepare Gantt Chart'!S13=1,'Project types'!$Q14,'Prepare Gantt Chart'!S13=0,0)</f>
        <v>0</v>
      </c>
      <c r="G24" s="83">
        <f>_xlfn.IFS('Prepare Gantt Chart'!T13=2,'Project types'!$O14,'Prepare Gantt Chart'!T13=1,'Project types'!$Q14,'Prepare Gantt Chart'!T13=0,0)</f>
        <v>0</v>
      </c>
      <c r="H24" s="83">
        <f>_xlfn.IFS('Prepare Gantt Chart'!U13=2,'Project types'!$O14,'Prepare Gantt Chart'!U13=1,'Project types'!$Q14,'Prepare Gantt Chart'!U13=0,0)</f>
        <v>0</v>
      </c>
      <c r="I24" s="83">
        <f>_xlfn.IFS('Prepare Gantt Chart'!V13=2,'Project types'!$O14,'Prepare Gantt Chart'!V13=1,'Project types'!$Q14,'Prepare Gantt Chart'!V13=0,0)</f>
        <v>0</v>
      </c>
      <c r="J24" s="83">
        <f>_xlfn.IFS('Prepare Gantt Chart'!W13=2,'Project types'!$O14,'Prepare Gantt Chart'!W13=1,'Project types'!$Q14,'Prepare Gantt Chart'!W13=0,0)</f>
        <v>0</v>
      </c>
      <c r="K24" s="83">
        <f>_xlfn.IFS('Prepare Gantt Chart'!X13=2,'Project types'!$O14,'Prepare Gantt Chart'!X13=1,'Project types'!$Q14,'Prepare Gantt Chart'!X13=0,0)</f>
        <v>0</v>
      </c>
      <c r="L24" s="83">
        <f>_xlfn.IFS('Prepare Gantt Chart'!Y13=2,'Project types'!$O14,'Prepare Gantt Chart'!Y13=1,'Project types'!$Q14,'Prepare Gantt Chart'!Y13=0,0)</f>
        <v>0</v>
      </c>
      <c r="M24" s="83">
        <f>_xlfn.IFS('Prepare Gantt Chart'!Z13=2,'Project types'!$O14,'Prepare Gantt Chart'!Z13=1,'Project types'!$Q14,'Prepare Gantt Chart'!Z13=0,0)</f>
        <v>0</v>
      </c>
      <c r="N24" s="83">
        <f>_xlfn.IFS('Prepare Gantt Chart'!AA13=2,'Project types'!$O14,'Prepare Gantt Chart'!AA13=1,'Project types'!$Q14,'Prepare Gantt Chart'!AA13=0,0)</f>
        <v>0</v>
      </c>
      <c r="O24" s="83">
        <f>_xlfn.IFS('Prepare Gantt Chart'!AB13=2,'Project types'!$O14,'Prepare Gantt Chart'!AB13=1,'Project types'!$Q14,'Prepare Gantt Chart'!AB13=0,0)</f>
        <v>0</v>
      </c>
      <c r="P24" s="83">
        <f>_xlfn.IFS('Prepare Gantt Chart'!AC13=2,'Project types'!$O14,'Prepare Gantt Chart'!AC13=1,'Project types'!$Q14,'Prepare Gantt Chart'!AC13=0,0)</f>
        <v>0</v>
      </c>
      <c r="Q24" s="83">
        <f>_xlfn.IFS('Prepare Gantt Chart'!AD13=2,'Project types'!$O14,'Prepare Gantt Chart'!AD13=1,'Project types'!$Q14,'Prepare Gantt Chart'!AD13=0,0)</f>
        <v>0</v>
      </c>
      <c r="R24" s="83">
        <f>_xlfn.IFS('Prepare Gantt Chart'!AE13=2,'Project types'!$O14,'Prepare Gantt Chart'!AE13=1,'Project types'!$Q14,'Prepare Gantt Chart'!AE13=0,0)</f>
        <v>0</v>
      </c>
      <c r="S24" s="83">
        <f>_xlfn.IFS('Prepare Gantt Chart'!AF13=2,'Project types'!$O14,'Prepare Gantt Chart'!AF13=1,'Project types'!$Q14,'Prepare Gantt Chart'!AF13=0,0)</f>
        <v>0</v>
      </c>
      <c r="T24" s="83">
        <f>_xlfn.IFS('Prepare Gantt Chart'!AG13=2,'Project types'!$O14,'Prepare Gantt Chart'!AG13=1,'Project types'!$Q14,'Prepare Gantt Chart'!AG13=0,0)</f>
        <v>0</v>
      </c>
      <c r="U24" s="83">
        <f>_xlfn.IFS('Prepare Gantt Chart'!AH13=2,'Project types'!$O14,'Prepare Gantt Chart'!AH13=1,'Project types'!$Q14,'Prepare Gantt Chart'!AH13=0,0)</f>
        <v>0</v>
      </c>
      <c r="V24" s="83">
        <f>_xlfn.IFS('Prepare Gantt Chart'!AI13=2,'Project types'!$O14,'Prepare Gantt Chart'!AI13=1,'Project types'!$Q14,'Prepare Gantt Chart'!AI13=0,0)</f>
        <v>0</v>
      </c>
      <c r="W24" s="83">
        <f>_xlfn.IFS('Prepare Gantt Chart'!AJ13=2,'Project types'!$O14,'Prepare Gantt Chart'!AJ13=1,'Project types'!$Q14,'Prepare Gantt Chart'!AJ13=0,0)</f>
        <v>0</v>
      </c>
      <c r="X24" s="83">
        <f>_xlfn.IFS('Prepare Gantt Chart'!AK13=2,'Project types'!$O14,'Prepare Gantt Chart'!AK13=1,'Project types'!$Q14,'Prepare Gantt Chart'!AK13=0,0)</f>
        <v>0</v>
      </c>
      <c r="Y24" s="83">
        <f>_xlfn.IFS('Prepare Gantt Chart'!AL13=2,'Project types'!$O14,'Prepare Gantt Chart'!AL13=1,'Project types'!$Q14,'Prepare Gantt Chart'!AL13=0,0)</f>
        <v>0</v>
      </c>
      <c r="Z24" s="83">
        <f>_xlfn.IFS('Prepare Gantt Chart'!AM13=2,'Project types'!$O14,'Prepare Gantt Chart'!AM13=1,'Project types'!$Q14,'Prepare Gantt Chart'!AM13=0,0)</f>
        <v>0</v>
      </c>
      <c r="AA24" s="83">
        <f>_xlfn.IFS('Prepare Gantt Chart'!AN13=2,'Project types'!$O14,'Prepare Gantt Chart'!AN13=1,'Project types'!$Q14,'Prepare Gantt Chart'!AN13=0,0)</f>
        <v>0</v>
      </c>
      <c r="AB24" s="83">
        <f>_xlfn.IFS('Prepare Gantt Chart'!AO13=2,'Project types'!$O14,'Prepare Gantt Chart'!AO13=1,'Project types'!$Q14,'Prepare Gantt Chart'!AO13=0,0)</f>
        <v>0</v>
      </c>
      <c r="AC24" s="93">
        <f t="shared" si="0"/>
        <v>0</v>
      </c>
      <c r="AD24" s="86">
        <f>_xlfn.IFS('Prepare Gantt Chart'!P13=2,'Project types'!$L14,'Prepare Gantt Chart'!P13=1,'Project types'!$L14,'Prepare Gantt Chart'!P13=0,0)</f>
        <v>0</v>
      </c>
      <c r="AE24" s="83">
        <f>_xlfn.IFS('Prepare Gantt Chart'!Q13=2,'Project types'!$L14,'Prepare Gantt Chart'!Q13=1,'Project types'!$L14,'Prepare Gantt Chart'!Q13=0,0)</f>
        <v>0</v>
      </c>
      <c r="AF24" s="83">
        <f>_xlfn.IFS('Prepare Gantt Chart'!R13=2,'Project types'!$L14,'Prepare Gantt Chart'!R13=1,'Project types'!$L14,'Prepare Gantt Chart'!R13=0,0)</f>
        <v>0</v>
      </c>
      <c r="AG24" s="83">
        <f>_xlfn.IFS('Prepare Gantt Chart'!S13=2,'Project types'!$L14,'Prepare Gantt Chart'!S13=1,'Project types'!$L14,'Prepare Gantt Chart'!S13=0,0)</f>
        <v>0</v>
      </c>
      <c r="AH24" s="83">
        <f>_xlfn.IFS('Prepare Gantt Chart'!T13=2,'Project types'!$L14,'Prepare Gantt Chart'!T13=1,'Project types'!$L14,'Prepare Gantt Chart'!T13=0,0)</f>
        <v>0</v>
      </c>
      <c r="AI24" s="83">
        <f>_xlfn.IFS('Prepare Gantt Chart'!U13=2,'Project types'!$L14,'Prepare Gantt Chart'!U13=1,'Project types'!$L14,'Prepare Gantt Chart'!U13=0,0)</f>
        <v>0</v>
      </c>
      <c r="AJ24" s="83">
        <f>_xlfn.IFS('Prepare Gantt Chart'!V13=2,'Project types'!$L14,'Prepare Gantt Chart'!V13=1,'Project types'!$L14,'Prepare Gantt Chart'!V13=0,0)</f>
        <v>0</v>
      </c>
      <c r="AK24" s="83">
        <f>_xlfn.IFS('Prepare Gantt Chart'!W13=2,'Project types'!$L14,'Prepare Gantt Chart'!W13=1,'Project types'!$L14,'Prepare Gantt Chart'!W13=0,0)</f>
        <v>0</v>
      </c>
      <c r="AL24" s="83">
        <f>_xlfn.IFS('Prepare Gantt Chart'!X13=2,'Project types'!$L14,'Prepare Gantt Chart'!X13=1,'Project types'!$L14,'Prepare Gantt Chart'!X13=0,0)</f>
        <v>0</v>
      </c>
      <c r="AM24" s="83">
        <f>_xlfn.IFS('Prepare Gantt Chart'!Y13=2,'Project types'!$L14,'Prepare Gantt Chart'!Y13=1,'Project types'!$L14,'Prepare Gantt Chart'!Y13=0,0)</f>
        <v>0</v>
      </c>
      <c r="AN24" s="83">
        <f>_xlfn.IFS('Prepare Gantt Chart'!Z13=2,'Project types'!$L14,'Prepare Gantt Chart'!Z13=1,'Project types'!$L14,'Prepare Gantt Chart'!Z13=0,0)</f>
        <v>0</v>
      </c>
      <c r="AO24" s="83">
        <f>_xlfn.IFS('Prepare Gantt Chart'!AA13=2,'Project types'!$L14,'Prepare Gantt Chart'!AA13=1,'Project types'!$L14,'Prepare Gantt Chart'!AA13=0,0)</f>
        <v>0</v>
      </c>
      <c r="AP24" s="83">
        <f>_xlfn.IFS('Prepare Gantt Chart'!AB13=2,'Project types'!$L14,'Prepare Gantt Chart'!AB13=1,'Project types'!$L14,'Prepare Gantt Chart'!AB13=0,0)</f>
        <v>0</v>
      </c>
      <c r="AQ24" s="83">
        <f>_xlfn.IFS('Prepare Gantt Chart'!AC13=2,'Project types'!$L14,'Prepare Gantt Chart'!AC13=1,'Project types'!$L14,'Prepare Gantt Chart'!AC13=0,0)</f>
        <v>0</v>
      </c>
      <c r="AR24" s="83">
        <f>_xlfn.IFS('Prepare Gantt Chart'!AD13=2,'Project types'!$L14,'Prepare Gantt Chart'!AD13=1,'Project types'!$L14,'Prepare Gantt Chart'!AD13=0,0)</f>
        <v>0</v>
      </c>
      <c r="AS24" s="83">
        <f>_xlfn.IFS('Prepare Gantt Chart'!AE13=2,'Project types'!$L14,'Prepare Gantt Chart'!AE13=1,'Project types'!$L14,'Prepare Gantt Chart'!AE13=0,0)</f>
        <v>0</v>
      </c>
      <c r="AT24" s="83">
        <f>_xlfn.IFS('Prepare Gantt Chart'!AF13=2,'Project types'!$L14,'Prepare Gantt Chart'!AF13=1,'Project types'!$L14,'Prepare Gantt Chart'!AF13=0,0)</f>
        <v>0</v>
      </c>
      <c r="AU24" s="83">
        <f>_xlfn.IFS('Prepare Gantt Chart'!AG13=2,'Project types'!$L14,'Prepare Gantt Chart'!AG13=1,'Project types'!$L14,'Prepare Gantt Chart'!AG13=0,0)</f>
        <v>0</v>
      </c>
      <c r="AV24" s="83">
        <f>_xlfn.IFS('Prepare Gantt Chart'!AH13=2,'Project types'!$L14,'Prepare Gantt Chart'!AH13=1,'Project types'!$L14,'Prepare Gantt Chart'!AH13=0,0)</f>
        <v>0</v>
      </c>
      <c r="AW24" s="83">
        <f>_xlfn.IFS('Prepare Gantt Chart'!AI13=2,'Project types'!$L14,'Prepare Gantt Chart'!AI13=1,'Project types'!$L14,'Prepare Gantt Chart'!AI13=0,0)</f>
        <v>0</v>
      </c>
      <c r="AX24" s="83">
        <f>_xlfn.IFS('Prepare Gantt Chart'!AJ13=2,'Project types'!$L14,'Prepare Gantt Chart'!AJ13=1,'Project types'!$L14,'Prepare Gantt Chart'!AJ13=0,0)</f>
        <v>0</v>
      </c>
      <c r="AY24" s="83">
        <f>_xlfn.IFS('Prepare Gantt Chart'!AK13=2,'Project types'!$L14,'Prepare Gantt Chart'!AK13=1,'Project types'!$L14,'Prepare Gantt Chart'!AK13=0,0)</f>
        <v>0</v>
      </c>
      <c r="AZ24" s="83">
        <f>_xlfn.IFS('Prepare Gantt Chart'!AL13=2,'Project types'!$L14,'Prepare Gantt Chart'!AL13=1,'Project types'!$L14,'Prepare Gantt Chart'!AL13=0,0)</f>
        <v>0</v>
      </c>
      <c r="BA24" s="83">
        <f>_xlfn.IFS('Prepare Gantt Chart'!AM13=2,'Project types'!$L14,'Prepare Gantt Chart'!AM13=1,'Project types'!$L14,'Prepare Gantt Chart'!AM13=0,0)</f>
        <v>0</v>
      </c>
      <c r="BB24" s="83">
        <f>_xlfn.IFS('Prepare Gantt Chart'!AN13=2,'Project types'!$L14,'Prepare Gantt Chart'!AN13=1,'Project types'!$L14,'Prepare Gantt Chart'!AN13=0,0)</f>
        <v>0</v>
      </c>
      <c r="BC24" s="83">
        <f>_xlfn.IFS('Prepare Gantt Chart'!AO13=2,'Project types'!$L14,'Prepare Gantt Chart'!AO13=1,'Project types'!$L14,'Prepare Gantt Chart'!AO13=0,0)</f>
        <v>0</v>
      </c>
      <c r="BD24" s="91">
        <f t="shared" si="1"/>
        <v>0</v>
      </c>
      <c r="CI24" s="85"/>
      <c r="GY24" s="85"/>
    </row>
    <row r="25" spans="1:207" x14ac:dyDescent="0.2">
      <c r="A25" s="1" t="s">
        <v>117</v>
      </c>
      <c r="B25" s="18" t="s">
        <v>14</v>
      </c>
      <c r="C25" s="83">
        <f>_xlfn.IFS('Prepare Gantt Chart'!P14=2,'Project types'!$O15,'Prepare Gantt Chart'!P14=1,'Project types'!$Q15,'Prepare Gantt Chart'!P14=0,0)</f>
        <v>0</v>
      </c>
      <c r="D25" s="83">
        <f>_xlfn.IFS('Prepare Gantt Chart'!Q14=2,'Project types'!$O15,'Prepare Gantt Chart'!Q14=1,'Project types'!$Q15,'Prepare Gantt Chart'!Q14=0,0)</f>
        <v>0</v>
      </c>
      <c r="E25" s="83">
        <f>_xlfn.IFS('Prepare Gantt Chart'!R14=2,'Project types'!$O15,'Prepare Gantt Chart'!R14=1,'Project types'!$Q15,'Prepare Gantt Chart'!R14=0,0)</f>
        <v>0</v>
      </c>
      <c r="F25" s="83">
        <f>_xlfn.IFS('Prepare Gantt Chart'!S14=2,'Project types'!$O15,'Prepare Gantt Chart'!S14=1,'Project types'!$Q15,'Prepare Gantt Chart'!S14=0,0)</f>
        <v>0</v>
      </c>
      <c r="G25" s="83">
        <f>_xlfn.IFS('Prepare Gantt Chart'!T14=2,'Project types'!$O15,'Prepare Gantt Chart'!T14=1,'Project types'!$Q15,'Prepare Gantt Chart'!T14=0,0)</f>
        <v>0</v>
      </c>
      <c r="H25" s="83">
        <f>_xlfn.IFS('Prepare Gantt Chart'!U14=2,'Project types'!$O15,'Prepare Gantt Chart'!U14=1,'Project types'!$Q15,'Prepare Gantt Chart'!U14=0,0)</f>
        <v>0</v>
      </c>
      <c r="I25" s="83">
        <f>_xlfn.IFS('Prepare Gantt Chart'!V14=2,'Project types'!$O15,'Prepare Gantt Chart'!V14=1,'Project types'!$Q15,'Prepare Gantt Chart'!V14=0,0)</f>
        <v>0</v>
      </c>
      <c r="J25" s="83">
        <f>_xlfn.IFS('Prepare Gantt Chart'!W14=2,'Project types'!$O15,'Prepare Gantt Chart'!W14=1,'Project types'!$Q15,'Prepare Gantt Chart'!W14=0,0)</f>
        <v>0</v>
      </c>
      <c r="K25" s="83">
        <f>_xlfn.IFS('Prepare Gantt Chart'!X14=2,'Project types'!$O15,'Prepare Gantt Chart'!X14=1,'Project types'!$Q15,'Prepare Gantt Chart'!X14=0,0)</f>
        <v>0</v>
      </c>
      <c r="L25" s="83">
        <f>_xlfn.IFS('Prepare Gantt Chart'!Y14=2,'Project types'!$O15,'Prepare Gantt Chart'!Y14=1,'Project types'!$Q15,'Prepare Gantt Chart'!Y14=0,0)</f>
        <v>0</v>
      </c>
      <c r="M25" s="83">
        <f>_xlfn.IFS('Prepare Gantt Chart'!Z14=2,'Project types'!$O15,'Prepare Gantt Chart'!Z14=1,'Project types'!$Q15,'Prepare Gantt Chart'!Z14=0,0)</f>
        <v>0</v>
      </c>
      <c r="N25" s="83">
        <f>_xlfn.IFS('Prepare Gantt Chart'!AA14=2,'Project types'!$O15,'Prepare Gantt Chart'!AA14=1,'Project types'!$Q15,'Prepare Gantt Chart'!AA14=0,0)</f>
        <v>0</v>
      </c>
      <c r="O25" s="83">
        <f>_xlfn.IFS('Prepare Gantt Chart'!AB14=2,'Project types'!$O15,'Prepare Gantt Chart'!AB14=1,'Project types'!$Q15,'Prepare Gantt Chart'!AB14=0,0)</f>
        <v>0</v>
      </c>
      <c r="P25" s="83">
        <f>_xlfn.IFS('Prepare Gantt Chart'!AC14=2,'Project types'!$O15,'Prepare Gantt Chart'!AC14=1,'Project types'!$Q15,'Prepare Gantt Chart'!AC14=0,0)</f>
        <v>0</v>
      </c>
      <c r="Q25" s="83">
        <f>_xlfn.IFS('Prepare Gantt Chart'!AD14=2,'Project types'!$O15,'Prepare Gantt Chart'!AD14=1,'Project types'!$Q15,'Prepare Gantt Chart'!AD14=0,0)</f>
        <v>0</v>
      </c>
      <c r="R25" s="83">
        <f>_xlfn.IFS('Prepare Gantt Chart'!AE14=2,'Project types'!$O15,'Prepare Gantt Chart'!AE14=1,'Project types'!$Q15,'Prepare Gantt Chart'!AE14=0,0)</f>
        <v>0</v>
      </c>
      <c r="S25" s="83">
        <f>_xlfn.IFS('Prepare Gantt Chart'!AF14=2,'Project types'!$O15,'Prepare Gantt Chart'!AF14=1,'Project types'!$Q15,'Prepare Gantt Chart'!AF14=0,0)</f>
        <v>0</v>
      </c>
      <c r="T25" s="83">
        <f>_xlfn.IFS('Prepare Gantt Chart'!AG14=2,'Project types'!$O15,'Prepare Gantt Chart'!AG14=1,'Project types'!$Q15,'Prepare Gantt Chart'!AG14=0,0)</f>
        <v>0</v>
      </c>
      <c r="U25" s="83">
        <f>_xlfn.IFS('Prepare Gantt Chart'!AH14=2,'Project types'!$O15,'Prepare Gantt Chart'!AH14=1,'Project types'!$Q15,'Prepare Gantt Chart'!AH14=0,0)</f>
        <v>0</v>
      </c>
      <c r="V25" s="83">
        <f>_xlfn.IFS('Prepare Gantt Chart'!AI14=2,'Project types'!$O15,'Prepare Gantt Chart'!AI14=1,'Project types'!$Q15,'Prepare Gantt Chart'!AI14=0,0)</f>
        <v>0</v>
      </c>
      <c r="W25" s="83">
        <f>_xlfn.IFS('Prepare Gantt Chart'!AJ14=2,'Project types'!$O15,'Prepare Gantt Chart'!AJ14=1,'Project types'!$Q15,'Prepare Gantt Chart'!AJ14=0,0)</f>
        <v>0</v>
      </c>
      <c r="X25" s="83">
        <f>_xlfn.IFS('Prepare Gantt Chart'!AK14=2,'Project types'!$O15,'Prepare Gantt Chart'!AK14=1,'Project types'!$Q15,'Prepare Gantt Chart'!AK14=0,0)</f>
        <v>0</v>
      </c>
      <c r="Y25" s="83">
        <f>_xlfn.IFS('Prepare Gantt Chart'!AL14=2,'Project types'!$O15,'Prepare Gantt Chart'!AL14=1,'Project types'!$Q15,'Prepare Gantt Chart'!AL14=0,0)</f>
        <v>0</v>
      </c>
      <c r="Z25" s="83">
        <f>_xlfn.IFS('Prepare Gantt Chart'!AM14=2,'Project types'!$O15,'Prepare Gantt Chart'!AM14=1,'Project types'!$Q15,'Prepare Gantt Chart'!AM14=0,0)</f>
        <v>0</v>
      </c>
      <c r="AA25" s="83">
        <f>_xlfn.IFS('Prepare Gantt Chart'!AN14=2,'Project types'!$O15,'Prepare Gantt Chart'!AN14=1,'Project types'!$Q15,'Prepare Gantt Chart'!AN14=0,0)</f>
        <v>0</v>
      </c>
      <c r="AB25" s="83">
        <f>_xlfn.IFS('Prepare Gantt Chart'!AO14=2,'Project types'!$O15,'Prepare Gantt Chart'!AO14=1,'Project types'!$Q15,'Prepare Gantt Chart'!AO14=0,0)</f>
        <v>0</v>
      </c>
      <c r="AC25" s="93">
        <f t="shared" si="0"/>
        <v>0</v>
      </c>
      <c r="AD25" s="86">
        <f>_xlfn.IFS('Prepare Gantt Chart'!P14=2,'Project types'!$L15,'Prepare Gantt Chart'!P14=1,'Project types'!$L15,'Prepare Gantt Chart'!P14=0,0)</f>
        <v>0</v>
      </c>
      <c r="AE25" s="83">
        <f>_xlfn.IFS('Prepare Gantt Chart'!Q14=2,'Project types'!$L15,'Prepare Gantt Chart'!Q14=1,'Project types'!$L15,'Prepare Gantt Chart'!Q14=0,0)</f>
        <v>0</v>
      </c>
      <c r="AF25" s="83">
        <f>_xlfn.IFS('Prepare Gantt Chart'!R14=2,'Project types'!$L15,'Prepare Gantt Chart'!R14=1,'Project types'!$L15,'Prepare Gantt Chart'!R14=0,0)</f>
        <v>0</v>
      </c>
      <c r="AG25" s="83">
        <f>_xlfn.IFS('Prepare Gantt Chart'!S14=2,'Project types'!$L15,'Prepare Gantt Chart'!S14=1,'Project types'!$L15,'Prepare Gantt Chart'!S14=0,0)</f>
        <v>0</v>
      </c>
      <c r="AH25" s="83">
        <f>_xlfn.IFS('Prepare Gantt Chart'!T14=2,'Project types'!$L15,'Prepare Gantt Chart'!T14=1,'Project types'!$L15,'Prepare Gantt Chart'!T14=0,0)</f>
        <v>0</v>
      </c>
      <c r="AI25" s="83">
        <f>_xlfn.IFS('Prepare Gantt Chart'!U14=2,'Project types'!$L15,'Prepare Gantt Chart'!U14=1,'Project types'!$L15,'Prepare Gantt Chart'!U14=0,0)</f>
        <v>0</v>
      </c>
      <c r="AJ25" s="83">
        <f>_xlfn.IFS('Prepare Gantt Chart'!V14=2,'Project types'!$L15,'Prepare Gantt Chart'!V14=1,'Project types'!$L15,'Prepare Gantt Chart'!V14=0,0)</f>
        <v>0</v>
      </c>
      <c r="AK25" s="83">
        <f>_xlfn.IFS('Prepare Gantt Chart'!W14=2,'Project types'!$L15,'Prepare Gantt Chart'!W14=1,'Project types'!$L15,'Prepare Gantt Chart'!W14=0,0)</f>
        <v>0</v>
      </c>
      <c r="AL25" s="83">
        <f>_xlfn.IFS('Prepare Gantt Chart'!X14=2,'Project types'!$L15,'Prepare Gantt Chart'!X14=1,'Project types'!$L15,'Prepare Gantt Chart'!X14=0,0)</f>
        <v>0</v>
      </c>
      <c r="AM25" s="83">
        <f>_xlfn.IFS('Prepare Gantt Chart'!Y14=2,'Project types'!$L15,'Prepare Gantt Chart'!Y14=1,'Project types'!$L15,'Prepare Gantt Chart'!Y14=0,0)</f>
        <v>0</v>
      </c>
      <c r="AN25" s="83">
        <f>_xlfn.IFS('Prepare Gantt Chart'!Z14=2,'Project types'!$L15,'Prepare Gantt Chart'!Z14=1,'Project types'!$L15,'Prepare Gantt Chart'!Z14=0,0)</f>
        <v>0</v>
      </c>
      <c r="AO25" s="83">
        <f>_xlfn.IFS('Prepare Gantt Chart'!AA14=2,'Project types'!$L15,'Prepare Gantt Chart'!AA14=1,'Project types'!$L15,'Prepare Gantt Chart'!AA14=0,0)</f>
        <v>0</v>
      </c>
      <c r="AP25" s="83">
        <f>_xlfn.IFS('Prepare Gantt Chart'!AB14=2,'Project types'!$L15,'Prepare Gantt Chart'!AB14=1,'Project types'!$L15,'Prepare Gantt Chart'!AB14=0,0)</f>
        <v>0</v>
      </c>
      <c r="AQ25" s="83">
        <f>_xlfn.IFS('Prepare Gantt Chart'!AC14=2,'Project types'!$L15,'Prepare Gantt Chart'!AC14=1,'Project types'!$L15,'Prepare Gantt Chart'!AC14=0,0)</f>
        <v>0</v>
      </c>
      <c r="AR25" s="83">
        <f>_xlfn.IFS('Prepare Gantt Chart'!AD14=2,'Project types'!$L15,'Prepare Gantt Chart'!AD14=1,'Project types'!$L15,'Prepare Gantt Chart'!AD14=0,0)</f>
        <v>0</v>
      </c>
      <c r="AS25" s="83">
        <f>_xlfn.IFS('Prepare Gantt Chart'!AE14=2,'Project types'!$L15,'Prepare Gantt Chart'!AE14=1,'Project types'!$L15,'Prepare Gantt Chart'!AE14=0,0)</f>
        <v>0</v>
      </c>
      <c r="AT25" s="83">
        <f>_xlfn.IFS('Prepare Gantt Chart'!AF14=2,'Project types'!$L15,'Prepare Gantt Chart'!AF14=1,'Project types'!$L15,'Prepare Gantt Chart'!AF14=0,0)</f>
        <v>0</v>
      </c>
      <c r="AU25" s="83">
        <f>_xlfn.IFS('Prepare Gantt Chart'!AG14=2,'Project types'!$L15,'Prepare Gantt Chart'!AG14=1,'Project types'!$L15,'Prepare Gantt Chart'!AG14=0,0)</f>
        <v>0</v>
      </c>
      <c r="AV25" s="83">
        <f>_xlfn.IFS('Prepare Gantt Chart'!AH14=2,'Project types'!$L15,'Prepare Gantt Chart'!AH14=1,'Project types'!$L15,'Prepare Gantt Chart'!AH14=0,0)</f>
        <v>0</v>
      </c>
      <c r="AW25" s="83">
        <f>_xlfn.IFS('Prepare Gantt Chart'!AI14=2,'Project types'!$L15,'Prepare Gantt Chart'!AI14=1,'Project types'!$L15,'Prepare Gantt Chart'!AI14=0,0)</f>
        <v>0</v>
      </c>
      <c r="AX25" s="83">
        <f>_xlfn.IFS('Prepare Gantt Chart'!AJ14=2,'Project types'!$L15,'Prepare Gantt Chart'!AJ14=1,'Project types'!$L15,'Prepare Gantt Chart'!AJ14=0,0)</f>
        <v>0</v>
      </c>
      <c r="AY25" s="83">
        <f>_xlfn.IFS('Prepare Gantt Chart'!AK14=2,'Project types'!$L15,'Prepare Gantt Chart'!AK14=1,'Project types'!$L15,'Prepare Gantt Chart'!AK14=0,0)</f>
        <v>0</v>
      </c>
      <c r="AZ25" s="83">
        <f>_xlfn.IFS('Prepare Gantt Chart'!AL14=2,'Project types'!$L15,'Prepare Gantt Chart'!AL14=1,'Project types'!$L15,'Prepare Gantt Chart'!AL14=0,0)</f>
        <v>0</v>
      </c>
      <c r="BA25" s="83">
        <f>_xlfn.IFS('Prepare Gantt Chart'!AM14=2,'Project types'!$L15,'Prepare Gantt Chart'!AM14=1,'Project types'!$L15,'Prepare Gantt Chart'!AM14=0,0)</f>
        <v>0</v>
      </c>
      <c r="BB25" s="83">
        <f>_xlfn.IFS('Prepare Gantt Chart'!AN14=2,'Project types'!$L15,'Prepare Gantt Chart'!AN14=1,'Project types'!$L15,'Prepare Gantt Chart'!AN14=0,0)</f>
        <v>0</v>
      </c>
      <c r="BC25" s="83">
        <f>_xlfn.IFS('Prepare Gantt Chart'!AO14=2,'Project types'!$L15,'Prepare Gantt Chart'!AO14=1,'Project types'!$L15,'Prepare Gantt Chart'!AO14=0,0)</f>
        <v>0</v>
      </c>
      <c r="BD25" s="91">
        <f t="shared" si="1"/>
        <v>0</v>
      </c>
      <c r="CI25" s="85"/>
      <c r="GY25" s="85"/>
    </row>
    <row r="26" spans="1:207" x14ac:dyDescent="0.2">
      <c r="A26" s="1" t="s">
        <v>115</v>
      </c>
      <c r="B26" s="18" t="s">
        <v>15</v>
      </c>
      <c r="C26" s="83">
        <f>_xlfn.IFS('Prepare Gantt Chart'!P15=2,'Project types'!$O16,'Prepare Gantt Chart'!P15=1,'Project types'!$Q16,'Prepare Gantt Chart'!P15=0,0)</f>
        <v>0</v>
      </c>
      <c r="D26" s="83">
        <f>_xlfn.IFS('Prepare Gantt Chart'!Q15=2,'Project types'!$O16,'Prepare Gantt Chart'!Q15=1,'Project types'!$Q16,'Prepare Gantt Chart'!Q15=0,0)</f>
        <v>0</v>
      </c>
      <c r="E26" s="83">
        <f>_xlfn.IFS('Prepare Gantt Chart'!R15=2,'Project types'!$O16,'Prepare Gantt Chart'!R15=1,'Project types'!$Q16,'Prepare Gantt Chart'!R15=0,0)</f>
        <v>0</v>
      </c>
      <c r="F26" s="83">
        <f>_xlfn.IFS('Prepare Gantt Chart'!S15=2,'Project types'!$O16,'Prepare Gantt Chart'!S15=1,'Project types'!$Q16,'Prepare Gantt Chart'!S15=0,0)</f>
        <v>0</v>
      </c>
      <c r="G26" s="83">
        <f>_xlfn.IFS('Prepare Gantt Chart'!T15=2,'Project types'!$O16,'Prepare Gantt Chart'!T15=1,'Project types'!$Q16,'Prepare Gantt Chart'!T15=0,0)</f>
        <v>0</v>
      </c>
      <c r="H26" s="83">
        <f>_xlfn.IFS('Prepare Gantt Chart'!U15=2,'Project types'!$O16,'Prepare Gantt Chart'!U15=1,'Project types'!$Q16,'Prepare Gantt Chart'!U15=0,0)</f>
        <v>0</v>
      </c>
      <c r="I26" s="83">
        <f>_xlfn.IFS('Prepare Gantt Chart'!V15=2,'Project types'!$O16,'Prepare Gantt Chart'!V15=1,'Project types'!$Q16,'Prepare Gantt Chart'!V15=0,0)</f>
        <v>0</v>
      </c>
      <c r="J26" s="83">
        <f>_xlfn.IFS('Prepare Gantt Chart'!W15=2,'Project types'!$O16,'Prepare Gantt Chart'!W15=1,'Project types'!$Q16,'Prepare Gantt Chart'!W15=0,0)</f>
        <v>0</v>
      </c>
      <c r="K26" s="83">
        <f>_xlfn.IFS('Prepare Gantt Chart'!X15=2,'Project types'!$O16,'Prepare Gantt Chart'!X15=1,'Project types'!$Q16,'Prepare Gantt Chart'!X15=0,0)</f>
        <v>0</v>
      </c>
      <c r="L26" s="83">
        <f>_xlfn.IFS('Prepare Gantt Chart'!Y15=2,'Project types'!$O16,'Prepare Gantt Chart'!Y15=1,'Project types'!$Q16,'Prepare Gantt Chart'!Y15=0,0)</f>
        <v>0</v>
      </c>
      <c r="M26" s="83">
        <f>_xlfn.IFS('Prepare Gantt Chart'!Z15=2,'Project types'!$O16,'Prepare Gantt Chart'!Z15=1,'Project types'!$Q16,'Prepare Gantt Chart'!Z15=0,0)</f>
        <v>0</v>
      </c>
      <c r="N26" s="83">
        <f>_xlfn.IFS('Prepare Gantt Chart'!AA15=2,'Project types'!$O16,'Prepare Gantt Chart'!AA15=1,'Project types'!$Q16,'Prepare Gantt Chart'!AA15=0,0)</f>
        <v>0</v>
      </c>
      <c r="O26" s="83">
        <f>_xlfn.IFS('Prepare Gantt Chart'!AB15=2,'Project types'!$O16,'Prepare Gantt Chart'!AB15=1,'Project types'!$Q16,'Prepare Gantt Chart'!AB15=0,0)</f>
        <v>0</v>
      </c>
      <c r="P26" s="83">
        <f>_xlfn.IFS('Prepare Gantt Chart'!AC15=2,'Project types'!$O16,'Prepare Gantt Chart'!AC15=1,'Project types'!$Q16,'Prepare Gantt Chart'!AC15=0,0)</f>
        <v>0</v>
      </c>
      <c r="Q26" s="83">
        <f>_xlfn.IFS('Prepare Gantt Chart'!AD15=2,'Project types'!$O16,'Prepare Gantt Chart'!AD15=1,'Project types'!$Q16,'Prepare Gantt Chart'!AD15=0,0)</f>
        <v>0</v>
      </c>
      <c r="R26" s="83">
        <f>_xlfn.IFS('Prepare Gantt Chart'!AE15=2,'Project types'!$O16,'Prepare Gantt Chart'!AE15=1,'Project types'!$Q16,'Prepare Gantt Chart'!AE15=0,0)</f>
        <v>0</v>
      </c>
      <c r="S26" s="83">
        <f>_xlfn.IFS('Prepare Gantt Chart'!AF15=2,'Project types'!$O16,'Prepare Gantt Chart'!AF15=1,'Project types'!$Q16,'Prepare Gantt Chart'!AF15=0,0)</f>
        <v>0</v>
      </c>
      <c r="T26" s="83">
        <f>_xlfn.IFS('Prepare Gantt Chart'!AG15=2,'Project types'!$O16,'Prepare Gantt Chart'!AG15=1,'Project types'!$Q16,'Prepare Gantt Chart'!AG15=0,0)</f>
        <v>0</v>
      </c>
      <c r="U26" s="83">
        <f>_xlfn.IFS('Prepare Gantt Chart'!AH15=2,'Project types'!$O16,'Prepare Gantt Chart'!AH15=1,'Project types'!$Q16,'Prepare Gantt Chart'!AH15=0,0)</f>
        <v>0</v>
      </c>
      <c r="V26" s="83">
        <f>_xlfn.IFS('Prepare Gantt Chart'!AI15=2,'Project types'!$O16,'Prepare Gantt Chart'!AI15=1,'Project types'!$Q16,'Prepare Gantt Chart'!AI15=0,0)</f>
        <v>0</v>
      </c>
      <c r="W26" s="83">
        <f>_xlfn.IFS('Prepare Gantt Chart'!AJ15=2,'Project types'!$O16,'Prepare Gantt Chart'!AJ15=1,'Project types'!$Q16,'Prepare Gantt Chart'!AJ15=0,0)</f>
        <v>0</v>
      </c>
      <c r="X26" s="83">
        <f>_xlfn.IFS('Prepare Gantt Chart'!AK15=2,'Project types'!$O16,'Prepare Gantt Chart'!AK15=1,'Project types'!$Q16,'Prepare Gantt Chart'!AK15=0,0)</f>
        <v>0</v>
      </c>
      <c r="Y26" s="83">
        <f>_xlfn.IFS('Prepare Gantt Chart'!AL15=2,'Project types'!$O16,'Prepare Gantt Chart'!AL15=1,'Project types'!$Q16,'Prepare Gantt Chart'!AL15=0,0)</f>
        <v>0</v>
      </c>
      <c r="Z26" s="83">
        <f>_xlfn.IFS('Prepare Gantt Chart'!AM15=2,'Project types'!$O16,'Prepare Gantt Chart'!AM15=1,'Project types'!$Q16,'Prepare Gantt Chart'!AM15=0,0)</f>
        <v>0</v>
      </c>
      <c r="AA26" s="83">
        <f>_xlfn.IFS('Prepare Gantt Chart'!AN15=2,'Project types'!$O16,'Prepare Gantt Chart'!AN15=1,'Project types'!$Q16,'Prepare Gantt Chart'!AN15=0,0)</f>
        <v>0</v>
      </c>
      <c r="AB26" s="83">
        <f>_xlfn.IFS('Prepare Gantt Chart'!AO15=2,'Project types'!$O16,'Prepare Gantt Chart'!AO15=1,'Project types'!$Q16,'Prepare Gantt Chart'!AO15=0,0)</f>
        <v>0</v>
      </c>
      <c r="AC26" s="93">
        <f t="shared" si="0"/>
        <v>0</v>
      </c>
      <c r="AD26" s="86">
        <f>_xlfn.IFS('Prepare Gantt Chart'!P15=2,'Project types'!$L16,'Prepare Gantt Chart'!P15=1,'Project types'!$L16,'Prepare Gantt Chart'!P15=0,0)</f>
        <v>0</v>
      </c>
      <c r="AE26" s="83">
        <f>_xlfn.IFS('Prepare Gantt Chart'!Q15=2,'Project types'!$L16,'Prepare Gantt Chart'!Q15=1,'Project types'!$L16,'Prepare Gantt Chart'!Q15=0,0)</f>
        <v>0</v>
      </c>
      <c r="AF26" s="83">
        <f>_xlfn.IFS('Prepare Gantt Chart'!R15=2,'Project types'!$L16,'Prepare Gantt Chart'!R15=1,'Project types'!$L16,'Prepare Gantt Chart'!R15=0,0)</f>
        <v>0</v>
      </c>
      <c r="AG26" s="83">
        <f>_xlfn.IFS('Prepare Gantt Chart'!S15=2,'Project types'!$L16,'Prepare Gantt Chart'!S15=1,'Project types'!$L16,'Prepare Gantt Chart'!S15=0,0)</f>
        <v>0</v>
      </c>
      <c r="AH26" s="83">
        <f>_xlfn.IFS('Prepare Gantt Chart'!T15=2,'Project types'!$L16,'Prepare Gantt Chart'!T15=1,'Project types'!$L16,'Prepare Gantt Chart'!T15=0,0)</f>
        <v>0</v>
      </c>
      <c r="AI26" s="83">
        <f>_xlfn.IFS('Prepare Gantt Chart'!U15=2,'Project types'!$L16,'Prepare Gantt Chart'!U15=1,'Project types'!$L16,'Prepare Gantt Chart'!U15=0,0)</f>
        <v>0</v>
      </c>
      <c r="AJ26" s="83">
        <f>_xlfn.IFS('Prepare Gantt Chart'!V15=2,'Project types'!$L16,'Prepare Gantt Chart'!V15=1,'Project types'!$L16,'Prepare Gantt Chart'!V15=0,0)</f>
        <v>0</v>
      </c>
      <c r="AK26" s="83">
        <f>_xlfn.IFS('Prepare Gantt Chart'!W15=2,'Project types'!$L16,'Prepare Gantt Chart'!W15=1,'Project types'!$L16,'Prepare Gantt Chart'!W15=0,0)</f>
        <v>0</v>
      </c>
      <c r="AL26" s="83">
        <f>_xlfn.IFS('Prepare Gantt Chart'!X15=2,'Project types'!$L16,'Prepare Gantt Chart'!X15=1,'Project types'!$L16,'Prepare Gantt Chart'!X15=0,0)</f>
        <v>0</v>
      </c>
      <c r="AM26" s="83">
        <f>_xlfn.IFS('Prepare Gantt Chart'!Y15=2,'Project types'!$L16,'Prepare Gantt Chart'!Y15=1,'Project types'!$L16,'Prepare Gantt Chart'!Y15=0,0)</f>
        <v>0</v>
      </c>
      <c r="AN26" s="83">
        <f>_xlfn.IFS('Prepare Gantt Chart'!Z15=2,'Project types'!$L16,'Prepare Gantt Chart'!Z15=1,'Project types'!$L16,'Prepare Gantt Chart'!Z15=0,0)</f>
        <v>0</v>
      </c>
      <c r="AO26" s="83">
        <f>_xlfn.IFS('Prepare Gantt Chart'!AA15=2,'Project types'!$L16,'Prepare Gantt Chart'!AA15=1,'Project types'!$L16,'Prepare Gantt Chart'!AA15=0,0)</f>
        <v>0</v>
      </c>
      <c r="AP26" s="83">
        <f>_xlfn.IFS('Prepare Gantt Chart'!AB15=2,'Project types'!$L16,'Prepare Gantt Chart'!AB15=1,'Project types'!$L16,'Prepare Gantt Chart'!AB15=0,0)</f>
        <v>0</v>
      </c>
      <c r="AQ26" s="83">
        <f>_xlfn.IFS('Prepare Gantt Chart'!AC15=2,'Project types'!$L16,'Prepare Gantt Chart'!AC15=1,'Project types'!$L16,'Prepare Gantt Chart'!AC15=0,0)</f>
        <v>0</v>
      </c>
      <c r="AR26" s="83">
        <f>_xlfn.IFS('Prepare Gantt Chart'!AD15=2,'Project types'!$L16,'Prepare Gantt Chart'!AD15=1,'Project types'!$L16,'Prepare Gantt Chart'!AD15=0,0)</f>
        <v>0</v>
      </c>
      <c r="AS26" s="83">
        <f>_xlfn.IFS('Prepare Gantt Chart'!AE15=2,'Project types'!$L16,'Prepare Gantt Chart'!AE15=1,'Project types'!$L16,'Prepare Gantt Chart'!AE15=0,0)</f>
        <v>0</v>
      </c>
      <c r="AT26" s="83">
        <f>_xlfn.IFS('Prepare Gantt Chart'!AF15=2,'Project types'!$L16,'Prepare Gantt Chart'!AF15=1,'Project types'!$L16,'Prepare Gantt Chart'!AF15=0,0)</f>
        <v>0</v>
      </c>
      <c r="AU26" s="83">
        <f>_xlfn.IFS('Prepare Gantt Chart'!AG15=2,'Project types'!$L16,'Prepare Gantt Chart'!AG15=1,'Project types'!$L16,'Prepare Gantt Chart'!AG15=0,0)</f>
        <v>0</v>
      </c>
      <c r="AV26" s="83">
        <f>_xlfn.IFS('Prepare Gantt Chart'!AH15=2,'Project types'!$L16,'Prepare Gantt Chart'!AH15=1,'Project types'!$L16,'Prepare Gantt Chart'!AH15=0,0)</f>
        <v>0</v>
      </c>
      <c r="AW26" s="83">
        <f>_xlfn.IFS('Prepare Gantt Chart'!AI15=2,'Project types'!$L16,'Prepare Gantt Chart'!AI15=1,'Project types'!$L16,'Prepare Gantt Chart'!AI15=0,0)</f>
        <v>0</v>
      </c>
      <c r="AX26" s="83">
        <f>_xlfn.IFS('Prepare Gantt Chart'!AJ15=2,'Project types'!$L16,'Prepare Gantt Chart'!AJ15=1,'Project types'!$L16,'Prepare Gantt Chart'!AJ15=0,0)</f>
        <v>0</v>
      </c>
      <c r="AY26" s="83">
        <f>_xlfn.IFS('Prepare Gantt Chart'!AK15=2,'Project types'!$L16,'Prepare Gantt Chart'!AK15=1,'Project types'!$L16,'Prepare Gantt Chart'!AK15=0,0)</f>
        <v>0</v>
      </c>
      <c r="AZ26" s="83">
        <f>_xlfn.IFS('Prepare Gantt Chart'!AL15=2,'Project types'!$L16,'Prepare Gantt Chart'!AL15=1,'Project types'!$L16,'Prepare Gantt Chart'!AL15=0,0)</f>
        <v>0</v>
      </c>
      <c r="BA26" s="83">
        <f>_xlfn.IFS('Prepare Gantt Chart'!AM15=2,'Project types'!$L16,'Prepare Gantt Chart'!AM15=1,'Project types'!$L16,'Prepare Gantt Chart'!AM15=0,0)</f>
        <v>0</v>
      </c>
      <c r="BB26" s="83">
        <f>_xlfn.IFS('Prepare Gantt Chart'!AN15=2,'Project types'!$L16,'Prepare Gantt Chart'!AN15=1,'Project types'!$L16,'Prepare Gantt Chart'!AN15=0,0)</f>
        <v>0</v>
      </c>
      <c r="BC26" s="83">
        <f>_xlfn.IFS('Prepare Gantt Chart'!AO15=2,'Project types'!$L16,'Prepare Gantt Chart'!AO15=1,'Project types'!$L16,'Prepare Gantt Chart'!AO15=0,0)</f>
        <v>0</v>
      </c>
      <c r="BD26" s="91">
        <f t="shared" si="1"/>
        <v>0</v>
      </c>
      <c r="CI26" s="85"/>
      <c r="GY26" s="85"/>
    </row>
    <row r="27" spans="1:207" ht="16" thickBot="1" x14ac:dyDescent="0.25">
      <c r="A27" s="8" t="s">
        <v>118</v>
      </c>
      <c r="B27" s="19" t="s">
        <v>16</v>
      </c>
      <c r="C27" s="89">
        <f>_xlfn.IFS('Prepare Gantt Chart'!P16=2,'Project types'!$O17,'Prepare Gantt Chart'!P16=1,'Project types'!$Q17,'Prepare Gantt Chart'!P16=0,0)</f>
        <v>0</v>
      </c>
      <c r="D27" s="89">
        <f>_xlfn.IFS('Prepare Gantt Chart'!Q16=2,'Project types'!$O17,'Prepare Gantt Chart'!Q16=1,'Project types'!$Q17,'Prepare Gantt Chart'!Q16=0,0)</f>
        <v>0</v>
      </c>
      <c r="E27" s="89">
        <f>_xlfn.IFS('Prepare Gantt Chart'!R16=2,'Project types'!$O17,'Prepare Gantt Chart'!R16=1,'Project types'!$Q17,'Prepare Gantt Chart'!R16=0,0)</f>
        <v>0</v>
      </c>
      <c r="F27" s="89">
        <f>_xlfn.IFS('Prepare Gantt Chart'!S16=2,'Project types'!$O17,'Prepare Gantt Chart'!S16=1,'Project types'!$Q17,'Prepare Gantt Chart'!S16=0,0)</f>
        <v>0</v>
      </c>
      <c r="G27" s="89">
        <f>_xlfn.IFS('Prepare Gantt Chart'!T16=2,'Project types'!$O17,'Prepare Gantt Chart'!T16=1,'Project types'!$Q17,'Prepare Gantt Chart'!T16=0,0)</f>
        <v>0</v>
      </c>
      <c r="H27" s="89">
        <f>_xlfn.IFS('Prepare Gantt Chart'!U16=2,'Project types'!$O17,'Prepare Gantt Chart'!U16=1,'Project types'!$Q17,'Prepare Gantt Chart'!U16=0,0)</f>
        <v>0</v>
      </c>
      <c r="I27" s="89">
        <f>_xlfn.IFS('Prepare Gantt Chart'!V16=2,'Project types'!$O17,'Prepare Gantt Chart'!V16=1,'Project types'!$Q17,'Prepare Gantt Chart'!V16=0,0)</f>
        <v>0</v>
      </c>
      <c r="J27" s="89">
        <f>_xlfn.IFS('Prepare Gantt Chart'!W16=2,'Project types'!$O17,'Prepare Gantt Chart'!W16=1,'Project types'!$Q17,'Prepare Gantt Chart'!W16=0,0)</f>
        <v>0</v>
      </c>
      <c r="K27" s="89">
        <f>_xlfn.IFS('Prepare Gantt Chart'!X16=2,'Project types'!$O17,'Prepare Gantt Chart'!X16=1,'Project types'!$Q17,'Prepare Gantt Chart'!X16=0,0)</f>
        <v>0</v>
      </c>
      <c r="L27" s="89">
        <f>_xlfn.IFS('Prepare Gantt Chart'!Y16=2,'Project types'!$O17,'Prepare Gantt Chart'!Y16=1,'Project types'!$Q17,'Prepare Gantt Chart'!Y16=0,0)</f>
        <v>0</v>
      </c>
      <c r="M27" s="89">
        <f>_xlfn.IFS('Prepare Gantt Chart'!Z16=2,'Project types'!$O17,'Prepare Gantt Chart'!Z16=1,'Project types'!$Q17,'Prepare Gantt Chart'!Z16=0,0)</f>
        <v>0</v>
      </c>
      <c r="N27" s="89">
        <f>_xlfn.IFS('Prepare Gantt Chart'!AA16=2,'Project types'!$O17,'Prepare Gantt Chart'!AA16=1,'Project types'!$Q17,'Prepare Gantt Chart'!AA16=0,0)</f>
        <v>0</v>
      </c>
      <c r="O27" s="89">
        <f>_xlfn.IFS('Prepare Gantt Chart'!AB16=2,'Project types'!$O17,'Prepare Gantt Chart'!AB16=1,'Project types'!$Q17,'Prepare Gantt Chart'!AB16=0,0)</f>
        <v>0</v>
      </c>
      <c r="P27" s="89">
        <f>_xlfn.IFS('Prepare Gantt Chart'!AC16=2,'Project types'!$O17,'Prepare Gantt Chart'!AC16=1,'Project types'!$Q17,'Prepare Gantt Chart'!AC16=0,0)</f>
        <v>0</v>
      </c>
      <c r="Q27" s="89">
        <f>_xlfn.IFS('Prepare Gantt Chart'!AD16=2,'Project types'!$O17,'Prepare Gantt Chart'!AD16=1,'Project types'!$Q17,'Prepare Gantt Chart'!AD16=0,0)</f>
        <v>0</v>
      </c>
      <c r="R27" s="89">
        <f>_xlfn.IFS('Prepare Gantt Chart'!AE16=2,'Project types'!$O17,'Prepare Gantt Chart'!AE16=1,'Project types'!$Q17,'Prepare Gantt Chart'!AE16=0,0)</f>
        <v>0</v>
      </c>
      <c r="S27" s="89">
        <f>_xlfn.IFS('Prepare Gantt Chart'!AF16=2,'Project types'!$O17,'Prepare Gantt Chart'!AF16=1,'Project types'!$Q17,'Prepare Gantt Chart'!AF16=0,0)</f>
        <v>0</v>
      </c>
      <c r="T27" s="89">
        <f>_xlfn.IFS('Prepare Gantt Chart'!AG16=2,'Project types'!$O17,'Prepare Gantt Chart'!AG16=1,'Project types'!$Q17,'Prepare Gantt Chart'!AG16=0,0)</f>
        <v>0</v>
      </c>
      <c r="U27" s="89">
        <f>_xlfn.IFS('Prepare Gantt Chart'!AH16=2,'Project types'!$O17,'Prepare Gantt Chart'!AH16=1,'Project types'!$Q17,'Prepare Gantt Chart'!AH16=0,0)</f>
        <v>0</v>
      </c>
      <c r="V27" s="89">
        <f>_xlfn.IFS('Prepare Gantt Chart'!AI16=2,'Project types'!$O17,'Prepare Gantt Chart'!AI16=1,'Project types'!$Q17,'Prepare Gantt Chart'!AI16=0,0)</f>
        <v>0</v>
      </c>
      <c r="W27" s="89">
        <f>_xlfn.IFS('Prepare Gantt Chart'!AJ16=2,'Project types'!$O17,'Prepare Gantt Chart'!AJ16=1,'Project types'!$Q17,'Prepare Gantt Chart'!AJ16=0,0)</f>
        <v>0</v>
      </c>
      <c r="X27" s="89">
        <f>_xlfn.IFS('Prepare Gantt Chart'!AK16=2,'Project types'!$O17,'Prepare Gantt Chart'!AK16=1,'Project types'!$Q17,'Prepare Gantt Chart'!AK16=0,0)</f>
        <v>0</v>
      </c>
      <c r="Y27" s="89">
        <f>_xlfn.IFS('Prepare Gantt Chart'!AL16=2,'Project types'!$O17,'Prepare Gantt Chart'!AL16=1,'Project types'!$Q17,'Prepare Gantt Chart'!AL16=0,0)</f>
        <v>0</v>
      </c>
      <c r="Z27" s="89">
        <f>_xlfn.IFS('Prepare Gantt Chart'!AM16=2,'Project types'!$O17,'Prepare Gantt Chart'!AM16=1,'Project types'!$Q17,'Prepare Gantt Chart'!AM16=0,0)</f>
        <v>0</v>
      </c>
      <c r="AA27" s="89">
        <f>_xlfn.IFS('Prepare Gantt Chart'!AN16=2,'Project types'!$O17,'Prepare Gantt Chart'!AN16=1,'Project types'!$Q17,'Prepare Gantt Chart'!AN16=0,0)</f>
        <v>0</v>
      </c>
      <c r="AB27" s="89">
        <f>_xlfn.IFS('Prepare Gantt Chart'!AO16=2,'Project types'!$O17,'Prepare Gantt Chart'!AO16=1,'Project types'!$Q17,'Prepare Gantt Chart'!AO16=0,0)</f>
        <v>0</v>
      </c>
      <c r="AC27" s="94">
        <f t="shared" si="0"/>
        <v>0</v>
      </c>
      <c r="AD27" s="90">
        <f>_xlfn.IFS('Prepare Gantt Chart'!P16=2,'Project types'!$L17,'Prepare Gantt Chart'!P16=1,'Project types'!$L17,'Prepare Gantt Chart'!P16=0,0)</f>
        <v>0</v>
      </c>
      <c r="AE27" s="89">
        <f>_xlfn.IFS('Prepare Gantt Chart'!Q16=2,'Project types'!$L17,'Prepare Gantt Chart'!Q16=1,'Project types'!$L17,'Prepare Gantt Chart'!Q16=0,0)</f>
        <v>0</v>
      </c>
      <c r="AF27" s="89">
        <f>_xlfn.IFS('Prepare Gantt Chart'!R16=2,'Project types'!$L17,'Prepare Gantt Chart'!R16=1,'Project types'!$L17,'Prepare Gantt Chart'!R16=0,0)</f>
        <v>0</v>
      </c>
      <c r="AG27" s="89">
        <f>_xlfn.IFS('Prepare Gantt Chart'!S16=2,'Project types'!$L17,'Prepare Gantt Chart'!S16=1,'Project types'!$L17,'Prepare Gantt Chart'!S16=0,0)</f>
        <v>0</v>
      </c>
      <c r="AH27" s="89">
        <f>_xlfn.IFS('Prepare Gantt Chart'!T16=2,'Project types'!$L17,'Prepare Gantt Chart'!T16=1,'Project types'!$L17,'Prepare Gantt Chart'!T16=0,0)</f>
        <v>0</v>
      </c>
      <c r="AI27" s="89">
        <f>_xlfn.IFS('Prepare Gantt Chart'!U16=2,'Project types'!$L17,'Prepare Gantt Chart'!U16=1,'Project types'!$L17,'Prepare Gantt Chart'!U16=0,0)</f>
        <v>0</v>
      </c>
      <c r="AJ27" s="89">
        <f>_xlfn.IFS('Prepare Gantt Chart'!V16=2,'Project types'!$L17,'Prepare Gantt Chart'!V16=1,'Project types'!$L17,'Prepare Gantt Chart'!V16=0,0)</f>
        <v>0</v>
      </c>
      <c r="AK27" s="89">
        <f>_xlfn.IFS('Prepare Gantt Chart'!W16=2,'Project types'!$L17,'Prepare Gantt Chart'!W16=1,'Project types'!$L17,'Prepare Gantt Chart'!W16=0,0)</f>
        <v>0</v>
      </c>
      <c r="AL27" s="89">
        <f>_xlfn.IFS('Prepare Gantt Chart'!X16=2,'Project types'!$L17,'Prepare Gantt Chart'!X16=1,'Project types'!$L17,'Prepare Gantt Chart'!X16=0,0)</f>
        <v>0</v>
      </c>
      <c r="AM27" s="89">
        <f>_xlfn.IFS('Prepare Gantt Chart'!Y16=2,'Project types'!$L17,'Prepare Gantt Chart'!Y16=1,'Project types'!$L17,'Prepare Gantt Chart'!Y16=0,0)</f>
        <v>0</v>
      </c>
      <c r="AN27" s="89">
        <f>_xlfn.IFS('Prepare Gantt Chart'!Z16=2,'Project types'!$L17,'Prepare Gantt Chart'!Z16=1,'Project types'!$L17,'Prepare Gantt Chart'!Z16=0,0)</f>
        <v>0</v>
      </c>
      <c r="AO27" s="89">
        <f>_xlfn.IFS('Prepare Gantt Chart'!AA16=2,'Project types'!$L17,'Prepare Gantt Chart'!AA16=1,'Project types'!$L17,'Prepare Gantt Chart'!AA16=0,0)</f>
        <v>0</v>
      </c>
      <c r="AP27" s="89">
        <f>_xlfn.IFS('Prepare Gantt Chart'!AB16=2,'Project types'!$L17,'Prepare Gantt Chart'!AB16=1,'Project types'!$L17,'Prepare Gantt Chart'!AB16=0,0)</f>
        <v>0</v>
      </c>
      <c r="AQ27" s="89">
        <f>_xlfn.IFS('Prepare Gantt Chart'!AC16=2,'Project types'!$L17,'Prepare Gantt Chart'!AC16=1,'Project types'!$L17,'Prepare Gantt Chart'!AC16=0,0)</f>
        <v>0</v>
      </c>
      <c r="AR27" s="89">
        <f>_xlfn.IFS('Prepare Gantt Chart'!AD16=2,'Project types'!$L17,'Prepare Gantt Chart'!AD16=1,'Project types'!$L17,'Prepare Gantt Chart'!AD16=0,0)</f>
        <v>0</v>
      </c>
      <c r="AS27" s="89">
        <f>_xlfn.IFS('Prepare Gantt Chart'!AE16=2,'Project types'!$L17,'Prepare Gantt Chart'!AE16=1,'Project types'!$L17,'Prepare Gantt Chart'!AE16=0,0)</f>
        <v>0</v>
      </c>
      <c r="AT27" s="89">
        <f>_xlfn.IFS('Prepare Gantt Chart'!AF16=2,'Project types'!$L17,'Prepare Gantt Chart'!AF16=1,'Project types'!$L17,'Prepare Gantt Chart'!AF16=0,0)</f>
        <v>0</v>
      </c>
      <c r="AU27" s="89">
        <f>_xlfn.IFS('Prepare Gantt Chart'!AG16=2,'Project types'!$L17,'Prepare Gantt Chart'!AG16=1,'Project types'!$L17,'Prepare Gantt Chart'!AG16=0,0)</f>
        <v>0</v>
      </c>
      <c r="AV27" s="89">
        <f>_xlfn.IFS('Prepare Gantt Chart'!AH16=2,'Project types'!$L17,'Prepare Gantt Chart'!AH16=1,'Project types'!$L17,'Prepare Gantt Chart'!AH16=0,0)</f>
        <v>0</v>
      </c>
      <c r="AW27" s="89">
        <f>_xlfn.IFS('Prepare Gantt Chart'!AI16=2,'Project types'!$L17,'Prepare Gantt Chart'!AI16=1,'Project types'!$L17,'Prepare Gantt Chart'!AI16=0,0)</f>
        <v>0</v>
      </c>
      <c r="AX27" s="89">
        <f>_xlfn.IFS('Prepare Gantt Chart'!AJ16=2,'Project types'!$L17,'Prepare Gantt Chart'!AJ16=1,'Project types'!$L17,'Prepare Gantt Chart'!AJ16=0,0)</f>
        <v>0</v>
      </c>
      <c r="AY27" s="89">
        <f>_xlfn.IFS('Prepare Gantt Chart'!AK16=2,'Project types'!$L17,'Prepare Gantt Chart'!AK16=1,'Project types'!$L17,'Prepare Gantt Chart'!AK16=0,0)</f>
        <v>0</v>
      </c>
      <c r="AZ27" s="89">
        <f>_xlfn.IFS('Prepare Gantt Chart'!AL16=2,'Project types'!$L17,'Prepare Gantt Chart'!AL16=1,'Project types'!$L17,'Prepare Gantt Chart'!AL16=0,0)</f>
        <v>0</v>
      </c>
      <c r="BA27" s="89">
        <f>_xlfn.IFS('Prepare Gantt Chart'!AM16=2,'Project types'!$L17,'Prepare Gantt Chart'!AM16=1,'Project types'!$L17,'Prepare Gantt Chart'!AM16=0,0)</f>
        <v>0</v>
      </c>
      <c r="BB27" s="89">
        <f>_xlfn.IFS('Prepare Gantt Chart'!AN16=2,'Project types'!$L17,'Prepare Gantt Chart'!AN16=1,'Project types'!$L17,'Prepare Gantt Chart'!AN16=0,0)</f>
        <v>0</v>
      </c>
      <c r="BC27" s="89">
        <f>_xlfn.IFS('Prepare Gantt Chart'!AO16=2,'Project types'!$L17,'Prepare Gantt Chart'!AO16=1,'Project types'!$L17,'Prepare Gantt Chart'!AO16=0,0)</f>
        <v>0</v>
      </c>
      <c r="BD27" s="92">
        <f t="shared" si="1"/>
        <v>0</v>
      </c>
      <c r="CI27" s="85"/>
      <c r="GY27" s="85"/>
    </row>
    <row r="28" spans="1:207" x14ac:dyDescent="0.2">
      <c r="A28" s="1" t="s">
        <v>387</v>
      </c>
      <c r="B28" s="20" t="s">
        <v>17</v>
      </c>
      <c r="C28" s="83">
        <f>_xlfn.IFS('Prepare Gantt Chart'!P17=4,'Project types'!$O18,'Prepare Gantt Chart'!P17=3,'Project types'!$Q18,'Prepare Gantt Chart'!P17=0,0)</f>
        <v>0</v>
      </c>
      <c r="D28" s="83">
        <f>_xlfn.IFS('Prepare Gantt Chart'!Q17=4,'Project types'!$O18,'Prepare Gantt Chart'!Q17=3,'Project types'!$Q18,'Prepare Gantt Chart'!Q17=0,0)</f>
        <v>0</v>
      </c>
      <c r="E28" s="83">
        <f>_xlfn.IFS('Prepare Gantt Chart'!R17=4,'Project types'!$O18,'Prepare Gantt Chart'!R17=3,'Project types'!$Q18,'Prepare Gantt Chart'!R17=0,0)</f>
        <v>0</v>
      </c>
      <c r="F28" s="83">
        <f>_xlfn.IFS('Prepare Gantt Chart'!S17=4,'Project types'!$O18,'Prepare Gantt Chart'!S17=3,'Project types'!$Q18,'Prepare Gantt Chart'!S17=0,0)</f>
        <v>0</v>
      </c>
      <c r="G28" s="83">
        <f>_xlfn.IFS('Prepare Gantt Chart'!T17=4,'Project types'!$O18,'Prepare Gantt Chart'!T17=3,'Project types'!$Q18,'Prepare Gantt Chart'!T17=0,0)</f>
        <v>0</v>
      </c>
      <c r="H28" s="83">
        <f>_xlfn.IFS('Prepare Gantt Chart'!U17=4,'Project types'!$O18,'Prepare Gantt Chart'!U17=3,'Project types'!$Q18,'Prepare Gantt Chart'!U17=0,0)</f>
        <v>0</v>
      </c>
      <c r="I28" s="83">
        <f>_xlfn.IFS('Prepare Gantt Chart'!V17=4,'Project types'!$O18,'Prepare Gantt Chart'!V17=3,'Project types'!$Q18,'Prepare Gantt Chart'!V17=0,0)</f>
        <v>0</v>
      </c>
      <c r="J28" s="83">
        <f>_xlfn.IFS('Prepare Gantt Chart'!W17=4,'Project types'!$O18,'Prepare Gantt Chart'!W17=3,'Project types'!$Q18,'Prepare Gantt Chart'!W17=0,0)</f>
        <v>0</v>
      </c>
      <c r="K28" s="83">
        <f>_xlfn.IFS('Prepare Gantt Chart'!X17=4,'Project types'!$O18,'Prepare Gantt Chart'!X17=3,'Project types'!$Q18,'Prepare Gantt Chart'!X17=0,0)</f>
        <v>0</v>
      </c>
      <c r="L28" s="83">
        <f>_xlfn.IFS('Prepare Gantt Chart'!Y17=4,'Project types'!$O18,'Prepare Gantt Chart'!Y17=3,'Project types'!$Q18,'Prepare Gantt Chart'!Y17=0,0)</f>
        <v>0</v>
      </c>
      <c r="M28" s="83">
        <f>_xlfn.IFS('Prepare Gantt Chart'!Z17=4,'Project types'!$O18,'Prepare Gantt Chart'!Z17=3,'Project types'!$Q18,'Prepare Gantt Chart'!Z17=0,0)</f>
        <v>0</v>
      </c>
      <c r="N28" s="83">
        <f>_xlfn.IFS('Prepare Gantt Chart'!AA17=4,'Project types'!$O18,'Prepare Gantt Chart'!AA17=3,'Project types'!$Q18,'Prepare Gantt Chart'!AA17=0,0)</f>
        <v>0</v>
      </c>
      <c r="O28" s="83">
        <f>_xlfn.IFS('Prepare Gantt Chart'!AB17=4,'Project types'!$O18,'Prepare Gantt Chart'!AB17=3,'Project types'!$Q18,'Prepare Gantt Chart'!AB17=0,0)</f>
        <v>0</v>
      </c>
      <c r="P28" s="83">
        <f>_xlfn.IFS('Prepare Gantt Chart'!AC17=4,'Project types'!$O18,'Prepare Gantt Chart'!AC17=3,'Project types'!$Q18,'Prepare Gantt Chart'!AC17=0,0)</f>
        <v>0</v>
      </c>
      <c r="Q28" s="83">
        <f>_xlfn.IFS('Prepare Gantt Chart'!AD17=4,'Project types'!$O18,'Prepare Gantt Chart'!AD17=3,'Project types'!$Q18,'Prepare Gantt Chart'!AD17=0,0)</f>
        <v>0</v>
      </c>
      <c r="R28" s="83">
        <f>_xlfn.IFS('Prepare Gantt Chart'!AE17=4,'Project types'!$O18,'Prepare Gantt Chart'!AE17=3,'Project types'!$Q18,'Prepare Gantt Chart'!AE17=0,0)</f>
        <v>0</v>
      </c>
      <c r="S28" s="83">
        <f>_xlfn.IFS('Prepare Gantt Chart'!AF17=4,'Project types'!$O18,'Prepare Gantt Chart'!AF17=3,'Project types'!$Q18,'Prepare Gantt Chart'!AF17=0,0)</f>
        <v>0</v>
      </c>
      <c r="T28" s="83">
        <f>_xlfn.IFS('Prepare Gantt Chart'!AG17=4,'Project types'!$O18,'Prepare Gantt Chart'!AG17=3,'Project types'!$Q18,'Prepare Gantt Chart'!AG17=0,0)</f>
        <v>0</v>
      </c>
      <c r="U28" s="83">
        <f>_xlfn.IFS('Prepare Gantt Chart'!AH17=4,'Project types'!$O18,'Prepare Gantt Chart'!AH17=3,'Project types'!$Q18,'Prepare Gantt Chart'!AH17=0,0)</f>
        <v>0</v>
      </c>
      <c r="V28" s="83">
        <f>_xlfn.IFS('Prepare Gantt Chart'!AI17=4,'Project types'!$O18,'Prepare Gantt Chart'!AI17=3,'Project types'!$Q18,'Prepare Gantt Chart'!AI17=0,0)</f>
        <v>0</v>
      </c>
      <c r="W28" s="83">
        <f>_xlfn.IFS('Prepare Gantt Chart'!AJ17=4,'Project types'!$O18,'Prepare Gantt Chart'!AJ17=3,'Project types'!$Q18,'Prepare Gantt Chart'!AJ17=0,0)</f>
        <v>0</v>
      </c>
      <c r="X28" s="83">
        <f>_xlfn.IFS('Prepare Gantt Chart'!AK17=4,'Project types'!$O18,'Prepare Gantt Chart'!AK17=3,'Project types'!$Q18,'Prepare Gantt Chart'!AK17=0,0)</f>
        <v>0</v>
      </c>
      <c r="Y28" s="83">
        <f>_xlfn.IFS('Prepare Gantt Chart'!AL17=4,'Project types'!$O18,'Prepare Gantt Chart'!AL17=3,'Project types'!$Q18,'Prepare Gantt Chart'!AL17=0,0)</f>
        <v>0</v>
      </c>
      <c r="Z28" s="83">
        <f>_xlfn.IFS('Prepare Gantt Chart'!AM17=4,'Project types'!$O18,'Prepare Gantt Chart'!AM17=3,'Project types'!$Q18,'Prepare Gantt Chart'!AM17=0,0)</f>
        <v>0</v>
      </c>
      <c r="AA28" s="83">
        <f>_xlfn.IFS('Prepare Gantt Chart'!AN17=4,'Project types'!$O18,'Prepare Gantt Chart'!AN17=3,'Project types'!$Q18,'Prepare Gantt Chart'!AN17=0,0)</f>
        <v>0</v>
      </c>
      <c r="AB28" s="83">
        <f>_xlfn.IFS('Prepare Gantt Chart'!AO17=4,'Project types'!$O18,'Prepare Gantt Chart'!AO17=3,'Project types'!$Q18,'Prepare Gantt Chart'!AO17=0,0)</f>
        <v>0</v>
      </c>
      <c r="AC28" s="93">
        <f t="shared" si="0"/>
        <v>0</v>
      </c>
      <c r="AD28" s="87">
        <f>_xlfn.IFS('Prepare Gantt Chart'!P17=4,'Project types'!$L18,'Prepare Gantt Chart'!P17=3,'Project types'!$L18,'Prepare Gantt Chart'!P17=0,0)</f>
        <v>0</v>
      </c>
      <c r="AE28" s="88">
        <f>_xlfn.IFS('Prepare Gantt Chart'!Q17=4,'Project types'!$L18,'Prepare Gantt Chart'!Q17=3,'Project types'!$L18,'Prepare Gantt Chart'!Q17=0,0)</f>
        <v>0</v>
      </c>
      <c r="AF28" s="88">
        <f>_xlfn.IFS('Prepare Gantt Chart'!R17=4,'Project types'!$L18,'Prepare Gantt Chart'!R17=3,'Project types'!$L18,'Prepare Gantt Chart'!R17=0,0)</f>
        <v>0</v>
      </c>
      <c r="AG28" s="88">
        <f>_xlfn.IFS('Prepare Gantt Chart'!S17=4,'Project types'!$L18,'Prepare Gantt Chart'!S17=3,'Project types'!$L18,'Prepare Gantt Chart'!S17=0,0)</f>
        <v>0</v>
      </c>
      <c r="AH28" s="88">
        <f>_xlfn.IFS('Prepare Gantt Chart'!T17=4,'Project types'!$L18,'Prepare Gantt Chart'!T17=3,'Project types'!$L18,'Prepare Gantt Chart'!T17=0,0)</f>
        <v>0</v>
      </c>
      <c r="AI28" s="88">
        <f>_xlfn.IFS('Prepare Gantt Chart'!U17=4,'Project types'!$L18,'Prepare Gantt Chart'!U17=3,'Project types'!$L18,'Prepare Gantt Chart'!U17=0,0)</f>
        <v>0</v>
      </c>
      <c r="AJ28" s="88">
        <f>_xlfn.IFS('Prepare Gantt Chart'!V17=4,'Project types'!$L18,'Prepare Gantt Chart'!V17=3,'Project types'!$L18,'Prepare Gantt Chart'!V17=0,0)</f>
        <v>0</v>
      </c>
      <c r="AK28" s="88">
        <f>_xlfn.IFS('Prepare Gantt Chart'!W17=4,'Project types'!$L18,'Prepare Gantt Chart'!W17=3,'Project types'!$L18,'Prepare Gantt Chart'!W17=0,0)</f>
        <v>0</v>
      </c>
      <c r="AL28" s="88">
        <f>_xlfn.IFS('Prepare Gantt Chart'!X17=4,'Project types'!$L18,'Prepare Gantt Chart'!X17=3,'Project types'!$L18,'Prepare Gantt Chart'!X17=0,0)</f>
        <v>0</v>
      </c>
      <c r="AM28" s="88">
        <f>_xlfn.IFS('Prepare Gantt Chart'!Y17=4,'Project types'!$L18,'Prepare Gantt Chart'!Y17=3,'Project types'!$L18,'Prepare Gantt Chart'!Y17=0,0)</f>
        <v>0</v>
      </c>
      <c r="AN28" s="88">
        <f>_xlfn.IFS('Prepare Gantt Chart'!Z17=4,'Project types'!$L18,'Prepare Gantt Chart'!Z17=3,'Project types'!$L18,'Prepare Gantt Chart'!Z17=0,0)</f>
        <v>0</v>
      </c>
      <c r="AO28" s="88">
        <f>_xlfn.IFS('Prepare Gantt Chart'!AA17=4,'Project types'!$L18,'Prepare Gantt Chart'!AA17=3,'Project types'!$L18,'Prepare Gantt Chart'!AA17=0,0)</f>
        <v>0</v>
      </c>
      <c r="AP28" s="88">
        <f>_xlfn.IFS('Prepare Gantt Chart'!AB17=4,'Project types'!$L18,'Prepare Gantt Chart'!AB17=3,'Project types'!$L18,'Prepare Gantt Chart'!AB17=0,0)</f>
        <v>0</v>
      </c>
      <c r="AQ28" s="88">
        <f>_xlfn.IFS('Prepare Gantt Chart'!AC17=4,'Project types'!$L18,'Prepare Gantt Chart'!AC17=3,'Project types'!$L18,'Prepare Gantt Chart'!AC17=0,0)</f>
        <v>0</v>
      </c>
      <c r="AR28" s="88">
        <f>_xlfn.IFS('Prepare Gantt Chart'!AD17=4,'Project types'!$L18,'Prepare Gantt Chart'!AD17=3,'Project types'!$L18,'Prepare Gantt Chart'!AD17=0,0)</f>
        <v>0</v>
      </c>
      <c r="AS28" s="88">
        <f>_xlfn.IFS('Prepare Gantt Chart'!AE17=4,'Project types'!$L18,'Prepare Gantt Chart'!AE17=3,'Project types'!$L18,'Prepare Gantt Chart'!AE17=0,0)</f>
        <v>0</v>
      </c>
      <c r="AT28" s="88">
        <f>_xlfn.IFS('Prepare Gantt Chart'!AF17=4,'Project types'!$L18,'Prepare Gantt Chart'!AF17=3,'Project types'!$L18,'Prepare Gantt Chart'!AF17=0,0)</f>
        <v>0</v>
      </c>
      <c r="AU28" s="88">
        <f>_xlfn.IFS('Prepare Gantt Chart'!AG17=4,'Project types'!$L18,'Prepare Gantt Chart'!AG17=3,'Project types'!$L18,'Prepare Gantt Chart'!AG17=0,0)</f>
        <v>0</v>
      </c>
      <c r="AV28" s="88">
        <f>_xlfn.IFS('Prepare Gantt Chart'!AH17=4,'Project types'!$L18,'Prepare Gantt Chart'!AH17=3,'Project types'!$L18,'Prepare Gantt Chart'!AH17=0,0)</f>
        <v>0</v>
      </c>
      <c r="AW28" s="88">
        <f>_xlfn.IFS('Prepare Gantt Chart'!AI17=4,'Project types'!$L18,'Prepare Gantt Chart'!AI17=3,'Project types'!$L18,'Prepare Gantt Chart'!AI17=0,0)</f>
        <v>0</v>
      </c>
      <c r="AX28" s="88">
        <f>_xlfn.IFS('Prepare Gantt Chart'!AJ17=4,'Project types'!$L18,'Prepare Gantt Chart'!AJ17=3,'Project types'!$L18,'Prepare Gantt Chart'!AJ17=0,0)</f>
        <v>0</v>
      </c>
      <c r="AY28" s="88">
        <f>_xlfn.IFS('Prepare Gantt Chart'!AK17=4,'Project types'!$L18,'Prepare Gantt Chart'!AK17=3,'Project types'!$L18,'Prepare Gantt Chart'!AK17=0,0)</f>
        <v>0</v>
      </c>
      <c r="AZ28" s="88">
        <f>_xlfn.IFS('Prepare Gantt Chart'!AL17=4,'Project types'!$L18,'Prepare Gantt Chart'!AL17=3,'Project types'!$L18,'Prepare Gantt Chart'!AL17=0,0)</f>
        <v>0</v>
      </c>
      <c r="BA28" s="88">
        <f>_xlfn.IFS('Prepare Gantt Chart'!AM17=4,'Project types'!$L18,'Prepare Gantt Chart'!AM17=3,'Project types'!$L18,'Prepare Gantt Chart'!AM17=0,0)</f>
        <v>0</v>
      </c>
      <c r="BB28" s="88">
        <f>_xlfn.IFS('Prepare Gantt Chart'!AN17=4,'Project types'!$L18,'Prepare Gantt Chart'!AN17=3,'Project types'!$L18,'Prepare Gantt Chart'!AN17=0,0)</f>
        <v>0</v>
      </c>
      <c r="BC28" s="88">
        <f>_xlfn.IFS('Prepare Gantt Chart'!AO17=4,'Project types'!$L18,'Prepare Gantt Chart'!AO17=3,'Project types'!$L18,'Prepare Gantt Chart'!AO17=0,0)</f>
        <v>0</v>
      </c>
      <c r="BD28" s="91">
        <f t="shared" si="1"/>
        <v>0</v>
      </c>
      <c r="CI28" s="85"/>
      <c r="GY28" s="85"/>
    </row>
    <row r="29" spans="1:207" x14ac:dyDescent="0.2">
      <c r="A29" s="1" t="s">
        <v>388</v>
      </c>
      <c r="B29" s="21" t="s">
        <v>18</v>
      </c>
      <c r="C29" s="83">
        <f>_xlfn.IFS('Prepare Gantt Chart'!P18=4,'Project types'!$O19,'Prepare Gantt Chart'!P18=3,'Project types'!$Q19,'Prepare Gantt Chart'!P18=0,0)</f>
        <v>0</v>
      </c>
      <c r="D29" s="83">
        <f>_xlfn.IFS('Prepare Gantt Chart'!Q18=4,'Project types'!$O19,'Prepare Gantt Chart'!Q18=3,'Project types'!$Q19,'Prepare Gantt Chart'!Q18=0,0)</f>
        <v>0</v>
      </c>
      <c r="E29" s="83">
        <f>_xlfn.IFS('Prepare Gantt Chart'!R18=4,'Project types'!$O19,'Prepare Gantt Chart'!R18=3,'Project types'!$Q19,'Prepare Gantt Chart'!R18=0,0)</f>
        <v>0</v>
      </c>
      <c r="F29" s="83">
        <f>_xlfn.IFS('Prepare Gantt Chart'!S18=4,'Project types'!$O19,'Prepare Gantt Chart'!S18=3,'Project types'!$Q19,'Prepare Gantt Chart'!S18=0,0)</f>
        <v>0</v>
      </c>
      <c r="G29" s="83">
        <f>_xlfn.IFS('Prepare Gantt Chart'!T18=4,'Project types'!$O19,'Prepare Gantt Chart'!T18=3,'Project types'!$Q19,'Prepare Gantt Chart'!T18=0,0)</f>
        <v>0</v>
      </c>
      <c r="H29" s="83">
        <f>_xlfn.IFS('Prepare Gantt Chart'!U18=4,'Project types'!$O19,'Prepare Gantt Chart'!U18=3,'Project types'!$Q19,'Prepare Gantt Chart'!U18=0,0)</f>
        <v>0</v>
      </c>
      <c r="I29" s="83">
        <f>_xlfn.IFS('Prepare Gantt Chart'!V18=4,'Project types'!$O19,'Prepare Gantt Chart'!V18=3,'Project types'!$Q19,'Prepare Gantt Chart'!V18=0,0)</f>
        <v>0</v>
      </c>
      <c r="J29" s="83">
        <f>_xlfn.IFS('Prepare Gantt Chart'!W18=4,'Project types'!$O19,'Prepare Gantt Chart'!W18=3,'Project types'!$Q19,'Prepare Gantt Chart'!W18=0,0)</f>
        <v>0</v>
      </c>
      <c r="K29" s="83">
        <f>_xlfn.IFS('Prepare Gantt Chart'!X18=4,'Project types'!$O19,'Prepare Gantt Chart'!X18=3,'Project types'!$Q19,'Prepare Gantt Chart'!X18=0,0)</f>
        <v>0</v>
      </c>
      <c r="L29" s="83">
        <f>_xlfn.IFS('Prepare Gantt Chart'!Y18=4,'Project types'!$O19,'Prepare Gantt Chart'!Y18=3,'Project types'!$Q19,'Prepare Gantt Chart'!Y18=0,0)</f>
        <v>0</v>
      </c>
      <c r="M29" s="83">
        <f>_xlfn.IFS('Prepare Gantt Chart'!Z18=4,'Project types'!$O19,'Prepare Gantt Chart'!Z18=3,'Project types'!$Q19,'Prepare Gantt Chart'!Z18=0,0)</f>
        <v>0</v>
      </c>
      <c r="N29" s="83">
        <f>_xlfn.IFS('Prepare Gantt Chart'!AA18=4,'Project types'!$O19,'Prepare Gantt Chart'!AA18=3,'Project types'!$Q19,'Prepare Gantt Chart'!AA18=0,0)</f>
        <v>0</v>
      </c>
      <c r="O29" s="83">
        <f>_xlfn.IFS('Prepare Gantt Chart'!AB18=4,'Project types'!$O19,'Prepare Gantt Chart'!AB18=3,'Project types'!$Q19,'Prepare Gantt Chart'!AB18=0,0)</f>
        <v>0</v>
      </c>
      <c r="P29" s="83">
        <f>_xlfn.IFS('Prepare Gantt Chart'!AC18=4,'Project types'!$O19,'Prepare Gantt Chart'!AC18=3,'Project types'!$Q19,'Prepare Gantt Chart'!AC18=0,0)</f>
        <v>0</v>
      </c>
      <c r="Q29" s="83">
        <f>_xlfn.IFS('Prepare Gantt Chart'!AD18=4,'Project types'!$O19,'Prepare Gantt Chart'!AD18=3,'Project types'!$Q19,'Prepare Gantt Chart'!AD18=0,0)</f>
        <v>0</v>
      </c>
      <c r="R29" s="83">
        <f>_xlfn.IFS('Prepare Gantt Chart'!AE18=4,'Project types'!$O19,'Prepare Gantt Chart'!AE18=3,'Project types'!$Q19,'Prepare Gantt Chart'!AE18=0,0)</f>
        <v>0</v>
      </c>
      <c r="S29" s="83">
        <f>_xlfn.IFS('Prepare Gantt Chart'!AF18=4,'Project types'!$O19,'Prepare Gantt Chart'!AF18=3,'Project types'!$Q19,'Prepare Gantt Chart'!AF18=0,0)</f>
        <v>0</v>
      </c>
      <c r="T29" s="83">
        <f>_xlfn.IFS('Prepare Gantt Chart'!AG18=4,'Project types'!$O19,'Prepare Gantt Chart'!AG18=3,'Project types'!$Q19,'Prepare Gantt Chart'!AG18=0,0)</f>
        <v>0</v>
      </c>
      <c r="U29" s="83">
        <f>_xlfn.IFS('Prepare Gantt Chart'!AH18=4,'Project types'!$O19,'Prepare Gantt Chart'!AH18=3,'Project types'!$Q19,'Prepare Gantt Chart'!AH18=0,0)</f>
        <v>0</v>
      </c>
      <c r="V29" s="83">
        <f>_xlfn.IFS('Prepare Gantt Chart'!AI18=4,'Project types'!$O19,'Prepare Gantt Chart'!AI18=3,'Project types'!$Q19,'Prepare Gantt Chart'!AI18=0,0)</f>
        <v>0</v>
      </c>
      <c r="W29" s="83">
        <f>_xlfn.IFS('Prepare Gantt Chart'!AJ18=4,'Project types'!$O19,'Prepare Gantt Chart'!AJ18=3,'Project types'!$Q19,'Prepare Gantt Chart'!AJ18=0,0)</f>
        <v>0</v>
      </c>
      <c r="X29" s="83">
        <f>_xlfn.IFS('Prepare Gantt Chart'!AK18=4,'Project types'!$O19,'Prepare Gantt Chart'!AK18=3,'Project types'!$Q19,'Prepare Gantt Chart'!AK18=0,0)</f>
        <v>0</v>
      </c>
      <c r="Y29" s="83">
        <f>_xlfn.IFS('Prepare Gantt Chart'!AL18=4,'Project types'!$O19,'Prepare Gantt Chart'!AL18=3,'Project types'!$Q19,'Prepare Gantt Chart'!AL18=0,0)</f>
        <v>0</v>
      </c>
      <c r="Z29" s="83">
        <f>_xlfn.IFS('Prepare Gantt Chart'!AM18=4,'Project types'!$O19,'Prepare Gantt Chart'!AM18=3,'Project types'!$Q19,'Prepare Gantt Chart'!AM18=0,0)</f>
        <v>0</v>
      </c>
      <c r="AA29" s="83">
        <f>_xlfn.IFS('Prepare Gantt Chart'!AN18=4,'Project types'!$O19,'Prepare Gantt Chart'!AN18=3,'Project types'!$Q19,'Prepare Gantt Chart'!AN18=0,0)</f>
        <v>0</v>
      </c>
      <c r="AB29" s="83">
        <f>_xlfn.IFS('Prepare Gantt Chart'!AO18=4,'Project types'!$O19,'Prepare Gantt Chart'!AO18=3,'Project types'!$Q19,'Prepare Gantt Chart'!AO18=0,0)</f>
        <v>0</v>
      </c>
      <c r="AC29" s="93">
        <f t="shared" si="0"/>
        <v>0</v>
      </c>
      <c r="AD29" s="86">
        <f>_xlfn.IFS('Prepare Gantt Chart'!P18=4,'Project types'!$L19,'Prepare Gantt Chart'!P18=3,'Project types'!$L19,'Prepare Gantt Chart'!P18=0,0)</f>
        <v>0</v>
      </c>
      <c r="AE29" s="83">
        <f>_xlfn.IFS('Prepare Gantt Chart'!Q18=4,'Project types'!$L19,'Prepare Gantt Chart'!Q18=3,'Project types'!$L19,'Prepare Gantt Chart'!Q18=0,0)</f>
        <v>0</v>
      </c>
      <c r="AF29" s="83">
        <f>_xlfn.IFS('Prepare Gantt Chart'!R18=4,'Project types'!$L19,'Prepare Gantt Chart'!R18=3,'Project types'!$L19,'Prepare Gantt Chart'!R18=0,0)</f>
        <v>0</v>
      </c>
      <c r="AG29" s="83">
        <f>_xlfn.IFS('Prepare Gantt Chart'!S18=4,'Project types'!$L19,'Prepare Gantt Chart'!S18=3,'Project types'!$L19,'Prepare Gantt Chart'!S18=0,0)</f>
        <v>0</v>
      </c>
      <c r="AH29" s="83">
        <f>_xlfn.IFS('Prepare Gantt Chart'!T18=4,'Project types'!$L19,'Prepare Gantt Chart'!T18=3,'Project types'!$L19,'Prepare Gantt Chart'!T18=0,0)</f>
        <v>0</v>
      </c>
      <c r="AI29" s="83">
        <f>_xlfn.IFS('Prepare Gantt Chart'!U18=4,'Project types'!$L19,'Prepare Gantt Chart'!U18=3,'Project types'!$L19,'Prepare Gantt Chart'!U18=0,0)</f>
        <v>0</v>
      </c>
      <c r="AJ29" s="83">
        <f>_xlfn.IFS('Prepare Gantt Chart'!V18=4,'Project types'!$L19,'Prepare Gantt Chart'!V18=3,'Project types'!$L19,'Prepare Gantt Chart'!V18=0,0)</f>
        <v>0</v>
      </c>
      <c r="AK29" s="83">
        <f>_xlfn.IFS('Prepare Gantt Chart'!W18=4,'Project types'!$L19,'Prepare Gantt Chart'!W18=3,'Project types'!$L19,'Prepare Gantt Chart'!W18=0,0)</f>
        <v>0</v>
      </c>
      <c r="AL29" s="83">
        <f>_xlfn.IFS('Prepare Gantt Chart'!X18=4,'Project types'!$L19,'Prepare Gantt Chart'!X18=3,'Project types'!$L19,'Prepare Gantt Chart'!X18=0,0)</f>
        <v>0</v>
      </c>
      <c r="AM29" s="83">
        <f>_xlfn.IFS('Prepare Gantt Chart'!Y18=4,'Project types'!$L19,'Prepare Gantt Chart'!Y18=3,'Project types'!$L19,'Prepare Gantt Chart'!Y18=0,0)</f>
        <v>0</v>
      </c>
      <c r="AN29" s="83">
        <f>_xlfn.IFS('Prepare Gantt Chart'!Z18=4,'Project types'!$L19,'Prepare Gantt Chart'!Z18=3,'Project types'!$L19,'Prepare Gantt Chart'!Z18=0,0)</f>
        <v>0</v>
      </c>
      <c r="AO29" s="83">
        <f>_xlfn.IFS('Prepare Gantt Chart'!AA18=4,'Project types'!$L19,'Prepare Gantt Chart'!AA18=3,'Project types'!$L19,'Prepare Gantt Chart'!AA18=0,0)</f>
        <v>0</v>
      </c>
      <c r="AP29" s="83">
        <f>_xlfn.IFS('Prepare Gantt Chart'!AB18=4,'Project types'!$L19,'Prepare Gantt Chart'!AB18=3,'Project types'!$L19,'Prepare Gantt Chart'!AB18=0,0)</f>
        <v>0</v>
      </c>
      <c r="AQ29" s="83">
        <f>_xlfn.IFS('Prepare Gantt Chart'!AC18=4,'Project types'!$L19,'Prepare Gantt Chart'!AC18=3,'Project types'!$L19,'Prepare Gantt Chart'!AC18=0,0)</f>
        <v>0</v>
      </c>
      <c r="AR29" s="83">
        <f>_xlfn.IFS('Prepare Gantt Chart'!AD18=4,'Project types'!$L19,'Prepare Gantt Chart'!AD18=3,'Project types'!$L19,'Prepare Gantt Chart'!AD18=0,0)</f>
        <v>0</v>
      </c>
      <c r="AS29" s="83">
        <f>_xlfn.IFS('Prepare Gantt Chart'!AE18=4,'Project types'!$L19,'Prepare Gantt Chart'!AE18=3,'Project types'!$L19,'Prepare Gantt Chart'!AE18=0,0)</f>
        <v>0</v>
      </c>
      <c r="AT29" s="83">
        <f>_xlfn.IFS('Prepare Gantt Chart'!AF18=4,'Project types'!$L19,'Prepare Gantt Chart'!AF18=3,'Project types'!$L19,'Prepare Gantt Chart'!AF18=0,0)</f>
        <v>0</v>
      </c>
      <c r="AU29" s="83">
        <f>_xlfn.IFS('Prepare Gantt Chart'!AG18=4,'Project types'!$L19,'Prepare Gantt Chart'!AG18=3,'Project types'!$L19,'Prepare Gantt Chart'!AG18=0,0)</f>
        <v>0</v>
      </c>
      <c r="AV29" s="83">
        <f>_xlfn.IFS('Prepare Gantt Chart'!AH18=4,'Project types'!$L19,'Prepare Gantt Chart'!AH18=3,'Project types'!$L19,'Prepare Gantt Chart'!AH18=0,0)</f>
        <v>0</v>
      </c>
      <c r="AW29" s="83">
        <f>_xlfn.IFS('Prepare Gantt Chart'!AI18=4,'Project types'!$L19,'Prepare Gantt Chart'!AI18=3,'Project types'!$L19,'Prepare Gantt Chart'!AI18=0,0)</f>
        <v>0</v>
      </c>
      <c r="AX29" s="83">
        <f>_xlfn.IFS('Prepare Gantt Chart'!AJ18=4,'Project types'!$L19,'Prepare Gantt Chart'!AJ18=3,'Project types'!$L19,'Prepare Gantt Chart'!AJ18=0,0)</f>
        <v>0</v>
      </c>
      <c r="AY29" s="83">
        <f>_xlfn.IFS('Prepare Gantt Chart'!AK18=4,'Project types'!$L19,'Prepare Gantt Chart'!AK18=3,'Project types'!$L19,'Prepare Gantt Chart'!AK18=0,0)</f>
        <v>0</v>
      </c>
      <c r="AZ29" s="83">
        <f>_xlfn.IFS('Prepare Gantt Chart'!AL18=4,'Project types'!$L19,'Prepare Gantt Chart'!AL18=3,'Project types'!$L19,'Prepare Gantt Chart'!AL18=0,0)</f>
        <v>0</v>
      </c>
      <c r="BA29" s="83">
        <f>_xlfn.IFS('Prepare Gantt Chart'!AM18=4,'Project types'!$L19,'Prepare Gantt Chart'!AM18=3,'Project types'!$L19,'Prepare Gantt Chart'!AM18=0,0)</f>
        <v>0</v>
      </c>
      <c r="BB29" s="83">
        <f>_xlfn.IFS('Prepare Gantt Chart'!AN18=4,'Project types'!$L19,'Prepare Gantt Chart'!AN18=3,'Project types'!$L19,'Prepare Gantt Chart'!AN18=0,0)</f>
        <v>0</v>
      </c>
      <c r="BC29" s="83">
        <f>_xlfn.IFS('Prepare Gantt Chart'!AO18=4,'Project types'!$L19,'Prepare Gantt Chart'!AO18=3,'Project types'!$L19,'Prepare Gantt Chart'!AO18=0,0)</f>
        <v>0</v>
      </c>
      <c r="BD29" s="91">
        <f t="shared" si="1"/>
        <v>0</v>
      </c>
      <c r="CI29" s="85"/>
      <c r="GY29" s="85"/>
    </row>
    <row r="30" spans="1:207" x14ac:dyDescent="0.2">
      <c r="A30" s="1" t="s">
        <v>389</v>
      </c>
      <c r="B30" s="21" t="s">
        <v>19</v>
      </c>
      <c r="C30" s="83">
        <f>_xlfn.IFS('Prepare Gantt Chart'!P19=4,'Project types'!$O20,'Prepare Gantt Chart'!P19=3,'Project types'!$Q20,'Prepare Gantt Chart'!P19=0,0)</f>
        <v>0</v>
      </c>
      <c r="D30" s="83">
        <f>_xlfn.IFS('Prepare Gantt Chart'!Q19=4,'Project types'!$O20,'Prepare Gantt Chart'!Q19=3,'Project types'!$Q20,'Prepare Gantt Chart'!Q19=0,0)</f>
        <v>0</v>
      </c>
      <c r="E30" s="83">
        <f>_xlfn.IFS('Prepare Gantt Chart'!R19=4,'Project types'!$O20,'Prepare Gantt Chart'!R19=3,'Project types'!$Q20,'Prepare Gantt Chart'!R19=0,0)</f>
        <v>0</v>
      </c>
      <c r="F30" s="83">
        <f>_xlfn.IFS('Prepare Gantt Chart'!S19=4,'Project types'!$O20,'Prepare Gantt Chart'!S19=3,'Project types'!$Q20,'Prepare Gantt Chart'!S19=0,0)</f>
        <v>0</v>
      </c>
      <c r="G30" s="83">
        <f>_xlfn.IFS('Prepare Gantt Chart'!T19=4,'Project types'!$O20,'Prepare Gantt Chart'!T19=3,'Project types'!$Q20,'Prepare Gantt Chart'!T19=0,0)</f>
        <v>0</v>
      </c>
      <c r="H30" s="83">
        <f>_xlfn.IFS('Prepare Gantt Chart'!U19=4,'Project types'!$O20,'Prepare Gantt Chart'!U19=3,'Project types'!$Q20,'Prepare Gantt Chart'!U19=0,0)</f>
        <v>0</v>
      </c>
      <c r="I30" s="83">
        <f>_xlfn.IFS('Prepare Gantt Chart'!V19=4,'Project types'!$O20,'Prepare Gantt Chart'!V19=3,'Project types'!$Q20,'Prepare Gantt Chart'!V19=0,0)</f>
        <v>0</v>
      </c>
      <c r="J30" s="83">
        <f>_xlfn.IFS('Prepare Gantt Chart'!W19=4,'Project types'!$O20,'Prepare Gantt Chart'!W19=3,'Project types'!$Q20,'Prepare Gantt Chart'!W19=0,0)</f>
        <v>0</v>
      </c>
      <c r="K30" s="83">
        <f>_xlfn.IFS('Prepare Gantt Chart'!X19=4,'Project types'!$O20,'Prepare Gantt Chart'!X19=3,'Project types'!$Q20,'Prepare Gantt Chart'!X19=0,0)</f>
        <v>0</v>
      </c>
      <c r="L30" s="83">
        <f>_xlfn.IFS('Prepare Gantt Chart'!Y19=4,'Project types'!$O20,'Prepare Gantt Chart'!Y19=3,'Project types'!$Q20,'Prepare Gantt Chart'!Y19=0,0)</f>
        <v>0</v>
      </c>
      <c r="M30" s="83">
        <f>_xlfn.IFS('Prepare Gantt Chart'!Z19=4,'Project types'!$O20,'Prepare Gantt Chart'!Z19=3,'Project types'!$Q20,'Prepare Gantt Chart'!Z19=0,0)</f>
        <v>0</v>
      </c>
      <c r="N30" s="83">
        <f>_xlfn.IFS('Prepare Gantt Chart'!AA19=4,'Project types'!$O20,'Prepare Gantt Chart'!AA19=3,'Project types'!$Q20,'Prepare Gantt Chart'!AA19=0,0)</f>
        <v>0</v>
      </c>
      <c r="O30" s="83">
        <f>_xlfn.IFS('Prepare Gantt Chart'!AB19=4,'Project types'!$O20,'Prepare Gantt Chart'!AB19=3,'Project types'!$Q20,'Prepare Gantt Chart'!AB19=0,0)</f>
        <v>0</v>
      </c>
      <c r="P30" s="83">
        <f>_xlfn.IFS('Prepare Gantt Chart'!AC19=4,'Project types'!$O20,'Prepare Gantt Chart'!AC19=3,'Project types'!$Q20,'Prepare Gantt Chart'!AC19=0,0)</f>
        <v>0</v>
      </c>
      <c r="Q30" s="83">
        <f>_xlfn.IFS('Prepare Gantt Chart'!AD19=4,'Project types'!$O20,'Prepare Gantt Chart'!AD19=3,'Project types'!$Q20,'Prepare Gantt Chart'!AD19=0,0)</f>
        <v>0</v>
      </c>
      <c r="R30" s="83">
        <f>_xlfn.IFS('Prepare Gantt Chart'!AE19=4,'Project types'!$O20,'Prepare Gantt Chart'!AE19=3,'Project types'!$Q20,'Prepare Gantt Chart'!AE19=0,0)</f>
        <v>0</v>
      </c>
      <c r="S30" s="83">
        <f>_xlfn.IFS('Prepare Gantt Chart'!AF19=4,'Project types'!$O20,'Prepare Gantt Chart'!AF19=3,'Project types'!$Q20,'Prepare Gantt Chart'!AF19=0,0)</f>
        <v>0</v>
      </c>
      <c r="T30" s="83">
        <f>_xlfn.IFS('Prepare Gantt Chart'!AG19=4,'Project types'!$O20,'Prepare Gantt Chart'!AG19=3,'Project types'!$Q20,'Prepare Gantt Chart'!AG19=0,0)</f>
        <v>0</v>
      </c>
      <c r="U30" s="83">
        <f>_xlfn.IFS('Prepare Gantt Chart'!AH19=4,'Project types'!$O20,'Prepare Gantt Chart'!AH19=3,'Project types'!$Q20,'Prepare Gantt Chart'!AH19=0,0)</f>
        <v>0</v>
      </c>
      <c r="V30" s="83">
        <f>_xlfn.IFS('Prepare Gantt Chart'!AI19=4,'Project types'!$O20,'Prepare Gantt Chart'!AI19=3,'Project types'!$Q20,'Prepare Gantt Chart'!AI19=0,0)</f>
        <v>0</v>
      </c>
      <c r="W30" s="83">
        <f>_xlfn.IFS('Prepare Gantt Chart'!AJ19=4,'Project types'!$O20,'Prepare Gantt Chart'!AJ19=3,'Project types'!$Q20,'Prepare Gantt Chart'!AJ19=0,0)</f>
        <v>0</v>
      </c>
      <c r="X30" s="83">
        <f>_xlfn.IFS('Prepare Gantt Chart'!AK19=4,'Project types'!$O20,'Prepare Gantt Chart'!AK19=3,'Project types'!$Q20,'Prepare Gantt Chart'!AK19=0,0)</f>
        <v>0</v>
      </c>
      <c r="Y30" s="83">
        <f>_xlfn.IFS('Prepare Gantt Chart'!AL19=4,'Project types'!$O20,'Prepare Gantt Chart'!AL19=3,'Project types'!$Q20,'Prepare Gantt Chart'!AL19=0,0)</f>
        <v>0</v>
      </c>
      <c r="Z30" s="83">
        <f>_xlfn.IFS('Prepare Gantt Chart'!AM19=4,'Project types'!$O20,'Prepare Gantt Chart'!AM19=3,'Project types'!$Q20,'Prepare Gantt Chart'!AM19=0,0)</f>
        <v>0</v>
      </c>
      <c r="AA30" s="83">
        <f>_xlfn.IFS('Prepare Gantt Chart'!AN19=4,'Project types'!$O20,'Prepare Gantt Chart'!AN19=3,'Project types'!$Q20,'Prepare Gantt Chart'!AN19=0,0)</f>
        <v>0</v>
      </c>
      <c r="AB30" s="83">
        <f>_xlfn.IFS('Prepare Gantt Chart'!AO19=4,'Project types'!$O20,'Prepare Gantt Chart'!AO19=3,'Project types'!$Q20,'Prepare Gantt Chart'!AO19=0,0)</f>
        <v>0</v>
      </c>
      <c r="AC30" s="93">
        <f t="shared" si="0"/>
        <v>0</v>
      </c>
      <c r="AD30" s="86">
        <f>_xlfn.IFS('Prepare Gantt Chart'!P19=4,'Project types'!$L20,'Prepare Gantt Chart'!P19=3,'Project types'!$L20,'Prepare Gantt Chart'!P19=0,0)</f>
        <v>0</v>
      </c>
      <c r="AE30" s="83">
        <f>_xlfn.IFS('Prepare Gantt Chart'!Q19=4,'Project types'!$L20,'Prepare Gantt Chart'!Q19=3,'Project types'!$L20,'Prepare Gantt Chart'!Q19=0,0)</f>
        <v>0</v>
      </c>
      <c r="AF30" s="83">
        <f>_xlfn.IFS('Prepare Gantt Chart'!R19=4,'Project types'!$L20,'Prepare Gantt Chart'!R19=3,'Project types'!$L20,'Prepare Gantt Chart'!R19=0,0)</f>
        <v>0</v>
      </c>
      <c r="AG30" s="83">
        <f>_xlfn.IFS('Prepare Gantt Chart'!S19=4,'Project types'!$L20,'Prepare Gantt Chart'!S19=3,'Project types'!$L20,'Prepare Gantt Chart'!S19=0,0)</f>
        <v>0</v>
      </c>
      <c r="AH30" s="83">
        <f>_xlfn.IFS('Prepare Gantt Chart'!T19=4,'Project types'!$L20,'Prepare Gantt Chart'!T19=3,'Project types'!$L20,'Prepare Gantt Chart'!T19=0,0)</f>
        <v>0</v>
      </c>
      <c r="AI30" s="83">
        <f>_xlfn.IFS('Prepare Gantt Chart'!U19=4,'Project types'!$L20,'Prepare Gantt Chart'!U19=3,'Project types'!$L20,'Prepare Gantt Chart'!U19=0,0)</f>
        <v>0</v>
      </c>
      <c r="AJ30" s="83">
        <f>_xlfn.IFS('Prepare Gantt Chart'!V19=4,'Project types'!$L20,'Prepare Gantt Chart'!V19=3,'Project types'!$L20,'Prepare Gantt Chart'!V19=0,0)</f>
        <v>0</v>
      </c>
      <c r="AK30" s="83">
        <f>_xlfn.IFS('Prepare Gantt Chart'!W19=4,'Project types'!$L20,'Prepare Gantt Chart'!W19=3,'Project types'!$L20,'Prepare Gantt Chart'!W19=0,0)</f>
        <v>0</v>
      </c>
      <c r="AL30" s="83">
        <f>_xlfn.IFS('Prepare Gantt Chart'!X19=4,'Project types'!$L20,'Prepare Gantt Chart'!X19=3,'Project types'!$L20,'Prepare Gantt Chart'!X19=0,0)</f>
        <v>0</v>
      </c>
      <c r="AM30" s="83">
        <f>_xlfn.IFS('Prepare Gantt Chart'!Y19=4,'Project types'!$L20,'Prepare Gantt Chart'!Y19=3,'Project types'!$L20,'Prepare Gantt Chart'!Y19=0,0)</f>
        <v>0</v>
      </c>
      <c r="AN30" s="83">
        <f>_xlfn.IFS('Prepare Gantt Chart'!Z19=4,'Project types'!$L20,'Prepare Gantt Chart'!Z19=3,'Project types'!$L20,'Prepare Gantt Chart'!Z19=0,0)</f>
        <v>0</v>
      </c>
      <c r="AO30" s="83">
        <f>_xlfn.IFS('Prepare Gantt Chart'!AA19=4,'Project types'!$L20,'Prepare Gantt Chart'!AA19=3,'Project types'!$L20,'Prepare Gantt Chart'!AA19=0,0)</f>
        <v>0</v>
      </c>
      <c r="AP30" s="83">
        <f>_xlfn.IFS('Prepare Gantt Chart'!AB19=4,'Project types'!$L20,'Prepare Gantt Chart'!AB19=3,'Project types'!$L20,'Prepare Gantt Chart'!AB19=0,0)</f>
        <v>0</v>
      </c>
      <c r="AQ30" s="83">
        <f>_xlfn.IFS('Prepare Gantt Chart'!AC19=4,'Project types'!$L20,'Prepare Gantt Chart'!AC19=3,'Project types'!$L20,'Prepare Gantt Chart'!AC19=0,0)</f>
        <v>0</v>
      </c>
      <c r="AR30" s="83">
        <f>_xlfn.IFS('Prepare Gantt Chart'!AD19=4,'Project types'!$L20,'Prepare Gantt Chart'!AD19=3,'Project types'!$L20,'Prepare Gantt Chart'!AD19=0,0)</f>
        <v>0</v>
      </c>
      <c r="AS30" s="83">
        <f>_xlfn.IFS('Prepare Gantt Chart'!AE19=4,'Project types'!$L20,'Prepare Gantt Chart'!AE19=3,'Project types'!$L20,'Prepare Gantt Chart'!AE19=0,0)</f>
        <v>0</v>
      </c>
      <c r="AT30" s="83">
        <f>_xlfn.IFS('Prepare Gantt Chart'!AF19=4,'Project types'!$L20,'Prepare Gantt Chart'!AF19=3,'Project types'!$L20,'Prepare Gantt Chart'!AF19=0,0)</f>
        <v>0</v>
      </c>
      <c r="AU30" s="83">
        <f>_xlfn.IFS('Prepare Gantt Chart'!AG19=4,'Project types'!$L20,'Prepare Gantt Chart'!AG19=3,'Project types'!$L20,'Prepare Gantt Chart'!AG19=0,0)</f>
        <v>0</v>
      </c>
      <c r="AV30" s="83">
        <f>_xlfn.IFS('Prepare Gantt Chart'!AH19=4,'Project types'!$L20,'Prepare Gantt Chart'!AH19=3,'Project types'!$L20,'Prepare Gantt Chart'!AH19=0,0)</f>
        <v>0</v>
      </c>
      <c r="AW30" s="83">
        <f>_xlfn.IFS('Prepare Gantt Chart'!AI19=4,'Project types'!$L20,'Prepare Gantt Chart'!AI19=3,'Project types'!$L20,'Prepare Gantt Chart'!AI19=0,0)</f>
        <v>0</v>
      </c>
      <c r="AX30" s="83">
        <f>_xlfn.IFS('Prepare Gantt Chart'!AJ19=4,'Project types'!$L20,'Prepare Gantt Chart'!AJ19=3,'Project types'!$L20,'Prepare Gantt Chart'!AJ19=0,0)</f>
        <v>0</v>
      </c>
      <c r="AY30" s="83">
        <f>_xlfn.IFS('Prepare Gantt Chart'!AK19=4,'Project types'!$L20,'Prepare Gantt Chart'!AK19=3,'Project types'!$L20,'Prepare Gantt Chart'!AK19=0,0)</f>
        <v>0</v>
      </c>
      <c r="AZ30" s="83">
        <f>_xlfn.IFS('Prepare Gantt Chart'!AL19=4,'Project types'!$L20,'Prepare Gantt Chart'!AL19=3,'Project types'!$L20,'Prepare Gantt Chart'!AL19=0,0)</f>
        <v>0</v>
      </c>
      <c r="BA30" s="83">
        <f>_xlfn.IFS('Prepare Gantt Chart'!AM19=4,'Project types'!$L20,'Prepare Gantt Chart'!AM19=3,'Project types'!$L20,'Prepare Gantt Chart'!AM19=0,0)</f>
        <v>0</v>
      </c>
      <c r="BB30" s="83">
        <f>_xlfn.IFS('Prepare Gantt Chart'!AN19=4,'Project types'!$L20,'Prepare Gantt Chart'!AN19=3,'Project types'!$L20,'Prepare Gantt Chart'!AN19=0,0)</f>
        <v>0</v>
      </c>
      <c r="BC30" s="83">
        <f>_xlfn.IFS('Prepare Gantt Chart'!AO19=4,'Project types'!$L20,'Prepare Gantt Chart'!AO19=3,'Project types'!$L20,'Prepare Gantt Chart'!AO19=0,0)</f>
        <v>0</v>
      </c>
      <c r="BD30" s="91">
        <f t="shared" si="1"/>
        <v>0</v>
      </c>
      <c r="CI30" s="85"/>
      <c r="GY30" s="85"/>
    </row>
    <row r="31" spans="1:207" x14ac:dyDescent="0.2">
      <c r="A31" s="1" t="s">
        <v>469</v>
      </c>
      <c r="B31" s="21" t="s">
        <v>20</v>
      </c>
      <c r="C31" s="83">
        <f>_xlfn.IFS('Prepare Gantt Chart'!P20=4,'Project types'!$O21,'Prepare Gantt Chart'!P20=3,'Project types'!$Q21,'Prepare Gantt Chart'!P20=0,0)</f>
        <v>0</v>
      </c>
      <c r="D31" s="83">
        <f>_xlfn.IFS('Prepare Gantt Chart'!Q20=4,'Project types'!$O21,'Prepare Gantt Chart'!Q20=3,'Project types'!$Q21,'Prepare Gantt Chart'!Q20=0,0)</f>
        <v>0</v>
      </c>
      <c r="E31" s="83">
        <f>_xlfn.IFS('Prepare Gantt Chart'!R20=4,'Project types'!$O21,'Prepare Gantt Chart'!R20=3,'Project types'!$Q21,'Prepare Gantt Chart'!R20=0,0)</f>
        <v>0</v>
      </c>
      <c r="F31" s="83">
        <f>_xlfn.IFS('Prepare Gantt Chart'!S20=4,'Project types'!$O21,'Prepare Gantt Chart'!S20=3,'Project types'!$Q21,'Prepare Gantt Chart'!S20=0,0)</f>
        <v>0</v>
      </c>
      <c r="G31" s="83">
        <f>_xlfn.IFS('Prepare Gantt Chart'!T20=4,'Project types'!$O21,'Prepare Gantt Chart'!T20=3,'Project types'!$Q21,'Prepare Gantt Chart'!T20=0,0)</f>
        <v>0</v>
      </c>
      <c r="H31" s="83">
        <f>_xlfn.IFS('Prepare Gantt Chart'!U20=4,'Project types'!$O21,'Prepare Gantt Chart'!U20=3,'Project types'!$Q21,'Prepare Gantt Chart'!U20=0,0)</f>
        <v>0</v>
      </c>
      <c r="I31" s="83">
        <f>_xlfn.IFS('Prepare Gantt Chart'!V20=4,'Project types'!$O21,'Prepare Gantt Chart'!V20=3,'Project types'!$Q21,'Prepare Gantt Chart'!V20=0,0)</f>
        <v>0</v>
      </c>
      <c r="J31" s="83">
        <f>_xlfn.IFS('Prepare Gantt Chart'!W20=4,'Project types'!$O21,'Prepare Gantt Chart'!W20=3,'Project types'!$Q21,'Prepare Gantt Chart'!W20=0,0)</f>
        <v>0</v>
      </c>
      <c r="K31" s="83">
        <f>_xlfn.IFS('Prepare Gantt Chart'!X20=4,'Project types'!$O21,'Prepare Gantt Chart'!X20=3,'Project types'!$Q21,'Prepare Gantt Chart'!X20=0,0)</f>
        <v>0</v>
      </c>
      <c r="L31" s="83">
        <f>_xlfn.IFS('Prepare Gantt Chart'!Y20=4,'Project types'!$O21,'Prepare Gantt Chart'!Y20=3,'Project types'!$Q21,'Prepare Gantt Chart'!Y20=0,0)</f>
        <v>0</v>
      </c>
      <c r="M31" s="83">
        <f>_xlfn.IFS('Prepare Gantt Chart'!Z20=4,'Project types'!$O21,'Prepare Gantt Chart'!Z20=3,'Project types'!$Q21,'Prepare Gantt Chart'!Z20=0,0)</f>
        <v>0</v>
      </c>
      <c r="N31" s="83">
        <f>_xlfn.IFS('Prepare Gantt Chart'!AA20=4,'Project types'!$O21,'Prepare Gantt Chart'!AA20=3,'Project types'!$Q21,'Prepare Gantt Chart'!AA20=0,0)</f>
        <v>0</v>
      </c>
      <c r="O31" s="83">
        <f>_xlfn.IFS('Prepare Gantt Chart'!AB20=4,'Project types'!$O21,'Prepare Gantt Chart'!AB20=3,'Project types'!$Q21,'Prepare Gantt Chart'!AB20=0,0)</f>
        <v>0</v>
      </c>
      <c r="P31" s="83">
        <f>_xlfn.IFS('Prepare Gantt Chart'!AC20=4,'Project types'!$O21,'Prepare Gantt Chart'!AC20=3,'Project types'!$Q21,'Prepare Gantt Chart'!AC20=0,0)</f>
        <v>0</v>
      </c>
      <c r="Q31" s="83">
        <f>_xlfn.IFS('Prepare Gantt Chart'!AD20=4,'Project types'!$O21,'Prepare Gantt Chart'!AD20=3,'Project types'!$Q21,'Prepare Gantt Chart'!AD20=0,0)</f>
        <v>0</v>
      </c>
      <c r="R31" s="83">
        <f>_xlfn.IFS('Prepare Gantt Chart'!AE20=4,'Project types'!$O21,'Prepare Gantt Chart'!AE20=3,'Project types'!$Q21,'Prepare Gantt Chart'!AE20=0,0)</f>
        <v>0</v>
      </c>
      <c r="S31" s="83">
        <f>_xlfn.IFS('Prepare Gantt Chart'!AF20=4,'Project types'!$O21,'Prepare Gantt Chart'!AF20=3,'Project types'!$Q21,'Prepare Gantt Chart'!AF20=0,0)</f>
        <v>0</v>
      </c>
      <c r="T31" s="83">
        <f>_xlfn.IFS('Prepare Gantt Chart'!AG20=4,'Project types'!$O21,'Prepare Gantt Chart'!AG20=3,'Project types'!$Q21,'Prepare Gantt Chart'!AG20=0,0)</f>
        <v>0</v>
      </c>
      <c r="U31" s="83">
        <f>_xlfn.IFS('Prepare Gantt Chart'!AH20=4,'Project types'!$O21,'Prepare Gantt Chart'!AH20=3,'Project types'!$Q21,'Prepare Gantt Chart'!AH20=0,0)</f>
        <v>0</v>
      </c>
      <c r="V31" s="83">
        <f>_xlfn.IFS('Prepare Gantt Chart'!AI20=4,'Project types'!$O21,'Prepare Gantt Chart'!AI20=3,'Project types'!$Q21,'Prepare Gantt Chart'!AI20=0,0)</f>
        <v>0</v>
      </c>
      <c r="W31" s="83">
        <f>_xlfn.IFS('Prepare Gantt Chart'!AJ20=4,'Project types'!$O21,'Prepare Gantt Chart'!AJ20=3,'Project types'!$Q21,'Prepare Gantt Chart'!AJ20=0,0)</f>
        <v>0</v>
      </c>
      <c r="X31" s="83">
        <f>_xlfn.IFS('Prepare Gantt Chart'!AK20=4,'Project types'!$O21,'Prepare Gantt Chart'!AK20=3,'Project types'!$Q21,'Prepare Gantt Chart'!AK20=0,0)</f>
        <v>0</v>
      </c>
      <c r="Y31" s="83">
        <f>_xlfn.IFS('Prepare Gantt Chart'!AL20=4,'Project types'!$O21,'Prepare Gantt Chart'!AL20=3,'Project types'!$Q21,'Prepare Gantt Chart'!AL20=0,0)</f>
        <v>0</v>
      </c>
      <c r="Z31" s="83">
        <f>_xlfn.IFS('Prepare Gantt Chart'!AM20=4,'Project types'!$O21,'Prepare Gantt Chart'!AM20=3,'Project types'!$Q21,'Prepare Gantt Chart'!AM20=0,0)</f>
        <v>0</v>
      </c>
      <c r="AA31" s="83">
        <f>_xlfn.IFS('Prepare Gantt Chart'!AN20=4,'Project types'!$O21,'Prepare Gantt Chart'!AN20=3,'Project types'!$Q21,'Prepare Gantt Chart'!AN20=0,0)</f>
        <v>0</v>
      </c>
      <c r="AB31" s="83">
        <f>_xlfn.IFS('Prepare Gantt Chart'!AO20=4,'Project types'!$O21,'Prepare Gantt Chart'!AO20=3,'Project types'!$Q21,'Prepare Gantt Chart'!AO20=0,0)</f>
        <v>0</v>
      </c>
      <c r="AC31" s="93">
        <f t="shared" si="0"/>
        <v>0</v>
      </c>
      <c r="AD31" s="86">
        <f>_xlfn.IFS('Prepare Gantt Chart'!P20=4,'Project types'!$L21,'Prepare Gantt Chart'!P20=3,'Project types'!$L21,'Prepare Gantt Chart'!P20=0,0)</f>
        <v>0</v>
      </c>
      <c r="AE31" s="83">
        <f>_xlfn.IFS('Prepare Gantt Chart'!Q20=4,'Project types'!$L21,'Prepare Gantt Chart'!Q20=3,'Project types'!$L21,'Prepare Gantt Chart'!Q20=0,0)</f>
        <v>0</v>
      </c>
      <c r="AF31" s="83">
        <f>_xlfn.IFS('Prepare Gantt Chart'!R20=4,'Project types'!$L21,'Prepare Gantt Chart'!R20=3,'Project types'!$L21,'Prepare Gantt Chart'!R20=0,0)</f>
        <v>0</v>
      </c>
      <c r="AG31" s="83">
        <f>_xlfn.IFS('Prepare Gantt Chart'!S20=4,'Project types'!$L21,'Prepare Gantt Chart'!S20=3,'Project types'!$L21,'Prepare Gantt Chart'!S20=0,0)</f>
        <v>0</v>
      </c>
      <c r="AH31" s="83">
        <f>_xlfn.IFS('Prepare Gantt Chart'!T20=4,'Project types'!$L21,'Prepare Gantt Chart'!T20=3,'Project types'!$L21,'Prepare Gantt Chart'!T20=0,0)</f>
        <v>0</v>
      </c>
      <c r="AI31" s="83">
        <f>_xlfn.IFS('Prepare Gantt Chart'!U20=4,'Project types'!$L21,'Prepare Gantt Chart'!U20=3,'Project types'!$L21,'Prepare Gantt Chart'!U20=0,0)</f>
        <v>0</v>
      </c>
      <c r="AJ31" s="83">
        <f>_xlfn.IFS('Prepare Gantt Chart'!V20=4,'Project types'!$L21,'Prepare Gantt Chart'!V20=3,'Project types'!$L21,'Prepare Gantt Chart'!V20=0,0)</f>
        <v>0</v>
      </c>
      <c r="AK31" s="83">
        <f>_xlfn.IFS('Prepare Gantt Chart'!W20=4,'Project types'!$L21,'Prepare Gantt Chart'!W20=3,'Project types'!$L21,'Prepare Gantt Chart'!W20=0,0)</f>
        <v>0</v>
      </c>
      <c r="AL31" s="83">
        <f>_xlfn.IFS('Prepare Gantt Chart'!X20=4,'Project types'!$L21,'Prepare Gantt Chart'!X20=3,'Project types'!$L21,'Prepare Gantt Chart'!X20=0,0)</f>
        <v>0</v>
      </c>
      <c r="AM31" s="83">
        <f>_xlfn.IFS('Prepare Gantt Chart'!Y20=4,'Project types'!$L21,'Prepare Gantt Chart'!Y20=3,'Project types'!$L21,'Prepare Gantt Chart'!Y20=0,0)</f>
        <v>0</v>
      </c>
      <c r="AN31" s="83">
        <f>_xlfn.IFS('Prepare Gantt Chart'!Z20=4,'Project types'!$L21,'Prepare Gantt Chart'!Z20=3,'Project types'!$L21,'Prepare Gantt Chart'!Z20=0,0)</f>
        <v>0</v>
      </c>
      <c r="AO31" s="83">
        <f>_xlfn.IFS('Prepare Gantt Chart'!AA20=4,'Project types'!$L21,'Prepare Gantt Chart'!AA20=3,'Project types'!$L21,'Prepare Gantt Chart'!AA20=0,0)</f>
        <v>0</v>
      </c>
      <c r="AP31" s="83">
        <f>_xlfn.IFS('Prepare Gantt Chart'!AB20=4,'Project types'!$L21,'Prepare Gantt Chart'!AB20=3,'Project types'!$L21,'Prepare Gantt Chart'!AB20=0,0)</f>
        <v>0</v>
      </c>
      <c r="AQ31" s="83">
        <f>_xlfn.IFS('Prepare Gantt Chart'!AC20=4,'Project types'!$L21,'Prepare Gantt Chart'!AC20=3,'Project types'!$L21,'Prepare Gantt Chart'!AC20=0,0)</f>
        <v>0</v>
      </c>
      <c r="AR31" s="83">
        <f>_xlfn.IFS('Prepare Gantt Chart'!AD20=4,'Project types'!$L21,'Prepare Gantt Chart'!AD20=3,'Project types'!$L21,'Prepare Gantt Chart'!AD20=0,0)</f>
        <v>0</v>
      </c>
      <c r="AS31" s="83">
        <f>_xlfn.IFS('Prepare Gantt Chart'!AE20=4,'Project types'!$L21,'Prepare Gantt Chart'!AE20=3,'Project types'!$L21,'Prepare Gantt Chart'!AE20=0,0)</f>
        <v>0</v>
      </c>
      <c r="AT31" s="83">
        <f>_xlfn.IFS('Prepare Gantt Chart'!AF20=4,'Project types'!$L21,'Prepare Gantt Chart'!AF20=3,'Project types'!$L21,'Prepare Gantt Chart'!AF20=0,0)</f>
        <v>0</v>
      </c>
      <c r="AU31" s="83">
        <f>_xlfn.IFS('Prepare Gantt Chart'!AG20=4,'Project types'!$L21,'Prepare Gantt Chart'!AG20=3,'Project types'!$L21,'Prepare Gantt Chart'!AG20=0,0)</f>
        <v>0</v>
      </c>
      <c r="AV31" s="83">
        <f>_xlfn.IFS('Prepare Gantt Chart'!AH20=4,'Project types'!$L21,'Prepare Gantt Chart'!AH20=3,'Project types'!$L21,'Prepare Gantt Chart'!AH20=0,0)</f>
        <v>0</v>
      </c>
      <c r="AW31" s="83">
        <f>_xlfn.IFS('Prepare Gantt Chart'!AI20=4,'Project types'!$L21,'Prepare Gantt Chart'!AI20=3,'Project types'!$L21,'Prepare Gantt Chart'!AI20=0,0)</f>
        <v>0</v>
      </c>
      <c r="AX31" s="83">
        <f>_xlfn.IFS('Prepare Gantt Chart'!AJ20=4,'Project types'!$L21,'Prepare Gantt Chart'!AJ20=3,'Project types'!$L21,'Prepare Gantt Chart'!AJ20=0,0)</f>
        <v>0</v>
      </c>
      <c r="AY31" s="83">
        <f>_xlfn.IFS('Prepare Gantt Chart'!AK20=4,'Project types'!$L21,'Prepare Gantt Chart'!AK20=3,'Project types'!$L21,'Prepare Gantt Chart'!AK20=0,0)</f>
        <v>0</v>
      </c>
      <c r="AZ31" s="83">
        <f>_xlfn.IFS('Prepare Gantt Chart'!AL20=4,'Project types'!$L21,'Prepare Gantt Chart'!AL20=3,'Project types'!$L21,'Prepare Gantt Chart'!AL20=0,0)</f>
        <v>0</v>
      </c>
      <c r="BA31" s="83">
        <f>_xlfn.IFS('Prepare Gantt Chart'!AM20=4,'Project types'!$L21,'Prepare Gantt Chart'!AM20=3,'Project types'!$L21,'Prepare Gantt Chart'!AM20=0,0)</f>
        <v>0</v>
      </c>
      <c r="BB31" s="83">
        <f>_xlfn.IFS('Prepare Gantt Chart'!AN20=4,'Project types'!$L21,'Prepare Gantt Chart'!AN20=3,'Project types'!$L21,'Prepare Gantt Chart'!AN20=0,0)</f>
        <v>0</v>
      </c>
      <c r="BC31" s="83">
        <f>_xlfn.IFS('Prepare Gantt Chart'!AO20=4,'Project types'!$L21,'Prepare Gantt Chart'!AO20=3,'Project types'!$L21,'Prepare Gantt Chart'!AO20=0,0)</f>
        <v>0</v>
      </c>
      <c r="BD31" s="91">
        <f t="shared" si="1"/>
        <v>0</v>
      </c>
      <c r="CI31" s="85"/>
      <c r="GY31" s="85"/>
    </row>
    <row r="32" spans="1:207" x14ac:dyDescent="0.2">
      <c r="A32" s="1" t="s">
        <v>119</v>
      </c>
      <c r="B32" s="21" t="s">
        <v>21</v>
      </c>
      <c r="C32" s="83">
        <f>_xlfn.IFS('Prepare Gantt Chart'!P21=4,'Project types'!$O22,'Prepare Gantt Chart'!P21=3,'Project types'!$Q22,'Prepare Gantt Chart'!P21=0,0)</f>
        <v>0</v>
      </c>
      <c r="D32" s="83">
        <f>_xlfn.IFS('Prepare Gantt Chart'!Q21=4,'Project types'!$O22,'Prepare Gantt Chart'!Q21=3,'Project types'!$Q22,'Prepare Gantt Chart'!Q21=0,0)</f>
        <v>0</v>
      </c>
      <c r="E32" s="83">
        <f>_xlfn.IFS('Prepare Gantt Chart'!R21=4,'Project types'!$O22,'Prepare Gantt Chart'!R21=3,'Project types'!$Q22,'Prepare Gantt Chart'!R21=0,0)</f>
        <v>0</v>
      </c>
      <c r="F32" s="83">
        <f>_xlfn.IFS('Prepare Gantt Chart'!S21=4,'Project types'!$O22,'Prepare Gantt Chart'!S21=3,'Project types'!$Q22,'Prepare Gantt Chart'!S21=0,0)</f>
        <v>0</v>
      </c>
      <c r="G32" s="83">
        <f>_xlfn.IFS('Prepare Gantt Chart'!T21=4,'Project types'!$O22,'Prepare Gantt Chart'!T21=3,'Project types'!$Q22,'Prepare Gantt Chart'!T21=0,0)</f>
        <v>0</v>
      </c>
      <c r="H32" s="83">
        <f>_xlfn.IFS('Prepare Gantt Chart'!U21=4,'Project types'!$O22,'Prepare Gantt Chart'!U21=3,'Project types'!$Q22,'Prepare Gantt Chart'!U21=0,0)</f>
        <v>0</v>
      </c>
      <c r="I32" s="83">
        <f>_xlfn.IFS('Prepare Gantt Chart'!V21=4,'Project types'!$O22,'Prepare Gantt Chart'!V21=3,'Project types'!$Q22,'Prepare Gantt Chart'!V21=0,0)</f>
        <v>0</v>
      </c>
      <c r="J32" s="83">
        <f>_xlfn.IFS('Prepare Gantt Chart'!W21=4,'Project types'!$O22,'Prepare Gantt Chart'!W21=3,'Project types'!$Q22,'Prepare Gantt Chart'!W21=0,0)</f>
        <v>0</v>
      </c>
      <c r="K32" s="83">
        <f>_xlfn.IFS('Prepare Gantt Chart'!X21=4,'Project types'!$O22,'Prepare Gantt Chart'!X21=3,'Project types'!$Q22,'Prepare Gantt Chart'!X21=0,0)</f>
        <v>0</v>
      </c>
      <c r="L32" s="83">
        <f>_xlfn.IFS('Prepare Gantt Chart'!Y21=4,'Project types'!$O22,'Prepare Gantt Chart'!Y21=3,'Project types'!$Q22,'Prepare Gantt Chart'!Y21=0,0)</f>
        <v>0</v>
      </c>
      <c r="M32" s="83">
        <f>_xlfn.IFS('Prepare Gantt Chart'!Z21=4,'Project types'!$O22,'Prepare Gantt Chart'!Z21=3,'Project types'!$Q22,'Prepare Gantt Chart'!Z21=0,0)</f>
        <v>0</v>
      </c>
      <c r="N32" s="83">
        <f>_xlfn.IFS('Prepare Gantt Chart'!AA21=4,'Project types'!$O22,'Prepare Gantt Chart'!AA21=3,'Project types'!$Q22,'Prepare Gantt Chart'!AA21=0,0)</f>
        <v>0</v>
      </c>
      <c r="O32" s="83">
        <f>_xlfn.IFS('Prepare Gantt Chart'!AB21=4,'Project types'!$O22,'Prepare Gantt Chart'!AB21=3,'Project types'!$Q22,'Prepare Gantt Chart'!AB21=0,0)</f>
        <v>0</v>
      </c>
      <c r="P32" s="83">
        <f>_xlfn.IFS('Prepare Gantt Chart'!AC21=4,'Project types'!$O22,'Prepare Gantt Chart'!AC21=3,'Project types'!$Q22,'Prepare Gantt Chart'!AC21=0,0)</f>
        <v>0</v>
      </c>
      <c r="Q32" s="83">
        <f>_xlfn.IFS('Prepare Gantt Chart'!AD21=4,'Project types'!$O22,'Prepare Gantt Chart'!AD21=3,'Project types'!$Q22,'Prepare Gantt Chart'!AD21=0,0)</f>
        <v>0</v>
      </c>
      <c r="R32" s="83">
        <f>_xlfn.IFS('Prepare Gantt Chart'!AE21=4,'Project types'!$O22,'Prepare Gantt Chart'!AE21=3,'Project types'!$Q22,'Prepare Gantt Chart'!AE21=0,0)</f>
        <v>0</v>
      </c>
      <c r="S32" s="83">
        <f>_xlfn.IFS('Prepare Gantt Chart'!AF21=4,'Project types'!$O22,'Prepare Gantt Chart'!AF21=3,'Project types'!$Q22,'Prepare Gantt Chart'!AF21=0,0)</f>
        <v>0</v>
      </c>
      <c r="T32" s="83">
        <f>_xlfn.IFS('Prepare Gantt Chart'!AG21=4,'Project types'!$O22,'Prepare Gantt Chart'!AG21=3,'Project types'!$Q22,'Prepare Gantt Chart'!AG21=0,0)</f>
        <v>0</v>
      </c>
      <c r="U32" s="83">
        <f>_xlfn.IFS('Prepare Gantt Chart'!AH21=4,'Project types'!$O22,'Prepare Gantt Chart'!AH21=3,'Project types'!$Q22,'Prepare Gantt Chart'!AH21=0,0)</f>
        <v>0</v>
      </c>
      <c r="V32" s="83">
        <f>_xlfn.IFS('Prepare Gantt Chart'!AI21=4,'Project types'!$O22,'Prepare Gantt Chart'!AI21=3,'Project types'!$Q22,'Prepare Gantt Chart'!AI21=0,0)</f>
        <v>0</v>
      </c>
      <c r="W32" s="83">
        <f>_xlfn.IFS('Prepare Gantt Chart'!AJ21=4,'Project types'!$O22,'Prepare Gantt Chart'!AJ21=3,'Project types'!$Q22,'Prepare Gantt Chart'!AJ21=0,0)</f>
        <v>0</v>
      </c>
      <c r="X32" s="83">
        <f>_xlfn.IFS('Prepare Gantt Chart'!AK21=4,'Project types'!$O22,'Prepare Gantt Chart'!AK21=3,'Project types'!$Q22,'Prepare Gantt Chart'!AK21=0,0)</f>
        <v>0</v>
      </c>
      <c r="Y32" s="83">
        <f>_xlfn.IFS('Prepare Gantt Chart'!AL21=4,'Project types'!$O22,'Prepare Gantt Chart'!AL21=3,'Project types'!$Q22,'Prepare Gantt Chart'!AL21=0,0)</f>
        <v>0</v>
      </c>
      <c r="Z32" s="83">
        <f>_xlfn.IFS('Prepare Gantt Chart'!AM21=4,'Project types'!$O22,'Prepare Gantt Chart'!AM21=3,'Project types'!$Q22,'Prepare Gantt Chart'!AM21=0,0)</f>
        <v>0</v>
      </c>
      <c r="AA32" s="83">
        <f>_xlfn.IFS('Prepare Gantt Chart'!AN21=4,'Project types'!$O22,'Prepare Gantt Chart'!AN21=3,'Project types'!$Q22,'Prepare Gantt Chart'!AN21=0,0)</f>
        <v>0</v>
      </c>
      <c r="AB32" s="83">
        <f>_xlfn.IFS('Prepare Gantt Chart'!AO21=4,'Project types'!$O22,'Prepare Gantt Chart'!AO21=3,'Project types'!$Q22,'Prepare Gantt Chart'!AO21=0,0)</f>
        <v>0</v>
      </c>
      <c r="AC32" s="93">
        <f t="shared" si="0"/>
        <v>0</v>
      </c>
      <c r="AD32" s="86">
        <f>_xlfn.IFS('Prepare Gantt Chart'!P21=4,'Project types'!$L22,'Prepare Gantt Chart'!P21=3,'Project types'!$L22,'Prepare Gantt Chart'!P21=0,0)</f>
        <v>0</v>
      </c>
      <c r="AE32" s="83">
        <f>_xlfn.IFS('Prepare Gantt Chart'!Q21=4,'Project types'!$L22,'Prepare Gantt Chart'!Q21=3,'Project types'!$L22,'Prepare Gantt Chart'!Q21=0,0)</f>
        <v>0</v>
      </c>
      <c r="AF32" s="83">
        <f>_xlfn.IFS('Prepare Gantt Chart'!R21=4,'Project types'!$L22,'Prepare Gantt Chart'!R21=3,'Project types'!$L22,'Prepare Gantt Chart'!R21=0,0)</f>
        <v>0</v>
      </c>
      <c r="AG32" s="83">
        <f>_xlfn.IFS('Prepare Gantt Chart'!S21=4,'Project types'!$L22,'Prepare Gantt Chart'!S21=3,'Project types'!$L22,'Prepare Gantt Chart'!S21=0,0)</f>
        <v>0</v>
      </c>
      <c r="AH32" s="83">
        <f>_xlfn.IFS('Prepare Gantt Chart'!T21=4,'Project types'!$L22,'Prepare Gantt Chart'!T21=3,'Project types'!$L22,'Prepare Gantt Chart'!T21=0,0)</f>
        <v>0</v>
      </c>
      <c r="AI32" s="83">
        <f>_xlfn.IFS('Prepare Gantt Chart'!U21=4,'Project types'!$L22,'Prepare Gantt Chart'!U21=3,'Project types'!$L22,'Prepare Gantt Chart'!U21=0,0)</f>
        <v>0</v>
      </c>
      <c r="AJ32" s="83">
        <f>_xlfn.IFS('Prepare Gantt Chart'!V21=4,'Project types'!$L22,'Prepare Gantt Chart'!V21=3,'Project types'!$L22,'Prepare Gantt Chart'!V21=0,0)</f>
        <v>0</v>
      </c>
      <c r="AK32" s="83">
        <f>_xlfn.IFS('Prepare Gantt Chart'!W21=4,'Project types'!$L22,'Prepare Gantt Chart'!W21=3,'Project types'!$L22,'Prepare Gantt Chart'!W21=0,0)</f>
        <v>0</v>
      </c>
      <c r="AL32" s="83">
        <f>_xlfn.IFS('Prepare Gantt Chart'!X21=4,'Project types'!$L22,'Prepare Gantt Chart'!X21=3,'Project types'!$L22,'Prepare Gantt Chart'!X21=0,0)</f>
        <v>0</v>
      </c>
      <c r="AM32" s="83">
        <f>_xlfn.IFS('Prepare Gantt Chart'!Y21=4,'Project types'!$L22,'Prepare Gantt Chart'!Y21=3,'Project types'!$L22,'Prepare Gantt Chart'!Y21=0,0)</f>
        <v>0</v>
      </c>
      <c r="AN32" s="83">
        <f>_xlfn.IFS('Prepare Gantt Chart'!Z21=4,'Project types'!$L22,'Prepare Gantt Chart'!Z21=3,'Project types'!$L22,'Prepare Gantt Chart'!Z21=0,0)</f>
        <v>0</v>
      </c>
      <c r="AO32" s="83">
        <f>_xlfn.IFS('Prepare Gantt Chart'!AA21=4,'Project types'!$L22,'Prepare Gantt Chart'!AA21=3,'Project types'!$L22,'Prepare Gantt Chart'!AA21=0,0)</f>
        <v>0</v>
      </c>
      <c r="AP32" s="83">
        <f>_xlfn.IFS('Prepare Gantt Chart'!AB21=4,'Project types'!$L22,'Prepare Gantt Chart'!AB21=3,'Project types'!$L22,'Prepare Gantt Chart'!AB21=0,0)</f>
        <v>0</v>
      </c>
      <c r="AQ32" s="83">
        <f>_xlfn.IFS('Prepare Gantt Chart'!AC21=4,'Project types'!$L22,'Prepare Gantt Chart'!AC21=3,'Project types'!$L22,'Prepare Gantt Chart'!AC21=0,0)</f>
        <v>0</v>
      </c>
      <c r="AR32" s="83">
        <f>_xlfn.IFS('Prepare Gantt Chart'!AD21=4,'Project types'!$L22,'Prepare Gantt Chart'!AD21=3,'Project types'!$L22,'Prepare Gantt Chart'!AD21=0,0)</f>
        <v>0</v>
      </c>
      <c r="AS32" s="83">
        <f>_xlfn.IFS('Prepare Gantt Chart'!AE21=4,'Project types'!$L22,'Prepare Gantt Chart'!AE21=3,'Project types'!$L22,'Prepare Gantt Chart'!AE21=0,0)</f>
        <v>0</v>
      </c>
      <c r="AT32" s="83">
        <f>_xlfn.IFS('Prepare Gantt Chart'!AF21=4,'Project types'!$L22,'Prepare Gantt Chart'!AF21=3,'Project types'!$L22,'Prepare Gantt Chart'!AF21=0,0)</f>
        <v>0</v>
      </c>
      <c r="AU32" s="83">
        <f>_xlfn.IFS('Prepare Gantt Chart'!AG21=4,'Project types'!$L22,'Prepare Gantt Chart'!AG21=3,'Project types'!$L22,'Prepare Gantt Chart'!AG21=0,0)</f>
        <v>0</v>
      </c>
      <c r="AV32" s="83">
        <f>_xlfn.IFS('Prepare Gantt Chart'!AH21=4,'Project types'!$L22,'Prepare Gantt Chart'!AH21=3,'Project types'!$L22,'Prepare Gantt Chart'!AH21=0,0)</f>
        <v>0</v>
      </c>
      <c r="AW32" s="83">
        <f>_xlfn.IFS('Prepare Gantt Chart'!AI21=4,'Project types'!$L22,'Prepare Gantt Chart'!AI21=3,'Project types'!$L22,'Prepare Gantt Chart'!AI21=0,0)</f>
        <v>0</v>
      </c>
      <c r="AX32" s="83">
        <f>_xlfn.IFS('Prepare Gantt Chart'!AJ21=4,'Project types'!$L22,'Prepare Gantt Chart'!AJ21=3,'Project types'!$L22,'Prepare Gantt Chart'!AJ21=0,0)</f>
        <v>0</v>
      </c>
      <c r="AY32" s="83">
        <f>_xlfn.IFS('Prepare Gantt Chart'!AK21=4,'Project types'!$L22,'Prepare Gantt Chart'!AK21=3,'Project types'!$L22,'Prepare Gantt Chart'!AK21=0,0)</f>
        <v>0</v>
      </c>
      <c r="AZ32" s="83">
        <f>_xlfn.IFS('Prepare Gantt Chart'!AL21=4,'Project types'!$L22,'Prepare Gantt Chart'!AL21=3,'Project types'!$L22,'Prepare Gantt Chart'!AL21=0,0)</f>
        <v>0</v>
      </c>
      <c r="BA32" s="83">
        <f>_xlfn.IFS('Prepare Gantt Chart'!AM21=4,'Project types'!$L22,'Prepare Gantt Chart'!AM21=3,'Project types'!$L22,'Prepare Gantt Chart'!AM21=0,0)</f>
        <v>0</v>
      </c>
      <c r="BB32" s="83">
        <f>_xlfn.IFS('Prepare Gantt Chart'!AN21=4,'Project types'!$L22,'Prepare Gantt Chart'!AN21=3,'Project types'!$L22,'Prepare Gantt Chart'!AN21=0,0)</f>
        <v>0</v>
      </c>
      <c r="BC32" s="83">
        <f>_xlfn.IFS('Prepare Gantt Chart'!AO21=4,'Project types'!$L22,'Prepare Gantt Chart'!AO21=3,'Project types'!$L22,'Prepare Gantt Chart'!AO21=0,0)</f>
        <v>0</v>
      </c>
      <c r="BD32" s="91">
        <f t="shared" si="1"/>
        <v>0</v>
      </c>
      <c r="CI32" s="85"/>
      <c r="GY32" s="85"/>
    </row>
    <row r="33" spans="1:207" x14ac:dyDescent="0.2">
      <c r="A33" s="1" t="s">
        <v>120</v>
      </c>
      <c r="B33" s="21" t="s">
        <v>22</v>
      </c>
      <c r="C33" s="83">
        <f>_xlfn.IFS('Prepare Gantt Chart'!P22=4,'Project types'!$O23,'Prepare Gantt Chart'!P22=3,'Project types'!$Q23,'Prepare Gantt Chart'!P22=0,0)</f>
        <v>0</v>
      </c>
      <c r="D33" s="83">
        <f>_xlfn.IFS('Prepare Gantt Chart'!Q22=4,'Project types'!$O23,'Prepare Gantt Chart'!Q22=3,'Project types'!$Q23,'Prepare Gantt Chart'!Q22=0,0)</f>
        <v>0</v>
      </c>
      <c r="E33" s="83">
        <f>_xlfn.IFS('Prepare Gantt Chart'!R22=4,'Project types'!$O23,'Prepare Gantt Chart'!R22=3,'Project types'!$Q23,'Prepare Gantt Chart'!R22=0,0)</f>
        <v>0</v>
      </c>
      <c r="F33" s="83">
        <f>_xlfn.IFS('Prepare Gantt Chart'!S22=4,'Project types'!$O23,'Prepare Gantt Chart'!S22=3,'Project types'!$Q23,'Prepare Gantt Chart'!S22=0,0)</f>
        <v>0</v>
      </c>
      <c r="G33" s="83">
        <f>_xlfn.IFS('Prepare Gantt Chart'!T22=4,'Project types'!$O23,'Prepare Gantt Chart'!T22=3,'Project types'!$Q23,'Prepare Gantt Chart'!T22=0,0)</f>
        <v>0</v>
      </c>
      <c r="H33" s="83">
        <f>_xlfn.IFS('Prepare Gantt Chart'!U22=4,'Project types'!$O23,'Prepare Gantt Chart'!U22=3,'Project types'!$Q23,'Prepare Gantt Chart'!U22=0,0)</f>
        <v>0</v>
      </c>
      <c r="I33" s="83">
        <f>_xlfn.IFS('Prepare Gantt Chart'!V22=4,'Project types'!$O23,'Prepare Gantt Chart'!V22=3,'Project types'!$Q23,'Prepare Gantt Chart'!V22=0,0)</f>
        <v>0</v>
      </c>
      <c r="J33" s="83">
        <f>_xlfn.IFS('Prepare Gantt Chart'!W22=4,'Project types'!$O23,'Prepare Gantt Chart'!W22=3,'Project types'!$Q23,'Prepare Gantt Chart'!W22=0,0)</f>
        <v>0</v>
      </c>
      <c r="K33" s="83">
        <f>_xlfn.IFS('Prepare Gantt Chart'!X22=4,'Project types'!$O23,'Prepare Gantt Chart'!X22=3,'Project types'!$Q23,'Prepare Gantt Chart'!X22=0,0)</f>
        <v>0</v>
      </c>
      <c r="L33" s="83">
        <f>_xlfn.IFS('Prepare Gantt Chart'!Y22=4,'Project types'!$O23,'Prepare Gantt Chart'!Y22=3,'Project types'!$Q23,'Prepare Gantt Chart'!Y22=0,0)</f>
        <v>0</v>
      </c>
      <c r="M33" s="83">
        <f>_xlfn.IFS('Prepare Gantt Chart'!Z22=4,'Project types'!$O23,'Prepare Gantt Chart'!Z22=3,'Project types'!$Q23,'Prepare Gantt Chart'!Z22=0,0)</f>
        <v>0</v>
      </c>
      <c r="N33" s="83">
        <f>_xlfn.IFS('Prepare Gantt Chart'!AA22=4,'Project types'!$O23,'Prepare Gantt Chart'!AA22=3,'Project types'!$Q23,'Prepare Gantt Chart'!AA22=0,0)</f>
        <v>0</v>
      </c>
      <c r="O33" s="83">
        <f>_xlfn.IFS('Prepare Gantt Chart'!AB22=4,'Project types'!$O23,'Prepare Gantt Chart'!AB22=3,'Project types'!$Q23,'Prepare Gantt Chart'!AB22=0,0)</f>
        <v>0</v>
      </c>
      <c r="P33" s="83">
        <f>_xlfn.IFS('Prepare Gantt Chart'!AC22=4,'Project types'!$O23,'Prepare Gantt Chart'!AC22=3,'Project types'!$Q23,'Prepare Gantt Chart'!AC22=0,0)</f>
        <v>0</v>
      </c>
      <c r="Q33" s="83">
        <f>_xlfn.IFS('Prepare Gantt Chart'!AD22=4,'Project types'!$O23,'Prepare Gantt Chart'!AD22=3,'Project types'!$Q23,'Prepare Gantt Chart'!AD22=0,0)</f>
        <v>0</v>
      </c>
      <c r="R33" s="83">
        <f>_xlfn.IFS('Prepare Gantt Chart'!AE22=4,'Project types'!$O23,'Prepare Gantt Chart'!AE22=3,'Project types'!$Q23,'Prepare Gantt Chart'!AE22=0,0)</f>
        <v>0</v>
      </c>
      <c r="S33" s="83">
        <f>_xlfn.IFS('Prepare Gantt Chart'!AF22=4,'Project types'!$O23,'Prepare Gantt Chart'!AF22=3,'Project types'!$Q23,'Prepare Gantt Chart'!AF22=0,0)</f>
        <v>0</v>
      </c>
      <c r="T33" s="83">
        <f>_xlfn.IFS('Prepare Gantt Chart'!AG22=4,'Project types'!$O23,'Prepare Gantt Chart'!AG22=3,'Project types'!$Q23,'Prepare Gantt Chart'!AG22=0,0)</f>
        <v>0</v>
      </c>
      <c r="U33" s="83">
        <f>_xlfn.IFS('Prepare Gantt Chart'!AH22=4,'Project types'!$O23,'Prepare Gantt Chart'!AH22=3,'Project types'!$Q23,'Prepare Gantt Chart'!AH22=0,0)</f>
        <v>0</v>
      </c>
      <c r="V33" s="83">
        <f>_xlfn.IFS('Prepare Gantt Chart'!AI22=4,'Project types'!$O23,'Prepare Gantt Chart'!AI22=3,'Project types'!$Q23,'Prepare Gantt Chart'!AI22=0,0)</f>
        <v>0</v>
      </c>
      <c r="W33" s="83">
        <f>_xlfn.IFS('Prepare Gantt Chart'!AJ22=4,'Project types'!$O23,'Prepare Gantt Chart'!AJ22=3,'Project types'!$Q23,'Prepare Gantt Chart'!AJ22=0,0)</f>
        <v>0</v>
      </c>
      <c r="X33" s="83">
        <f>_xlfn.IFS('Prepare Gantt Chart'!AK22=4,'Project types'!$O23,'Prepare Gantt Chart'!AK22=3,'Project types'!$Q23,'Prepare Gantt Chart'!AK22=0,0)</f>
        <v>0</v>
      </c>
      <c r="Y33" s="83">
        <f>_xlfn.IFS('Prepare Gantt Chart'!AL22=4,'Project types'!$O23,'Prepare Gantt Chart'!AL22=3,'Project types'!$Q23,'Prepare Gantt Chart'!AL22=0,0)</f>
        <v>0</v>
      </c>
      <c r="Z33" s="83">
        <f>_xlfn.IFS('Prepare Gantt Chart'!AM22=4,'Project types'!$O23,'Prepare Gantt Chart'!AM22=3,'Project types'!$Q23,'Prepare Gantt Chart'!AM22=0,0)</f>
        <v>0</v>
      </c>
      <c r="AA33" s="83">
        <f>_xlfn.IFS('Prepare Gantt Chart'!AN22=4,'Project types'!$O23,'Prepare Gantt Chart'!AN22=3,'Project types'!$Q23,'Prepare Gantt Chart'!AN22=0,0)</f>
        <v>0</v>
      </c>
      <c r="AB33" s="83">
        <f>_xlfn.IFS('Prepare Gantt Chart'!AO22=4,'Project types'!$O23,'Prepare Gantt Chart'!AO22=3,'Project types'!$Q23,'Prepare Gantt Chart'!AO22=0,0)</f>
        <v>0</v>
      </c>
      <c r="AC33" s="93">
        <f t="shared" si="0"/>
        <v>0</v>
      </c>
      <c r="AD33" s="86">
        <f>_xlfn.IFS('Prepare Gantt Chart'!P22=4,'Project types'!$L23,'Prepare Gantt Chart'!P22=3,'Project types'!$L23,'Prepare Gantt Chart'!P22=0,0)</f>
        <v>0</v>
      </c>
      <c r="AE33" s="83">
        <f>_xlfn.IFS('Prepare Gantt Chart'!Q22=4,'Project types'!$L23,'Prepare Gantt Chart'!Q22=3,'Project types'!$L23,'Prepare Gantt Chart'!Q22=0,0)</f>
        <v>0</v>
      </c>
      <c r="AF33" s="83">
        <f>_xlfn.IFS('Prepare Gantt Chart'!R22=4,'Project types'!$L23,'Prepare Gantt Chart'!R22=3,'Project types'!$L23,'Prepare Gantt Chart'!R22=0,0)</f>
        <v>0</v>
      </c>
      <c r="AG33" s="83">
        <f>_xlfn.IFS('Prepare Gantt Chart'!S22=4,'Project types'!$L23,'Prepare Gantt Chart'!S22=3,'Project types'!$L23,'Prepare Gantt Chart'!S22=0,0)</f>
        <v>0</v>
      </c>
      <c r="AH33" s="83">
        <f>_xlfn.IFS('Prepare Gantt Chart'!T22=4,'Project types'!$L23,'Prepare Gantt Chart'!T22=3,'Project types'!$L23,'Prepare Gantt Chart'!T22=0,0)</f>
        <v>0</v>
      </c>
      <c r="AI33" s="83">
        <f>_xlfn.IFS('Prepare Gantt Chart'!U22=4,'Project types'!$L23,'Prepare Gantt Chart'!U22=3,'Project types'!$L23,'Prepare Gantt Chart'!U22=0,0)</f>
        <v>0</v>
      </c>
      <c r="AJ33" s="83">
        <f>_xlfn.IFS('Prepare Gantt Chart'!V22=4,'Project types'!$L23,'Prepare Gantt Chart'!V22=3,'Project types'!$L23,'Prepare Gantt Chart'!V22=0,0)</f>
        <v>0</v>
      </c>
      <c r="AK33" s="83">
        <f>_xlfn.IFS('Prepare Gantt Chart'!W22=4,'Project types'!$L23,'Prepare Gantt Chart'!W22=3,'Project types'!$L23,'Prepare Gantt Chart'!W22=0,0)</f>
        <v>0</v>
      </c>
      <c r="AL33" s="83">
        <f>_xlfn.IFS('Prepare Gantt Chart'!X22=4,'Project types'!$L23,'Prepare Gantt Chart'!X22=3,'Project types'!$L23,'Prepare Gantt Chart'!X22=0,0)</f>
        <v>0</v>
      </c>
      <c r="AM33" s="83">
        <f>_xlfn.IFS('Prepare Gantt Chart'!Y22=4,'Project types'!$L23,'Prepare Gantt Chart'!Y22=3,'Project types'!$L23,'Prepare Gantt Chart'!Y22=0,0)</f>
        <v>0</v>
      </c>
      <c r="AN33" s="83">
        <f>_xlfn.IFS('Prepare Gantt Chart'!Z22=4,'Project types'!$L23,'Prepare Gantt Chart'!Z22=3,'Project types'!$L23,'Prepare Gantt Chart'!Z22=0,0)</f>
        <v>0</v>
      </c>
      <c r="AO33" s="83">
        <f>_xlfn.IFS('Prepare Gantt Chart'!AA22=4,'Project types'!$L23,'Prepare Gantt Chart'!AA22=3,'Project types'!$L23,'Prepare Gantt Chart'!AA22=0,0)</f>
        <v>0</v>
      </c>
      <c r="AP33" s="83">
        <f>_xlfn.IFS('Prepare Gantt Chart'!AB22=4,'Project types'!$L23,'Prepare Gantt Chart'!AB22=3,'Project types'!$L23,'Prepare Gantt Chart'!AB22=0,0)</f>
        <v>0</v>
      </c>
      <c r="AQ33" s="83">
        <f>_xlfn.IFS('Prepare Gantt Chart'!AC22=4,'Project types'!$L23,'Prepare Gantt Chart'!AC22=3,'Project types'!$L23,'Prepare Gantt Chart'!AC22=0,0)</f>
        <v>0</v>
      </c>
      <c r="AR33" s="83">
        <f>_xlfn.IFS('Prepare Gantt Chart'!AD22=4,'Project types'!$L23,'Prepare Gantt Chart'!AD22=3,'Project types'!$L23,'Prepare Gantt Chart'!AD22=0,0)</f>
        <v>0</v>
      </c>
      <c r="AS33" s="83">
        <f>_xlfn.IFS('Prepare Gantt Chart'!AE22=4,'Project types'!$L23,'Prepare Gantt Chart'!AE22=3,'Project types'!$L23,'Prepare Gantt Chart'!AE22=0,0)</f>
        <v>0</v>
      </c>
      <c r="AT33" s="83">
        <f>_xlfn.IFS('Prepare Gantt Chart'!AF22=4,'Project types'!$L23,'Prepare Gantt Chart'!AF22=3,'Project types'!$L23,'Prepare Gantt Chart'!AF22=0,0)</f>
        <v>0</v>
      </c>
      <c r="AU33" s="83">
        <f>_xlfn.IFS('Prepare Gantt Chart'!AG22=4,'Project types'!$L23,'Prepare Gantt Chart'!AG22=3,'Project types'!$L23,'Prepare Gantt Chart'!AG22=0,0)</f>
        <v>0</v>
      </c>
      <c r="AV33" s="83">
        <f>_xlfn.IFS('Prepare Gantt Chart'!AH22=4,'Project types'!$L23,'Prepare Gantt Chart'!AH22=3,'Project types'!$L23,'Prepare Gantt Chart'!AH22=0,0)</f>
        <v>0</v>
      </c>
      <c r="AW33" s="83">
        <f>_xlfn.IFS('Prepare Gantt Chart'!AI22=4,'Project types'!$L23,'Prepare Gantt Chart'!AI22=3,'Project types'!$L23,'Prepare Gantt Chart'!AI22=0,0)</f>
        <v>0</v>
      </c>
      <c r="AX33" s="83">
        <f>_xlfn.IFS('Prepare Gantt Chart'!AJ22=4,'Project types'!$L23,'Prepare Gantt Chart'!AJ22=3,'Project types'!$L23,'Prepare Gantt Chart'!AJ22=0,0)</f>
        <v>0</v>
      </c>
      <c r="AY33" s="83">
        <f>_xlfn.IFS('Prepare Gantt Chart'!AK22=4,'Project types'!$L23,'Prepare Gantt Chart'!AK22=3,'Project types'!$L23,'Prepare Gantt Chart'!AK22=0,0)</f>
        <v>0</v>
      </c>
      <c r="AZ33" s="83">
        <f>_xlfn.IFS('Prepare Gantt Chart'!AL22=4,'Project types'!$L23,'Prepare Gantt Chart'!AL22=3,'Project types'!$L23,'Prepare Gantt Chart'!AL22=0,0)</f>
        <v>0</v>
      </c>
      <c r="BA33" s="83">
        <f>_xlfn.IFS('Prepare Gantt Chart'!AM22=4,'Project types'!$L23,'Prepare Gantt Chart'!AM22=3,'Project types'!$L23,'Prepare Gantt Chart'!AM22=0,0)</f>
        <v>0</v>
      </c>
      <c r="BB33" s="83">
        <f>_xlfn.IFS('Prepare Gantt Chart'!AN22=4,'Project types'!$L23,'Prepare Gantt Chart'!AN22=3,'Project types'!$L23,'Prepare Gantt Chart'!AN22=0,0)</f>
        <v>0</v>
      </c>
      <c r="BC33" s="83">
        <f>_xlfn.IFS('Prepare Gantt Chart'!AO22=4,'Project types'!$L23,'Prepare Gantt Chart'!AO22=3,'Project types'!$L23,'Prepare Gantt Chart'!AO22=0,0)</f>
        <v>0</v>
      </c>
      <c r="BD33" s="91">
        <f t="shared" si="1"/>
        <v>0</v>
      </c>
      <c r="CI33" s="85"/>
      <c r="GY33" s="85"/>
    </row>
    <row r="34" spans="1:207" x14ac:dyDescent="0.2">
      <c r="A34" s="1" t="s">
        <v>121</v>
      </c>
      <c r="B34" s="21" t="s">
        <v>23</v>
      </c>
      <c r="C34" s="83">
        <f>_xlfn.IFS('Prepare Gantt Chart'!P23=4,'Project types'!$O24,'Prepare Gantt Chart'!P23=3,'Project types'!$Q24,'Prepare Gantt Chart'!P23=0,0)</f>
        <v>0</v>
      </c>
      <c r="D34" s="83">
        <f>_xlfn.IFS('Prepare Gantt Chart'!Q23=4,'Project types'!$O24,'Prepare Gantt Chart'!Q23=3,'Project types'!$Q24,'Prepare Gantt Chart'!Q23=0,0)</f>
        <v>0</v>
      </c>
      <c r="E34" s="83">
        <f>_xlfn.IFS('Prepare Gantt Chart'!R23=4,'Project types'!$O24,'Prepare Gantt Chart'!R23=3,'Project types'!$Q24,'Prepare Gantt Chart'!R23=0,0)</f>
        <v>0</v>
      </c>
      <c r="F34" s="83">
        <f>_xlfn.IFS('Prepare Gantt Chart'!S23=4,'Project types'!$O24,'Prepare Gantt Chart'!S23=3,'Project types'!$Q24,'Prepare Gantt Chart'!S23=0,0)</f>
        <v>0</v>
      </c>
      <c r="G34" s="83">
        <f>_xlfn.IFS('Prepare Gantt Chart'!T23=4,'Project types'!$O24,'Prepare Gantt Chart'!T23=3,'Project types'!$Q24,'Prepare Gantt Chart'!T23=0,0)</f>
        <v>0</v>
      </c>
      <c r="H34" s="83">
        <f>_xlfn.IFS('Prepare Gantt Chart'!U23=4,'Project types'!$O24,'Prepare Gantt Chart'!U23=3,'Project types'!$Q24,'Prepare Gantt Chart'!U23=0,0)</f>
        <v>0</v>
      </c>
      <c r="I34" s="83">
        <f>_xlfn.IFS('Prepare Gantt Chart'!V23=4,'Project types'!$O24,'Prepare Gantt Chart'!V23=3,'Project types'!$Q24,'Prepare Gantt Chart'!V23=0,0)</f>
        <v>0</v>
      </c>
      <c r="J34" s="83">
        <f>_xlfn.IFS('Prepare Gantt Chart'!W23=4,'Project types'!$O24,'Prepare Gantt Chart'!W23=3,'Project types'!$Q24,'Prepare Gantt Chart'!W23=0,0)</f>
        <v>0</v>
      </c>
      <c r="K34" s="83">
        <f>_xlfn.IFS('Prepare Gantt Chart'!X23=4,'Project types'!$O24,'Prepare Gantt Chart'!X23=3,'Project types'!$Q24,'Prepare Gantt Chart'!X23=0,0)</f>
        <v>0</v>
      </c>
      <c r="L34" s="83">
        <f>_xlfn.IFS('Prepare Gantt Chart'!Y23=4,'Project types'!$O24,'Prepare Gantt Chart'!Y23=3,'Project types'!$Q24,'Prepare Gantt Chart'!Y23=0,0)</f>
        <v>0</v>
      </c>
      <c r="M34" s="83">
        <f>_xlfn.IFS('Prepare Gantt Chart'!Z23=4,'Project types'!$O24,'Prepare Gantt Chart'!Z23=3,'Project types'!$Q24,'Prepare Gantt Chart'!Z23=0,0)</f>
        <v>0</v>
      </c>
      <c r="N34" s="83">
        <f>_xlfn.IFS('Prepare Gantt Chart'!AA23=4,'Project types'!$O24,'Prepare Gantt Chart'!AA23=3,'Project types'!$Q24,'Prepare Gantt Chart'!AA23=0,0)</f>
        <v>0</v>
      </c>
      <c r="O34" s="83">
        <f>_xlfn.IFS('Prepare Gantt Chart'!AB23=4,'Project types'!$O24,'Prepare Gantt Chart'!AB23=3,'Project types'!$Q24,'Prepare Gantt Chart'!AB23=0,0)</f>
        <v>0</v>
      </c>
      <c r="P34" s="83">
        <f>_xlfn.IFS('Prepare Gantt Chart'!AC23=4,'Project types'!$O24,'Prepare Gantt Chart'!AC23=3,'Project types'!$Q24,'Prepare Gantt Chart'!AC23=0,0)</f>
        <v>0</v>
      </c>
      <c r="Q34" s="83">
        <f>_xlfn.IFS('Prepare Gantt Chart'!AD23=4,'Project types'!$O24,'Prepare Gantt Chart'!AD23=3,'Project types'!$Q24,'Prepare Gantt Chart'!AD23=0,0)</f>
        <v>0</v>
      </c>
      <c r="R34" s="83">
        <f>_xlfn.IFS('Prepare Gantt Chart'!AE23=4,'Project types'!$O24,'Prepare Gantt Chart'!AE23=3,'Project types'!$Q24,'Prepare Gantt Chart'!AE23=0,0)</f>
        <v>0</v>
      </c>
      <c r="S34" s="83">
        <f>_xlfn.IFS('Prepare Gantt Chart'!AF23=4,'Project types'!$O24,'Prepare Gantt Chart'!AF23=3,'Project types'!$Q24,'Prepare Gantt Chart'!AF23=0,0)</f>
        <v>0</v>
      </c>
      <c r="T34" s="83">
        <f>_xlfn.IFS('Prepare Gantt Chart'!AG23=4,'Project types'!$O24,'Prepare Gantt Chart'!AG23=3,'Project types'!$Q24,'Prepare Gantt Chart'!AG23=0,0)</f>
        <v>0</v>
      </c>
      <c r="U34" s="83">
        <f>_xlfn.IFS('Prepare Gantt Chart'!AH23=4,'Project types'!$O24,'Prepare Gantt Chart'!AH23=3,'Project types'!$Q24,'Prepare Gantt Chart'!AH23=0,0)</f>
        <v>0</v>
      </c>
      <c r="V34" s="83">
        <f>_xlfn.IFS('Prepare Gantt Chart'!AI23=4,'Project types'!$O24,'Prepare Gantt Chart'!AI23=3,'Project types'!$Q24,'Prepare Gantt Chart'!AI23=0,0)</f>
        <v>0</v>
      </c>
      <c r="W34" s="83">
        <f>_xlfn.IFS('Prepare Gantt Chart'!AJ23=4,'Project types'!$O24,'Prepare Gantt Chart'!AJ23=3,'Project types'!$Q24,'Prepare Gantt Chart'!AJ23=0,0)</f>
        <v>0</v>
      </c>
      <c r="X34" s="83">
        <f>_xlfn.IFS('Prepare Gantt Chart'!AK23=4,'Project types'!$O24,'Prepare Gantt Chart'!AK23=3,'Project types'!$Q24,'Prepare Gantt Chart'!AK23=0,0)</f>
        <v>0</v>
      </c>
      <c r="Y34" s="83">
        <f>_xlfn.IFS('Prepare Gantt Chart'!AL23=4,'Project types'!$O24,'Prepare Gantt Chart'!AL23=3,'Project types'!$Q24,'Prepare Gantt Chart'!AL23=0,0)</f>
        <v>0</v>
      </c>
      <c r="Z34" s="83">
        <f>_xlfn.IFS('Prepare Gantt Chart'!AM23=4,'Project types'!$O24,'Prepare Gantt Chart'!AM23=3,'Project types'!$Q24,'Prepare Gantt Chart'!AM23=0,0)</f>
        <v>0</v>
      </c>
      <c r="AA34" s="83">
        <f>_xlfn.IFS('Prepare Gantt Chart'!AN23=4,'Project types'!$O24,'Prepare Gantt Chart'!AN23=3,'Project types'!$Q24,'Prepare Gantt Chart'!AN23=0,0)</f>
        <v>0</v>
      </c>
      <c r="AB34" s="83">
        <f>_xlfn.IFS('Prepare Gantt Chart'!AO23=4,'Project types'!$O24,'Prepare Gantt Chart'!AO23=3,'Project types'!$Q24,'Prepare Gantt Chart'!AO23=0,0)</f>
        <v>0</v>
      </c>
      <c r="AC34" s="93">
        <f t="shared" si="0"/>
        <v>0</v>
      </c>
      <c r="AD34" s="86">
        <f>_xlfn.IFS('Prepare Gantt Chart'!P23=4,'Project types'!$L24,'Prepare Gantt Chart'!P23=3,'Project types'!$L24,'Prepare Gantt Chart'!P23=0,0)</f>
        <v>0</v>
      </c>
      <c r="AE34" s="83">
        <f>_xlfn.IFS('Prepare Gantt Chart'!Q23=4,'Project types'!$L24,'Prepare Gantt Chart'!Q23=3,'Project types'!$L24,'Prepare Gantt Chart'!Q23=0,0)</f>
        <v>0</v>
      </c>
      <c r="AF34" s="83">
        <f>_xlfn.IFS('Prepare Gantt Chart'!R23=4,'Project types'!$L24,'Prepare Gantt Chart'!R23=3,'Project types'!$L24,'Prepare Gantt Chart'!R23=0,0)</f>
        <v>0</v>
      </c>
      <c r="AG34" s="83">
        <f>_xlfn.IFS('Prepare Gantt Chart'!S23=4,'Project types'!$L24,'Prepare Gantt Chart'!S23=3,'Project types'!$L24,'Prepare Gantt Chart'!S23=0,0)</f>
        <v>0</v>
      </c>
      <c r="AH34" s="83">
        <f>_xlfn.IFS('Prepare Gantt Chart'!T23=4,'Project types'!$L24,'Prepare Gantt Chart'!T23=3,'Project types'!$L24,'Prepare Gantt Chart'!T23=0,0)</f>
        <v>0</v>
      </c>
      <c r="AI34" s="83">
        <f>_xlfn.IFS('Prepare Gantt Chart'!U23=4,'Project types'!$L24,'Prepare Gantt Chart'!U23=3,'Project types'!$L24,'Prepare Gantt Chart'!U23=0,0)</f>
        <v>0</v>
      </c>
      <c r="AJ34" s="83">
        <f>_xlfn.IFS('Prepare Gantt Chart'!V23=4,'Project types'!$L24,'Prepare Gantt Chart'!V23=3,'Project types'!$L24,'Prepare Gantt Chart'!V23=0,0)</f>
        <v>0</v>
      </c>
      <c r="AK34" s="83">
        <f>_xlfn.IFS('Prepare Gantt Chart'!W23=4,'Project types'!$L24,'Prepare Gantt Chart'!W23=3,'Project types'!$L24,'Prepare Gantt Chart'!W23=0,0)</f>
        <v>0</v>
      </c>
      <c r="AL34" s="83">
        <f>_xlfn.IFS('Prepare Gantt Chart'!X23=4,'Project types'!$L24,'Prepare Gantt Chart'!X23=3,'Project types'!$L24,'Prepare Gantt Chart'!X23=0,0)</f>
        <v>0</v>
      </c>
      <c r="AM34" s="83">
        <f>_xlfn.IFS('Prepare Gantt Chart'!Y23=4,'Project types'!$L24,'Prepare Gantt Chart'!Y23=3,'Project types'!$L24,'Prepare Gantt Chart'!Y23=0,0)</f>
        <v>0</v>
      </c>
      <c r="AN34" s="83">
        <f>_xlfn.IFS('Prepare Gantt Chart'!Z23=4,'Project types'!$L24,'Prepare Gantt Chart'!Z23=3,'Project types'!$L24,'Prepare Gantt Chart'!Z23=0,0)</f>
        <v>0</v>
      </c>
      <c r="AO34" s="83">
        <f>_xlfn.IFS('Prepare Gantt Chart'!AA23=4,'Project types'!$L24,'Prepare Gantt Chart'!AA23=3,'Project types'!$L24,'Prepare Gantt Chart'!AA23=0,0)</f>
        <v>0</v>
      </c>
      <c r="AP34" s="83">
        <f>_xlfn.IFS('Prepare Gantt Chart'!AB23=4,'Project types'!$L24,'Prepare Gantt Chart'!AB23=3,'Project types'!$L24,'Prepare Gantt Chart'!AB23=0,0)</f>
        <v>0</v>
      </c>
      <c r="AQ34" s="83">
        <f>_xlfn.IFS('Prepare Gantt Chart'!AC23=4,'Project types'!$L24,'Prepare Gantt Chart'!AC23=3,'Project types'!$L24,'Prepare Gantt Chart'!AC23=0,0)</f>
        <v>0</v>
      </c>
      <c r="AR34" s="83">
        <f>_xlfn.IFS('Prepare Gantt Chart'!AD23=4,'Project types'!$L24,'Prepare Gantt Chart'!AD23=3,'Project types'!$L24,'Prepare Gantt Chart'!AD23=0,0)</f>
        <v>0</v>
      </c>
      <c r="AS34" s="83">
        <f>_xlfn.IFS('Prepare Gantt Chart'!AE23=4,'Project types'!$L24,'Prepare Gantt Chart'!AE23=3,'Project types'!$L24,'Prepare Gantt Chart'!AE23=0,0)</f>
        <v>0</v>
      </c>
      <c r="AT34" s="83">
        <f>_xlfn.IFS('Prepare Gantt Chart'!AF23=4,'Project types'!$L24,'Prepare Gantt Chart'!AF23=3,'Project types'!$L24,'Prepare Gantt Chart'!AF23=0,0)</f>
        <v>0</v>
      </c>
      <c r="AU34" s="83">
        <f>_xlfn.IFS('Prepare Gantt Chart'!AG23=4,'Project types'!$L24,'Prepare Gantt Chart'!AG23=3,'Project types'!$L24,'Prepare Gantt Chart'!AG23=0,0)</f>
        <v>0</v>
      </c>
      <c r="AV34" s="83">
        <f>_xlfn.IFS('Prepare Gantt Chart'!AH23=4,'Project types'!$L24,'Prepare Gantt Chart'!AH23=3,'Project types'!$L24,'Prepare Gantt Chart'!AH23=0,0)</f>
        <v>0</v>
      </c>
      <c r="AW34" s="83">
        <f>_xlfn.IFS('Prepare Gantt Chart'!AI23=4,'Project types'!$L24,'Prepare Gantt Chart'!AI23=3,'Project types'!$L24,'Prepare Gantt Chart'!AI23=0,0)</f>
        <v>0</v>
      </c>
      <c r="AX34" s="83">
        <f>_xlfn.IFS('Prepare Gantt Chart'!AJ23=4,'Project types'!$L24,'Prepare Gantt Chart'!AJ23=3,'Project types'!$L24,'Prepare Gantt Chart'!AJ23=0,0)</f>
        <v>0</v>
      </c>
      <c r="AY34" s="83">
        <f>_xlfn.IFS('Prepare Gantt Chart'!AK23=4,'Project types'!$L24,'Prepare Gantt Chart'!AK23=3,'Project types'!$L24,'Prepare Gantt Chart'!AK23=0,0)</f>
        <v>0</v>
      </c>
      <c r="AZ34" s="83">
        <f>_xlfn.IFS('Prepare Gantt Chart'!AL23=4,'Project types'!$L24,'Prepare Gantt Chart'!AL23=3,'Project types'!$L24,'Prepare Gantt Chart'!AL23=0,0)</f>
        <v>0</v>
      </c>
      <c r="BA34" s="83">
        <f>_xlfn.IFS('Prepare Gantt Chart'!AM23=4,'Project types'!$L24,'Prepare Gantt Chart'!AM23=3,'Project types'!$L24,'Prepare Gantt Chart'!AM23=0,0)</f>
        <v>0</v>
      </c>
      <c r="BB34" s="83">
        <f>_xlfn.IFS('Prepare Gantt Chart'!AN23=4,'Project types'!$L24,'Prepare Gantt Chart'!AN23=3,'Project types'!$L24,'Prepare Gantt Chart'!AN23=0,0)</f>
        <v>0</v>
      </c>
      <c r="BC34" s="83">
        <f>_xlfn.IFS('Prepare Gantt Chart'!AO23=4,'Project types'!$L24,'Prepare Gantt Chart'!AO23=3,'Project types'!$L24,'Prepare Gantt Chart'!AO23=0,0)</f>
        <v>0</v>
      </c>
      <c r="BD34" s="91">
        <f t="shared" si="1"/>
        <v>0</v>
      </c>
      <c r="CI34" s="85"/>
      <c r="GY34" s="85"/>
    </row>
    <row r="35" spans="1:207" x14ac:dyDescent="0.2">
      <c r="A35" s="1" t="s">
        <v>390</v>
      </c>
      <c r="B35" s="21" t="s">
        <v>24</v>
      </c>
      <c r="C35" s="83">
        <f>_xlfn.IFS('Prepare Gantt Chart'!P24=4,'Project types'!$O25,'Prepare Gantt Chart'!P24=3,'Project types'!$Q25,'Prepare Gantt Chart'!P24=0,0)</f>
        <v>0</v>
      </c>
      <c r="D35" s="83">
        <f>_xlfn.IFS('Prepare Gantt Chart'!Q24=4,'Project types'!$O25,'Prepare Gantt Chart'!Q24=3,'Project types'!$Q25,'Prepare Gantt Chart'!Q24=0,0)</f>
        <v>0</v>
      </c>
      <c r="E35" s="83">
        <f>_xlfn.IFS('Prepare Gantt Chart'!R24=4,'Project types'!$O25,'Prepare Gantt Chart'!R24=3,'Project types'!$Q25,'Prepare Gantt Chart'!R24=0,0)</f>
        <v>0</v>
      </c>
      <c r="F35" s="83">
        <f>_xlfn.IFS('Prepare Gantt Chart'!S24=4,'Project types'!$O25,'Prepare Gantt Chart'!S24=3,'Project types'!$Q25,'Prepare Gantt Chart'!S24=0,0)</f>
        <v>0</v>
      </c>
      <c r="G35" s="83">
        <f>_xlfn.IFS('Prepare Gantt Chart'!T24=4,'Project types'!$O25,'Prepare Gantt Chart'!T24=3,'Project types'!$Q25,'Prepare Gantt Chart'!T24=0,0)</f>
        <v>0</v>
      </c>
      <c r="H35" s="83">
        <f>_xlfn.IFS('Prepare Gantt Chart'!U24=4,'Project types'!$O25,'Prepare Gantt Chart'!U24=3,'Project types'!$Q25,'Prepare Gantt Chart'!U24=0,0)</f>
        <v>0</v>
      </c>
      <c r="I35" s="83">
        <f>_xlfn.IFS('Prepare Gantt Chart'!V24=4,'Project types'!$O25,'Prepare Gantt Chart'!V24=3,'Project types'!$Q25,'Prepare Gantt Chart'!V24=0,0)</f>
        <v>0</v>
      </c>
      <c r="J35" s="83">
        <f>_xlfn.IFS('Prepare Gantt Chart'!W24=4,'Project types'!$O25,'Prepare Gantt Chart'!W24=3,'Project types'!$Q25,'Prepare Gantt Chart'!W24=0,0)</f>
        <v>0</v>
      </c>
      <c r="K35" s="83">
        <f>_xlfn.IFS('Prepare Gantt Chart'!X24=4,'Project types'!$O25,'Prepare Gantt Chart'!X24=3,'Project types'!$Q25,'Prepare Gantt Chart'!X24=0,0)</f>
        <v>0</v>
      </c>
      <c r="L35" s="83">
        <f>_xlfn.IFS('Prepare Gantt Chart'!Y24=4,'Project types'!$O25,'Prepare Gantt Chart'!Y24=3,'Project types'!$Q25,'Prepare Gantt Chart'!Y24=0,0)</f>
        <v>0</v>
      </c>
      <c r="M35" s="83">
        <f>_xlfn.IFS('Prepare Gantt Chart'!Z24=4,'Project types'!$O25,'Prepare Gantt Chart'!Z24=3,'Project types'!$Q25,'Prepare Gantt Chart'!Z24=0,0)</f>
        <v>0</v>
      </c>
      <c r="N35" s="83">
        <f>_xlfn.IFS('Prepare Gantt Chart'!AA24=4,'Project types'!$O25,'Prepare Gantt Chart'!AA24=3,'Project types'!$Q25,'Prepare Gantt Chart'!AA24=0,0)</f>
        <v>0</v>
      </c>
      <c r="O35" s="83">
        <f>_xlfn.IFS('Prepare Gantt Chart'!AB24=4,'Project types'!$O25,'Prepare Gantt Chart'!AB24=3,'Project types'!$Q25,'Prepare Gantt Chart'!AB24=0,0)</f>
        <v>0</v>
      </c>
      <c r="P35" s="83">
        <f>_xlfn.IFS('Prepare Gantt Chart'!AC24=4,'Project types'!$O25,'Prepare Gantt Chart'!AC24=3,'Project types'!$Q25,'Prepare Gantt Chart'!AC24=0,0)</f>
        <v>0</v>
      </c>
      <c r="Q35" s="83">
        <f>_xlfn.IFS('Prepare Gantt Chart'!AD24=4,'Project types'!$O25,'Prepare Gantt Chart'!AD24=3,'Project types'!$Q25,'Prepare Gantt Chart'!AD24=0,0)</f>
        <v>0</v>
      </c>
      <c r="R35" s="83">
        <f>_xlfn.IFS('Prepare Gantt Chart'!AE24=4,'Project types'!$O25,'Prepare Gantt Chart'!AE24=3,'Project types'!$Q25,'Prepare Gantt Chart'!AE24=0,0)</f>
        <v>0</v>
      </c>
      <c r="S35" s="83">
        <f>_xlfn.IFS('Prepare Gantt Chart'!AF24=4,'Project types'!$O25,'Prepare Gantt Chart'!AF24=3,'Project types'!$Q25,'Prepare Gantt Chart'!AF24=0,0)</f>
        <v>0</v>
      </c>
      <c r="T35" s="83">
        <f>_xlfn.IFS('Prepare Gantt Chart'!AG24=4,'Project types'!$O25,'Prepare Gantt Chart'!AG24=3,'Project types'!$Q25,'Prepare Gantt Chart'!AG24=0,0)</f>
        <v>0</v>
      </c>
      <c r="U35" s="83">
        <f>_xlfn.IFS('Prepare Gantt Chart'!AH24=4,'Project types'!$O25,'Prepare Gantt Chart'!AH24=3,'Project types'!$Q25,'Prepare Gantt Chart'!AH24=0,0)</f>
        <v>0</v>
      </c>
      <c r="V35" s="83">
        <f>_xlfn.IFS('Prepare Gantt Chart'!AI24=4,'Project types'!$O25,'Prepare Gantt Chart'!AI24=3,'Project types'!$Q25,'Prepare Gantt Chart'!AI24=0,0)</f>
        <v>0</v>
      </c>
      <c r="W35" s="83">
        <f>_xlfn.IFS('Prepare Gantt Chart'!AJ24=4,'Project types'!$O25,'Prepare Gantt Chart'!AJ24=3,'Project types'!$Q25,'Prepare Gantt Chart'!AJ24=0,0)</f>
        <v>0</v>
      </c>
      <c r="X35" s="83">
        <f>_xlfn.IFS('Prepare Gantt Chart'!AK24=4,'Project types'!$O25,'Prepare Gantt Chart'!AK24=3,'Project types'!$Q25,'Prepare Gantt Chart'!AK24=0,0)</f>
        <v>0</v>
      </c>
      <c r="Y35" s="83">
        <f>_xlfn.IFS('Prepare Gantt Chart'!AL24=4,'Project types'!$O25,'Prepare Gantt Chart'!AL24=3,'Project types'!$Q25,'Prepare Gantt Chart'!AL24=0,0)</f>
        <v>0</v>
      </c>
      <c r="Z35" s="83">
        <f>_xlfn.IFS('Prepare Gantt Chart'!AM24=4,'Project types'!$O25,'Prepare Gantt Chart'!AM24=3,'Project types'!$Q25,'Prepare Gantt Chart'!AM24=0,0)</f>
        <v>0</v>
      </c>
      <c r="AA35" s="83">
        <f>_xlfn.IFS('Prepare Gantt Chart'!AN24=4,'Project types'!$O25,'Prepare Gantt Chart'!AN24=3,'Project types'!$Q25,'Prepare Gantt Chart'!AN24=0,0)</f>
        <v>0</v>
      </c>
      <c r="AB35" s="83">
        <f>_xlfn.IFS('Prepare Gantt Chart'!AO24=4,'Project types'!$O25,'Prepare Gantt Chart'!AO24=3,'Project types'!$Q25,'Prepare Gantt Chart'!AO24=0,0)</f>
        <v>0</v>
      </c>
      <c r="AC35" s="93">
        <f t="shared" si="0"/>
        <v>0</v>
      </c>
      <c r="AD35" s="86">
        <f>_xlfn.IFS('Prepare Gantt Chart'!P24=4,'Project types'!$L25,'Prepare Gantt Chart'!P24=3,'Project types'!$L25,'Prepare Gantt Chart'!P24=0,0)</f>
        <v>0</v>
      </c>
      <c r="AE35" s="83">
        <f>_xlfn.IFS('Prepare Gantt Chart'!Q24=4,'Project types'!$L25,'Prepare Gantt Chart'!Q24=3,'Project types'!$L25,'Prepare Gantt Chart'!Q24=0,0)</f>
        <v>0</v>
      </c>
      <c r="AF35" s="83">
        <f>_xlfn.IFS('Prepare Gantt Chart'!R24=4,'Project types'!$L25,'Prepare Gantt Chart'!R24=3,'Project types'!$L25,'Prepare Gantt Chart'!R24=0,0)</f>
        <v>0</v>
      </c>
      <c r="AG35" s="83">
        <f>_xlfn.IFS('Prepare Gantt Chart'!S24=4,'Project types'!$L25,'Prepare Gantt Chart'!S24=3,'Project types'!$L25,'Prepare Gantt Chart'!S24=0,0)</f>
        <v>0</v>
      </c>
      <c r="AH35" s="83">
        <f>_xlfn.IFS('Prepare Gantt Chart'!T24=4,'Project types'!$L25,'Prepare Gantt Chart'!T24=3,'Project types'!$L25,'Prepare Gantt Chart'!T24=0,0)</f>
        <v>0</v>
      </c>
      <c r="AI35" s="83">
        <f>_xlfn.IFS('Prepare Gantt Chart'!U24=4,'Project types'!$L25,'Prepare Gantt Chart'!U24=3,'Project types'!$L25,'Prepare Gantt Chart'!U24=0,0)</f>
        <v>0</v>
      </c>
      <c r="AJ35" s="83">
        <f>_xlfn.IFS('Prepare Gantt Chart'!V24=4,'Project types'!$L25,'Prepare Gantt Chart'!V24=3,'Project types'!$L25,'Prepare Gantt Chart'!V24=0,0)</f>
        <v>0</v>
      </c>
      <c r="AK35" s="83">
        <f>_xlfn.IFS('Prepare Gantt Chart'!W24=4,'Project types'!$L25,'Prepare Gantt Chart'!W24=3,'Project types'!$L25,'Prepare Gantt Chart'!W24=0,0)</f>
        <v>0</v>
      </c>
      <c r="AL35" s="83">
        <f>_xlfn.IFS('Prepare Gantt Chart'!X24=4,'Project types'!$L25,'Prepare Gantt Chart'!X24=3,'Project types'!$L25,'Prepare Gantt Chart'!X24=0,0)</f>
        <v>0</v>
      </c>
      <c r="AM35" s="83">
        <f>_xlfn.IFS('Prepare Gantt Chart'!Y24=4,'Project types'!$L25,'Prepare Gantt Chart'!Y24=3,'Project types'!$L25,'Prepare Gantt Chart'!Y24=0,0)</f>
        <v>0</v>
      </c>
      <c r="AN35" s="83">
        <f>_xlfn.IFS('Prepare Gantt Chart'!Z24=4,'Project types'!$L25,'Prepare Gantt Chart'!Z24=3,'Project types'!$L25,'Prepare Gantt Chart'!Z24=0,0)</f>
        <v>0</v>
      </c>
      <c r="AO35" s="83">
        <f>_xlfn.IFS('Prepare Gantt Chart'!AA24=4,'Project types'!$L25,'Prepare Gantt Chart'!AA24=3,'Project types'!$L25,'Prepare Gantt Chart'!AA24=0,0)</f>
        <v>0</v>
      </c>
      <c r="AP35" s="83">
        <f>_xlfn.IFS('Prepare Gantt Chart'!AB24=4,'Project types'!$L25,'Prepare Gantt Chart'!AB24=3,'Project types'!$L25,'Prepare Gantt Chart'!AB24=0,0)</f>
        <v>0</v>
      </c>
      <c r="AQ35" s="83">
        <f>_xlfn.IFS('Prepare Gantt Chart'!AC24=4,'Project types'!$L25,'Prepare Gantt Chart'!AC24=3,'Project types'!$L25,'Prepare Gantt Chart'!AC24=0,0)</f>
        <v>0</v>
      </c>
      <c r="AR35" s="83">
        <f>_xlfn.IFS('Prepare Gantt Chart'!AD24=4,'Project types'!$L25,'Prepare Gantt Chart'!AD24=3,'Project types'!$L25,'Prepare Gantt Chart'!AD24=0,0)</f>
        <v>0</v>
      </c>
      <c r="AS35" s="83">
        <f>_xlfn.IFS('Prepare Gantt Chart'!AE24=4,'Project types'!$L25,'Prepare Gantt Chart'!AE24=3,'Project types'!$L25,'Prepare Gantt Chart'!AE24=0,0)</f>
        <v>0</v>
      </c>
      <c r="AT35" s="83">
        <f>_xlfn.IFS('Prepare Gantt Chart'!AF24=4,'Project types'!$L25,'Prepare Gantt Chart'!AF24=3,'Project types'!$L25,'Prepare Gantt Chart'!AF24=0,0)</f>
        <v>0</v>
      </c>
      <c r="AU35" s="83">
        <f>_xlfn.IFS('Prepare Gantt Chart'!AG24=4,'Project types'!$L25,'Prepare Gantt Chart'!AG24=3,'Project types'!$L25,'Prepare Gantt Chart'!AG24=0,0)</f>
        <v>0</v>
      </c>
      <c r="AV35" s="83">
        <f>_xlfn.IFS('Prepare Gantt Chart'!AH24=4,'Project types'!$L25,'Prepare Gantt Chart'!AH24=3,'Project types'!$L25,'Prepare Gantt Chart'!AH24=0,0)</f>
        <v>0</v>
      </c>
      <c r="AW35" s="83">
        <f>_xlfn.IFS('Prepare Gantt Chart'!AI24=4,'Project types'!$L25,'Prepare Gantt Chart'!AI24=3,'Project types'!$L25,'Prepare Gantt Chart'!AI24=0,0)</f>
        <v>0</v>
      </c>
      <c r="AX35" s="83">
        <f>_xlfn.IFS('Prepare Gantt Chart'!AJ24=4,'Project types'!$L25,'Prepare Gantt Chart'!AJ24=3,'Project types'!$L25,'Prepare Gantt Chart'!AJ24=0,0)</f>
        <v>0</v>
      </c>
      <c r="AY35" s="83">
        <f>_xlfn.IFS('Prepare Gantt Chart'!AK24=4,'Project types'!$L25,'Prepare Gantt Chart'!AK24=3,'Project types'!$L25,'Prepare Gantt Chart'!AK24=0,0)</f>
        <v>0</v>
      </c>
      <c r="AZ35" s="83">
        <f>_xlfn.IFS('Prepare Gantt Chart'!AL24=4,'Project types'!$L25,'Prepare Gantt Chart'!AL24=3,'Project types'!$L25,'Prepare Gantt Chart'!AL24=0,0)</f>
        <v>0</v>
      </c>
      <c r="BA35" s="83">
        <f>_xlfn.IFS('Prepare Gantt Chart'!AM24=4,'Project types'!$L25,'Prepare Gantt Chart'!AM24=3,'Project types'!$L25,'Prepare Gantt Chart'!AM24=0,0)</f>
        <v>0</v>
      </c>
      <c r="BB35" s="83">
        <f>_xlfn.IFS('Prepare Gantt Chart'!AN24=4,'Project types'!$L25,'Prepare Gantt Chart'!AN24=3,'Project types'!$L25,'Prepare Gantt Chart'!AN24=0,0)</f>
        <v>0</v>
      </c>
      <c r="BC35" s="83">
        <f>_xlfn.IFS('Prepare Gantt Chart'!AO24=4,'Project types'!$L25,'Prepare Gantt Chart'!AO24=3,'Project types'!$L25,'Prepare Gantt Chart'!AO24=0,0)</f>
        <v>0</v>
      </c>
      <c r="BD35" s="91">
        <f t="shared" si="1"/>
        <v>0</v>
      </c>
      <c r="CI35" s="85"/>
      <c r="GY35" s="85"/>
    </row>
    <row r="36" spans="1:207" x14ac:dyDescent="0.2">
      <c r="A36" s="1" t="s">
        <v>123</v>
      </c>
      <c r="B36" s="21" t="s">
        <v>25</v>
      </c>
      <c r="C36" s="83">
        <f>_xlfn.IFS('Prepare Gantt Chart'!P25=4,'Project types'!$O26,'Prepare Gantt Chart'!P25=3,'Project types'!$Q26,'Prepare Gantt Chart'!P25=0,0)</f>
        <v>0</v>
      </c>
      <c r="D36" s="83">
        <f>_xlfn.IFS('Prepare Gantt Chart'!Q25=4,'Project types'!$O26,'Prepare Gantt Chart'!Q25=3,'Project types'!$Q26,'Prepare Gantt Chart'!Q25=0,0)</f>
        <v>0</v>
      </c>
      <c r="E36" s="83">
        <f>_xlfn.IFS('Prepare Gantt Chart'!R25=4,'Project types'!$O26,'Prepare Gantt Chart'!R25=3,'Project types'!$Q26,'Prepare Gantt Chart'!R25=0,0)</f>
        <v>0</v>
      </c>
      <c r="F36" s="83">
        <f>_xlfn.IFS('Prepare Gantt Chart'!S25=4,'Project types'!$O26,'Prepare Gantt Chart'!S25=3,'Project types'!$Q26,'Prepare Gantt Chart'!S25=0,0)</f>
        <v>0</v>
      </c>
      <c r="G36" s="83">
        <f>_xlfn.IFS('Prepare Gantt Chart'!T25=4,'Project types'!$O26,'Prepare Gantt Chart'!T25=3,'Project types'!$Q26,'Prepare Gantt Chart'!T25=0,0)</f>
        <v>0</v>
      </c>
      <c r="H36" s="83">
        <f>_xlfn.IFS('Prepare Gantt Chart'!U25=4,'Project types'!$O26,'Prepare Gantt Chart'!U25=3,'Project types'!$Q26,'Prepare Gantt Chart'!U25=0,0)</f>
        <v>0</v>
      </c>
      <c r="I36" s="83">
        <f>_xlfn.IFS('Prepare Gantt Chart'!V25=4,'Project types'!$O26,'Prepare Gantt Chart'!V25=3,'Project types'!$Q26,'Prepare Gantt Chart'!V25=0,0)</f>
        <v>0</v>
      </c>
      <c r="J36" s="83">
        <f>_xlfn.IFS('Prepare Gantt Chart'!W25=4,'Project types'!$O26,'Prepare Gantt Chart'!W25=3,'Project types'!$Q26,'Prepare Gantt Chart'!W25=0,0)</f>
        <v>0</v>
      </c>
      <c r="K36" s="83">
        <f>_xlfn.IFS('Prepare Gantt Chart'!X25=4,'Project types'!$O26,'Prepare Gantt Chart'!X25=3,'Project types'!$Q26,'Prepare Gantt Chart'!X25=0,0)</f>
        <v>0</v>
      </c>
      <c r="L36" s="83">
        <f>_xlfn.IFS('Prepare Gantt Chart'!Y25=4,'Project types'!$O26,'Prepare Gantt Chart'!Y25=3,'Project types'!$Q26,'Prepare Gantt Chart'!Y25=0,0)</f>
        <v>0</v>
      </c>
      <c r="M36" s="83">
        <f>_xlfn.IFS('Prepare Gantt Chart'!Z25=4,'Project types'!$O26,'Prepare Gantt Chart'!Z25=3,'Project types'!$Q26,'Prepare Gantt Chart'!Z25=0,0)</f>
        <v>0</v>
      </c>
      <c r="N36" s="83">
        <f>_xlfn.IFS('Prepare Gantt Chart'!AA25=4,'Project types'!$O26,'Prepare Gantt Chart'!AA25=3,'Project types'!$Q26,'Prepare Gantt Chart'!AA25=0,0)</f>
        <v>0</v>
      </c>
      <c r="O36" s="83">
        <f>_xlfn.IFS('Prepare Gantt Chart'!AB25=4,'Project types'!$O26,'Prepare Gantt Chart'!AB25=3,'Project types'!$Q26,'Prepare Gantt Chart'!AB25=0,0)</f>
        <v>0</v>
      </c>
      <c r="P36" s="83">
        <f>_xlfn.IFS('Prepare Gantt Chart'!AC25=4,'Project types'!$O26,'Prepare Gantt Chart'!AC25=3,'Project types'!$Q26,'Prepare Gantt Chart'!AC25=0,0)</f>
        <v>0</v>
      </c>
      <c r="Q36" s="83">
        <f>_xlfn.IFS('Prepare Gantt Chart'!AD25=4,'Project types'!$O26,'Prepare Gantt Chart'!AD25=3,'Project types'!$Q26,'Prepare Gantt Chart'!AD25=0,0)</f>
        <v>0</v>
      </c>
      <c r="R36" s="83">
        <f>_xlfn.IFS('Prepare Gantt Chart'!AE25=4,'Project types'!$O26,'Prepare Gantt Chart'!AE25=3,'Project types'!$Q26,'Prepare Gantt Chart'!AE25=0,0)</f>
        <v>0</v>
      </c>
      <c r="S36" s="83">
        <f>_xlfn.IFS('Prepare Gantt Chart'!AF25=4,'Project types'!$O26,'Prepare Gantt Chart'!AF25=3,'Project types'!$Q26,'Prepare Gantt Chart'!AF25=0,0)</f>
        <v>0</v>
      </c>
      <c r="T36" s="83">
        <f>_xlfn.IFS('Prepare Gantt Chart'!AG25=4,'Project types'!$O26,'Prepare Gantt Chart'!AG25=3,'Project types'!$Q26,'Prepare Gantt Chart'!AG25=0,0)</f>
        <v>0</v>
      </c>
      <c r="U36" s="83">
        <f>_xlfn.IFS('Prepare Gantt Chart'!AH25=4,'Project types'!$O26,'Prepare Gantt Chart'!AH25=3,'Project types'!$Q26,'Prepare Gantt Chart'!AH25=0,0)</f>
        <v>0</v>
      </c>
      <c r="V36" s="83">
        <f>_xlfn.IFS('Prepare Gantt Chart'!AI25=4,'Project types'!$O26,'Prepare Gantt Chart'!AI25=3,'Project types'!$Q26,'Prepare Gantt Chart'!AI25=0,0)</f>
        <v>0</v>
      </c>
      <c r="W36" s="83">
        <f>_xlfn.IFS('Prepare Gantt Chart'!AJ25=4,'Project types'!$O26,'Prepare Gantt Chart'!AJ25=3,'Project types'!$Q26,'Prepare Gantt Chart'!AJ25=0,0)</f>
        <v>0</v>
      </c>
      <c r="X36" s="83">
        <f>_xlfn.IFS('Prepare Gantt Chart'!AK25=4,'Project types'!$O26,'Prepare Gantt Chart'!AK25=3,'Project types'!$Q26,'Prepare Gantt Chart'!AK25=0,0)</f>
        <v>0</v>
      </c>
      <c r="Y36" s="83">
        <f>_xlfn.IFS('Prepare Gantt Chart'!AL25=4,'Project types'!$O26,'Prepare Gantt Chart'!AL25=3,'Project types'!$Q26,'Prepare Gantt Chart'!AL25=0,0)</f>
        <v>0</v>
      </c>
      <c r="Z36" s="83">
        <f>_xlfn.IFS('Prepare Gantt Chart'!AM25=4,'Project types'!$O26,'Prepare Gantt Chart'!AM25=3,'Project types'!$Q26,'Prepare Gantt Chart'!AM25=0,0)</f>
        <v>0</v>
      </c>
      <c r="AA36" s="83">
        <f>_xlfn.IFS('Prepare Gantt Chart'!AN25=4,'Project types'!$O26,'Prepare Gantt Chart'!AN25=3,'Project types'!$Q26,'Prepare Gantt Chart'!AN25=0,0)</f>
        <v>0</v>
      </c>
      <c r="AB36" s="83">
        <f>_xlfn.IFS('Prepare Gantt Chart'!AO25=4,'Project types'!$O26,'Prepare Gantt Chart'!AO25=3,'Project types'!$Q26,'Prepare Gantt Chart'!AO25=0,0)</f>
        <v>0</v>
      </c>
      <c r="AC36" s="93">
        <f t="shared" si="0"/>
        <v>0</v>
      </c>
      <c r="AD36" s="86">
        <f>_xlfn.IFS('Prepare Gantt Chart'!P25=4,'Project types'!$L26,'Prepare Gantt Chart'!P25=3,'Project types'!$L26,'Prepare Gantt Chart'!P25=0,0)</f>
        <v>0</v>
      </c>
      <c r="AE36" s="83">
        <f>_xlfn.IFS('Prepare Gantt Chart'!Q25=4,'Project types'!$L26,'Prepare Gantt Chart'!Q25=3,'Project types'!$L26,'Prepare Gantt Chart'!Q25=0,0)</f>
        <v>0</v>
      </c>
      <c r="AF36" s="83">
        <f>_xlfn.IFS('Prepare Gantt Chart'!R25=4,'Project types'!$L26,'Prepare Gantt Chart'!R25=3,'Project types'!$L26,'Prepare Gantt Chart'!R25=0,0)</f>
        <v>0</v>
      </c>
      <c r="AG36" s="83">
        <f>_xlfn.IFS('Prepare Gantt Chart'!S25=4,'Project types'!$L26,'Prepare Gantt Chart'!S25=3,'Project types'!$L26,'Prepare Gantt Chart'!S25=0,0)</f>
        <v>0</v>
      </c>
      <c r="AH36" s="83">
        <f>_xlfn.IFS('Prepare Gantt Chart'!T25=4,'Project types'!$L26,'Prepare Gantt Chart'!T25=3,'Project types'!$L26,'Prepare Gantt Chart'!T25=0,0)</f>
        <v>0</v>
      </c>
      <c r="AI36" s="83">
        <f>_xlfn.IFS('Prepare Gantt Chart'!U25=4,'Project types'!$L26,'Prepare Gantt Chart'!U25=3,'Project types'!$L26,'Prepare Gantt Chart'!U25=0,0)</f>
        <v>0</v>
      </c>
      <c r="AJ36" s="83">
        <f>_xlfn.IFS('Prepare Gantt Chart'!V25=4,'Project types'!$L26,'Prepare Gantt Chart'!V25=3,'Project types'!$L26,'Prepare Gantt Chart'!V25=0,0)</f>
        <v>0</v>
      </c>
      <c r="AK36" s="83">
        <f>_xlfn.IFS('Prepare Gantt Chart'!W25=4,'Project types'!$L26,'Prepare Gantt Chart'!W25=3,'Project types'!$L26,'Prepare Gantt Chart'!W25=0,0)</f>
        <v>0</v>
      </c>
      <c r="AL36" s="83">
        <f>_xlfn.IFS('Prepare Gantt Chart'!X25=4,'Project types'!$L26,'Prepare Gantt Chart'!X25=3,'Project types'!$L26,'Prepare Gantt Chart'!X25=0,0)</f>
        <v>0</v>
      </c>
      <c r="AM36" s="83">
        <f>_xlfn.IFS('Prepare Gantt Chart'!Y25=4,'Project types'!$L26,'Prepare Gantt Chart'!Y25=3,'Project types'!$L26,'Prepare Gantt Chart'!Y25=0,0)</f>
        <v>0</v>
      </c>
      <c r="AN36" s="83">
        <f>_xlfn.IFS('Prepare Gantt Chart'!Z25=4,'Project types'!$L26,'Prepare Gantt Chart'!Z25=3,'Project types'!$L26,'Prepare Gantt Chart'!Z25=0,0)</f>
        <v>0</v>
      </c>
      <c r="AO36" s="83">
        <f>_xlfn.IFS('Prepare Gantt Chart'!AA25=4,'Project types'!$L26,'Prepare Gantt Chart'!AA25=3,'Project types'!$L26,'Prepare Gantt Chart'!AA25=0,0)</f>
        <v>0</v>
      </c>
      <c r="AP36" s="83">
        <f>_xlfn.IFS('Prepare Gantt Chart'!AB25=4,'Project types'!$L26,'Prepare Gantt Chart'!AB25=3,'Project types'!$L26,'Prepare Gantt Chart'!AB25=0,0)</f>
        <v>0</v>
      </c>
      <c r="AQ36" s="83">
        <f>_xlfn.IFS('Prepare Gantt Chart'!AC25=4,'Project types'!$L26,'Prepare Gantt Chart'!AC25=3,'Project types'!$L26,'Prepare Gantt Chart'!AC25=0,0)</f>
        <v>0</v>
      </c>
      <c r="AR36" s="83">
        <f>_xlfn.IFS('Prepare Gantt Chart'!AD25=4,'Project types'!$L26,'Prepare Gantt Chart'!AD25=3,'Project types'!$L26,'Prepare Gantt Chart'!AD25=0,0)</f>
        <v>0</v>
      </c>
      <c r="AS36" s="83">
        <f>_xlfn.IFS('Prepare Gantt Chart'!AE25=4,'Project types'!$L26,'Prepare Gantt Chart'!AE25=3,'Project types'!$L26,'Prepare Gantt Chart'!AE25=0,0)</f>
        <v>0</v>
      </c>
      <c r="AT36" s="83">
        <f>_xlfn.IFS('Prepare Gantt Chart'!AF25=4,'Project types'!$L26,'Prepare Gantt Chart'!AF25=3,'Project types'!$L26,'Prepare Gantt Chart'!AF25=0,0)</f>
        <v>0</v>
      </c>
      <c r="AU36" s="83">
        <f>_xlfn.IFS('Prepare Gantt Chart'!AG25=4,'Project types'!$L26,'Prepare Gantt Chart'!AG25=3,'Project types'!$L26,'Prepare Gantt Chart'!AG25=0,0)</f>
        <v>0</v>
      </c>
      <c r="AV36" s="83">
        <f>_xlfn.IFS('Prepare Gantt Chart'!AH25=4,'Project types'!$L26,'Prepare Gantt Chart'!AH25=3,'Project types'!$L26,'Prepare Gantt Chart'!AH25=0,0)</f>
        <v>0</v>
      </c>
      <c r="AW36" s="83">
        <f>_xlfn.IFS('Prepare Gantt Chart'!AI25=4,'Project types'!$L26,'Prepare Gantt Chart'!AI25=3,'Project types'!$L26,'Prepare Gantt Chart'!AI25=0,0)</f>
        <v>0</v>
      </c>
      <c r="AX36" s="83">
        <f>_xlfn.IFS('Prepare Gantt Chart'!AJ25=4,'Project types'!$L26,'Prepare Gantt Chart'!AJ25=3,'Project types'!$L26,'Prepare Gantt Chart'!AJ25=0,0)</f>
        <v>0</v>
      </c>
      <c r="AY36" s="83">
        <f>_xlfn.IFS('Prepare Gantt Chart'!AK25=4,'Project types'!$L26,'Prepare Gantt Chart'!AK25=3,'Project types'!$L26,'Prepare Gantt Chart'!AK25=0,0)</f>
        <v>0</v>
      </c>
      <c r="AZ36" s="83">
        <f>_xlfn.IFS('Prepare Gantt Chart'!AL25=4,'Project types'!$L26,'Prepare Gantt Chart'!AL25=3,'Project types'!$L26,'Prepare Gantt Chart'!AL25=0,0)</f>
        <v>0</v>
      </c>
      <c r="BA36" s="83">
        <f>_xlfn.IFS('Prepare Gantt Chart'!AM25=4,'Project types'!$L26,'Prepare Gantt Chart'!AM25=3,'Project types'!$L26,'Prepare Gantt Chart'!AM25=0,0)</f>
        <v>0</v>
      </c>
      <c r="BB36" s="83">
        <f>_xlfn.IFS('Prepare Gantt Chart'!AN25=4,'Project types'!$L26,'Prepare Gantt Chart'!AN25=3,'Project types'!$L26,'Prepare Gantt Chart'!AN25=0,0)</f>
        <v>0</v>
      </c>
      <c r="BC36" s="83">
        <f>_xlfn.IFS('Prepare Gantt Chart'!AO25=4,'Project types'!$L26,'Prepare Gantt Chart'!AO25=3,'Project types'!$L26,'Prepare Gantt Chart'!AO25=0,0)</f>
        <v>0</v>
      </c>
      <c r="BD36" s="91">
        <f t="shared" si="1"/>
        <v>0</v>
      </c>
      <c r="CI36" s="85"/>
      <c r="GY36" s="85"/>
    </row>
    <row r="37" spans="1:207" x14ac:dyDescent="0.2">
      <c r="A37" s="1" t="s">
        <v>122</v>
      </c>
      <c r="B37" s="21" t="s">
        <v>26</v>
      </c>
      <c r="C37" s="83">
        <f>_xlfn.IFS('Prepare Gantt Chart'!P26=4,'Project types'!$O27,'Prepare Gantt Chart'!P26=3,'Project types'!$Q27,'Prepare Gantt Chart'!P26=0,0)</f>
        <v>0</v>
      </c>
      <c r="D37" s="83">
        <f>_xlfn.IFS('Prepare Gantt Chart'!Q26=4,'Project types'!$O27,'Prepare Gantt Chart'!Q26=3,'Project types'!$Q27,'Prepare Gantt Chart'!Q26=0,0)</f>
        <v>0</v>
      </c>
      <c r="E37" s="83">
        <f>_xlfn.IFS('Prepare Gantt Chart'!R26=4,'Project types'!$O27,'Prepare Gantt Chart'!R26=3,'Project types'!$Q27,'Prepare Gantt Chart'!R26=0,0)</f>
        <v>0</v>
      </c>
      <c r="F37" s="83">
        <f>_xlfn.IFS('Prepare Gantt Chart'!S26=4,'Project types'!$O27,'Prepare Gantt Chart'!S26=3,'Project types'!$Q27,'Prepare Gantt Chart'!S26=0,0)</f>
        <v>0</v>
      </c>
      <c r="G37" s="83">
        <f>_xlfn.IFS('Prepare Gantt Chart'!T26=4,'Project types'!$O27,'Prepare Gantt Chart'!T26=3,'Project types'!$Q27,'Prepare Gantt Chart'!T26=0,0)</f>
        <v>0</v>
      </c>
      <c r="H37" s="83">
        <f>_xlfn.IFS('Prepare Gantt Chart'!U26=4,'Project types'!$O27,'Prepare Gantt Chart'!U26=3,'Project types'!$Q27,'Prepare Gantt Chart'!U26=0,0)</f>
        <v>0</v>
      </c>
      <c r="I37" s="83">
        <f>_xlfn.IFS('Prepare Gantt Chart'!V26=4,'Project types'!$O27,'Prepare Gantt Chart'!V26=3,'Project types'!$Q27,'Prepare Gantt Chart'!V26=0,0)</f>
        <v>0</v>
      </c>
      <c r="J37" s="83">
        <f>_xlfn.IFS('Prepare Gantt Chart'!W26=4,'Project types'!$O27,'Prepare Gantt Chart'!W26=3,'Project types'!$Q27,'Prepare Gantt Chart'!W26=0,0)</f>
        <v>0</v>
      </c>
      <c r="K37" s="83">
        <f>_xlfn.IFS('Prepare Gantt Chart'!X26=4,'Project types'!$O27,'Prepare Gantt Chart'!X26=3,'Project types'!$Q27,'Prepare Gantt Chart'!X26=0,0)</f>
        <v>0</v>
      </c>
      <c r="L37" s="83">
        <f>_xlfn.IFS('Prepare Gantt Chart'!Y26=4,'Project types'!$O27,'Prepare Gantt Chart'!Y26=3,'Project types'!$Q27,'Prepare Gantt Chart'!Y26=0,0)</f>
        <v>0</v>
      </c>
      <c r="M37" s="83">
        <f>_xlfn.IFS('Prepare Gantt Chart'!Z26=4,'Project types'!$O27,'Prepare Gantt Chart'!Z26=3,'Project types'!$Q27,'Prepare Gantt Chart'!Z26=0,0)</f>
        <v>0</v>
      </c>
      <c r="N37" s="83">
        <f>_xlfn.IFS('Prepare Gantt Chart'!AA26=4,'Project types'!$O27,'Prepare Gantt Chart'!AA26=3,'Project types'!$Q27,'Prepare Gantt Chart'!AA26=0,0)</f>
        <v>0</v>
      </c>
      <c r="O37" s="83">
        <f>_xlfn.IFS('Prepare Gantt Chart'!AB26=4,'Project types'!$O27,'Prepare Gantt Chart'!AB26=3,'Project types'!$Q27,'Prepare Gantt Chart'!AB26=0,0)</f>
        <v>0</v>
      </c>
      <c r="P37" s="83">
        <f>_xlfn.IFS('Prepare Gantt Chart'!AC26=4,'Project types'!$O27,'Prepare Gantt Chart'!AC26=3,'Project types'!$Q27,'Prepare Gantt Chart'!AC26=0,0)</f>
        <v>0</v>
      </c>
      <c r="Q37" s="83">
        <f>_xlfn.IFS('Prepare Gantt Chart'!AD26=4,'Project types'!$O27,'Prepare Gantt Chart'!AD26=3,'Project types'!$Q27,'Prepare Gantt Chart'!AD26=0,0)</f>
        <v>0</v>
      </c>
      <c r="R37" s="83">
        <f>_xlfn.IFS('Prepare Gantt Chart'!AE26=4,'Project types'!$O27,'Prepare Gantt Chart'!AE26=3,'Project types'!$Q27,'Prepare Gantt Chart'!AE26=0,0)</f>
        <v>0</v>
      </c>
      <c r="S37" s="83">
        <f>_xlfn.IFS('Prepare Gantt Chart'!AF26=4,'Project types'!$O27,'Prepare Gantt Chart'!AF26=3,'Project types'!$Q27,'Prepare Gantt Chart'!AF26=0,0)</f>
        <v>0</v>
      </c>
      <c r="T37" s="83">
        <f>_xlfn.IFS('Prepare Gantt Chart'!AG26=4,'Project types'!$O27,'Prepare Gantt Chart'!AG26=3,'Project types'!$Q27,'Prepare Gantt Chart'!AG26=0,0)</f>
        <v>0</v>
      </c>
      <c r="U37" s="83">
        <f>_xlfn.IFS('Prepare Gantt Chart'!AH26=4,'Project types'!$O27,'Prepare Gantt Chart'!AH26=3,'Project types'!$Q27,'Prepare Gantt Chart'!AH26=0,0)</f>
        <v>0</v>
      </c>
      <c r="V37" s="83">
        <f>_xlfn.IFS('Prepare Gantt Chart'!AI26=4,'Project types'!$O27,'Prepare Gantt Chart'!AI26=3,'Project types'!$Q27,'Prepare Gantt Chart'!AI26=0,0)</f>
        <v>0</v>
      </c>
      <c r="W37" s="83">
        <f>_xlfn.IFS('Prepare Gantt Chart'!AJ26=4,'Project types'!$O27,'Prepare Gantt Chart'!AJ26=3,'Project types'!$Q27,'Prepare Gantt Chart'!AJ26=0,0)</f>
        <v>0</v>
      </c>
      <c r="X37" s="83">
        <f>_xlfn.IFS('Prepare Gantt Chart'!AK26=4,'Project types'!$O27,'Prepare Gantt Chart'!AK26=3,'Project types'!$Q27,'Prepare Gantt Chart'!AK26=0,0)</f>
        <v>0</v>
      </c>
      <c r="Y37" s="83">
        <f>_xlfn.IFS('Prepare Gantt Chart'!AL26=4,'Project types'!$O27,'Prepare Gantt Chart'!AL26=3,'Project types'!$Q27,'Prepare Gantt Chart'!AL26=0,0)</f>
        <v>0</v>
      </c>
      <c r="Z37" s="83">
        <f>_xlfn.IFS('Prepare Gantt Chart'!AM26=4,'Project types'!$O27,'Prepare Gantt Chart'!AM26=3,'Project types'!$Q27,'Prepare Gantt Chart'!AM26=0,0)</f>
        <v>0</v>
      </c>
      <c r="AA37" s="83">
        <f>_xlfn.IFS('Prepare Gantt Chart'!AN26=4,'Project types'!$O27,'Prepare Gantt Chart'!AN26=3,'Project types'!$Q27,'Prepare Gantt Chart'!AN26=0,0)</f>
        <v>0</v>
      </c>
      <c r="AB37" s="83">
        <f>_xlfn.IFS('Prepare Gantt Chart'!AO26=4,'Project types'!$O27,'Prepare Gantt Chart'!AO26=3,'Project types'!$Q27,'Prepare Gantt Chart'!AO26=0,0)</f>
        <v>0</v>
      </c>
      <c r="AC37" s="93">
        <f t="shared" si="0"/>
        <v>0</v>
      </c>
      <c r="AD37" s="86">
        <f>_xlfn.IFS('Prepare Gantt Chart'!P26=4,'Project types'!$L27,'Prepare Gantt Chart'!P26=3,'Project types'!$L27,'Prepare Gantt Chart'!P26=0,0)</f>
        <v>0</v>
      </c>
      <c r="AE37" s="83">
        <f>_xlfn.IFS('Prepare Gantt Chart'!Q26=4,'Project types'!$L27,'Prepare Gantt Chart'!Q26=3,'Project types'!$L27,'Prepare Gantt Chart'!Q26=0,0)</f>
        <v>0</v>
      </c>
      <c r="AF37" s="83">
        <f>_xlfn.IFS('Prepare Gantt Chart'!R26=4,'Project types'!$L27,'Prepare Gantt Chart'!R26=3,'Project types'!$L27,'Prepare Gantt Chart'!R26=0,0)</f>
        <v>0</v>
      </c>
      <c r="AG37" s="83">
        <f>_xlfn.IFS('Prepare Gantt Chart'!S26=4,'Project types'!$L27,'Prepare Gantt Chart'!S26=3,'Project types'!$L27,'Prepare Gantt Chart'!S26=0,0)</f>
        <v>0</v>
      </c>
      <c r="AH37" s="83">
        <f>_xlfn.IFS('Prepare Gantt Chart'!T26=4,'Project types'!$L27,'Prepare Gantt Chart'!T26=3,'Project types'!$L27,'Prepare Gantt Chart'!T26=0,0)</f>
        <v>0</v>
      </c>
      <c r="AI37" s="83">
        <f>_xlfn.IFS('Prepare Gantt Chart'!U26=4,'Project types'!$L27,'Prepare Gantt Chart'!U26=3,'Project types'!$L27,'Prepare Gantt Chart'!U26=0,0)</f>
        <v>0</v>
      </c>
      <c r="AJ37" s="83">
        <f>_xlfn.IFS('Prepare Gantt Chart'!V26=4,'Project types'!$L27,'Prepare Gantt Chart'!V26=3,'Project types'!$L27,'Prepare Gantt Chart'!V26=0,0)</f>
        <v>0</v>
      </c>
      <c r="AK37" s="83">
        <f>_xlfn.IFS('Prepare Gantt Chart'!W26=4,'Project types'!$L27,'Prepare Gantt Chart'!W26=3,'Project types'!$L27,'Prepare Gantt Chart'!W26=0,0)</f>
        <v>0</v>
      </c>
      <c r="AL37" s="83">
        <f>_xlfn.IFS('Prepare Gantt Chart'!X26=4,'Project types'!$L27,'Prepare Gantt Chart'!X26=3,'Project types'!$L27,'Prepare Gantt Chart'!X26=0,0)</f>
        <v>0</v>
      </c>
      <c r="AM37" s="83">
        <f>_xlfn.IFS('Prepare Gantt Chart'!Y26=4,'Project types'!$L27,'Prepare Gantt Chart'!Y26=3,'Project types'!$L27,'Prepare Gantt Chart'!Y26=0,0)</f>
        <v>0</v>
      </c>
      <c r="AN37" s="83">
        <f>_xlfn.IFS('Prepare Gantt Chart'!Z26=4,'Project types'!$L27,'Prepare Gantt Chart'!Z26=3,'Project types'!$L27,'Prepare Gantt Chart'!Z26=0,0)</f>
        <v>0</v>
      </c>
      <c r="AO37" s="83">
        <f>_xlfn.IFS('Prepare Gantt Chart'!AA26=4,'Project types'!$L27,'Prepare Gantt Chart'!AA26=3,'Project types'!$L27,'Prepare Gantt Chart'!AA26=0,0)</f>
        <v>0</v>
      </c>
      <c r="AP37" s="83">
        <f>_xlfn.IFS('Prepare Gantt Chart'!AB26=4,'Project types'!$L27,'Prepare Gantt Chart'!AB26=3,'Project types'!$L27,'Prepare Gantt Chart'!AB26=0,0)</f>
        <v>0</v>
      </c>
      <c r="AQ37" s="83">
        <f>_xlfn.IFS('Prepare Gantt Chart'!AC26=4,'Project types'!$L27,'Prepare Gantt Chart'!AC26=3,'Project types'!$L27,'Prepare Gantt Chart'!AC26=0,0)</f>
        <v>0</v>
      </c>
      <c r="AR37" s="83">
        <f>_xlfn.IFS('Prepare Gantt Chart'!AD26=4,'Project types'!$L27,'Prepare Gantt Chart'!AD26=3,'Project types'!$L27,'Prepare Gantt Chart'!AD26=0,0)</f>
        <v>0</v>
      </c>
      <c r="AS37" s="83">
        <f>_xlfn.IFS('Prepare Gantt Chart'!AE26=4,'Project types'!$L27,'Prepare Gantt Chart'!AE26=3,'Project types'!$L27,'Prepare Gantt Chart'!AE26=0,0)</f>
        <v>0</v>
      </c>
      <c r="AT37" s="83">
        <f>_xlfn.IFS('Prepare Gantt Chart'!AF26=4,'Project types'!$L27,'Prepare Gantt Chart'!AF26=3,'Project types'!$L27,'Prepare Gantt Chart'!AF26=0,0)</f>
        <v>0</v>
      </c>
      <c r="AU37" s="83">
        <f>_xlfn.IFS('Prepare Gantt Chart'!AG26=4,'Project types'!$L27,'Prepare Gantt Chart'!AG26=3,'Project types'!$L27,'Prepare Gantt Chart'!AG26=0,0)</f>
        <v>0</v>
      </c>
      <c r="AV37" s="83">
        <f>_xlfn.IFS('Prepare Gantt Chart'!AH26=4,'Project types'!$L27,'Prepare Gantt Chart'!AH26=3,'Project types'!$L27,'Prepare Gantt Chart'!AH26=0,0)</f>
        <v>0</v>
      </c>
      <c r="AW37" s="83">
        <f>_xlfn.IFS('Prepare Gantt Chart'!AI26=4,'Project types'!$L27,'Prepare Gantt Chart'!AI26=3,'Project types'!$L27,'Prepare Gantt Chart'!AI26=0,0)</f>
        <v>0</v>
      </c>
      <c r="AX37" s="83">
        <f>_xlfn.IFS('Prepare Gantt Chart'!AJ26=4,'Project types'!$L27,'Prepare Gantt Chart'!AJ26=3,'Project types'!$L27,'Prepare Gantt Chart'!AJ26=0,0)</f>
        <v>0</v>
      </c>
      <c r="AY37" s="83">
        <f>_xlfn.IFS('Prepare Gantt Chart'!AK26=4,'Project types'!$L27,'Prepare Gantt Chart'!AK26=3,'Project types'!$L27,'Prepare Gantt Chart'!AK26=0,0)</f>
        <v>0</v>
      </c>
      <c r="AZ37" s="83">
        <f>_xlfn.IFS('Prepare Gantt Chart'!AL26=4,'Project types'!$L27,'Prepare Gantt Chart'!AL26=3,'Project types'!$L27,'Prepare Gantt Chart'!AL26=0,0)</f>
        <v>0</v>
      </c>
      <c r="BA37" s="83">
        <f>_xlfn.IFS('Prepare Gantt Chart'!AM26=4,'Project types'!$L27,'Prepare Gantt Chart'!AM26=3,'Project types'!$L27,'Prepare Gantt Chart'!AM26=0,0)</f>
        <v>0</v>
      </c>
      <c r="BB37" s="83">
        <f>_xlfn.IFS('Prepare Gantt Chart'!AN26=4,'Project types'!$L27,'Prepare Gantt Chart'!AN26=3,'Project types'!$L27,'Prepare Gantt Chart'!AN26=0,0)</f>
        <v>0</v>
      </c>
      <c r="BC37" s="83">
        <f>_xlfn.IFS('Prepare Gantt Chart'!AO26=4,'Project types'!$L27,'Prepare Gantt Chart'!AO26=3,'Project types'!$L27,'Prepare Gantt Chart'!AO26=0,0)</f>
        <v>0</v>
      </c>
      <c r="BD37" s="91">
        <f t="shared" si="1"/>
        <v>0</v>
      </c>
      <c r="CI37" s="85"/>
      <c r="GY37" s="85"/>
    </row>
    <row r="38" spans="1:207" ht="16" thickBot="1" x14ac:dyDescent="0.25">
      <c r="A38" s="8" t="s">
        <v>118</v>
      </c>
      <c r="B38" s="22" t="s">
        <v>27</v>
      </c>
      <c r="C38" s="89">
        <f>_xlfn.IFS('Prepare Gantt Chart'!P27=4,'Project types'!$O28,'Prepare Gantt Chart'!P27=3,'Project types'!$Q28,'Prepare Gantt Chart'!P27=0,0)</f>
        <v>0</v>
      </c>
      <c r="D38" s="89">
        <f>_xlfn.IFS('Prepare Gantt Chart'!Q27=4,'Project types'!$O28,'Prepare Gantt Chart'!Q27=3,'Project types'!$Q28,'Prepare Gantt Chart'!Q27=0,0)</f>
        <v>0</v>
      </c>
      <c r="E38" s="89">
        <f>_xlfn.IFS('Prepare Gantt Chart'!R27=4,'Project types'!$O28,'Prepare Gantt Chart'!R27=3,'Project types'!$Q28,'Prepare Gantt Chart'!R27=0,0)</f>
        <v>0</v>
      </c>
      <c r="F38" s="89">
        <f>_xlfn.IFS('Prepare Gantt Chart'!S27=4,'Project types'!$O28,'Prepare Gantt Chart'!S27=3,'Project types'!$Q28,'Prepare Gantt Chart'!S27=0,0)</f>
        <v>0</v>
      </c>
      <c r="G38" s="89">
        <f>_xlfn.IFS('Prepare Gantt Chart'!T27=4,'Project types'!$O28,'Prepare Gantt Chart'!T27=3,'Project types'!$Q28,'Prepare Gantt Chart'!T27=0,0)</f>
        <v>0</v>
      </c>
      <c r="H38" s="89">
        <f>_xlfn.IFS('Prepare Gantt Chart'!U27=4,'Project types'!$O28,'Prepare Gantt Chart'!U27=3,'Project types'!$Q28,'Prepare Gantt Chart'!U27=0,0)</f>
        <v>0</v>
      </c>
      <c r="I38" s="89">
        <f>_xlfn.IFS('Prepare Gantt Chart'!V27=4,'Project types'!$O28,'Prepare Gantt Chart'!V27=3,'Project types'!$Q28,'Prepare Gantt Chart'!V27=0,0)</f>
        <v>0</v>
      </c>
      <c r="J38" s="89">
        <f>_xlfn.IFS('Prepare Gantt Chart'!W27=4,'Project types'!$O28,'Prepare Gantt Chart'!W27=3,'Project types'!$Q28,'Prepare Gantt Chart'!W27=0,0)</f>
        <v>0</v>
      </c>
      <c r="K38" s="89">
        <f>_xlfn.IFS('Prepare Gantt Chart'!X27=4,'Project types'!$O28,'Prepare Gantt Chart'!X27=3,'Project types'!$Q28,'Prepare Gantt Chart'!X27=0,0)</f>
        <v>0</v>
      </c>
      <c r="L38" s="89">
        <f>_xlfn.IFS('Prepare Gantt Chart'!Y27=4,'Project types'!$O28,'Prepare Gantt Chart'!Y27=3,'Project types'!$Q28,'Prepare Gantt Chart'!Y27=0,0)</f>
        <v>0</v>
      </c>
      <c r="M38" s="89">
        <f>_xlfn.IFS('Prepare Gantt Chart'!Z27=4,'Project types'!$O28,'Prepare Gantt Chart'!Z27=3,'Project types'!$Q28,'Prepare Gantt Chart'!Z27=0,0)</f>
        <v>0</v>
      </c>
      <c r="N38" s="89">
        <f>_xlfn.IFS('Prepare Gantt Chart'!AA27=4,'Project types'!$O28,'Prepare Gantt Chart'!AA27=3,'Project types'!$Q28,'Prepare Gantt Chart'!AA27=0,0)</f>
        <v>0</v>
      </c>
      <c r="O38" s="89">
        <f>_xlfn.IFS('Prepare Gantt Chart'!AB27=4,'Project types'!$O28,'Prepare Gantt Chart'!AB27=3,'Project types'!$Q28,'Prepare Gantt Chart'!AB27=0,0)</f>
        <v>0</v>
      </c>
      <c r="P38" s="89">
        <f>_xlfn.IFS('Prepare Gantt Chart'!AC27=4,'Project types'!$O28,'Prepare Gantt Chart'!AC27=3,'Project types'!$Q28,'Prepare Gantt Chart'!AC27=0,0)</f>
        <v>0</v>
      </c>
      <c r="Q38" s="89">
        <f>_xlfn.IFS('Prepare Gantt Chart'!AD27=4,'Project types'!$O28,'Prepare Gantt Chart'!AD27=3,'Project types'!$Q28,'Prepare Gantt Chart'!AD27=0,0)</f>
        <v>0</v>
      </c>
      <c r="R38" s="89">
        <f>_xlfn.IFS('Prepare Gantt Chart'!AE27=4,'Project types'!$O28,'Prepare Gantt Chart'!AE27=3,'Project types'!$Q28,'Prepare Gantt Chart'!AE27=0,0)</f>
        <v>0</v>
      </c>
      <c r="S38" s="89">
        <f>_xlfn.IFS('Prepare Gantt Chart'!AF27=4,'Project types'!$O28,'Prepare Gantt Chart'!AF27=3,'Project types'!$Q28,'Prepare Gantt Chart'!AF27=0,0)</f>
        <v>0</v>
      </c>
      <c r="T38" s="89">
        <f>_xlfn.IFS('Prepare Gantt Chart'!AG27=4,'Project types'!$O28,'Prepare Gantt Chart'!AG27=3,'Project types'!$Q28,'Prepare Gantt Chart'!AG27=0,0)</f>
        <v>0</v>
      </c>
      <c r="U38" s="89">
        <f>_xlfn.IFS('Prepare Gantt Chart'!AH27=4,'Project types'!$O28,'Prepare Gantt Chart'!AH27=3,'Project types'!$Q28,'Prepare Gantt Chart'!AH27=0,0)</f>
        <v>0</v>
      </c>
      <c r="V38" s="89">
        <f>_xlfn.IFS('Prepare Gantt Chart'!AI27=4,'Project types'!$O28,'Prepare Gantt Chart'!AI27=3,'Project types'!$Q28,'Prepare Gantt Chart'!AI27=0,0)</f>
        <v>0</v>
      </c>
      <c r="W38" s="89">
        <f>_xlfn.IFS('Prepare Gantt Chart'!AJ27=4,'Project types'!$O28,'Prepare Gantt Chart'!AJ27=3,'Project types'!$Q28,'Prepare Gantt Chart'!AJ27=0,0)</f>
        <v>0</v>
      </c>
      <c r="X38" s="89">
        <f>_xlfn.IFS('Prepare Gantt Chart'!AK27=4,'Project types'!$O28,'Prepare Gantt Chart'!AK27=3,'Project types'!$Q28,'Prepare Gantt Chart'!AK27=0,0)</f>
        <v>0</v>
      </c>
      <c r="Y38" s="89">
        <f>_xlfn.IFS('Prepare Gantt Chart'!AL27=4,'Project types'!$O28,'Prepare Gantt Chart'!AL27=3,'Project types'!$Q28,'Prepare Gantt Chart'!AL27=0,0)</f>
        <v>0</v>
      </c>
      <c r="Z38" s="89">
        <f>_xlfn.IFS('Prepare Gantt Chart'!AM27=4,'Project types'!$O28,'Prepare Gantt Chart'!AM27=3,'Project types'!$Q28,'Prepare Gantt Chart'!AM27=0,0)</f>
        <v>0</v>
      </c>
      <c r="AA38" s="89">
        <f>_xlfn.IFS('Prepare Gantt Chart'!AN27=4,'Project types'!$O28,'Prepare Gantt Chart'!AN27=3,'Project types'!$Q28,'Prepare Gantt Chart'!AN27=0,0)</f>
        <v>0</v>
      </c>
      <c r="AB38" s="89">
        <f>_xlfn.IFS('Prepare Gantt Chart'!AO27=4,'Project types'!$O28,'Prepare Gantt Chart'!AO27=3,'Project types'!$Q28,'Prepare Gantt Chart'!AO27=0,0)</f>
        <v>0</v>
      </c>
      <c r="AC38" s="94">
        <f t="shared" si="0"/>
        <v>0</v>
      </c>
      <c r="AD38" s="90">
        <f>_xlfn.IFS('Prepare Gantt Chart'!P27=4,'Project types'!$L28,'Prepare Gantt Chart'!P27=3,'Project types'!$L28,'Prepare Gantt Chart'!P27=0,0)</f>
        <v>0</v>
      </c>
      <c r="AE38" s="89">
        <f>_xlfn.IFS('Prepare Gantt Chart'!Q27=4,'Project types'!$L28,'Prepare Gantt Chart'!Q27=3,'Project types'!$L28,'Prepare Gantt Chart'!Q27=0,0)</f>
        <v>0</v>
      </c>
      <c r="AF38" s="89">
        <f>_xlfn.IFS('Prepare Gantt Chart'!R27=4,'Project types'!$L28,'Prepare Gantt Chart'!R27=3,'Project types'!$L28,'Prepare Gantt Chart'!R27=0,0)</f>
        <v>0</v>
      </c>
      <c r="AG38" s="89">
        <f>_xlfn.IFS('Prepare Gantt Chart'!S27=4,'Project types'!$L28,'Prepare Gantt Chart'!S27=3,'Project types'!$L28,'Prepare Gantt Chart'!S27=0,0)</f>
        <v>0</v>
      </c>
      <c r="AH38" s="89">
        <f>_xlfn.IFS('Prepare Gantt Chart'!T27=4,'Project types'!$L28,'Prepare Gantt Chart'!T27=3,'Project types'!$L28,'Prepare Gantt Chart'!T27=0,0)</f>
        <v>0</v>
      </c>
      <c r="AI38" s="89">
        <f>_xlfn.IFS('Prepare Gantt Chart'!U27=4,'Project types'!$L28,'Prepare Gantt Chart'!U27=3,'Project types'!$L28,'Prepare Gantt Chart'!U27=0,0)</f>
        <v>0</v>
      </c>
      <c r="AJ38" s="89">
        <f>_xlfn.IFS('Prepare Gantt Chart'!V27=4,'Project types'!$L28,'Prepare Gantt Chart'!V27=3,'Project types'!$L28,'Prepare Gantt Chart'!V27=0,0)</f>
        <v>0</v>
      </c>
      <c r="AK38" s="89">
        <f>_xlfn.IFS('Prepare Gantt Chart'!W27=4,'Project types'!$L28,'Prepare Gantt Chart'!W27=3,'Project types'!$L28,'Prepare Gantt Chart'!W27=0,0)</f>
        <v>0</v>
      </c>
      <c r="AL38" s="89">
        <f>_xlfn.IFS('Prepare Gantt Chart'!X27=4,'Project types'!$L28,'Prepare Gantt Chart'!X27=3,'Project types'!$L28,'Prepare Gantt Chart'!X27=0,0)</f>
        <v>0</v>
      </c>
      <c r="AM38" s="89">
        <f>_xlfn.IFS('Prepare Gantt Chart'!Y27=4,'Project types'!$L28,'Prepare Gantt Chart'!Y27=3,'Project types'!$L28,'Prepare Gantt Chart'!Y27=0,0)</f>
        <v>0</v>
      </c>
      <c r="AN38" s="89">
        <f>_xlfn.IFS('Prepare Gantt Chart'!Z27=4,'Project types'!$L28,'Prepare Gantt Chart'!Z27=3,'Project types'!$L28,'Prepare Gantt Chart'!Z27=0,0)</f>
        <v>0</v>
      </c>
      <c r="AO38" s="89">
        <f>_xlfn.IFS('Prepare Gantt Chart'!AA27=4,'Project types'!$L28,'Prepare Gantt Chart'!AA27=3,'Project types'!$L28,'Prepare Gantt Chart'!AA27=0,0)</f>
        <v>0</v>
      </c>
      <c r="AP38" s="89">
        <f>_xlfn.IFS('Prepare Gantt Chart'!AB27=4,'Project types'!$L28,'Prepare Gantt Chart'!AB27=3,'Project types'!$L28,'Prepare Gantt Chart'!AB27=0,0)</f>
        <v>0</v>
      </c>
      <c r="AQ38" s="89">
        <f>_xlfn.IFS('Prepare Gantt Chart'!AC27=4,'Project types'!$L28,'Prepare Gantt Chart'!AC27=3,'Project types'!$L28,'Prepare Gantt Chart'!AC27=0,0)</f>
        <v>0</v>
      </c>
      <c r="AR38" s="89">
        <f>_xlfn.IFS('Prepare Gantt Chart'!AD27=4,'Project types'!$L28,'Prepare Gantt Chart'!AD27=3,'Project types'!$L28,'Prepare Gantt Chart'!AD27=0,0)</f>
        <v>0</v>
      </c>
      <c r="AS38" s="89">
        <f>_xlfn.IFS('Prepare Gantt Chart'!AE27=4,'Project types'!$L28,'Prepare Gantt Chart'!AE27=3,'Project types'!$L28,'Prepare Gantt Chart'!AE27=0,0)</f>
        <v>0</v>
      </c>
      <c r="AT38" s="89">
        <f>_xlfn.IFS('Prepare Gantt Chart'!AF27=4,'Project types'!$L28,'Prepare Gantt Chart'!AF27=3,'Project types'!$L28,'Prepare Gantt Chart'!AF27=0,0)</f>
        <v>0</v>
      </c>
      <c r="AU38" s="89">
        <f>_xlfn.IFS('Prepare Gantt Chart'!AG27=4,'Project types'!$L28,'Prepare Gantt Chart'!AG27=3,'Project types'!$L28,'Prepare Gantt Chart'!AG27=0,0)</f>
        <v>0</v>
      </c>
      <c r="AV38" s="89">
        <f>_xlfn.IFS('Prepare Gantt Chart'!AH27=4,'Project types'!$L28,'Prepare Gantt Chart'!AH27=3,'Project types'!$L28,'Prepare Gantt Chart'!AH27=0,0)</f>
        <v>0</v>
      </c>
      <c r="AW38" s="89">
        <f>_xlfn.IFS('Prepare Gantt Chart'!AI27=4,'Project types'!$L28,'Prepare Gantt Chart'!AI27=3,'Project types'!$L28,'Prepare Gantt Chart'!AI27=0,0)</f>
        <v>0</v>
      </c>
      <c r="AX38" s="89">
        <f>_xlfn.IFS('Prepare Gantt Chart'!AJ27=4,'Project types'!$L28,'Prepare Gantt Chart'!AJ27=3,'Project types'!$L28,'Prepare Gantt Chart'!AJ27=0,0)</f>
        <v>0</v>
      </c>
      <c r="AY38" s="89">
        <f>_xlfn.IFS('Prepare Gantt Chart'!AK27=4,'Project types'!$L28,'Prepare Gantt Chart'!AK27=3,'Project types'!$L28,'Prepare Gantt Chart'!AK27=0,0)</f>
        <v>0</v>
      </c>
      <c r="AZ38" s="89">
        <f>_xlfn.IFS('Prepare Gantt Chart'!AL27=4,'Project types'!$L28,'Prepare Gantt Chart'!AL27=3,'Project types'!$L28,'Prepare Gantt Chart'!AL27=0,0)</f>
        <v>0</v>
      </c>
      <c r="BA38" s="89">
        <f>_xlfn.IFS('Prepare Gantt Chart'!AM27=4,'Project types'!$L28,'Prepare Gantt Chart'!AM27=3,'Project types'!$L28,'Prepare Gantt Chart'!AM27=0,0)</f>
        <v>0</v>
      </c>
      <c r="BB38" s="89">
        <f>_xlfn.IFS('Prepare Gantt Chart'!AN27=4,'Project types'!$L28,'Prepare Gantt Chart'!AN27=3,'Project types'!$L28,'Prepare Gantt Chart'!AN27=0,0)</f>
        <v>0</v>
      </c>
      <c r="BC38" s="89">
        <f>_xlfn.IFS('Prepare Gantt Chart'!AO27=4,'Project types'!$L28,'Prepare Gantt Chart'!AO27=3,'Project types'!$L28,'Prepare Gantt Chart'!AO27=0,0)</f>
        <v>0</v>
      </c>
      <c r="BD38" s="92">
        <f t="shared" si="1"/>
        <v>0</v>
      </c>
      <c r="CI38" s="85"/>
      <c r="GY38" s="85"/>
    </row>
    <row r="39" spans="1:207" x14ac:dyDescent="0.2">
      <c r="A39" s="1" t="s">
        <v>391</v>
      </c>
      <c r="B39" s="23" t="s">
        <v>28</v>
      </c>
      <c r="C39" s="83">
        <f>_xlfn.IFS('Prepare Gantt Chart'!P28=6,'Project types'!$O29,'Prepare Gantt Chart'!P28=5,'Project types'!$Q29,'Prepare Gantt Chart'!P28=0,0)</f>
        <v>0</v>
      </c>
      <c r="D39" s="83">
        <f>_xlfn.IFS('Prepare Gantt Chart'!Q28=6,'Project types'!$O29,'Prepare Gantt Chart'!Q28=5,'Project types'!$Q29,'Prepare Gantt Chart'!Q28=0,0)</f>
        <v>0</v>
      </c>
      <c r="E39" s="83">
        <f>_xlfn.IFS('Prepare Gantt Chart'!R28=6,'Project types'!$O29,'Prepare Gantt Chart'!R28=5,'Project types'!$Q29,'Prepare Gantt Chart'!R28=0,0)</f>
        <v>0</v>
      </c>
      <c r="F39" s="83">
        <f>_xlfn.IFS('Prepare Gantt Chart'!S28=6,'Project types'!$O29,'Prepare Gantt Chart'!S28=5,'Project types'!$Q29,'Prepare Gantt Chart'!S28=0,0)</f>
        <v>0</v>
      </c>
      <c r="G39" s="83">
        <f>_xlfn.IFS('Prepare Gantt Chart'!T28=6,'Project types'!$O29,'Prepare Gantt Chart'!T28=5,'Project types'!$Q29,'Prepare Gantt Chart'!T28=0,0)</f>
        <v>0</v>
      </c>
      <c r="H39" s="83">
        <f>_xlfn.IFS('Prepare Gantt Chart'!U28=6,'Project types'!$O29,'Prepare Gantt Chart'!U28=5,'Project types'!$Q29,'Prepare Gantt Chart'!U28=0,0)</f>
        <v>0</v>
      </c>
      <c r="I39" s="83">
        <f>_xlfn.IFS('Prepare Gantt Chart'!V28=6,'Project types'!$O29,'Prepare Gantt Chart'!V28=5,'Project types'!$Q29,'Prepare Gantt Chart'!V28=0,0)</f>
        <v>0</v>
      </c>
      <c r="J39" s="83">
        <f>_xlfn.IFS('Prepare Gantt Chart'!W28=6,'Project types'!$O29,'Prepare Gantt Chart'!W28=5,'Project types'!$Q29,'Prepare Gantt Chart'!W28=0,0)</f>
        <v>0</v>
      </c>
      <c r="K39" s="83">
        <f>_xlfn.IFS('Prepare Gantt Chart'!X28=6,'Project types'!$O29,'Prepare Gantt Chart'!X28=5,'Project types'!$Q29,'Prepare Gantt Chart'!X28=0,0)</f>
        <v>0</v>
      </c>
      <c r="L39" s="83">
        <f>_xlfn.IFS('Prepare Gantt Chart'!Y28=6,'Project types'!$O29,'Prepare Gantt Chart'!Y28=5,'Project types'!$Q29,'Prepare Gantt Chart'!Y28=0,0)</f>
        <v>0</v>
      </c>
      <c r="M39" s="83">
        <f>_xlfn.IFS('Prepare Gantt Chart'!Z28=6,'Project types'!$O29,'Prepare Gantt Chart'!Z28=5,'Project types'!$Q29,'Prepare Gantt Chart'!Z28=0,0)</f>
        <v>0</v>
      </c>
      <c r="N39" s="83">
        <f>_xlfn.IFS('Prepare Gantt Chart'!AA28=6,'Project types'!$O29,'Prepare Gantt Chart'!AA28=5,'Project types'!$Q29,'Prepare Gantt Chart'!AA28=0,0)</f>
        <v>0</v>
      </c>
      <c r="O39" s="83">
        <f>_xlfn.IFS('Prepare Gantt Chart'!AB28=6,'Project types'!$O29,'Prepare Gantt Chart'!AB28=5,'Project types'!$Q29,'Prepare Gantt Chart'!AB28=0,0)</f>
        <v>0</v>
      </c>
      <c r="P39" s="83">
        <f>_xlfn.IFS('Prepare Gantt Chart'!AC28=6,'Project types'!$O29,'Prepare Gantt Chart'!AC28=5,'Project types'!$Q29,'Prepare Gantt Chart'!AC28=0,0)</f>
        <v>0</v>
      </c>
      <c r="Q39" s="83">
        <f>_xlfn.IFS('Prepare Gantt Chart'!AD28=6,'Project types'!$O29,'Prepare Gantt Chart'!AD28=5,'Project types'!$Q29,'Prepare Gantt Chart'!AD28=0,0)</f>
        <v>0</v>
      </c>
      <c r="R39" s="83">
        <f>_xlfn.IFS('Prepare Gantt Chart'!AE28=6,'Project types'!$O29,'Prepare Gantt Chart'!AE28=5,'Project types'!$Q29,'Prepare Gantt Chart'!AE28=0,0)</f>
        <v>0</v>
      </c>
      <c r="S39" s="83">
        <f>_xlfn.IFS('Prepare Gantt Chart'!AF28=6,'Project types'!$O29,'Prepare Gantt Chart'!AF28=5,'Project types'!$Q29,'Prepare Gantt Chart'!AF28=0,0)</f>
        <v>0</v>
      </c>
      <c r="T39" s="83">
        <f>_xlfn.IFS('Prepare Gantt Chart'!AG28=6,'Project types'!$O29,'Prepare Gantt Chart'!AG28=5,'Project types'!$Q29,'Prepare Gantt Chart'!AG28=0,0)</f>
        <v>0</v>
      </c>
      <c r="U39" s="83">
        <f>_xlfn.IFS('Prepare Gantt Chart'!AH28=6,'Project types'!$O29,'Prepare Gantt Chart'!AH28=5,'Project types'!$Q29,'Prepare Gantt Chart'!AH28=0,0)</f>
        <v>0</v>
      </c>
      <c r="V39" s="83">
        <f>_xlfn.IFS('Prepare Gantt Chart'!AI28=6,'Project types'!$O29,'Prepare Gantt Chart'!AI28=5,'Project types'!$Q29,'Prepare Gantt Chart'!AI28=0,0)</f>
        <v>0</v>
      </c>
      <c r="W39" s="83">
        <f>_xlfn.IFS('Prepare Gantt Chart'!AJ28=6,'Project types'!$O29,'Prepare Gantt Chart'!AJ28=5,'Project types'!$Q29,'Prepare Gantt Chart'!AJ28=0,0)</f>
        <v>0</v>
      </c>
      <c r="X39" s="83">
        <f>_xlfn.IFS('Prepare Gantt Chart'!AK28=6,'Project types'!$O29,'Prepare Gantt Chart'!AK28=5,'Project types'!$Q29,'Prepare Gantt Chart'!AK28=0,0)</f>
        <v>0</v>
      </c>
      <c r="Y39" s="83">
        <f>_xlfn.IFS('Prepare Gantt Chart'!AL28=6,'Project types'!$O29,'Prepare Gantt Chart'!AL28=5,'Project types'!$Q29,'Prepare Gantt Chart'!AL28=0,0)</f>
        <v>0</v>
      </c>
      <c r="Z39" s="83">
        <f>_xlfn.IFS('Prepare Gantt Chart'!AM28=6,'Project types'!$O29,'Prepare Gantt Chart'!AM28=5,'Project types'!$Q29,'Prepare Gantt Chart'!AM28=0,0)</f>
        <v>0</v>
      </c>
      <c r="AA39" s="83">
        <f>_xlfn.IFS('Prepare Gantt Chart'!AN28=6,'Project types'!$O29,'Prepare Gantt Chart'!AN28=5,'Project types'!$Q29,'Prepare Gantt Chart'!AN28=0,0)</f>
        <v>0</v>
      </c>
      <c r="AB39" s="83">
        <f>_xlfn.IFS('Prepare Gantt Chart'!AO28=6,'Project types'!$O29,'Prepare Gantt Chart'!AO28=5,'Project types'!$Q29,'Prepare Gantt Chart'!AO28=0,0)</f>
        <v>0</v>
      </c>
      <c r="AC39" s="93">
        <f t="shared" si="0"/>
        <v>0</v>
      </c>
      <c r="AD39" s="86">
        <f>_xlfn.IFS('Prepare Gantt Chart'!P28=6,'Project types'!$L29,'Prepare Gantt Chart'!P28=5,'Project types'!$L29,'Prepare Gantt Chart'!P28=0,0)</f>
        <v>0</v>
      </c>
      <c r="AE39" s="83">
        <f>_xlfn.IFS('Prepare Gantt Chart'!Q28=6,'Project types'!$L29,'Prepare Gantt Chart'!Q28=5,'Project types'!$L29,'Prepare Gantt Chart'!Q28=0,0)</f>
        <v>0</v>
      </c>
      <c r="AF39" s="83">
        <f>_xlfn.IFS('Prepare Gantt Chart'!R28=6,'Project types'!$L29,'Prepare Gantt Chart'!R28=5,'Project types'!$L29,'Prepare Gantt Chart'!R28=0,0)</f>
        <v>0</v>
      </c>
      <c r="AG39" s="83">
        <f>_xlfn.IFS('Prepare Gantt Chart'!S28=6,'Project types'!$L29,'Prepare Gantt Chart'!S28=5,'Project types'!$L29,'Prepare Gantt Chart'!S28=0,0)</f>
        <v>0</v>
      </c>
      <c r="AH39" s="83">
        <f>_xlfn.IFS('Prepare Gantt Chart'!T28=6,'Project types'!$L29,'Prepare Gantt Chart'!T28=5,'Project types'!$L29,'Prepare Gantt Chart'!T28=0,0)</f>
        <v>0</v>
      </c>
      <c r="AI39" s="83">
        <f>_xlfn.IFS('Prepare Gantt Chart'!U28=6,'Project types'!$L29,'Prepare Gantt Chart'!U28=5,'Project types'!$L29,'Prepare Gantt Chart'!U28=0,0)</f>
        <v>0</v>
      </c>
      <c r="AJ39" s="83">
        <f>_xlfn.IFS('Prepare Gantt Chart'!V28=6,'Project types'!$L29,'Prepare Gantt Chart'!V28=5,'Project types'!$L29,'Prepare Gantt Chart'!V28=0,0)</f>
        <v>0</v>
      </c>
      <c r="AK39" s="83">
        <f>_xlfn.IFS('Prepare Gantt Chart'!W28=6,'Project types'!$L29,'Prepare Gantt Chart'!W28=5,'Project types'!$L29,'Prepare Gantt Chart'!W28=0,0)</f>
        <v>0</v>
      </c>
      <c r="AL39" s="83">
        <f>_xlfn.IFS('Prepare Gantt Chart'!X28=6,'Project types'!$L29,'Prepare Gantt Chart'!X28=5,'Project types'!$L29,'Prepare Gantt Chart'!X28=0,0)</f>
        <v>0</v>
      </c>
      <c r="AM39" s="83">
        <f>_xlfn.IFS('Prepare Gantt Chart'!Y28=6,'Project types'!$L29,'Prepare Gantt Chart'!Y28=5,'Project types'!$L29,'Prepare Gantt Chart'!Y28=0,0)</f>
        <v>0</v>
      </c>
      <c r="AN39" s="83">
        <f>_xlfn.IFS('Prepare Gantt Chart'!Z28=6,'Project types'!$L29,'Prepare Gantt Chart'!Z28=5,'Project types'!$L29,'Prepare Gantt Chart'!Z28=0,0)</f>
        <v>0</v>
      </c>
      <c r="AO39" s="83">
        <f>_xlfn.IFS('Prepare Gantt Chart'!AA28=6,'Project types'!$L29,'Prepare Gantt Chart'!AA28=5,'Project types'!$L29,'Prepare Gantt Chart'!AA28=0,0)</f>
        <v>0</v>
      </c>
      <c r="AP39" s="83">
        <f>_xlfn.IFS('Prepare Gantt Chart'!AB28=6,'Project types'!$L29,'Prepare Gantt Chart'!AB28=5,'Project types'!$L29,'Prepare Gantt Chart'!AB28=0,0)</f>
        <v>0</v>
      </c>
      <c r="AQ39" s="83">
        <f>_xlfn.IFS('Prepare Gantt Chart'!AC28=6,'Project types'!$L29,'Prepare Gantt Chart'!AC28=5,'Project types'!$L29,'Prepare Gantt Chart'!AC28=0,0)</f>
        <v>0</v>
      </c>
      <c r="AR39" s="83">
        <f>_xlfn.IFS('Prepare Gantt Chart'!AD28=6,'Project types'!$L29,'Prepare Gantt Chart'!AD28=5,'Project types'!$L29,'Prepare Gantt Chart'!AD28=0,0)</f>
        <v>0</v>
      </c>
      <c r="AS39" s="83">
        <f>_xlfn.IFS('Prepare Gantt Chart'!AE28=6,'Project types'!$L29,'Prepare Gantt Chart'!AE28=5,'Project types'!$L29,'Prepare Gantt Chart'!AE28=0,0)</f>
        <v>0</v>
      </c>
      <c r="AT39" s="83">
        <f>_xlfn.IFS('Prepare Gantt Chart'!AF28=6,'Project types'!$L29,'Prepare Gantt Chart'!AF28=5,'Project types'!$L29,'Prepare Gantt Chart'!AF28=0,0)</f>
        <v>0</v>
      </c>
      <c r="AU39" s="83">
        <f>_xlfn.IFS('Prepare Gantt Chart'!AG28=6,'Project types'!$L29,'Prepare Gantt Chart'!AG28=5,'Project types'!$L29,'Prepare Gantt Chart'!AG28=0,0)</f>
        <v>0</v>
      </c>
      <c r="AV39" s="83">
        <f>_xlfn.IFS('Prepare Gantt Chart'!AH28=6,'Project types'!$L29,'Prepare Gantt Chart'!AH28=5,'Project types'!$L29,'Prepare Gantt Chart'!AH28=0,0)</f>
        <v>0</v>
      </c>
      <c r="AW39" s="83">
        <f>_xlfn.IFS('Prepare Gantt Chart'!AI28=6,'Project types'!$L29,'Prepare Gantt Chart'!AI28=5,'Project types'!$L29,'Prepare Gantt Chart'!AI28=0,0)</f>
        <v>0</v>
      </c>
      <c r="AX39" s="83">
        <f>_xlfn.IFS('Prepare Gantt Chart'!AJ28=6,'Project types'!$L29,'Prepare Gantt Chart'!AJ28=5,'Project types'!$L29,'Prepare Gantt Chart'!AJ28=0,0)</f>
        <v>0</v>
      </c>
      <c r="AY39" s="83">
        <f>_xlfn.IFS('Prepare Gantt Chart'!AK28=6,'Project types'!$L29,'Prepare Gantt Chart'!AK28=5,'Project types'!$L29,'Prepare Gantt Chart'!AK28=0,0)</f>
        <v>0</v>
      </c>
      <c r="AZ39" s="83">
        <f>_xlfn.IFS('Prepare Gantt Chart'!AL28=6,'Project types'!$L29,'Prepare Gantt Chart'!AL28=5,'Project types'!$L29,'Prepare Gantt Chart'!AL28=0,0)</f>
        <v>0</v>
      </c>
      <c r="BA39" s="83">
        <f>_xlfn.IFS('Prepare Gantt Chart'!AM28=6,'Project types'!$L29,'Prepare Gantt Chart'!AM28=5,'Project types'!$L29,'Prepare Gantt Chart'!AM28=0,0)</f>
        <v>0</v>
      </c>
      <c r="BB39" s="83">
        <f>_xlfn.IFS('Prepare Gantt Chart'!AN28=6,'Project types'!$L29,'Prepare Gantt Chart'!AN28=5,'Project types'!$L29,'Prepare Gantt Chart'!AN28=0,0)</f>
        <v>0</v>
      </c>
      <c r="BC39" s="83">
        <f>_xlfn.IFS('Prepare Gantt Chart'!AO28=6,'Project types'!$L29,'Prepare Gantt Chart'!AO28=5,'Project types'!$L29,'Prepare Gantt Chart'!AO28=0,0)</f>
        <v>0</v>
      </c>
      <c r="BD39" s="91">
        <f t="shared" si="1"/>
        <v>0</v>
      </c>
      <c r="CI39" s="85"/>
      <c r="GY39" s="85"/>
    </row>
    <row r="40" spans="1:207" x14ac:dyDescent="0.2">
      <c r="A40" s="1" t="s">
        <v>157</v>
      </c>
      <c r="B40" s="24" t="s">
        <v>29</v>
      </c>
      <c r="C40" s="83">
        <f>_xlfn.IFS('Prepare Gantt Chart'!P29=6,'Project types'!$O30,'Prepare Gantt Chart'!P29=5,'Project types'!$Q30,'Prepare Gantt Chart'!P29=0,0)</f>
        <v>0</v>
      </c>
      <c r="D40" s="83">
        <f>_xlfn.IFS('Prepare Gantt Chart'!Q29=6,'Project types'!$O30,'Prepare Gantt Chart'!Q29=5,'Project types'!$Q30,'Prepare Gantt Chart'!Q29=0,0)</f>
        <v>0</v>
      </c>
      <c r="E40" s="83">
        <f>_xlfn.IFS('Prepare Gantt Chart'!R29=6,'Project types'!$O30,'Prepare Gantt Chart'!R29=5,'Project types'!$Q30,'Prepare Gantt Chart'!R29=0,0)</f>
        <v>0</v>
      </c>
      <c r="F40" s="83">
        <f>_xlfn.IFS('Prepare Gantt Chart'!S29=6,'Project types'!$O30,'Prepare Gantt Chart'!S29=5,'Project types'!$Q30,'Prepare Gantt Chart'!S29=0,0)</f>
        <v>0</v>
      </c>
      <c r="G40" s="83">
        <f>_xlfn.IFS('Prepare Gantt Chart'!T29=6,'Project types'!$O30,'Prepare Gantt Chart'!T29=5,'Project types'!$Q30,'Prepare Gantt Chart'!T29=0,0)</f>
        <v>0</v>
      </c>
      <c r="H40" s="83">
        <f>_xlfn.IFS('Prepare Gantt Chart'!U29=6,'Project types'!$O30,'Prepare Gantt Chart'!U29=5,'Project types'!$Q30,'Prepare Gantt Chart'!U29=0,0)</f>
        <v>0</v>
      </c>
      <c r="I40" s="83">
        <f>_xlfn.IFS('Prepare Gantt Chart'!V29=6,'Project types'!$O30,'Prepare Gantt Chart'!V29=5,'Project types'!$Q30,'Prepare Gantt Chart'!V29=0,0)</f>
        <v>0</v>
      </c>
      <c r="J40" s="83">
        <f>_xlfn.IFS('Prepare Gantt Chart'!W29=6,'Project types'!$O30,'Prepare Gantt Chart'!W29=5,'Project types'!$Q30,'Prepare Gantt Chart'!W29=0,0)</f>
        <v>0</v>
      </c>
      <c r="K40" s="83">
        <f>_xlfn.IFS('Prepare Gantt Chart'!X29=6,'Project types'!$O30,'Prepare Gantt Chart'!X29=5,'Project types'!$Q30,'Prepare Gantt Chart'!X29=0,0)</f>
        <v>0</v>
      </c>
      <c r="L40" s="83">
        <f>_xlfn.IFS('Prepare Gantt Chart'!Y29=6,'Project types'!$O30,'Prepare Gantt Chart'!Y29=5,'Project types'!$Q30,'Prepare Gantt Chart'!Y29=0,0)</f>
        <v>0</v>
      </c>
      <c r="M40" s="83">
        <f>_xlfn.IFS('Prepare Gantt Chart'!Z29=6,'Project types'!$O30,'Prepare Gantt Chart'!Z29=5,'Project types'!$Q30,'Prepare Gantt Chart'!Z29=0,0)</f>
        <v>0</v>
      </c>
      <c r="N40" s="83">
        <f>_xlfn.IFS('Prepare Gantt Chart'!AA29=6,'Project types'!$O30,'Prepare Gantt Chart'!AA29=5,'Project types'!$Q30,'Prepare Gantt Chart'!AA29=0,0)</f>
        <v>0</v>
      </c>
      <c r="O40" s="83">
        <f>_xlfn.IFS('Prepare Gantt Chart'!AB29=6,'Project types'!$O30,'Prepare Gantt Chart'!AB29=5,'Project types'!$Q30,'Prepare Gantt Chart'!AB29=0,0)</f>
        <v>0</v>
      </c>
      <c r="P40" s="83">
        <f>_xlfn.IFS('Prepare Gantt Chart'!AC29=6,'Project types'!$O30,'Prepare Gantt Chart'!AC29=5,'Project types'!$Q30,'Prepare Gantt Chart'!AC29=0,0)</f>
        <v>0</v>
      </c>
      <c r="Q40" s="83">
        <f>_xlfn.IFS('Prepare Gantt Chart'!AD29=6,'Project types'!$O30,'Prepare Gantt Chart'!AD29=5,'Project types'!$Q30,'Prepare Gantt Chart'!AD29=0,0)</f>
        <v>0</v>
      </c>
      <c r="R40" s="83">
        <f>_xlfn.IFS('Prepare Gantt Chart'!AE29=6,'Project types'!$O30,'Prepare Gantt Chart'!AE29=5,'Project types'!$Q30,'Prepare Gantt Chart'!AE29=0,0)</f>
        <v>0</v>
      </c>
      <c r="S40" s="83">
        <f>_xlfn.IFS('Prepare Gantt Chart'!AF29=6,'Project types'!$O30,'Prepare Gantt Chart'!AF29=5,'Project types'!$Q30,'Prepare Gantt Chart'!AF29=0,0)</f>
        <v>0</v>
      </c>
      <c r="T40" s="83">
        <f>_xlfn.IFS('Prepare Gantt Chart'!AG29=6,'Project types'!$O30,'Prepare Gantt Chart'!AG29=5,'Project types'!$Q30,'Prepare Gantt Chart'!AG29=0,0)</f>
        <v>0</v>
      </c>
      <c r="U40" s="83">
        <f>_xlfn.IFS('Prepare Gantt Chart'!AH29=6,'Project types'!$O30,'Prepare Gantt Chart'!AH29=5,'Project types'!$Q30,'Prepare Gantt Chart'!AH29=0,0)</f>
        <v>0</v>
      </c>
      <c r="V40" s="83">
        <f>_xlfn.IFS('Prepare Gantt Chart'!AI29=6,'Project types'!$O30,'Prepare Gantt Chart'!AI29=5,'Project types'!$Q30,'Prepare Gantt Chart'!AI29=0,0)</f>
        <v>0</v>
      </c>
      <c r="W40" s="83">
        <f>_xlfn.IFS('Prepare Gantt Chart'!AJ29=6,'Project types'!$O30,'Prepare Gantt Chart'!AJ29=5,'Project types'!$Q30,'Prepare Gantt Chart'!AJ29=0,0)</f>
        <v>0</v>
      </c>
      <c r="X40" s="83">
        <f>_xlfn.IFS('Prepare Gantt Chart'!AK29=6,'Project types'!$O30,'Prepare Gantt Chart'!AK29=5,'Project types'!$Q30,'Prepare Gantt Chart'!AK29=0,0)</f>
        <v>0</v>
      </c>
      <c r="Y40" s="83">
        <f>_xlfn.IFS('Prepare Gantt Chart'!AL29=6,'Project types'!$O30,'Prepare Gantt Chart'!AL29=5,'Project types'!$Q30,'Prepare Gantt Chart'!AL29=0,0)</f>
        <v>0</v>
      </c>
      <c r="Z40" s="83">
        <f>_xlfn.IFS('Prepare Gantt Chart'!AM29=6,'Project types'!$O30,'Prepare Gantt Chart'!AM29=5,'Project types'!$Q30,'Prepare Gantt Chart'!AM29=0,0)</f>
        <v>0</v>
      </c>
      <c r="AA40" s="83">
        <f>_xlfn.IFS('Prepare Gantt Chart'!AN29=6,'Project types'!$O30,'Prepare Gantt Chart'!AN29=5,'Project types'!$Q30,'Prepare Gantt Chart'!AN29=0,0)</f>
        <v>0</v>
      </c>
      <c r="AB40" s="83">
        <f>_xlfn.IFS('Prepare Gantt Chart'!AO29=6,'Project types'!$O30,'Prepare Gantt Chart'!AO29=5,'Project types'!$Q30,'Prepare Gantt Chart'!AO29=0,0)</f>
        <v>0</v>
      </c>
      <c r="AC40" s="93">
        <f t="shared" si="0"/>
        <v>0</v>
      </c>
      <c r="AD40" s="86">
        <f>_xlfn.IFS('Prepare Gantt Chart'!P29=6,'Project types'!$L30,'Prepare Gantt Chart'!P29=5,'Project types'!$L30,'Prepare Gantt Chart'!P29=0,0)</f>
        <v>0</v>
      </c>
      <c r="AE40" s="83">
        <f>_xlfn.IFS('Prepare Gantt Chart'!Q29=6,'Project types'!$L30,'Prepare Gantt Chart'!Q29=5,'Project types'!$L30,'Prepare Gantt Chart'!Q29=0,0)</f>
        <v>0</v>
      </c>
      <c r="AF40" s="83">
        <f>_xlfn.IFS('Prepare Gantt Chart'!R29=6,'Project types'!$L30,'Prepare Gantt Chart'!R29=5,'Project types'!$L30,'Prepare Gantt Chart'!R29=0,0)</f>
        <v>0</v>
      </c>
      <c r="AG40" s="83">
        <f>_xlfn.IFS('Prepare Gantt Chart'!S29=6,'Project types'!$L30,'Prepare Gantt Chart'!S29=5,'Project types'!$L30,'Prepare Gantt Chart'!S29=0,0)</f>
        <v>0</v>
      </c>
      <c r="AH40" s="83">
        <f>_xlfn.IFS('Prepare Gantt Chart'!T29=6,'Project types'!$L30,'Prepare Gantt Chart'!T29=5,'Project types'!$L30,'Prepare Gantt Chart'!T29=0,0)</f>
        <v>0</v>
      </c>
      <c r="AI40" s="83">
        <f>_xlfn.IFS('Prepare Gantt Chart'!U29=6,'Project types'!$L30,'Prepare Gantt Chart'!U29=5,'Project types'!$L30,'Prepare Gantt Chart'!U29=0,0)</f>
        <v>0</v>
      </c>
      <c r="AJ40" s="83">
        <f>_xlfn.IFS('Prepare Gantt Chart'!V29=6,'Project types'!$L30,'Prepare Gantt Chart'!V29=5,'Project types'!$L30,'Prepare Gantt Chart'!V29=0,0)</f>
        <v>0</v>
      </c>
      <c r="AK40" s="83">
        <f>_xlfn.IFS('Prepare Gantt Chart'!W29=6,'Project types'!$L30,'Prepare Gantt Chart'!W29=5,'Project types'!$L30,'Prepare Gantt Chart'!W29=0,0)</f>
        <v>0</v>
      </c>
      <c r="AL40" s="83">
        <f>_xlfn.IFS('Prepare Gantt Chart'!X29=6,'Project types'!$L30,'Prepare Gantt Chart'!X29=5,'Project types'!$L30,'Prepare Gantt Chart'!X29=0,0)</f>
        <v>0</v>
      </c>
      <c r="AM40" s="83">
        <f>_xlfn.IFS('Prepare Gantt Chart'!Y29=6,'Project types'!$L30,'Prepare Gantt Chart'!Y29=5,'Project types'!$L30,'Prepare Gantt Chart'!Y29=0,0)</f>
        <v>0</v>
      </c>
      <c r="AN40" s="83">
        <f>_xlfn.IFS('Prepare Gantt Chart'!Z29=6,'Project types'!$L30,'Prepare Gantt Chart'!Z29=5,'Project types'!$L30,'Prepare Gantt Chart'!Z29=0,0)</f>
        <v>0</v>
      </c>
      <c r="AO40" s="83">
        <f>_xlfn.IFS('Prepare Gantt Chart'!AA29=6,'Project types'!$L30,'Prepare Gantt Chart'!AA29=5,'Project types'!$L30,'Prepare Gantt Chart'!AA29=0,0)</f>
        <v>0</v>
      </c>
      <c r="AP40" s="83">
        <f>_xlfn.IFS('Prepare Gantt Chart'!AB29=6,'Project types'!$L30,'Prepare Gantt Chart'!AB29=5,'Project types'!$L30,'Prepare Gantt Chart'!AB29=0,0)</f>
        <v>0</v>
      </c>
      <c r="AQ40" s="83">
        <f>_xlfn.IFS('Prepare Gantt Chart'!AC29=6,'Project types'!$L30,'Prepare Gantt Chart'!AC29=5,'Project types'!$L30,'Prepare Gantt Chart'!AC29=0,0)</f>
        <v>0</v>
      </c>
      <c r="AR40" s="83">
        <f>_xlfn.IFS('Prepare Gantt Chart'!AD29=6,'Project types'!$L30,'Prepare Gantt Chart'!AD29=5,'Project types'!$L30,'Prepare Gantt Chart'!AD29=0,0)</f>
        <v>0</v>
      </c>
      <c r="AS40" s="83">
        <f>_xlfn.IFS('Prepare Gantt Chart'!AE29=6,'Project types'!$L30,'Prepare Gantt Chart'!AE29=5,'Project types'!$L30,'Prepare Gantt Chart'!AE29=0,0)</f>
        <v>0</v>
      </c>
      <c r="AT40" s="83">
        <f>_xlfn.IFS('Prepare Gantt Chart'!AF29=6,'Project types'!$L30,'Prepare Gantt Chart'!AF29=5,'Project types'!$L30,'Prepare Gantt Chart'!AF29=0,0)</f>
        <v>0</v>
      </c>
      <c r="AU40" s="83">
        <f>_xlfn.IFS('Prepare Gantt Chart'!AG29=6,'Project types'!$L30,'Prepare Gantt Chart'!AG29=5,'Project types'!$L30,'Prepare Gantt Chart'!AG29=0,0)</f>
        <v>0</v>
      </c>
      <c r="AV40" s="83">
        <f>_xlfn.IFS('Prepare Gantt Chart'!AH29=6,'Project types'!$L30,'Prepare Gantt Chart'!AH29=5,'Project types'!$L30,'Prepare Gantt Chart'!AH29=0,0)</f>
        <v>0</v>
      </c>
      <c r="AW40" s="83">
        <f>_xlfn.IFS('Prepare Gantt Chart'!AI29=6,'Project types'!$L30,'Prepare Gantt Chart'!AI29=5,'Project types'!$L30,'Prepare Gantt Chart'!AI29=0,0)</f>
        <v>0</v>
      </c>
      <c r="AX40" s="83">
        <f>_xlfn.IFS('Prepare Gantt Chart'!AJ29=6,'Project types'!$L30,'Prepare Gantt Chart'!AJ29=5,'Project types'!$L30,'Prepare Gantt Chart'!AJ29=0,0)</f>
        <v>0</v>
      </c>
      <c r="AY40" s="83">
        <f>_xlfn.IFS('Prepare Gantt Chart'!AK29=6,'Project types'!$L30,'Prepare Gantt Chart'!AK29=5,'Project types'!$L30,'Prepare Gantt Chart'!AK29=0,0)</f>
        <v>0</v>
      </c>
      <c r="AZ40" s="83">
        <f>_xlfn.IFS('Prepare Gantt Chart'!AL29=6,'Project types'!$L30,'Prepare Gantt Chart'!AL29=5,'Project types'!$L30,'Prepare Gantt Chart'!AL29=0,0)</f>
        <v>0</v>
      </c>
      <c r="BA40" s="83">
        <f>_xlfn.IFS('Prepare Gantt Chart'!AM29=6,'Project types'!$L30,'Prepare Gantt Chart'!AM29=5,'Project types'!$L30,'Prepare Gantt Chart'!AM29=0,0)</f>
        <v>0</v>
      </c>
      <c r="BB40" s="83">
        <f>_xlfn.IFS('Prepare Gantt Chart'!AN29=6,'Project types'!$L30,'Prepare Gantt Chart'!AN29=5,'Project types'!$L30,'Prepare Gantt Chart'!AN29=0,0)</f>
        <v>0</v>
      </c>
      <c r="BC40" s="83">
        <f>_xlfn.IFS('Prepare Gantt Chart'!AO29=6,'Project types'!$L30,'Prepare Gantt Chart'!AO29=5,'Project types'!$L30,'Prepare Gantt Chart'!AO29=0,0)</f>
        <v>0</v>
      </c>
      <c r="BD40" s="91">
        <f t="shared" si="1"/>
        <v>0</v>
      </c>
      <c r="CI40" s="85"/>
      <c r="GY40" s="85"/>
    </row>
    <row r="41" spans="1:207" x14ac:dyDescent="0.2">
      <c r="A41" s="1" t="s">
        <v>392</v>
      </c>
      <c r="B41" s="24" t="s">
        <v>30</v>
      </c>
      <c r="C41" s="83">
        <f>_xlfn.IFS('Prepare Gantt Chart'!P30=6,'Project types'!$O31,'Prepare Gantt Chart'!P30=5,'Project types'!$Q31,'Prepare Gantt Chart'!P30=0,0)</f>
        <v>0</v>
      </c>
      <c r="D41" s="83">
        <f>_xlfn.IFS('Prepare Gantt Chart'!Q30=6,'Project types'!$O31,'Prepare Gantt Chart'!Q30=5,'Project types'!$Q31,'Prepare Gantt Chart'!Q30=0,0)</f>
        <v>0</v>
      </c>
      <c r="E41" s="83">
        <f>_xlfn.IFS('Prepare Gantt Chart'!R30=6,'Project types'!$O31,'Prepare Gantt Chart'!R30=5,'Project types'!$Q31,'Prepare Gantt Chart'!R30=0,0)</f>
        <v>0</v>
      </c>
      <c r="F41" s="83">
        <f>_xlfn.IFS('Prepare Gantt Chart'!S30=6,'Project types'!$O31,'Prepare Gantt Chart'!S30=5,'Project types'!$Q31,'Prepare Gantt Chart'!S30=0,0)</f>
        <v>0</v>
      </c>
      <c r="G41" s="83">
        <f>_xlfn.IFS('Prepare Gantt Chart'!T30=6,'Project types'!$O31,'Prepare Gantt Chart'!T30=5,'Project types'!$Q31,'Prepare Gantt Chart'!T30=0,0)</f>
        <v>0</v>
      </c>
      <c r="H41" s="83">
        <f>_xlfn.IFS('Prepare Gantt Chart'!U30=6,'Project types'!$O31,'Prepare Gantt Chart'!U30=5,'Project types'!$Q31,'Prepare Gantt Chart'!U30=0,0)</f>
        <v>0</v>
      </c>
      <c r="I41" s="83">
        <f>_xlfn.IFS('Prepare Gantt Chart'!V30=6,'Project types'!$O31,'Prepare Gantt Chart'!V30=5,'Project types'!$Q31,'Prepare Gantt Chart'!V30=0,0)</f>
        <v>0</v>
      </c>
      <c r="J41" s="83">
        <f>_xlfn.IFS('Prepare Gantt Chart'!W30=6,'Project types'!$O31,'Prepare Gantt Chart'!W30=5,'Project types'!$Q31,'Prepare Gantt Chart'!W30=0,0)</f>
        <v>0</v>
      </c>
      <c r="K41" s="83">
        <f>_xlfn.IFS('Prepare Gantt Chart'!X30=6,'Project types'!$O31,'Prepare Gantt Chart'!X30=5,'Project types'!$Q31,'Prepare Gantt Chart'!X30=0,0)</f>
        <v>0</v>
      </c>
      <c r="L41" s="83">
        <f>_xlfn.IFS('Prepare Gantt Chart'!Y30=6,'Project types'!$O31,'Prepare Gantt Chart'!Y30=5,'Project types'!$Q31,'Prepare Gantt Chart'!Y30=0,0)</f>
        <v>0</v>
      </c>
      <c r="M41" s="83">
        <f>_xlfn.IFS('Prepare Gantt Chart'!Z30=6,'Project types'!$O31,'Prepare Gantt Chart'!Z30=5,'Project types'!$Q31,'Prepare Gantt Chart'!Z30=0,0)</f>
        <v>0</v>
      </c>
      <c r="N41" s="83">
        <f>_xlfn.IFS('Prepare Gantt Chart'!AA30=6,'Project types'!$O31,'Prepare Gantt Chart'!AA30=5,'Project types'!$Q31,'Prepare Gantt Chart'!AA30=0,0)</f>
        <v>0</v>
      </c>
      <c r="O41" s="83">
        <f>_xlfn.IFS('Prepare Gantt Chart'!AB30=6,'Project types'!$O31,'Prepare Gantt Chart'!AB30=5,'Project types'!$Q31,'Prepare Gantt Chart'!AB30=0,0)</f>
        <v>0</v>
      </c>
      <c r="P41" s="83">
        <f>_xlfn.IFS('Prepare Gantt Chart'!AC30=6,'Project types'!$O31,'Prepare Gantt Chart'!AC30=5,'Project types'!$Q31,'Prepare Gantt Chart'!AC30=0,0)</f>
        <v>0</v>
      </c>
      <c r="Q41" s="83">
        <f>_xlfn.IFS('Prepare Gantt Chart'!AD30=6,'Project types'!$O31,'Prepare Gantt Chart'!AD30=5,'Project types'!$Q31,'Prepare Gantt Chart'!AD30=0,0)</f>
        <v>0</v>
      </c>
      <c r="R41" s="83">
        <f>_xlfn.IFS('Prepare Gantt Chart'!AE30=6,'Project types'!$O31,'Prepare Gantt Chart'!AE30=5,'Project types'!$Q31,'Prepare Gantt Chart'!AE30=0,0)</f>
        <v>0</v>
      </c>
      <c r="S41" s="83">
        <f>_xlfn.IFS('Prepare Gantt Chart'!AF30=6,'Project types'!$O31,'Prepare Gantt Chart'!AF30=5,'Project types'!$Q31,'Prepare Gantt Chart'!AF30=0,0)</f>
        <v>0</v>
      </c>
      <c r="T41" s="83">
        <f>_xlfn.IFS('Prepare Gantt Chart'!AG30=6,'Project types'!$O31,'Prepare Gantt Chart'!AG30=5,'Project types'!$Q31,'Prepare Gantt Chart'!AG30=0,0)</f>
        <v>0</v>
      </c>
      <c r="U41" s="83">
        <f>_xlfn.IFS('Prepare Gantt Chart'!AH30=6,'Project types'!$O31,'Prepare Gantt Chart'!AH30=5,'Project types'!$Q31,'Prepare Gantt Chart'!AH30=0,0)</f>
        <v>0</v>
      </c>
      <c r="V41" s="83">
        <f>_xlfn.IFS('Prepare Gantt Chart'!AI30=6,'Project types'!$O31,'Prepare Gantt Chart'!AI30=5,'Project types'!$Q31,'Prepare Gantt Chart'!AI30=0,0)</f>
        <v>0</v>
      </c>
      <c r="W41" s="83">
        <f>_xlfn.IFS('Prepare Gantt Chart'!AJ30=6,'Project types'!$O31,'Prepare Gantt Chart'!AJ30=5,'Project types'!$Q31,'Prepare Gantt Chart'!AJ30=0,0)</f>
        <v>0</v>
      </c>
      <c r="X41" s="83">
        <f>_xlfn.IFS('Prepare Gantt Chart'!AK30=6,'Project types'!$O31,'Prepare Gantt Chart'!AK30=5,'Project types'!$Q31,'Prepare Gantt Chart'!AK30=0,0)</f>
        <v>0</v>
      </c>
      <c r="Y41" s="83">
        <f>_xlfn.IFS('Prepare Gantt Chart'!AL30=6,'Project types'!$O31,'Prepare Gantt Chart'!AL30=5,'Project types'!$Q31,'Prepare Gantt Chart'!AL30=0,0)</f>
        <v>0</v>
      </c>
      <c r="Z41" s="83">
        <f>_xlfn.IFS('Prepare Gantt Chart'!AM30=6,'Project types'!$O31,'Prepare Gantt Chart'!AM30=5,'Project types'!$Q31,'Prepare Gantt Chart'!AM30=0,0)</f>
        <v>0</v>
      </c>
      <c r="AA41" s="83">
        <f>_xlfn.IFS('Prepare Gantt Chart'!AN30=6,'Project types'!$O31,'Prepare Gantt Chart'!AN30=5,'Project types'!$Q31,'Prepare Gantt Chart'!AN30=0,0)</f>
        <v>0</v>
      </c>
      <c r="AB41" s="83">
        <f>_xlfn.IFS('Prepare Gantt Chart'!AO30=6,'Project types'!$O31,'Prepare Gantt Chart'!AO30=5,'Project types'!$Q31,'Prepare Gantt Chart'!AO30=0,0)</f>
        <v>0</v>
      </c>
      <c r="AC41" s="93">
        <f t="shared" si="0"/>
        <v>0</v>
      </c>
      <c r="AD41" s="86">
        <f>_xlfn.IFS('Prepare Gantt Chart'!P30=6,'Project types'!$L31,'Prepare Gantt Chart'!P30=5,'Project types'!$L31,'Prepare Gantt Chart'!P30=0,0)</f>
        <v>0</v>
      </c>
      <c r="AE41" s="83">
        <f>_xlfn.IFS('Prepare Gantt Chart'!Q30=6,'Project types'!$L31,'Prepare Gantt Chart'!Q30=5,'Project types'!$L31,'Prepare Gantt Chart'!Q30=0,0)</f>
        <v>0</v>
      </c>
      <c r="AF41" s="83">
        <f>_xlfn.IFS('Prepare Gantt Chart'!R30=6,'Project types'!$L31,'Prepare Gantt Chart'!R30=5,'Project types'!$L31,'Prepare Gantt Chart'!R30=0,0)</f>
        <v>0</v>
      </c>
      <c r="AG41" s="83">
        <f>_xlfn.IFS('Prepare Gantt Chart'!S30=6,'Project types'!$L31,'Prepare Gantt Chart'!S30=5,'Project types'!$L31,'Prepare Gantt Chart'!S30=0,0)</f>
        <v>0</v>
      </c>
      <c r="AH41" s="83">
        <f>_xlfn.IFS('Prepare Gantt Chart'!T30=6,'Project types'!$L31,'Prepare Gantt Chart'!T30=5,'Project types'!$L31,'Prepare Gantt Chart'!T30=0,0)</f>
        <v>0</v>
      </c>
      <c r="AI41" s="83">
        <f>_xlfn.IFS('Prepare Gantt Chart'!U30=6,'Project types'!$L31,'Prepare Gantt Chart'!U30=5,'Project types'!$L31,'Prepare Gantt Chart'!U30=0,0)</f>
        <v>0</v>
      </c>
      <c r="AJ41" s="83">
        <f>_xlfn.IFS('Prepare Gantt Chart'!V30=6,'Project types'!$L31,'Prepare Gantt Chart'!V30=5,'Project types'!$L31,'Prepare Gantt Chart'!V30=0,0)</f>
        <v>0</v>
      </c>
      <c r="AK41" s="83">
        <f>_xlfn.IFS('Prepare Gantt Chart'!W30=6,'Project types'!$L31,'Prepare Gantt Chart'!W30=5,'Project types'!$L31,'Prepare Gantt Chart'!W30=0,0)</f>
        <v>0</v>
      </c>
      <c r="AL41" s="83">
        <f>_xlfn.IFS('Prepare Gantt Chart'!X30=6,'Project types'!$L31,'Prepare Gantt Chart'!X30=5,'Project types'!$L31,'Prepare Gantt Chart'!X30=0,0)</f>
        <v>0</v>
      </c>
      <c r="AM41" s="83">
        <f>_xlfn.IFS('Prepare Gantt Chart'!Y30=6,'Project types'!$L31,'Prepare Gantt Chart'!Y30=5,'Project types'!$L31,'Prepare Gantt Chart'!Y30=0,0)</f>
        <v>0</v>
      </c>
      <c r="AN41" s="83">
        <f>_xlfn.IFS('Prepare Gantt Chart'!Z30=6,'Project types'!$L31,'Prepare Gantt Chart'!Z30=5,'Project types'!$L31,'Prepare Gantt Chart'!Z30=0,0)</f>
        <v>0</v>
      </c>
      <c r="AO41" s="83">
        <f>_xlfn.IFS('Prepare Gantt Chart'!AA30=6,'Project types'!$L31,'Prepare Gantt Chart'!AA30=5,'Project types'!$L31,'Prepare Gantt Chart'!AA30=0,0)</f>
        <v>0</v>
      </c>
      <c r="AP41" s="83">
        <f>_xlfn.IFS('Prepare Gantt Chart'!AB30=6,'Project types'!$L31,'Prepare Gantt Chart'!AB30=5,'Project types'!$L31,'Prepare Gantt Chart'!AB30=0,0)</f>
        <v>0</v>
      </c>
      <c r="AQ41" s="83">
        <f>_xlfn.IFS('Prepare Gantt Chart'!AC30=6,'Project types'!$L31,'Prepare Gantt Chart'!AC30=5,'Project types'!$L31,'Prepare Gantt Chart'!AC30=0,0)</f>
        <v>0</v>
      </c>
      <c r="AR41" s="83">
        <f>_xlfn.IFS('Prepare Gantt Chart'!AD30=6,'Project types'!$L31,'Prepare Gantt Chart'!AD30=5,'Project types'!$L31,'Prepare Gantt Chart'!AD30=0,0)</f>
        <v>0</v>
      </c>
      <c r="AS41" s="83">
        <f>_xlfn.IFS('Prepare Gantt Chart'!AE30=6,'Project types'!$L31,'Prepare Gantt Chart'!AE30=5,'Project types'!$L31,'Prepare Gantt Chart'!AE30=0,0)</f>
        <v>0</v>
      </c>
      <c r="AT41" s="83">
        <f>_xlfn.IFS('Prepare Gantt Chart'!AF30=6,'Project types'!$L31,'Prepare Gantt Chart'!AF30=5,'Project types'!$L31,'Prepare Gantt Chart'!AF30=0,0)</f>
        <v>0</v>
      </c>
      <c r="AU41" s="83">
        <f>_xlfn.IFS('Prepare Gantt Chart'!AG30=6,'Project types'!$L31,'Prepare Gantt Chart'!AG30=5,'Project types'!$L31,'Prepare Gantt Chart'!AG30=0,0)</f>
        <v>0</v>
      </c>
      <c r="AV41" s="83">
        <f>_xlfn.IFS('Prepare Gantt Chart'!AH30=6,'Project types'!$L31,'Prepare Gantt Chart'!AH30=5,'Project types'!$L31,'Prepare Gantt Chart'!AH30=0,0)</f>
        <v>0</v>
      </c>
      <c r="AW41" s="83">
        <f>_xlfn.IFS('Prepare Gantt Chart'!AI30=6,'Project types'!$L31,'Prepare Gantt Chart'!AI30=5,'Project types'!$L31,'Prepare Gantt Chart'!AI30=0,0)</f>
        <v>0</v>
      </c>
      <c r="AX41" s="83">
        <f>_xlfn.IFS('Prepare Gantt Chart'!AJ30=6,'Project types'!$L31,'Prepare Gantt Chart'!AJ30=5,'Project types'!$L31,'Prepare Gantt Chart'!AJ30=0,0)</f>
        <v>0</v>
      </c>
      <c r="AY41" s="83">
        <f>_xlfn.IFS('Prepare Gantt Chart'!AK30=6,'Project types'!$L31,'Prepare Gantt Chart'!AK30=5,'Project types'!$L31,'Prepare Gantt Chart'!AK30=0,0)</f>
        <v>0</v>
      </c>
      <c r="AZ41" s="83">
        <f>_xlfn.IFS('Prepare Gantt Chart'!AL30=6,'Project types'!$L31,'Prepare Gantt Chart'!AL30=5,'Project types'!$L31,'Prepare Gantt Chart'!AL30=0,0)</f>
        <v>0</v>
      </c>
      <c r="BA41" s="83">
        <f>_xlfn.IFS('Prepare Gantt Chart'!AM30=6,'Project types'!$L31,'Prepare Gantt Chart'!AM30=5,'Project types'!$L31,'Prepare Gantt Chart'!AM30=0,0)</f>
        <v>0</v>
      </c>
      <c r="BB41" s="83">
        <f>_xlfn.IFS('Prepare Gantt Chart'!AN30=6,'Project types'!$L31,'Prepare Gantt Chart'!AN30=5,'Project types'!$L31,'Prepare Gantt Chart'!AN30=0,0)</f>
        <v>0</v>
      </c>
      <c r="BC41" s="83">
        <f>_xlfn.IFS('Prepare Gantt Chart'!AO30=6,'Project types'!$L31,'Prepare Gantt Chart'!AO30=5,'Project types'!$L31,'Prepare Gantt Chart'!AO30=0,0)</f>
        <v>0</v>
      </c>
      <c r="BD41" s="91">
        <f t="shared" si="1"/>
        <v>0</v>
      </c>
      <c r="CI41" s="85"/>
      <c r="GY41" s="85"/>
    </row>
    <row r="42" spans="1:207" x14ac:dyDescent="0.2">
      <c r="A42" s="1" t="s">
        <v>393</v>
      </c>
      <c r="B42" s="24" t="s">
        <v>31</v>
      </c>
      <c r="C42" s="83">
        <f>_xlfn.IFS('Prepare Gantt Chart'!P31=6,'Project types'!$O32,'Prepare Gantt Chart'!P31=5,'Project types'!$Q32,'Prepare Gantt Chart'!P31=0,0)</f>
        <v>0</v>
      </c>
      <c r="D42" s="83">
        <f>_xlfn.IFS('Prepare Gantt Chart'!Q31=6,'Project types'!$O32,'Prepare Gantt Chart'!Q31=5,'Project types'!$Q32,'Prepare Gantt Chart'!Q31=0,0)</f>
        <v>0</v>
      </c>
      <c r="E42" s="83">
        <f>_xlfn.IFS('Prepare Gantt Chart'!R31=6,'Project types'!$O32,'Prepare Gantt Chart'!R31=5,'Project types'!$Q32,'Prepare Gantt Chart'!R31=0,0)</f>
        <v>0</v>
      </c>
      <c r="F42" s="83">
        <f>_xlfn.IFS('Prepare Gantt Chart'!S31=6,'Project types'!$O32,'Prepare Gantt Chart'!S31=5,'Project types'!$Q32,'Prepare Gantt Chart'!S31=0,0)</f>
        <v>0</v>
      </c>
      <c r="G42" s="83">
        <f>_xlfn.IFS('Prepare Gantt Chart'!T31=6,'Project types'!$O32,'Prepare Gantt Chart'!T31=5,'Project types'!$Q32,'Prepare Gantt Chart'!T31=0,0)</f>
        <v>0</v>
      </c>
      <c r="H42" s="83">
        <f>_xlfn.IFS('Prepare Gantt Chart'!U31=6,'Project types'!$O32,'Prepare Gantt Chart'!U31=5,'Project types'!$Q32,'Prepare Gantt Chart'!U31=0,0)</f>
        <v>0</v>
      </c>
      <c r="I42" s="83">
        <f>_xlfn.IFS('Prepare Gantt Chart'!V31=6,'Project types'!$O32,'Prepare Gantt Chart'!V31=5,'Project types'!$Q32,'Prepare Gantt Chart'!V31=0,0)</f>
        <v>0</v>
      </c>
      <c r="J42" s="83">
        <f>_xlfn.IFS('Prepare Gantt Chart'!W31=6,'Project types'!$O32,'Prepare Gantt Chart'!W31=5,'Project types'!$Q32,'Prepare Gantt Chart'!W31=0,0)</f>
        <v>0</v>
      </c>
      <c r="K42" s="83">
        <f>_xlfn.IFS('Prepare Gantt Chart'!X31=6,'Project types'!$O32,'Prepare Gantt Chart'!X31=5,'Project types'!$Q32,'Prepare Gantt Chart'!X31=0,0)</f>
        <v>0</v>
      </c>
      <c r="L42" s="83">
        <f>_xlfn.IFS('Prepare Gantt Chart'!Y31=6,'Project types'!$O32,'Prepare Gantt Chart'!Y31=5,'Project types'!$Q32,'Prepare Gantt Chart'!Y31=0,0)</f>
        <v>0</v>
      </c>
      <c r="M42" s="83">
        <f>_xlfn.IFS('Prepare Gantt Chart'!Z31=6,'Project types'!$O32,'Prepare Gantt Chart'!Z31=5,'Project types'!$Q32,'Prepare Gantt Chart'!Z31=0,0)</f>
        <v>0</v>
      </c>
      <c r="N42" s="83">
        <f>_xlfn.IFS('Prepare Gantt Chart'!AA31=6,'Project types'!$O32,'Prepare Gantt Chart'!AA31=5,'Project types'!$Q32,'Prepare Gantt Chart'!AA31=0,0)</f>
        <v>0</v>
      </c>
      <c r="O42" s="83">
        <f>_xlfn.IFS('Prepare Gantt Chart'!AB31=6,'Project types'!$O32,'Prepare Gantt Chart'!AB31=5,'Project types'!$Q32,'Prepare Gantt Chart'!AB31=0,0)</f>
        <v>0</v>
      </c>
      <c r="P42" s="83">
        <f>_xlfn.IFS('Prepare Gantt Chart'!AC31=6,'Project types'!$O32,'Prepare Gantt Chart'!AC31=5,'Project types'!$Q32,'Prepare Gantt Chart'!AC31=0,0)</f>
        <v>0</v>
      </c>
      <c r="Q42" s="83">
        <f>_xlfn.IFS('Prepare Gantt Chart'!AD31=6,'Project types'!$O32,'Prepare Gantt Chart'!AD31=5,'Project types'!$Q32,'Prepare Gantt Chart'!AD31=0,0)</f>
        <v>0</v>
      </c>
      <c r="R42" s="83">
        <f>_xlfn.IFS('Prepare Gantt Chart'!AE31=6,'Project types'!$O32,'Prepare Gantt Chart'!AE31=5,'Project types'!$Q32,'Prepare Gantt Chart'!AE31=0,0)</f>
        <v>0</v>
      </c>
      <c r="S42" s="83">
        <f>_xlfn.IFS('Prepare Gantt Chart'!AF31=6,'Project types'!$O32,'Prepare Gantt Chart'!AF31=5,'Project types'!$Q32,'Prepare Gantt Chart'!AF31=0,0)</f>
        <v>0</v>
      </c>
      <c r="T42" s="83">
        <f>_xlfn.IFS('Prepare Gantt Chart'!AG31=6,'Project types'!$O32,'Prepare Gantt Chart'!AG31=5,'Project types'!$Q32,'Prepare Gantt Chart'!AG31=0,0)</f>
        <v>0</v>
      </c>
      <c r="U42" s="83">
        <f>_xlfn.IFS('Prepare Gantt Chart'!AH31=6,'Project types'!$O32,'Prepare Gantt Chart'!AH31=5,'Project types'!$Q32,'Prepare Gantt Chart'!AH31=0,0)</f>
        <v>0</v>
      </c>
      <c r="V42" s="83">
        <f>_xlfn.IFS('Prepare Gantt Chart'!AI31=6,'Project types'!$O32,'Prepare Gantt Chart'!AI31=5,'Project types'!$Q32,'Prepare Gantt Chart'!AI31=0,0)</f>
        <v>0</v>
      </c>
      <c r="W42" s="83">
        <f>_xlfn.IFS('Prepare Gantt Chart'!AJ31=6,'Project types'!$O32,'Prepare Gantt Chart'!AJ31=5,'Project types'!$Q32,'Prepare Gantt Chart'!AJ31=0,0)</f>
        <v>0</v>
      </c>
      <c r="X42" s="83">
        <f>_xlfn.IFS('Prepare Gantt Chart'!AK31=6,'Project types'!$O32,'Prepare Gantt Chart'!AK31=5,'Project types'!$Q32,'Prepare Gantt Chart'!AK31=0,0)</f>
        <v>0</v>
      </c>
      <c r="Y42" s="83">
        <f>_xlfn.IFS('Prepare Gantt Chart'!AL31=6,'Project types'!$O32,'Prepare Gantt Chart'!AL31=5,'Project types'!$Q32,'Prepare Gantt Chart'!AL31=0,0)</f>
        <v>0</v>
      </c>
      <c r="Z42" s="83">
        <f>_xlfn.IFS('Prepare Gantt Chart'!AM31=6,'Project types'!$O32,'Prepare Gantt Chart'!AM31=5,'Project types'!$Q32,'Prepare Gantt Chart'!AM31=0,0)</f>
        <v>0</v>
      </c>
      <c r="AA42" s="83">
        <f>_xlfn.IFS('Prepare Gantt Chart'!AN31=6,'Project types'!$O32,'Prepare Gantt Chart'!AN31=5,'Project types'!$Q32,'Prepare Gantt Chart'!AN31=0,0)</f>
        <v>0</v>
      </c>
      <c r="AB42" s="83">
        <f>_xlfn.IFS('Prepare Gantt Chart'!AO31=6,'Project types'!$O32,'Prepare Gantt Chart'!AO31=5,'Project types'!$Q32,'Prepare Gantt Chart'!AO31=0,0)</f>
        <v>0</v>
      </c>
      <c r="AC42" s="93">
        <f t="shared" si="0"/>
        <v>0</v>
      </c>
      <c r="AD42" s="86">
        <f>_xlfn.IFS('Prepare Gantt Chart'!P31=6,'Project types'!$L32,'Prepare Gantt Chart'!P31=5,'Project types'!$L32,'Prepare Gantt Chart'!P31=0,0)</f>
        <v>0</v>
      </c>
      <c r="AE42" s="83">
        <f>_xlfn.IFS('Prepare Gantt Chart'!Q31=6,'Project types'!$L32,'Prepare Gantt Chart'!Q31=5,'Project types'!$L32,'Prepare Gantt Chart'!Q31=0,0)</f>
        <v>0</v>
      </c>
      <c r="AF42" s="83">
        <f>_xlfn.IFS('Prepare Gantt Chart'!R31=6,'Project types'!$L32,'Prepare Gantt Chart'!R31=5,'Project types'!$L32,'Prepare Gantt Chart'!R31=0,0)</f>
        <v>0</v>
      </c>
      <c r="AG42" s="83">
        <f>_xlfn.IFS('Prepare Gantt Chart'!S31=6,'Project types'!$L32,'Prepare Gantt Chart'!S31=5,'Project types'!$L32,'Prepare Gantt Chart'!S31=0,0)</f>
        <v>0</v>
      </c>
      <c r="AH42" s="83">
        <f>_xlfn.IFS('Prepare Gantt Chart'!T31=6,'Project types'!$L32,'Prepare Gantt Chart'!T31=5,'Project types'!$L32,'Prepare Gantt Chart'!T31=0,0)</f>
        <v>0</v>
      </c>
      <c r="AI42" s="83">
        <f>_xlfn.IFS('Prepare Gantt Chart'!U31=6,'Project types'!$L32,'Prepare Gantt Chart'!U31=5,'Project types'!$L32,'Prepare Gantt Chart'!U31=0,0)</f>
        <v>0</v>
      </c>
      <c r="AJ42" s="83">
        <f>_xlfn.IFS('Prepare Gantt Chart'!V31=6,'Project types'!$L32,'Prepare Gantt Chart'!V31=5,'Project types'!$L32,'Prepare Gantt Chart'!V31=0,0)</f>
        <v>0</v>
      </c>
      <c r="AK42" s="83">
        <f>_xlfn.IFS('Prepare Gantt Chart'!W31=6,'Project types'!$L32,'Prepare Gantt Chart'!W31=5,'Project types'!$L32,'Prepare Gantt Chart'!W31=0,0)</f>
        <v>0</v>
      </c>
      <c r="AL42" s="83">
        <f>_xlfn.IFS('Prepare Gantt Chart'!X31=6,'Project types'!$L32,'Prepare Gantt Chart'!X31=5,'Project types'!$L32,'Prepare Gantt Chart'!X31=0,0)</f>
        <v>0</v>
      </c>
      <c r="AM42" s="83">
        <f>_xlfn.IFS('Prepare Gantt Chart'!Y31=6,'Project types'!$L32,'Prepare Gantt Chart'!Y31=5,'Project types'!$L32,'Prepare Gantt Chart'!Y31=0,0)</f>
        <v>0</v>
      </c>
      <c r="AN42" s="83">
        <f>_xlfn.IFS('Prepare Gantt Chart'!Z31=6,'Project types'!$L32,'Prepare Gantt Chart'!Z31=5,'Project types'!$L32,'Prepare Gantt Chart'!Z31=0,0)</f>
        <v>0</v>
      </c>
      <c r="AO42" s="83">
        <f>_xlfn.IFS('Prepare Gantt Chart'!AA31=6,'Project types'!$L32,'Prepare Gantt Chart'!AA31=5,'Project types'!$L32,'Prepare Gantt Chart'!AA31=0,0)</f>
        <v>0</v>
      </c>
      <c r="AP42" s="83">
        <f>_xlfn.IFS('Prepare Gantt Chart'!AB31=6,'Project types'!$L32,'Prepare Gantt Chart'!AB31=5,'Project types'!$L32,'Prepare Gantt Chart'!AB31=0,0)</f>
        <v>0</v>
      </c>
      <c r="AQ42" s="83">
        <f>_xlfn.IFS('Prepare Gantt Chart'!AC31=6,'Project types'!$L32,'Prepare Gantt Chart'!AC31=5,'Project types'!$L32,'Prepare Gantt Chart'!AC31=0,0)</f>
        <v>0</v>
      </c>
      <c r="AR42" s="83">
        <f>_xlfn.IFS('Prepare Gantt Chart'!AD31=6,'Project types'!$L32,'Prepare Gantt Chart'!AD31=5,'Project types'!$L32,'Prepare Gantt Chart'!AD31=0,0)</f>
        <v>0</v>
      </c>
      <c r="AS42" s="83">
        <f>_xlfn.IFS('Prepare Gantt Chart'!AE31=6,'Project types'!$L32,'Prepare Gantt Chart'!AE31=5,'Project types'!$L32,'Prepare Gantt Chart'!AE31=0,0)</f>
        <v>0</v>
      </c>
      <c r="AT42" s="83">
        <f>_xlfn.IFS('Prepare Gantt Chart'!AF31=6,'Project types'!$L32,'Prepare Gantt Chart'!AF31=5,'Project types'!$L32,'Prepare Gantt Chart'!AF31=0,0)</f>
        <v>0</v>
      </c>
      <c r="AU42" s="83">
        <f>_xlfn.IFS('Prepare Gantt Chart'!AG31=6,'Project types'!$L32,'Prepare Gantt Chart'!AG31=5,'Project types'!$L32,'Prepare Gantt Chart'!AG31=0,0)</f>
        <v>0</v>
      </c>
      <c r="AV42" s="83">
        <f>_xlfn.IFS('Prepare Gantt Chart'!AH31=6,'Project types'!$L32,'Prepare Gantt Chart'!AH31=5,'Project types'!$L32,'Prepare Gantt Chart'!AH31=0,0)</f>
        <v>0</v>
      </c>
      <c r="AW42" s="83">
        <f>_xlfn.IFS('Prepare Gantt Chart'!AI31=6,'Project types'!$L32,'Prepare Gantt Chart'!AI31=5,'Project types'!$L32,'Prepare Gantt Chart'!AI31=0,0)</f>
        <v>0</v>
      </c>
      <c r="AX42" s="83">
        <f>_xlfn.IFS('Prepare Gantt Chart'!AJ31=6,'Project types'!$L32,'Prepare Gantt Chart'!AJ31=5,'Project types'!$L32,'Prepare Gantt Chart'!AJ31=0,0)</f>
        <v>0</v>
      </c>
      <c r="AY42" s="83">
        <f>_xlfn.IFS('Prepare Gantt Chart'!AK31=6,'Project types'!$L32,'Prepare Gantt Chart'!AK31=5,'Project types'!$L32,'Prepare Gantt Chart'!AK31=0,0)</f>
        <v>0</v>
      </c>
      <c r="AZ42" s="83">
        <f>_xlfn.IFS('Prepare Gantt Chart'!AL31=6,'Project types'!$L32,'Prepare Gantt Chart'!AL31=5,'Project types'!$L32,'Prepare Gantt Chart'!AL31=0,0)</f>
        <v>0</v>
      </c>
      <c r="BA42" s="83">
        <f>_xlfn.IFS('Prepare Gantt Chart'!AM31=6,'Project types'!$L32,'Prepare Gantt Chart'!AM31=5,'Project types'!$L32,'Prepare Gantt Chart'!AM31=0,0)</f>
        <v>0</v>
      </c>
      <c r="BB42" s="83">
        <f>_xlfn.IFS('Prepare Gantt Chart'!AN31=6,'Project types'!$L32,'Prepare Gantt Chart'!AN31=5,'Project types'!$L32,'Prepare Gantt Chart'!AN31=0,0)</f>
        <v>0</v>
      </c>
      <c r="BC42" s="83">
        <f>_xlfn.IFS('Prepare Gantt Chart'!AO31=6,'Project types'!$L32,'Prepare Gantt Chart'!AO31=5,'Project types'!$L32,'Prepare Gantt Chart'!AO31=0,0)</f>
        <v>0</v>
      </c>
      <c r="BD42" s="91">
        <f t="shared" si="1"/>
        <v>0</v>
      </c>
      <c r="CI42" s="85"/>
      <c r="GY42" s="85"/>
    </row>
    <row r="43" spans="1:207" x14ac:dyDescent="0.2">
      <c r="A43" s="1" t="s">
        <v>394</v>
      </c>
      <c r="B43" s="24" t="s">
        <v>32</v>
      </c>
      <c r="C43" s="83">
        <f>_xlfn.IFS('Prepare Gantt Chart'!P32=6,'Project types'!$O33,'Prepare Gantt Chart'!P32=5,'Project types'!$Q33,'Prepare Gantt Chart'!P32=0,0)</f>
        <v>0</v>
      </c>
      <c r="D43" s="83">
        <f>_xlfn.IFS('Prepare Gantt Chart'!Q32=6,'Project types'!$O33,'Prepare Gantt Chart'!Q32=5,'Project types'!$Q33,'Prepare Gantt Chart'!Q32=0,0)</f>
        <v>0</v>
      </c>
      <c r="E43" s="83">
        <f>_xlfn.IFS('Prepare Gantt Chart'!R32=6,'Project types'!$O33,'Prepare Gantt Chart'!R32=5,'Project types'!$Q33,'Prepare Gantt Chart'!R32=0,0)</f>
        <v>0</v>
      </c>
      <c r="F43" s="83">
        <f>_xlfn.IFS('Prepare Gantt Chart'!S32=6,'Project types'!$O33,'Prepare Gantt Chart'!S32=5,'Project types'!$Q33,'Prepare Gantt Chart'!S32=0,0)</f>
        <v>0</v>
      </c>
      <c r="G43" s="83">
        <f>_xlfn.IFS('Prepare Gantt Chart'!T32=6,'Project types'!$O33,'Prepare Gantt Chart'!T32=5,'Project types'!$Q33,'Prepare Gantt Chart'!T32=0,0)</f>
        <v>0</v>
      </c>
      <c r="H43" s="83">
        <f>_xlfn.IFS('Prepare Gantt Chart'!U32=6,'Project types'!$O33,'Prepare Gantt Chart'!U32=5,'Project types'!$Q33,'Prepare Gantt Chart'!U32=0,0)</f>
        <v>0</v>
      </c>
      <c r="I43" s="83">
        <f>_xlfn.IFS('Prepare Gantt Chart'!V32=6,'Project types'!$O33,'Prepare Gantt Chart'!V32=5,'Project types'!$Q33,'Prepare Gantt Chart'!V32=0,0)</f>
        <v>0</v>
      </c>
      <c r="J43" s="83">
        <f>_xlfn.IFS('Prepare Gantt Chart'!W32=6,'Project types'!$O33,'Prepare Gantt Chart'!W32=5,'Project types'!$Q33,'Prepare Gantt Chart'!W32=0,0)</f>
        <v>0</v>
      </c>
      <c r="K43" s="83">
        <f>_xlfn.IFS('Prepare Gantt Chart'!X32=6,'Project types'!$O33,'Prepare Gantt Chart'!X32=5,'Project types'!$Q33,'Prepare Gantt Chart'!X32=0,0)</f>
        <v>0</v>
      </c>
      <c r="L43" s="83">
        <f>_xlfn.IFS('Prepare Gantt Chart'!Y32=6,'Project types'!$O33,'Prepare Gantt Chart'!Y32=5,'Project types'!$Q33,'Prepare Gantt Chart'!Y32=0,0)</f>
        <v>0</v>
      </c>
      <c r="M43" s="83">
        <f>_xlfn.IFS('Prepare Gantt Chart'!Z32=6,'Project types'!$O33,'Prepare Gantt Chart'!Z32=5,'Project types'!$Q33,'Prepare Gantt Chart'!Z32=0,0)</f>
        <v>0</v>
      </c>
      <c r="N43" s="83">
        <f>_xlfn.IFS('Prepare Gantt Chart'!AA32=6,'Project types'!$O33,'Prepare Gantt Chart'!AA32=5,'Project types'!$Q33,'Prepare Gantt Chart'!AA32=0,0)</f>
        <v>0</v>
      </c>
      <c r="O43" s="83">
        <f>_xlfn.IFS('Prepare Gantt Chart'!AB32=6,'Project types'!$O33,'Prepare Gantt Chart'!AB32=5,'Project types'!$Q33,'Prepare Gantt Chart'!AB32=0,0)</f>
        <v>0</v>
      </c>
      <c r="P43" s="83">
        <f>_xlfn.IFS('Prepare Gantt Chart'!AC32=6,'Project types'!$O33,'Prepare Gantt Chart'!AC32=5,'Project types'!$Q33,'Prepare Gantt Chart'!AC32=0,0)</f>
        <v>0</v>
      </c>
      <c r="Q43" s="83">
        <f>_xlfn.IFS('Prepare Gantt Chart'!AD32=6,'Project types'!$O33,'Prepare Gantt Chart'!AD32=5,'Project types'!$Q33,'Prepare Gantt Chart'!AD32=0,0)</f>
        <v>0</v>
      </c>
      <c r="R43" s="83">
        <f>_xlfn.IFS('Prepare Gantt Chart'!AE32=6,'Project types'!$O33,'Prepare Gantt Chart'!AE32=5,'Project types'!$Q33,'Prepare Gantt Chart'!AE32=0,0)</f>
        <v>0</v>
      </c>
      <c r="S43" s="83">
        <f>_xlfn.IFS('Prepare Gantt Chart'!AF32=6,'Project types'!$O33,'Prepare Gantt Chart'!AF32=5,'Project types'!$Q33,'Prepare Gantt Chart'!AF32=0,0)</f>
        <v>0</v>
      </c>
      <c r="T43" s="83">
        <f>_xlfn.IFS('Prepare Gantt Chart'!AG32=6,'Project types'!$O33,'Prepare Gantt Chart'!AG32=5,'Project types'!$Q33,'Prepare Gantt Chart'!AG32=0,0)</f>
        <v>0</v>
      </c>
      <c r="U43" s="83">
        <f>_xlfn.IFS('Prepare Gantt Chart'!AH32=6,'Project types'!$O33,'Prepare Gantt Chart'!AH32=5,'Project types'!$Q33,'Prepare Gantt Chart'!AH32=0,0)</f>
        <v>0</v>
      </c>
      <c r="V43" s="83">
        <f>_xlfn.IFS('Prepare Gantt Chart'!AI32=6,'Project types'!$O33,'Prepare Gantt Chart'!AI32=5,'Project types'!$Q33,'Prepare Gantt Chart'!AI32=0,0)</f>
        <v>0</v>
      </c>
      <c r="W43" s="83">
        <f>_xlfn.IFS('Prepare Gantt Chart'!AJ32=6,'Project types'!$O33,'Prepare Gantt Chart'!AJ32=5,'Project types'!$Q33,'Prepare Gantt Chart'!AJ32=0,0)</f>
        <v>0</v>
      </c>
      <c r="X43" s="83">
        <f>_xlfn.IFS('Prepare Gantt Chart'!AK32=6,'Project types'!$O33,'Prepare Gantt Chart'!AK32=5,'Project types'!$Q33,'Prepare Gantt Chart'!AK32=0,0)</f>
        <v>0</v>
      </c>
      <c r="Y43" s="83">
        <f>_xlfn.IFS('Prepare Gantt Chart'!AL32=6,'Project types'!$O33,'Prepare Gantt Chart'!AL32=5,'Project types'!$Q33,'Prepare Gantt Chart'!AL32=0,0)</f>
        <v>0</v>
      </c>
      <c r="Z43" s="83">
        <f>_xlfn.IFS('Prepare Gantt Chart'!AM32=6,'Project types'!$O33,'Prepare Gantt Chart'!AM32=5,'Project types'!$Q33,'Prepare Gantt Chart'!AM32=0,0)</f>
        <v>0</v>
      </c>
      <c r="AA43" s="83">
        <f>_xlfn.IFS('Prepare Gantt Chart'!AN32=6,'Project types'!$O33,'Prepare Gantt Chart'!AN32=5,'Project types'!$Q33,'Prepare Gantt Chart'!AN32=0,0)</f>
        <v>0</v>
      </c>
      <c r="AB43" s="83">
        <f>_xlfn.IFS('Prepare Gantt Chart'!AO32=6,'Project types'!$O33,'Prepare Gantt Chart'!AO32=5,'Project types'!$Q33,'Prepare Gantt Chart'!AO32=0,0)</f>
        <v>0</v>
      </c>
      <c r="AC43" s="93">
        <f t="shared" si="0"/>
        <v>0</v>
      </c>
      <c r="AD43" s="86">
        <f>_xlfn.IFS('Prepare Gantt Chart'!P32=6,'Project types'!$L33,'Prepare Gantt Chart'!P32=5,'Project types'!$L33,'Prepare Gantt Chart'!P32=0,0)</f>
        <v>0</v>
      </c>
      <c r="AE43" s="83">
        <f>_xlfn.IFS('Prepare Gantt Chart'!Q32=6,'Project types'!$L33,'Prepare Gantt Chart'!Q32=5,'Project types'!$L33,'Prepare Gantt Chart'!Q32=0,0)</f>
        <v>0</v>
      </c>
      <c r="AF43" s="83">
        <f>_xlfn.IFS('Prepare Gantt Chart'!R32=6,'Project types'!$L33,'Prepare Gantt Chart'!R32=5,'Project types'!$L33,'Prepare Gantt Chart'!R32=0,0)</f>
        <v>0</v>
      </c>
      <c r="AG43" s="83">
        <f>_xlfn.IFS('Prepare Gantt Chart'!S32=6,'Project types'!$L33,'Prepare Gantt Chart'!S32=5,'Project types'!$L33,'Prepare Gantt Chart'!S32=0,0)</f>
        <v>0</v>
      </c>
      <c r="AH43" s="83">
        <f>_xlfn.IFS('Prepare Gantt Chart'!T32=6,'Project types'!$L33,'Prepare Gantt Chart'!T32=5,'Project types'!$L33,'Prepare Gantt Chart'!T32=0,0)</f>
        <v>0</v>
      </c>
      <c r="AI43" s="83">
        <f>_xlfn.IFS('Prepare Gantt Chart'!U32=6,'Project types'!$L33,'Prepare Gantt Chart'!U32=5,'Project types'!$L33,'Prepare Gantt Chart'!U32=0,0)</f>
        <v>0</v>
      </c>
      <c r="AJ43" s="83">
        <f>_xlfn.IFS('Prepare Gantt Chart'!V32=6,'Project types'!$L33,'Prepare Gantt Chart'!V32=5,'Project types'!$L33,'Prepare Gantt Chart'!V32=0,0)</f>
        <v>0</v>
      </c>
      <c r="AK43" s="83">
        <f>_xlfn.IFS('Prepare Gantt Chart'!W32=6,'Project types'!$L33,'Prepare Gantt Chart'!W32=5,'Project types'!$L33,'Prepare Gantt Chart'!W32=0,0)</f>
        <v>0</v>
      </c>
      <c r="AL43" s="83">
        <f>_xlfn.IFS('Prepare Gantt Chart'!X32=6,'Project types'!$L33,'Prepare Gantt Chart'!X32=5,'Project types'!$L33,'Prepare Gantt Chart'!X32=0,0)</f>
        <v>0</v>
      </c>
      <c r="AM43" s="83">
        <f>_xlfn.IFS('Prepare Gantt Chart'!Y32=6,'Project types'!$L33,'Prepare Gantt Chart'!Y32=5,'Project types'!$L33,'Prepare Gantt Chart'!Y32=0,0)</f>
        <v>0</v>
      </c>
      <c r="AN43" s="83">
        <f>_xlfn.IFS('Prepare Gantt Chart'!Z32=6,'Project types'!$L33,'Prepare Gantt Chart'!Z32=5,'Project types'!$L33,'Prepare Gantt Chart'!Z32=0,0)</f>
        <v>0</v>
      </c>
      <c r="AO43" s="83">
        <f>_xlfn.IFS('Prepare Gantt Chart'!AA32=6,'Project types'!$L33,'Prepare Gantt Chart'!AA32=5,'Project types'!$L33,'Prepare Gantt Chart'!AA32=0,0)</f>
        <v>0</v>
      </c>
      <c r="AP43" s="83">
        <f>_xlfn.IFS('Prepare Gantt Chart'!AB32=6,'Project types'!$L33,'Prepare Gantt Chart'!AB32=5,'Project types'!$L33,'Prepare Gantt Chart'!AB32=0,0)</f>
        <v>0</v>
      </c>
      <c r="AQ43" s="83">
        <f>_xlfn.IFS('Prepare Gantt Chart'!AC32=6,'Project types'!$L33,'Prepare Gantt Chart'!AC32=5,'Project types'!$L33,'Prepare Gantt Chart'!AC32=0,0)</f>
        <v>0</v>
      </c>
      <c r="AR43" s="83">
        <f>_xlfn.IFS('Prepare Gantt Chart'!AD32=6,'Project types'!$L33,'Prepare Gantt Chart'!AD32=5,'Project types'!$L33,'Prepare Gantt Chart'!AD32=0,0)</f>
        <v>0</v>
      </c>
      <c r="AS43" s="83">
        <f>_xlfn.IFS('Prepare Gantt Chart'!AE32=6,'Project types'!$L33,'Prepare Gantt Chart'!AE32=5,'Project types'!$L33,'Prepare Gantt Chart'!AE32=0,0)</f>
        <v>0</v>
      </c>
      <c r="AT43" s="83">
        <f>_xlfn.IFS('Prepare Gantt Chart'!AF32=6,'Project types'!$L33,'Prepare Gantt Chart'!AF32=5,'Project types'!$L33,'Prepare Gantt Chart'!AF32=0,0)</f>
        <v>0</v>
      </c>
      <c r="AU43" s="83">
        <f>_xlfn.IFS('Prepare Gantt Chart'!AG32=6,'Project types'!$L33,'Prepare Gantt Chart'!AG32=5,'Project types'!$L33,'Prepare Gantt Chart'!AG32=0,0)</f>
        <v>0</v>
      </c>
      <c r="AV43" s="83">
        <f>_xlfn.IFS('Prepare Gantt Chart'!AH32=6,'Project types'!$L33,'Prepare Gantt Chart'!AH32=5,'Project types'!$L33,'Prepare Gantt Chart'!AH32=0,0)</f>
        <v>0</v>
      </c>
      <c r="AW43" s="83">
        <f>_xlfn.IFS('Prepare Gantt Chart'!AI32=6,'Project types'!$L33,'Prepare Gantt Chart'!AI32=5,'Project types'!$L33,'Prepare Gantt Chart'!AI32=0,0)</f>
        <v>0</v>
      </c>
      <c r="AX43" s="83">
        <f>_xlfn.IFS('Prepare Gantt Chart'!AJ32=6,'Project types'!$L33,'Prepare Gantt Chart'!AJ32=5,'Project types'!$L33,'Prepare Gantt Chart'!AJ32=0,0)</f>
        <v>0</v>
      </c>
      <c r="AY43" s="83">
        <f>_xlfn.IFS('Prepare Gantt Chart'!AK32=6,'Project types'!$L33,'Prepare Gantt Chart'!AK32=5,'Project types'!$L33,'Prepare Gantt Chart'!AK32=0,0)</f>
        <v>0</v>
      </c>
      <c r="AZ43" s="83">
        <f>_xlfn.IFS('Prepare Gantt Chart'!AL32=6,'Project types'!$L33,'Prepare Gantt Chart'!AL32=5,'Project types'!$L33,'Prepare Gantt Chart'!AL32=0,0)</f>
        <v>0</v>
      </c>
      <c r="BA43" s="83">
        <f>_xlfn.IFS('Prepare Gantt Chart'!AM32=6,'Project types'!$L33,'Prepare Gantt Chart'!AM32=5,'Project types'!$L33,'Prepare Gantt Chart'!AM32=0,0)</f>
        <v>0</v>
      </c>
      <c r="BB43" s="83">
        <f>_xlfn.IFS('Prepare Gantt Chart'!AN32=6,'Project types'!$L33,'Prepare Gantt Chart'!AN32=5,'Project types'!$L33,'Prepare Gantt Chart'!AN32=0,0)</f>
        <v>0</v>
      </c>
      <c r="BC43" s="83">
        <f>_xlfn.IFS('Prepare Gantt Chart'!AO32=6,'Project types'!$L33,'Prepare Gantt Chart'!AO32=5,'Project types'!$L33,'Prepare Gantt Chart'!AO32=0,0)</f>
        <v>0</v>
      </c>
      <c r="BD43" s="91">
        <f t="shared" si="1"/>
        <v>0</v>
      </c>
      <c r="CI43" s="85"/>
      <c r="GY43" s="85"/>
    </row>
    <row r="44" spans="1:207" x14ac:dyDescent="0.2">
      <c r="A44" s="1" t="s">
        <v>125</v>
      </c>
      <c r="B44" s="24" t="s">
        <v>33</v>
      </c>
      <c r="C44" s="83">
        <f>_xlfn.IFS('Prepare Gantt Chart'!P33=6,'Project types'!$O34,'Prepare Gantt Chart'!P33=5,'Project types'!$Q34,'Prepare Gantt Chart'!P33=0,0)</f>
        <v>0</v>
      </c>
      <c r="D44" s="83">
        <f>_xlfn.IFS('Prepare Gantt Chart'!Q33=6,'Project types'!$O34,'Prepare Gantt Chart'!Q33=5,'Project types'!$Q34,'Prepare Gantt Chart'!Q33=0,0)</f>
        <v>0</v>
      </c>
      <c r="E44" s="83">
        <f>_xlfn.IFS('Prepare Gantt Chart'!R33=6,'Project types'!$O34,'Prepare Gantt Chart'!R33=5,'Project types'!$Q34,'Prepare Gantt Chart'!R33=0,0)</f>
        <v>0</v>
      </c>
      <c r="F44" s="83">
        <f>_xlfn.IFS('Prepare Gantt Chart'!S33=6,'Project types'!$O34,'Prepare Gantt Chart'!S33=5,'Project types'!$Q34,'Prepare Gantt Chart'!S33=0,0)</f>
        <v>0</v>
      </c>
      <c r="G44" s="83">
        <f>_xlfn.IFS('Prepare Gantt Chart'!T33=6,'Project types'!$O34,'Prepare Gantt Chart'!T33=5,'Project types'!$Q34,'Prepare Gantt Chart'!T33=0,0)</f>
        <v>0</v>
      </c>
      <c r="H44" s="83">
        <f>_xlfn.IFS('Prepare Gantt Chart'!U33=6,'Project types'!$O34,'Prepare Gantt Chart'!U33=5,'Project types'!$Q34,'Prepare Gantt Chart'!U33=0,0)</f>
        <v>0</v>
      </c>
      <c r="I44" s="83">
        <f>_xlfn.IFS('Prepare Gantt Chart'!V33=6,'Project types'!$O34,'Prepare Gantt Chart'!V33=5,'Project types'!$Q34,'Prepare Gantt Chart'!V33=0,0)</f>
        <v>0</v>
      </c>
      <c r="J44" s="83">
        <f>_xlfn.IFS('Prepare Gantt Chart'!W33=6,'Project types'!$O34,'Prepare Gantt Chart'!W33=5,'Project types'!$Q34,'Prepare Gantt Chart'!W33=0,0)</f>
        <v>0</v>
      </c>
      <c r="K44" s="83">
        <f>_xlfn.IFS('Prepare Gantt Chart'!X33=6,'Project types'!$O34,'Prepare Gantt Chart'!X33=5,'Project types'!$Q34,'Prepare Gantt Chart'!X33=0,0)</f>
        <v>0</v>
      </c>
      <c r="L44" s="83">
        <f>_xlfn.IFS('Prepare Gantt Chart'!Y33=6,'Project types'!$O34,'Prepare Gantt Chart'!Y33=5,'Project types'!$Q34,'Prepare Gantt Chart'!Y33=0,0)</f>
        <v>0</v>
      </c>
      <c r="M44" s="83">
        <f>_xlfn.IFS('Prepare Gantt Chart'!Z33=6,'Project types'!$O34,'Prepare Gantt Chart'!Z33=5,'Project types'!$Q34,'Prepare Gantt Chart'!Z33=0,0)</f>
        <v>0</v>
      </c>
      <c r="N44" s="83">
        <f>_xlfn.IFS('Prepare Gantt Chart'!AA33=6,'Project types'!$O34,'Prepare Gantt Chart'!AA33=5,'Project types'!$Q34,'Prepare Gantt Chart'!AA33=0,0)</f>
        <v>0</v>
      </c>
      <c r="O44" s="83">
        <f>_xlfn.IFS('Prepare Gantt Chart'!AB33=6,'Project types'!$O34,'Prepare Gantt Chart'!AB33=5,'Project types'!$Q34,'Prepare Gantt Chart'!AB33=0,0)</f>
        <v>0</v>
      </c>
      <c r="P44" s="83">
        <f>_xlfn.IFS('Prepare Gantt Chart'!AC33=6,'Project types'!$O34,'Prepare Gantt Chart'!AC33=5,'Project types'!$Q34,'Prepare Gantt Chart'!AC33=0,0)</f>
        <v>0</v>
      </c>
      <c r="Q44" s="83">
        <f>_xlfn.IFS('Prepare Gantt Chart'!AD33=6,'Project types'!$O34,'Prepare Gantt Chart'!AD33=5,'Project types'!$Q34,'Prepare Gantt Chart'!AD33=0,0)</f>
        <v>0</v>
      </c>
      <c r="R44" s="83">
        <f>_xlfn.IFS('Prepare Gantt Chart'!AE33=6,'Project types'!$O34,'Prepare Gantt Chart'!AE33=5,'Project types'!$Q34,'Prepare Gantt Chart'!AE33=0,0)</f>
        <v>0</v>
      </c>
      <c r="S44" s="83">
        <f>_xlfn.IFS('Prepare Gantt Chart'!AF33=6,'Project types'!$O34,'Prepare Gantt Chart'!AF33=5,'Project types'!$Q34,'Prepare Gantt Chart'!AF33=0,0)</f>
        <v>0</v>
      </c>
      <c r="T44" s="83">
        <f>_xlfn.IFS('Prepare Gantt Chart'!AG33=6,'Project types'!$O34,'Prepare Gantt Chart'!AG33=5,'Project types'!$Q34,'Prepare Gantt Chart'!AG33=0,0)</f>
        <v>0</v>
      </c>
      <c r="U44" s="83">
        <f>_xlfn.IFS('Prepare Gantt Chart'!AH33=6,'Project types'!$O34,'Prepare Gantt Chart'!AH33=5,'Project types'!$Q34,'Prepare Gantt Chart'!AH33=0,0)</f>
        <v>0</v>
      </c>
      <c r="V44" s="83">
        <f>_xlfn.IFS('Prepare Gantt Chart'!AI33=6,'Project types'!$O34,'Prepare Gantt Chart'!AI33=5,'Project types'!$Q34,'Prepare Gantt Chart'!AI33=0,0)</f>
        <v>0</v>
      </c>
      <c r="W44" s="83">
        <f>_xlfn.IFS('Prepare Gantt Chart'!AJ33=6,'Project types'!$O34,'Prepare Gantt Chart'!AJ33=5,'Project types'!$Q34,'Prepare Gantt Chart'!AJ33=0,0)</f>
        <v>0</v>
      </c>
      <c r="X44" s="83">
        <f>_xlfn.IFS('Prepare Gantt Chart'!AK33=6,'Project types'!$O34,'Prepare Gantt Chart'!AK33=5,'Project types'!$Q34,'Prepare Gantt Chart'!AK33=0,0)</f>
        <v>0</v>
      </c>
      <c r="Y44" s="83">
        <f>_xlfn.IFS('Prepare Gantt Chart'!AL33=6,'Project types'!$O34,'Prepare Gantt Chart'!AL33=5,'Project types'!$Q34,'Prepare Gantt Chart'!AL33=0,0)</f>
        <v>0</v>
      </c>
      <c r="Z44" s="83">
        <f>_xlfn.IFS('Prepare Gantt Chart'!AM33=6,'Project types'!$O34,'Prepare Gantt Chart'!AM33=5,'Project types'!$Q34,'Prepare Gantt Chart'!AM33=0,0)</f>
        <v>0</v>
      </c>
      <c r="AA44" s="83">
        <f>_xlfn.IFS('Prepare Gantt Chart'!AN33=6,'Project types'!$O34,'Prepare Gantt Chart'!AN33=5,'Project types'!$Q34,'Prepare Gantt Chart'!AN33=0,0)</f>
        <v>0</v>
      </c>
      <c r="AB44" s="83">
        <f>_xlfn.IFS('Prepare Gantt Chart'!AO33=6,'Project types'!$O34,'Prepare Gantt Chart'!AO33=5,'Project types'!$Q34,'Prepare Gantt Chart'!AO33=0,0)</f>
        <v>0</v>
      </c>
      <c r="AC44" s="93">
        <f t="shared" si="0"/>
        <v>0</v>
      </c>
      <c r="AD44" s="86">
        <f>_xlfn.IFS('Prepare Gantt Chart'!P33=6,'Project types'!$L34,'Prepare Gantt Chart'!P33=5,'Project types'!$L34,'Prepare Gantt Chart'!P33=0,0)</f>
        <v>0</v>
      </c>
      <c r="AE44" s="83">
        <f>_xlfn.IFS('Prepare Gantt Chart'!Q33=6,'Project types'!$L34,'Prepare Gantt Chart'!Q33=5,'Project types'!$L34,'Prepare Gantt Chart'!Q33=0,0)</f>
        <v>0</v>
      </c>
      <c r="AF44" s="83">
        <f>_xlfn.IFS('Prepare Gantt Chart'!R33=6,'Project types'!$L34,'Prepare Gantt Chart'!R33=5,'Project types'!$L34,'Prepare Gantt Chart'!R33=0,0)</f>
        <v>0</v>
      </c>
      <c r="AG44" s="83">
        <f>_xlfn.IFS('Prepare Gantt Chart'!S33=6,'Project types'!$L34,'Prepare Gantt Chart'!S33=5,'Project types'!$L34,'Prepare Gantt Chart'!S33=0,0)</f>
        <v>0</v>
      </c>
      <c r="AH44" s="83">
        <f>_xlfn.IFS('Prepare Gantt Chart'!T33=6,'Project types'!$L34,'Prepare Gantt Chart'!T33=5,'Project types'!$L34,'Prepare Gantt Chart'!T33=0,0)</f>
        <v>0</v>
      </c>
      <c r="AI44" s="83">
        <f>_xlfn.IFS('Prepare Gantt Chart'!U33=6,'Project types'!$L34,'Prepare Gantt Chart'!U33=5,'Project types'!$L34,'Prepare Gantt Chart'!U33=0,0)</f>
        <v>0</v>
      </c>
      <c r="AJ44" s="83">
        <f>_xlfn.IFS('Prepare Gantt Chart'!V33=6,'Project types'!$L34,'Prepare Gantt Chart'!V33=5,'Project types'!$L34,'Prepare Gantt Chart'!V33=0,0)</f>
        <v>0</v>
      </c>
      <c r="AK44" s="83">
        <f>_xlfn.IFS('Prepare Gantt Chart'!W33=6,'Project types'!$L34,'Prepare Gantt Chart'!W33=5,'Project types'!$L34,'Prepare Gantt Chart'!W33=0,0)</f>
        <v>0</v>
      </c>
      <c r="AL44" s="83">
        <f>_xlfn.IFS('Prepare Gantt Chart'!X33=6,'Project types'!$L34,'Prepare Gantt Chart'!X33=5,'Project types'!$L34,'Prepare Gantt Chart'!X33=0,0)</f>
        <v>0</v>
      </c>
      <c r="AM44" s="83">
        <f>_xlfn.IFS('Prepare Gantt Chart'!Y33=6,'Project types'!$L34,'Prepare Gantt Chart'!Y33=5,'Project types'!$L34,'Prepare Gantt Chart'!Y33=0,0)</f>
        <v>0</v>
      </c>
      <c r="AN44" s="83">
        <f>_xlfn.IFS('Prepare Gantt Chart'!Z33=6,'Project types'!$L34,'Prepare Gantt Chart'!Z33=5,'Project types'!$L34,'Prepare Gantt Chart'!Z33=0,0)</f>
        <v>0</v>
      </c>
      <c r="AO44" s="83">
        <f>_xlfn.IFS('Prepare Gantt Chart'!AA33=6,'Project types'!$L34,'Prepare Gantt Chart'!AA33=5,'Project types'!$L34,'Prepare Gantt Chart'!AA33=0,0)</f>
        <v>0</v>
      </c>
      <c r="AP44" s="83">
        <f>_xlfn.IFS('Prepare Gantt Chart'!AB33=6,'Project types'!$L34,'Prepare Gantt Chart'!AB33=5,'Project types'!$L34,'Prepare Gantt Chart'!AB33=0,0)</f>
        <v>0</v>
      </c>
      <c r="AQ44" s="83">
        <f>_xlfn.IFS('Prepare Gantt Chart'!AC33=6,'Project types'!$L34,'Prepare Gantt Chart'!AC33=5,'Project types'!$L34,'Prepare Gantt Chart'!AC33=0,0)</f>
        <v>0</v>
      </c>
      <c r="AR44" s="83">
        <f>_xlfn.IFS('Prepare Gantt Chart'!AD33=6,'Project types'!$L34,'Prepare Gantt Chart'!AD33=5,'Project types'!$L34,'Prepare Gantt Chart'!AD33=0,0)</f>
        <v>0</v>
      </c>
      <c r="AS44" s="83">
        <f>_xlfn.IFS('Prepare Gantt Chart'!AE33=6,'Project types'!$L34,'Prepare Gantt Chart'!AE33=5,'Project types'!$L34,'Prepare Gantt Chart'!AE33=0,0)</f>
        <v>0</v>
      </c>
      <c r="AT44" s="83">
        <f>_xlfn.IFS('Prepare Gantt Chart'!AF33=6,'Project types'!$L34,'Prepare Gantt Chart'!AF33=5,'Project types'!$L34,'Prepare Gantt Chart'!AF33=0,0)</f>
        <v>0</v>
      </c>
      <c r="AU44" s="83">
        <f>_xlfn.IFS('Prepare Gantt Chart'!AG33=6,'Project types'!$L34,'Prepare Gantt Chart'!AG33=5,'Project types'!$L34,'Prepare Gantt Chart'!AG33=0,0)</f>
        <v>0</v>
      </c>
      <c r="AV44" s="83">
        <f>_xlfn.IFS('Prepare Gantt Chart'!AH33=6,'Project types'!$L34,'Prepare Gantt Chart'!AH33=5,'Project types'!$L34,'Prepare Gantt Chart'!AH33=0,0)</f>
        <v>0</v>
      </c>
      <c r="AW44" s="83">
        <f>_xlfn.IFS('Prepare Gantt Chart'!AI33=6,'Project types'!$L34,'Prepare Gantt Chart'!AI33=5,'Project types'!$L34,'Prepare Gantt Chart'!AI33=0,0)</f>
        <v>0</v>
      </c>
      <c r="AX44" s="83">
        <f>_xlfn.IFS('Prepare Gantt Chart'!AJ33=6,'Project types'!$L34,'Prepare Gantt Chart'!AJ33=5,'Project types'!$L34,'Prepare Gantt Chart'!AJ33=0,0)</f>
        <v>0</v>
      </c>
      <c r="AY44" s="83">
        <f>_xlfn.IFS('Prepare Gantt Chart'!AK33=6,'Project types'!$L34,'Prepare Gantt Chart'!AK33=5,'Project types'!$L34,'Prepare Gantt Chart'!AK33=0,0)</f>
        <v>0</v>
      </c>
      <c r="AZ44" s="83">
        <f>_xlfn.IFS('Prepare Gantt Chart'!AL33=6,'Project types'!$L34,'Prepare Gantt Chart'!AL33=5,'Project types'!$L34,'Prepare Gantt Chart'!AL33=0,0)</f>
        <v>0</v>
      </c>
      <c r="BA44" s="83">
        <f>_xlfn.IFS('Prepare Gantt Chart'!AM33=6,'Project types'!$L34,'Prepare Gantt Chart'!AM33=5,'Project types'!$L34,'Prepare Gantt Chart'!AM33=0,0)</f>
        <v>0</v>
      </c>
      <c r="BB44" s="83">
        <f>_xlfn.IFS('Prepare Gantt Chart'!AN33=6,'Project types'!$L34,'Prepare Gantt Chart'!AN33=5,'Project types'!$L34,'Prepare Gantt Chart'!AN33=0,0)</f>
        <v>0</v>
      </c>
      <c r="BC44" s="83">
        <f>_xlfn.IFS('Prepare Gantt Chart'!AO33=6,'Project types'!$L34,'Prepare Gantt Chart'!AO33=5,'Project types'!$L34,'Prepare Gantt Chart'!AO33=0,0)</f>
        <v>0</v>
      </c>
      <c r="BD44" s="91">
        <f t="shared" si="1"/>
        <v>0</v>
      </c>
      <c r="CI44" s="85"/>
      <c r="GY44" s="85"/>
    </row>
    <row r="45" spans="1:207" ht="16" thickBot="1" x14ac:dyDescent="0.25">
      <c r="A45" s="8" t="s">
        <v>118</v>
      </c>
      <c r="B45" s="25" t="s">
        <v>34</v>
      </c>
      <c r="C45" s="89">
        <f>_xlfn.IFS('Prepare Gantt Chart'!P34=6,'Project types'!$O35,'Prepare Gantt Chart'!P34=5,'Project types'!$Q35,'Prepare Gantt Chart'!P34=0,0)</f>
        <v>0</v>
      </c>
      <c r="D45" s="89">
        <f>_xlfn.IFS('Prepare Gantt Chart'!Q34=6,'Project types'!$O35,'Prepare Gantt Chart'!Q34=5,'Project types'!$Q35,'Prepare Gantt Chart'!Q34=0,0)</f>
        <v>0</v>
      </c>
      <c r="E45" s="89">
        <f>_xlfn.IFS('Prepare Gantt Chart'!R34=6,'Project types'!$O35,'Prepare Gantt Chart'!R34=5,'Project types'!$Q35,'Prepare Gantt Chart'!R34=0,0)</f>
        <v>0</v>
      </c>
      <c r="F45" s="89">
        <f>_xlfn.IFS('Prepare Gantt Chart'!S34=6,'Project types'!$O35,'Prepare Gantt Chart'!S34=5,'Project types'!$Q35,'Prepare Gantt Chart'!S34=0,0)</f>
        <v>0</v>
      </c>
      <c r="G45" s="89">
        <f>_xlfn.IFS('Prepare Gantt Chart'!T34=6,'Project types'!$O35,'Prepare Gantt Chart'!T34=5,'Project types'!$Q35,'Prepare Gantt Chart'!T34=0,0)</f>
        <v>0</v>
      </c>
      <c r="H45" s="89">
        <f>_xlfn.IFS('Prepare Gantt Chart'!U34=6,'Project types'!$O35,'Prepare Gantt Chart'!U34=5,'Project types'!$Q35,'Prepare Gantt Chart'!U34=0,0)</f>
        <v>0</v>
      </c>
      <c r="I45" s="89">
        <f>_xlfn.IFS('Prepare Gantt Chart'!V34=6,'Project types'!$O35,'Prepare Gantt Chart'!V34=5,'Project types'!$Q35,'Prepare Gantt Chart'!V34=0,0)</f>
        <v>0</v>
      </c>
      <c r="J45" s="89">
        <f>_xlfn.IFS('Prepare Gantt Chart'!W34=6,'Project types'!$O35,'Prepare Gantt Chart'!W34=5,'Project types'!$Q35,'Prepare Gantt Chart'!W34=0,0)</f>
        <v>0</v>
      </c>
      <c r="K45" s="89">
        <f>_xlfn.IFS('Prepare Gantt Chart'!X34=6,'Project types'!$O35,'Prepare Gantt Chart'!X34=5,'Project types'!$Q35,'Prepare Gantt Chart'!X34=0,0)</f>
        <v>0</v>
      </c>
      <c r="L45" s="89">
        <f>_xlfn.IFS('Prepare Gantt Chart'!Y34=6,'Project types'!$O35,'Prepare Gantt Chart'!Y34=5,'Project types'!$Q35,'Prepare Gantt Chart'!Y34=0,0)</f>
        <v>0</v>
      </c>
      <c r="M45" s="89">
        <f>_xlfn.IFS('Prepare Gantt Chart'!Z34=6,'Project types'!$O35,'Prepare Gantt Chart'!Z34=5,'Project types'!$Q35,'Prepare Gantt Chart'!Z34=0,0)</f>
        <v>0</v>
      </c>
      <c r="N45" s="89">
        <f>_xlfn.IFS('Prepare Gantt Chart'!AA34=6,'Project types'!$O35,'Prepare Gantt Chart'!AA34=5,'Project types'!$Q35,'Prepare Gantt Chart'!AA34=0,0)</f>
        <v>0</v>
      </c>
      <c r="O45" s="89">
        <f>_xlfn.IFS('Prepare Gantt Chart'!AB34=6,'Project types'!$O35,'Prepare Gantt Chart'!AB34=5,'Project types'!$Q35,'Prepare Gantt Chart'!AB34=0,0)</f>
        <v>0</v>
      </c>
      <c r="P45" s="89">
        <f>_xlfn.IFS('Prepare Gantt Chart'!AC34=6,'Project types'!$O35,'Prepare Gantt Chart'!AC34=5,'Project types'!$Q35,'Prepare Gantt Chart'!AC34=0,0)</f>
        <v>0</v>
      </c>
      <c r="Q45" s="89">
        <f>_xlfn.IFS('Prepare Gantt Chart'!AD34=6,'Project types'!$O35,'Prepare Gantt Chart'!AD34=5,'Project types'!$Q35,'Prepare Gantt Chart'!AD34=0,0)</f>
        <v>0</v>
      </c>
      <c r="R45" s="89">
        <f>_xlfn.IFS('Prepare Gantt Chart'!AE34=6,'Project types'!$O35,'Prepare Gantt Chart'!AE34=5,'Project types'!$Q35,'Prepare Gantt Chart'!AE34=0,0)</f>
        <v>0</v>
      </c>
      <c r="S45" s="89">
        <f>_xlfn.IFS('Prepare Gantt Chart'!AF34=6,'Project types'!$O35,'Prepare Gantt Chart'!AF34=5,'Project types'!$Q35,'Prepare Gantt Chart'!AF34=0,0)</f>
        <v>0</v>
      </c>
      <c r="T45" s="89">
        <f>_xlfn.IFS('Prepare Gantt Chart'!AG34=6,'Project types'!$O35,'Prepare Gantt Chart'!AG34=5,'Project types'!$Q35,'Prepare Gantt Chart'!AG34=0,0)</f>
        <v>0</v>
      </c>
      <c r="U45" s="89">
        <f>_xlfn.IFS('Prepare Gantt Chart'!AH34=6,'Project types'!$O35,'Prepare Gantt Chart'!AH34=5,'Project types'!$Q35,'Prepare Gantt Chart'!AH34=0,0)</f>
        <v>0</v>
      </c>
      <c r="V45" s="89">
        <f>_xlfn.IFS('Prepare Gantt Chart'!AI34=6,'Project types'!$O35,'Prepare Gantt Chart'!AI34=5,'Project types'!$Q35,'Prepare Gantt Chart'!AI34=0,0)</f>
        <v>0</v>
      </c>
      <c r="W45" s="89">
        <f>_xlfn.IFS('Prepare Gantt Chart'!AJ34=6,'Project types'!$O35,'Prepare Gantt Chart'!AJ34=5,'Project types'!$Q35,'Prepare Gantt Chart'!AJ34=0,0)</f>
        <v>0</v>
      </c>
      <c r="X45" s="89">
        <f>_xlfn.IFS('Prepare Gantt Chart'!AK34=6,'Project types'!$O35,'Prepare Gantt Chart'!AK34=5,'Project types'!$Q35,'Prepare Gantt Chart'!AK34=0,0)</f>
        <v>0</v>
      </c>
      <c r="Y45" s="89">
        <f>_xlfn.IFS('Prepare Gantt Chart'!AL34=6,'Project types'!$O35,'Prepare Gantt Chart'!AL34=5,'Project types'!$Q35,'Prepare Gantt Chart'!AL34=0,0)</f>
        <v>0</v>
      </c>
      <c r="Z45" s="89">
        <f>_xlfn.IFS('Prepare Gantt Chart'!AM34=6,'Project types'!$O35,'Prepare Gantt Chart'!AM34=5,'Project types'!$Q35,'Prepare Gantt Chart'!AM34=0,0)</f>
        <v>0</v>
      </c>
      <c r="AA45" s="89">
        <f>_xlfn.IFS('Prepare Gantt Chart'!AN34=6,'Project types'!$O35,'Prepare Gantt Chart'!AN34=5,'Project types'!$Q35,'Prepare Gantt Chart'!AN34=0,0)</f>
        <v>0</v>
      </c>
      <c r="AB45" s="89">
        <f>_xlfn.IFS('Prepare Gantt Chart'!AO34=6,'Project types'!$O35,'Prepare Gantt Chart'!AO34=5,'Project types'!$Q35,'Prepare Gantt Chart'!AO34=0,0)</f>
        <v>0</v>
      </c>
      <c r="AC45" s="94">
        <f t="shared" si="0"/>
        <v>0</v>
      </c>
      <c r="AD45" s="90">
        <f>_xlfn.IFS('Prepare Gantt Chart'!P34=6,'Project types'!$L35,'Prepare Gantt Chart'!P34=5,'Project types'!$L35,'Prepare Gantt Chart'!P34=0,0)</f>
        <v>0</v>
      </c>
      <c r="AE45" s="89">
        <f>_xlfn.IFS('Prepare Gantt Chart'!Q34=6,'Project types'!$L35,'Prepare Gantt Chart'!Q34=5,'Project types'!$L35,'Prepare Gantt Chart'!Q34=0,0)</f>
        <v>0</v>
      </c>
      <c r="AF45" s="89">
        <f>_xlfn.IFS('Prepare Gantt Chart'!R34=6,'Project types'!$L35,'Prepare Gantt Chart'!R34=5,'Project types'!$L35,'Prepare Gantt Chart'!R34=0,0)</f>
        <v>0</v>
      </c>
      <c r="AG45" s="89">
        <f>_xlfn.IFS('Prepare Gantt Chart'!S34=6,'Project types'!$L35,'Prepare Gantt Chart'!S34=5,'Project types'!$L35,'Prepare Gantt Chart'!S34=0,0)</f>
        <v>0</v>
      </c>
      <c r="AH45" s="89">
        <f>_xlfn.IFS('Prepare Gantt Chart'!T34=6,'Project types'!$L35,'Prepare Gantt Chart'!T34=5,'Project types'!$L35,'Prepare Gantt Chart'!T34=0,0)</f>
        <v>0</v>
      </c>
      <c r="AI45" s="89">
        <f>_xlfn.IFS('Prepare Gantt Chart'!U34=6,'Project types'!$L35,'Prepare Gantt Chart'!U34=5,'Project types'!$L35,'Prepare Gantt Chart'!U34=0,0)</f>
        <v>0</v>
      </c>
      <c r="AJ45" s="89">
        <f>_xlfn.IFS('Prepare Gantt Chart'!V34=6,'Project types'!$L35,'Prepare Gantt Chart'!V34=5,'Project types'!$L35,'Prepare Gantt Chart'!V34=0,0)</f>
        <v>0</v>
      </c>
      <c r="AK45" s="89">
        <f>_xlfn.IFS('Prepare Gantt Chart'!W34=6,'Project types'!$L35,'Prepare Gantt Chart'!W34=5,'Project types'!$L35,'Prepare Gantt Chart'!W34=0,0)</f>
        <v>0</v>
      </c>
      <c r="AL45" s="89">
        <f>_xlfn.IFS('Prepare Gantt Chart'!X34=6,'Project types'!$L35,'Prepare Gantt Chart'!X34=5,'Project types'!$L35,'Prepare Gantt Chart'!X34=0,0)</f>
        <v>0</v>
      </c>
      <c r="AM45" s="89">
        <f>_xlfn.IFS('Prepare Gantt Chart'!Y34=6,'Project types'!$L35,'Prepare Gantt Chart'!Y34=5,'Project types'!$L35,'Prepare Gantt Chart'!Y34=0,0)</f>
        <v>0</v>
      </c>
      <c r="AN45" s="89">
        <f>_xlfn.IFS('Prepare Gantt Chart'!Z34=6,'Project types'!$L35,'Prepare Gantt Chart'!Z34=5,'Project types'!$L35,'Prepare Gantt Chart'!Z34=0,0)</f>
        <v>0</v>
      </c>
      <c r="AO45" s="89">
        <f>_xlfn.IFS('Prepare Gantt Chart'!AA34=6,'Project types'!$L35,'Prepare Gantt Chart'!AA34=5,'Project types'!$L35,'Prepare Gantt Chart'!AA34=0,0)</f>
        <v>0</v>
      </c>
      <c r="AP45" s="89">
        <f>_xlfn.IFS('Prepare Gantt Chart'!AB34=6,'Project types'!$L35,'Prepare Gantt Chart'!AB34=5,'Project types'!$L35,'Prepare Gantt Chart'!AB34=0,0)</f>
        <v>0</v>
      </c>
      <c r="AQ45" s="89">
        <f>_xlfn.IFS('Prepare Gantt Chart'!AC34=6,'Project types'!$L35,'Prepare Gantt Chart'!AC34=5,'Project types'!$L35,'Prepare Gantt Chart'!AC34=0,0)</f>
        <v>0</v>
      </c>
      <c r="AR45" s="89">
        <f>_xlfn.IFS('Prepare Gantt Chart'!AD34=6,'Project types'!$L35,'Prepare Gantt Chart'!AD34=5,'Project types'!$L35,'Prepare Gantt Chart'!AD34=0,0)</f>
        <v>0</v>
      </c>
      <c r="AS45" s="89">
        <f>_xlfn.IFS('Prepare Gantt Chart'!AE34=6,'Project types'!$L35,'Prepare Gantt Chart'!AE34=5,'Project types'!$L35,'Prepare Gantt Chart'!AE34=0,0)</f>
        <v>0</v>
      </c>
      <c r="AT45" s="89">
        <f>_xlfn.IFS('Prepare Gantt Chart'!AF34=6,'Project types'!$L35,'Prepare Gantt Chart'!AF34=5,'Project types'!$L35,'Prepare Gantt Chart'!AF34=0,0)</f>
        <v>0</v>
      </c>
      <c r="AU45" s="89">
        <f>_xlfn.IFS('Prepare Gantt Chart'!AG34=6,'Project types'!$L35,'Prepare Gantt Chart'!AG34=5,'Project types'!$L35,'Prepare Gantt Chart'!AG34=0,0)</f>
        <v>0</v>
      </c>
      <c r="AV45" s="89">
        <f>_xlfn.IFS('Prepare Gantt Chart'!AH34=6,'Project types'!$L35,'Prepare Gantt Chart'!AH34=5,'Project types'!$L35,'Prepare Gantt Chart'!AH34=0,0)</f>
        <v>0</v>
      </c>
      <c r="AW45" s="89">
        <f>_xlfn.IFS('Prepare Gantt Chart'!AI34=6,'Project types'!$L35,'Prepare Gantt Chart'!AI34=5,'Project types'!$L35,'Prepare Gantt Chart'!AI34=0,0)</f>
        <v>0</v>
      </c>
      <c r="AX45" s="89">
        <f>_xlfn.IFS('Prepare Gantt Chart'!AJ34=6,'Project types'!$L35,'Prepare Gantt Chart'!AJ34=5,'Project types'!$L35,'Prepare Gantt Chart'!AJ34=0,0)</f>
        <v>0</v>
      </c>
      <c r="AY45" s="89">
        <f>_xlfn.IFS('Prepare Gantt Chart'!AK34=6,'Project types'!$L35,'Prepare Gantt Chart'!AK34=5,'Project types'!$L35,'Prepare Gantt Chart'!AK34=0,0)</f>
        <v>0</v>
      </c>
      <c r="AZ45" s="89">
        <f>_xlfn.IFS('Prepare Gantt Chart'!AL34=6,'Project types'!$L35,'Prepare Gantt Chart'!AL34=5,'Project types'!$L35,'Prepare Gantt Chart'!AL34=0,0)</f>
        <v>0</v>
      </c>
      <c r="BA45" s="89">
        <f>_xlfn.IFS('Prepare Gantt Chart'!AM34=6,'Project types'!$L35,'Prepare Gantt Chart'!AM34=5,'Project types'!$L35,'Prepare Gantt Chart'!AM34=0,0)</f>
        <v>0</v>
      </c>
      <c r="BB45" s="89">
        <f>_xlfn.IFS('Prepare Gantt Chart'!AN34=6,'Project types'!$L35,'Prepare Gantt Chart'!AN34=5,'Project types'!$L35,'Prepare Gantt Chart'!AN34=0,0)</f>
        <v>0</v>
      </c>
      <c r="BC45" s="89">
        <f>_xlfn.IFS('Prepare Gantt Chart'!AO34=6,'Project types'!$L35,'Prepare Gantt Chart'!AO34=5,'Project types'!$L35,'Prepare Gantt Chart'!AO34=0,0)</f>
        <v>0</v>
      </c>
      <c r="BD45" s="92">
        <f t="shared" si="1"/>
        <v>0</v>
      </c>
      <c r="CI45" s="85"/>
      <c r="GY45" s="85"/>
    </row>
    <row r="46" spans="1:207" x14ac:dyDescent="0.2">
      <c r="A46" s="1" t="s">
        <v>395</v>
      </c>
      <c r="B46" s="26" t="s">
        <v>35</v>
      </c>
      <c r="C46" s="83">
        <f>_xlfn.IFS('Prepare Gantt Chart'!P35=8,'Project types'!$O36,'Prepare Gantt Chart'!P35=7,'Project types'!$Q36,'Prepare Gantt Chart'!P35=0,0)</f>
        <v>0</v>
      </c>
      <c r="D46" s="83">
        <f>_xlfn.IFS('Prepare Gantt Chart'!Q35=8,'Project types'!$O36,'Prepare Gantt Chart'!Q35=7,'Project types'!$Q36,'Prepare Gantt Chart'!Q35=0,0)</f>
        <v>0</v>
      </c>
      <c r="E46" s="83">
        <f>_xlfn.IFS('Prepare Gantt Chart'!R35=8,'Project types'!$O36,'Prepare Gantt Chart'!R35=7,'Project types'!$Q36,'Prepare Gantt Chart'!R35=0,0)</f>
        <v>0</v>
      </c>
      <c r="F46" s="83">
        <f>_xlfn.IFS('Prepare Gantt Chart'!S35=8,'Project types'!$O36,'Prepare Gantt Chart'!S35=7,'Project types'!$Q36,'Prepare Gantt Chart'!S35=0,0)</f>
        <v>0</v>
      </c>
      <c r="G46" s="83">
        <f>_xlfn.IFS('Prepare Gantt Chart'!T35=8,'Project types'!$O36,'Prepare Gantt Chart'!T35=7,'Project types'!$Q36,'Prepare Gantt Chart'!T35=0,0)</f>
        <v>0</v>
      </c>
      <c r="H46" s="83">
        <f>_xlfn.IFS('Prepare Gantt Chart'!U35=8,'Project types'!$O36,'Prepare Gantt Chart'!U35=7,'Project types'!$Q36,'Prepare Gantt Chart'!U35=0,0)</f>
        <v>0</v>
      </c>
      <c r="I46" s="83">
        <f>_xlfn.IFS('Prepare Gantt Chart'!V35=8,'Project types'!$O36,'Prepare Gantt Chart'!V35=7,'Project types'!$Q36,'Prepare Gantt Chart'!V35=0,0)</f>
        <v>0</v>
      </c>
      <c r="J46" s="83">
        <f>_xlfn.IFS('Prepare Gantt Chart'!W35=8,'Project types'!$O36,'Prepare Gantt Chart'!W35=7,'Project types'!$Q36,'Prepare Gantt Chart'!W35=0,0)</f>
        <v>0</v>
      </c>
      <c r="K46" s="83">
        <f>_xlfn.IFS('Prepare Gantt Chart'!X35=8,'Project types'!$O36,'Prepare Gantt Chart'!X35=7,'Project types'!$Q36,'Prepare Gantt Chart'!X35=0,0)</f>
        <v>0</v>
      </c>
      <c r="L46" s="83">
        <f>_xlfn.IFS('Prepare Gantt Chart'!Y35=8,'Project types'!$O36,'Prepare Gantt Chart'!Y35=7,'Project types'!$Q36,'Prepare Gantt Chart'!Y35=0,0)</f>
        <v>0</v>
      </c>
      <c r="M46" s="83">
        <f>_xlfn.IFS('Prepare Gantt Chart'!Z35=8,'Project types'!$O36,'Prepare Gantt Chart'!Z35=7,'Project types'!$Q36,'Prepare Gantt Chart'!Z35=0,0)</f>
        <v>0</v>
      </c>
      <c r="N46" s="83">
        <f>_xlfn.IFS('Prepare Gantt Chart'!AA35=8,'Project types'!$O36,'Prepare Gantt Chart'!AA35=7,'Project types'!$Q36,'Prepare Gantt Chart'!AA35=0,0)</f>
        <v>0</v>
      </c>
      <c r="O46" s="83">
        <f>_xlfn.IFS('Prepare Gantt Chart'!AB35=8,'Project types'!$O36,'Prepare Gantt Chart'!AB35=7,'Project types'!$Q36,'Prepare Gantt Chart'!AB35=0,0)</f>
        <v>0</v>
      </c>
      <c r="P46" s="83">
        <f>_xlfn.IFS('Prepare Gantt Chart'!AC35=8,'Project types'!$O36,'Prepare Gantt Chart'!AC35=7,'Project types'!$Q36,'Prepare Gantt Chart'!AC35=0,0)</f>
        <v>0</v>
      </c>
      <c r="Q46" s="83">
        <f>_xlfn.IFS('Prepare Gantt Chart'!AD35=8,'Project types'!$O36,'Prepare Gantt Chart'!AD35=7,'Project types'!$Q36,'Prepare Gantt Chart'!AD35=0,0)</f>
        <v>0</v>
      </c>
      <c r="R46" s="83">
        <f>_xlfn.IFS('Prepare Gantt Chart'!AE35=8,'Project types'!$O36,'Prepare Gantt Chart'!AE35=7,'Project types'!$Q36,'Prepare Gantt Chart'!AE35=0,0)</f>
        <v>0</v>
      </c>
      <c r="S46" s="83">
        <f>_xlfn.IFS('Prepare Gantt Chart'!AF35=8,'Project types'!$O36,'Prepare Gantt Chart'!AF35=7,'Project types'!$Q36,'Prepare Gantt Chart'!AF35=0,0)</f>
        <v>0</v>
      </c>
      <c r="T46" s="83">
        <f>_xlfn.IFS('Prepare Gantt Chart'!AG35=8,'Project types'!$O36,'Prepare Gantt Chart'!AG35=7,'Project types'!$Q36,'Prepare Gantt Chart'!AG35=0,0)</f>
        <v>0</v>
      </c>
      <c r="U46" s="83">
        <f>_xlfn.IFS('Prepare Gantt Chart'!AH35=8,'Project types'!$O36,'Prepare Gantt Chart'!AH35=7,'Project types'!$Q36,'Prepare Gantt Chart'!AH35=0,0)</f>
        <v>0</v>
      </c>
      <c r="V46" s="83">
        <f>_xlfn.IFS('Prepare Gantt Chart'!AI35=8,'Project types'!$O36,'Prepare Gantt Chart'!AI35=7,'Project types'!$Q36,'Prepare Gantt Chart'!AI35=0,0)</f>
        <v>0</v>
      </c>
      <c r="W46" s="83">
        <f>_xlfn.IFS('Prepare Gantt Chart'!AJ35=8,'Project types'!$O36,'Prepare Gantt Chart'!AJ35=7,'Project types'!$Q36,'Prepare Gantt Chart'!AJ35=0,0)</f>
        <v>0</v>
      </c>
      <c r="X46" s="83">
        <f>_xlfn.IFS('Prepare Gantt Chart'!AK35=8,'Project types'!$O36,'Prepare Gantt Chart'!AK35=7,'Project types'!$Q36,'Prepare Gantt Chart'!AK35=0,0)</f>
        <v>0</v>
      </c>
      <c r="Y46" s="83">
        <f>_xlfn.IFS('Prepare Gantt Chart'!AL35=8,'Project types'!$O36,'Prepare Gantt Chart'!AL35=7,'Project types'!$Q36,'Prepare Gantt Chart'!AL35=0,0)</f>
        <v>0</v>
      </c>
      <c r="Z46" s="83">
        <f>_xlfn.IFS('Prepare Gantt Chart'!AM35=8,'Project types'!$O36,'Prepare Gantt Chart'!AM35=7,'Project types'!$Q36,'Prepare Gantt Chart'!AM35=0,0)</f>
        <v>0</v>
      </c>
      <c r="AA46" s="83">
        <f>_xlfn.IFS('Prepare Gantt Chart'!AN35=8,'Project types'!$O36,'Prepare Gantt Chart'!AN35=7,'Project types'!$Q36,'Prepare Gantt Chart'!AN35=0,0)</f>
        <v>0</v>
      </c>
      <c r="AB46" s="83">
        <f>_xlfn.IFS('Prepare Gantt Chart'!AO35=8,'Project types'!$O36,'Prepare Gantt Chart'!AO35=7,'Project types'!$Q36,'Prepare Gantt Chart'!AO35=0,0)</f>
        <v>0</v>
      </c>
      <c r="AC46" s="93">
        <f t="shared" si="0"/>
        <v>0</v>
      </c>
      <c r="AD46" s="86">
        <f>_xlfn.IFS('Prepare Gantt Chart'!P35=8,'Project types'!$L36,'Prepare Gantt Chart'!P35=7,'Project types'!$L36,'Prepare Gantt Chart'!P35=0,0)</f>
        <v>0</v>
      </c>
      <c r="AE46" s="83">
        <f>_xlfn.IFS('Prepare Gantt Chart'!Q35=8,'Project types'!$L36,'Prepare Gantt Chart'!Q35=7,'Project types'!$L36,'Prepare Gantt Chart'!Q35=0,0)</f>
        <v>0</v>
      </c>
      <c r="AF46" s="83">
        <f>_xlfn.IFS('Prepare Gantt Chart'!R35=8,'Project types'!$L36,'Prepare Gantt Chart'!R35=7,'Project types'!$L36,'Prepare Gantt Chart'!R35=0,0)</f>
        <v>0</v>
      </c>
      <c r="AG46" s="83">
        <f>_xlfn.IFS('Prepare Gantt Chart'!S35=8,'Project types'!$L36,'Prepare Gantt Chart'!S35=7,'Project types'!$L36,'Prepare Gantt Chart'!S35=0,0)</f>
        <v>0</v>
      </c>
      <c r="AH46" s="83">
        <f>_xlfn.IFS('Prepare Gantt Chart'!T35=8,'Project types'!$L36,'Prepare Gantt Chart'!T35=7,'Project types'!$L36,'Prepare Gantt Chart'!T35=0,0)</f>
        <v>0</v>
      </c>
      <c r="AI46" s="83">
        <f>_xlfn.IFS('Prepare Gantt Chart'!U35=8,'Project types'!$L36,'Prepare Gantt Chart'!U35=7,'Project types'!$L36,'Prepare Gantt Chart'!U35=0,0)</f>
        <v>0</v>
      </c>
      <c r="AJ46" s="83">
        <f>_xlfn.IFS('Prepare Gantt Chart'!V35=8,'Project types'!$L36,'Prepare Gantt Chart'!V35=7,'Project types'!$L36,'Prepare Gantt Chart'!V35=0,0)</f>
        <v>0</v>
      </c>
      <c r="AK46" s="83">
        <f>_xlfn.IFS('Prepare Gantt Chart'!W35=8,'Project types'!$L36,'Prepare Gantt Chart'!W35=7,'Project types'!$L36,'Prepare Gantt Chart'!W35=0,0)</f>
        <v>0</v>
      </c>
      <c r="AL46" s="83">
        <f>_xlfn.IFS('Prepare Gantt Chart'!X35=8,'Project types'!$L36,'Prepare Gantt Chart'!X35=7,'Project types'!$L36,'Prepare Gantt Chart'!X35=0,0)</f>
        <v>0</v>
      </c>
      <c r="AM46" s="83">
        <f>_xlfn.IFS('Prepare Gantt Chart'!Y35=8,'Project types'!$L36,'Prepare Gantt Chart'!Y35=7,'Project types'!$L36,'Prepare Gantt Chart'!Y35=0,0)</f>
        <v>0</v>
      </c>
      <c r="AN46" s="83">
        <f>_xlfn.IFS('Prepare Gantt Chart'!Z35=8,'Project types'!$L36,'Prepare Gantt Chart'!Z35=7,'Project types'!$L36,'Prepare Gantt Chart'!Z35=0,0)</f>
        <v>0</v>
      </c>
      <c r="AO46" s="83">
        <f>_xlfn.IFS('Prepare Gantt Chart'!AA35=8,'Project types'!$L36,'Prepare Gantt Chart'!AA35=7,'Project types'!$L36,'Prepare Gantt Chart'!AA35=0,0)</f>
        <v>0</v>
      </c>
      <c r="AP46" s="83">
        <f>_xlfn.IFS('Prepare Gantt Chart'!AB35=8,'Project types'!$L36,'Prepare Gantt Chart'!AB35=7,'Project types'!$L36,'Prepare Gantt Chart'!AB35=0,0)</f>
        <v>0</v>
      </c>
      <c r="AQ46" s="83">
        <f>_xlfn.IFS('Prepare Gantt Chart'!AC35=8,'Project types'!$L36,'Prepare Gantt Chart'!AC35=7,'Project types'!$L36,'Prepare Gantt Chart'!AC35=0,0)</f>
        <v>0</v>
      </c>
      <c r="AR46" s="83">
        <f>_xlfn.IFS('Prepare Gantt Chart'!AD35=8,'Project types'!$L36,'Prepare Gantt Chart'!AD35=7,'Project types'!$L36,'Prepare Gantt Chart'!AD35=0,0)</f>
        <v>0</v>
      </c>
      <c r="AS46" s="83">
        <f>_xlfn.IFS('Prepare Gantt Chart'!AE35=8,'Project types'!$L36,'Prepare Gantt Chart'!AE35=7,'Project types'!$L36,'Prepare Gantt Chart'!AE35=0,0)</f>
        <v>0</v>
      </c>
      <c r="AT46" s="83">
        <f>_xlfn.IFS('Prepare Gantt Chart'!AF35=8,'Project types'!$L36,'Prepare Gantt Chart'!AF35=7,'Project types'!$L36,'Prepare Gantt Chart'!AF35=0,0)</f>
        <v>0</v>
      </c>
      <c r="AU46" s="83">
        <f>_xlfn.IFS('Prepare Gantt Chart'!AG35=8,'Project types'!$L36,'Prepare Gantt Chart'!AG35=7,'Project types'!$L36,'Prepare Gantt Chart'!AG35=0,0)</f>
        <v>0</v>
      </c>
      <c r="AV46" s="83">
        <f>_xlfn.IFS('Prepare Gantt Chart'!AH35=8,'Project types'!$L36,'Prepare Gantt Chart'!AH35=7,'Project types'!$L36,'Prepare Gantt Chart'!AH35=0,0)</f>
        <v>0</v>
      </c>
      <c r="AW46" s="83">
        <f>_xlfn.IFS('Prepare Gantt Chart'!AI35=8,'Project types'!$L36,'Prepare Gantt Chart'!AI35=7,'Project types'!$L36,'Prepare Gantt Chart'!AI35=0,0)</f>
        <v>0</v>
      </c>
      <c r="AX46" s="83">
        <f>_xlfn.IFS('Prepare Gantt Chart'!AJ35=8,'Project types'!$L36,'Prepare Gantt Chart'!AJ35=7,'Project types'!$L36,'Prepare Gantt Chart'!AJ35=0,0)</f>
        <v>0</v>
      </c>
      <c r="AY46" s="83">
        <f>_xlfn.IFS('Prepare Gantt Chart'!AK35=8,'Project types'!$L36,'Prepare Gantt Chart'!AK35=7,'Project types'!$L36,'Prepare Gantt Chart'!AK35=0,0)</f>
        <v>0</v>
      </c>
      <c r="AZ46" s="83">
        <f>_xlfn.IFS('Prepare Gantt Chart'!AL35=8,'Project types'!$L36,'Prepare Gantt Chart'!AL35=7,'Project types'!$L36,'Prepare Gantt Chart'!AL35=0,0)</f>
        <v>0</v>
      </c>
      <c r="BA46" s="83">
        <f>_xlfn.IFS('Prepare Gantt Chart'!AM35=8,'Project types'!$L36,'Prepare Gantt Chart'!AM35=7,'Project types'!$L36,'Prepare Gantt Chart'!AM35=0,0)</f>
        <v>0</v>
      </c>
      <c r="BB46" s="83">
        <f>_xlfn.IFS('Prepare Gantt Chart'!AN35=8,'Project types'!$L36,'Prepare Gantt Chart'!AN35=7,'Project types'!$L36,'Prepare Gantt Chart'!AN35=0,0)</f>
        <v>0</v>
      </c>
      <c r="BC46" s="83">
        <f>_xlfn.IFS('Prepare Gantt Chart'!AO35=8,'Project types'!$L36,'Prepare Gantt Chart'!AO35=7,'Project types'!$L36,'Prepare Gantt Chart'!AO35=0,0)</f>
        <v>0</v>
      </c>
      <c r="BD46" s="91">
        <f t="shared" si="1"/>
        <v>0</v>
      </c>
      <c r="CI46" s="85"/>
      <c r="GY46" s="85"/>
    </row>
    <row r="47" spans="1:207" x14ac:dyDescent="0.2">
      <c r="A47" s="1" t="s">
        <v>396</v>
      </c>
      <c r="B47" s="27" t="s">
        <v>36</v>
      </c>
      <c r="C47" s="83">
        <f>_xlfn.IFS('Prepare Gantt Chart'!P36=8,'Project types'!$O37,'Prepare Gantt Chart'!P36=7,'Project types'!$Q37,'Prepare Gantt Chart'!P36=0,0)</f>
        <v>0</v>
      </c>
      <c r="D47" s="83">
        <f>_xlfn.IFS('Prepare Gantt Chart'!Q36=8,'Project types'!$O37,'Prepare Gantt Chart'!Q36=7,'Project types'!$Q37,'Prepare Gantt Chart'!Q36=0,0)</f>
        <v>0</v>
      </c>
      <c r="E47" s="83">
        <f>_xlfn.IFS('Prepare Gantt Chart'!R36=8,'Project types'!$O37,'Prepare Gantt Chart'!R36=7,'Project types'!$Q37,'Prepare Gantt Chart'!R36=0,0)</f>
        <v>0</v>
      </c>
      <c r="F47" s="83">
        <f>_xlfn.IFS('Prepare Gantt Chart'!S36=8,'Project types'!$O37,'Prepare Gantt Chart'!S36=7,'Project types'!$Q37,'Prepare Gantt Chart'!S36=0,0)</f>
        <v>0</v>
      </c>
      <c r="G47" s="83">
        <f>_xlfn.IFS('Prepare Gantt Chart'!T36=8,'Project types'!$O37,'Prepare Gantt Chart'!T36=7,'Project types'!$Q37,'Prepare Gantt Chart'!T36=0,0)</f>
        <v>0</v>
      </c>
      <c r="H47" s="83">
        <f>_xlfn.IFS('Prepare Gantt Chart'!U36=8,'Project types'!$O37,'Prepare Gantt Chart'!U36=7,'Project types'!$Q37,'Prepare Gantt Chart'!U36=0,0)</f>
        <v>0</v>
      </c>
      <c r="I47" s="83">
        <f>_xlfn.IFS('Prepare Gantt Chart'!V36=8,'Project types'!$O37,'Prepare Gantt Chart'!V36=7,'Project types'!$Q37,'Prepare Gantt Chart'!V36=0,0)</f>
        <v>0</v>
      </c>
      <c r="J47" s="83">
        <f>_xlfn.IFS('Prepare Gantt Chart'!W36=8,'Project types'!$O37,'Prepare Gantt Chart'!W36=7,'Project types'!$Q37,'Prepare Gantt Chart'!W36=0,0)</f>
        <v>0</v>
      </c>
      <c r="K47" s="83">
        <f>_xlfn.IFS('Prepare Gantt Chart'!X36=8,'Project types'!$O37,'Prepare Gantt Chart'!X36=7,'Project types'!$Q37,'Prepare Gantt Chart'!X36=0,0)</f>
        <v>0</v>
      </c>
      <c r="L47" s="83">
        <f>_xlfn.IFS('Prepare Gantt Chart'!Y36=8,'Project types'!$O37,'Prepare Gantt Chart'!Y36=7,'Project types'!$Q37,'Prepare Gantt Chart'!Y36=0,0)</f>
        <v>0</v>
      </c>
      <c r="M47" s="83">
        <f>_xlfn.IFS('Prepare Gantt Chart'!Z36=8,'Project types'!$O37,'Prepare Gantt Chart'!Z36=7,'Project types'!$Q37,'Prepare Gantt Chart'!Z36=0,0)</f>
        <v>0</v>
      </c>
      <c r="N47" s="83">
        <f>_xlfn.IFS('Prepare Gantt Chart'!AA36=8,'Project types'!$O37,'Prepare Gantt Chart'!AA36=7,'Project types'!$Q37,'Prepare Gantt Chart'!AA36=0,0)</f>
        <v>0</v>
      </c>
      <c r="O47" s="83">
        <f>_xlfn.IFS('Prepare Gantt Chart'!AB36=8,'Project types'!$O37,'Prepare Gantt Chart'!AB36=7,'Project types'!$Q37,'Prepare Gantt Chart'!AB36=0,0)</f>
        <v>0</v>
      </c>
      <c r="P47" s="83">
        <f>_xlfn.IFS('Prepare Gantt Chart'!AC36=8,'Project types'!$O37,'Prepare Gantt Chart'!AC36=7,'Project types'!$Q37,'Prepare Gantt Chart'!AC36=0,0)</f>
        <v>0</v>
      </c>
      <c r="Q47" s="83">
        <f>_xlfn.IFS('Prepare Gantt Chart'!AD36=8,'Project types'!$O37,'Prepare Gantt Chart'!AD36=7,'Project types'!$Q37,'Prepare Gantt Chart'!AD36=0,0)</f>
        <v>0</v>
      </c>
      <c r="R47" s="83">
        <f>_xlfn.IFS('Prepare Gantt Chart'!AE36=8,'Project types'!$O37,'Prepare Gantt Chart'!AE36=7,'Project types'!$Q37,'Prepare Gantt Chart'!AE36=0,0)</f>
        <v>0</v>
      </c>
      <c r="S47" s="83">
        <f>_xlfn.IFS('Prepare Gantt Chart'!AF36=8,'Project types'!$O37,'Prepare Gantt Chart'!AF36=7,'Project types'!$Q37,'Prepare Gantt Chart'!AF36=0,0)</f>
        <v>0</v>
      </c>
      <c r="T47" s="83">
        <f>_xlfn.IFS('Prepare Gantt Chart'!AG36=8,'Project types'!$O37,'Prepare Gantt Chart'!AG36=7,'Project types'!$Q37,'Prepare Gantt Chart'!AG36=0,0)</f>
        <v>0</v>
      </c>
      <c r="U47" s="83">
        <f>_xlfn.IFS('Prepare Gantt Chart'!AH36=8,'Project types'!$O37,'Prepare Gantt Chart'!AH36=7,'Project types'!$Q37,'Prepare Gantt Chart'!AH36=0,0)</f>
        <v>0</v>
      </c>
      <c r="V47" s="83">
        <f>_xlfn.IFS('Prepare Gantt Chart'!AI36=8,'Project types'!$O37,'Prepare Gantt Chart'!AI36=7,'Project types'!$Q37,'Prepare Gantt Chart'!AI36=0,0)</f>
        <v>0</v>
      </c>
      <c r="W47" s="83">
        <f>_xlfn.IFS('Prepare Gantt Chart'!AJ36=8,'Project types'!$O37,'Prepare Gantt Chart'!AJ36=7,'Project types'!$Q37,'Prepare Gantt Chart'!AJ36=0,0)</f>
        <v>0</v>
      </c>
      <c r="X47" s="83">
        <f>_xlfn.IFS('Prepare Gantt Chart'!AK36=8,'Project types'!$O37,'Prepare Gantt Chart'!AK36=7,'Project types'!$Q37,'Prepare Gantt Chart'!AK36=0,0)</f>
        <v>0</v>
      </c>
      <c r="Y47" s="83">
        <f>_xlfn.IFS('Prepare Gantt Chart'!AL36=8,'Project types'!$O37,'Prepare Gantt Chart'!AL36=7,'Project types'!$Q37,'Prepare Gantt Chart'!AL36=0,0)</f>
        <v>0</v>
      </c>
      <c r="Z47" s="83">
        <f>_xlfn.IFS('Prepare Gantt Chart'!AM36=8,'Project types'!$O37,'Prepare Gantt Chart'!AM36=7,'Project types'!$Q37,'Prepare Gantt Chart'!AM36=0,0)</f>
        <v>0</v>
      </c>
      <c r="AA47" s="83">
        <f>_xlfn.IFS('Prepare Gantt Chart'!AN36=8,'Project types'!$O37,'Prepare Gantt Chart'!AN36=7,'Project types'!$Q37,'Prepare Gantt Chart'!AN36=0,0)</f>
        <v>0</v>
      </c>
      <c r="AB47" s="83">
        <f>_xlfn.IFS('Prepare Gantt Chart'!AO36=8,'Project types'!$O37,'Prepare Gantt Chart'!AO36=7,'Project types'!$Q37,'Prepare Gantt Chart'!AO36=0,0)</f>
        <v>0</v>
      </c>
      <c r="AC47" s="93">
        <f t="shared" si="0"/>
        <v>0</v>
      </c>
      <c r="AD47" s="86">
        <f>_xlfn.IFS('Prepare Gantt Chart'!P36=8,'Project types'!$L37,'Prepare Gantt Chart'!P36=7,'Project types'!$L37,'Prepare Gantt Chart'!P36=0,0)</f>
        <v>0</v>
      </c>
      <c r="AE47" s="83">
        <f>_xlfn.IFS('Prepare Gantt Chart'!Q36=8,'Project types'!$L37,'Prepare Gantt Chart'!Q36=7,'Project types'!$L37,'Prepare Gantt Chart'!Q36=0,0)</f>
        <v>0</v>
      </c>
      <c r="AF47" s="83">
        <f>_xlfn.IFS('Prepare Gantt Chart'!R36=8,'Project types'!$L37,'Prepare Gantt Chart'!R36=7,'Project types'!$L37,'Prepare Gantt Chart'!R36=0,0)</f>
        <v>0</v>
      </c>
      <c r="AG47" s="83">
        <f>_xlfn.IFS('Prepare Gantt Chart'!S36=8,'Project types'!$L37,'Prepare Gantt Chart'!S36=7,'Project types'!$L37,'Prepare Gantt Chart'!S36=0,0)</f>
        <v>0</v>
      </c>
      <c r="AH47" s="83">
        <f>_xlfn.IFS('Prepare Gantt Chart'!T36=8,'Project types'!$L37,'Prepare Gantt Chart'!T36=7,'Project types'!$L37,'Prepare Gantt Chart'!T36=0,0)</f>
        <v>0</v>
      </c>
      <c r="AI47" s="83">
        <f>_xlfn.IFS('Prepare Gantt Chart'!U36=8,'Project types'!$L37,'Prepare Gantt Chart'!U36=7,'Project types'!$L37,'Prepare Gantt Chart'!U36=0,0)</f>
        <v>0</v>
      </c>
      <c r="AJ47" s="83">
        <f>_xlfn.IFS('Prepare Gantt Chart'!V36=8,'Project types'!$L37,'Prepare Gantt Chart'!V36=7,'Project types'!$L37,'Prepare Gantt Chart'!V36=0,0)</f>
        <v>0</v>
      </c>
      <c r="AK47" s="83">
        <f>_xlfn.IFS('Prepare Gantt Chart'!W36=8,'Project types'!$L37,'Prepare Gantt Chart'!W36=7,'Project types'!$L37,'Prepare Gantt Chart'!W36=0,0)</f>
        <v>0</v>
      </c>
      <c r="AL47" s="83">
        <f>_xlfn.IFS('Prepare Gantt Chart'!X36=8,'Project types'!$L37,'Prepare Gantt Chart'!X36=7,'Project types'!$L37,'Prepare Gantt Chart'!X36=0,0)</f>
        <v>0</v>
      </c>
      <c r="AM47" s="83">
        <f>_xlfn.IFS('Prepare Gantt Chart'!Y36=8,'Project types'!$L37,'Prepare Gantt Chart'!Y36=7,'Project types'!$L37,'Prepare Gantt Chart'!Y36=0,0)</f>
        <v>0</v>
      </c>
      <c r="AN47" s="83">
        <f>_xlfn.IFS('Prepare Gantt Chart'!Z36=8,'Project types'!$L37,'Prepare Gantt Chart'!Z36=7,'Project types'!$L37,'Prepare Gantt Chart'!Z36=0,0)</f>
        <v>0</v>
      </c>
      <c r="AO47" s="83">
        <f>_xlfn.IFS('Prepare Gantt Chart'!AA36=8,'Project types'!$L37,'Prepare Gantt Chart'!AA36=7,'Project types'!$L37,'Prepare Gantt Chart'!AA36=0,0)</f>
        <v>0</v>
      </c>
      <c r="AP47" s="83">
        <f>_xlfn.IFS('Prepare Gantt Chart'!AB36=8,'Project types'!$L37,'Prepare Gantt Chart'!AB36=7,'Project types'!$L37,'Prepare Gantt Chart'!AB36=0,0)</f>
        <v>0</v>
      </c>
      <c r="AQ47" s="83">
        <f>_xlfn.IFS('Prepare Gantt Chart'!AC36=8,'Project types'!$L37,'Prepare Gantt Chart'!AC36=7,'Project types'!$L37,'Prepare Gantt Chart'!AC36=0,0)</f>
        <v>0</v>
      </c>
      <c r="AR47" s="83">
        <f>_xlfn.IFS('Prepare Gantt Chart'!AD36=8,'Project types'!$L37,'Prepare Gantt Chart'!AD36=7,'Project types'!$L37,'Prepare Gantt Chart'!AD36=0,0)</f>
        <v>0</v>
      </c>
      <c r="AS47" s="83">
        <f>_xlfn.IFS('Prepare Gantt Chart'!AE36=8,'Project types'!$L37,'Prepare Gantt Chart'!AE36=7,'Project types'!$L37,'Prepare Gantt Chart'!AE36=0,0)</f>
        <v>0</v>
      </c>
      <c r="AT47" s="83">
        <f>_xlfn.IFS('Prepare Gantt Chart'!AF36=8,'Project types'!$L37,'Prepare Gantt Chart'!AF36=7,'Project types'!$L37,'Prepare Gantt Chart'!AF36=0,0)</f>
        <v>0</v>
      </c>
      <c r="AU47" s="83">
        <f>_xlfn.IFS('Prepare Gantt Chart'!AG36=8,'Project types'!$L37,'Prepare Gantt Chart'!AG36=7,'Project types'!$L37,'Prepare Gantt Chart'!AG36=0,0)</f>
        <v>0</v>
      </c>
      <c r="AV47" s="83">
        <f>_xlfn.IFS('Prepare Gantt Chart'!AH36=8,'Project types'!$L37,'Prepare Gantt Chart'!AH36=7,'Project types'!$L37,'Prepare Gantt Chart'!AH36=0,0)</f>
        <v>0</v>
      </c>
      <c r="AW47" s="83">
        <f>_xlfn.IFS('Prepare Gantt Chart'!AI36=8,'Project types'!$L37,'Prepare Gantt Chart'!AI36=7,'Project types'!$L37,'Prepare Gantt Chart'!AI36=0,0)</f>
        <v>0</v>
      </c>
      <c r="AX47" s="83">
        <f>_xlfn.IFS('Prepare Gantt Chart'!AJ36=8,'Project types'!$L37,'Prepare Gantt Chart'!AJ36=7,'Project types'!$L37,'Prepare Gantt Chart'!AJ36=0,0)</f>
        <v>0</v>
      </c>
      <c r="AY47" s="83">
        <f>_xlfn.IFS('Prepare Gantt Chart'!AK36=8,'Project types'!$L37,'Prepare Gantt Chart'!AK36=7,'Project types'!$L37,'Prepare Gantt Chart'!AK36=0,0)</f>
        <v>0</v>
      </c>
      <c r="AZ47" s="83">
        <f>_xlfn.IFS('Prepare Gantt Chart'!AL36=8,'Project types'!$L37,'Prepare Gantt Chart'!AL36=7,'Project types'!$L37,'Prepare Gantt Chart'!AL36=0,0)</f>
        <v>0</v>
      </c>
      <c r="BA47" s="83">
        <f>_xlfn.IFS('Prepare Gantt Chart'!AM36=8,'Project types'!$L37,'Prepare Gantt Chart'!AM36=7,'Project types'!$L37,'Prepare Gantt Chart'!AM36=0,0)</f>
        <v>0</v>
      </c>
      <c r="BB47" s="83">
        <f>_xlfn.IFS('Prepare Gantt Chart'!AN36=8,'Project types'!$L37,'Prepare Gantt Chart'!AN36=7,'Project types'!$L37,'Prepare Gantt Chart'!AN36=0,0)</f>
        <v>0</v>
      </c>
      <c r="BC47" s="83">
        <f>_xlfn.IFS('Prepare Gantt Chart'!AO36=8,'Project types'!$L37,'Prepare Gantt Chart'!AO36=7,'Project types'!$L37,'Prepare Gantt Chart'!AO36=0,0)</f>
        <v>0</v>
      </c>
      <c r="BD47" s="91">
        <f t="shared" si="1"/>
        <v>0</v>
      </c>
      <c r="CI47" s="85"/>
      <c r="GY47" s="85"/>
    </row>
    <row r="48" spans="1:207" x14ac:dyDescent="0.2">
      <c r="A48" s="1" t="s">
        <v>397</v>
      </c>
      <c r="B48" s="27" t="s">
        <v>37</v>
      </c>
      <c r="C48" s="83">
        <f>_xlfn.IFS('Prepare Gantt Chart'!P37=8,'Project types'!$O38,'Prepare Gantt Chart'!P37=7,'Project types'!$Q38,'Prepare Gantt Chart'!P37=0,0)</f>
        <v>0</v>
      </c>
      <c r="D48" s="83">
        <f>_xlfn.IFS('Prepare Gantt Chart'!Q37=8,'Project types'!$O38,'Prepare Gantt Chart'!Q37=7,'Project types'!$Q38,'Prepare Gantt Chart'!Q37=0,0)</f>
        <v>0</v>
      </c>
      <c r="E48" s="83">
        <f>_xlfn.IFS('Prepare Gantt Chart'!R37=8,'Project types'!$O38,'Prepare Gantt Chart'!R37=7,'Project types'!$Q38,'Prepare Gantt Chart'!R37=0,0)</f>
        <v>0</v>
      </c>
      <c r="F48" s="83">
        <f>_xlfn.IFS('Prepare Gantt Chart'!S37=8,'Project types'!$O38,'Prepare Gantt Chart'!S37=7,'Project types'!$Q38,'Prepare Gantt Chart'!S37=0,0)</f>
        <v>0</v>
      </c>
      <c r="G48" s="83">
        <f>_xlfn.IFS('Prepare Gantt Chart'!T37=8,'Project types'!$O38,'Prepare Gantt Chart'!T37=7,'Project types'!$Q38,'Prepare Gantt Chart'!T37=0,0)</f>
        <v>0</v>
      </c>
      <c r="H48" s="83">
        <f>_xlfn.IFS('Prepare Gantt Chart'!U37=8,'Project types'!$O38,'Prepare Gantt Chart'!U37=7,'Project types'!$Q38,'Prepare Gantt Chart'!U37=0,0)</f>
        <v>0</v>
      </c>
      <c r="I48" s="83">
        <f>_xlfn.IFS('Prepare Gantt Chart'!V37=8,'Project types'!$O38,'Prepare Gantt Chart'!V37=7,'Project types'!$Q38,'Prepare Gantt Chart'!V37=0,0)</f>
        <v>0</v>
      </c>
      <c r="J48" s="83">
        <f>_xlfn.IFS('Prepare Gantt Chart'!W37=8,'Project types'!$O38,'Prepare Gantt Chart'!W37=7,'Project types'!$Q38,'Prepare Gantt Chart'!W37=0,0)</f>
        <v>0</v>
      </c>
      <c r="K48" s="83">
        <f>_xlfn.IFS('Prepare Gantt Chart'!X37=8,'Project types'!$O38,'Prepare Gantt Chart'!X37=7,'Project types'!$Q38,'Prepare Gantt Chart'!X37=0,0)</f>
        <v>0</v>
      </c>
      <c r="L48" s="83">
        <f>_xlfn.IFS('Prepare Gantt Chart'!Y37=8,'Project types'!$O38,'Prepare Gantt Chart'!Y37=7,'Project types'!$Q38,'Prepare Gantt Chart'!Y37=0,0)</f>
        <v>0</v>
      </c>
      <c r="M48" s="83">
        <f>_xlfn.IFS('Prepare Gantt Chart'!Z37=8,'Project types'!$O38,'Prepare Gantt Chart'!Z37=7,'Project types'!$Q38,'Prepare Gantt Chart'!Z37=0,0)</f>
        <v>0</v>
      </c>
      <c r="N48" s="83">
        <f>_xlfn.IFS('Prepare Gantt Chart'!AA37=8,'Project types'!$O38,'Prepare Gantt Chart'!AA37=7,'Project types'!$Q38,'Prepare Gantt Chart'!AA37=0,0)</f>
        <v>0</v>
      </c>
      <c r="O48" s="83">
        <f>_xlfn.IFS('Prepare Gantt Chart'!AB37=8,'Project types'!$O38,'Prepare Gantt Chart'!AB37=7,'Project types'!$Q38,'Prepare Gantt Chart'!AB37=0,0)</f>
        <v>0</v>
      </c>
      <c r="P48" s="83">
        <f>_xlfn.IFS('Prepare Gantt Chart'!AC37=8,'Project types'!$O38,'Prepare Gantt Chart'!AC37=7,'Project types'!$Q38,'Prepare Gantt Chart'!AC37=0,0)</f>
        <v>0</v>
      </c>
      <c r="Q48" s="83">
        <f>_xlfn.IFS('Prepare Gantt Chart'!AD37=8,'Project types'!$O38,'Prepare Gantt Chart'!AD37=7,'Project types'!$Q38,'Prepare Gantt Chart'!AD37=0,0)</f>
        <v>0</v>
      </c>
      <c r="R48" s="83">
        <f>_xlfn.IFS('Prepare Gantt Chart'!AE37=8,'Project types'!$O38,'Prepare Gantt Chart'!AE37=7,'Project types'!$Q38,'Prepare Gantt Chart'!AE37=0,0)</f>
        <v>0</v>
      </c>
      <c r="S48" s="83">
        <f>_xlfn.IFS('Prepare Gantt Chart'!AF37=8,'Project types'!$O38,'Prepare Gantt Chart'!AF37=7,'Project types'!$Q38,'Prepare Gantt Chart'!AF37=0,0)</f>
        <v>0</v>
      </c>
      <c r="T48" s="83">
        <f>_xlfn.IFS('Prepare Gantt Chart'!AG37=8,'Project types'!$O38,'Prepare Gantt Chart'!AG37=7,'Project types'!$Q38,'Prepare Gantt Chart'!AG37=0,0)</f>
        <v>0</v>
      </c>
      <c r="U48" s="83">
        <f>_xlfn.IFS('Prepare Gantt Chart'!AH37=8,'Project types'!$O38,'Prepare Gantt Chart'!AH37=7,'Project types'!$Q38,'Prepare Gantt Chart'!AH37=0,0)</f>
        <v>0</v>
      </c>
      <c r="V48" s="83">
        <f>_xlfn.IFS('Prepare Gantt Chart'!AI37=8,'Project types'!$O38,'Prepare Gantt Chart'!AI37=7,'Project types'!$Q38,'Prepare Gantt Chart'!AI37=0,0)</f>
        <v>0</v>
      </c>
      <c r="W48" s="83">
        <f>_xlfn.IFS('Prepare Gantt Chart'!AJ37=8,'Project types'!$O38,'Prepare Gantt Chart'!AJ37=7,'Project types'!$Q38,'Prepare Gantt Chart'!AJ37=0,0)</f>
        <v>0</v>
      </c>
      <c r="X48" s="83">
        <f>_xlfn.IFS('Prepare Gantt Chart'!AK37=8,'Project types'!$O38,'Prepare Gantt Chart'!AK37=7,'Project types'!$Q38,'Prepare Gantt Chart'!AK37=0,0)</f>
        <v>0</v>
      </c>
      <c r="Y48" s="83">
        <f>_xlfn.IFS('Prepare Gantt Chart'!AL37=8,'Project types'!$O38,'Prepare Gantt Chart'!AL37=7,'Project types'!$Q38,'Prepare Gantt Chart'!AL37=0,0)</f>
        <v>0</v>
      </c>
      <c r="Z48" s="83">
        <f>_xlfn.IFS('Prepare Gantt Chart'!AM37=8,'Project types'!$O38,'Prepare Gantt Chart'!AM37=7,'Project types'!$Q38,'Prepare Gantt Chart'!AM37=0,0)</f>
        <v>0</v>
      </c>
      <c r="AA48" s="83">
        <f>_xlfn.IFS('Prepare Gantt Chart'!AN37=8,'Project types'!$O38,'Prepare Gantt Chart'!AN37=7,'Project types'!$Q38,'Prepare Gantt Chart'!AN37=0,0)</f>
        <v>0</v>
      </c>
      <c r="AB48" s="83">
        <f>_xlfn.IFS('Prepare Gantt Chart'!AO37=8,'Project types'!$O38,'Prepare Gantt Chart'!AO37=7,'Project types'!$Q38,'Prepare Gantt Chart'!AO37=0,0)</f>
        <v>0</v>
      </c>
      <c r="AC48" s="93">
        <f t="shared" si="0"/>
        <v>0</v>
      </c>
      <c r="AD48" s="86">
        <f>_xlfn.IFS('Prepare Gantt Chart'!P37=8,'Project types'!$L38,'Prepare Gantt Chart'!P37=7,'Project types'!$L38,'Prepare Gantt Chart'!P37=0,0)</f>
        <v>0</v>
      </c>
      <c r="AE48" s="83">
        <f>_xlfn.IFS('Prepare Gantt Chart'!Q37=8,'Project types'!$L38,'Prepare Gantt Chart'!Q37=7,'Project types'!$L38,'Prepare Gantt Chart'!Q37=0,0)</f>
        <v>0</v>
      </c>
      <c r="AF48" s="83">
        <f>_xlfn.IFS('Prepare Gantt Chart'!R37=8,'Project types'!$L38,'Prepare Gantt Chart'!R37=7,'Project types'!$L38,'Prepare Gantt Chart'!R37=0,0)</f>
        <v>0</v>
      </c>
      <c r="AG48" s="83">
        <f>_xlfn.IFS('Prepare Gantt Chart'!S37=8,'Project types'!$L38,'Prepare Gantt Chart'!S37=7,'Project types'!$L38,'Prepare Gantt Chart'!S37=0,0)</f>
        <v>0</v>
      </c>
      <c r="AH48" s="83">
        <f>_xlfn.IFS('Prepare Gantt Chart'!T37=8,'Project types'!$L38,'Prepare Gantt Chart'!T37=7,'Project types'!$L38,'Prepare Gantt Chart'!T37=0,0)</f>
        <v>0</v>
      </c>
      <c r="AI48" s="83">
        <f>_xlfn.IFS('Prepare Gantt Chart'!U37=8,'Project types'!$L38,'Prepare Gantt Chart'!U37=7,'Project types'!$L38,'Prepare Gantt Chart'!U37=0,0)</f>
        <v>0</v>
      </c>
      <c r="AJ48" s="83">
        <f>_xlfn.IFS('Prepare Gantt Chart'!V37=8,'Project types'!$L38,'Prepare Gantt Chart'!V37=7,'Project types'!$L38,'Prepare Gantt Chart'!V37=0,0)</f>
        <v>0</v>
      </c>
      <c r="AK48" s="83">
        <f>_xlfn.IFS('Prepare Gantt Chart'!W37=8,'Project types'!$L38,'Prepare Gantt Chart'!W37=7,'Project types'!$L38,'Prepare Gantt Chart'!W37=0,0)</f>
        <v>0</v>
      </c>
      <c r="AL48" s="83">
        <f>_xlfn.IFS('Prepare Gantt Chart'!X37=8,'Project types'!$L38,'Prepare Gantt Chart'!X37=7,'Project types'!$L38,'Prepare Gantt Chart'!X37=0,0)</f>
        <v>0</v>
      </c>
      <c r="AM48" s="83">
        <f>_xlfn.IFS('Prepare Gantt Chart'!Y37=8,'Project types'!$L38,'Prepare Gantt Chart'!Y37=7,'Project types'!$L38,'Prepare Gantt Chart'!Y37=0,0)</f>
        <v>0</v>
      </c>
      <c r="AN48" s="83">
        <f>_xlfn.IFS('Prepare Gantt Chart'!Z37=8,'Project types'!$L38,'Prepare Gantt Chart'!Z37=7,'Project types'!$L38,'Prepare Gantt Chart'!Z37=0,0)</f>
        <v>0</v>
      </c>
      <c r="AO48" s="83">
        <f>_xlfn.IFS('Prepare Gantt Chart'!AA37=8,'Project types'!$L38,'Prepare Gantt Chart'!AA37=7,'Project types'!$L38,'Prepare Gantt Chart'!AA37=0,0)</f>
        <v>0</v>
      </c>
      <c r="AP48" s="83">
        <f>_xlfn.IFS('Prepare Gantt Chart'!AB37=8,'Project types'!$L38,'Prepare Gantt Chart'!AB37=7,'Project types'!$L38,'Prepare Gantt Chart'!AB37=0,0)</f>
        <v>0</v>
      </c>
      <c r="AQ48" s="83">
        <f>_xlfn.IFS('Prepare Gantt Chart'!AC37=8,'Project types'!$L38,'Prepare Gantt Chart'!AC37=7,'Project types'!$L38,'Prepare Gantt Chart'!AC37=0,0)</f>
        <v>0</v>
      </c>
      <c r="AR48" s="83">
        <f>_xlfn.IFS('Prepare Gantt Chart'!AD37=8,'Project types'!$L38,'Prepare Gantt Chart'!AD37=7,'Project types'!$L38,'Prepare Gantt Chart'!AD37=0,0)</f>
        <v>0</v>
      </c>
      <c r="AS48" s="83">
        <f>_xlfn.IFS('Prepare Gantt Chart'!AE37=8,'Project types'!$L38,'Prepare Gantt Chart'!AE37=7,'Project types'!$L38,'Prepare Gantt Chart'!AE37=0,0)</f>
        <v>0</v>
      </c>
      <c r="AT48" s="83">
        <f>_xlfn.IFS('Prepare Gantt Chart'!AF37=8,'Project types'!$L38,'Prepare Gantt Chart'!AF37=7,'Project types'!$L38,'Prepare Gantt Chart'!AF37=0,0)</f>
        <v>0</v>
      </c>
      <c r="AU48" s="83">
        <f>_xlfn.IFS('Prepare Gantt Chart'!AG37=8,'Project types'!$L38,'Prepare Gantt Chart'!AG37=7,'Project types'!$L38,'Prepare Gantt Chart'!AG37=0,0)</f>
        <v>0</v>
      </c>
      <c r="AV48" s="83">
        <f>_xlfn.IFS('Prepare Gantt Chart'!AH37=8,'Project types'!$L38,'Prepare Gantt Chart'!AH37=7,'Project types'!$L38,'Prepare Gantt Chart'!AH37=0,0)</f>
        <v>0</v>
      </c>
      <c r="AW48" s="83">
        <f>_xlfn.IFS('Prepare Gantt Chart'!AI37=8,'Project types'!$L38,'Prepare Gantt Chart'!AI37=7,'Project types'!$L38,'Prepare Gantt Chart'!AI37=0,0)</f>
        <v>0</v>
      </c>
      <c r="AX48" s="83">
        <f>_xlfn.IFS('Prepare Gantt Chart'!AJ37=8,'Project types'!$L38,'Prepare Gantt Chart'!AJ37=7,'Project types'!$L38,'Prepare Gantt Chart'!AJ37=0,0)</f>
        <v>0</v>
      </c>
      <c r="AY48" s="83">
        <f>_xlfn.IFS('Prepare Gantt Chart'!AK37=8,'Project types'!$L38,'Prepare Gantt Chart'!AK37=7,'Project types'!$L38,'Prepare Gantt Chart'!AK37=0,0)</f>
        <v>0</v>
      </c>
      <c r="AZ48" s="83">
        <f>_xlfn.IFS('Prepare Gantt Chart'!AL37=8,'Project types'!$L38,'Prepare Gantt Chart'!AL37=7,'Project types'!$L38,'Prepare Gantt Chart'!AL37=0,0)</f>
        <v>0</v>
      </c>
      <c r="BA48" s="83">
        <f>_xlfn.IFS('Prepare Gantt Chart'!AM37=8,'Project types'!$L38,'Prepare Gantt Chart'!AM37=7,'Project types'!$L38,'Prepare Gantt Chart'!AM37=0,0)</f>
        <v>0</v>
      </c>
      <c r="BB48" s="83">
        <f>_xlfn.IFS('Prepare Gantt Chart'!AN37=8,'Project types'!$L38,'Prepare Gantt Chart'!AN37=7,'Project types'!$L38,'Prepare Gantt Chart'!AN37=0,0)</f>
        <v>0</v>
      </c>
      <c r="BC48" s="83">
        <f>_xlfn.IFS('Prepare Gantt Chart'!AO37=8,'Project types'!$L38,'Prepare Gantt Chart'!AO37=7,'Project types'!$L38,'Prepare Gantt Chart'!AO37=0,0)</f>
        <v>0</v>
      </c>
      <c r="BD48" s="91">
        <f t="shared" si="1"/>
        <v>0</v>
      </c>
      <c r="CI48" s="85"/>
      <c r="GY48" s="85"/>
    </row>
    <row r="49" spans="1:207" x14ac:dyDescent="0.2">
      <c r="A49" s="1" t="s">
        <v>459</v>
      </c>
      <c r="B49" s="27" t="s">
        <v>38</v>
      </c>
      <c r="C49" s="83">
        <f>_xlfn.IFS('Prepare Gantt Chart'!P38=8,'Project types'!$O39,'Prepare Gantt Chart'!P38=7,'Project types'!$Q39,'Prepare Gantt Chart'!P38=0,0)</f>
        <v>0</v>
      </c>
      <c r="D49" s="83">
        <f>_xlfn.IFS('Prepare Gantt Chart'!Q38=8,'Project types'!$O39,'Prepare Gantt Chart'!Q38=7,'Project types'!$Q39,'Prepare Gantt Chart'!Q38=0,0)</f>
        <v>0</v>
      </c>
      <c r="E49" s="83">
        <f>_xlfn.IFS('Prepare Gantt Chart'!R38=8,'Project types'!$O39,'Prepare Gantt Chart'!R38=7,'Project types'!$Q39,'Prepare Gantt Chart'!R38=0,0)</f>
        <v>0</v>
      </c>
      <c r="F49" s="83">
        <f>_xlfn.IFS('Prepare Gantt Chart'!S38=8,'Project types'!$O39,'Prepare Gantt Chart'!S38=7,'Project types'!$Q39,'Prepare Gantt Chart'!S38=0,0)</f>
        <v>0</v>
      </c>
      <c r="G49" s="83">
        <f>_xlfn.IFS('Prepare Gantt Chart'!T38=8,'Project types'!$O39,'Prepare Gantt Chart'!T38=7,'Project types'!$Q39,'Prepare Gantt Chart'!T38=0,0)</f>
        <v>0</v>
      </c>
      <c r="H49" s="83">
        <f>_xlfn.IFS('Prepare Gantt Chart'!U38=8,'Project types'!$O39,'Prepare Gantt Chart'!U38=7,'Project types'!$Q39,'Prepare Gantt Chart'!U38=0,0)</f>
        <v>0</v>
      </c>
      <c r="I49" s="83">
        <f>_xlfn.IFS('Prepare Gantt Chart'!V38=8,'Project types'!$O39,'Prepare Gantt Chart'!V38=7,'Project types'!$Q39,'Prepare Gantt Chart'!V38=0,0)</f>
        <v>0</v>
      </c>
      <c r="J49" s="83">
        <f>_xlfn.IFS('Prepare Gantt Chart'!W38=8,'Project types'!$O39,'Prepare Gantt Chart'!W38=7,'Project types'!$Q39,'Prepare Gantt Chart'!W38=0,0)</f>
        <v>0</v>
      </c>
      <c r="K49" s="83">
        <f>_xlfn.IFS('Prepare Gantt Chart'!X38=8,'Project types'!$O39,'Prepare Gantt Chart'!X38=7,'Project types'!$Q39,'Prepare Gantt Chart'!X38=0,0)</f>
        <v>0</v>
      </c>
      <c r="L49" s="83">
        <f>_xlfn.IFS('Prepare Gantt Chart'!Y38=8,'Project types'!$O39,'Prepare Gantt Chart'!Y38=7,'Project types'!$Q39,'Prepare Gantt Chart'!Y38=0,0)</f>
        <v>0</v>
      </c>
      <c r="M49" s="83">
        <f>_xlfn.IFS('Prepare Gantt Chart'!Z38=8,'Project types'!$O39,'Prepare Gantt Chart'!Z38=7,'Project types'!$Q39,'Prepare Gantt Chart'!Z38=0,0)</f>
        <v>0</v>
      </c>
      <c r="N49" s="83">
        <f>_xlfn.IFS('Prepare Gantt Chart'!AA38=8,'Project types'!$O39,'Prepare Gantt Chart'!AA38=7,'Project types'!$Q39,'Prepare Gantt Chart'!AA38=0,0)</f>
        <v>0</v>
      </c>
      <c r="O49" s="83">
        <f>_xlfn.IFS('Prepare Gantt Chart'!AB38=8,'Project types'!$O39,'Prepare Gantt Chart'!AB38=7,'Project types'!$Q39,'Prepare Gantt Chart'!AB38=0,0)</f>
        <v>0</v>
      </c>
      <c r="P49" s="83">
        <f>_xlfn.IFS('Prepare Gantt Chart'!AC38=8,'Project types'!$O39,'Prepare Gantt Chart'!AC38=7,'Project types'!$Q39,'Prepare Gantt Chart'!AC38=0,0)</f>
        <v>0</v>
      </c>
      <c r="Q49" s="83">
        <f>_xlfn.IFS('Prepare Gantt Chart'!AD38=8,'Project types'!$O39,'Prepare Gantt Chart'!AD38=7,'Project types'!$Q39,'Prepare Gantt Chart'!AD38=0,0)</f>
        <v>0</v>
      </c>
      <c r="R49" s="83">
        <f>_xlfn.IFS('Prepare Gantt Chart'!AE38=8,'Project types'!$O39,'Prepare Gantt Chart'!AE38=7,'Project types'!$Q39,'Prepare Gantt Chart'!AE38=0,0)</f>
        <v>0</v>
      </c>
      <c r="S49" s="83">
        <f>_xlfn.IFS('Prepare Gantt Chart'!AF38=8,'Project types'!$O39,'Prepare Gantt Chart'!AF38=7,'Project types'!$Q39,'Prepare Gantt Chart'!AF38=0,0)</f>
        <v>0</v>
      </c>
      <c r="T49" s="83">
        <f>_xlfn.IFS('Prepare Gantt Chart'!AG38=8,'Project types'!$O39,'Prepare Gantt Chart'!AG38=7,'Project types'!$Q39,'Prepare Gantt Chart'!AG38=0,0)</f>
        <v>0</v>
      </c>
      <c r="U49" s="83">
        <f>_xlfn.IFS('Prepare Gantt Chart'!AH38=8,'Project types'!$O39,'Prepare Gantt Chart'!AH38=7,'Project types'!$Q39,'Prepare Gantt Chart'!AH38=0,0)</f>
        <v>0</v>
      </c>
      <c r="V49" s="83">
        <f>_xlfn.IFS('Prepare Gantt Chart'!AI38=8,'Project types'!$O39,'Prepare Gantt Chart'!AI38=7,'Project types'!$Q39,'Prepare Gantt Chart'!AI38=0,0)</f>
        <v>0</v>
      </c>
      <c r="W49" s="83">
        <f>_xlfn.IFS('Prepare Gantt Chart'!AJ38=8,'Project types'!$O39,'Prepare Gantt Chart'!AJ38=7,'Project types'!$Q39,'Prepare Gantt Chart'!AJ38=0,0)</f>
        <v>0</v>
      </c>
      <c r="X49" s="83">
        <f>_xlfn.IFS('Prepare Gantt Chart'!AK38=8,'Project types'!$O39,'Prepare Gantt Chart'!AK38=7,'Project types'!$Q39,'Prepare Gantt Chart'!AK38=0,0)</f>
        <v>0</v>
      </c>
      <c r="Y49" s="83">
        <f>_xlfn.IFS('Prepare Gantt Chart'!AL38=8,'Project types'!$O39,'Prepare Gantt Chart'!AL38=7,'Project types'!$Q39,'Prepare Gantt Chart'!AL38=0,0)</f>
        <v>0</v>
      </c>
      <c r="Z49" s="83">
        <f>_xlfn.IFS('Prepare Gantt Chart'!AM38=8,'Project types'!$O39,'Prepare Gantt Chart'!AM38=7,'Project types'!$Q39,'Prepare Gantt Chart'!AM38=0,0)</f>
        <v>0</v>
      </c>
      <c r="AA49" s="83">
        <f>_xlfn.IFS('Prepare Gantt Chart'!AN38=8,'Project types'!$O39,'Prepare Gantt Chart'!AN38=7,'Project types'!$Q39,'Prepare Gantt Chart'!AN38=0,0)</f>
        <v>0</v>
      </c>
      <c r="AB49" s="83">
        <f>_xlfn.IFS('Prepare Gantt Chart'!AO38=8,'Project types'!$O39,'Prepare Gantt Chart'!AO38=7,'Project types'!$Q39,'Prepare Gantt Chart'!AO38=0,0)</f>
        <v>0</v>
      </c>
      <c r="AC49" s="93">
        <f t="shared" si="0"/>
        <v>0</v>
      </c>
      <c r="AD49" s="86">
        <f>_xlfn.IFS('Prepare Gantt Chart'!P38=8,'Project types'!$L39,'Prepare Gantt Chart'!P38=7,'Project types'!$L39,'Prepare Gantt Chart'!P38=0,0)</f>
        <v>0</v>
      </c>
      <c r="AE49" s="83">
        <f>_xlfn.IFS('Prepare Gantt Chart'!Q38=8,'Project types'!$L39,'Prepare Gantt Chart'!Q38=7,'Project types'!$L39,'Prepare Gantt Chart'!Q38=0,0)</f>
        <v>0</v>
      </c>
      <c r="AF49" s="83">
        <f>_xlfn.IFS('Prepare Gantt Chart'!R38=8,'Project types'!$L39,'Prepare Gantt Chart'!R38=7,'Project types'!$L39,'Prepare Gantt Chart'!R38=0,0)</f>
        <v>0</v>
      </c>
      <c r="AG49" s="83">
        <f>_xlfn.IFS('Prepare Gantt Chart'!S38=8,'Project types'!$L39,'Prepare Gantt Chart'!S38=7,'Project types'!$L39,'Prepare Gantt Chart'!S38=0,0)</f>
        <v>0</v>
      </c>
      <c r="AH49" s="83">
        <f>_xlfn.IFS('Prepare Gantt Chart'!T38=8,'Project types'!$L39,'Prepare Gantt Chart'!T38=7,'Project types'!$L39,'Prepare Gantt Chart'!T38=0,0)</f>
        <v>0</v>
      </c>
      <c r="AI49" s="83">
        <f>_xlfn.IFS('Prepare Gantt Chart'!U38=8,'Project types'!$L39,'Prepare Gantt Chart'!U38=7,'Project types'!$L39,'Prepare Gantt Chart'!U38=0,0)</f>
        <v>0</v>
      </c>
      <c r="AJ49" s="83">
        <f>_xlfn.IFS('Prepare Gantt Chart'!V38=8,'Project types'!$L39,'Prepare Gantt Chart'!V38=7,'Project types'!$L39,'Prepare Gantt Chart'!V38=0,0)</f>
        <v>0</v>
      </c>
      <c r="AK49" s="83">
        <f>_xlfn.IFS('Prepare Gantt Chart'!W38=8,'Project types'!$L39,'Prepare Gantt Chart'!W38=7,'Project types'!$L39,'Prepare Gantt Chart'!W38=0,0)</f>
        <v>0</v>
      </c>
      <c r="AL49" s="83">
        <f>_xlfn.IFS('Prepare Gantt Chart'!X38=8,'Project types'!$L39,'Prepare Gantt Chart'!X38=7,'Project types'!$L39,'Prepare Gantt Chart'!X38=0,0)</f>
        <v>0</v>
      </c>
      <c r="AM49" s="83">
        <f>_xlfn.IFS('Prepare Gantt Chart'!Y38=8,'Project types'!$L39,'Prepare Gantt Chart'!Y38=7,'Project types'!$L39,'Prepare Gantt Chart'!Y38=0,0)</f>
        <v>0</v>
      </c>
      <c r="AN49" s="83">
        <f>_xlfn.IFS('Prepare Gantt Chart'!Z38=8,'Project types'!$L39,'Prepare Gantt Chart'!Z38=7,'Project types'!$L39,'Prepare Gantt Chart'!Z38=0,0)</f>
        <v>0</v>
      </c>
      <c r="AO49" s="83">
        <f>_xlfn.IFS('Prepare Gantt Chart'!AA38=8,'Project types'!$L39,'Prepare Gantt Chart'!AA38=7,'Project types'!$L39,'Prepare Gantt Chart'!AA38=0,0)</f>
        <v>0</v>
      </c>
      <c r="AP49" s="83">
        <f>_xlfn.IFS('Prepare Gantt Chart'!AB38=8,'Project types'!$L39,'Prepare Gantt Chart'!AB38=7,'Project types'!$L39,'Prepare Gantt Chart'!AB38=0,0)</f>
        <v>0</v>
      </c>
      <c r="AQ49" s="83">
        <f>_xlfn.IFS('Prepare Gantt Chart'!AC38=8,'Project types'!$L39,'Prepare Gantt Chart'!AC38=7,'Project types'!$L39,'Prepare Gantt Chart'!AC38=0,0)</f>
        <v>0</v>
      </c>
      <c r="AR49" s="83">
        <f>_xlfn.IFS('Prepare Gantt Chart'!AD38=8,'Project types'!$L39,'Prepare Gantt Chart'!AD38=7,'Project types'!$L39,'Prepare Gantt Chart'!AD38=0,0)</f>
        <v>0</v>
      </c>
      <c r="AS49" s="83">
        <f>_xlfn.IFS('Prepare Gantt Chart'!AE38=8,'Project types'!$L39,'Prepare Gantt Chart'!AE38=7,'Project types'!$L39,'Prepare Gantt Chart'!AE38=0,0)</f>
        <v>0</v>
      </c>
      <c r="AT49" s="83">
        <f>_xlfn.IFS('Prepare Gantt Chart'!AF38=8,'Project types'!$L39,'Prepare Gantt Chart'!AF38=7,'Project types'!$L39,'Prepare Gantt Chart'!AF38=0,0)</f>
        <v>0</v>
      </c>
      <c r="AU49" s="83">
        <f>_xlfn.IFS('Prepare Gantt Chart'!AG38=8,'Project types'!$L39,'Prepare Gantt Chart'!AG38=7,'Project types'!$L39,'Prepare Gantt Chart'!AG38=0,0)</f>
        <v>0</v>
      </c>
      <c r="AV49" s="83">
        <f>_xlfn.IFS('Prepare Gantt Chart'!AH38=8,'Project types'!$L39,'Prepare Gantt Chart'!AH38=7,'Project types'!$L39,'Prepare Gantt Chart'!AH38=0,0)</f>
        <v>0</v>
      </c>
      <c r="AW49" s="83">
        <f>_xlfn.IFS('Prepare Gantt Chart'!AI38=8,'Project types'!$L39,'Prepare Gantt Chart'!AI38=7,'Project types'!$L39,'Prepare Gantt Chart'!AI38=0,0)</f>
        <v>0</v>
      </c>
      <c r="AX49" s="83">
        <f>_xlfn.IFS('Prepare Gantt Chart'!AJ38=8,'Project types'!$L39,'Prepare Gantt Chart'!AJ38=7,'Project types'!$L39,'Prepare Gantt Chart'!AJ38=0,0)</f>
        <v>0</v>
      </c>
      <c r="AY49" s="83">
        <f>_xlfn.IFS('Prepare Gantt Chart'!AK38=8,'Project types'!$L39,'Prepare Gantt Chart'!AK38=7,'Project types'!$L39,'Prepare Gantt Chart'!AK38=0,0)</f>
        <v>0</v>
      </c>
      <c r="AZ49" s="83">
        <f>_xlfn.IFS('Prepare Gantt Chart'!AL38=8,'Project types'!$L39,'Prepare Gantt Chart'!AL38=7,'Project types'!$L39,'Prepare Gantt Chart'!AL38=0,0)</f>
        <v>0</v>
      </c>
      <c r="BA49" s="83">
        <f>_xlfn.IFS('Prepare Gantt Chart'!AM38=8,'Project types'!$L39,'Prepare Gantt Chart'!AM38=7,'Project types'!$L39,'Prepare Gantt Chart'!AM38=0,0)</f>
        <v>0</v>
      </c>
      <c r="BB49" s="83">
        <f>_xlfn.IFS('Prepare Gantt Chart'!AN38=8,'Project types'!$L39,'Prepare Gantt Chart'!AN38=7,'Project types'!$L39,'Prepare Gantt Chart'!AN38=0,0)</f>
        <v>0</v>
      </c>
      <c r="BC49" s="83">
        <f>_xlfn.IFS('Prepare Gantt Chart'!AO38=8,'Project types'!$L39,'Prepare Gantt Chart'!AO38=7,'Project types'!$L39,'Prepare Gantt Chart'!AO38=0,0)</f>
        <v>0</v>
      </c>
      <c r="BD49" s="91">
        <f t="shared" si="1"/>
        <v>0</v>
      </c>
      <c r="CI49" s="85"/>
      <c r="GY49" s="85"/>
    </row>
    <row r="50" spans="1:207" x14ac:dyDescent="0.2">
      <c r="A50" s="1" t="s">
        <v>126</v>
      </c>
      <c r="B50" s="27" t="s">
        <v>39</v>
      </c>
      <c r="C50" s="83">
        <f>_xlfn.IFS('Prepare Gantt Chart'!P39=8,'Project types'!$O40,'Prepare Gantt Chart'!P39=7,'Project types'!$Q40,'Prepare Gantt Chart'!P39=0,0)</f>
        <v>0</v>
      </c>
      <c r="D50" s="83">
        <f>_xlfn.IFS('Prepare Gantt Chart'!Q39=8,'Project types'!$O40,'Prepare Gantt Chart'!Q39=7,'Project types'!$Q40,'Prepare Gantt Chart'!Q39=0,0)</f>
        <v>0</v>
      </c>
      <c r="E50" s="83">
        <f>_xlfn.IFS('Prepare Gantt Chart'!R39=8,'Project types'!$O40,'Prepare Gantt Chart'!R39=7,'Project types'!$Q40,'Prepare Gantt Chart'!R39=0,0)</f>
        <v>0</v>
      </c>
      <c r="F50" s="83">
        <f>_xlfn.IFS('Prepare Gantt Chart'!S39=8,'Project types'!$O40,'Prepare Gantt Chart'!S39=7,'Project types'!$Q40,'Prepare Gantt Chart'!S39=0,0)</f>
        <v>0</v>
      </c>
      <c r="G50" s="83">
        <f>_xlfn.IFS('Prepare Gantt Chart'!T39=8,'Project types'!$O40,'Prepare Gantt Chart'!T39=7,'Project types'!$Q40,'Prepare Gantt Chart'!T39=0,0)</f>
        <v>0</v>
      </c>
      <c r="H50" s="83">
        <f>_xlfn.IFS('Prepare Gantt Chart'!U39=8,'Project types'!$O40,'Prepare Gantt Chart'!U39=7,'Project types'!$Q40,'Prepare Gantt Chart'!U39=0,0)</f>
        <v>0</v>
      </c>
      <c r="I50" s="83">
        <f>_xlfn.IFS('Prepare Gantt Chart'!V39=8,'Project types'!$O40,'Prepare Gantt Chart'!V39=7,'Project types'!$Q40,'Prepare Gantt Chart'!V39=0,0)</f>
        <v>0</v>
      </c>
      <c r="J50" s="83">
        <f>_xlfn.IFS('Prepare Gantt Chart'!W39=8,'Project types'!$O40,'Prepare Gantt Chart'!W39=7,'Project types'!$Q40,'Prepare Gantt Chart'!W39=0,0)</f>
        <v>0</v>
      </c>
      <c r="K50" s="83">
        <f>_xlfn.IFS('Prepare Gantt Chart'!X39=8,'Project types'!$O40,'Prepare Gantt Chart'!X39=7,'Project types'!$Q40,'Prepare Gantt Chart'!X39=0,0)</f>
        <v>0</v>
      </c>
      <c r="L50" s="83">
        <f>_xlfn.IFS('Prepare Gantt Chart'!Y39=8,'Project types'!$O40,'Prepare Gantt Chart'!Y39=7,'Project types'!$Q40,'Prepare Gantt Chart'!Y39=0,0)</f>
        <v>0</v>
      </c>
      <c r="M50" s="83">
        <f>_xlfn.IFS('Prepare Gantt Chart'!Z39=8,'Project types'!$O40,'Prepare Gantt Chart'!Z39=7,'Project types'!$Q40,'Prepare Gantt Chart'!Z39=0,0)</f>
        <v>0</v>
      </c>
      <c r="N50" s="83">
        <f>_xlfn.IFS('Prepare Gantt Chart'!AA39=8,'Project types'!$O40,'Prepare Gantt Chart'!AA39=7,'Project types'!$Q40,'Prepare Gantt Chart'!AA39=0,0)</f>
        <v>0</v>
      </c>
      <c r="O50" s="83">
        <f>_xlfn.IFS('Prepare Gantt Chart'!AB39=8,'Project types'!$O40,'Prepare Gantt Chart'!AB39=7,'Project types'!$Q40,'Prepare Gantt Chart'!AB39=0,0)</f>
        <v>0</v>
      </c>
      <c r="P50" s="83">
        <f>_xlfn.IFS('Prepare Gantt Chart'!AC39=8,'Project types'!$O40,'Prepare Gantt Chart'!AC39=7,'Project types'!$Q40,'Prepare Gantt Chart'!AC39=0,0)</f>
        <v>0</v>
      </c>
      <c r="Q50" s="83">
        <f>_xlfn.IFS('Prepare Gantt Chart'!AD39=8,'Project types'!$O40,'Prepare Gantt Chart'!AD39=7,'Project types'!$Q40,'Prepare Gantt Chart'!AD39=0,0)</f>
        <v>0</v>
      </c>
      <c r="R50" s="83">
        <f>_xlfn.IFS('Prepare Gantt Chart'!AE39=8,'Project types'!$O40,'Prepare Gantt Chart'!AE39=7,'Project types'!$Q40,'Prepare Gantt Chart'!AE39=0,0)</f>
        <v>0</v>
      </c>
      <c r="S50" s="83">
        <f>_xlfn.IFS('Prepare Gantt Chart'!AF39=8,'Project types'!$O40,'Prepare Gantt Chart'!AF39=7,'Project types'!$Q40,'Prepare Gantt Chart'!AF39=0,0)</f>
        <v>0</v>
      </c>
      <c r="T50" s="83">
        <f>_xlfn.IFS('Prepare Gantt Chart'!AG39=8,'Project types'!$O40,'Prepare Gantt Chart'!AG39=7,'Project types'!$Q40,'Prepare Gantt Chart'!AG39=0,0)</f>
        <v>0</v>
      </c>
      <c r="U50" s="83">
        <f>_xlfn.IFS('Prepare Gantt Chart'!AH39=8,'Project types'!$O40,'Prepare Gantt Chart'!AH39=7,'Project types'!$Q40,'Prepare Gantt Chart'!AH39=0,0)</f>
        <v>0</v>
      </c>
      <c r="V50" s="83">
        <f>_xlfn.IFS('Prepare Gantt Chart'!AI39=8,'Project types'!$O40,'Prepare Gantt Chart'!AI39=7,'Project types'!$Q40,'Prepare Gantt Chart'!AI39=0,0)</f>
        <v>0</v>
      </c>
      <c r="W50" s="83">
        <f>_xlfn.IFS('Prepare Gantt Chart'!AJ39=8,'Project types'!$O40,'Prepare Gantt Chart'!AJ39=7,'Project types'!$Q40,'Prepare Gantt Chart'!AJ39=0,0)</f>
        <v>0</v>
      </c>
      <c r="X50" s="83">
        <f>_xlfn.IFS('Prepare Gantt Chart'!AK39=8,'Project types'!$O40,'Prepare Gantt Chart'!AK39=7,'Project types'!$Q40,'Prepare Gantt Chart'!AK39=0,0)</f>
        <v>0</v>
      </c>
      <c r="Y50" s="83">
        <f>_xlfn.IFS('Prepare Gantt Chart'!AL39=8,'Project types'!$O40,'Prepare Gantt Chart'!AL39=7,'Project types'!$Q40,'Prepare Gantt Chart'!AL39=0,0)</f>
        <v>0</v>
      </c>
      <c r="Z50" s="83">
        <f>_xlfn.IFS('Prepare Gantt Chart'!AM39=8,'Project types'!$O40,'Prepare Gantt Chart'!AM39=7,'Project types'!$Q40,'Prepare Gantt Chart'!AM39=0,0)</f>
        <v>0</v>
      </c>
      <c r="AA50" s="83">
        <f>_xlfn.IFS('Prepare Gantt Chart'!AN39=8,'Project types'!$O40,'Prepare Gantt Chart'!AN39=7,'Project types'!$Q40,'Prepare Gantt Chart'!AN39=0,0)</f>
        <v>0</v>
      </c>
      <c r="AB50" s="83">
        <f>_xlfn.IFS('Prepare Gantt Chart'!AO39=8,'Project types'!$O40,'Prepare Gantt Chart'!AO39=7,'Project types'!$Q40,'Prepare Gantt Chart'!AO39=0,0)</f>
        <v>0</v>
      </c>
      <c r="AC50" s="93">
        <f t="shared" si="0"/>
        <v>0</v>
      </c>
      <c r="AD50" s="86">
        <f>_xlfn.IFS('Prepare Gantt Chart'!P39=8,'Project types'!$L40,'Prepare Gantt Chart'!P39=7,'Project types'!$L40,'Prepare Gantt Chart'!P39=0,0)</f>
        <v>0</v>
      </c>
      <c r="AE50" s="83">
        <f>_xlfn.IFS('Prepare Gantt Chart'!Q39=8,'Project types'!$L40,'Prepare Gantt Chart'!Q39=7,'Project types'!$L40,'Prepare Gantt Chart'!Q39=0,0)</f>
        <v>0</v>
      </c>
      <c r="AF50" s="83">
        <f>_xlfn.IFS('Prepare Gantt Chart'!R39=8,'Project types'!$L40,'Prepare Gantt Chart'!R39=7,'Project types'!$L40,'Prepare Gantt Chart'!R39=0,0)</f>
        <v>0</v>
      </c>
      <c r="AG50" s="83">
        <f>_xlfn.IFS('Prepare Gantt Chart'!S39=8,'Project types'!$L40,'Prepare Gantt Chart'!S39=7,'Project types'!$L40,'Prepare Gantt Chart'!S39=0,0)</f>
        <v>0</v>
      </c>
      <c r="AH50" s="83">
        <f>_xlfn.IFS('Prepare Gantt Chart'!T39=8,'Project types'!$L40,'Prepare Gantt Chart'!T39=7,'Project types'!$L40,'Prepare Gantt Chart'!T39=0,0)</f>
        <v>0</v>
      </c>
      <c r="AI50" s="83">
        <f>_xlfn.IFS('Prepare Gantt Chart'!U39=8,'Project types'!$L40,'Prepare Gantt Chart'!U39=7,'Project types'!$L40,'Prepare Gantt Chart'!U39=0,0)</f>
        <v>0</v>
      </c>
      <c r="AJ50" s="83">
        <f>_xlfn.IFS('Prepare Gantt Chart'!V39=8,'Project types'!$L40,'Prepare Gantt Chart'!V39=7,'Project types'!$L40,'Prepare Gantt Chart'!V39=0,0)</f>
        <v>0</v>
      </c>
      <c r="AK50" s="83">
        <f>_xlfn.IFS('Prepare Gantt Chart'!W39=8,'Project types'!$L40,'Prepare Gantt Chart'!W39=7,'Project types'!$L40,'Prepare Gantt Chart'!W39=0,0)</f>
        <v>0</v>
      </c>
      <c r="AL50" s="83">
        <f>_xlfn.IFS('Prepare Gantt Chart'!X39=8,'Project types'!$L40,'Prepare Gantt Chart'!X39=7,'Project types'!$L40,'Prepare Gantt Chart'!X39=0,0)</f>
        <v>0</v>
      </c>
      <c r="AM50" s="83">
        <f>_xlfn.IFS('Prepare Gantt Chart'!Y39=8,'Project types'!$L40,'Prepare Gantt Chart'!Y39=7,'Project types'!$L40,'Prepare Gantt Chart'!Y39=0,0)</f>
        <v>0</v>
      </c>
      <c r="AN50" s="83">
        <f>_xlfn.IFS('Prepare Gantt Chart'!Z39=8,'Project types'!$L40,'Prepare Gantt Chart'!Z39=7,'Project types'!$L40,'Prepare Gantt Chart'!Z39=0,0)</f>
        <v>0</v>
      </c>
      <c r="AO50" s="83">
        <f>_xlfn.IFS('Prepare Gantt Chart'!AA39=8,'Project types'!$L40,'Prepare Gantt Chart'!AA39=7,'Project types'!$L40,'Prepare Gantt Chart'!AA39=0,0)</f>
        <v>0</v>
      </c>
      <c r="AP50" s="83">
        <f>_xlfn.IFS('Prepare Gantt Chart'!AB39=8,'Project types'!$L40,'Prepare Gantt Chart'!AB39=7,'Project types'!$L40,'Prepare Gantt Chart'!AB39=0,0)</f>
        <v>0</v>
      </c>
      <c r="AQ50" s="83">
        <f>_xlfn.IFS('Prepare Gantt Chart'!AC39=8,'Project types'!$L40,'Prepare Gantt Chart'!AC39=7,'Project types'!$L40,'Prepare Gantt Chart'!AC39=0,0)</f>
        <v>0</v>
      </c>
      <c r="AR50" s="83">
        <f>_xlfn.IFS('Prepare Gantt Chart'!AD39=8,'Project types'!$L40,'Prepare Gantt Chart'!AD39=7,'Project types'!$L40,'Prepare Gantt Chart'!AD39=0,0)</f>
        <v>0</v>
      </c>
      <c r="AS50" s="83">
        <f>_xlfn.IFS('Prepare Gantt Chart'!AE39=8,'Project types'!$L40,'Prepare Gantt Chart'!AE39=7,'Project types'!$L40,'Prepare Gantt Chart'!AE39=0,0)</f>
        <v>0</v>
      </c>
      <c r="AT50" s="83">
        <f>_xlfn.IFS('Prepare Gantt Chart'!AF39=8,'Project types'!$L40,'Prepare Gantt Chart'!AF39=7,'Project types'!$L40,'Prepare Gantt Chart'!AF39=0,0)</f>
        <v>0</v>
      </c>
      <c r="AU50" s="83">
        <f>_xlfn.IFS('Prepare Gantt Chart'!AG39=8,'Project types'!$L40,'Prepare Gantt Chart'!AG39=7,'Project types'!$L40,'Prepare Gantt Chart'!AG39=0,0)</f>
        <v>0</v>
      </c>
      <c r="AV50" s="83">
        <f>_xlfn.IFS('Prepare Gantt Chart'!AH39=8,'Project types'!$L40,'Prepare Gantt Chart'!AH39=7,'Project types'!$L40,'Prepare Gantt Chart'!AH39=0,0)</f>
        <v>0</v>
      </c>
      <c r="AW50" s="83">
        <f>_xlfn.IFS('Prepare Gantt Chart'!AI39=8,'Project types'!$L40,'Prepare Gantt Chart'!AI39=7,'Project types'!$L40,'Prepare Gantt Chart'!AI39=0,0)</f>
        <v>0</v>
      </c>
      <c r="AX50" s="83">
        <f>_xlfn.IFS('Prepare Gantt Chart'!AJ39=8,'Project types'!$L40,'Prepare Gantt Chart'!AJ39=7,'Project types'!$L40,'Prepare Gantt Chart'!AJ39=0,0)</f>
        <v>0</v>
      </c>
      <c r="AY50" s="83">
        <f>_xlfn.IFS('Prepare Gantt Chart'!AK39=8,'Project types'!$L40,'Prepare Gantt Chart'!AK39=7,'Project types'!$L40,'Prepare Gantt Chart'!AK39=0,0)</f>
        <v>0</v>
      </c>
      <c r="AZ50" s="83">
        <f>_xlfn.IFS('Prepare Gantt Chart'!AL39=8,'Project types'!$L40,'Prepare Gantt Chart'!AL39=7,'Project types'!$L40,'Prepare Gantt Chart'!AL39=0,0)</f>
        <v>0</v>
      </c>
      <c r="BA50" s="83">
        <f>_xlfn.IFS('Prepare Gantt Chart'!AM39=8,'Project types'!$L40,'Prepare Gantt Chart'!AM39=7,'Project types'!$L40,'Prepare Gantt Chart'!AM39=0,0)</f>
        <v>0</v>
      </c>
      <c r="BB50" s="83">
        <f>_xlfn.IFS('Prepare Gantt Chart'!AN39=8,'Project types'!$L40,'Prepare Gantt Chart'!AN39=7,'Project types'!$L40,'Prepare Gantt Chart'!AN39=0,0)</f>
        <v>0</v>
      </c>
      <c r="BC50" s="83">
        <f>_xlfn.IFS('Prepare Gantt Chart'!AO39=8,'Project types'!$L40,'Prepare Gantt Chart'!AO39=7,'Project types'!$L40,'Prepare Gantt Chart'!AO39=0,0)</f>
        <v>0</v>
      </c>
      <c r="BD50" s="91">
        <f t="shared" si="1"/>
        <v>0</v>
      </c>
      <c r="CI50" s="85"/>
      <c r="GY50" s="85"/>
    </row>
    <row r="51" spans="1:207" x14ac:dyDescent="0.2">
      <c r="A51" s="1" t="s">
        <v>127</v>
      </c>
      <c r="B51" s="27" t="s">
        <v>40</v>
      </c>
      <c r="C51" s="83">
        <f>_xlfn.IFS('Prepare Gantt Chart'!P40=8,'Project types'!$O41,'Prepare Gantt Chart'!P40=7,'Project types'!$Q41,'Prepare Gantt Chart'!P40=0,0)</f>
        <v>0</v>
      </c>
      <c r="D51" s="83">
        <f>_xlfn.IFS('Prepare Gantt Chart'!Q40=8,'Project types'!$O41,'Prepare Gantt Chart'!Q40=7,'Project types'!$Q41,'Prepare Gantt Chart'!Q40=0,0)</f>
        <v>0</v>
      </c>
      <c r="E51" s="83">
        <f>_xlfn.IFS('Prepare Gantt Chart'!R40=8,'Project types'!$O41,'Prepare Gantt Chart'!R40=7,'Project types'!$Q41,'Prepare Gantt Chart'!R40=0,0)</f>
        <v>0</v>
      </c>
      <c r="F51" s="83">
        <f>_xlfn.IFS('Prepare Gantt Chart'!S40=8,'Project types'!$O41,'Prepare Gantt Chart'!S40=7,'Project types'!$Q41,'Prepare Gantt Chart'!S40=0,0)</f>
        <v>0</v>
      </c>
      <c r="G51" s="83">
        <f>_xlfn.IFS('Prepare Gantt Chart'!T40=8,'Project types'!$O41,'Prepare Gantt Chart'!T40=7,'Project types'!$Q41,'Prepare Gantt Chart'!T40=0,0)</f>
        <v>0</v>
      </c>
      <c r="H51" s="83">
        <f>_xlfn.IFS('Prepare Gantt Chart'!U40=8,'Project types'!$O41,'Prepare Gantt Chart'!U40=7,'Project types'!$Q41,'Prepare Gantt Chart'!U40=0,0)</f>
        <v>0</v>
      </c>
      <c r="I51" s="83">
        <f>_xlfn.IFS('Prepare Gantt Chart'!V40=8,'Project types'!$O41,'Prepare Gantt Chart'!V40=7,'Project types'!$Q41,'Prepare Gantt Chart'!V40=0,0)</f>
        <v>0</v>
      </c>
      <c r="J51" s="83">
        <f>_xlfn.IFS('Prepare Gantt Chart'!W40=8,'Project types'!$O41,'Prepare Gantt Chart'!W40=7,'Project types'!$Q41,'Prepare Gantt Chart'!W40=0,0)</f>
        <v>0</v>
      </c>
      <c r="K51" s="83">
        <f>_xlfn.IFS('Prepare Gantt Chart'!X40=8,'Project types'!$O41,'Prepare Gantt Chart'!X40=7,'Project types'!$Q41,'Prepare Gantt Chart'!X40=0,0)</f>
        <v>0</v>
      </c>
      <c r="L51" s="83">
        <f>_xlfn.IFS('Prepare Gantt Chart'!Y40=8,'Project types'!$O41,'Prepare Gantt Chart'!Y40=7,'Project types'!$Q41,'Prepare Gantt Chart'!Y40=0,0)</f>
        <v>0</v>
      </c>
      <c r="M51" s="83">
        <f>_xlfn.IFS('Prepare Gantt Chart'!Z40=8,'Project types'!$O41,'Prepare Gantt Chart'!Z40=7,'Project types'!$Q41,'Prepare Gantt Chart'!Z40=0,0)</f>
        <v>0</v>
      </c>
      <c r="N51" s="83">
        <f>_xlfn.IFS('Prepare Gantt Chart'!AA40=8,'Project types'!$O41,'Prepare Gantt Chart'!AA40=7,'Project types'!$Q41,'Prepare Gantt Chart'!AA40=0,0)</f>
        <v>0</v>
      </c>
      <c r="O51" s="83">
        <f>_xlfn.IFS('Prepare Gantt Chart'!AB40=8,'Project types'!$O41,'Prepare Gantt Chart'!AB40=7,'Project types'!$Q41,'Prepare Gantt Chart'!AB40=0,0)</f>
        <v>0</v>
      </c>
      <c r="P51" s="83">
        <f>_xlfn.IFS('Prepare Gantt Chart'!AC40=8,'Project types'!$O41,'Prepare Gantt Chart'!AC40=7,'Project types'!$Q41,'Prepare Gantt Chart'!AC40=0,0)</f>
        <v>0</v>
      </c>
      <c r="Q51" s="83">
        <f>_xlfn.IFS('Prepare Gantt Chart'!AD40=8,'Project types'!$O41,'Prepare Gantt Chart'!AD40=7,'Project types'!$Q41,'Prepare Gantt Chart'!AD40=0,0)</f>
        <v>0</v>
      </c>
      <c r="R51" s="83">
        <f>_xlfn.IFS('Prepare Gantt Chart'!AE40=8,'Project types'!$O41,'Prepare Gantt Chart'!AE40=7,'Project types'!$Q41,'Prepare Gantt Chart'!AE40=0,0)</f>
        <v>0</v>
      </c>
      <c r="S51" s="83">
        <f>_xlfn.IFS('Prepare Gantt Chart'!AF40=8,'Project types'!$O41,'Prepare Gantt Chart'!AF40=7,'Project types'!$Q41,'Prepare Gantt Chart'!AF40=0,0)</f>
        <v>0</v>
      </c>
      <c r="T51" s="83">
        <f>_xlfn.IFS('Prepare Gantt Chart'!AG40=8,'Project types'!$O41,'Prepare Gantt Chart'!AG40=7,'Project types'!$Q41,'Prepare Gantt Chart'!AG40=0,0)</f>
        <v>0</v>
      </c>
      <c r="U51" s="83">
        <f>_xlfn.IFS('Prepare Gantt Chart'!AH40=8,'Project types'!$O41,'Prepare Gantt Chart'!AH40=7,'Project types'!$Q41,'Prepare Gantt Chart'!AH40=0,0)</f>
        <v>0</v>
      </c>
      <c r="V51" s="83">
        <f>_xlfn.IFS('Prepare Gantt Chart'!AI40=8,'Project types'!$O41,'Prepare Gantt Chart'!AI40=7,'Project types'!$Q41,'Prepare Gantt Chart'!AI40=0,0)</f>
        <v>0</v>
      </c>
      <c r="W51" s="83">
        <f>_xlfn.IFS('Prepare Gantt Chart'!AJ40=8,'Project types'!$O41,'Prepare Gantt Chart'!AJ40=7,'Project types'!$Q41,'Prepare Gantt Chart'!AJ40=0,0)</f>
        <v>0</v>
      </c>
      <c r="X51" s="83">
        <f>_xlfn.IFS('Prepare Gantt Chart'!AK40=8,'Project types'!$O41,'Prepare Gantt Chart'!AK40=7,'Project types'!$Q41,'Prepare Gantt Chart'!AK40=0,0)</f>
        <v>0</v>
      </c>
      <c r="Y51" s="83">
        <f>_xlfn.IFS('Prepare Gantt Chart'!AL40=8,'Project types'!$O41,'Prepare Gantt Chart'!AL40=7,'Project types'!$Q41,'Prepare Gantt Chart'!AL40=0,0)</f>
        <v>0</v>
      </c>
      <c r="Z51" s="83">
        <f>_xlfn.IFS('Prepare Gantt Chart'!AM40=8,'Project types'!$O41,'Prepare Gantt Chart'!AM40=7,'Project types'!$Q41,'Prepare Gantt Chart'!AM40=0,0)</f>
        <v>0</v>
      </c>
      <c r="AA51" s="83">
        <f>_xlfn.IFS('Prepare Gantt Chart'!AN40=8,'Project types'!$O41,'Prepare Gantt Chart'!AN40=7,'Project types'!$Q41,'Prepare Gantt Chart'!AN40=0,0)</f>
        <v>0</v>
      </c>
      <c r="AB51" s="83">
        <f>_xlfn.IFS('Prepare Gantt Chart'!AO40=8,'Project types'!$O41,'Prepare Gantt Chart'!AO40=7,'Project types'!$Q41,'Prepare Gantt Chart'!AO40=0,0)</f>
        <v>0</v>
      </c>
      <c r="AC51" s="93">
        <f t="shared" si="0"/>
        <v>0</v>
      </c>
      <c r="AD51" s="86">
        <f>_xlfn.IFS('Prepare Gantt Chart'!P40=8,'Project types'!$L41,'Prepare Gantt Chart'!P40=7,'Project types'!$L41,'Prepare Gantt Chart'!P40=0,0)</f>
        <v>0</v>
      </c>
      <c r="AE51" s="83">
        <f>_xlfn.IFS('Prepare Gantt Chart'!Q40=8,'Project types'!$L41,'Prepare Gantt Chart'!Q40=7,'Project types'!$L41,'Prepare Gantt Chart'!Q40=0,0)</f>
        <v>0</v>
      </c>
      <c r="AF51" s="83">
        <f>_xlfn.IFS('Prepare Gantt Chart'!R40=8,'Project types'!$L41,'Prepare Gantt Chart'!R40=7,'Project types'!$L41,'Prepare Gantt Chart'!R40=0,0)</f>
        <v>0</v>
      </c>
      <c r="AG51" s="83">
        <f>_xlfn.IFS('Prepare Gantt Chart'!S40=8,'Project types'!$L41,'Prepare Gantt Chart'!S40=7,'Project types'!$L41,'Prepare Gantt Chart'!S40=0,0)</f>
        <v>0</v>
      </c>
      <c r="AH51" s="83">
        <f>_xlfn.IFS('Prepare Gantt Chart'!T40=8,'Project types'!$L41,'Prepare Gantt Chart'!T40=7,'Project types'!$L41,'Prepare Gantt Chart'!T40=0,0)</f>
        <v>0</v>
      </c>
      <c r="AI51" s="83">
        <f>_xlfn.IFS('Prepare Gantt Chart'!U40=8,'Project types'!$L41,'Prepare Gantt Chart'!U40=7,'Project types'!$L41,'Prepare Gantt Chart'!U40=0,0)</f>
        <v>0</v>
      </c>
      <c r="AJ51" s="83">
        <f>_xlfn.IFS('Prepare Gantt Chart'!V40=8,'Project types'!$L41,'Prepare Gantt Chart'!V40=7,'Project types'!$L41,'Prepare Gantt Chart'!V40=0,0)</f>
        <v>0</v>
      </c>
      <c r="AK51" s="83">
        <f>_xlfn.IFS('Prepare Gantt Chart'!W40=8,'Project types'!$L41,'Prepare Gantt Chart'!W40=7,'Project types'!$L41,'Prepare Gantt Chart'!W40=0,0)</f>
        <v>0</v>
      </c>
      <c r="AL51" s="83">
        <f>_xlfn.IFS('Prepare Gantt Chart'!X40=8,'Project types'!$L41,'Prepare Gantt Chart'!X40=7,'Project types'!$L41,'Prepare Gantt Chart'!X40=0,0)</f>
        <v>0</v>
      </c>
      <c r="AM51" s="83">
        <f>_xlfn.IFS('Prepare Gantt Chart'!Y40=8,'Project types'!$L41,'Prepare Gantt Chart'!Y40=7,'Project types'!$L41,'Prepare Gantt Chart'!Y40=0,0)</f>
        <v>0</v>
      </c>
      <c r="AN51" s="83">
        <f>_xlfn.IFS('Prepare Gantt Chart'!Z40=8,'Project types'!$L41,'Prepare Gantt Chart'!Z40=7,'Project types'!$L41,'Prepare Gantt Chart'!Z40=0,0)</f>
        <v>0</v>
      </c>
      <c r="AO51" s="83">
        <f>_xlfn.IFS('Prepare Gantt Chart'!AA40=8,'Project types'!$L41,'Prepare Gantt Chart'!AA40=7,'Project types'!$L41,'Prepare Gantt Chart'!AA40=0,0)</f>
        <v>0</v>
      </c>
      <c r="AP51" s="83">
        <f>_xlfn.IFS('Prepare Gantt Chart'!AB40=8,'Project types'!$L41,'Prepare Gantt Chart'!AB40=7,'Project types'!$L41,'Prepare Gantt Chart'!AB40=0,0)</f>
        <v>0</v>
      </c>
      <c r="AQ51" s="83">
        <f>_xlfn.IFS('Prepare Gantt Chart'!AC40=8,'Project types'!$L41,'Prepare Gantt Chart'!AC40=7,'Project types'!$L41,'Prepare Gantt Chart'!AC40=0,0)</f>
        <v>0</v>
      </c>
      <c r="AR51" s="83">
        <f>_xlfn.IFS('Prepare Gantt Chart'!AD40=8,'Project types'!$L41,'Prepare Gantt Chart'!AD40=7,'Project types'!$L41,'Prepare Gantt Chart'!AD40=0,0)</f>
        <v>0</v>
      </c>
      <c r="AS51" s="83">
        <f>_xlfn.IFS('Prepare Gantt Chart'!AE40=8,'Project types'!$L41,'Prepare Gantt Chart'!AE40=7,'Project types'!$L41,'Prepare Gantt Chart'!AE40=0,0)</f>
        <v>0</v>
      </c>
      <c r="AT51" s="83">
        <f>_xlfn.IFS('Prepare Gantt Chart'!AF40=8,'Project types'!$L41,'Prepare Gantt Chart'!AF40=7,'Project types'!$L41,'Prepare Gantt Chart'!AF40=0,0)</f>
        <v>0</v>
      </c>
      <c r="AU51" s="83">
        <f>_xlfn.IFS('Prepare Gantt Chart'!AG40=8,'Project types'!$L41,'Prepare Gantt Chart'!AG40=7,'Project types'!$L41,'Prepare Gantt Chart'!AG40=0,0)</f>
        <v>0</v>
      </c>
      <c r="AV51" s="83">
        <f>_xlfn.IFS('Prepare Gantt Chart'!AH40=8,'Project types'!$L41,'Prepare Gantt Chart'!AH40=7,'Project types'!$L41,'Prepare Gantt Chart'!AH40=0,0)</f>
        <v>0</v>
      </c>
      <c r="AW51" s="83">
        <f>_xlfn.IFS('Prepare Gantt Chart'!AI40=8,'Project types'!$L41,'Prepare Gantt Chart'!AI40=7,'Project types'!$L41,'Prepare Gantt Chart'!AI40=0,0)</f>
        <v>0</v>
      </c>
      <c r="AX51" s="83">
        <f>_xlfn.IFS('Prepare Gantt Chart'!AJ40=8,'Project types'!$L41,'Prepare Gantt Chart'!AJ40=7,'Project types'!$L41,'Prepare Gantt Chart'!AJ40=0,0)</f>
        <v>0</v>
      </c>
      <c r="AY51" s="83">
        <f>_xlfn.IFS('Prepare Gantt Chart'!AK40=8,'Project types'!$L41,'Prepare Gantt Chart'!AK40=7,'Project types'!$L41,'Prepare Gantt Chart'!AK40=0,0)</f>
        <v>0</v>
      </c>
      <c r="AZ51" s="83">
        <f>_xlfn.IFS('Prepare Gantt Chart'!AL40=8,'Project types'!$L41,'Prepare Gantt Chart'!AL40=7,'Project types'!$L41,'Prepare Gantt Chart'!AL40=0,0)</f>
        <v>0</v>
      </c>
      <c r="BA51" s="83">
        <f>_xlfn.IFS('Prepare Gantt Chart'!AM40=8,'Project types'!$L41,'Prepare Gantt Chart'!AM40=7,'Project types'!$L41,'Prepare Gantt Chart'!AM40=0,0)</f>
        <v>0</v>
      </c>
      <c r="BB51" s="83">
        <f>_xlfn.IFS('Prepare Gantt Chart'!AN40=8,'Project types'!$L41,'Prepare Gantt Chart'!AN40=7,'Project types'!$L41,'Prepare Gantt Chart'!AN40=0,0)</f>
        <v>0</v>
      </c>
      <c r="BC51" s="83">
        <f>_xlfn.IFS('Prepare Gantt Chart'!AO40=8,'Project types'!$L41,'Prepare Gantt Chart'!AO40=7,'Project types'!$L41,'Prepare Gantt Chart'!AO40=0,0)</f>
        <v>0</v>
      </c>
      <c r="BD51" s="91">
        <f t="shared" si="1"/>
        <v>0</v>
      </c>
      <c r="CI51" s="85"/>
      <c r="GY51" s="85"/>
    </row>
    <row r="52" spans="1:207" x14ac:dyDescent="0.2">
      <c r="A52" s="1" t="s">
        <v>129</v>
      </c>
      <c r="B52" s="27" t="s">
        <v>41</v>
      </c>
      <c r="C52" s="83">
        <f>_xlfn.IFS('Prepare Gantt Chart'!P41=8,'Project types'!$O42,'Prepare Gantt Chart'!P41=7,'Project types'!$Q42,'Prepare Gantt Chart'!P41=0,0)</f>
        <v>0</v>
      </c>
      <c r="D52" s="83">
        <f>_xlfn.IFS('Prepare Gantt Chart'!Q41=8,'Project types'!$O42,'Prepare Gantt Chart'!Q41=7,'Project types'!$Q42,'Prepare Gantt Chart'!Q41=0,0)</f>
        <v>0</v>
      </c>
      <c r="E52" s="83">
        <f>_xlfn.IFS('Prepare Gantt Chart'!R41=8,'Project types'!$O42,'Prepare Gantt Chart'!R41=7,'Project types'!$Q42,'Prepare Gantt Chart'!R41=0,0)</f>
        <v>0</v>
      </c>
      <c r="F52" s="83">
        <f>_xlfn.IFS('Prepare Gantt Chart'!S41=8,'Project types'!$O42,'Prepare Gantt Chart'!S41=7,'Project types'!$Q42,'Prepare Gantt Chart'!S41=0,0)</f>
        <v>0</v>
      </c>
      <c r="G52" s="83">
        <f>_xlfn.IFS('Prepare Gantt Chart'!T41=8,'Project types'!$O42,'Prepare Gantt Chart'!T41=7,'Project types'!$Q42,'Prepare Gantt Chart'!T41=0,0)</f>
        <v>0</v>
      </c>
      <c r="H52" s="83">
        <f>_xlfn.IFS('Prepare Gantt Chart'!U41=8,'Project types'!$O42,'Prepare Gantt Chart'!U41=7,'Project types'!$Q42,'Prepare Gantt Chart'!U41=0,0)</f>
        <v>0</v>
      </c>
      <c r="I52" s="83">
        <f>_xlfn.IFS('Prepare Gantt Chart'!V41=8,'Project types'!$O42,'Prepare Gantt Chart'!V41=7,'Project types'!$Q42,'Prepare Gantt Chart'!V41=0,0)</f>
        <v>0</v>
      </c>
      <c r="J52" s="83">
        <f>_xlfn.IFS('Prepare Gantt Chart'!W41=8,'Project types'!$O42,'Prepare Gantt Chart'!W41=7,'Project types'!$Q42,'Prepare Gantt Chart'!W41=0,0)</f>
        <v>0</v>
      </c>
      <c r="K52" s="83">
        <f>_xlfn.IFS('Prepare Gantt Chart'!X41=8,'Project types'!$O42,'Prepare Gantt Chart'!X41=7,'Project types'!$Q42,'Prepare Gantt Chart'!X41=0,0)</f>
        <v>0</v>
      </c>
      <c r="L52" s="83">
        <f>_xlfn.IFS('Prepare Gantt Chart'!Y41=8,'Project types'!$O42,'Prepare Gantt Chart'!Y41=7,'Project types'!$Q42,'Prepare Gantt Chart'!Y41=0,0)</f>
        <v>0</v>
      </c>
      <c r="M52" s="83">
        <f>_xlfn.IFS('Prepare Gantt Chart'!Z41=8,'Project types'!$O42,'Prepare Gantt Chart'!Z41=7,'Project types'!$Q42,'Prepare Gantt Chart'!Z41=0,0)</f>
        <v>0</v>
      </c>
      <c r="N52" s="83">
        <f>_xlfn.IFS('Prepare Gantt Chart'!AA41=8,'Project types'!$O42,'Prepare Gantt Chart'!AA41=7,'Project types'!$Q42,'Prepare Gantt Chart'!AA41=0,0)</f>
        <v>0</v>
      </c>
      <c r="O52" s="83">
        <f>_xlfn.IFS('Prepare Gantt Chart'!AB41=8,'Project types'!$O42,'Prepare Gantt Chart'!AB41=7,'Project types'!$Q42,'Prepare Gantt Chart'!AB41=0,0)</f>
        <v>0</v>
      </c>
      <c r="P52" s="83">
        <f>_xlfn.IFS('Prepare Gantt Chart'!AC41=8,'Project types'!$O42,'Prepare Gantt Chart'!AC41=7,'Project types'!$Q42,'Prepare Gantt Chart'!AC41=0,0)</f>
        <v>0</v>
      </c>
      <c r="Q52" s="83">
        <f>_xlfn.IFS('Prepare Gantt Chart'!AD41=8,'Project types'!$O42,'Prepare Gantt Chart'!AD41=7,'Project types'!$Q42,'Prepare Gantt Chart'!AD41=0,0)</f>
        <v>0</v>
      </c>
      <c r="R52" s="83">
        <f>_xlfn.IFS('Prepare Gantt Chart'!AE41=8,'Project types'!$O42,'Prepare Gantt Chart'!AE41=7,'Project types'!$Q42,'Prepare Gantt Chart'!AE41=0,0)</f>
        <v>0</v>
      </c>
      <c r="S52" s="83">
        <f>_xlfn.IFS('Prepare Gantt Chart'!AF41=8,'Project types'!$O42,'Prepare Gantt Chart'!AF41=7,'Project types'!$Q42,'Prepare Gantt Chart'!AF41=0,0)</f>
        <v>0</v>
      </c>
      <c r="T52" s="83">
        <f>_xlfn.IFS('Prepare Gantt Chart'!AG41=8,'Project types'!$O42,'Prepare Gantt Chart'!AG41=7,'Project types'!$Q42,'Prepare Gantt Chart'!AG41=0,0)</f>
        <v>0</v>
      </c>
      <c r="U52" s="83">
        <f>_xlfn.IFS('Prepare Gantt Chart'!AH41=8,'Project types'!$O42,'Prepare Gantt Chart'!AH41=7,'Project types'!$Q42,'Prepare Gantt Chart'!AH41=0,0)</f>
        <v>0</v>
      </c>
      <c r="V52" s="83">
        <f>_xlfn.IFS('Prepare Gantt Chart'!AI41=8,'Project types'!$O42,'Prepare Gantt Chart'!AI41=7,'Project types'!$Q42,'Prepare Gantt Chart'!AI41=0,0)</f>
        <v>0</v>
      </c>
      <c r="W52" s="83">
        <f>_xlfn.IFS('Prepare Gantt Chart'!AJ41=8,'Project types'!$O42,'Prepare Gantt Chart'!AJ41=7,'Project types'!$Q42,'Prepare Gantt Chart'!AJ41=0,0)</f>
        <v>0</v>
      </c>
      <c r="X52" s="83">
        <f>_xlfn.IFS('Prepare Gantt Chart'!AK41=8,'Project types'!$O42,'Prepare Gantt Chart'!AK41=7,'Project types'!$Q42,'Prepare Gantt Chart'!AK41=0,0)</f>
        <v>0</v>
      </c>
      <c r="Y52" s="83">
        <f>_xlfn.IFS('Prepare Gantt Chart'!AL41=8,'Project types'!$O42,'Prepare Gantt Chart'!AL41=7,'Project types'!$Q42,'Prepare Gantt Chart'!AL41=0,0)</f>
        <v>0</v>
      </c>
      <c r="Z52" s="83">
        <f>_xlfn.IFS('Prepare Gantt Chart'!AM41=8,'Project types'!$O42,'Prepare Gantt Chart'!AM41=7,'Project types'!$Q42,'Prepare Gantt Chart'!AM41=0,0)</f>
        <v>0</v>
      </c>
      <c r="AA52" s="83">
        <f>_xlfn.IFS('Prepare Gantt Chart'!AN41=8,'Project types'!$O42,'Prepare Gantt Chart'!AN41=7,'Project types'!$Q42,'Prepare Gantt Chart'!AN41=0,0)</f>
        <v>0</v>
      </c>
      <c r="AB52" s="83">
        <f>_xlfn.IFS('Prepare Gantt Chart'!AO41=8,'Project types'!$O42,'Prepare Gantt Chart'!AO41=7,'Project types'!$Q42,'Prepare Gantt Chart'!AO41=0,0)</f>
        <v>0</v>
      </c>
      <c r="AC52" s="93">
        <f t="shared" si="0"/>
        <v>0</v>
      </c>
      <c r="AD52" s="86">
        <f>_xlfn.IFS('Prepare Gantt Chart'!P41=8,'Project types'!$L42,'Prepare Gantt Chart'!P41=7,'Project types'!$L42,'Prepare Gantt Chart'!P41=0,0)</f>
        <v>0</v>
      </c>
      <c r="AE52" s="83">
        <f>_xlfn.IFS('Prepare Gantt Chart'!Q41=8,'Project types'!$L42,'Prepare Gantt Chart'!Q41=7,'Project types'!$L42,'Prepare Gantt Chart'!Q41=0,0)</f>
        <v>0</v>
      </c>
      <c r="AF52" s="83">
        <f>_xlfn.IFS('Prepare Gantt Chart'!R41=8,'Project types'!$L42,'Prepare Gantt Chart'!R41=7,'Project types'!$L42,'Prepare Gantt Chart'!R41=0,0)</f>
        <v>0</v>
      </c>
      <c r="AG52" s="83">
        <f>_xlfn.IFS('Prepare Gantt Chart'!S41=8,'Project types'!$L42,'Prepare Gantt Chart'!S41=7,'Project types'!$L42,'Prepare Gantt Chart'!S41=0,0)</f>
        <v>0</v>
      </c>
      <c r="AH52" s="83">
        <f>_xlfn.IFS('Prepare Gantt Chart'!T41=8,'Project types'!$L42,'Prepare Gantt Chart'!T41=7,'Project types'!$L42,'Prepare Gantt Chart'!T41=0,0)</f>
        <v>0</v>
      </c>
      <c r="AI52" s="83">
        <f>_xlfn.IFS('Prepare Gantt Chart'!U41=8,'Project types'!$L42,'Prepare Gantt Chart'!U41=7,'Project types'!$L42,'Prepare Gantt Chart'!U41=0,0)</f>
        <v>0</v>
      </c>
      <c r="AJ52" s="83">
        <f>_xlfn.IFS('Prepare Gantt Chart'!V41=8,'Project types'!$L42,'Prepare Gantt Chart'!V41=7,'Project types'!$L42,'Prepare Gantt Chart'!V41=0,0)</f>
        <v>0</v>
      </c>
      <c r="AK52" s="83">
        <f>_xlfn.IFS('Prepare Gantt Chart'!W41=8,'Project types'!$L42,'Prepare Gantt Chart'!W41=7,'Project types'!$L42,'Prepare Gantt Chart'!W41=0,0)</f>
        <v>0</v>
      </c>
      <c r="AL52" s="83">
        <f>_xlfn.IFS('Prepare Gantt Chart'!X41=8,'Project types'!$L42,'Prepare Gantt Chart'!X41=7,'Project types'!$L42,'Prepare Gantt Chart'!X41=0,0)</f>
        <v>0</v>
      </c>
      <c r="AM52" s="83">
        <f>_xlfn.IFS('Prepare Gantt Chart'!Y41=8,'Project types'!$L42,'Prepare Gantt Chart'!Y41=7,'Project types'!$L42,'Prepare Gantt Chart'!Y41=0,0)</f>
        <v>0</v>
      </c>
      <c r="AN52" s="83">
        <f>_xlfn.IFS('Prepare Gantt Chart'!Z41=8,'Project types'!$L42,'Prepare Gantt Chart'!Z41=7,'Project types'!$L42,'Prepare Gantt Chart'!Z41=0,0)</f>
        <v>0</v>
      </c>
      <c r="AO52" s="83">
        <f>_xlfn.IFS('Prepare Gantt Chart'!AA41=8,'Project types'!$L42,'Prepare Gantt Chart'!AA41=7,'Project types'!$L42,'Prepare Gantt Chart'!AA41=0,0)</f>
        <v>0</v>
      </c>
      <c r="AP52" s="83">
        <f>_xlfn.IFS('Prepare Gantt Chart'!AB41=8,'Project types'!$L42,'Prepare Gantt Chart'!AB41=7,'Project types'!$L42,'Prepare Gantt Chart'!AB41=0,0)</f>
        <v>0</v>
      </c>
      <c r="AQ52" s="83">
        <f>_xlfn.IFS('Prepare Gantt Chart'!AC41=8,'Project types'!$L42,'Prepare Gantt Chart'!AC41=7,'Project types'!$L42,'Prepare Gantt Chart'!AC41=0,0)</f>
        <v>0</v>
      </c>
      <c r="AR52" s="83">
        <f>_xlfn.IFS('Prepare Gantt Chart'!AD41=8,'Project types'!$L42,'Prepare Gantt Chart'!AD41=7,'Project types'!$L42,'Prepare Gantt Chart'!AD41=0,0)</f>
        <v>0</v>
      </c>
      <c r="AS52" s="83">
        <f>_xlfn.IFS('Prepare Gantt Chart'!AE41=8,'Project types'!$L42,'Prepare Gantt Chart'!AE41=7,'Project types'!$L42,'Prepare Gantt Chart'!AE41=0,0)</f>
        <v>0</v>
      </c>
      <c r="AT52" s="83">
        <f>_xlfn.IFS('Prepare Gantt Chart'!AF41=8,'Project types'!$L42,'Prepare Gantt Chart'!AF41=7,'Project types'!$L42,'Prepare Gantt Chart'!AF41=0,0)</f>
        <v>0</v>
      </c>
      <c r="AU52" s="83">
        <f>_xlfn.IFS('Prepare Gantt Chart'!AG41=8,'Project types'!$L42,'Prepare Gantt Chart'!AG41=7,'Project types'!$L42,'Prepare Gantt Chart'!AG41=0,0)</f>
        <v>0</v>
      </c>
      <c r="AV52" s="83">
        <f>_xlfn.IFS('Prepare Gantt Chart'!AH41=8,'Project types'!$L42,'Prepare Gantt Chart'!AH41=7,'Project types'!$L42,'Prepare Gantt Chart'!AH41=0,0)</f>
        <v>0</v>
      </c>
      <c r="AW52" s="83">
        <f>_xlfn.IFS('Prepare Gantt Chart'!AI41=8,'Project types'!$L42,'Prepare Gantt Chart'!AI41=7,'Project types'!$L42,'Prepare Gantt Chart'!AI41=0,0)</f>
        <v>0</v>
      </c>
      <c r="AX52" s="83">
        <f>_xlfn.IFS('Prepare Gantt Chart'!AJ41=8,'Project types'!$L42,'Prepare Gantt Chart'!AJ41=7,'Project types'!$L42,'Prepare Gantt Chart'!AJ41=0,0)</f>
        <v>0</v>
      </c>
      <c r="AY52" s="83">
        <f>_xlfn.IFS('Prepare Gantt Chart'!AK41=8,'Project types'!$L42,'Prepare Gantt Chart'!AK41=7,'Project types'!$L42,'Prepare Gantt Chart'!AK41=0,0)</f>
        <v>0</v>
      </c>
      <c r="AZ52" s="83">
        <f>_xlfn.IFS('Prepare Gantt Chart'!AL41=8,'Project types'!$L42,'Prepare Gantt Chart'!AL41=7,'Project types'!$L42,'Prepare Gantt Chart'!AL41=0,0)</f>
        <v>0</v>
      </c>
      <c r="BA52" s="83">
        <f>_xlfn.IFS('Prepare Gantt Chart'!AM41=8,'Project types'!$L42,'Prepare Gantt Chart'!AM41=7,'Project types'!$L42,'Prepare Gantt Chart'!AM41=0,0)</f>
        <v>0</v>
      </c>
      <c r="BB52" s="83">
        <f>_xlfn.IFS('Prepare Gantt Chart'!AN41=8,'Project types'!$L42,'Prepare Gantt Chart'!AN41=7,'Project types'!$L42,'Prepare Gantt Chart'!AN41=0,0)</f>
        <v>0</v>
      </c>
      <c r="BC52" s="83">
        <f>_xlfn.IFS('Prepare Gantt Chart'!AO41=8,'Project types'!$L42,'Prepare Gantt Chart'!AO41=7,'Project types'!$L42,'Prepare Gantt Chart'!AO41=0,0)</f>
        <v>0</v>
      </c>
      <c r="BD52" s="91">
        <f t="shared" si="1"/>
        <v>0</v>
      </c>
      <c r="CI52" s="85"/>
      <c r="GY52" s="85"/>
    </row>
    <row r="53" spans="1:207" x14ac:dyDescent="0.2">
      <c r="A53" s="1" t="s">
        <v>130</v>
      </c>
      <c r="B53" s="27" t="s">
        <v>42</v>
      </c>
      <c r="C53" s="83">
        <f>_xlfn.IFS('Prepare Gantt Chart'!P42=8,'Project types'!$O43,'Prepare Gantt Chart'!P42=7,'Project types'!$Q43,'Prepare Gantt Chart'!P42=0,0)</f>
        <v>0</v>
      </c>
      <c r="D53" s="83">
        <f>_xlfn.IFS('Prepare Gantt Chart'!Q42=8,'Project types'!$O43,'Prepare Gantt Chart'!Q42=7,'Project types'!$Q43,'Prepare Gantt Chart'!Q42=0,0)</f>
        <v>0</v>
      </c>
      <c r="E53" s="83">
        <f>_xlfn.IFS('Prepare Gantt Chart'!R42=8,'Project types'!$O43,'Prepare Gantt Chart'!R42=7,'Project types'!$Q43,'Prepare Gantt Chart'!R42=0,0)</f>
        <v>0</v>
      </c>
      <c r="F53" s="83">
        <f>_xlfn.IFS('Prepare Gantt Chart'!S42=8,'Project types'!$O43,'Prepare Gantt Chart'!S42=7,'Project types'!$Q43,'Prepare Gantt Chart'!S42=0,0)</f>
        <v>0</v>
      </c>
      <c r="G53" s="83">
        <f>_xlfn.IFS('Prepare Gantt Chart'!T42=8,'Project types'!$O43,'Prepare Gantt Chart'!T42=7,'Project types'!$Q43,'Prepare Gantt Chart'!T42=0,0)</f>
        <v>0</v>
      </c>
      <c r="H53" s="83">
        <f>_xlfn.IFS('Prepare Gantt Chart'!U42=8,'Project types'!$O43,'Prepare Gantt Chart'!U42=7,'Project types'!$Q43,'Prepare Gantt Chart'!U42=0,0)</f>
        <v>0</v>
      </c>
      <c r="I53" s="83">
        <f>_xlfn.IFS('Prepare Gantt Chart'!V42=8,'Project types'!$O43,'Prepare Gantt Chart'!V42=7,'Project types'!$Q43,'Prepare Gantt Chart'!V42=0,0)</f>
        <v>0</v>
      </c>
      <c r="J53" s="83">
        <f>_xlfn.IFS('Prepare Gantt Chart'!W42=8,'Project types'!$O43,'Prepare Gantt Chart'!W42=7,'Project types'!$Q43,'Prepare Gantt Chart'!W42=0,0)</f>
        <v>0</v>
      </c>
      <c r="K53" s="83">
        <f>_xlfn.IFS('Prepare Gantt Chart'!X42=8,'Project types'!$O43,'Prepare Gantt Chart'!X42=7,'Project types'!$Q43,'Prepare Gantt Chart'!X42=0,0)</f>
        <v>0</v>
      </c>
      <c r="L53" s="83">
        <f>_xlfn.IFS('Prepare Gantt Chart'!Y42=8,'Project types'!$O43,'Prepare Gantt Chart'!Y42=7,'Project types'!$Q43,'Prepare Gantt Chart'!Y42=0,0)</f>
        <v>0</v>
      </c>
      <c r="M53" s="83">
        <f>_xlfn.IFS('Prepare Gantt Chart'!Z42=8,'Project types'!$O43,'Prepare Gantt Chart'!Z42=7,'Project types'!$Q43,'Prepare Gantt Chart'!Z42=0,0)</f>
        <v>0</v>
      </c>
      <c r="N53" s="83">
        <f>_xlfn.IFS('Prepare Gantt Chart'!AA42=8,'Project types'!$O43,'Prepare Gantt Chart'!AA42=7,'Project types'!$Q43,'Prepare Gantt Chart'!AA42=0,0)</f>
        <v>0</v>
      </c>
      <c r="O53" s="83">
        <f>_xlfn.IFS('Prepare Gantt Chart'!AB42=8,'Project types'!$O43,'Prepare Gantt Chart'!AB42=7,'Project types'!$Q43,'Prepare Gantt Chart'!AB42=0,0)</f>
        <v>0</v>
      </c>
      <c r="P53" s="83">
        <f>_xlfn.IFS('Prepare Gantt Chart'!AC42=8,'Project types'!$O43,'Prepare Gantt Chart'!AC42=7,'Project types'!$Q43,'Prepare Gantt Chart'!AC42=0,0)</f>
        <v>0</v>
      </c>
      <c r="Q53" s="83">
        <f>_xlfn.IFS('Prepare Gantt Chart'!AD42=8,'Project types'!$O43,'Prepare Gantt Chart'!AD42=7,'Project types'!$Q43,'Prepare Gantt Chart'!AD42=0,0)</f>
        <v>0</v>
      </c>
      <c r="R53" s="83">
        <f>_xlfn.IFS('Prepare Gantt Chart'!AE42=8,'Project types'!$O43,'Prepare Gantt Chart'!AE42=7,'Project types'!$Q43,'Prepare Gantt Chart'!AE42=0,0)</f>
        <v>0</v>
      </c>
      <c r="S53" s="83">
        <f>_xlfn.IFS('Prepare Gantt Chart'!AF42=8,'Project types'!$O43,'Prepare Gantt Chart'!AF42=7,'Project types'!$Q43,'Prepare Gantt Chart'!AF42=0,0)</f>
        <v>0</v>
      </c>
      <c r="T53" s="83">
        <f>_xlfn.IFS('Prepare Gantt Chart'!AG42=8,'Project types'!$O43,'Prepare Gantt Chart'!AG42=7,'Project types'!$Q43,'Prepare Gantt Chart'!AG42=0,0)</f>
        <v>0</v>
      </c>
      <c r="U53" s="83">
        <f>_xlfn.IFS('Prepare Gantt Chart'!AH42=8,'Project types'!$O43,'Prepare Gantt Chart'!AH42=7,'Project types'!$Q43,'Prepare Gantt Chart'!AH42=0,0)</f>
        <v>0</v>
      </c>
      <c r="V53" s="83">
        <f>_xlfn.IFS('Prepare Gantt Chart'!AI42=8,'Project types'!$O43,'Prepare Gantt Chart'!AI42=7,'Project types'!$Q43,'Prepare Gantt Chart'!AI42=0,0)</f>
        <v>0</v>
      </c>
      <c r="W53" s="83">
        <f>_xlfn.IFS('Prepare Gantt Chart'!AJ42=8,'Project types'!$O43,'Prepare Gantt Chart'!AJ42=7,'Project types'!$Q43,'Prepare Gantt Chart'!AJ42=0,0)</f>
        <v>0</v>
      </c>
      <c r="X53" s="83">
        <f>_xlfn.IFS('Prepare Gantt Chart'!AK42=8,'Project types'!$O43,'Prepare Gantt Chart'!AK42=7,'Project types'!$Q43,'Prepare Gantt Chart'!AK42=0,0)</f>
        <v>0</v>
      </c>
      <c r="Y53" s="83">
        <f>_xlfn.IFS('Prepare Gantt Chart'!AL42=8,'Project types'!$O43,'Prepare Gantt Chart'!AL42=7,'Project types'!$Q43,'Prepare Gantt Chart'!AL42=0,0)</f>
        <v>0</v>
      </c>
      <c r="Z53" s="83">
        <f>_xlfn.IFS('Prepare Gantt Chart'!AM42=8,'Project types'!$O43,'Prepare Gantt Chart'!AM42=7,'Project types'!$Q43,'Prepare Gantt Chart'!AM42=0,0)</f>
        <v>0</v>
      </c>
      <c r="AA53" s="83">
        <f>_xlfn.IFS('Prepare Gantt Chart'!AN42=8,'Project types'!$O43,'Prepare Gantt Chart'!AN42=7,'Project types'!$Q43,'Prepare Gantt Chart'!AN42=0,0)</f>
        <v>0</v>
      </c>
      <c r="AB53" s="83">
        <f>_xlfn.IFS('Prepare Gantt Chart'!AO42=8,'Project types'!$O43,'Prepare Gantt Chart'!AO42=7,'Project types'!$Q43,'Prepare Gantt Chart'!AO42=0,0)</f>
        <v>0</v>
      </c>
      <c r="AC53" s="93">
        <f t="shared" si="0"/>
        <v>0</v>
      </c>
      <c r="AD53" s="86">
        <f>_xlfn.IFS('Prepare Gantt Chart'!P42=8,'Project types'!$L43,'Prepare Gantt Chart'!P42=7,'Project types'!$L43,'Prepare Gantt Chart'!P42=0,0)</f>
        <v>0</v>
      </c>
      <c r="AE53" s="83">
        <f>_xlfn.IFS('Prepare Gantt Chart'!Q42=8,'Project types'!$L43,'Prepare Gantt Chart'!Q42=7,'Project types'!$L43,'Prepare Gantt Chart'!Q42=0,0)</f>
        <v>0</v>
      </c>
      <c r="AF53" s="83">
        <f>_xlfn.IFS('Prepare Gantt Chart'!R42=8,'Project types'!$L43,'Prepare Gantt Chart'!R42=7,'Project types'!$L43,'Prepare Gantt Chart'!R42=0,0)</f>
        <v>0</v>
      </c>
      <c r="AG53" s="83">
        <f>_xlfn.IFS('Prepare Gantt Chart'!S42=8,'Project types'!$L43,'Prepare Gantt Chart'!S42=7,'Project types'!$L43,'Prepare Gantt Chart'!S42=0,0)</f>
        <v>0</v>
      </c>
      <c r="AH53" s="83">
        <f>_xlfn.IFS('Prepare Gantt Chart'!T42=8,'Project types'!$L43,'Prepare Gantt Chart'!T42=7,'Project types'!$L43,'Prepare Gantt Chart'!T42=0,0)</f>
        <v>0</v>
      </c>
      <c r="AI53" s="83">
        <f>_xlfn.IFS('Prepare Gantt Chart'!U42=8,'Project types'!$L43,'Prepare Gantt Chart'!U42=7,'Project types'!$L43,'Prepare Gantt Chart'!U42=0,0)</f>
        <v>0</v>
      </c>
      <c r="AJ53" s="83">
        <f>_xlfn.IFS('Prepare Gantt Chart'!V42=8,'Project types'!$L43,'Prepare Gantt Chart'!V42=7,'Project types'!$L43,'Prepare Gantt Chart'!V42=0,0)</f>
        <v>0</v>
      </c>
      <c r="AK53" s="83">
        <f>_xlfn.IFS('Prepare Gantt Chart'!W42=8,'Project types'!$L43,'Prepare Gantt Chart'!W42=7,'Project types'!$L43,'Prepare Gantt Chart'!W42=0,0)</f>
        <v>0</v>
      </c>
      <c r="AL53" s="83">
        <f>_xlfn.IFS('Prepare Gantt Chart'!X42=8,'Project types'!$L43,'Prepare Gantt Chart'!X42=7,'Project types'!$L43,'Prepare Gantt Chart'!X42=0,0)</f>
        <v>0</v>
      </c>
      <c r="AM53" s="83">
        <f>_xlfn.IFS('Prepare Gantt Chart'!Y42=8,'Project types'!$L43,'Prepare Gantt Chart'!Y42=7,'Project types'!$L43,'Prepare Gantt Chart'!Y42=0,0)</f>
        <v>0</v>
      </c>
      <c r="AN53" s="83">
        <f>_xlfn.IFS('Prepare Gantt Chart'!Z42=8,'Project types'!$L43,'Prepare Gantt Chart'!Z42=7,'Project types'!$L43,'Prepare Gantt Chart'!Z42=0,0)</f>
        <v>0</v>
      </c>
      <c r="AO53" s="83">
        <f>_xlfn.IFS('Prepare Gantt Chart'!AA42=8,'Project types'!$L43,'Prepare Gantt Chart'!AA42=7,'Project types'!$L43,'Prepare Gantt Chart'!AA42=0,0)</f>
        <v>0</v>
      </c>
      <c r="AP53" s="83">
        <f>_xlfn.IFS('Prepare Gantt Chart'!AB42=8,'Project types'!$L43,'Prepare Gantt Chart'!AB42=7,'Project types'!$L43,'Prepare Gantt Chart'!AB42=0,0)</f>
        <v>0</v>
      </c>
      <c r="AQ53" s="83">
        <f>_xlfn.IFS('Prepare Gantt Chart'!AC42=8,'Project types'!$L43,'Prepare Gantt Chart'!AC42=7,'Project types'!$L43,'Prepare Gantt Chart'!AC42=0,0)</f>
        <v>0</v>
      </c>
      <c r="AR53" s="83">
        <f>_xlfn.IFS('Prepare Gantt Chart'!AD42=8,'Project types'!$L43,'Prepare Gantt Chart'!AD42=7,'Project types'!$L43,'Prepare Gantt Chart'!AD42=0,0)</f>
        <v>0</v>
      </c>
      <c r="AS53" s="83">
        <f>_xlfn.IFS('Prepare Gantt Chart'!AE42=8,'Project types'!$L43,'Prepare Gantt Chart'!AE42=7,'Project types'!$L43,'Prepare Gantt Chart'!AE42=0,0)</f>
        <v>0</v>
      </c>
      <c r="AT53" s="83">
        <f>_xlfn.IFS('Prepare Gantt Chart'!AF42=8,'Project types'!$L43,'Prepare Gantt Chart'!AF42=7,'Project types'!$L43,'Prepare Gantt Chart'!AF42=0,0)</f>
        <v>0</v>
      </c>
      <c r="AU53" s="83">
        <f>_xlfn.IFS('Prepare Gantt Chart'!AG42=8,'Project types'!$L43,'Prepare Gantt Chart'!AG42=7,'Project types'!$L43,'Prepare Gantt Chart'!AG42=0,0)</f>
        <v>0</v>
      </c>
      <c r="AV53" s="83">
        <f>_xlfn.IFS('Prepare Gantt Chart'!AH42=8,'Project types'!$L43,'Prepare Gantt Chart'!AH42=7,'Project types'!$L43,'Prepare Gantt Chart'!AH42=0,0)</f>
        <v>0</v>
      </c>
      <c r="AW53" s="83">
        <f>_xlfn.IFS('Prepare Gantt Chart'!AI42=8,'Project types'!$L43,'Prepare Gantt Chart'!AI42=7,'Project types'!$L43,'Prepare Gantt Chart'!AI42=0,0)</f>
        <v>0</v>
      </c>
      <c r="AX53" s="83">
        <f>_xlfn.IFS('Prepare Gantt Chart'!AJ42=8,'Project types'!$L43,'Prepare Gantt Chart'!AJ42=7,'Project types'!$L43,'Prepare Gantt Chart'!AJ42=0,0)</f>
        <v>0</v>
      </c>
      <c r="AY53" s="83">
        <f>_xlfn.IFS('Prepare Gantt Chart'!AK42=8,'Project types'!$L43,'Prepare Gantt Chart'!AK42=7,'Project types'!$L43,'Prepare Gantt Chart'!AK42=0,0)</f>
        <v>0</v>
      </c>
      <c r="AZ53" s="83">
        <f>_xlfn.IFS('Prepare Gantt Chart'!AL42=8,'Project types'!$L43,'Prepare Gantt Chart'!AL42=7,'Project types'!$L43,'Prepare Gantt Chart'!AL42=0,0)</f>
        <v>0</v>
      </c>
      <c r="BA53" s="83">
        <f>_xlfn.IFS('Prepare Gantt Chart'!AM42=8,'Project types'!$L43,'Prepare Gantt Chart'!AM42=7,'Project types'!$L43,'Prepare Gantt Chart'!AM42=0,0)</f>
        <v>0</v>
      </c>
      <c r="BB53" s="83">
        <f>_xlfn.IFS('Prepare Gantt Chart'!AN42=8,'Project types'!$L43,'Prepare Gantt Chart'!AN42=7,'Project types'!$L43,'Prepare Gantt Chart'!AN42=0,0)</f>
        <v>0</v>
      </c>
      <c r="BC53" s="83">
        <f>_xlfn.IFS('Prepare Gantt Chart'!AO42=8,'Project types'!$L43,'Prepare Gantt Chart'!AO42=7,'Project types'!$L43,'Prepare Gantt Chart'!AO42=0,0)</f>
        <v>0</v>
      </c>
      <c r="BD53" s="91">
        <f t="shared" si="1"/>
        <v>0</v>
      </c>
      <c r="CI53" s="85"/>
      <c r="GY53" s="85"/>
    </row>
    <row r="54" spans="1:207" x14ac:dyDescent="0.2">
      <c r="A54" s="1" t="s">
        <v>131</v>
      </c>
      <c r="B54" s="27" t="s">
        <v>43</v>
      </c>
      <c r="C54" s="83">
        <f>_xlfn.IFS('Prepare Gantt Chart'!P43=8,'Project types'!$O44,'Prepare Gantt Chart'!P43=7,'Project types'!$Q44,'Prepare Gantt Chart'!P43=0,0)</f>
        <v>0</v>
      </c>
      <c r="D54" s="83">
        <f>_xlfn.IFS('Prepare Gantt Chart'!Q43=8,'Project types'!$O44,'Prepare Gantt Chart'!Q43=7,'Project types'!$Q44,'Prepare Gantt Chart'!Q43=0,0)</f>
        <v>0</v>
      </c>
      <c r="E54" s="83">
        <f>_xlfn.IFS('Prepare Gantt Chart'!R43=8,'Project types'!$O44,'Prepare Gantt Chart'!R43=7,'Project types'!$Q44,'Prepare Gantt Chart'!R43=0,0)</f>
        <v>0</v>
      </c>
      <c r="F54" s="83">
        <f>_xlfn.IFS('Prepare Gantt Chart'!S43=8,'Project types'!$O44,'Prepare Gantt Chart'!S43=7,'Project types'!$Q44,'Prepare Gantt Chart'!S43=0,0)</f>
        <v>0</v>
      </c>
      <c r="G54" s="83">
        <f>_xlfn.IFS('Prepare Gantt Chart'!T43=8,'Project types'!$O44,'Prepare Gantt Chart'!T43=7,'Project types'!$Q44,'Prepare Gantt Chart'!T43=0,0)</f>
        <v>0</v>
      </c>
      <c r="H54" s="83">
        <f>_xlfn.IFS('Prepare Gantt Chart'!U43=8,'Project types'!$O44,'Prepare Gantt Chart'!U43=7,'Project types'!$Q44,'Prepare Gantt Chart'!U43=0,0)</f>
        <v>0</v>
      </c>
      <c r="I54" s="83">
        <f>_xlfn.IFS('Prepare Gantt Chart'!V43=8,'Project types'!$O44,'Prepare Gantt Chart'!V43=7,'Project types'!$Q44,'Prepare Gantt Chart'!V43=0,0)</f>
        <v>0</v>
      </c>
      <c r="J54" s="83">
        <f>_xlfn.IFS('Prepare Gantt Chart'!W43=8,'Project types'!$O44,'Prepare Gantt Chart'!W43=7,'Project types'!$Q44,'Prepare Gantt Chart'!W43=0,0)</f>
        <v>0</v>
      </c>
      <c r="K54" s="83">
        <f>_xlfn.IFS('Prepare Gantt Chart'!X43=8,'Project types'!$O44,'Prepare Gantt Chart'!X43=7,'Project types'!$Q44,'Prepare Gantt Chart'!X43=0,0)</f>
        <v>0</v>
      </c>
      <c r="L54" s="83">
        <f>_xlfn.IFS('Prepare Gantt Chart'!Y43=8,'Project types'!$O44,'Prepare Gantt Chart'!Y43=7,'Project types'!$Q44,'Prepare Gantt Chart'!Y43=0,0)</f>
        <v>0</v>
      </c>
      <c r="M54" s="83">
        <f>_xlfn.IFS('Prepare Gantt Chart'!Z43=8,'Project types'!$O44,'Prepare Gantt Chart'!Z43=7,'Project types'!$Q44,'Prepare Gantt Chart'!Z43=0,0)</f>
        <v>0</v>
      </c>
      <c r="N54" s="83">
        <f>_xlfn.IFS('Prepare Gantt Chart'!AA43=8,'Project types'!$O44,'Prepare Gantt Chart'!AA43=7,'Project types'!$Q44,'Prepare Gantt Chart'!AA43=0,0)</f>
        <v>0</v>
      </c>
      <c r="O54" s="83">
        <f>_xlfn.IFS('Prepare Gantt Chart'!AB43=8,'Project types'!$O44,'Prepare Gantt Chart'!AB43=7,'Project types'!$Q44,'Prepare Gantt Chart'!AB43=0,0)</f>
        <v>0</v>
      </c>
      <c r="P54" s="83">
        <f>_xlfn.IFS('Prepare Gantt Chart'!AC43=8,'Project types'!$O44,'Prepare Gantt Chart'!AC43=7,'Project types'!$Q44,'Prepare Gantt Chart'!AC43=0,0)</f>
        <v>0</v>
      </c>
      <c r="Q54" s="83">
        <f>_xlfn.IFS('Prepare Gantt Chart'!AD43=8,'Project types'!$O44,'Prepare Gantt Chart'!AD43=7,'Project types'!$Q44,'Prepare Gantt Chart'!AD43=0,0)</f>
        <v>0</v>
      </c>
      <c r="R54" s="83">
        <f>_xlfn.IFS('Prepare Gantt Chart'!AE43=8,'Project types'!$O44,'Prepare Gantt Chart'!AE43=7,'Project types'!$Q44,'Prepare Gantt Chart'!AE43=0,0)</f>
        <v>0</v>
      </c>
      <c r="S54" s="83">
        <f>_xlfn.IFS('Prepare Gantt Chart'!AF43=8,'Project types'!$O44,'Prepare Gantt Chart'!AF43=7,'Project types'!$Q44,'Prepare Gantt Chart'!AF43=0,0)</f>
        <v>0</v>
      </c>
      <c r="T54" s="83">
        <f>_xlfn.IFS('Prepare Gantt Chart'!AG43=8,'Project types'!$O44,'Prepare Gantt Chart'!AG43=7,'Project types'!$Q44,'Prepare Gantt Chart'!AG43=0,0)</f>
        <v>0</v>
      </c>
      <c r="U54" s="83">
        <f>_xlfn.IFS('Prepare Gantt Chart'!AH43=8,'Project types'!$O44,'Prepare Gantt Chart'!AH43=7,'Project types'!$Q44,'Prepare Gantt Chart'!AH43=0,0)</f>
        <v>0</v>
      </c>
      <c r="V54" s="83">
        <f>_xlfn.IFS('Prepare Gantt Chart'!AI43=8,'Project types'!$O44,'Prepare Gantt Chart'!AI43=7,'Project types'!$Q44,'Prepare Gantt Chart'!AI43=0,0)</f>
        <v>0</v>
      </c>
      <c r="W54" s="83">
        <f>_xlfn.IFS('Prepare Gantt Chart'!AJ43=8,'Project types'!$O44,'Prepare Gantt Chart'!AJ43=7,'Project types'!$Q44,'Prepare Gantt Chart'!AJ43=0,0)</f>
        <v>0</v>
      </c>
      <c r="X54" s="83">
        <f>_xlfn.IFS('Prepare Gantt Chart'!AK43=8,'Project types'!$O44,'Prepare Gantt Chart'!AK43=7,'Project types'!$Q44,'Prepare Gantt Chart'!AK43=0,0)</f>
        <v>0</v>
      </c>
      <c r="Y54" s="83">
        <f>_xlfn.IFS('Prepare Gantt Chart'!AL43=8,'Project types'!$O44,'Prepare Gantt Chart'!AL43=7,'Project types'!$Q44,'Prepare Gantt Chart'!AL43=0,0)</f>
        <v>0</v>
      </c>
      <c r="Z54" s="83">
        <f>_xlfn.IFS('Prepare Gantt Chart'!AM43=8,'Project types'!$O44,'Prepare Gantt Chart'!AM43=7,'Project types'!$Q44,'Prepare Gantt Chart'!AM43=0,0)</f>
        <v>0</v>
      </c>
      <c r="AA54" s="83">
        <f>_xlfn.IFS('Prepare Gantt Chart'!AN43=8,'Project types'!$O44,'Prepare Gantt Chart'!AN43=7,'Project types'!$Q44,'Prepare Gantt Chart'!AN43=0,0)</f>
        <v>0</v>
      </c>
      <c r="AB54" s="83">
        <f>_xlfn.IFS('Prepare Gantt Chart'!AO43=8,'Project types'!$O44,'Prepare Gantt Chart'!AO43=7,'Project types'!$Q44,'Prepare Gantt Chart'!AO43=0,0)</f>
        <v>0</v>
      </c>
      <c r="AC54" s="93">
        <f t="shared" si="0"/>
        <v>0</v>
      </c>
      <c r="AD54" s="86">
        <f>_xlfn.IFS('Prepare Gantt Chart'!P43=8,'Project types'!$L44,'Prepare Gantt Chart'!P43=7,'Project types'!$L44,'Prepare Gantt Chart'!P43=0,0)</f>
        <v>0</v>
      </c>
      <c r="AE54" s="83">
        <f>_xlfn.IFS('Prepare Gantt Chart'!Q43=8,'Project types'!$L44,'Prepare Gantt Chart'!Q43=7,'Project types'!$L44,'Prepare Gantt Chart'!Q43=0,0)</f>
        <v>0</v>
      </c>
      <c r="AF54" s="83">
        <f>_xlfn.IFS('Prepare Gantt Chart'!R43=8,'Project types'!$L44,'Prepare Gantt Chart'!R43=7,'Project types'!$L44,'Prepare Gantt Chart'!R43=0,0)</f>
        <v>0</v>
      </c>
      <c r="AG54" s="83">
        <f>_xlfn.IFS('Prepare Gantt Chart'!S43=8,'Project types'!$L44,'Prepare Gantt Chart'!S43=7,'Project types'!$L44,'Prepare Gantt Chart'!S43=0,0)</f>
        <v>0</v>
      </c>
      <c r="AH54" s="83">
        <f>_xlfn.IFS('Prepare Gantt Chart'!T43=8,'Project types'!$L44,'Prepare Gantt Chart'!T43=7,'Project types'!$L44,'Prepare Gantt Chart'!T43=0,0)</f>
        <v>0</v>
      </c>
      <c r="AI54" s="83">
        <f>_xlfn.IFS('Prepare Gantt Chart'!U43=8,'Project types'!$L44,'Prepare Gantt Chart'!U43=7,'Project types'!$L44,'Prepare Gantt Chart'!U43=0,0)</f>
        <v>0</v>
      </c>
      <c r="AJ54" s="83">
        <f>_xlfn.IFS('Prepare Gantt Chart'!V43=8,'Project types'!$L44,'Prepare Gantt Chart'!V43=7,'Project types'!$L44,'Prepare Gantt Chart'!V43=0,0)</f>
        <v>0</v>
      </c>
      <c r="AK54" s="83">
        <f>_xlfn.IFS('Prepare Gantt Chart'!W43=8,'Project types'!$L44,'Prepare Gantt Chart'!W43=7,'Project types'!$L44,'Prepare Gantt Chart'!W43=0,0)</f>
        <v>0</v>
      </c>
      <c r="AL54" s="83">
        <f>_xlfn.IFS('Prepare Gantt Chart'!X43=8,'Project types'!$L44,'Prepare Gantt Chart'!X43=7,'Project types'!$L44,'Prepare Gantt Chart'!X43=0,0)</f>
        <v>0</v>
      </c>
      <c r="AM54" s="83">
        <f>_xlfn.IFS('Prepare Gantt Chart'!Y43=8,'Project types'!$L44,'Prepare Gantt Chart'!Y43=7,'Project types'!$L44,'Prepare Gantt Chart'!Y43=0,0)</f>
        <v>0</v>
      </c>
      <c r="AN54" s="83">
        <f>_xlfn.IFS('Prepare Gantt Chart'!Z43=8,'Project types'!$L44,'Prepare Gantt Chart'!Z43=7,'Project types'!$L44,'Prepare Gantt Chart'!Z43=0,0)</f>
        <v>0</v>
      </c>
      <c r="AO54" s="83">
        <f>_xlfn.IFS('Prepare Gantt Chart'!AA43=8,'Project types'!$L44,'Prepare Gantt Chart'!AA43=7,'Project types'!$L44,'Prepare Gantt Chart'!AA43=0,0)</f>
        <v>0</v>
      </c>
      <c r="AP54" s="83">
        <f>_xlfn.IFS('Prepare Gantt Chart'!AB43=8,'Project types'!$L44,'Prepare Gantt Chart'!AB43=7,'Project types'!$L44,'Prepare Gantt Chart'!AB43=0,0)</f>
        <v>0</v>
      </c>
      <c r="AQ54" s="83">
        <f>_xlfn.IFS('Prepare Gantt Chart'!AC43=8,'Project types'!$L44,'Prepare Gantt Chart'!AC43=7,'Project types'!$L44,'Prepare Gantt Chart'!AC43=0,0)</f>
        <v>0</v>
      </c>
      <c r="AR54" s="83">
        <f>_xlfn.IFS('Prepare Gantt Chart'!AD43=8,'Project types'!$L44,'Prepare Gantt Chart'!AD43=7,'Project types'!$L44,'Prepare Gantt Chart'!AD43=0,0)</f>
        <v>0</v>
      </c>
      <c r="AS54" s="83">
        <f>_xlfn.IFS('Prepare Gantt Chart'!AE43=8,'Project types'!$L44,'Prepare Gantt Chart'!AE43=7,'Project types'!$L44,'Prepare Gantt Chart'!AE43=0,0)</f>
        <v>0</v>
      </c>
      <c r="AT54" s="83">
        <f>_xlfn.IFS('Prepare Gantt Chart'!AF43=8,'Project types'!$L44,'Prepare Gantt Chart'!AF43=7,'Project types'!$L44,'Prepare Gantt Chart'!AF43=0,0)</f>
        <v>0</v>
      </c>
      <c r="AU54" s="83">
        <f>_xlfn.IFS('Prepare Gantt Chart'!AG43=8,'Project types'!$L44,'Prepare Gantt Chart'!AG43=7,'Project types'!$L44,'Prepare Gantt Chart'!AG43=0,0)</f>
        <v>0</v>
      </c>
      <c r="AV54" s="83">
        <f>_xlfn.IFS('Prepare Gantt Chart'!AH43=8,'Project types'!$L44,'Prepare Gantt Chart'!AH43=7,'Project types'!$L44,'Prepare Gantt Chart'!AH43=0,0)</f>
        <v>0</v>
      </c>
      <c r="AW54" s="83">
        <f>_xlfn.IFS('Prepare Gantt Chart'!AI43=8,'Project types'!$L44,'Prepare Gantt Chart'!AI43=7,'Project types'!$L44,'Prepare Gantt Chart'!AI43=0,0)</f>
        <v>0</v>
      </c>
      <c r="AX54" s="83">
        <f>_xlfn.IFS('Prepare Gantt Chart'!AJ43=8,'Project types'!$L44,'Prepare Gantt Chart'!AJ43=7,'Project types'!$L44,'Prepare Gantt Chart'!AJ43=0,0)</f>
        <v>0</v>
      </c>
      <c r="AY54" s="83">
        <f>_xlfn.IFS('Prepare Gantt Chart'!AK43=8,'Project types'!$L44,'Prepare Gantt Chart'!AK43=7,'Project types'!$L44,'Prepare Gantt Chart'!AK43=0,0)</f>
        <v>0</v>
      </c>
      <c r="AZ54" s="83">
        <f>_xlfn.IFS('Prepare Gantt Chart'!AL43=8,'Project types'!$L44,'Prepare Gantt Chart'!AL43=7,'Project types'!$L44,'Prepare Gantt Chart'!AL43=0,0)</f>
        <v>0</v>
      </c>
      <c r="BA54" s="83">
        <f>_xlfn.IFS('Prepare Gantt Chart'!AM43=8,'Project types'!$L44,'Prepare Gantt Chart'!AM43=7,'Project types'!$L44,'Prepare Gantt Chart'!AM43=0,0)</f>
        <v>0</v>
      </c>
      <c r="BB54" s="83">
        <f>_xlfn.IFS('Prepare Gantt Chart'!AN43=8,'Project types'!$L44,'Prepare Gantt Chart'!AN43=7,'Project types'!$L44,'Prepare Gantt Chart'!AN43=0,0)</f>
        <v>0</v>
      </c>
      <c r="BC54" s="83">
        <f>_xlfn.IFS('Prepare Gantt Chart'!AO43=8,'Project types'!$L44,'Prepare Gantt Chart'!AO43=7,'Project types'!$L44,'Prepare Gantt Chart'!AO43=0,0)</f>
        <v>0</v>
      </c>
      <c r="BD54" s="91">
        <f t="shared" si="1"/>
        <v>0</v>
      </c>
      <c r="CI54" s="85"/>
      <c r="GY54" s="85"/>
    </row>
    <row r="55" spans="1:207" x14ac:dyDescent="0.2">
      <c r="A55" s="1" t="s">
        <v>132</v>
      </c>
      <c r="B55" s="27" t="s">
        <v>44</v>
      </c>
      <c r="C55" s="83">
        <f>_xlfn.IFS('Prepare Gantt Chart'!P44=8,'Project types'!$O45,'Prepare Gantt Chart'!P44=7,'Project types'!$Q45,'Prepare Gantt Chart'!P44=0,0)</f>
        <v>0</v>
      </c>
      <c r="D55" s="83">
        <f>_xlfn.IFS('Prepare Gantt Chart'!Q44=8,'Project types'!$O45,'Prepare Gantt Chart'!Q44=7,'Project types'!$Q45,'Prepare Gantt Chart'!Q44=0,0)</f>
        <v>0</v>
      </c>
      <c r="E55" s="83">
        <f>_xlfn.IFS('Prepare Gantt Chart'!R44=8,'Project types'!$O45,'Prepare Gantt Chart'!R44=7,'Project types'!$Q45,'Prepare Gantt Chart'!R44=0,0)</f>
        <v>0</v>
      </c>
      <c r="F55" s="83">
        <f>_xlfn.IFS('Prepare Gantt Chart'!S44=8,'Project types'!$O45,'Prepare Gantt Chart'!S44=7,'Project types'!$Q45,'Prepare Gantt Chart'!S44=0,0)</f>
        <v>0</v>
      </c>
      <c r="G55" s="83">
        <f>_xlfn.IFS('Prepare Gantt Chart'!T44=8,'Project types'!$O45,'Prepare Gantt Chart'!T44=7,'Project types'!$Q45,'Prepare Gantt Chart'!T44=0,0)</f>
        <v>0</v>
      </c>
      <c r="H55" s="83">
        <f>_xlfn.IFS('Prepare Gantt Chart'!U44=8,'Project types'!$O45,'Prepare Gantt Chart'!U44=7,'Project types'!$Q45,'Prepare Gantt Chart'!U44=0,0)</f>
        <v>0</v>
      </c>
      <c r="I55" s="83">
        <f>_xlfn.IFS('Prepare Gantt Chart'!V44=8,'Project types'!$O45,'Prepare Gantt Chart'!V44=7,'Project types'!$Q45,'Prepare Gantt Chart'!V44=0,0)</f>
        <v>0</v>
      </c>
      <c r="J55" s="83">
        <f>_xlfn.IFS('Prepare Gantt Chart'!W44=8,'Project types'!$O45,'Prepare Gantt Chart'!W44=7,'Project types'!$Q45,'Prepare Gantt Chart'!W44=0,0)</f>
        <v>0</v>
      </c>
      <c r="K55" s="83">
        <f>_xlfn.IFS('Prepare Gantt Chart'!X44=8,'Project types'!$O45,'Prepare Gantt Chart'!X44=7,'Project types'!$Q45,'Prepare Gantt Chart'!X44=0,0)</f>
        <v>0</v>
      </c>
      <c r="L55" s="83">
        <f>_xlfn.IFS('Prepare Gantt Chart'!Y44=8,'Project types'!$O45,'Prepare Gantt Chart'!Y44=7,'Project types'!$Q45,'Prepare Gantt Chart'!Y44=0,0)</f>
        <v>0</v>
      </c>
      <c r="M55" s="83">
        <f>_xlfn.IFS('Prepare Gantt Chart'!Z44=8,'Project types'!$O45,'Prepare Gantt Chart'!Z44=7,'Project types'!$Q45,'Prepare Gantt Chart'!Z44=0,0)</f>
        <v>0</v>
      </c>
      <c r="N55" s="83">
        <f>_xlfn.IFS('Prepare Gantt Chart'!AA44=8,'Project types'!$O45,'Prepare Gantt Chart'!AA44=7,'Project types'!$Q45,'Prepare Gantt Chart'!AA44=0,0)</f>
        <v>0</v>
      </c>
      <c r="O55" s="83">
        <f>_xlfn.IFS('Prepare Gantt Chart'!AB44=8,'Project types'!$O45,'Prepare Gantt Chart'!AB44=7,'Project types'!$Q45,'Prepare Gantt Chart'!AB44=0,0)</f>
        <v>0</v>
      </c>
      <c r="P55" s="83">
        <f>_xlfn.IFS('Prepare Gantt Chart'!AC44=8,'Project types'!$O45,'Prepare Gantt Chart'!AC44=7,'Project types'!$Q45,'Prepare Gantt Chart'!AC44=0,0)</f>
        <v>0</v>
      </c>
      <c r="Q55" s="83">
        <f>_xlfn.IFS('Prepare Gantt Chart'!AD44=8,'Project types'!$O45,'Prepare Gantt Chart'!AD44=7,'Project types'!$Q45,'Prepare Gantt Chart'!AD44=0,0)</f>
        <v>0</v>
      </c>
      <c r="R55" s="83">
        <f>_xlfn.IFS('Prepare Gantt Chart'!AE44=8,'Project types'!$O45,'Prepare Gantt Chart'!AE44=7,'Project types'!$Q45,'Prepare Gantt Chart'!AE44=0,0)</f>
        <v>0</v>
      </c>
      <c r="S55" s="83">
        <f>_xlfn.IFS('Prepare Gantt Chart'!AF44=8,'Project types'!$O45,'Prepare Gantt Chart'!AF44=7,'Project types'!$Q45,'Prepare Gantt Chart'!AF44=0,0)</f>
        <v>0</v>
      </c>
      <c r="T55" s="83">
        <f>_xlfn.IFS('Prepare Gantt Chart'!AG44=8,'Project types'!$O45,'Prepare Gantt Chart'!AG44=7,'Project types'!$Q45,'Prepare Gantt Chart'!AG44=0,0)</f>
        <v>0</v>
      </c>
      <c r="U55" s="83">
        <f>_xlfn.IFS('Prepare Gantt Chart'!AH44=8,'Project types'!$O45,'Prepare Gantt Chart'!AH44=7,'Project types'!$Q45,'Prepare Gantt Chart'!AH44=0,0)</f>
        <v>0</v>
      </c>
      <c r="V55" s="83">
        <f>_xlfn.IFS('Prepare Gantt Chart'!AI44=8,'Project types'!$O45,'Prepare Gantt Chart'!AI44=7,'Project types'!$Q45,'Prepare Gantt Chart'!AI44=0,0)</f>
        <v>0</v>
      </c>
      <c r="W55" s="83">
        <f>_xlfn.IFS('Prepare Gantt Chart'!AJ44=8,'Project types'!$O45,'Prepare Gantt Chart'!AJ44=7,'Project types'!$Q45,'Prepare Gantt Chart'!AJ44=0,0)</f>
        <v>0</v>
      </c>
      <c r="X55" s="83">
        <f>_xlfn.IFS('Prepare Gantt Chart'!AK44=8,'Project types'!$O45,'Prepare Gantt Chart'!AK44=7,'Project types'!$Q45,'Prepare Gantt Chart'!AK44=0,0)</f>
        <v>0</v>
      </c>
      <c r="Y55" s="83">
        <f>_xlfn.IFS('Prepare Gantt Chart'!AL44=8,'Project types'!$O45,'Prepare Gantt Chart'!AL44=7,'Project types'!$Q45,'Prepare Gantt Chart'!AL44=0,0)</f>
        <v>0</v>
      </c>
      <c r="Z55" s="83">
        <f>_xlfn.IFS('Prepare Gantt Chart'!AM44=8,'Project types'!$O45,'Prepare Gantt Chart'!AM44=7,'Project types'!$Q45,'Prepare Gantt Chart'!AM44=0,0)</f>
        <v>0</v>
      </c>
      <c r="AA55" s="83">
        <f>_xlfn.IFS('Prepare Gantt Chart'!AN44=8,'Project types'!$O45,'Prepare Gantt Chart'!AN44=7,'Project types'!$Q45,'Prepare Gantt Chart'!AN44=0,0)</f>
        <v>0</v>
      </c>
      <c r="AB55" s="83">
        <f>_xlfn.IFS('Prepare Gantt Chart'!AO44=8,'Project types'!$O45,'Prepare Gantt Chart'!AO44=7,'Project types'!$Q45,'Prepare Gantt Chart'!AO44=0,0)</f>
        <v>0</v>
      </c>
      <c r="AC55" s="93">
        <f t="shared" si="0"/>
        <v>0</v>
      </c>
      <c r="AD55" s="86">
        <f>_xlfn.IFS('Prepare Gantt Chart'!P44=8,'Project types'!$L45,'Prepare Gantt Chart'!P44=7,'Project types'!$L45,'Prepare Gantt Chart'!P44=0,0)</f>
        <v>0</v>
      </c>
      <c r="AE55" s="83">
        <f>_xlfn.IFS('Prepare Gantt Chart'!Q44=8,'Project types'!$L45,'Prepare Gantt Chart'!Q44=7,'Project types'!$L45,'Prepare Gantt Chart'!Q44=0,0)</f>
        <v>0</v>
      </c>
      <c r="AF55" s="83">
        <f>_xlfn.IFS('Prepare Gantt Chart'!R44=8,'Project types'!$L45,'Prepare Gantt Chart'!R44=7,'Project types'!$L45,'Prepare Gantt Chart'!R44=0,0)</f>
        <v>0</v>
      </c>
      <c r="AG55" s="83">
        <f>_xlfn.IFS('Prepare Gantt Chart'!S44=8,'Project types'!$L45,'Prepare Gantt Chart'!S44=7,'Project types'!$L45,'Prepare Gantt Chart'!S44=0,0)</f>
        <v>0</v>
      </c>
      <c r="AH55" s="83">
        <f>_xlfn.IFS('Prepare Gantt Chart'!T44=8,'Project types'!$L45,'Prepare Gantt Chart'!T44=7,'Project types'!$L45,'Prepare Gantt Chart'!T44=0,0)</f>
        <v>0</v>
      </c>
      <c r="AI55" s="83">
        <f>_xlfn.IFS('Prepare Gantt Chart'!U44=8,'Project types'!$L45,'Prepare Gantt Chart'!U44=7,'Project types'!$L45,'Prepare Gantt Chart'!U44=0,0)</f>
        <v>0</v>
      </c>
      <c r="AJ55" s="83">
        <f>_xlfn.IFS('Prepare Gantt Chart'!V44=8,'Project types'!$L45,'Prepare Gantt Chart'!V44=7,'Project types'!$L45,'Prepare Gantt Chart'!V44=0,0)</f>
        <v>0</v>
      </c>
      <c r="AK55" s="83">
        <f>_xlfn.IFS('Prepare Gantt Chart'!W44=8,'Project types'!$L45,'Prepare Gantt Chart'!W44=7,'Project types'!$L45,'Prepare Gantt Chart'!W44=0,0)</f>
        <v>0</v>
      </c>
      <c r="AL55" s="83">
        <f>_xlfn.IFS('Prepare Gantt Chart'!X44=8,'Project types'!$L45,'Prepare Gantt Chart'!X44=7,'Project types'!$L45,'Prepare Gantt Chart'!X44=0,0)</f>
        <v>0</v>
      </c>
      <c r="AM55" s="83">
        <f>_xlfn.IFS('Prepare Gantt Chart'!Y44=8,'Project types'!$L45,'Prepare Gantt Chart'!Y44=7,'Project types'!$L45,'Prepare Gantt Chart'!Y44=0,0)</f>
        <v>0</v>
      </c>
      <c r="AN55" s="83">
        <f>_xlfn.IFS('Prepare Gantt Chart'!Z44=8,'Project types'!$L45,'Prepare Gantt Chart'!Z44=7,'Project types'!$L45,'Prepare Gantt Chart'!Z44=0,0)</f>
        <v>0</v>
      </c>
      <c r="AO55" s="83">
        <f>_xlfn.IFS('Prepare Gantt Chart'!AA44=8,'Project types'!$L45,'Prepare Gantt Chart'!AA44=7,'Project types'!$L45,'Prepare Gantt Chart'!AA44=0,0)</f>
        <v>0</v>
      </c>
      <c r="AP55" s="83">
        <f>_xlfn.IFS('Prepare Gantt Chart'!AB44=8,'Project types'!$L45,'Prepare Gantt Chart'!AB44=7,'Project types'!$L45,'Prepare Gantt Chart'!AB44=0,0)</f>
        <v>0</v>
      </c>
      <c r="AQ55" s="83">
        <f>_xlfn.IFS('Prepare Gantt Chart'!AC44=8,'Project types'!$L45,'Prepare Gantt Chart'!AC44=7,'Project types'!$L45,'Prepare Gantt Chart'!AC44=0,0)</f>
        <v>0</v>
      </c>
      <c r="AR55" s="83">
        <f>_xlfn.IFS('Prepare Gantt Chart'!AD44=8,'Project types'!$L45,'Prepare Gantt Chart'!AD44=7,'Project types'!$L45,'Prepare Gantt Chart'!AD44=0,0)</f>
        <v>0</v>
      </c>
      <c r="AS55" s="83">
        <f>_xlfn.IFS('Prepare Gantt Chart'!AE44=8,'Project types'!$L45,'Prepare Gantt Chart'!AE44=7,'Project types'!$L45,'Prepare Gantt Chart'!AE44=0,0)</f>
        <v>0</v>
      </c>
      <c r="AT55" s="83">
        <f>_xlfn.IFS('Prepare Gantt Chart'!AF44=8,'Project types'!$L45,'Prepare Gantt Chart'!AF44=7,'Project types'!$L45,'Prepare Gantt Chart'!AF44=0,0)</f>
        <v>0</v>
      </c>
      <c r="AU55" s="83">
        <f>_xlfn.IFS('Prepare Gantt Chart'!AG44=8,'Project types'!$L45,'Prepare Gantt Chart'!AG44=7,'Project types'!$L45,'Prepare Gantt Chart'!AG44=0,0)</f>
        <v>0</v>
      </c>
      <c r="AV55" s="83">
        <f>_xlfn.IFS('Prepare Gantt Chart'!AH44=8,'Project types'!$L45,'Prepare Gantt Chart'!AH44=7,'Project types'!$L45,'Prepare Gantt Chart'!AH44=0,0)</f>
        <v>0</v>
      </c>
      <c r="AW55" s="83">
        <f>_xlfn.IFS('Prepare Gantt Chart'!AI44=8,'Project types'!$L45,'Prepare Gantt Chart'!AI44=7,'Project types'!$L45,'Prepare Gantt Chart'!AI44=0,0)</f>
        <v>0</v>
      </c>
      <c r="AX55" s="83">
        <f>_xlfn.IFS('Prepare Gantt Chart'!AJ44=8,'Project types'!$L45,'Prepare Gantt Chart'!AJ44=7,'Project types'!$L45,'Prepare Gantt Chart'!AJ44=0,0)</f>
        <v>0</v>
      </c>
      <c r="AY55" s="83">
        <f>_xlfn.IFS('Prepare Gantt Chart'!AK44=8,'Project types'!$L45,'Prepare Gantt Chart'!AK44=7,'Project types'!$L45,'Prepare Gantt Chart'!AK44=0,0)</f>
        <v>0</v>
      </c>
      <c r="AZ55" s="83">
        <f>_xlfn.IFS('Prepare Gantt Chart'!AL44=8,'Project types'!$L45,'Prepare Gantt Chart'!AL44=7,'Project types'!$L45,'Prepare Gantt Chart'!AL44=0,0)</f>
        <v>0</v>
      </c>
      <c r="BA55" s="83">
        <f>_xlfn.IFS('Prepare Gantt Chart'!AM44=8,'Project types'!$L45,'Prepare Gantt Chart'!AM44=7,'Project types'!$L45,'Prepare Gantt Chart'!AM44=0,0)</f>
        <v>0</v>
      </c>
      <c r="BB55" s="83">
        <f>_xlfn.IFS('Prepare Gantt Chart'!AN44=8,'Project types'!$L45,'Prepare Gantt Chart'!AN44=7,'Project types'!$L45,'Prepare Gantt Chart'!AN44=0,0)</f>
        <v>0</v>
      </c>
      <c r="BC55" s="83">
        <f>_xlfn.IFS('Prepare Gantt Chart'!AO44=8,'Project types'!$L45,'Prepare Gantt Chart'!AO44=7,'Project types'!$L45,'Prepare Gantt Chart'!AO44=0,0)</f>
        <v>0</v>
      </c>
      <c r="BD55" s="91">
        <f t="shared" si="1"/>
        <v>0</v>
      </c>
      <c r="CI55" s="85"/>
      <c r="GY55" s="85"/>
    </row>
    <row r="56" spans="1:207" x14ac:dyDescent="0.2">
      <c r="A56" s="1" t="s">
        <v>133</v>
      </c>
      <c r="B56" s="27" t="s">
        <v>45</v>
      </c>
      <c r="C56" s="83">
        <f>_xlfn.IFS('Prepare Gantt Chart'!P45=8,'Project types'!$O46,'Prepare Gantt Chart'!P45=7,'Project types'!$Q46,'Prepare Gantt Chart'!P45=0,0)</f>
        <v>0</v>
      </c>
      <c r="D56" s="83">
        <f>_xlfn.IFS('Prepare Gantt Chart'!Q45=8,'Project types'!$O46,'Prepare Gantt Chart'!Q45=7,'Project types'!$Q46,'Prepare Gantt Chart'!Q45=0,0)</f>
        <v>0</v>
      </c>
      <c r="E56" s="83">
        <f>_xlfn.IFS('Prepare Gantt Chart'!R45=8,'Project types'!$O46,'Prepare Gantt Chart'!R45=7,'Project types'!$Q46,'Prepare Gantt Chart'!R45=0,0)</f>
        <v>0</v>
      </c>
      <c r="F56" s="83">
        <f>_xlfn.IFS('Prepare Gantt Chart'!S45=8,'Project types'!$O46,'Prepare Gantt Chart'!S45=7,'Project types'!$Q46,'Prepare Gantt Chart'!S45=0,0)</f>
        <v>0</v>
      </c>
      <c r="G56" s="83">
        <f>_xlfn.IFS('Prepare Gantt Chart'!T45=8,'Project types'!$O46,'Prepare Gantt Chart'!T45=7,'Project types'!$Q46,'Prepare Gantt Chart'!T45=0,0)</f>
        <v>0</v>
      </c>
      <c r="H56" s="83">
        <f>_xlfn.IFS('Prepare Gantt Chart'!U45=8,'Project types'!$O46,'Prepare Gantt Chart'!U45=7,'Project types'!$Q46,'Prepare Gantt Chart'!U45=0,0)</f>
        <v>0</v>
      </c>
      <c r="I56" s="83">
        <f>_xlfn.IFS('Prepare Gantt Chart'!V45=8,'Project types'!$O46,'Prepare Gantt Chart'!V45=7,'Project types'!$Q46,'Prepare Gantt Chart'!V45=0,0)</f>
        <v>0</v>
      </c>
      <c r="J56" s="83">
        <f>_xlfn.IFS('Prepare Gantt Chart'!W45=8,'Project types'!$O46,'Prepare Gantt Chart'!W45=7,'Project types'!$Q46,'Prepare Gantt Chart'!W45=0,0)</f>
        <v>0</v>
      </c>
      <c r="K56" s="83">
        <f>_xlfn.IFS('Prepare Gantt Chart'!X45=8,'Project types'!$O46,'Prepare Gantt Chart'!X45=7,'Project types'!$Q46,'Prepare Gantt Chart'!X45=0,0)</f>
        <v>0</v>
      </c>
      <c r="L56" s="83">
        <f>_xlfn.IFS('Prepare Gantt Chart'!Y45=8,'Project types'!$O46,'Prepare Gantt Chart'!Y45=7,'Project types'!$Q46,'Prepare Gantt Chart'!Y45=0,0)</f>
        <v>0</v>
      </c>
      <c r="M56" s="83">
        <f>_xlfn.IFS('Prepare Gantt Chart'!Z45=8,'Project types'!$O46,'Prepare Gantt Chart'!Z45=7,'Project types'!$Q46,'Prepare Gantt Chart'!Z45=0,0)</f>
        <v>0</v>
      </c>
      <c r="N56" s="83">
        <f>_xlfn.IFS('Prepare Gantt Chart'!AA45=8,'Project types'!$O46,'Prepare Gantt Chart'!AA45=7,'Project types'!$Q46,'Prepare Gantt Chart'!AA45=0,0)</f>
        <v>0</v>
      </c>
      <c r="O56" s="83">
        <f>_xlfn.IFS('Prepare Gantt Chart'!AB45=8,'Project types'!$O46,'Prepare Gantt Chart'!AB45=7,'Project types'!$Q46,'Prepare Gantt Chart'!AB45=0,0)</f>
        <v>0</v>
      </c>
      <c r="P56" s="83">
        <f>_xlfn.IFS('Prepare Gantt Chart'!AC45=8,'Project types'!$O46,'Prepare Gantt Chart'!AC45=7,'Project types'!$Q46,'Prepare Gantt Chart'!AC45=0,0)</f>
        <v>0</v>
      </c>
      <c r="Q56" s="83">
        <f>_xlfn.IFS('Prepare Gantt Chart'!AD45=8,'Project types'!$O46,'Prepare Gantt Chart'!AD45=7,'Project types'!$Q46,'Prepare Gantt Chart'!AD45=0,0)</f>
        <v>0</v>
      </c>
      <c r="R56" s="83">
        <f>_xlfn.IFS('Prepare Gantt Chart'!AE45=8,'Project types'!$O46,'Prepare Gantt Chart'!AE45=7,'Project types'!$Q46,'Prepare Gantt Chart'!AE45=0,0)</f>
        <v>0</v>
      </c>
      <c r="S56" s="83">
        <f>_xlfn.IFS('Prepare Gantt Chart'!AF45=8,'Project types'!$O46,'Prepare Gantt Chart'!AF45=7,'Project types'!$Q46,'Prepare Gantt Chart'!AF45=0,0)</f>
        <v>0</v>
      </c>
      <c r="T56" s="83">
        <f>_xlfn.IFS('Prepare Gantt Chart'!AG45=8,'Project types'!$O46,'Prepare Gantt Chart'!AG45=7,'Project types'!$Q46,'Prepare Gantt Chart'!AG45=0,0)</f>
        <v>0</v>
      </c>
      <c r="U56" s="83">
        <f>_xlfn.IFS('Prepare Gantt Chart'!AH45=8,'Project types'!$O46,'Prepare Gantt Chart'!AH45=7,'Project types'!$Q46,'Prepare Gantt Chart'!AH45=0,0)</f>
        <v>0</v>
      </c>
      <c r="V56" s="83">
        <f>_xlfn.IFS('Prepare Gantt Chart'!AI45=8,'Project types'!$O46,'Prepare Gantt Chart'!AI45=7,'Project types'!$Q46,'Prepare Gantt Chart'!AI45=0,0)</f>
        <v>0</v>
      </c>
      <c r="W56" s="83">
        <f>_xlfn.IFS('Prepare Gantt Chart'!AJ45=8,'Project types'!$O46,'Prepare Gantt Chart'!AJ45=7,'Project types'!$Q46,'Prepare Gantt Chart'!AJ45=0,0)</f>
        <v>0</v>
      </c>
      <c r="X56" s="83">
        <f>_xlfn.IFS('Prepare Gantt Chart'!AK45=8,'Project types'!$O46,'Prepare Gantt Chart'!AK45=7,'Project types'!$Q46,'Prepare Gantt Chart'!AK45=0,0)</f>
        <v>0</v>
      </c>
      <c r="Y56" s="83">
        <f>_xlfn.IFS('Prepare Gantt Chart'!AL45=8,'Project types'!$O46,'Prepare Gantt Chart'!AL45=7,'Project types'!$Q46,'Prepare Gantt Chart'!AL45=0,0)</f>
        <v>0</v>
      </c>
      <c r="Z56" s="83">
        <f>_xlfn.IFS('Prepare Gantt Chart'!AM45=8,'Project types'!$O46,'Prepare Gantt Chart'!AM45=7,'Project types'!$Q46,'Prepare Gantt Chart'!AM45=0,0)</f>
        <v>0</v>
      </c>
      <c r="AA56" s="83">
        <f>_xlfn.IFS('Prepare Gantt Chart'!AN45=8,'Project types'!$O46,'Prepare Gantt Chart'!AN45=7,'Project types'!$Q46,'Prepare Gantt Chart'!AN45=0,0)</f>
        <v>0</v>
      </c>
      <c r="AB56" s="83">
        <f>_xlfn.IFS('Prepare Gantt Chart'!AO45=8,'Project types'!$O46,'Prepare Gantt Chart'!AO45=7,'Project types'!$Q46,'Prepare Gantt Chart'!AO45=0,0)</f>
        <v>0</v>
      </c>
      <c r="AC56" s="93">
        <f t="shared" si="0"/>
        <v>0</v>
      </c>
      <c r="AD56" s="86">
        <f>_xlfn.IFS('Prepare Gantt Chart'!P45=8,'Project types'!$L46,'Prepare Gantt Chart'!P45=7,'Project types'!$L46,'Prepare Gantt Chart'!P45=0,0)</f>
        <v>0</v>
      </c>
      <c r="AE56" s="83">
        <f>_xlfn.IFS('Prepare Gantt Chart'!Q45=8,'Project types'!$L46,'Prepare Gantt Chart'!Q45=7,'Project types'!$L46,'Prepare Gantt Chart'!Q45=0,0)</f>
        <v>0</v>
      </c>
      <c r="AF56" s="83">
        <f>_xlfn.IFS('Prepare Gantt Chart'!R45=8,'Project types'!$L46,'Prepare Gantt Chart'!R45=7,'Project types'!$L46,'Prepare Gantt Chart'!R45=0,0)</f>
        <v>0</v>
      </c>
      <c r="AG56" s="83">
        <f>_xlfn.IFS('Prepare Gantt Chart'!S45=8,'Project types'!$L46,'Prepare Gantt Chart'!S45=7,'Project types'!$L46,'Prepare Gantt Chart'!S45=0,0)</f>
        <v>0</v>
      </c>
      <c r="AH56" s="83">
        <f>_xlfn.IFS('Prepare Gantt Chart'!T45=8,'Project types'!$L46,'Prepare Gantt Chart'!T45=7,'Project types'!$L46,'Prepare Gantt Chart'!T45=0,0)</f>
        <v>0</v>
      </c>
      <c r="AI56" s="83">
        <f>_xlfn.IFS('Prepare Gantt Chart'!U45=8,'Project types'!$L46,'Prepare Gantt Chart'!U45=7,'Project types'!$L46,'Prepare Gantt Chart'!U45=0,0)</f>
        <v>0</v>
      </c>
      <c r="AJ56" s="83">
        <f>_xlfn.IFS('Prepare Gantt Chart'!V45=8,'Project types'!$L46,'Prepare Gantt Chart'!V45=7,'Project types'!$L46,'Prepare Gantt Chart'!V45=0,0)</f>
        <v>0</v>
      </c>
      <c r="AK56" s="83">
        <f>_xlfn.IFS('Prepare Gantt Chart'!W45=8,'Project types'!$L46,'Prepare Gantt Chart'!W45=7,'Project types'!$L46,'Prepare Gantt Chart'!W45=0,0)</f>
        <v>0</v>
      </c>
      <c r="AL56" s="83">
        <f>_xlfn.IFS('Prepare Gantt Chart'!X45=8,'Project types'!$L46,'Prepare Gantt Chart'!X45=7,'Project types'!$L46,'Prepare Gantt Chart'!X45=0,0)</f>
        <v>0</v>
      </c>
      <c r="AM56" s="83">
        <f>_xlfn.IFS('Prepare Gantt Chart'!Y45=8,'Project types'!$L46,'Prepare Gantt Chart'!Y45=7,'Project types'!$L46,'Prepare Gantt Chart'!Y45=0,0)</f>
        <v>0</v>
      </c>
      <c r="AN56" s="83">
        <f>_xlfn.IFS('Prepare Gantt Chart'!Z45=8,'Project types'!$L46,'Prepare Gantt Chart'!Z45=7,'Project types'!$L46,'Prepare Gantt Chart'!Z45=0,0)</f>
        <v>0</v>
      </c>
      <c r="AO56" s="83">
        <f>_xlfn.IFS('Prepare Gantt Chart'!AA45=8,'Project types'!$L46,'Prepare Gantt Chart'!AA45=7,'Project types'!$L46,'Prepare Gantt Chart'!AA45=0,0)</f>
        <v>0</v>
      </c>
      <c r="AP56" s="83">
        <f>_xlfn.IFS('Prepare Gantt Chart'!AB45=8,'Project types'!$L46,'Prepare Gantt Chart'!AB45=7,'Project types'!$L46,'Prepare Gantt Chart'!AB45=0,0)</f>
        <v>0</v>
      </c>
      <c r="AQ56" s="83">
        <f>_xlfn.IFS('Prepare Gantt Chart'!AC45=8,'Project types'!$L46,'Prepare Gantt Chart'!AC45=7,'Project types'!$L46,'Prepare Gantt Chart'!AC45=0,0)</f>
        <v>0</v>
      </c>
      <c r="AR56" s="83">
        <f>_xlfn.IFS('Prepare Gantt Chart'!AD45=8,'Project types'!$L46,'Prepare Gantt Chart'!AD45=7,'Project types'!$L46,'Prepare Gantt Chart'!AD45=0,0)</f>
        <v>0</v>
      </c>
      <c r="AS56" s="83">
        <f>_xlfn.IFS('Prepare Gantt Chart'!AE45=8,'Project types'!$L46,'Prepare Gantt Chart'!AE45=7,'Project types'!$L46,'Prepare Gantt Chart'!AE45=0,0)</f>
        <v>0</v>
      </c>
      <c r="AT56" s="83">
        <f>_xlfn.IFS('Prepare Gantt Chart'!AF45=8,'Project types'!$L46,'Prepare Gantt Chart'!AF45=7,'Project types'!$L46,'Prepare Gantt Chart'!AF45=0,0)</f>
        <v>0</v>
      </c>
      <c r="AU56" s="83">
        <f>_xlfn.IFS('Prepare Gantt Chart'!AG45=8,'Project types'!$L46,'Prepare Gantt Chart'!AG45=7,'Project types'!$L46,'Prepare Gantt Chart'!AG45=0,0)</f>
        <v>0</v>
      </c>
      <c r="AV56" s="83">
        <f>_xlfn.IFS('Prepare Gantt Chart'!AH45=8,'Project types'!$L46,'Prepare Gantt Chart'!AH45=7,'Project types'!$L46,'Prepare Gantt Chart'!AH45=0,0)</f>
        <v>0</v>
      </c>
      <c r="AW56" s="83">
        <f>_xlfn.IFS('Prepare Gantt Chart'!AI45=8,'Project types'!$L46,'Prepare Gantt Chart'!AI45=7,'Project types'!$L46,'Prepare Gantt Chart'!AI45=0,0)</f>
        <v>0</v>
      </c>
      <c r="AX56" s="83">
        <f>_xlfn.IFS('Prepare Gantt Chart'!AJ45=8,'Project types'!$L46,'Prepare Gantt Chart'!AJ45=7,'Project types'!$L46,'Prepare Gantt Chart'!AJ45=0,0)</f>
        <v>0</v>
      </c>
      <c r="AY56" s="83">
        <f>_xlfn.IFS('Prepare Gantt Chart'!AK45=8,'Project types'!$L46,'Prepare Gantt Chart'!AK45=7,'Project types'!$L46,'Prepare Gantt Chart'!AK45=0,0)</f>
        <v>0</v>
      </c>
      <c r="AZ56" s="83">
        <f>_xlfn.IFS('Prepare Gantt Chart'!AL45=8,'Project types'!$L46,'Prepare Gantt Chart'!AL45=7,'Project types'!$L46,'Prepare Gantt Chart'!AL45=0,0)</f>
        <v>0</v>
      </c>
      <c r="BA56" s="83">
        <f>_xlfn.IFS('Prepare Gantt Chart'!AM45=8,'Project types'!$L46,'Prepare Gantt Chart'!AM45=7,'Project types'!$L46,'Prepare Gantt Chart'!AM45=0,0)</f>
        <v>0</v>
      </c>
      <c r="BB56" s="83">
        <f>_xlfn.IFS('Prepare Gantt Chart'!AN45=8,'Project types'!$L46,'Prepare Gantt Chart'!AN45=7,'Project types'!$L46,'Prepare Gantt Chart'!AN45=0,0)</f>
        <v>0</v>
      </c>
      <c r="BC56" s="83">
        <f>_xlfn.IFS('Prepare Gantt Chart'!AO45=8,'Project types'!$L46,'Prepare Gantt Chart'!AO45=7,'Project types'!$L46,'Prepare Gantt Chart'!AO45=0,0)</f>
        <v>0</v>
      </c>
      <c r="BD56" s="91">
        <f t="shared" si="1"/>
        <v>0</v>
      </c>
      <c r="CI56" s="85"/>
      <c r="GY56" s="85"/>
    </row>
    <row r="57" spans="1:207" x14ac:dyDescent="0.2">
      <c r="A57" s="1" t="s">
        <v>398</v>
      </c>
      <c r="B57" s="27" t="s">
        <v>400</v>
      </c>
      <c r="C57" s="83">
        <f>_xlfn.IFS('Prepare Gantt Chart'!P46=8,'Project types'!$O47,'Prepare Gantt Chart'!P46=7,'Project types'!$Q47,'Prepare Gantt Chart'!P46=0,0)</f>
        <v>0</v>
      </c>
      <c r="D57" s="83">
        <f>_xlfn.IFS('Prepare Gantt Chart'!Q46=8,'Project types'!$O47,'Prepare Gantt Chart'!Q46=7,'Project types'!$Q47,'Prepare Gantt Chart'!Q46=0,0)</f>
        <v>0</v>
      </c>
      <c r="E57" s="83">
        <f>_xlfn.IFS('Prepare Gantt Chart'!R46=8,'Project types'!$O47,'Prepare Gantt Chart'!R46=7,'Project types'!$Q47,'Prepare Gantt Chart'!R46=0,0)</f>
        <v>0</v>
      </c>
      <c r="F57" s="83">
        <f>_xlfn.IFS('Prepare Gantt Chart'!S46=8,'Project types'!$O47,'Prepare Gantt Chart'!S46=7,'Project types'!$Q47,'Prepare Gantt Chart'!S46=0,0)</f>
        <v>0</v>
      </c>
      <c r="G57" s="83">
        <f>_xlfn.IFS('Prepare Gantt Chart'!T46=8,'Project types'!$O47,'Prepare Gantt Chart'!T46=7,'Project types'!$Q47,'Prepare Gantt Chart'!T46=0,0)</f>
        <v>0</v>
      </c>
      <c r="H57" s="83">
        <f>_xlfn.IFS('Prepare Gantt Chart'!U46=8,'Project types'!$O47,'Prepare Gantt Chart'!U46=7,'Project types'!$Q47,'Prepare Gantt Chart'!U46=0,0)</f>
        <v>0</v>
      </c>
      <c r="I57" s="83">
        <f>_xlfn.IFS('Prepare Gantt Chart'!V46=8,'Project types'!$O47,'Prepare Gantt Chart'!V46=7,'Project types'!$Q47,'Prepare Gantt Chart'!V46=0,0)</f>
        <v>0</v>
      </c>
      <c r="J57" s="83">
        <f>_xlfn.IFS('Prepare Gantt Chart'!W46=8,'Project types'!$O47,'Prepare Gantt Chart'!W46=7,'Project types'!$Q47,'Prepare Gantt Chart'!W46=0,0)</f>
        <v>0</v>
      </c>
      <c r="K57" s="83">
        <f>_xlfn.IFS('Prepare Gantt Chart'!X46=8,'Project types'!$O47,'Prepare Gantt Chart'!X46=7,'Project types'!$Q47,'Prepare Gantt Chart'!X46=0,0)</f>
        <v>0</v>
      </c>
      <c r="L57" s="83">
        <f>_xlfn.IFS('Prepare Gantt Chart'!Y46=8,'Project types'!$O47,'Prepare Gantt Chart'!Y46=7,'Project types'!$Q47,'Prepare Gantt Chart'!Y46=0,0)</f>
        <v>0</v>
      </c>
      <c r="M57" s="83">
        <f>_xlfn.IFS('Prepare Gantt Chart'!Z46=8,'Project types'!$O47,'Prepare Gantt Chart'!Z46=7,'Project types'!$Q47,'Prepare Gantt Chart'!Z46=0,0)</f>
        <v>0</v>
      </c>
      <c r="N57" s="83">
        <f>_xlfn.IFS('Prepare Gantt Chart'!AA46=8,'Project types'!$O47,'Prepare Gantt Chart'!AA46=7,'Project types'!$Q47,'Prepare Gantt Chart'!AA46=0,0)</f>
        <v>0</v>
      </c>
      <c r="O57" s="83">
        <f>_xlfn.IFS('Prepare Gantt Chart'!AB46=8,'Project types'!$O47,'Prepare Gantt Chart'!AB46=7,'Project types'!$Q47,'Prepare Gantt Chart'!AB46=0,0)</f>
        <v>0</v>
      </c>
      <c r="P57" s="83">
        <f>_xlfn.IFS('Prepare Gantt Chart'!AC46=8,'Project types'!$O47,'Prepare Gantt Chart'!AC46=7,'Project types'!$Q47,'Prepare Gantt Chart'!AC46=0,0)</f>
        <v>0</v>
      </c>
      <c r="Q57" s="83">
        <f>_xlfn.IFS('Prepare Gantt Chart'!AD46=8,'Project types'!$O47,'Prepare Gantt Chart'!AD46=7,'Project types'!$Q47,'Prepare Gantt Chart'!AD46=0,0)</f>
        <v>0</v>
      </c>
      <c r="R57" s="83">
        <f>_xlfn.IFS('Prepare Gantt Chart'!AE46=8,'Project types'!$O47,'Prepare Gantt Chart'!AE46=7,'Project types'!$Q47,'Prepare Gantt Chart'!AE46=0,0)</f>
        <v>0</v>
      </c>
      <c r="S57" s="83">
        <f>_xlfn.IFS('Prepare Gantt Chart'!AF46=8,'Project types'!$O47,'Prepare Gantt Chart'!AF46=7,'Project types'!$Q47,'Prepare Gantt Chart'!AF46=0,0)</f>
        <v>0</v>
      </c>
      <c r="T57" s="83">
        <f>_xlfn.IFS('Prepare Gantt Chart'!AG46=8,'Project types'!$O47,'Prepare Gantt Chart'!AG46=7,'Project types'!$Q47,'Prepare Gantt Chart'!AG46=0,0)</f>
        <v>0</v>
      </c>
      <c r="U57" s="83">
        <f>_xlfn.IFS('Prepare Gantt Chart'!AH46=8,'Project types'!$O47,'Prepare Gantt Chart'!AH46=7,'Project types'!$Q47,'Prepare Gantt Chart'!AH46=0,0)</f>
        <v>0</v>
      </c>
      <c r="V57" s="83">
        <f>_xlfn.IFS('Prepare Gantt Chart'!AI46=8,'Project types'!$O47,'Prepare Gantt Chart'!AI46=7,'Project types'!$Q47,'Prepare Gantt Chart'!AI46=0,0)</f>
        <v>0</v>
      </c>
      <c r="W57" s="83">
        <f>_xlfn.IFS('Prepare Gantt Chart'!AJ46=8,'Project types'!$O47,'Prepare Gantt Chart'!AJ46=7,'Project types'!$Q47,'Prepare Gantt Chart'!AJ46=0,0)</f>
        <v>0</v>
      </c>
      <c r="X57" s="83">
        <f>_xlfn.IFS('Prepare Gantt Chart'!AK46=8,'Project types'!$O47,'Prepare Gantt Chart'!AK46=7,'Project types'!$Q47,'Prepare Gantt Chart'!AK46=0,0)</f>
        <v>0</v>
      </c>
      <c r="Y57" s="83">
        <f>_xlfn.IFS('Prepare Gantt Chart'!AL46=8,'Project types'!$O47,'Prepare Gantt Chart'!AL46=7,'Project types'!$Q47,'Prepare Gantt Chart'!AL46=0,0)</f>
        <v>0</v>
      </c>
      <c r="Z57" s="83">
        <f>_xlfn.IFS('Prepare Gantt Chart'!AM46=8,'Project types'!$O47,'Prepare Gantt Chart'!AM46=7,'Project types'!$Q47,'Prepare Gantt Chart'!AM46=0,0)</f>
        <v>0</v>
      </c>
      <c r="AA57" s="83">
        <f>_xlfn.IFS('Prepare Gantt Chart'!AN46=8,'Project types'!$O47,'Prepare Gantt Chart'!AN46=7,'Project types'!$Q47,'Prepare Gantt Chart'!AN46=0,0)</f>
        <v>0</v>
      </c>
      <c r="AB57" s="83">
        <f>_xlfn.IFS('Prepare Gantt Chart'!AO46=8,'Project types'!$O47,'Prepare Gantt Chart'!AO46=7,'Project types'!$Q47,'Prepare Gantt Chart'!AO46=0,0)</f>
        <v>0</v>
      </c>
      <c r="AC57" s="93">
        <f t="shared" si="0"/>
        <v>0</v>
      </c>
      <c r="AD57" s="86">
        <f>_xlfn.IFS('Prepare Gantt Chart'!P46=8,'Project types'!$L47,'Prepare Gantt Chart'!P46=7,'Project types'!$L47,'Prepare Gantt Chart'!P46=0,0)</f>
        <v>0</v>
      </c>
      <c r="AE57" s="83">
        <f>_xlfn.IFS('Prepare Gantt Chart'!Q46=8,'Project types'!$L47,'Prepare Gantt Chart'!Q46=7,'Project types'!$L47,'Prepare Gantt Chart'!Q46=0,0)</f>
        <v>0</v>
      </c>
      <c r="AF57" s="83">
        <f>_xlfn.IFS('Prepare Gantt Chart'!R46=8,'Project types'!$L47,'Prepare Gantt Chart'!R46=7,'Project types'!$L47,'Prepare Gantt Chart'!R46=0,0)</f>
        <v>0</v>
      </c>
      <c r="AG57" s="83">
        <f>_xlfn.IFS('Prepare Gantt Chart'!S46=8,'Project types'!$L47,'Prepare Gantt Chart'!S46=7,'Project types'!$L47,'Prepare Gantt Chart'!S46=0,0)</f>
        <v>0</v>
      </c>
      <c r="AH57" s="83">
        <f>_xlfn.IFS('Prepare Gantt Chart'!T46=8,'Project types'!$L47,'Prepare Gantt Chart'!T46=7,'Project types'!$L47,'Prepare Gantt Chart'!T46=0,0)</f>
        <v>0</v>
      </c>
      <c r="AI57" s="83">
        <f>_xlfn.IFS('Prepare Gantt Chart'!U46=8,'Project types'!$L47,'Prepare Gantt Chart'!U46=7,'Project types'!$L47,'Prepare Gantt Chart'!U46=0,0)</f>
        <v>0</v>
      </c>
      <c r="AJ57" s="83">
        <f>_xlfn.IFS('Prepare Gantt Chart'!V46=8,'Project types'!$L47,'Prepare Gantt Chart'!V46=7,'Project types'!$L47,'Prepare Gantt Chart'!V46=0,0)</f>
        <v>0</v>
      </c>
      <c r="AK57" s="83">
        <f>_xlfn.IFS('Prepare Gantt Chart'!W46=8,'Project types'!$L47,'Prepare Gantt Chart'!W46=7,'Project types'!$L47,'Prepare Gantt Chart'!W46=0,0)</f>
        <v>0</v>
      </c>
      <c r="AL57" s="83">
        <f>_xlfn.IFS('Prepare Gantt Chart'!X46=8,'Project types'!$L47,'Prepare Gantt Chart'!X46=7,'Project types'!$L47,'Prepare Gantt Chart'!X46=0,0)</f>
        <v>0</v>
      </c>
      <c r="AM57" s="83">
        <f>_xlfn.IFS('Prepare Gantt Chart'!Y46=8,'Project types'!$L47,'Prepare Gantt Chart'!Y46=7,'Project types'!$L47,'Prepare Gantt Chart'!Y46=0,0)</f>
        <v>0</v>
      </c>
      <c r="AN57" s="83">
        <f>_xlfn.IFS('Prepare Gantt Chart'!Z46=8,'Project types'!$L47,'Prepare Gantt Chart'!Z46=7,'Project types'!$L47,'Prepare Gantt Chart'!Z46=0,0)</f>
        <v>0</v>
      </c>
      <c r="AO57" s="83">
        <f>_xlfn.IFS('Prepare Gantt Chart'!AA46=8,'Project types'!$L47,'Prepare Gantt Chart'!AA46=7,'Project types'!$L47,'Prepare Gantt Chart'!AA46=0,0)</f>
        <v>0</v>
      </c>
      <c r="AP57" s="83">
        <f>_xlfn.IFS('Prepare Gantt Chart'!AB46=8,'Project types'!$L47,'Prepare Gantt Chart'!AB46=7,'Project types'!$L47,'Prepare Gantt Chart'!AB46=0,0)</f>
        <v>0</v>
      </c>
      <c r="AQ57" s="83">
        <f>_xlfn.IFS('Prepare Gantt Chart'!AC46=8,'Project types'!$L47,'Prepare Gantt Chart'!AC46=7,'Project types'!$L47,'Prepare Gantt Chart'!AC46=0,0)</f>
        <v>0</v>
      </c>
      <c r="AR57" s="83">
        <f>_xlfn.IFS('Prepare Gantt Chart'!AD46=8,'Project types'!$L47,'Prepare Gantt Chart'!AD46=7,'Project types'!$L47,'Prepare Gantt Chart'!AD46=0,0)</f>
        <v>0</v>
      </c>
      <c r="AS57" s="83">
        <f>_xlfn.IFS('Prepare Gantt Chart'!AE46=8,'Project types'!$L47,'Prepare Gantt Chart'!AE46=7,'Project types'!$L47,'Prepare Gantt Chart'!AE46=0,0)</f>
        <v>0</v>
      </c>
      <c r="AT57" s="83">
        <f>_xlfn.IFS('Prepare Gantt Chart'!AF46=8,'Project types'!$L47,'Prepare Gantt Chart'!AF46=7,'Project types'!$L47,'Prepare Gantt Chart'!AF46=0,0)</f>
        <v>0</v>
      </c>
      <c r="AU57" s="83">
        <f>_xlfn.IFS('Prepare Gantt Chart'!AG46=8,'Project types'!$L47,'Prepare Gantt Chart'!AG46=7,'Project types'!$L47,'Prepare Gantt Chart'!AG46=0,0)</f>
        <v>0</v>
      </c>
      <c r="AV57" s="83">
        <f>_xlfn.IFS('Prepare Gantt Chart'!AH46=8,'Project types'!$L47,'Prepare Gantt Chart'!AH46=7,'Project types'!$L47,'Prepare Gantt Chart'!AH46=0,0)</f>
        <v>0</v>
      </c>
      <c r="AW57" s="83">
        <f>_xlfn.IFS('Prepare Gantt Chart'!AI46=8,'Project types'!$L47,'Prepare Gantt Chart'!AI46=7,'Project types'!$L47,'Prepare Gantt Chart'!AI46=0,0)</f>
        <v>0</v>
      </c>
      <c r="AX57" s="83">
        <f>_xlfn.IFS('Prepare Gantt Chart'!AJ46=8,'Project types'!$L47,'Prepare Gantt Chart'!AJ46=7,'Project types'!$L47,'Prepare Gantt Chart'!AJ46=0,0)</f>
        <v>0</v>
      </c>
      <c r="AY57" s="83">
        <f>_xlfn.IFS('Prepare Gantt Chart'!AK46=8,'Project types'!$L47,'Prepare Gantt Chart'!AK46=7,'Project types'!$L47,'Prepare Gantt Chart'!AK46=0,0)</f>
        <v>0</v>
      </c>
      <c r="AZ57" s="83">
        <f>_xlfn.IFS('Prepare Gantt Chart'!AL46=8,'Project types'!$L47,'Prepare Gantt Chart'!AL46=7,'Project types'!$L47,'Prepare Gantt Chart'!AL46=0,0)</f>
        <v>0</v>
      </c>
      <c r="BA57" s="83">
        <f>_xlfn.IFS('Prepare Gantt Chart'!AM46=8,'Project types'!$L47,'Prepare Gantt Chart'!AM46=7,'Project types'!$L47,'Prepare Gantt Chart'!AM46=0,0)</f>
        <v>0</v>
      </c>
      <c r="BB57" s="83">
        <f>_xlfn.IFS('Prepare Gantt Chart'!AN46=8,'Project types'!$L47,'Prepare Gantt Chart'!AN46=7,'Project types'!$L47,'Prepare Gantt Chart'!AN46=0,0)</f>
        <v>0</v>
      </c>
      <c r="BC57" s="83">
        <f>_xlfn.IFS('Prepare Gantt Chart'!AO46=8,'Project types'!$L47,'Prepare Gantt Chart'!AO46=7,'Project types'!$L47,'Prepare Gantt Chart'!AO46=0,0)</f>
        <v>0</v>
      </c>
      <c r="BD57" s="91">
        <f t="shared" si="1"/>
        <v>0</v>
      </c>
      <c r="CI57" s="85"/>
      <c r="GY57" s="85"/>
    </row>
    <row r="58" spans="1:207" x14ac:dyDescent="0.2">
      <c r="A58" s="1" t="s">
        <v>128</v>
      </c>
      <c r="B58" s="27" t="s">
        <v>401</v>
      </c>
      <c r="C58" s="83">
        <f>_xlfn.IFS('Prepare Gantt Chart'!P47=8,'Project types'!$O48,'Prepare Gantt Chart'!P47=7,'Project types'!$Q48,'Prepare Gantt Chart'!P47=0,0)</f>
        <v>0</v>
      </c>
      <c r="D58" s="83">
        <f>_xlfn.IFS('Prepare Gantt Chart'!Q47=8,'Project types'!$O48,'Prepare Gantt Chart'!Q47=7,'Project types'!$Q48,'Prepare Gantt Chart'!Q47=0,0)</f>
        <v>0</v>
      </c>
      <c r="E58" s="83">
        <f>_xlfn.IFS('Prepare Gantt Chart'!R47=8,'Project types'!$O48,'Prepare Gantt Chart'!R47=7,'Project types'!$Q48,'Prepare Gantt Chart'!R47=0,0)</f>
        <v>0</v>
      </c>
      <c r="F58" s="83">
        <f>_xlfn.IFS('Prepare Gantt Chart'!S47=8,'Project types'!$O48,'Prepare Gantt Chart'!S47=7,'Project types'!$Q48,'Prepare Gantt Chart'!S47=0,0)</f>
        <v>0</v>
      </c>
      <c r="G58" s="83">
        <f>_xlfn.IFS('Prepare Gantt Chart'!T47=8,'Project types'!$O48,'Prepare Gantt Chart'!T47=7,'Project types'!$Q48,'Prepare Gantt Chart'!T47=0,0)</f>
        <v>0</v>
      </c>
      <c r="H58" s="83">
        <f>_xlfn.IFS('Prepare Gantt Chart'!U47=8,'Project types'!$O48,'Prepare Gantt Chart'!U47=7,'Project types'!$Q48,'Prepare Gantt Chart'!U47=0,0)</f>
        <v>0</v>
      </c>
      <c r="I58" s="83">
        <f>_xlfn.IFS('Prepare Gantt Chart'!V47=8,'Project types'!$O48,'Prepare Gantt Chart'!V47=7,'Project types'!$Q48,'Prepare Gantt Chart'!V47=0,0)</f>
        <v>0</v>
      </c>
      <c r="J58" s="83">
        <f>_xlfn.IFS('Prepare Gantt Chart'!W47=8,'Project types'!$O48,'Prepare Gantt Chart'!W47=7,'Project types'!$Q48,'Prepare Gantt Chart'!W47=0,0)</f>
        <v>0</v>
      </c>
      <c r="K58" s="83">
        <f>_xlfn.IFS('Prepare Gantt Chart'!X47=8,'Project types'!$O48,'Prepare Gantt Chart'!X47=7,'Project types'!$Q48,'Prepare Gantt Chart'!X47=0,0)</f>
        <v>0</v>
      </c>
      <c r="L58" s="83">
        <f>_xlfn.IFS('Prepare Gantt Chart'!Y47=8,'Project types'!$O48,'Prepare Gantt Chart'!Y47=7,'Project types'!$Q48,'Prepare Gantt Chart'!Y47=0,0)</f>
        <v>0</v>
      </c>
      <c r="M58" s="83">
        <f>_xlfn.IFS('Prepare Gantt Chart'!Z47=8,'Project types'!$O48,'Prepare Gantt Chart'!Z47=7,'Project types'!$Q48,'Prepare Gantt Chart'!Z47=0,0)</f>
        <v>0</v>
      </c>
      <c r="N58" s="83">
        <f>_xlfn.IFS('Prepare Gantt Chart'!AA47=8,'Project types'!$O48,'Prepare Gantt Chart'!AA47=7,'Project types'!$Q48,'Prepare Gantt Chart'!AA47=0,0)</f>
        <v>0</v>
      </c>
      <c r="O58" s="83">
        <f>_xlfn.IFS('Prepare Gantt Chart'!AB47=8,'Project types'!$O48,'Prepare Gantt Chart'!AB47=7,'Project types'!$Q48,'Prepare Gantt Chart'!AB47=0,0)</f>
        <v>0</v>
      </c>
      <c r="P58" s="83">
        <f>_xlfn.IFS('Prepare Gantt Chart'!AC47=8,'Project types'!$O48,'Prepare Gantt Chart'!AC47=7,'Project types'!$Q48,'Prepare Gantt Chart'!AC47=0,0)</f>
        <v>0</v>
      </c>
      <c r="Q58" s="83">
        <f>_xlfn.IFS('Prepare Gantt Chart'!AD47=8,'Project types'!$O48,'Prepare Gantt Chart'!AD47=7,'Project types'!$Q48,'Prepare Gantt Chart'!AD47=0,0)</f>
        <v>0</v>
      </c>
      <c r="R58" s="83">
        <f>_xlfn.IFS('Prepare Gantt Chart'!AE47=8,'Project types'!$O48,'Prepare Gantt Chart'!AE47=7,'Project types'!$Q48,'Prepare Gantt Chart'!AE47=0,0)</f>
        <v>0</v>
      </c>
      <c r="S58" s="83">
        <f>_xlfn.IFS('Prepare Gantt Chart'!AF47=8,'Project types'!$O48,'Prepare Gantt Chart'!AF47=7,'Project types'!$Q48,'Prepare Gantt Chart'!AF47=0,0)</f>
        <v>0</v>
      </c>
      <c r="T58" s="83">
        <f>_xlfn.IFS('Prepare Gantt Chart'!AG47=8,'Project types'!$O48,'Prepare Gantt Chart'!AG47=7,'Project types'!$Q48,'Prepare Gantt Chart'!AG47=0,0)</f>
        <v>0</v>
      </c>
      <c r="U58" s="83">
        <f>_xlfn.IFS('Prepare Gantt Chart'!AH47=8,'Project types'!$O48,'Prepare Gantt Chart'!AH47=7,'Project types'!$Q48,'Prepare Gantt Chart'!AH47=0,0)</f>
        <v>0</v>
      </c>
      <c r="V58" s="83">
        <f>_xlfn.IFS('Prepare Gantt Chart'!AI47=8,'Project types'!$O48,'Prepare Gantt Chart'!AI47=7,'Project types'!$Q48,'Prepare Gantt Chart'!AI47=0,0)</f>
        <v>0</v>
      </c>
      <c r="W58" s="83">
        <f>_xlfn.IFS('Prepare Gantt Chart'!AJ47=8,'Project types'!$O48,'Prepare Gantt Chart'!AJ47=7,'Project types'!$Q48,'Prepare Gantt Chart'!AJ47=0,0)</f>
        <v>0</v>
      </c>
      <c r="X58" s="83">
        <f>_xlfn.IFS('Prepare Gantt Chart'!AK47=8,'Project types'!$O48,'Prepare Gantt Chart'!AK47=7,'Project types'!$Q48,'Prepare Gantt Chart'!AK47=0,0)</f>
        <v>0</v>
      </c>
      <c r="Y58" s="83">
        <f>_xlfn.IFS('Prepare Gantt Chart'!AL47=8,'Project types'!$O48,'Prepare Gantt Chart'!AL47=7,'Project types'!$Q48,'Prepare Gantt Chart'!AL47=0,0)</f>
        <v>0</v>
      </c>
      <c r="Z58" s="83">
        <f>_xlfn.IFS('Prepare Gantt Chart'!AM47=8,'Project types'!$O48,'Prepare Gantt Chart'!AM47=7,'Project types'!$Q48,'Prepare Gantt Chart'!AM47=0,0)</f>
        <v>0</v>
      </c>
      <c r="AA58" s="83">
        <f>_xlfn.IFS('Prepare Gantt Chart'!AN47=8,'Project types'!$O48,'Prepare Gantt Chart'!AN47=7,'Project types'!$Q48,'Prepare Gantt Chart'!AN47=0,0)</f>
        <v>0</v>
      </c>
      <c r="AB58" s="83">
        <f>_xlfn.IFS('Prepare Gantt Chart'!AO47=8,'Project types'!$O48,'Prepare Gantt Chart'!AO47=7,'Project types'!$Q48,'Prepare Gantt Chart'!AO47=0,0)</f>
        <v>0</v>
      </c>
      <c r="AC58" s="93">
        <f t="shared" si="0"/>
        <v>0</v>
      </c>
      <c r="AD58" s="86">
        <f>_xlfn.IFS('Prepare Gantt Chart'!P47=8,'Project types'!$L48,'Prepare Gantt Chart'!P47=7,'Project types'!$L48,'Prepare Gantt Chart'!P47=0,0)</f>
        <v>0</v>
      </c>
      <c r="AE58" s="83">
        <f>_xlfn.IFS('Prepare Gantt Chart'!Q47=8,'Project types'!$L48,'Prepare Gantt Chart'!Q47=7,'Project types'!$L48,'Prepare Gantt Chart'!Q47=0,0)</f>
        <v>0</v>
      </c>
      <c r="AF58" s="83">
        <f>_xlfn.IFS('Prepare Gantt Chart'!R47=8,'Project types'!$L48,'Prepare Gantt Chart'!R47=7,'Project types'!$L48,'Prepare Gantt Chart'!R47=0,0)</f>
        <v>0</v>
      </c>
      <c r="AG58" s="83">
        <f>_xlfn.IFS('Prepare Gantt Chart'!S47=8,'Project types'!$L48,'Prepare Gantt Chart'!S47=7,'Project types'!$L48,'Prepare Gantt Chart'!S47=0,0)</f>
        <v>0</v>
      </c>
      <c r="AH58" s="83">
        <f>_xlfn.IFS('Prepare Gantt Chart'!T47=8,'Project types'!$L48,'Prepare Gantt Chart'!T47=7,'Project types'!$L48,'Prepare Gantt Chart'!T47=0,0)</f>
        <v>0</v>
      </c>
      <c r="AI58" s="83">
        <f>_xlfn.IFS('Prepare Gantt Chart'!U47=8,'Project types'!$L48,'Prepare Gantt Chart'!U47=7,'Project types'!$L48,'Prepare Gantt Chart'!U47=0,0)</f>
        <v>0</v>
      </c>
      <c r="AJ58" s="83">
        <f>_xlfn.IFS('Prepare Gantt Chart'!V47=8,'Project types'!$L48,'Prepare Gantt Chart'!V47=7,'Project types'!$L48,'Prepare Gantt Chart'!V47=0,0)</f>
        <v>0</v>
      </c>
      <c r="AK58" s="83">
        <f>_xlfn.IFS('Prepare Gantt Chart'!W47=8,'Project types'!$L48,'Prepare Gantt Chart'!W47=7,'Project types'!$L48,'Prepare Gantt Chart'!W47=0,0)</f>
        <v>0</v>
      </c>
      <c r="AL58" s="83">
        <f>_xlfn.IFS('Prepare Gantt Chart'!X47=8,'Project types'!$L48,'Prepare Gantt Chart'!X47=7,'Project types'!$L48,'Prepare Gantt Chart'!X47=0,0)</f>
        <v>0</v>
      </c>
      <c r="AM58" s="83">
        <f>_xlfn.IFS('Prepare Gantt Chart'!Y47=8,'Project types'!$L48,'Prepare Gantt Chart'!Y47=7,'Project types'!$L48,'Prepare Gantt Chart'!Y47=0,0)</f>
        <v>0</v>
      </c>
      <c r="AN58" s="83">
        <f>_xlfn.IFS('Prepare Gantt Chart'!Z47=8,'Project types'!$L48,'Prepare Gantt Chart'!Z47=7,'Project types'!$L48,'Prepare Gantt Chart'!Z47=0,0)</f>
        <v>0</v>
      </c>
      <c r="AO58" s="83">
        <f>_xlfn.IFS('Prepare Gantt Chart'!AA47=8,'Project types'!$L48,'Prepare Gantt Chart'!AA47=7,'Project types'!$L48,'Prepare Gantt Chart'!AA47=0,0)</f>
        <v>0</v>
      </c>
      <c r="AP58" s="83">
        <f>_xlfn.IFS('Prepare Gantt Chart'!AB47=8,'Project types'!$L48,'Prepare Gantt Chart'!AB47=7,'Project types'!$L48,'Prepare Gantt Chart'!AB47=0,0)</f>
        <v>0</v>
      </c>
      <c r="AQ58" s="83">
        <f>_xlfn.IFS('Prepare Gantt Chart'!AC47=8,'Project types'!$L48,'Prepare Gantt Chart'!AC47=7,'Project types'!$L48,'Prepare Gantt Chart'!AC47=0,0)</f>
        <v>0</v>
      </c>
      <c r="AR58" s="83">
        <f>_xlfn.IFS('Prepare Gantt Chart'!AD47=8,'Project types'!$L48,'Prepare Gantt Chart'!AD47=7,'Project types'!$L48,'Prepare Gantt Chart'!AD47=0,0)</f>
        <v>0</v>
      </c>
      <c r="AS58" s="83">
        <f>_xlfn.IFS('Prepare Gantt Chart'!AE47=8,'Project types'!$L48,'Prepare Gantt Chart'!AE47=7,'Project types'!$L48,'Prepare Gantt Chart'!AE47=0,0)</f>
        <v>0</v>
      </c>
      <c r="AT58" s="83">
        <f>_xlfn.IFS('Prepare Gantt Chart'!AF47=8,'Project types'!$L48,'Prepare Gantt Chart'!AF47=7,'Project types'!$L48,'Prepare Gantt Chart'!AF47=0,0)</f>
        <v>0</v>
      </c>
      <c r="AU58" s="83">
        <f>_xlfn.IFS('Prepare Gantt Chart'!AG47=8,'Project types'!$L48,'Prepare Gantt Chart'!AG47=7,'Project types'!$L48,'Prepare Gantt Chart'!AG47=0,0)</f>
        <v>0</v>
      </c>
      <c r="AV58" s="83">
        <f>_xlfn.IFS('Prepare Gantt Chart'!AH47=8,'Project types'!$L48,'Prepare Gantt Chart'!AH47=7,'Project types'!$L48,'Prepare Gantt Chart'!AH47=0,0)</f>
        <v>0</v>
      </c>
      <c r="AW58" s="83">
        <f>_xlfn.IFS('Prepare Gantt Chart'!AI47=8,'Project types'!$L48,'Prepare Gantt Chart'!AI47=7,'Project types'!$L48,'Prepare Gantt Chart'!AI47=0,0)</f>
        <v>0</v>
      </c>
      <c r="AX58" s="83">
        <f>_xlfn.IFS('Prepare Gantt Chart'!AJ47=8,'Project types'!$L48,'Prepare Gantt Chart'!AJ47=7,'Project types'!$L48,'Prepare Gantt Chart'!AJ47=0,0)</f>
        <v>0</v>
      </c>
      <c r="AY58" s="83">
        <f>_xlfn.IFS('Prepare Gantt Chart'!AK47=8,'Project types'!$L48,'Prepare Gantt Chart'!AK47=7,'Project types'!$L48,'Prepare Gantt Chart'!AK47=0,0)</f>
        <v>0</v>
      </c>
      <c r="AZ58" s="83">
        <f>_xlfn.IFS('Prepare Gantt Chart'!AL47=8,'Project types'!$L48,'Prepare Gantt Chart'!AL47=7,'Project types'!$L48,'Prepare Gantt Chart'!AL47=0,0)</f>
        <v>0</v>
      </c>
      <c r="BA58" s="83">
        <f>_xlfn.IFS('Prepare Gantt Chart'!AM47=8,'Project types'!$L48,'Prepare Gantt Chart'!AM47=7,'Project types'!$L48,'Prepare Gantt Chart'!AM47=0,0)</f>
        <v>0</v>
      </c>
      <c r="BB58" s="83">
        <f>_xlfn.IFS('Prepare Gantt Chart'!AN47=8,'Project types'!$L48,'Prepare Gantt Chart'!AN47=7,'Project types'!$L48,'Prepare Gantt Chart'!AN47=0,0)</f>
        <v>0</v>
      </c>
      <c r="BC58" s="83">
        <f>_xlfn.IFS('Prepare Gantt Chart'!AO47=8,'Project types'!$L48,'Prepare Gantt Chart'!AO47=7,'Project types'!$L48,'Prepare Gantt Chart'!AO47=0,0)</f>
        <v>0</v>
      </c>
      <c r="BD58" s="91">
        <f t="shared" si="1"/>
        <v>0</v>
      </c>
      <c r="CI58" s="85"/>
      <c r="GY58" s="85"/>
    </row>
    <row r="59" spans="1:207" x14ac:dyDescent="0.2">
      <c r="A59" s="1" t="s">
        <v>118</v>
      </c>
      <c r="B59" s="27" t="s">
        <v>402</v>
      </c>
      <c r="C59" s="83">
        <f>_xlfn.IFS('Prepare Gantt Chart'!P48=8,'Project types'!$O49,'Prepare Gantt Chart'!P48=7,'Project types'!$Q49,'Prepare Gantt Chart'!P48=0,0)</f>
        <v>0</v>
      </c>
      <c r="D59" s="83">
        <f>_xlfn.IFS('Prepare Gantt Chart'!Q48=8,'Project types'!$O49,'Prepare Gantt Chart'!Q48=7,'Project types'!$Q49,'Prepare Gantt Chart'!Q48=0,0)</f>
        <v>0</v>
      </c>
      <c r="E59" s="83">
        <f>_xlfn.IFS('Prepare Gantt Chart'!R48=8,'Project types'!$O49,'Prepare Gantt Chart'!R48=7,'Project types'!$Q49,'Prepare Gantt Chart'!R48=0,0)</f>
        <v>0</v>
      </c>
      <c r="F59" s="83">
        <f>_xlfn.IFS('Prepare Gantt Chart'!S48=8,'Project types'!$O49,'Prepare Gantt Chart'!S48=7,'Project types'!$Q49,'Prepare Gantt Chart'!S48=0,0)</f>
        <v>0</v>
      </c>
      <c r="G59" s="83">
        <f>_xlfn.IFS('Prepare Gantt Chart'!T48=8,'Project types'!$O49,'Prepare Gantt Chart'!T48=7,'Project types'!$Q49,'Prepare Gantt Chart'!T48=0,0)</f>
        <v>0</v>
      </c>
      <c r="H59" s="83">
        <f>_xlfn.IFS('Prepare Gantt Chart'!U48=8,'Project types'!$O49,'Prepare Gantt Chart'!U48=7,'Project types'!$Q49,'Prepare Gantt Chart'!U48=0,0)</f>
        <v>0</v>
      </c>
      <c r="I59" s="83">
        <f>_xlfn.IFS('Prepare Gantt Chart'!V48=8,'Project types'!$O49,'Prepare Gantt Chart'!V48=7,'Project types'!$Q49,'Prepare Gantt Chart'!V48=0,0)</f>
        <v>0</v>
      </c>
      <c r="J59" s="83">
        <f>_xlfn.IFS('Prepare Gantt Chart'!W48=8,'Project types'!$O49,'Prepare Gantt Chart'!W48=7,'Project types'!$Q49,'Prepare Gantt Chart'!W48=0,0)</f>
        <v>0</v>
      </c>
      <c r="K59" s="83">
        <f>_xlfn.IFS('Prepare Gantt Chart'!X48=8,'Project types'!$O49,'Prepare Gantt Chart'!X48=7,'Project types'!$Q49,'Prepare Gantt Chart'!X48=0,0)</f>
        <v>0</v>
      </c>
      <c r="L59" s="83">
        <f>_xlfn.IFS('Prepare Gantt Chart'!Y48=8,'Project types'!$O49,'Prepare Gantt Chart'!Y48=7,'Project types'!$Q49,'Prepare Gantt Chart'!Y48=0,0)</f>
        <v>0</v>
      </c>
      <c r="M59" s="83">
        <f>_xlfn.IFS('Prepare Gantt Chart'!Z48=8,'Project types'!$O49,'Prepare Gantt Chart'!Z48=7,'Project types'!$Q49,'Prepare Gantt Chart'!Z48=0,0)</f>
        <v>0</v>
      </c>
      <c r="N59" s="83">
        <f>_xlfn.IFS('Prepare Gantt Chart'!AA48=8,'Project types'!$O49,'Prepare Gantt Chart'!AA48=7,'Project types'!$Q49,'Prepare Gantt Chart'!AA48=0,0)</f>
        <v>0</v>
      </c>
      <c r="O59" s="83">
        <f>_xlfn.IFS('Prepare Gantt Chart'!AB48=8,'Project types'!$O49,'Prepare Gantt Chart'!AB48=7,'Project types'!$Q49,'Prepare Gantt Chart'!AB48=0,0)</f>
        <v>0</v>
      </c>
      <c r="P59" s="83">
        <f>_xlfn.IFS('Prepare Gantt Chart'!AC48=8,'Project types'!$O49,'Prepare Gantt Chart'!AC48=7,'Project types'!$Q49,'Prepare Gantt Chart'!AC48=0,0)</f>
        <v>0</v>
      </c>
      <c r="Q59" s="83">
        <f>_xlfn.IFS('Prepare Gantt Chart'!AD48=8,'Project types'!$O49,'Prepare Gantt Chart'!AD48=7,'Project types'!$Q49,'Prepare Gantt Chart'!AD48=0,0)</f>
        <v>0</v>
      </c>
      <c r="R59" s="83">
        <f>_xlfn.IFS('Prepare Gantt Chart'!AE48=8,'Project types'!$O49,'Prepare Gantt Chart'!AE48=7,'Project types'!$Q49,'Prepare Gantt Chart'!AE48=0,0)</f>
        <v>0</v>
      </c>
      <c r="S59" s="83">
        <f>_xlfn.IFS('Prepare Gantt Chart'!AF48=8,'Project types'!$O49,'Prepare Gantt Chart'!AF48=7,'Project types'!$Q49,'Prepare Gantt Chart'!AF48=0,0)</f>
        <v>0</v>
      </c>
      <c r="T59" s="83">
        <f>_xlfn.IFS('Prepare Gantt Chart'!AG48=8,'Project types'!$O49,'Prepare Gantt Chart'!AG48=7,'Project types'!$Q49,'Prepare Gantt Chart'!AG48=0,0)</f>
        <v>0</v>
      </c>
      <c r="U59" s="83">
        <f>_xlfn.IFS('Prepare Gantt Chart'!AH48=8,'Project types'!$O49,'Prepare Gantt Chart'!AH48=7,'Project types'!$Q49,'Prepare Gantt Chart'!AH48=0,0)</f>
        <v>0</v>
      </c>
      <c r="V59" s="83">
        <f>_xlfn.IFS('Prepare Gantt Chart'!AI48=8,'Project types'!$O49,'Prepare Gantt Chart'!AI48=7,'Project types'!$Q49,'Prepare Gantt Chart'!AI48=0,0)</f>
        <v>0</v>
      </c>
      <c r="W59" s="83">
        <f>_xlfn.IFS('Prepare Gantt Chart'!AJ48=8,'Project types'!$O49,'Prepare Gantt Chart'!AJ48=7,'Project types'!$Q49,'Prepare Gantt Chart'!AJ48=0,0)</f>
        <v>0</v>
      </c>
      <c r="X59" s="83">
        <f>_xlfn.IFS('Prepare Gantt Chart'!AK48=8,'Project types'!$O49,'Prepare Gantt Chart'!AK48=7,'Project types'!$Q49,'Prepare Gantt Chart'!AK48=0,0)</f>
        <v>0</v>
      </c>
      <c r="Y59" s="83">
        <f>_xlfn.IFS('Prepare Gantt Chart'!AL48=8,'Project types'!$O49,'Prepare Gantt Chart'!AL48=7,'Project types'!$Q49,'Prepare Gantt Chart'!AL48=0,0)</f>
        <v>0</v>
      </c>
      <c r="Z59" s="83">
        <f>_xlfn.IFS('Prepare Gantt Chart'!AM48=8,'Project types'!$O49,'Prepare Gantt Chart'!AM48=7,'Project types'!$Q49,'Prepare Gantt Chart'!AM48=0,0)</f>
        <v>0</v>
      </c>
      <c r="AA59" s="83">
        <f>_xlfn.IFS('Prepare Gantt Chart'!AN48=8,'Project types'!$O49,'Prepare Gantt Chart'!AN48=7,'Project types'!$Q49,'Prepare Gantt Chart'!AN48=0,0)</f>
        <v>0</v>
      </c>
      <c r="AB59" s="83">
        <f>_xlfn.IFS('Prepare Gantt Chart'!AO48=8,'Project types'!$O49,'Prepare Gantt Chart'!AO48=7,'Project types'!$Q49,'Prepare Gantt Chart'!AO48=0,0)</f>
        <v>0</v>
      </c>
      <c r="AC59" s="93">
        <f t="shared" si="0"/>
        <v>0</v>
      </c>
      <c r="AD59" s="86">
        <f>_xlfn.IFS('Prepare Gantt Chart'!P48=8,'Project types'!$L49,'Prepare Gantt Chart'!P48=7,'Project types'!$L49,'Prepare Gantt Chart'!P48=0,0)</f>
        <v>0</v>
      </c>
      <c r="AE59" s="83">
        <f>_xlfn.IFS('Prepare Gantt Chart'!Q48=8,'Project types'!$L49,'Prepare Gantt Chart'!Q48=7,'Project types'!$L49,'Prepare Gantt Chart'!Q48=0,0)</f>
        <v>0</v>
      </c>
      <c r="AF59" s="83">
        <f>_xlfn.IFS('Prepare Gantt Chart'!R48=8,'Project types'!$L49,'Prepare Gantt Chart'!R48=7,'Project types'!$L49,'Prepare Gantt Chart'!R48=0,0)</f>
        <v>0</v>
      </c>
      <c r="AG59" s="83">
        <f>_xlfn.IFS('Prepare Gantt Chart'!S48=8,'Project types'!$L49,'Prepare Gantt Chart'!S48=7,'Project types'!$L49,'Prepare Gantt Chart'!S48=0,0)</f>
        <v>0</v>
      </c>
      <c r="AH59" s="83">
        <f>_xlfn.IFS('Prepare Gantt Chart'!T48=8,'Project types'!$L49,'Prepare Gantt Chart'!T48=7,'Project types'!$L49,'Prepare Gantt Chart'!T48=0,0)</f>
        <v>0</v>
      </c>
      <c r="AI59" s="83">
        <f>_xlfn.IFS('Prepare Gantt Chart'!U48=8,'Project types'!$L49,'Prepare Gantt Chart'!U48=7,'Project types'!$L49,'Prepare Gantt Chart'!U48=0,0)</f>
        <v>0</v>
      </c>
      <c r="AJ59" s="83">
        <f>_xlfn.IFS('Prepare Gantt Chart'!V48=8,'Project types'!$L49,'Prepare Gantt Chart'!V48=7,'Project types'!$L49,'Prepare Gantt Chart'!V48=0,0)</f>
        <v>0</v>
      </c>
      <c r="AK59" s="83">
        <f>_xlfn.IFS('Prepare Gantt Chart'!W48=8,'Project types'!$L49,'Prepare Gantt Chart'!W48=7,'Project types'!$L49,'Prepare Gantt Chart'!W48=0,0)</f>
        <v>0</v>
      </c>
      <c r="AL59" s="83">
        <f>_xlfn.IFS('Prepare Gantt Chart'!X48=8,'Project types'!$L49,'Prepare Gantt Chart'!X48=7,'Project types'!$L49,'Prepare Gantt Chart'!X48=0,0)</f>
        <v>0</v>
      </c>
      <c r="AM59" s="83">
        <f>_xlfn.IFS('Prepare Gantt Chart'!Y48=8,'Project types'!$L49,'Prepare Gantt Chart'!Y48=7,'Project types'!$L49,'Prepare Gantt Chart'!Y48=0,0)</f>
        <v>0</v>
      </c>
      <c r="AN59" s="83">
        <f>_xlfn.IFS('Prepare Gantt Chart'!Z48=8,'Project types'!$L49,'Prepare Gantt Chart'!Z48=7,'Project types'!$L49,'Prepare Gantt Chart'!Z48=0,0)</f>
        <v>0</v>
      </c>
      <c r="AO59" s="83">
        <f>_xlfn.IFS('Prepare Gantt Chart'!AA48=8,'Project types'!$L49,'Prepare Gantt Chart'!AA48=7,'Project types'!$L49,'Prepare Gantt Chart'!AA48=0,0)</f>
        <v>0</v>
      </c>
      <c r="AP59" s="83">
        <f>_xlfn.IFS('Prepare Gantt Chart'!AB48=8,'Project types'!$L49,'Prepare Gantt Chart'!AB48=7,'Project types'!$L49,'Prepare Gantt Chart'!AB48=0,0)</f>
        <v>0</v>
      </c>
      <c r="AQ59" s="83">
        <f>_xlfn.IFS('Prepare Gantt Chart'!AC48=8,'Project types'!$L49,'Prepare Gantt Chart'!AC48=7,'Project types'!$L49,'Prepare Gantt Chart'!AC48=0,0)</f>
        <v>0</v>
      </c>
      <c r="AR59" s="83">
        <f>_xlfn.IFS('Prepare Gantt Chart'!AD48=8,'Project types'!$L49,'Prepare Gantt Chart'!AD48=7,'Project types'!$L49,'Prepare Gantt Chart'!AD48=0,0)</f>
        <v>0</v>
      </c>
      <c r="AS59" s="83">
        <f>_xlfn.IFS('Prepare Gantt Chart'!AE48=8,'Project types'!$L49,'Prepare Gantt Chart'!AE48=7,'Project types'!$L49,'Prepare Gantt Chart'!AE48=0,0)</f>
        <v>0</v>
      </c>
      <c r="AT59" s="83">
        <f>_xlfn.IFS('Prepare Gantt Chart'!AF48=8,'Project types'!$L49,'Prepare Gantt Chart'!AF48=7,'Project types'!$L49,'Prepare Gantt Chart'!AF48=0,0)</f>
        <v>0</v>
      </c>
      <c r="AU59" s="83">
        <f>_xlfn.IFS('Prepare Gantt Chart'!AG48=8,'Project types'!$L49,'Prepare Gantt Chart'!AG48=7,'Project types'!$L49,'Prepare Gantt Chart'!AG48=0,0)</f>
        <v>0</v>
      </c>
      <c r="AV59" s="83">
        <f>_xlfn.IFS('Prepare Gantt Chart'!AH48=8,'Project types'!$L49,'Prepare Gantt Chart'!AH48=7,'Project types'!$L49,'Prepare Gantt Chart'!AH48=0,0)</f>
        <v>0</v>
      </c>
      <c r="AW59" s="83">
        <f>_xlfn.IFS('Prepare Gantt Chart'!AI48=8,'Project types'!$L49,'Prepare Gantt Chart'!AI48=7,'Project types'!$L49,'Prepare Gantt Chart'!AI48=0,0)</f>
        <v>0</v>
      </c>
      <c r="AX59" s="83">
        <f>_xlfn.IFS('Prepare Gantt Chart'!AJ48=8,'Project types'!$L49,'Prepare Gantt Chart'!AJ48=7,'Project types'!$L49,'Prepare Gantt Chart'!AJ48=0,0)</f>
        <v>0</v>
      </c>
      <c r="AY59" s="83">
        <f>_xlfn.IFS('Prepare Gantt Chart'!AK48=8,'Project types'!$L49,'Prepare Gantt Chart'!AK48=7,'Project types'!$L49,'Prepare Gantt Chart'!AK48=0,0)</f>
        <v>0</v>
      </c>
      <c r="AZ59" s="83">
        <f>_xlfn.IFS('Prepare Gantt Chart'!AL48=8,'Project types'!$L49,'Prepare Gantt Chart'!AL48=7,'Project types'!$L49,'Prepare Gantt Chart'!AL48=0,0)</f>
        <v>0</v>
      </c>
      <c r="BA59" s="83">
        <f>_xlfn.IFS('Prepare Gantt Chart'!AM48=8,'Project types'!$L49,'Prepare Gantt Chart'!AM48=7,'Project types'!$L49,'Prepare Gantt Chart'!AM48=0,0)</f>
        <v>0</v>
      </c>
      <c r="BB59" s="83">
        <f>_xlfn.IFS('Prepare Gantt Chart'!AN48=8,'Project types'!$L49,'Prepare Gantt Chart'!AN48=7,'Project types'!$L49,'Prepare Gantt Chart'!AN48=0,0)</f>
        <v>0</v>
      </c>
      <c r="BC59" s="83">
        <f>_xlfn.IFS('Prepare Gantt Chart'!AO48=8,'Project types'!$L49,'Prepare Gantt Chart'!AO48=7,'Project types'!$L49,'Prepare Gantt Chart'!AO48=0,0)</f>
        <v>0</v>
      </c>
      <c r="BD59" s="91">
        <f t="shared" si="1"/>
        <v>0</v>
      </c>
      <c r="CI59" s="85"/>
      <c r="GY59" s="85"/>
    </row>
    <row r="60" spans="1:207" ht="16" thickBot="1" x14ac:dyDescent="0.25">
      <c r="A60" s="8" t="s">
        <v>399</v>
      </c>
      <c r="B60" s="28" t="s">
        <v>403</v>
      </c>
      <c r="C60" s="89">
        <f>_xlfn.IFS('Prepare Gantt Chart'!P49=8,'Project types'!$O50,'Prepare Gantt Chart'!P49=7,'Project types'!$Q50,'Prepare Gantt Chart'!P49=0,0)</f>
        <v>0</v>
      </c>
      <c r="D60" s="89">
        <f>_xlfn.IFS('Prepare Gantt Chart'!Q49=8,'Project types'!$O50,'Prepare Gantt Chart'!Q49=7,'Project types'!$Q50,'Prepare Gantt Chart'!Q49=0,0)</f>
        <v>0</v>
      </c>
      <c r="E60" s="89">
        <f>_xlfn.IFS('Prepare Gantt Chart'!R49=8,'Project types'!$O50,'Prepare Gantt Chart'!R49=7,'Project types'!$Q50,'Prepare Gantt Chart'!R49=0,0)</f>
        <v>0</v>
      </c>
      <c r="F60" s="89">
        <f>_xlfn.IFS('Prepare Gantt Chart'!S49=8,'Project types'!$O50,'Prepare Gantt Chart'!S49=7,'Project types'!$Q50,'Prepare Gantt Chart'!S49=0,0)</f>
        <v>0</v>
      </c>
      <c r="G60" s="89">
        <f>_xlfn.IFS('Prepare Gantt Chart'!T49=8,'Project types'!$O50,'Prepare Gantt Chart'!T49=7,'Project types'!$Q50,'Prepare Gantt Chart'!T49=0,0)</f>
        <v>0</v>
      </c>
      <c r="H60" s="89">
        <f>_xlfn.IFS('Prepare Gantt Chart'!U49=8,'Project types'!$O50,'Prepare Gantt Chart'!U49=7,'Project types'!$Q50,'Prepare Gantt Chart'!U49=0,0)</f>
        <v>0</v>
      </c>
      <c r="I60" s="89">
        <f>_xlfn.IFS('Prepare Gantt Chart'!V49=8,'Project types'!$O50,'Prepare Gantt Chart'!V49=7,'Project types'!$Q50,'Prepare Gantt Chart'!V49=0,0)</f>
        <v>0</v>
      </c>
      <c r="J60" s="89">
        <f>_xlfn.IFS('Prepare Gantt Chart'!W49=8,'Project types'!$O50,'Prepare Gantt Chart'!W49=7,'Project types'!$Q50,'Prepare Gantt Chart'!W49=0,0)</f>
        <v>0</v>
      </c>
      <c r="K60" s="89">
        <f>_xlfn.IFS('Prepare Gantt Chart'!X49=8,'Project types'!$O50,'Prepare Gantt Chart'!X49=7,'Project types'!$Q50,'Prepare Gantt Chart'!X49=0,0)</f>
        <v>0</v>
      </c>
      <c r="L60" s="89">
        <f>_xlfn.IFS('Prepare Gantt Chart'!Y49=8,'Project types'!$O50,'Prepare Gantt Chart'!Y49=7,'Project types'!$Q50,'Prepare Gantt Chart'!Y49=0,0)</f>
        <v>0</v>
      </c>
      <c r="M60" s="89">
        <f>_xlfn.IFS('Prepare Gantt Chart'!Z49=8,'Project types'!$O50,'Prepare Gantt Chart'!Z49=7,'Project types'!$Q50,'Prepare Gantt Chart'!Z49=0,0)</f>
        <v>0</v>
      </c>
      <c r="N60" s="89">
        <f>_xlfn.IFS('Prepare Gantt Chart'!AA49=8,'Project types'!$O50,'Prepare Gantt Chart'!AA49=7,'Project types'!$Q50,'Prepare Gantt Chart'!AA49=0,0)</f>
        <v>0</v>
      </c>
      <c r="O60" s="89">
        <f>_xlfn.IFS('Prepare Gantt Chart'!AB49=8,'Project types'!$O50,'Prepare Gantt Chart'!AB49=7,'Project types'!$Q50,'Prepare Gantt Chart'!AB49=0,0)</f>
        <v>0</v>
      </c>
      <c r="P60" s="89">
        <f>_xlfn.IFS('Prepare Gantt Chart'!AC49=8,'Project types'!$O50,'Prepare Gantt Chart'!AC49=7,'Project types'!$Q50,'Prepare Gantt Chart'!AC49=0,0)</f>
        <v>0</v>
      </c>
      <c r="Q60" s="89">
        <f>_xlfn.IFS('Prepare Gantt Chart'!AD49=8,'Project types'!$O50,'Prepare Gantt Chart'!AD49=7,'Project types'!$Q50,'Prepare Gantt Chart'!AD49=0,0)</f>
        <v>0</v>
      </c>
      <c r="R60" s="89">
        <f>_xlfn.IFS('Prepare Gantt Chart'!AE49=8,'Project types'!$O50,'Prepare Gantt Chart'!AE49=7,'Project types'!$Q50,'Prepare Gantt Chart'!AE49=0,0)</f>
        <v>0</v>
      </c>
      <c r="S60" s="89">
        <f>_xlfn.IFS('Prepare Gantt Chart'!AF49=8,'Project types'!$O50,'Prepare Gantt Chart'!AF49=7,'Project types'!$Q50,'Prepare Gantt Chart'!AF49=0,0)</f>
        <v>0</v>
      </c>
      <c r="T60" s="89">
        <f>_xlfn.IFS('Prepare Gantt Chart'!AG49=8,'Project types'!$O50,'Prepare Gantt Chart'!AG49=7,'Project types'!$Q50,'Prepare Gantt Chart'!AG49=0,0)</f>
        <v>0</v>
      </c>
      <c r="U60" s="89">
        <f>_xlfn.IFS('Prepare Gantt Chart'!AH49=8,'Project types'!$O50,'Prepare Gantt Chart'!AH49=7,'Project types'!$Q50,'Prepare Gantt Chart'!AH49=0,0)</f>
        <v>0</v>
      </c>
      <c r="V60" s="89">
        <f>_xlfn.IFS('Prepare Gantt Chart'!AI49=8,'Project types'!$O50,'Prepare Gantt Chart'!AI49=7,'Project types'!$Q50,'Prepare Gantt Chart'!AI49=0,0)</f>
        <v>0</v>
      </c>
      <c r="W60" s="89">
        <f>_xlfn.IFS('Prepare Gantt Chart'!AJ49=8,'Project types'!$O50,'Prepare Gantt Chart'!AJ49=7,'Project types'!$Q50,'Prepare Gantt Chart'!AJ49=0,0)</f>
        <v>0</v>
      </c>
      <c r="X60" s="89">
        <f>_xlfn.IFS('Prepare Gantt Chart'!AK49=8,'Project types'!$O50,'Prepare Gantt Chart'!AK49=7,'Project types'!$Q50,'Prepare Gantt Chart'!AK49=0,0)</f>
        <v>0</v>
      </c>
      <c r="Y60" s="89">
        <f>_xlfn.IFS('Prepare Gantt Chart'!AL49=8,'Project types'!$O50,'Prepare Gantt Chart'!AL49=7,'Project types'!$Q50,'Prepare Gantt Chart'!AL49=0,0)</f>
        <v>0</v>
      </c>
      <c r="Z60" s="89">
        <f>_xlfn.IFS('Prepare Gantt Chart'!AM49=8,'Project types'!$O50,'Prepare Gantt Chart'!AM49=7,'Project types'!$Q50,'Prepare Gantt Chart'!AM49=0,0)</f>
        <v>0</v>
      </c>
      <c r="AA60" s="89">
        <f>_xlfn.IFS('Prepare Gantt Chart'!AN49=8,'Project types'!$O50,'Prepare Gantt Chart'!AN49=7,'Project types'!$Q50,'Prepare Gantt Chart'!AN49=0,0)</f>
        <v>0</v>
      </c>
      <c r="AB60" s="89">
        <f>_xlfn.IFS('Prepare Gantt Chart'!AO49=8,'Project types'!$O50,'Prepare Gantt Chart'!AO49=7,'Project types'!$Q50,'Prepare Gantt Chart'!AO49=0,0)</f>
        <v>0</v>
      </c>
      <c r="AC60" s="94">
        <f t="shared" si="0"/>
        <v>0</v>
      </c>
      <c r="AD60" s="90">
        <f>_xlfn.IFS('Prepare Gantt Chart'!P49=8,'Project types'!$L50,'Prepare Gantt Chart'!P49=7,'Project types'!$L50,'Prepare Gantt Chart'!P49=0,0)</f>
        <v>0</v>
      </c>
      <c r="AE60" s="89">
        <f>_xlfn.IFS('Prepare Gantt Chart'!Q49=8,'Project types'!$L50,'Prepare Gantt Chart'!Q49=7,'Project types'!$L50,'Prepare Gantt Chart'!Q49=0,0)</f>
        <v>0</v>
      </c>
      <c r="AF60" s="89">
        <f>_xlfn.IFS('Prepare Gantt Chart'!R49=8,'Project types'!$L50,'Prepare Gantt Chart'!R49=7,'Project types'!$L50,'Prepare Gantt Chart'!R49=0,0)</f>
        <v>0</v>
      </c>
      <c r="AG60" s="89">
        <f>_xlfn.IFS('Prepare Gantt Chart'!S49=8,'Project types'!$L50,'Prepare Gantt Chart'!S49=7,'Project types'!$L50,'Prepare Gantt Chart'!S49=0,0)</f>
        <v>0</v>
      </c>
      <c r="AH60" s="89">
        <f>_xlfn.IFS('Prepare Gantt Chart'!T49=8,'Project types'!$L50,'Prepare Gantt Chart'!T49=7,'Project types'!$L50,'Prepare Gantt Chart'!T49=0,0)</f>
        <v>0</v>
      </c>
      <c r="AI60" s="89">
        <f>_xlfn.IFS('Prepare Gantt Chart'!U49=8,'Project types'!$L50,'Prepare Gantt Chart'!U49=7,'Project types'!$L50,'Prepare Gantt Chart'!U49=0,0)</f>
        <v>0</v>
      </c>
      <c r="AJ60" s="89">
        <f>_xlfn.IFS('Prepare Gantt Chart'!V49=8,'Project types'!$L50,'Prepare Gantt Chart'!V49=7,'Project types'!$L50,'Prepare Gantt Chart'!V49=0,0)</f>
        <v>0</v>
      </c>
      <c r="AK60" s="89">
        <f>_xlfn.IFS('Prepare Gantt Chart'!W49=8,'Project types'!$L50,'Prepare Gantt Chart'!W49=7,'Project types'!$L50,'Prepare Gantt Chart'!W49=0,0)</f>
        <v>0</v>
      </c>
      <c r="AL60" s="89">
        <f>_xlfn.IFS('Prepare Gantt Chart'!X49=8,'Project types'!$L50,'Prepare Gantt Chart'!X49=7,'Project types'!$L50,'Prepare Gantt Chart'!X49=0,0)</f>
        <v>0</v>
      </c>
      <c r="AM60" s="89">
        <f>_xlfn.IFS('Prepare Gantt Chart'!Y49=8,'Project types'!$L50,'Prepare Gantt Chart'!Y49=7,'Project types'!$L50,'Prepare Gantt Chart'!Y49=0,0)</f>
        <v>0</v>
      </c>
      <c r="AN60" s="89">
        <f>_xlfn.IFS('Prepare Gantt Chart'!Z49=8,'Project types'!$L50,'Prepare Gantt Chart'!Z49=7,'Project types'!$L50,'Prepare Gantt Chart'!Z49=0,0)</f>
        <v>0</v>
      </c>
      <c r="AO60" s="89">
        <f>_xlfn.IFS('Prepare Gantt Chart'!AA49=8,'Project types'!$L50,'Prepare Gantt Chart'!AA49=7,'Project types'!$L50,'Prepare Gantt Chart'!AA49=0,0)</f>
        <v>0</v>
      </c>
      <c r="AP60" s="89">
        <f>_xlfn.IFS('Prepare Gantt Chart'!AB49=8,'Project types'!$L50,'Prepare Gantt Chart'!AB49=7,'Project types'!$L50,'Prepare Gantt Chart'!AB49=0,0)</f>
        <v>0</v>
      </c>
      <c r="AQ60" s="89">
        <f>_xlfn.IFS('Prepare Gantt Chart'!AC49=8,'Project types'!$L50,'Prepare Gantt Chart'!AC49=7,'Project types'!$L50,'Prepare Gantt Chart'!AC49=0,0)</f>
        <v>0</v>
      </c>
      <c r="AR60" s="89">
        <f>_xlfn.IFS('Prepare Gantt Chart'!AD49=8,'Project types'!$L50,'Prepare Gantt Chart'!AD49=7,'Project types'!$L50,'Prepare Gantt Chart'!AD49=0,0)</f>
        <v>0</v>
      </c>
      <c r="AS60" s="89">
        <f>_xlfn.IFS('Prepare Gantt Chart'!AE49=8,'Project types'!$L50,'Prepare Gantt Chart'!AE49=7,'Project types'!$L50,'Prepare Gantt Chart'!AE49=0,0)</f>
        <v>0</v>
      </c>
      <c r="AT60" s="89">
        <f>_xlfn.IFS('Prepare Gantt Chart'!AF49=8,'Project types'!$L50,'Prepare Gantt Chart'!AF49=7,'Project types'!$L50,'Prepare Gantt Chart'!AF49=0,0)</f>
        <v>0</v>
      </c>
      <c r="AU60" s="89">
        <f>_xlfn.IFS('Prepare Gantt Chart'!AG49=8,'Project types'!$L50,'Prepare Gantt Chart'!AG49=7,'Project types'!$L50,'Prepare Gantt Chart'!AG49=0,0)</f>
        <v>0</v>
      </c>
      <c r="AV60" s="89">
        <f>_xlfn.IFS('Prepare Gantt Chart'!AH49=8,'Project types'!$L50,'Prepare Gantt Chart'!AH49=7,'Project types'!$L50,'Prepare Gantt Chart'!AH49=0,0)</f>
        <v>0</v>
      </c>
      <c r="AW60" s="89">
        <f>_xlfn.IFS('Prepare Gantt Chart'!AI49=8,'Project types'!$L50,'Prepare Gantt Chart'!AI49=7,'Project types'!$L50,'Prepare Gantt Chart'!AI49=0,0)</f>
        <v>0</v>
      </c>
      <c r="AX60" s="89">
        <f>_xlfn.IFS('Prepare Gantt Chart'!AJ49=8,'Project types'!$L50,'Prepare Gantt Chart'!AJ49=7,'Project types'!$L50,'Prepare Gantt Chart'!AJ49=0,0)</f>
        <v>0</v>
      </c>
      <c r="AY60" s="89">
        <f>_xlfn.IFS('Prepare Gantt Chart'!AK49=8,'Project types'!$L50,'Prepare Gantt Chart'!AK49=7,'Project types'!$L50,'Prepare Gantt Chart'!AK49=0,0)</f>
        <v>0</v>
      </c>
      <c r="AZ60" s="89">
        <f>_xlfn.IFS('Prepare Gantt Chart'!AL49=8,'Project types'!$L50,'Prepare Gantt Chart'!AL49=7,'Project types'!$L50,'Prepare Gantt Chart'!AL49=0,0)</f>
        <v>0</v>
      </c>
      <c r="BA60" s="89">
        <f>_xlfn.IFS('Prepare Gantt Chart'!AM49=8,'Project types'!$L50,'Prepare Gantt Chart'!AM49=7,'Project types'!$L50,'Prepare Gantt Chart'!AM49=0,0)</f>
        <v>0</v>
      </c>
      <c r="BB60" s="89">
        <f>_xlfn.IFS('Prepare Gantt Chart'!AN49=8,'Project types'!$L50,'Prepare Gantt Chart'!AN49=7,'Project types'!$L50,'Prepare Gantt Chart'!AN49=0,0)</f>
        <v>0</v>
      </c>
      <c r="BC60" s="89">
        <f>_xlfn.IFS('Prepare Gantt Chart'!AO49=8,'Project types'!$L50,'Prepare Gantt Chart'!AO49=7,'Project types'!$L50,'Prepare Gantt Chart'!AO49=0,0)</f>
        <v>0</v>
      </c>
      <c r="BD60" s="92">
        <f t="shared" si="1"/>
        <v>0</v>
      </c>
      <c r="CI60" s="85"/>
      <c r="GY60" s="85"/>
    </row>
    <row r="61" spans="1:207" x14ac:dyDescent="0.2">
      <c r="A61" s="1" t="s">
        <v>404</v>
      </c>
      <c r="B61" s="29" t="s">
        <v>46</v>
      </c>
      <c r="C61" s="83">
        <f>_xlfn.IFS('Prepare Gantt Chart'!P50=10,'Project types'!$O51,'Prepare Gantt Chart'!P50=9,'Project types'!$Q51,'Prepare Gantt Chart'!P50=0,0)</f>
        <v>0</v>
      </c>
      <c r="D61" s="83">
        <f>_xlfn.IFS('Prepare Gantt Chart'!Q50=10,'Project types'!$O51,'Prepare Gantt Chart'!Q50=9,'Project types'!$Q51,'Prepare Gantt Chart'!Q50=0,0)</f>
        <v>0</v>
      </c>
      <c r="E61" s="83">
        <f>_xlfn.IFS('Prepare Gantt Chart'!R50=10,'Project types'!$O51,'Prepare Gantt Chart'!R50=9,'Project types'!$Q51,'Prepare Gantt Chart'!R50=0,0)</f>
        <v>0</v>
      </c>
      <c r="F61" s="83">
        <f>_xlfn.IFS('Prepare Gantt Chart'!S50=10,'Project types'!$O51,'Prepare Gantt Chart'!S50=9,'Project types'!$Q51,'Prepare Gantt Chart'!S50=0,0)</f>
        <v>0</v>
      </c>
      <c r="G61" s="83">
        <f>_xlfn.IFS('Prepare Gantt Chart'!T50=10,'Project types'!$O51,'Prepare Gantt Chart'!T50=9,'Project types'!$Q51,'Prepare Gantt Chart'!T50=0,0)</f>
        <v>0</v>
      </c>
      <c r="H61" s="83">
        <f>_xlfn.IFS('Prepare Gantt Chart'!U50=10,'Project types'!$O51,'Prepare Gantt Chart'!U50=9,'Project types'!$Q51,'Prepare Gantt Chart'!U50=0,0)</f>
        <v>0</v>
      </c>
      <c r="I61" s="83">
        <f>_xlfn.IFS('Prepare Gantt Chart'!V50=10,'Project types'!$O51,'Prepare Gantt Chart'!V50=9,'Project types'!$Q51,'Prepare Gantt Chart'!V50=0,0)</f>
        <v>0</v>
      </c>
      <c r="J61" s="83">
        <f>_xlfn.IFS('Prepare Gantt Chart'!W50=10,'Project types'!$O51,'Prepare Gantt Chart'!W50=9,'Project types'!$Q51,'Prepare Gantt Chart'!W50=0,0)</f>
        <v>0</v>
      </c>
      <c r="K61" s="83">
        <f>_xlfn.IFS('Prepare Gantt Chart'!X50=10,'Project types'!$O51,'Prepare Gantt Chart'!X50=9,'Project types'!$Q51,'Prepare Gantt Chart'!X50=0,0)</f>
        <v>0</v>
      </c>
      <c r="L61" s="83">
        <f>_xlfn.IFS('Prepare Gantt Chart'!Y50=10,'Project types'!$O51,'Prepare Gantt Chart'!Y50=9,'Project types'!$Q51,'Prepare Gantt Chart'!Y50=0,0)</f>
        <v>0</v>
      </c>
      <c r="M61" s="83">
        <f>_xlfn.IFS('Prepare Gantt Chart'!Z50=10,'Project types'!$O51,'Prepare Gantt Chart'!Z50=9,'Project types'!$Q51,'Prepare Gantt Chart'!Z50=0,0)</f>
        <v>0</v>
      </c>
      <c r="N61" s="83">
        <f>_xlfn.IFS('Prepare Gantt Chart'!AA50=10,'Project types'!$O51,'Prepare Gantt Chart'!AA50=9,'Project types'!$Q51,'Prepare Gantt Chart'!AA50=0,0)</f>
        <v>0</v>
      </c>
      <c r="O61" s="83">
        <f>_xlfn.IFS('Prepare Gantt Chart'!AB50=10,'Project types'!$O51,'Prepare Gantt Chart'!AB50=9,'Project types'!$Q51,'Prepare Gantt Chart'!AB50=0,0)</f>
        <v>0</v>
      </c>
      <c r="P61" s="83">
        <f>_xlfn.IFS('Prepare Gantt Chart'!AC50=10,'Project types'!$O51,'Prepare Gantt Chart'!AC50=9,'Project types'!$Q51,'Prepare Gantt Chart'!AC50=0,0)</f>
        <v>0</v>
      </c>
      <c r="Q61" s="83">
        <f>_xlfn.IFS('Prepare Gantt Chart'!AD50=10,'Project types'!$O51,'Prepare Gantt Chart'!AD50=9,'Project types'!$Q51,'Prepare Gantt Chart'!AD50=0,0)</f>
        <v>0</v>
      </c>
      <c r="R61" s="83">
        <f>_xlfn.IFS('Prepare Gantt Chart'!AE50=10,'Project types'!$O51,'Prepare Gantt Chart'!AE50=9,'Project types'!$Q51,'Prepare Gantt Chart'!AE50=0,0)</f>
        <v>0</v>
      </c>
      <c r="S61" s="83">
        <f>_xlfn.IFS('Prepare Gantt Chart'!AF50=10,'Project types'!$O51,'Prepare Gantt Chart'!AF50=9,'Project types'!$Q51,'Prepare Gantt Chart'!AF50=0,0)</f>
        <v>0</v>
      </c>
      <c r="T61" s="83">
        <f>_xlfn.IFS('Prepare Gantt Chart'!AG50=10,'Project types'!$O51,'Prepare Gantt Chart'!AG50=9,'Project types'!$Q51,'Prepare Gantt Chart'!AG50=0,0)</f>
        <v>0</v>
      </c>
      <c r="U61" s="83">
        <f>_xlfn.IFS('Prepare Gantt Chart'!AH50=10,'Project types'!$O51,'Prepare Gantt Chart'!AH50=9,'Project types'!$Q51,'Prepare Gantt Chart'!AH50=0,0)</f>
        <v>0</v>
      </c>
      <c r="V61" s="83">
        <f>_xlfn.IFS('Prepare Gantt Chart'!AI50=10,'Project types'!$O51,'Prepare Gantt Chart'!AI50=9,'Project types'!$Q51,'Prepare Gantt Chart'!AI50=0,0)</f>
        <v>0</v>
      </c>
      <c r="W61" s="83">
        <f>_xlfn.IFS('Prepare Gantt Chart'!AJ50=10,'Project types'!$O51,'Prepare Gantt Chart'!AJ50=9,'Project types'!$Q51,'Prepare Gantt Chart'!AJ50=0,0)</f>
        <v>0</v>
      </c>
      <c r="X61" s="83">
        <f>_xlfn.IFS('Prepare Gantt Chart'!AK50=10,'Project types'!$O51,'Prepare Gantt Chart'!AK50=9,'Project types'!$Q51,'Prepare Gantt Chart'!AK50=0,0)</f>
        <v>0</v>
      </c>
      <c r="Y61" s="83">
        <f>_xlfn.IFS('Prepare Gantt Chart'!AL50=10,'Project types'!$O51,'Prepare Gantt Chart'!AL50=9,'Project types'!$Q51,'Prepare Gantt Chart'!AL50=0,0)</f>
        <v>0</v>
      </c>
      <c r="Z61" s="83">
        <f>_xlfn.IFS('Prepare Gantt Chart'!AM50=10,'Project types'!$O51,'Prepare Gantt Chart'!AM50=9,'Project types'!$Q51,'Prepare Gantt Chart'!AM50=0,0)</f>
        <v>0</v>
      </c>
      <c r="AA61" s="83">
        <f>_xlfn.IFS('Prepare Gantt Chart'!AN50=10,'Project types'!$O51,'Prepare Gantt Chart'!AN50=9,'Project types'!$Q51,'Prepare Gantt Chart'!AN50=0,0)</f>
        <v>0</v>
      </c>
      <c r="AB61" s="83">
        <f>_xlfn.IFS('Prepare Gantt Chart'!AO50=10,'Project types'!$O51,'Prepare Gantt Chart'!AO50=9,'Project types'!$Q51,'Prepare Gantt Chart'!AO50=0,0)</f>
        <v>0</v>
      </c>
      <c r="AC61" s="93">
        <f t="shared" si="0"/>
        <v>0</v>
      </c>
      <c r="AD61" s="86">
        <f>_xlfn.IFS('Prepare Gantt Chart'!P50=10,'Project types'!$L51,'Prepare Gantt Chart'!P50=9,'Project types'!$L51,'Prepare Gantt Chart'!P50=0,0)</f>
        <v>0</v>
      </c>
      <c r="AE61" s="83">
        <f>_xlfn.IFS('Prepare Gantt Chart'!Q50=10,'Project types'!$L51,'Prepare Gantt Chart'!Q50=9,'Project types'!$L51,'Prepare Gantt Chart'!Q50=0,0)</f>
        <v>0</v>
      </c>
      <c r="AF61" s="83">
        <f>_xlfn.IFS('Prepare Gantt Chart'!R50=10,'Project types'!$L51,'Prepare Gantt Chart'!R50=9,'Project types'!$L51,'Prepare Gantt Chart'!R50=0,0)</f>
        <v>0</v>
      </c>
      <c r="AG61" s="83">
        <f>_xlfn.IFS('Prepare Gantt Chart'!S50=10,'Project types'!$L51,'Prepare Gantt Chart'!S50=9,'Project types'!$L51,'Prepare Gantt Chart'!S50=0,0)</f>
        <v>0</v>
      </c>
      <c r="AH61" s="83">
        <f>_xlfn.IFS('Prepare Gantt Chart'!T50=10,'Project types'!$L51,'Prepare Gantt Chart'!T50=9,'Project types'!$L51,'Prepare Gantt Chart'!T50=0,0)</f>
        <v>0</v>
      </c>
      <c r="AI61" s="83">
        <f>_xlfn.IFS('Prepare Gantt Chart'!U50=10,'Project types'!$L51,'Prepare Gantt Chart'!U50=9,'Project types'!$L51,'Prepare Gantt Chart'!U50=0,0)</f>
        <v>0</v>
      </c>
      <c r="AJ61" s="83">
        <f>_xlfn.IFS('Prepare Gantt Chart'!V50=10,'Project types'!$L51,'Prepare Gantt Chart'!V50=9,'Project types'!$L51,'Prepare Gantt Chart'!V50=0,0)</f>
        <v>0</v>
      </c>
      <c r="AK61" s="83">
        <f>_xlfn.IFS('Prepare Gantt Chart'!W50=10,'Project types'!$L51,'Prepare Gantt Chart'!W50=9,'Project types'!$L51,'Prepare Gantt Chart'!W50=0,0)</f>
        <v>0</v>
      </c>
      <c r="AL61" s="83">
        <f>_xlfn.IFS('Prepare Gantt Chart'!X50=10,'Project types'!$L51,'Prepare Gantt Chart'!X50=9,'Project types'!$L51,'Prepare Gantt Chart'!X50=0,0)</f>
        <v>0</v>
      </c>
      <c r="AM61" s="83">
        <f>_xlfn.IFS('Prepare Gantt Chart'!Y50=10,'Project types'!$L51,'Prepare Gantt Chart'!Y50=9,'Project types'!$L51,'Prepare Gantt Chart'!Y50=0,0)</f>
        <v>0</v>
      </c>
      <c r="AN61" s="83">
        <f>_xlfn.IFS('Prepare Gantt Chart'!Z50=10,'Project types'!$L51,'Prepare Gantt Chart'!Z50=9,'Project types'!$L51,'Prepare Gantt Chart'!Z50=0,0)</f>
        <v>0</v>
      </c>
      <c r="AO61" s="83">
        <f>_xlfn.IFS('Prepare Gantt Chart'!AA50=10,'Project types'!$L51,'Prepare Gantt Chart'!AA50=9,'Project types'!$L51,'Prepare Gantt Chart'!AA50=0,0)</f>
        <v>0</v>
      </c>
      <c r="AP61" s="83">
        <f>_xlfn.IFS('Prepare Gantt Chart'!AB50=10,'Project types'!$L51,'Prepare Gantt Chart'!AB50=9,'Project types'!$L51,'Prepare Gantt Chart'!AB50=0,0)</f>
        <v>0</v>
      </c>
      <c r="AQ61" s="83">
        <f>_xlfn.IFS('Prepare Gantt Chart'!AC50=10,'Project types'!$L51,'Prepare Gantt Chart'!AC50=9,'Project types'!$L51,'Prepare Gantt Chart'!AC50=0,0)</f>
        <v>0</v>
      </c>
      <c r="AR61" s="83">
        <f>_xlfn.IFS('Prepare Gantt Chart'!AD50=10,'Project types'!$L51,'Prepare Gantt Chart'!AD50=9,'Project types'!$L51,'Prepare Gantt Chart'!AD50=0,0)</f>
        <v>0</v>
      </c>
      <c r="AS61" s="83">
        <f>_xlfn.IFS('Prepare Gantt Chart'!AE50=10,'Project types'!$L51,'Prepare Gantt Chart'!AE50=9,'Project types'!$L51,'Prepare Gantt Chart'!AE50=0,0)</f>
        <v>0</v>
      </c>
      <c r="AT61" s="83">
        <f>_xlfn.IFS('Prepare Gantt Chart'!AF50=10,'Project types'!$L51,'Prepare Gantt Chart'!AF50=9,'Project types'!$L51,'Prepare Gantt Chart'!AF50=0,0)</f>
        <v>0</v>
      </c>
      <c r="AU61" s="83">
        <f>_xlfn.IFS('Prepare Gantt Chart'!AG50=10,'Project types'!$L51,'Prepare Gantt Chart'!AG50=9,'Project types'!$L51,'Prepare Gantt Chart'!AG50=0,0)</f>
        <v>0</v>
      </c>
      <c r="AV61" s="83">
        <f>_xlfn.IFS('Prepare Gantt Chart'!AH50=10,'Project types'!$L51,'Prepare Gantt Chart'!AH50=9,'Project types'!$L51,'Prepare Gantt Chart'!AH50=0,0)</f>
        <v>0</v>
      </c>
      <c r="AW61" s="83">
        <f>_xlfn.IFS('Prepare Gantt Chart'!AI50=10,'Project types'!$L51,'Prepare Gantt Chart'!AI50=9,'Project types'!$L51,'Prepare Gantt Chart'!AI50=0,0)</f>
        <v>0</v>
      </c>
      <c r="AX61" s="83">
        <f>_xlfn.IFS('Prepare Gantt Chart'!AJ50=10,'Project types'!$L51,'Prepare Gantt Chart'!AJ50=9,'Project types'!$L51,'Prepare Gantt Chart'!AJ50=0,0)</f>
        <v>0</v>
      </c>
      <c r="AY61" s="83">
        <f>_xlfn.IFS('Prepare Gantt Chart'!AK50=10,'Project types'!$L51,'Prepare Gantt Chart'!AK50=9,'Project types'!$L51,'Prepare Gantt Chart'!AK50=0,0)</f>
        <v>0</v>
      </c>
      <c r="AZ61" s="83">
        <f>_xlfn.IFS('Prepare Gantt Chart'!AL50=10,'Project types'!$L51,'Prepare Gantt Chart'!AL50=9,'Project types'!$L51,'Prepare Gantt Chart'!AL50=0,0)</f>
        <v>0</v>
      </c>
      <c r="BA61" s="83">
        <f>_xlfn.IFS('Prepare Gantt Chart'!AM50=10,'Project types'!$L51,'Prepare Gantt Chart'!AM50=9,'Project types'!$L51,'Prepare Gantt Chart'!AM50=0,0)</f>
        <v>0</v>
      </c>
      <c r="BB61" s="83">
        <f>_xlfn.IFS('Prepare Gantt Chart'!AN50=10,'Project types'!$L51,'Prepare Gantt Chart'!AN50=9,'Project types'!$L51,'Prepare Gantt Chart'!AN50=0,0)</f>
        <v>0</v>
      </c>
      <c r="BC61" s="83">
        <f>_xlfn.IFS('Prepare Gantt Chart'!AO50=10,'Project types'!$L51,'Prepare Gantt Chart'!AO50=9,'Project types'!$L51,'Prepare Gantt Chart'!AO50=0,0)</f>
        <v>0</v>
      </c>
      <c r="BD61" s="91">
        <f t="shared" si="1"/>
        <v>0</v>
      </c>
      <c r="CI61" s="85"/>
      <c r="GY61" s="85"/>
    </row>
    <row r="62" spans="1:207" x14ac:dyDescent="0.2">
      <c r="A62" s="1" t="s">
        <v>134</v>
      </c>
      <c r="B62" s="30" t="s">
        <v>47</v>
      </c>
      <c r="C62" s="83">
        <f>_xlfn.IFS('Prepare Gantt Chart'!P51=10,'Project types'!$O52,'Prepare Gantt Chart'!P51=9,'Project types'!$Q52,'Prepare Gantt Chart'!P51=0,0)</f>
        <v>0</v>
      </c>
      <c r="D62" s="83">
        <f>_xlfn.IFS('Prepare Gantt Chart'!Q51=10,'Project types'!$O52,'Prepare Gantt Chart'!Q51=9,'Project types'!$Q52,'Prepare Gantt Chart'!Q51=0,0)</f>
        <v>0</v>
      </c>
      <c r="E62" s="83">
        <f>_xlfn.IFS('Prepare Gantt Chart'!R51=10,'Project types'!$O52,'Prepare Gantt Chart'!R51=9,'Project types'!$Q52,'Prepare Gantt Chart'!R51=0,0)</f>
        <v>0</v>
      </c>
      <c r="F62" s="83">
        <f>_xlfn.IFS('Prepare Gantt Chart'!S51=10,'Project types'!$O52,'Prepare Gantt Chart'!S51=9,'Project types'!$Q52,'Prepare Gantt Chart'!S51=0,0)</f>
        <v>0</v>
      </c>
      <c r="G62" s="83">
        <f>_xlfn.IFS('Prepare Gantt Chart'!T51=10,'Project types'!$O52,'Prepare Gantt Chart'!T51=9,'Project types'!$Q52,'Prepare Gantt Chart'!T51=0,0)</f>
        <v>0</v>
      </c>
      <c r="H62" s="83">
        <f>_xlfn.IFS('Prepare Gantt Chart'!U51=10,'Project types'!$O52,'Prepare Gantt Chart'!U51=9,'Project types'!$Q52,'Prepare Gantt Chart'!U51=0,0)</f>
        <v>0</v>
      </c>
      <c r="I62" s="83">
        <f>_xlfn.IFS('Prepare Gantt Chart'!V51=10,'Project types'!$O52,'Prepare Gantt Chart'!V51=9,'Project types'!$Q52,'Prepare Gantt Chart'!V51=0,0)</f>
        <v>0</v>
      </c>
      <c r="J62" s="83">
        <f>_xlfn.IFS('Prepare Gantt Chart'!W51=10,'Project types'!$O52,'Prepare Gantt Chart'!W51=9,'Project types'!$Q52,'Prepare Gantt Chart'!W51=0,0)</f>
        <v>0</v>
      </c>
      <c r="K62" s="83">
        <f>_xlfn.IFS('Prepare Gantt Chart'!X51=10,'Project types'!$O52,'Prepare Gantt Chart'!X51=9,'Project types'!$Q52,'Prepare Gantt Chart'!X51=0,0)</f>
        <v>0</v>
      </c>
      <c r="L62" s="83">
        <f>_xlfn.IFS('Prepare Gantt Chart'!Y51=10,'Project types'!$O52,'Prepare Gantt Chart'!Y51=9,'Project types'!$Q52,'Prepare Gantt Chart'!Y51=0,0)</f>
        <v>0</v>
      </c>
      <c r="M62" s="83">
        <f>_xlfn.IFS('Prepare Gantt Chart'!Z51=10,'Project types'!$O52,'Prepare Gantt Chart'!Z51=9,'Project types'!$Q52,'Prepare Gantt Chart'!Z51=0,0)</f>
        <v>0</v>
      </c>
      <c r="N62" s="83">
        <f>_xlfn.IFS('Prepare Gantt Chart'!AA51=10,'Project types'!$O52,'Prepare Gantt Chart'!AA51=9,'Project types'!$Q52,'Prepare Gantt Chart'!AA51=0,0)</f>
        <v>0</v>
      </c>
      <c r="O62" s="83">
        <f>_xlfn.IFS('Prepare Gantt Chart'!AB51=10,'Project types'!$O52,'Prepare Gantt Chart'!AB51=9,'Project types'!$Q52,'Prepare Gantt Chart'!AB51=0,0)</f>
        <v>0</v>
      </c>
      <c r="P62" s="83">
        <f>_xlfn.IFS('Prepare Gantt Chart'!AC51=10,'Project types'!$O52,'Prepare Gantt Chart'!AC51=9,'Project types'!$Q52,'Prepare Gantt Chart'!AC51=0,0)</f>
        <v>0</v>
      </c>
      <c r="Q62" s="83">
        <f>_xlfn.IFS('Prepare Gantt Chart'!AD51=10,'Project types'!$O52,'Prepare Gantt Chart'!AD51=9,'Project types'!$Q52,'Prepare Gantt Chart'!AD51=0,0)</f>
        <v>0</v>
      </c>
      <c r="R62" s="83">
        <f>_xlfn.IFS('Prepare Gantt Chart'!AE51=10,'Project types'!$O52,'Prepare Gantt Chart'!AE51=9,'Project types'!$Q52,'Prepare Gantt Chart'!AE51=0,0)</f>
        <v>0</v>
      </c>
      <c r="S62" s="83">
        <f>_xlfn.IFS('Prepare Gantt Chart'!AF51=10,'Project types'!$O52,'Prepare Gantt Chart'!AF51=9,'Project types'!$Q52,'Prepare Gantt Chart'!AF51=0,0)</f>
        <v>0</v>
      </c>
      <c r="T62" s="83">
        <f>_xlfn.IFS('Prepare Gantt Chart'!AG51=10,'Project types'!$O52,'Prepare Gantt Chart'!AG51=9,'Project types'!$Q52,'Prepare Gantt Chart'!AG51=0,0)</f>
        <v>0</v>
      </c>
      <c r="U62" s="83">
        <f>_xlfn.IFS('Prepare Gantt Chart'!AH51=10,'Project types'!$O52,'Prepare Gantt Chart'!AH51=9,'Project types'!$Q52,'Prepare Gantt Chart'!AH51=0,0)</f>
        <v>0</v>
      </c>
      <c r="V62" s="83">
        <f>_xlfn.IFS('Prepare Gantt Chart'!AI51=10,'Project types'!$O52,'Prepare Gantt Chart'!AI51=9,'Project types'!$Q52,'Prepare Gantt Chart'!AI51=0,0)</f>
        <v>0</v>
      </c>
      <c r="W62" s="83">
        <f>_xlfn.IFS('Prepare Gantt Chart'!AJ51=10,'Project types'!$O52,'Prepare Gantt Chart'!AJ51=9,'Project types'!$Q52,'Prepare Gantt Chart'!AJ51=0,0)</f>
        <v>0</v>
      </c>
      <c r="X62" s="83">
        <f>_xlfn.IFS('Prepare Gantt Chart'!AK51=10,'Project types'!$O52,'Prepare Gantt Chart'!AK51=9,'Project types'!$Q52,'Prepare Gantt Chart'!AK51=0,0)</f>
        <v>0</v>
      </c>
      <c r="Y62" s="83">
        <f>_xlfn.IFS('Prepare Gantt Chart'!AL51=10,'Project types'!$O52,'Prepare Gantt Chart'!AL51=9,'Project types'!$Q52,'Prepare Gantt Chart'!AL51=0,0)</f>
        <v>0</v>
      </c>
      <c r="Z62" s="83">
        <f>_xlfn.IFS('Prepare Gantt Chart'!AM51=10,'Project types'!$O52,'Prepare Gantt Chart'!AM51=9,'Project types'!$Q52,'Prepare Gantt Chart'!AM51=0,0)</f>
        <v>0</v>
      </c>
      <c r="AA62" s="83">
        <f>_xlfn.IFS('Prepare Gantt Chart'!AN51=10,'Project types'!$O52,'Prepare Gantt Chart'!AN51=9,'Project types'!$Q52,'Prepare Gantt Chart'!AN51=0,0)</f>
        <v>0</v>
      </c>
      <c r="AB62" s="83">
        <f>_xlfn.IFS('Prepare Gantt Chart'!AO51=10,'Project types'!$O52,'Prepare Gantt Chart'!AO51=9,'Project types'!$Q52,'Prepare Gantt Chart'!AO51=0,0)</f>
        <v>0</v>
      </c>
      <c r="AC62" s="93">
        <f t="shared" si="0"/>
        <v>0</v>
      </c>
      <c r="AD62" s="86">
        <f>_xlfn.IFS('Prepare Gantt Chart'!P51=10,'Project types'!$L52,'Prepare Gantt Chart'!P51=9,'Project types'!$L52,'Prepare Gantt Chart'!P51=0,0)</f>
        <v>0</v>
      </c>
      <c r="AE62" s="83">
        <f>_xlfn.IFS('Prepare Gantt Chart'!Q51=10,'Project types'!$L52,'Prepare Gantt Chart'!Q51=9,'Project types'!$L52,'Prepare Gantt Chart'!Q51=0,0)</f>
        <v>0</v>
      </c>
      <c r="AF62" s="83">
        <f>_xlfn.IFS('Prepare Gantt Chart'!R51=10,'Project types'!$L52,'Prepare Gantt Chart'!R51=9,'Project types'!$L52,'Prepare Gantt Chart'!R51=0,0)</f>
        <v>0</v>
      </c>
      <c r="AG62" s="83">
        <f>_xlfn.IFS('Prepare Gantt Chart'!S51=10,'Project types'!$L52,'Prepare Gantt Chart'!S51=9,'Project types'!$L52,'Prepare Gantt Chart'!S51=0,0)</f>
        <v>0</v>
      </c>
      <c r="AH62" s="83">
        <f>_xlfn.IFS('Prepare Gantt Chart'!T51=10,'Project types'!$L52,'Prepare Gantt Chart'!T51=9,'Project types'!$L52,'Prepare Gantt Chart'!T51=0,0)</f>
        <v>0</v>
      </c>
      <c r="AI62" s="83">
        <f>_xlfn.IFS('Prepare Gantt Chart'!U51=10,'Project types'!$L52,'Prepare Gantt Chart'!U51=9,'Project types'!$L52,'Prepare Gantt Chart'!U51=0,0)</f>
        <v>0</v>
      </c>
      <c r="AJ62" s="83">
        <f>_xlfn.IFS('Prepare Gantt Chart'!V51=10,'Project types'!$L52,'Prepare Gantt Chart'!V51=9,'Project types'!$L52,'Prepare Gantt Chart'!V51=0,0)</f>
        <v>0</v>
      </c>
      <c r="AK62" s="83">
        <f>_xlfn.IFS('Prepare Gantt Chart'!W51=10,'Project types'!$L52,'Prepare Gantt Chart'!W51=9,'Project types'!$L52,'Prepare Gantt Chart'!W51=0,0)</f>
        <v>0</v>
      </c>
      <c r="AL62" s="83">
        <f>_xlfn.IFS('Prepare Gantt Chart'!X51=10,'Project types'!$L52,'Prepare Gantt Chart'!X51=9,'Project types'!$L52,'Prepare Gantt Chart'!X51=0,0)</f>
        <v>0</v>
      </c>
      <c r="AM62" s="83">
        <f>_xlfn.IFS('Prepare Gantt Chart'!Y51=10,'Project types'!$L52,'Prepare Gantt Chart'!Y51=9,'Project types'!$L52,'Prepare Gantt Chart'!Y51=0,0)</f>
        <v>0</v>
      </c>
      <c r="AN62" s="83">
        <f>_xlfn.IFS('Prepare Gantt Chart'!Z51=10,'Project types'!$L52,'Prepare Gantt Chart'!Z51=9,'Project types'!$L52,'Prepare Gantt Chart'!Z51=0,0)</f>
        <v>0</v>
      </c>
      <c r="AO62" s="83">
        <f>_xlfn.IFS('Prepare Gantt Chart'!AA51=10,'Project types'!$L52,'Prepare Gantt Chart'!AA51=9,'Project types'!$L52,'Prepare Gantt Chart'!AA51=0,0)</f>
        <v>0</v>
      </c>
      <c r="AP62" s="83">
        <f>_xlfn.IFS('Prepare Gantt Chart'!AB51=10,'Project types'!$L52,'Prepare Gantt Chart'!AB51=9,'Project types'!$L52,'Prepare Gantt Chart'!AB51=0,0)</f>
        <v>0</v>
      </c>
      <c r="AQ62" s="83">
        <f>_xlfn.IFS('Prepare Gantt Chart'!AC51=10,'Project types'!$L52,'Prepare Gantt Chart'!AC51=9,'Project types'!$L52,'Prepare Gantt Chart'!AC51=0,0)</f>
        <v>0</v>
      </c>
      <c r="AR62" s="83">
        <f>_xlfn.IFS('Prepare Gantt Chart'!AD51=10,'Project types'!$L52,'Prepare Gantt Chart'!AD51=9,'Project types'!$L52,'Prepare Gantt Chart'!AD51=0,0)</f>
        <v>0</v>
      </c>
      <c r="AS62" s="83">
        <f>_xlfn.IFS('Prepare Gantt Chart'!AE51=10,'Project types'!$L52,'Prepare Gantt Chart'!AE51=9,'Project types'!$L52,'Prepare Gantt Chart'!AE51=0,0)</f>
        <v>0</v>
      </c>
      <c r="AT62" s="83">
        <f>_xlfn.IFS('Prepare Gantt Chart'!AF51=10,'Project types'!$L52,'Prepare Gantt Chart'!AF51=9,'Project types'!$L52,'Prepare Gantt Chart'!AF51=0,0)</f>
        <v>0</v>
      </c>
      <c r="AU62" s="83">
        <f>_xlfn.IFS('Prepare Gantt Chart'!AG51=10,'Project types'!$L52,'Prepare Gantt Chart'!AG51=9,'Project types'!$L52,'Prepare Gantt Chart'!AG51=0,0)</f>
        <v>0</v>
      </c>
      <c r="AV62" s="83">
        <f>_xlfn.IFS('Prepare Gantt Chart'!AH51=10,'Project types'!$L52,'Prepare Gantt Chart'!AH51=9,'Project types'!$L52,'Prepare Gantt Chart'!AH51=0,0)</f>
        <v>0</v>
      </c>
      <c r="AW62" s="83">
        <f>_xlfn.IFS('Prepare Gantt Chart'!AI51=10,'Project types'!$L52,'Prepare Gantt Chart'!AI51=9,'Project types'!$L52,'Prepare Gantt Chart'!AI51=0,0)</f>
        <v>0</v>
      </c>
      <c r="AX62" s="83">
        <f>_xlfn.IFS('Prepare Gantt Chart'!AJ51=10,'Project types'!$L52,'Prepare Gantt Chart'!AJ51=9,'Project types'!$L52,'Prepare Gantt Chart'!AJ51=0,0)</f>
        <v>0</v>
      </c>
      <c r="AY62" s="83">
        <f>_xlfn.IFS('Prepare Gantt Chart'!AK51=10,'Project types'!$L52,'Prepare Gantt Chart'!AK51=9,'Project types'!$L52,'Prepare Gantt Chart'!AK51=0,0)</f>
        <v>0</v>
      </c>
      <c r="AZ62" s="83">
        <f>_xlfn.IFS('Prepare Gantt Chart'!AL51=10,'Project types'!$L52,'Prepare Gantt Chart'!AL51=9,'Project types'!$L52,'Prepare Gantt Chart'!AL51=0,0)</f>
        <v>0</v>
      </c>
      <c r="BA62" s="83">
        <f>_xlfn.IFS('Prepare Gantt Chart'!AM51=10,'Project types'!$L52,'Prepare Gantt Chart'!AM51=9,'Project types'!$L52,'Prepare Gantt Chart'!AM51=0,0)</f>
        <v>0</v>
      </c>
      <c r="BB62" s="83">
        <f>_xlfn.IFS('Prepare Gantt Chart'!AN51=10,'Project types'!$L52,'Prepare Gantt Chart'!AN51=9,'Project types'!$L52,'Prepare Gantt Chart'!AN51=0,0)</f>
        <v>0</v>
      </c>
      <c r="BC62" s="83">
        <f>_xlfn.IFS('Prepare Gantt Chart'!AO51=10,'Project types'!$L52,'Prepare Gantt Chart'!AO51=9,'Project types'!$L52,'Prepare Gantt Chart'!AO51=0,0)</f>
        <v>0</v>
      </c>
      <c r="BD62" s="91">
        <f t="shared" si="1"/>
        <v>0</v>
      </c>
      <c r="CI62" s="85"/>
      <c r="GY62" s="85"/>
    </row>
    <row r="63" spans="1:207" x14ac:dyDescent="0.2">
      <c r="A63" s="1" t="s">
        <v>135</v>
      </c>
      <c r="B63" s="30" t="s">
        <v>48</v>
      </c>
      <c r="C63" s="83">
        <f>_xlfn.IFS('Prepare Gantt Chart'!P52=10,'Project types'!$O53,'Prepare Gantt Chart'!P52=9,'Project types'!$Q53,'Prepare Gantt Chart'!P52=0,0)</f>
        <v>0</v>
      </c>
      <c r="D63" s="83">
        <f>_xlfn.IFS('Prepare Gantt Chart'!Q52=10,'Project types'!$O53,'Prepare Gantt Chart'!Q52=9,'Project types'!$Q53,'Prepare Gantt Chart'!Q52=0,0)</f>
        <v>0</v>
      </c>
      <c r="E63" s="83">
        <f>_xlfn.IFS('Prepare Gantt Chart'!R52=10,'Project types'!$O53,'Prepare Gantt Chart'!R52=9,'Project types'!$Q53,'Prepare Gantt Chart'!R52=0,0)</f>
        <v>0</v>
      </c>
      <c r="F63" s="83">
        <f>_xlfn.IFS('Prepare Gantt Chart'!S52=10,'Project types'!$O53,'Prepare Gantt Chart'!S52=9,'Project types'!$Q53,'Prepare Gantt Chart'!S52=0,0)</f>
        <v>0</v>
      </c>
      <c r="G63" s="83">
        <f>_xlfn.IFS('Prepare Gantt Chart'!T52=10,'Project types'!$O53,'Prepare Gantt Chart'!T52=9,'Project types'!$Q53,'Prepare Gantt Chart'!T52=0,0)</f>
        <v>0</v>
      </c>
      <c r="H63" s="83">
        <f>_xlfn.IFS('Prepare Gantt Chart'!U52=10,'Project types'!$O53,'Prepare Gantt Chart'!U52=9,'Project types'!$Q53,'Prepare Gantt Chart'!U52=0,0)</f>
        <v>0</v>
      </c>
      <c r="I63" s="83">
        <f>_xlfn.IFS('Prepare Gantt Chart'!V52=10,'Project types'!$O53,'Prepare Gantt Chart'!V52=9,'Project types'!$Q53,'Prepare Gantt Chart'!V52=0,0)</f>
        <v>0</v>
      </c>
      <c r="J63" s="83">
        <f>_xlfn.IFS('Prepare Gantt Chart'!W52=10,'Project types'!$O53,'Prepare Gantt Chart'!W52=9,'Project types'!$Q53,'Prepare Gantt Chart'!W52=0,0)</f>
        <v>0</v>
      </c>
      <c r="K63" s="83">
        <f>_xlfn.IFS('Prepare Gantt Chart'!X52=10,'Project types'!$O53,'Prepare Gantt Chart'!X52=9,'Project types'!$Q53,'Prepare Gantt Chart'!X52=0,0)</f>
        <v>0</v>
      </c>
      <c r="L63" s="83">
        <f>_xlfn.IFS('Prepare Gantt Chart'!Y52=10,'Project types'!$O53,'Prepare Gantt Chart'!Y52=9,'Project types'!$Q53,'Prepare Gantt Chart'!Y52=0,0)</f>
        <v>0</v>
      </c>
      <c r="M63" s="83">
        <f>_xlfn.IFS('Prepare Gantt Chart'!Z52=10,'Project types'!$O53,'Prepare Gantt Chart'!Z52=9,'Project types'!$Q53,'Prepare Gantt Chart'!Z52=0,0)</f>
        <v>0</v>
      </c>
      <c r="N63" s="83">
        <f>_xlfn.IFS('Prepare Gantt Chart'!AA52=10,'Project types'!$O53,'Prepare Gantt Chart'!AA52=9,'Project types'!$Q53,'Prepare Gantt Chart'!AA52=0,0)</f>
        <v>0</v>
      </c>
      <c r="O63" s="83">
        <f>_xlfn.IFS('Prepare Gantt Chart'!AB52=10,'Project types'!$O53,'Prepare Gantt Chart'!AB52=9,'Project types'!$Q53,'Prepare Gantt Chart'!AB52=0,0)</f>
        <v>0</v>
      </c>
      <c r="P63" s="83">
        <f>_xlfn.IFS('Prepare Gantt Chart'!AC52=10,'Project types'!$O53,'Prepare Gantt Chart'!AC52=9,'Project types'!$Q53,'Prepare Gantt Chart'!AC52=0,0)</f>
        <v>0</v>
      </c>
      <c r="Q63" s="83">
        <f>_xlfn.IFS('Prepare Gantt Chart'!AD52=10,'Project types'!$O53,'Prepare Gantt Chart'!AD52=9,'Project types'!$Q53,'Prepare Gantt Chart'!AD52=0,0)</f>
        <v>0</v>
      </c>
      <c r="R63" s="83">
        <f>_xlfn.IFS('Prepare Gantt Chart'!AE52=10,'Project types'!$O53,'Prepare Gantt Chart'!AE52=9,'Project types'!$Q53,'Prepare Gantt Chart'!AE52=0,0)</f>
        <v>0</v>
      </c>
      <c r="S63" s="83">
        <f>_xlfn.IFS('Prepare Gantt Chart'!AF52=10,'Project types'!$O53,'Prepare Gantt Chart'!AF52=9,'Project types'!$Q53,'Prepare Gantt Chart'!AF52=0,0)</f>
        <v>0</v>
      </c>
      <c r="T63" s="83">
        <f>_xlfn.IFS('Prepare Gantt Chart'!AG52=10,'Project types'!$O53,'Prepare Gantt Chart'!AG52=9,'Project types'!$Q53,'Prepare Gantt Chart'!AG52=0,0)</f>
        <v>0</v>
      </c>
      <c r="U63" s="83">
        <f>_xlfn.IFS('Prepare Gantt Chart'!AH52=10,'Project types'!$O53,'Prepare Gantt Chart'!AH52=9,'Project types'!$Q53,'Prepare Gantt Chart'!AH52=0,0)</f>
        <v>0</v>
      </c>
      <c r="V63" s="83">
        <f>_xlfn.IFS('Prepare Gantt Chart'!AI52=10,'Project types'!$O53,'Prepare Gantt Chart'!AI52=9,'Project types'!$Q53,'Prepare Gantt Chart'!AI52=0,0)</f>
        <v>0</v>
      </c>
      <c r="W63" s="83">
        <f>_xlfn.IFS('Prepare Gantt Chart'!AJ52=10,'Project types'!$O53,'Prepare Gantt Chart'!AJ52=9,'Project types'!$Q53,'Prepare Gantt Chart'!AJ52=0,0)</f>
        <v>0</v>
      </c>
      <c r="X63" s="83">
        <f>_xlfn.IFS('Prepare Gantt Chart'!AK52=10,'Project types'!$O53,'Prepare Gantt Chart'!AK52=9,'Project types'!$Q53,'Prepare Gantt Chart'!AK52=0,0)</f>
        <v>0</v>
      </c>
      <c r="Y63" s="83">
        <f>_xlfn.IFS('Prepare Gantt Chart'!AL52=10,'Project types'!$O53,'Prepare Gantt Chart'!AL52=9,'Project types'!$Q53,'Prepare Gantt Chart'!AL52=0,0)</f>
        <v>0</v>
      </c>
      <c r="Z63" s="83">
        <f>_xlfn.IFS('Prepare Gantt Chart'!AM52=10,'Project types'!$O53,'Prepare Gantt Chart'!AM52=9,'Project types'!$Q53,'Prepare Gantt Chart'!AM52=0,0)</f>
        <v>0</v>
      </c>
      <c r="AA63" s="83">
        <f>_xlfn.IFS('Prepare Gantt Chart'!AN52=10,'Project types'!$O53,'Prepare Gantt Chart'!AN52=9,'Project types'!$Q53,'Prepare Gantt Chart'!AN52=0,0)</f>
        <v>0</v>
      </c>
      <c r="AB63" s="83">
        <f>_xlfn.IFS('Prepare Gantt Chart'!AO52=10,'Project types'!$O53,'Prepare Gantt Chart'!AO52=9,'Project types'!$Q53,'Prepare Gantt Chart'!AO52=0,0)</f>
        <v>0</v>
      </c>
      <c r="AC63" s="93">
        <f t="shared" si="0"/>
        <v>0</v>
      </c>
      <c r="AD63" s="86">
        <f>_xlfn.IFS('Prepare Gantt Chart'!P52=10,'Project types'!$L53,'Prepare Gantt Chart'!P52=9,'Project types'!$L53,'Prepare Gantt Chart'!P52=0,0)</f>
        <v>0</v>
      </c>
      <c r="AE63" s="83">
        <f>_xlfn.IFS('Prepare Gantt Chart'!Q52=10,'Project types'!$L53,'Prepare Gantt Chart'!Q52=9,'Project types'!$L53,'Prepare Gantt Chart'!Q52=0,0)</f>
        <v>0</v>
      </c>
      <c r="AF63" s="83">
        <f>_xlfn.IFS('Prepare Gantt Chart'!R52=10,'Project types'!$L53,'Prepare Gantt Chart'!R52=9,'Project types'!$L53,'Prepare Gantt Chart'!R52=0,0)</f>
        <v>0</v>
      </c>
      <c r="AG63" s="83">
        <f>_xlfn.IFS('Prepare Gantt Chart'!S52=10,'Project types'!$L53,'Prepare Gantt Chart'!S52=9,'Project types'!$L53,'Prepare Gantt Chart'!S52=0,0)</f>
        <v>0</v>
      </c>
      <c r="AH63" s="83">
        <f>_xlfn.IFS('Prepare Gantt Chart'!T52=10,'Project types'!$L53,'Prepare Gantt Chart'!T52=9,'Project types'!$L53,'Prepare Gantt Chart'!T52=0,0)</f>
        <v>0</v>
      </c>
      <c r="AI63" s="83">
        <f>_xlfn.IFS('Prepare Gantt Chart'!U52=10,'Project types'!$L53,'Prepare Gantt Chart'!U52=9,'Project types'!$L53,'Prepare Gantt Chart'!U52=0,0)</f>
        <v>0</v>
      </c>
      <c r="AJ63" s="83">
        <f>_xlfn.IFS('Prepare Gantt Chart'!V52=10,'Project types'!$L53,'Prepare Gantt Chart'!V52=9,'Project types'!$L53,'Prepare Gantt Chart'!V52=0,0)</f>
        <v>0</v>
      </c>
      <c r="AK63" s="83">
        <f>_xlfn.IFS('Prepare Gantt Chart'!W52=10,'Project types'!$L53,'Prepare Gantt Chart'!W52=9,'Project types'!$L53,'Prepare Gantt Chart'!W52=0,0)</f>
        <v>0</v>
      </c>
      <c r="AL63" s="83">
        <f>_xlfn.IFS('Prepare Gantt Chart'!X52=10,'Project types'!$L53,'Prepare Gantt Chart'!X52=9,'Project types'!$L53,'Prepare Gantt Chart'!X52=0,0)</f>
        <v>0</v>
      </c>
      <c r="AM63" s="83">
        <f>_xlfn.IFS('Prepare Gantt Chart'!Y52=10,'Project types'!$L53,'Prepare Gantt Chart'!Y52=9,'Project types'!$L53,'Prepare Gantt Chart'!Y52=0,0)</f>
        <v>0</v>
      </c>
      <c r="AN63" s="83">
        <f>_xlfn.IFS('Prepare Gantt Chart'!Z52=10,'Project types'!$L53,'Prepare Gantt Chart'!Z52=9,'Project types'!$L53,'Prepare Gantt Chart'!Z52=0,0)</f>
        <v>0</v>
      </c>
      <c r="AO63" s="83">
        <f>_xlfn.IFS('Prepare Gantt Chart'!AA52=10,'Project types'!$L53,'Prepare Gantt Chart'!AA52=9,'Project types'!$L53,'Prepare Gantt Chart'!AA52=0,0)</f>
        <v>0</v>
      </c>
      <c r="AP63" s="83">
        <f>_xlfn.IFS('Prepare Gantt Chart'!AB52=10,'Project types'!$L53,'Prepare Gantt Chart'!AB52=9,'Project types'!$L53,'Prepare Gantt Chart'!AB52=0,0)</f>
        <v>0</v>
      </c>
      <c r="AQ63" s="83">
        <f>_xlfn.IFS('Prepare Gantt Chart'!AC52=10,'Project types'!$L53,'Prepare Gantt Chart'!AC52=9,'Project types'!$L53,'Prepare Gantt Chart'!AC52=0,0)</f>
        <v>0</v>
      </c>
      <c r="AR63" s="83">
        <f>_xlfn.IFS('Prepare Gantt Chart'!AD52=10,'Project types'!$L53,'Prepare Gantt Chart'!AD52=9,'Project types'!$L53,'Prepare Gantt Chart'!AD52=0,0)</f>
        <v>0</v>
      </c>
      <c r="AS63" s="83">
        <f>_xlfn.IFS('Prepare Gantt Chart'!AE52=10,'Project types'!$L53,'Prepare Gantt Chart'!AE52=9,'Project types'!$L53,'Prepare Gantt Chart'!AE52=0,0)</f>
        <v>0</v>
      </c>
      <c r="AT63" s="83">
        <f>_xlfn.IFS('Prepare Gantt Chart'!AF52=10,'Project types'!$L53,'Prepare Gantt Chart'!AF52=9,'Project types'!$L53,'Prepare Gantt Chart'!AF52=0,0)</f>
        <v>0</v>
      </c>
      <c r="AU63" s="83">
        <f>_xlfn.IFS('Prepare Gantt Chart'!AG52=10,'Project types'!$L53,'Prepare Gantt Chart'!AG52=9,'Project types'!$L53,'Prepare Gantt Chart'!AG52=0,0)</f>
        <v>0</v>
      </c>
      <c r="AV63" s="83">
        <f>_xlfn.IFS('Prepare Gantt Chart'!AH52=10,'Project types'!$L53,'Prepare Gantt Chart'!AH52=9,'Project types'!$L53,'Prepare Gantt Chart'!AH52=0,0)</f>
        <v>0</v>
      </c>
      <c r="AW63" s="83">
        <f>_xlfn.IFS('Prepare Gantt Chart'!AI52=10,'Project types'!$L53,'Prepare Gantt Chart'!AI52=9,'Project types'!$L53,'Prepare Gantt Chart'!AI52=0,0)</f>
        <v>0</v>
      </c>
      <c r="AX63" s="83">
        <f>_xlfn.IFS('Prepare Gantt Chart'!AJ52=10,'Project types'!$L53,'Prepare Gantt Chart'!AJ52=9,'Project types'!$L53,'Prepare Gantt Chart'!AJ52=0,0)</f>
        <v>0</v>
      </c>
      <c r="AY63" s="83">
        <f>_xlfn.IFS('Prepare Gantt Chart'!AK52=10,'Project types'!$L53,'Prepare Gantt Chart'!AK52=9,'Project types'!$L53,'Prepare Gantt Chart'!AK52=0,0)</f>
        <v>0</v>
      </c>
      <c r="AZ63" s="83">
        <f>_xlfn.IFS('Prepare Gantt Chart'!AL52=10,'Project types'!$L53,'Prepare Gantt Chart'!AL52=9,'Project types'!$L53,'Prepare Gantt Chart'!AL52=0,0)</f>
        <v>0</v>
      </c>
      <c r="BA63" s="83">
        <f>_xlfn.IFS('Prepare Gantt Chart'!AM52=10,'Project types'!$L53,'Prepare Gantt Chart'!AM52=9,'Project types'!$L53,'Prepare Gantt Chart'!AM52=0,0)</f>
        <v>0</v>
      </c>
      <c r="BB63" s="83">
        <f>_xlfn.IFS('Prepare Gantt Chart'!AN52=10,'Project types'!$L53,'Prepare Gantt Chart'!AN52=9,'Project types'!$L53,'Prepare Gantt Chart'!AN52=0,0)</f>
        <v>0</v>
      </c>
      <c r="BC63" s="83">
        <f>_xlfn.IFS('Prepare Gantt Chart'!AO52=10,'Project types'!$L53,'Prepare Gantt Chart'!AO52=9,'Project types'!$L53,'Prepare Gantt Chart'!AO52=0,0)</f>
        <v>0</v>
      </c>
      <c r="BD63" s="91">
        <f t="shared" si="1"/>
        <v>0</v>
      </c>
      <c r="CI63" s="85"/>
    </row>
    <row r="64" spans="1:207" x14ac:dyDescent="0.2">
      <c r="A64" s="1" t="s">
        <v>136</v>
      </c>
      <c r="B64" s="30" t="s">
        <v>49</v>
      </c>
      <c r="C64" s="83">
        <f>_xlfn.IFS('Prepare Gantt Chart'!P53=10,'Project types'!$O54,'Prepare Gantt Chart'!P53=9,'Project types'!$Q54,'Prepare Gantt Chart'!P53=0,0)</f>
        <v>0</v>
      </c>
      <c r="D64" s="83">
        <f>_xlfn.IFS('Prepare Gantt Chart'!Q53=10,'Project types'!$O54,'Prepare Gantt Chart'!Q53=9,'Project types'!$Q54,'Prepare Gantt Chart'!Q53=0,0)</f>
        <v>0</v>
      </c>
      <c r="E64" s="83">
        <f>_xlfn.IFS('Prepare Gantt Chart'!R53=10,'Project types'!$O54,'Prepare Gantt Chart'!R53=9,'Project types'!$Q54,'Prepare Gantt Chart'!R53=0,0)</f>
        <v>0</v>
      </c>
      <c r="F64" s="83">
        <f>_xlfn.IFS('Prepare Gantt Chart'!S53=10,'Project types'!$O54,'Prepare Gantt Chart'!S53=9,'Project types'!$Q54,'Prepare Gantt Chart'!S53=0,0)</f>
        <v>0</v>
      </c>
      <c r="G64" s="83">
        <f>_xlfn.IFS('Prepare Gantt Chart'!T53=10,'Project types'!$O54,'Prepare Gantt Chart'!T53=9,'Project types'!$Q54,'Prepare Gantt Chart'!T53=0,0)</f>
        <v>0</v>
      </c>
      <c r="H64" s="83">
        <f>_xlfn.IFS('Prepare Gantt Chart'!U53=10,'Project types'!$O54,'Prepare Gantt Chart'!U53=9,'Project types'!$Q54,'Prepare Gantt Chart'!U53=0,0)</f>
        <v>0</v>
      </c>
      <c r="I64" s="83">
        <f>_xlfn.IFS('Prepare Gantt Chart'!V53=10,'Project types'!$O54,'Prepare Gantt Chart'!V53=9,'Project types'!$Q54,'Prepare Gantt Chart'!V53=0,0)</f>
        <v>0</v>
      </c>
      <c r="J64" s="83">
        <f>_xlfn.IFS('Prepare Gantt Chart'!W53=10,'Project types'!$O54,'Prepare Gantt Chart'!W53=9,'Project types'!$Q54,'Prepare Gantt Chart'!W53=0,0)</f>
        <v>0</v>
      </c>
      <c r="K64" s="83">
        <f>_xlfn.IFS('Prepare Gantt Chart'!X53=10,'Project types'!$O54,'Prepare Gantt Chart'!X53=9,'Project types'!$Q54,'Prepare Gantt Chart'!X53=0,0)</f>
        <v>0</v>
      </c>
      <c r="L64" s="83">
        <f>_xlfn.IFS('Prepare Gantt Chart'!Y53=10,'Project types'!$O54,'Prepare Gantt Chart'!Y53=9,'Project types'!$Q54,'Prepare Gantt Chart'!Y53=0,0)</f>
        <v>0</v>
      </c>
      <c r="M64" s="83">
        <f>_xlfn.IFS('Prepare Gantt Chart'!Z53=10,'Project types'!$O54,'Prepare Gantt Chart'!Z53=9,'Project types'!$Q54,'Prepare Gantt Chart'!Z53=0,0)</f>
        <v>0</v>
      </c>
      <c r="N64" s="83">
        <f>_xlfn.IFS('Prepare Gantt Chart'!AA53=10,'Project types'!$O54,'Prepare Gantt Chart'!AA53=9,'Project types'!$Q54,'Prepare Gantt Chart'!AA53=0,0)</f>
        <v>0</v>
      </c>
      <c r="O64" s="83">
        <f>_xlfn.IFS('Prepare Gantt Chart'!AB53=10,'Project types'!$O54,'Prepare Gantt Chart'!AB53=9,'Project types'!$Q54,'Prepare Gantt Chart'!AB53=0,0)</f>
        <v>0</v>
      </c>
      <c r="P64" s="83">
        <f>_xlfn.IFS('Prepare Gantt Chart'!AC53=10,'Project types'!$O54,'Prepare Gantt Chart'!AC53=9,'Project types'!$Q54,'Prepare Gantt Chart'!AC53=0,0)</f>
        <v>0</v>
      </c>
      <c r="Q64" s="83">
        <f>_xlfn.IFS('Prepare Gantt Chart'!AD53=10,'Project types'!$O54,'Prepare Gantt Chart'!AD53=9,'Project types'!$Q54,'Prepare Gantt Chart'!AD53=0,0)</f>
        <v>0</v>
      </c>
      <c r="R64" s="83">
        <f>_xlfn.IFS('Prepare Gantt Chart'!AE53=10,'Project types'!$O54,'Prepare Gantt Chart'!AE53=9,'Project types'!$Q54,'Prepare Gantt Chart'!AE53=0,0)</f>
        <v>0</v>
      </c>
      <c r="S64" s="83">
        <f>_xlfn.IFS('Prepare Gantt Chart'!AF53=10,'Project types'!$O54,'Prepare Gantt Chart'!AF53=9,'Project types'!$Q54,'Prepare Gantt Chart'!AF53=0,0)</f>
        <v>0</v>
      </c>
      <c r="T64" s="83">
        <f>_xlfn.IFS('Prepare Gantt Chart'!AG53=10,'Project types'!$O54,'Prepare Gantt Chart'!AG53=9,'Project types'!$Q54,'Prepare Gantt Chart'!AG53=0,0)</f>
        <v>0</v>
      </c>
      <c r="U64" s="83">
        <f>_xlfn.IFS('Prepare Gantt Chart'!AH53=10,'Project types'!$O54,'Prepare Gantt Chart'!AH53=9,'Project types'!$Q54,'Prepare Gantt Chart'!AH53=0,0)</f>
        <v>0</v>
      </c>
      <c r="V64" s="83">
        <f>_xlfn.IFS('Prepare Gantt Chart'!AI53=10,'Project types'!$O54,'Prepare Gantt Chart'!AI53=9,'Project types'!$Q54,'Prepare Gantt Chart'!AI53=0,0)</f>
        <v>0</v>
      </c>
      <c r="W64" s="83">
        <f>_xlfn.IFS('Prepare Gantt Chart'!AJ53=10,'Project types'!$O54,'Prepare Gantt Chart'!AJ53=9,'Project types'!$Q54,'Prepare Gantt Chart'!AJ53=0,0)</f>
        <v>0</v>
      </c>
      <c r="X64" s="83">
        <f>_xlfn.IFS('Prepare Gantt Chart'!AK53=10,'Project types'!$O54,'Prepare Gantt Chart'!AK53=9,'Project types'!$Q54,'Prepare Gantt Chart'!AK53=0,0)</f>
        <v>0</v>
      </c>
      <c r="Y64" s="83">
        <f>_xlfn.IFS('Prepare Gantt Chart'!AL53=10,'Project types'!$O54,'Prepare Gantt Chart'!AL53=9,'Project types'!$Q54,'Prepare Gantt Chart'!AL53=0,0)</f>
        <v>0</v>
      </c>
      <c r="Z64" s="83">
        <f>_xlfn.IFS('Prepare Gantt Chart'!AM53=10,'Project types'!$O54,'Prepare Gantt Chart'!AM53=9,'Project types'!$Q54,'Prepare Gantt Chart'!AM53=0,0)</f>
        <v>0</v>
      </c>
      <c r="AA64" s="83">
        <f>_xlfn.IFS('Prepare Gantt Chart'!AN53=10,'Project types'!$O54,'Prepare Gantt Chart'!AN53=9,'Project types'!$Q54,'Prepare Gantt Chart'!AN53=0,0)</f>
        <v>0</v>
      </c>
      <c r="AB64" s="83">
        <f>_xlfn.IFS('Prepare Gantt Chart'!AO53=10,'Project types'!$O54,'Prepare Gantt Chart'!AO53=9,'Project types'!$Q54,'Prepare Gantt Chart'!AO53=0,0)</f>
        <v>0</v>
      </c>
      <c r="AC64" s="93">
        <f t="shared" si="0"/>
        <v>0</v>
      </c>
      <c r="AD64" s="86">
        <f>_xlfn.IFS('Prepare Gantt Chart'!P53=10,'Project types'!$L54,'Prepare Gantt Chart'!P53=9,'Project types'!$L54,'Prepare Gantt Chart'!P53=0,0)</f>
        <v>0</v>
      </c>
      <c r="AE64" s="83">
        <f>_xlfn.IFS('Prepare Gantt Chart'!Q53=10,'Project types'!$L54,'Prepare Gantt Chart'!Q53=9,'Project types'!$L54,'Prepare Gantt Chart'!Q53=0,0)</f>
        <v>0</v>
      </c>
      <c r="AF64" s="83">
        <f>_xlfn.IFS('Prepare Gantt Chart'!R53=10,'Project types'!$L54,'Prepare Gantt Chart'!R53=9,'Project types'!$L54,'Prepare Gantt Chart'!R53=0,0)</f>
        <v>0</v>
      </c>
      <c r="AG64" s="83">
        <f>_xlfn.IFS('Prepare Gantt Chart'!S53=10,'Project types'!$L54,'Prepare Gantt Chart'!S53=9,'Project types'!$L54,'Prepare Gantt Chart'!S53=0,0)</f>
        <v>0</v>
      </c>
      <c r="AH64" s="83">
        <f>_xlfn.IFS('Prepare Gantt Chart'!T53=10,'Project types'!$L54,'Prepare Gantt Chart'!T53=9,'Project types'!$L54,'Prepare Gantt Chart'!T53=0,0)</f>
        <v>0</v>
      </c>
      <c r="AI64" s="83">
        <f>_xlfn.IFS('Prepare Gantt Chart'!U53=10,'Project types'!$L54,'Prepare Gantt Chart'!U53=9,'Project types'!$L54,'Prepare Gantt Chart'!U53=0,0)</f>
        <v>0</v>
      </c>
      <c r="AJ64" s="83">
        <f>_xlfn.IFS('Prepare Gantt Chart'!V53=10,'Project types'!$L54,'Prepare Gantt Chart'!V53=9,'Project types'!$L54,'Prepare Gantt Chart'!V53=0,0)</f>
        <v>0</v>
      </c>
      <c r="AK64" s="83">
        <f>_xlfn.IFS('Prepare Gantt Chart'!W53=10,'Project types'!$L54,'Prepare Gantt Chart'!W53=9,'Project types'!$L54,'Prepare Gantt Chart'!W53=0,0)</f>
        <v>0</v>
      </c>
      <c r="AL64" s="83">
        <f>_xlfn.IFS('Prepare Gantt Chart'!X53=10,'Project types'!$L54,'Prepare Gantt Chart'!X53=9,'Project types'!$L54,'Prepare Gantt Chart'!X53=0,0)</f>
        <v>0</v>
      </c>
      <c r="AM64" s="83">
        <f>_xlfn.IFS('Prepare Gantt Chart'!Y53=10,'Project types'!$L54,'Prepare Gantt Chart'!Y53=9,'Project types'!$L54,'Prepare Gantt Chart'!Y53=0,0)</f>
        <v>0</v>
      </c>
      <c r="AN64" s="83">
        <f>_xlfn.IFS('Prepare Gantt Chart'!Z53=10,'Project types'!$L54,'Prepare Gantt Chart'!Z53=9,'Project types'!$L54,'Prepare Gantt Chart'!Z53=0,0)</f>
        <v>0</v>
      </c>
      <c r="AO64" s="83">
        <f>_xlfn.IFS('Prepare Gantt Chart'!AA53=10,'Project types'!$L54,'Prepare Gantt Chart'!AA53=9,'Project types'!$L54,'Prepare Gantt Chart'!AA53=0,0)</f>
        <v>0</v>
      </c>
      <c r="AP64" s="83">
        <f>_xlfn.IFS('Prepare Gantt Chart'!AB53=10,'Project types'!$L54,'Prepare Gantt Chart'!AB53=9,'Project types'!$L54,'Prepare Gantt Chart'!AB53=0,0)</f>
        <v>0</v>
      </c>
      <c r="AQ64" s="83">
        <f>_xlfn.IFS('Prepare Gantt Chart'!AC53=10,'Project types'!$L54,'Prepare Gantt Chart'!AC53=9,'Project types'!$L54,'Prepare Gantt Chart'!AC53=0,0)</f>
        <v>0</v>
      </c>
      <c r="AR64" s="83">
        <f>_xlfn.IFS('Prepare Gantt Chart'!AD53=10,'Project types'!$L54,'Prepare Gantt Chart'!AD53=9,'Project types'!$L54,'Prepare Gantt Chart'!AD53=0,0)</f>
        <v>0</v>
      </c>
      <c r="AS64" s="83">
        <f>_xlfn.IFS('Prepare Gantt Chart'!AE53=10,'Project types'!$L54,'Prepare Gantt Chart'!AE53=9,'Project types'!$L54,'Prepare Gantt Chart'!AE53=0,0)</f>
        <v>0</v>
      </c>
      <c r="AT64" s="83">
        <f>_xlfn.IFS('Prepare Gantt Chart'!AF53=10,'Project types'!$L54,'Prepare Gantt Chart'!AF53=9,'Project types'!$L54,'Prepare Gantt Chart'!AF53=0,0)</f>
        <v>0</v>
      </c>
      <c r="AU64" s="83">
        <f>_xlfn.IFS('Prepare Gantt Chart'!AG53=10,'Project types'!$L54,'Prepare Gantt Chart'!AG53=9,'Project types'!$L54,'Prepare Gantt Chart'!AG53=0,0)</f>
        <v>0</v>
      </c>
      <c r="AV64" s="83">
        <f>_xlfn.IFS('Prepare Gantt Chart'!AH53=10,'Project types'!$L54,'Prepare Gantt Chart'!AH53=9,'Project types'!$L54,'Prepare Gantt Chart'!AH53=0,0)</f>
        <v>0</v>
      </c>
      <c r="AW64" s="83">
        <f>_xlfn.IFS('Prepare Gantt Chart'!AI53=10,'Project types'!$L54,'Prepare Gantt Chart'!AI53=9,'Project types'!$L54,'Prepare Gantt Chart'!AI53=0,0)</f>
        <v>0</v>
      </c>
      <c r="AX64" s="83">
        <f>_xlfn.IFS('Prepare Gantt Chart'!AJ53=10,'Project types'!$L54,'Prepare Gantt Chart'!AJ53=9,'Project types'!$L54,'Prepare Gantt Chart'!AJ53=0,0)</f>
        <v>0</v>
      </c>
      <c r="AY64" s="83">
        <f>_xlfn.IFS('Prepare Gantt Chart'!AK53=10,'Project types'!$L54,'Prepare Gantt Chart'!AK53=9,'Project types'!$L54,'Prepare Gantt Chart'!AK53=0,0)</f>
        <v>0</v>
      </c>
      <c r="AZ64" s="83">
        <f>_xlfn.IFS('Prepare Gantt Chart'!AL53=10,'Project types'!$L54,'Prepare Gantt Chart'!AL53=9,'Project types'!$L54,'Prepare Gantt Chart'!AL53=0,0)</f>
        <v>0</v>
      </c>
      <c r="BA64" s="83">
        <f>_xlfn.IFS('Prepare Gantt Chart'!AM53=10,'Project types'!$L54,'Prepare Gantt Chart'!AM53=9,'Project types'!$L54,'Prepare Gantt Chart'!AM53=0,0)</f>
        <v>0</v>
      </c>
      <c r="BB64" s="83">
        <f>_xlfn.IFS('Prepare Gantt Chart'!AN53=10,'Project types'!$L54,'Prepare Gantt Chart'!AN53=9,'Project types'!$L54,'Prepare Gantt Chart'!AN53=0,0)</f>
        <v>0</v>
      </c>
      <c r="BC64" s="83">
        <f>_xlfn.IFS('Prepare Gantt Chart'!AO53=10,'Project types'!$L54,'Prepare Gantt Chart'!AO53=9,'Project types'!$L54,'Prepare Gantt Chart'!AO53=0,0)</f>
        <v>0</v>
      </c>
      <c r="BD64" s="91">
        <f t="shared" si="1"/>
        <v>0</v>
      </c>
      <c r="CI64" s="85"/>
    </row>
    <row r="65" spans="1:87" x14ac:dyDescent="0.2">
      <c r="A65" s="1" t="s">
        <v>137</v>
      </c>
      <c r="B65" s="30" t="s">
        <v>50</v>
      </c>
      <c r="C65" s="83">
        <f>_xlfn.IFS('Prepare Gantt Chart'!P54=10,'Project types'!$O55,'Prepare Gantt Chart'!P54=9,'Project types'!$Q55,'Prepare Gantt Chart'!P54=0,0)</f>
        <v>0</v>
      </c>
      <c r="D65" s="83">
        <f>_xlfn.IFS('Prepare Gantt Chart'!Q54=10,'Project types'!$O55,'Prepare Gantt Chart'!Q54=9,'Project types'!$Q55,'Prepare Gantt Chart'!Q54=0,0)</f>
        <v>0</v>
      </c>
      <c r="E65" s="83">
        <f>_xlfn.IFS('Prepare Gantt Chart'!R54=10,'Project types'!$O55,'Prepare Gantt Chart'!R54=9,'Project types'!$Q55,'Prepare Gantt Chart'!R54=0,0)</f>
        <v>0</v>
      </c>
      <c r="F65" s="83">
        <f>_xlfn.IFS('Prepare Gantt Chart'!S54=10,'Project types'!$O55,'Prepare Gantt Chart'!S54=9,'Project types'!$Q55,'Prepare Gantt Chart'!S54=0,0)</f>
        <v>0</v>
      </c>
      <c r="G65" s="83">
        <f>_xlfn.IFS('Prepare Gantt Chart'!T54=10,'Project types'!$O55,'Prepare Gantt Chart'!T54=9,'Project types'!$Q55,'Prepare Gantt Chart'!T54=0,0)</f>
        <v>0</v>
      </c>
      <c r="H65" s="83">
        <f>_xlfn.IFS('Prepare Gantt Chart'!U54=10,'Project types'!$O55,'Prepare Gantt Chart'!U54=9,'Project types'!$Q55,'Prepare Gantt Chart'!U54=0,0)</f>
        <v>0</v>
      </c>
      <c r="I65" s="83">
        <f>_xlfn.IFS('Prepare Gantt Chart'!V54=10,'Project types'!$O55,'Prepare Gantt Chart'!V54=9,'Project types'!$Q55,'Prepare Gantt Chart'!V54=0,0)</f>
        <v>0</v>
      </c>
      <c r="J65" s="83">
        <f>_xlfn.IFS('Prepare Gantt Chart'!W54=10,'Project types'!$O55,'Prepare Gantt Chart'!W54=9,'Project types'!$Q55,'Prepare Gantt Chart'!W54=0,0)</f>
        <v>0</v>
      </c>
      <c r="K65" s="83">
        <f>_xlfn.IFS('Prepare Gantt Chart'!X54=10,'Project types'!$O55,'Prepare Gantt Chart'!X54=9,'Project types'!$Q55,'Prepare Gantt Chart'!X54=0,0)</f>
        <v>0</v>
      </c>
      <c r="L65" s="83">
        <f>_xlfn.IFS('Prepare Gantt Chart'!Y54=10,'Project types'!$O55,'Prepare Gantt Chart'!Y54=9,'Project types'!$Q55,'Prepare Gantt Chart'!Y54=0,0)</f>
        <v>0</v>
      </c>
      <c r="M65" s="83">
        <f>_xlfn.IFS('Prepare Gantt Chart'!Z54=10,'Project types'!$O55,'Prepare Gantt Chart'!Z54=9,'Project types'!$Q55,'Prepare Gantt Chart'!Z54=0,0)</f>
        <v>0</v>
      </c>
      <c r="N65" s="83">
        <f>_xlfn.IFS('Prepare Gantt Chart'!AA54=10,'Project types'!$O55,'Prepare Gantt Chart'!AA54=9,'Project types'!$Q55,'Prepare Gantt Chart'!AA54=0,0)</f>
        <v>0</v>
      </c>
      <c r="O65" s="83">
        <f>_xlfn.IFS('Prepare Gantt Chart'!AB54=10,'Project types'!$O55,'Prepare Gantt Chart'!AB54=9,'Project types'!$Q55,'Prepare Gantt Chart'!AB54=0,0)</f>
        <v>0</v>
      </c>
      <c r="P65" s="83">
        <f>_xlfn.IFS('Prepare Gantt Chart'!AC54=10,'Project types'!$O55,'Prepare Gantt Chart'!AC54=9,'Project types'!$Q55,'Prepare Gantt Chart'!AC54=0,0)</f>
        <v>0</v>
      </c>
      <c r="Q65" s="83">
        <f>_xlfn.IFS('Prepare Gantt Chart'!AD54=10,'Project types'!$O55,'Prepare Gantt Chart'!AD54=9,'Project types'!$Q55,'Prepare Gantt Chart'!AD54=0,0)</f>
        <v>0</v>
      </c>
      <c r="R65" s="83">
        <f>_xlfn.IFS('Prepare Gantt Chart'!AE54=10,'Project types'!$O55,'Prepare Gantt Chart'!AE54=9,'Project types'!$Q55,'Prepare Gantt Chart'!AE54=0,0)</f>
        <v>0</v>
      </c>
      <c r="S65" s="83">
        <f>_xlfn.IFS('Prepare Gantt Chart'!AF54=10,'Project types'!$O55,'Prepare Gantt Chart'!AF54=9,'Project types'!$Q55,'Prepare Gantt Chart'!AF54=0,0)</f>
        <v>0</v>
      </c>
      <c r="T65" s="83">
        <f>_xlfn.IFS('Prepare Gantt Chart'!AG54=10,'Project types'!$O55,'Prepare Gantt Chart'!AG54=9,'Project types'!$Q55,'Prepare Gantt Chart'!AG54=0,0)</f>
        <v>0</v>
      </c>
      <c r="U65" s="83">
        <f>_xlfn.IFS('Prepare Gantt Chart'!AH54=10,'Project types'!$O55,'Prepare Gantt Chart'!AH54=9,'Project types'!$Q55,'Prepare Gantt Chart'!AH54=0,0)</f>
        <v>0</v>
      </c>
      <c r="V65" s="83">
        <f>_xlfn.IFS('Prepare Gantt Chart'!AI54=10,'Project types'!$O55,'Prepare Gantt Chart'!AI54=9,'Project types'!$Q55,'Prepare Gantt Chart'!AI54=0,0)</f>
        <v>0</v>
      </c>
      <c r="W65" s="83">
        <f>_xlfn.IFS('Prepare Gantt Chart'!AJ54=10,'Project types'!$O55,'Prepare Gantt Chart'!AJ54=9,'Project types'!$Q55,'Prepare Gantt Chart'!AJ54=0,0)</f>
        <v>0</v>
      </c>
      <c r="X65" s="83">
        <f>_xlfn.IFS('Prepare Gantt Chart'!AK54=10,'Project types'!$O55,'Prepare Gantt Chart'!AK54=9,'Project types'!$Q55,'Prepare Gantt Chart'!AK54=0,0)</f>
        <v>0</v>
      </c>
      <c r="Y65" s="83">
        <f>_xlfn.IFS('Prepare Gantt Chart'!AL54=10,'Project types'!$O55,'Prepare Gantt Chart'!AL54=9,'Project types'!$Q55,'Prepare Gantt Chart'!AL54=0,0)</f>
        <v>0</v>
      </c>
      <c r="Z65" s="83">
        <f>_xlfn.IFS('Prepare Gantt Chart'!AM54=10,'Project types'!$O55,'Prepare Gantt Chart'!AM54=9,'Project types'!$Q55,'Prepare Gantt Chart'!AM54=0,0)</f>
        <v>0</v>
      </c>
      <c r="AA65" s="83">
        <f>_xlfn.IFS('Prepare Gantt Chart'!AN54=10,'Project types'!$O55,'Prepare Gantt Chart'!AN54=9,'Project types'!$Q55,'Prepare Gantt Chart'!AN54=0,0)</f>
        <v>0</v>
      </c>
      <c r="AB65" s="83">
        <f>_xlfn.IFS('Prepare Gantt Chart'!AO54=10,'Project types'!$O55,'Prepare Gantt Chart'!AO54=9,'Project types'!$Q55,'Prepare Gantt Chart'!AO54=0,0)</f>
        <v>0</v>
      </c>
      <c r="AC65" s="93">
        <f t="shared" si="0"/>
        <v>0</v>
      </c>
      <c r="AD65" s="86">
        <f>_xlfn.IFS('Prepare Gantt Chart'!P54=10,'Project types'!$L55,'Prepare Gantt Chart'!P54=9,'Project types'!$L55,'Prepare Gantt Chart'!P54=0,0)</f>
        <v>0</v>
      </c>
      <c r="AE65" s="83">
        <f>_xlfn.IFS('Prepare Gantt Chart'!Q54=10,'Project types'!$L55,'Prepare Gantt Chart'!Q54=9,'Project types'!$L55,'Prepare Gantt Chart'!Q54=0,0)</f>
        <v>0</v>
      </c>
      <c r="AF65" s="83">
        <f>_xlfn.IFS('Prepare Gantt Chart'!R54=10,'Project types'!$L55,'Prepare Gantt Chart'!R54=9,'Project types'!$L55,'Prepare Gantt Chart'!R54=0,0)</f>
        <v>0</v>
      </c>
      <c r="AG65" s="83">
        <f>_xlfn.IFS('Prepare Gantt Chart'!S54=10,'Project types'!$L55,'Prepare Gantt Chart'!S54=9,'Project types'!$L55,'Prepare Gantt Chart'!S54=0,0)</f>
        <v>0</v>
      </c>
      <c r="AH65" s="83">
        <f>_xlfn.IFS('Prepare Gantt Chart'!T54=10,'Project types'!$L55,'Prepare Gantt Chart'!T54=9,'Project types'!$L55,'Prepare Gantt Chart'!T54=0,0)</f>
        <v>0</v>
      </c>
      <c r="AI65" s="83">
        <f>_xlfn.IFS('Prepare Gantt Chart'!U54=10,'Project types'!$L55,'Prepare Gantt Chart'!U54=9,'Project types'!$L55,'Prepare Gantt Chart'!U54=0,0)</f>
        <v>0</v>
      </c>
      <c r="AJ65" s="83">
        <f>_xlfn.IFS('Prepare Gantt Chart'!V54=10,'Project types'!$L55,'Prepare Gantt Chart'!V54=9,'Project types'!$L55,'Prepare Gantt Chart'!V54=0,0)</f>
        <v>0</v>
      </c>
      <c r="AK65" s="83">
        <f>_xlfn.IFS('Prepare Gantt Chart'!W54=10,'Project types'!$L55,'Prepare Gantt Chart'!W54=9,'Project types'!$L55,'Prepare Gantt Chart'!W54=0,0)</f>
        <v>0</v>
      </c>
      <c r="AL65" s="83">
        <f>_xlfn.IFS('Prepare Gantt Chart'!X54=10,'Project types'!$L55,'Prepare Gantt Chart'!X54=9,'Project types'!$L55,'Prepare Gantt Chart'!X54=0,0)</f>
        <v>0</v>
      </c>
      <c r="AM65" s="83">
        <f>_xlfn.IFS('Prepare Gantt Chart'!Y54=10,'Project types'!$L55,'Prepare Gantt Chart'!Y54=9,'Project types'!$L55,'Prepare Gantt Chart'!Y54=0,0)</f>
        <v>0</v>
      </c>
      <c r="AN65" s="83">
        <f>_xlfn.IFS('Prepare Gantt Chart'!Z54=10,'Project types'!$L55,'Prepare Gantt Chart'!Z54=9,'Project types'!$L55,'Prepare Gantt Chart'!Z54=0,0)</f>
        <v>0</v>
      </c>
      <c r="AO65" s="83">
        <f>_xlfn.IFS('Prepare Gantt Chart'!AA54=10,'Project types'!$L55,'Prepare Gantt Chart'!AA54=9,'Project types'!$L55,'Prepare Gantt Chart'!AA54=0,0)</f>
        <v>0</v>
      </c>
      <c r="AP65" s="83">
        <f>_xlfn.IFS('Prepare Gantt Chart'!AB54=10,'Project types'!$L55,'Prepare Gantt Chart'!AB54=9,'Project types'!$L55,'Prepare Gantt Chart'!AB54=0,0)</f>
        <v>0</v>
      </c>
      <c r="AQ65" s="83">
        <f>_xlfn.IFS('Prepare Gantt Chart'!AC54=10,'Project types'!$L55,'Prepare Gantt Chart'!AC54=9,'Project types'!$L55,'Prepare Gantt Chart'!AC54=0,0)</f>
        <v>0</v>
      </c>
      <c r="AR65" s="83">
        <f>_xlfn.IFS('Prepare Gantt Chart'!AD54=10,'Project types'!$L55,'Prepare Gantt Chart'!AD54=9,'Project types'!$L55,'Prepare Gantt Chart'!AD54=0,0)</f>
        <v>0</v>
      </c>
      <c r="AS65" s="83">
        <f>_xlfn.IFS('Prepare Gantt Chart'!AE54=10,'Project types'!$L55,'Prepare Gantt Chart'!AE54=9,'Project types'!$L55,'Prepare Gantt Chart'!AE54=0,0)</f>
        <v>0</v>
      </c>
      <c r="AT65" s="83">
        <f>_xlfn.IFS('Prepare Gantt Chart'!AF54=10,'Project types'!$L55,'Prepare Gantt Chart'!AF54=9,'Project types'!$L55,'Prepare Gantt Chart'!AF54=0,0)</f>
        <v>0</v>
      </c>
      <c r="AU65" s="83">
        <f>_xlfn.IFS('Prepare Gantt Chart'!AG54=10,'Project types'!$L55,'Prepare Gantt Chart'!AG54=9,'Project types'!$L55,'Prepare Gantt Chart'!AG54=0,0)</f>
        <v>0</v>
      </c>
      <c r="AV65" s="83">
        <f>_xlfn.IFS('Prepare Gantt Chart'!AH54=10,'Project types'!$L55,'Prepare Gantt Chart'!AH54=9,'Project types'!$L55,'Prepare Gantt Chart'!AH54=0,0)</f>
        <v>0</v>
      </c>
      <c r="AW65" s="83">
        <f>_xlfn.IFS('Prepare Gantt Chart'!AI54=10,'Project types'!$L55,'Prepare Gantt Chart'!AI54=9,'Project types'!$L55,'Prepare Gantt Chart'!AI54=0,0)</f>
        <v>0</v>
      </c>
      <c r="AX65" s="83">
        <f>_xlfn.IFS('Prepare Gantt Chart'!AJ54=10,'Project types'!$L55,'Prepare Gantt Chart'!AJ54=9,'Project types'!$L55,'Prepare Gantt Chart'!AJ54=0,0)</f>
        <v>0</v>
      </c>
      <c r="AY65" s="83">
        <f>_xlfn.IFS('Prepare Gantt Chart'!AK54=10,'Project types'!$L55,'Prepare Gantt Chart'!AK54=9,'Project types'!$L55,'Prepare Gantt Chart'!AK54=0,0)</f>
        <v>0</v>
      </c>
      <c r="AZ65" s="83">
        <f>_xlfn.IFS('Prepare Gantt Chart'!AL54=10,'Project types'!$L55,'Prepare Gantt Chart'!AL54=9,'Project types'!$L55,'Prepare Gantt Chart'!AL54=0,0)</f>
        <v>0</v>
      </c>
      <c r="BA65" s="83">
        <f>_xlfn.IFS('Prepare Gantt Chart'!AM54=10,'Project types'!$L55,'Prepare Gantt Chart'!AM54=9,'Project types'!$L55,'Prepare Gantt Chart'!AM54=0,0)</f>
        <v>0</v>
      </c>
      <c r="BB65" s="83">
        <f>_xlfn.IFS('Prepare Gantt Chart'!AN54=10,'Project types'!$L55,'Prepare Gantt Chart'!AN54=9,'Project types'!$L55,'Prepare Gantt Chart'!AN54=0,0)</f>
        <v>0</v>
      </c>
      <c r="BC65" s="83">
        <f>_xlfn.IFS('Prepare Gantt Chart'!AO54=10,'Project types'!$L55,'Prepare Gantt Chart'!AO54=9,'Project types'!$L55,'Prepare Gantt Chart'!AO54=0,0)</f>
        <v>0</v>
      </c>
      <c r="BD65" s="91">
        <f t="shared" si="1"/>
        <v>0</v>
      </c>
      <c r="CI65" s="85"/>
    </row>
    <row r="66" spans="1:87" x14ac:dyDescent="0.2">
      <c r="A66" s="1" t="s">
        <v>138</v>
      </c>
      <c r="B66" s="30" t="s">
        <v>51</v>
      </c>
      <c r="C66" s="83">
        <f>_xlfn.IFS('Prepare Gantt Chart'!P55=10,'Project types'!$O56,'Prepare Gantt Chart'!P55=9,'Project types'!$Q56,'Prepare Gantt Chart'!P55=0,0)</f>
        <v>0</v>
      </c>
      <c r="D66" s="83">
        <f>_xlfn.IFS('Prepare Gantt Chart'!Q55=10,'Project types'!$O56,'Prepare Gantt Chart'!Q55=9,'Project types'!$Q56,'Prepare Gantt Chart'!Q55=0,0)</f>
        <v>0</v>
      </c>
      <c r="E66" s="83">
        <f>_xlfn.IFS('Prepare Gantt Chart'!R55=10,'Project types'!$O56,'Prepare Gantt Chart'!R55=9,'Project types'!$Q56,'Prepare Gantt Chart'!R55=0,0)</f>
        <v>0</v>
      </c>
      <c r="F66" s="83">
        <f>_xlfn.IFS('Prepare Gantt Chart'!S55=10,'Project types'!$O56,'Prepare Gantt Chart'!S55=9,'Project types'!$Q56,'Prepare Gantt Chart'!S55=0,0)</f>
        <v>0</v>
      </c>
      <c r="G66" s="83">
        <f>_xlfn.IFS('Prepare Gantt Chart'!T55=10,'Project types'!$O56,'Prepare Gantt Chart'!T55=9,'Project types'!$Q56,'Prepare Gantt Chart'!T55=0,0)</f>
        <v>0</v>
      </c>
      <c r="H66" s="83">
        <f>_xlfn.IFS('Prepare Gantt Chart'!U55=10,'Project types'!$O56,'Prepare Gantt Chart'!U55=9,'Project types'!$Q56,'Prepare Gantt Chart'!U55=0,0)</f>
        <v>0</v>
      </c>
      <c r="I66" s="83">
        <f>_xlfn.IFS('Prepare Gantt Chart'!V55=10,'Project types'!$O56,'Prepare Gantt Chart'!V55=9,'Project types'!$Q56,'Prepare Gantt Chart'!V55=0,0)</f>
        <v>0</v>
      </c>
      <c r="J66" s="83">
        <f>_xlfn.IFS('Prepare Gantt Chart'!W55=10,'Project types'!$O56,'Prepare Gantt Chart'!W55=9,'Project types'!$Q56,'Prepare Gantt Chart'!W55=0,0)</f>
        <v>0</v>
      </c>
      <c r="K66" s="83">
        <f>_xlfn.IFS('Prepare Gantt Chart'!X55=10,'Project types'!$O56,'Prepare Gantt Chart'!X55=9,'Project types'!$Q56,'Prepare Gantt Chart'!X55=0,0)</f>
        <v>0</v>
      </c>
      <c r="L66" s="83">
        <f>_xlfn.IFS('Prepare Gantt Chart'!Y55=10,'Project types'!$O56,'Prepare Gantt Chart'!Y55=9,'Project types'!$Q56,'Prepare Gantt Chart'!Y55=0,0)</f>
        <v>0</v>
      </c>
      <c r="M66" s="83">
        <f>_xlfn.IFS('Prepare Gantt Chart'!Z55=10,'Project types'!$O56,'Prepare Gantt Chart'!Z55=9,'Project types'!$Q56,'Prepare Gantt Chart'!Z55=0,0)</f>
        <v>0</v>
      </c>
      <c r="N66" s="83">
        <f>_xlfn.IFS('Prepare Gantt Chart'!AA55=10,'Project types'!$O56,'Prepare Gantt Chart'!AA55=9,'Project types'!$Q56,'Prepare Gantt Chart'!AA55=0,0)</f>
        <v>0</v>
      </c>
      <c r="O66" s="83">
        <f>_xlfn.IFS('Prepare Gantt Chart'!AB55=10,'Project types'!$O56,'Prepare Gantt Chart'!AB55=9,'Project types'!$Q56,'Prepare Gantt Chart'!AB55=0,0)</f>
        <v>0</v>
      </c>
      <c r="P66" s="83">
        <f>_xlfn.IFS('Prepare Gantt Chart'!AC55=10,'Project types'!$O56,'Prepare Gantt Chart'!AC55=9,'Project types'!$Q56,'Prepare Gantt Chart'!AC55=0,0)</f>
        <v>0</v>
      </c>
      <c r="Q66" s="83">
        <f>_xlfn.IFS('Prepare Gantt Chart'!AD55=10,'Project types'!$O56,'Prepare Gantt Chart'!AD55=9,'Project types'!$Q56,'Prepare Gantt Chart'!AD55=0,0)</f>
        <v>0</v>
      </c>
      <c r="R66" s="83">
        <f>_xlfn.IFS('Prepare Gantt Chart'!AE55=10,'Project types'!$O56,'Prepare Gantt Chart'!AE55=9,'Project types'!$Q56,'Prepare Gantt Chart'!AE55=0,0)</f>
        <v>0</v>
      </c>
      <c r="S66" s="83">
        <f>_xlfn.IFS('Prepare Gantt Chart'!AF55=10,'Project types'!$O56,'Prepare Gantt Chart'!AF55=9,'Project types'!$Q56,'Prepare Gantt Chart'!AF55=0,0)</f>
        <v>0</v>
      </c>
      <c r="T66" s="83">
        <f>_xlfn.IFS('Prepare Gantt Chart'!AG55=10,'Project types'!$O56,'Prepare Gantt Chart'!AG55=9,'Project types'!$Q56,'Prepare Gantt Chart'!AG55=0,0)</f>
        <v>0</v>
      </c>
      <c r="U66" s="83">
        <f>_xlfn.IFS('Prepare Gantt Chart'!AH55=10,'Project types'!$O56,'Prepare Gantt Chart'!AH55=9,'Project types'!$Q56,'Prepare Gantt Chart'!AH55=0,0)</f>
        <v>0</v>
      </c>
      <c r="V66" s="83">
        <f>_xlfn.IFS('Prepare Gantt Chart'!AI55=10,'Project types'!$O56,'Prepare Gantt Chart'!AI55=9,'Project types'!$Q56,'Prepare Gantt Chart'!AI55=0,0)</f>
        <v>0</v>
      </c>
      <c r="W66" s="83">
        <f>_xlfn.IFS('Prepare Gantt Chart'!AJ55=10,'Project types'!$O56,'Prepare Gantt Chart'!AJ55=9,'Project types'!$Q56,'Prepare Gantt Chart'!AJ55=0,0)</f>
        <v>0</v>
      </c>
      <c r="X66" s="83">
        <f>_xlfn.IFS('Prepare Gantt Chart'!AK55=10,'Project types'!$O56,'Prepare Gantt Chart'!AK55=9,'Project types'!$Q56,'Prepare Gantt Chart'!AK55=0,0)</f>
        <v>0</v>
      </c>
      <c r="Y66" s="83">
        <f>_xlfn.IFS('Prepare Gantt Chart'!AL55=10,'Project types'!$O56,'Prepare Gantt Chart'!AL55=9,'Project types'!$Q56,'Prepare Gantt Chart'!AL55=0,0)</f>
        <v>0</v>
      </c>
      <c r="Z66" s="83">
        <f>_xlfn.IFS('Prepare Gantt Chart'!AM55=10,'Project types'!$O56,'Prepare Gantt Chart'!AM55=9,'Project types'!$Q56,'Prepare Gantt Chart'!AM55=0,0)</f>
        <v>0</v>
      </c>
      <c r="AA66" s="83">
        <f>_xlfn.IFS('Prepare Gantt Chart'!AN55=10,'Project types'!$O56,'Prepare Gantt Chart'!AN55=9,'Project types'!$Q56,'Prepare Gantt Chart'!AN55=0,0)</f>
        <v>0</v>
      </c>
      <c r="AB66" s="83">
        <f>_xlfn.IFS('Prepare Gantt Chart'!AO55=10,'Project types'!$O56,'Prepare Gantt Chart'!AO55=9,'Project types'!$Q56,'Prepare Gantt Chart'!AO55=0,0)</f>
        <v>0</v>
      </c>
      <c r="AC66" s="93">
        <f t="shared" si="0"/>
        <v>0</v>
      </c>
      <c r="AD66" s="86">
        <f>_xlfn.IFS('Prepare Gantt Chart'!P55=10,'Project types'!$L56,'Prepare Gantt Chart'!P55=9,'Project types'!$L56,'Prepare Gantt Chart'!P55=0,0)</f>
        <v>0</v>
      </c>
      <c r="AE66" s="83">
        <f>_xlfn.IFS('Prepare Gantt Chart'!Q55=10,'Project types'!$L56,'Prepare Gantt Chart'!Q55=9,'Project types'!$L56,'Prepare Gantt Chart'!Q55=0,0)</f>
        <v>0</v>
      </c>
      <c r="AF66" s="83">
        <f>_xlfn.IFS('Prepare Gantt Chart'!R55=10,'Project types'!$L56,'Prepare Gantt Chart'!R55=9,'Project types'!$L56,'Prepare Gantt Chart'!R55=0,0)</f>
        <v>0</v>
      </c>
      <c r="AG66" s="83">
        <f>_xlfn.IFS('Prepare Gantt Chart'!S55=10,'Project types'!$L56,'Prepare Gantt Chart'!S55=9,'Project types'!$L56,'Prepare Gantt Chart'!S55=0,0)</f>
        <v>0</v>
      </c>
      <c r="AH66" s="83">
        <f>_xlfn.IFS('Prepare Gantt Chart'!T55=10,'Project types'!$L56,'Prepare Gantt Chart'!T55=9,'Project types'!$L56,'Prepare Gantt Chart'!T55=0,0)</f>
        <v>0</v>
      </c>
      <c r="AI66" s="83">
        <f>_xlfn.IFS('Prepare Gantt Chart'!U55=10,'Project types'!$L56,'Prepare Gantt Chart'!U55=9,'Project types'!$L56,'Prepare Gantt Chart'!U55=0,0)</f>
        <v>0</v>
      </c>
      <c r="AJ66" s="83">
        <f>_xlfn.IFS('Prepare Gantt Chart'!V55=10,'Project types'!$L56,'Prepare Gantt Chart'!V55=9,'Project types'!$L56,'Prepare Gantt Chart'!V55=0,0)</f>
        <v>0</v>
      </c>
      <c r="AK66" s="83">
        <f>_xlfn.IFS('Prepare Gantt Chart'!W55=10,'Project types'!$L56,'Prepare Gantt Chart'!W55=9,'Project types'!$L56,'Prepare Gantt Chart'!W55=0,0)</f>
        <v>0</v>
      </c>
      <c r="AL66" s="83">
        <f>_xlfn.IFS('Prepare Gantt Chart'!X55=10,'Project types'!$L56,'Prepare Gantt Chart'!X55=9,'Project types'!$L56,'Prepare Gantt Chart'!X55=0,0)</f>
        <v>0</v>
      </c>
      <c r="AM66" s="83">
        <f>_xlfn.IFS('Prepare Gantt Chart'!Y55=10,'Project types'!$L56,'Prepare Gantt Chart'!Y55=9,'Project types'!$L56,'Prepare Gantt Chart'!Y55=0,0)</f>
        <v>0</v>
      </c>
      <c r="AN66" s="83">
        <f>_xlfn.IFS('Prepare Gantt Chart'!Z55=10,'Project types'!$L56,'Prepare Gantt Chart'!Z55=9,'Project types'!$L56,'Prepare Gantt Chart'!Z55=0,0)</f>
        <v>0</v>
      </c>
      <c r="AO66" s="83">
        <f>_xlfn.IFS('Prepare Gantt Chart'!AA55=10,'Project types'!$L56,'Prepare Gantt Chart'!AA55=9,'Project types'!$L56,'Prepare Gantt Chart'!AA55=0,0)</f>
        <v>0</v>
      </c>
      <c r="AP66" s="83">
        <f>_xlfn.IFS('Prepare Gantt Chart'!AB55=10,'Project types'!$L56,'Prepare Gantt Chart'!AB55=9,'Project types'!$L56,'Prepare Gantt Chart'!AB55=0,0)</f>
        <v>0</v>
      </c>
      <c r="AQ66" s="83">
        <f>_xlfn.IFS('Prepare Gantt Chart'!AC55=10,'Project types'!$L56,'Prepare Gantt Chart'!AC55=9,'Project types'!$L56,'Prepare Gantt Chart'!AC55=0,0)</f>
        <v>0</v>
      </c>
      <c r="AR66" s="83">
        <f>_xlfn.IFS('Prepare Gantt Chart'!AD55=10,'Project types'!$L56,'Prepare Gantt Chart'!AD55=9,'Project types'!$L56,'Prepare Gantt Chart'!AD55=0,0)</f>
        <v>0</v>
      </c>
      <c r="AS66" s="83">
        <f>_xlfn.IFS('Prepare Gantt Chart'!AE55=10,'Project types'!$L56,'Prepare Gantt Chart'!AE55=9,'Project types'!$L56,'Prepare Gantt Chart'!AE55=0,0)</f>
        <v>0</v>
      </c>
      <c r="AT66" s="83">
        <f>_xlfn.IFS('Prepare Gantt Chart'!AF55=10,'Project types'!$L56,'Prepare Gantt Chart'!AF55=9,'Project types'!$L56,'Prepare Gantt Chart'!AF55=0,0)</f>
        <v>0</v>
      </c>
      <c r="AU66" s="83">
        <f>_xlfn.IFS('Prepare Gantt Chart'!AG55=10,'Project types'!$L56,'Prepare Gantt Chart'!AG55=9,'Project types'!$L56,'Prepare Gantt Chart'!AG55=0,0)</f>
        <v>0</v>
      </c>
      <c r="AV66" s="83">
        <f>_xlfn.IFS('Prepare Gantt Chart'!AH55=10,'Project types'!$L56,'Prepare Gantt Chart'!AH55=9,'Project types'!$L56,'Prepare Gantt Chart'!AH55=0,0)</f>
        <v>0</v>
      </c>
      <c r="AW66" s="83">
        <f>_xlfn.IFS('Prepare Gantt Chart'!AI55=10,'Project types'!$L56,'Prepare Gantt Chart'!AI55=9,'Project types'!$L56,'Prepare Gantt Chart'!AI55=0,0)</f>
        <v>0</v>
      </c>
      <c r="AX66" s="83">
        <f>_xlfn.IFS('Prepare Gantt Chart'!AJ55=10,'Project types'!$L56,'Prepare Gantt Chart'!AJ55=9,'Project types'!$L56,'Prepare Gantt Chart'!AJ55=0,0)</f>
        <v>0</v>
      </c>
      <c r="AY66" s="83">
        <f>_xlfn.IFS('Prepare Gantt Chart'!AK55=10,'Project types'!$L56,'Prepare Gantt Chart'!AK55=9,'Project types'!$L56,'Prepare Gantt Chart'!AK55=0,0)</f>
        <v>0</v>
      </c>
      <c r="AZ66" s="83">
        <f>_xlfn.IFS('Prepare Gantt Chart'!AL55=10,'Project types'!$L56,'Prepare Gantt Chart'!AL55=9,'Project types'!$L56,'Prepare Gantt Chart'!AL55=0,0)</f>
        <v>0</v>
      </c>
      <c r="BA66" s="83">
        <f>_xlfn.IFS('Prepare Gantt Chart'!AM55=10,'Project types'!$L56,'Prepare Gantt Chart'!AM55=9,'Project types'!$L56,'Prepare Gantt Chart'!AM55=0,0)</f>
        <v>0</v>
      </c>
      <c r="BB66" s="83">
        <f>_xlfn.IFS('Prepare Gantt Chart'!AN55=10,'Project types'!$L56,'Prepare Gantt Chart'!AN55=9,'Project types'!$L56,'Prepare Gantt Chart'!AN55=0,0)</f>
        <v>0</v>
      </c>
      <c r="BC66" s="83">
        <f>_xlfn.IFS('Prepare Gantt Chart'!AO55=10,'Project types'!$L56,'Prepare Gantt Chart'!AO55=9,'Project types'!$L56,'Prepare Gantt Chart'!AO55=0,0)</f>
        <v>0</v>
      </c>
      <c r="BD66" s="91">
        <f t="shared" si="1"/>
        <v>0</v>
      </c>
      <c r="CI66" s="85"/>
    </row>
    <row r="67" spans="1:87" x14ac:dyDescent="0.2">
      <c r="A67" s="1" t="s">
        <v>139</v>
      </c>
      <c r="B67" s="30" t="s">
        <v>52</v>
      </c>
      <c r="C67" s="83">
        <f>_xlfn.IFS('Prepare Gantt Chart'!P56=10,'Project types'!$O57,'Prepare Gantt Chart'!P56=9,'Project types'!$Q57,'Prepare Gantt Chart'!P56=0,0)</f>
        <v>0</v>
      </c>
      <c r="D67" s="83">
        <f>_xlfn.IFS('Prepare Gantt Chart'!Q56=10,'Project types'!$O57,'Prepare Gantt Chart'!Q56=9,'Project types'!$Q57,'Prepare Gantt Chart'!Q56=0,0)</f>
        <v>0</v>
      </c>
      <c r="E67" s="83">
        <f>_xlfn.IFS('Prepare Gantt Chart'!R56=10,'Project types'!$O57,'Prepare Gantt Chart'!R56=9,'Project types'!$Q57,'Prepare Gantt Chart'!R56=0,0)</f>
        <v>0</v>
      </c>
      <c r="F67" s="83">
        <f>_xlfn.IFS('Prepare Gantt Chart'!S56=10,'Project types'!$O57,'Prepare Gantt Chart'!S56=9,'Project types'!$Q57,'Prepare Gantt Chart'!S56=0,0)</f>
        <v>0</v>
      </c>
      <c r="G67" s="83">
        <f>_xlfn.IFS('Prepare Gantt Chart'!T56=10,'Project types'!$O57,'Prepare Gantt Chart'!T56=9,'Project types'!$Q57,'Prepare Gantt Chart'!T56=0,0)</f>
        <v>0</v>
      </c>
      <c r="H67" s="83">
        <f>_xlfn.IFS('Prepare Gantt Chart'!U56=10,'Project types'!$O57,'Prepare Gantt Chart'!U56=9,'Project types'!$Q57,'Prepare Gantt Chart'!U56=0,0)</f>
        <v>0</v>
      </c>
      <c r="I67" s="83">
        <f>_xlfn.IFS('Prepare Gantt Chart'!V56=10,'Project types'!$O57,'Prepare Gantt Chart'!V56=9,'Project types'!$Q57,'Prepare Gantt Chart'!V56=0,0)</f>
        <v>0</v>
      </c>
      <c r="J67" s="83">
        <f>_xlfn.IFS('Prepare Gantt Chart'!W56=10,'Project types'!$O57,'Prepare Gantt Chart'!W56=9,'Project types'!$Q57,'Prepare Gantt Chart'!W56=0,0)</f>
        <v>0</v>
      </c>
      <c r="K67" s="83">
        <f>_xlfn.IFS('Prepare Gantt Chart'!X56=10,'Project types'!$O57,'Prepare Gantt Chart'!X56=9,'Project types'!$Q57,'Prepare Gantt Chart'!X56=0,0)</f>
        <v>0</v>
      </c>
      <c r="L67" s="83">
        <f>_xlfn.IFS('Prepare Gantt Chart'!Y56=10,'Project types'!$O57,'Prepare Gantt Chart'!Y56=9,'Project types'!$Q57,'Prepare Gantt Chart'!Y56=0,0)</f>
        <v>0</v>
      </c>
      <c r="M67" s="83">
        <f>_xlfn.IFS('Prepare Gantt Chart'!Z56=10,'Project types'!$O57,'Prepare Gantt Chart'!Z56=9,'Project types'!$Q57,'Prepare Gantt Chart'!Z56=0,0)</f>
        <v>0</v>
      </c>
      <c r="N67" s="83">
        <f>_xlfn.IFS('Prepare Gantt Chart'!AA56=10,'Project types'!$O57,'Prepare Gantt Chart'!AA56=9,'Project types'!$Q57,'Prepare Gantt Chart'!AA56=0,0)</f>
        <v>0</v>
      </c>
      <c r="O67" s="83">
        <f>_xlfn.IFS('Prepare Gantt Chart'!AB56=10,'Project types'!$O57,'Prepare Gantt Chart'!AB56=9,'Project types'!$Q57,'Prepare Gantt Chart'!AB56=0,0)</f>
        <v>0</v>
      </c>
      <c r="P67" s="83">
        <f>_xlfn.IFS('Prepare Gantt Chart'!AC56=10,'Project types'!$O57,'Prepare Gantt Chart'!AC56=9,'Project types'!$Q57,'Prepare Gantt Chart'!AC56=0,0)</f>
        <v>0</v>
      </c>
      <c r="Q67" s="83">
        <f>_xlfn.IFS('Prepare Gantt Chart'!AD56=10,'Project types'!$O57,'Prepare Gantt Chart'!AD56=9,'Project types'!$Q57,'Prepare Gantt Chart'!AD56=0,0)</f>
        <v>0</v>
      </c>
      <c r="R67" s="83">
        <f>_xlfn.IFS('Prepare Gantt Chart'!AE56=10,'Project types'!$O57,'Prepare Gantt Chart'!AE56=9,'Project types'!$Q57,'Prepare Gantt Chart'!AE56=0,0)</f>
        <v>0</v>
      </c>
      <c r="S67" s="83">
        <f>_xlfn.IFS('Prepare Gantt Chart'!AF56=10,'Project types'!$O57,'Prepare Gantt Chart'!AF56=9,'Project types'!$Q57,'Prepare Gantt Chart'!AF56=0,0)</f>
        <v>0</v>
      </c>
      <c r="T67" s="83">
        <f>_xlfn.IFS('Prepare Gantt Chart'!AG56=10,'Project types'!$O57,'Prepare Gantt Chart'!AG56=9,'Project types'!$Q57,'Prepare Gantt Chart'!AG56=0,0)</f>
        <v>0</v>
      </c>
      <c r="U67" s="83">
        <f>_xlfn.IFS('Prepare Gantt Chart'!AH56=10,'Project types'!$O57,'Prepare Gantt Chart'!AH56=9,'Project types'!$Q57,'Prepare Gantt Chart'!AH56=0,0)</f>
        <v>0</v>
      </c>
      <c r="V67" s="83">
        <f>_xlfn.IFS('Prepare Gantt Chart'!AI56=10,'Project types'!$O57,'Prepare Gantt Chart'!AI56=9,'Project types'!$Q57,'Prepare Gantt Chart'!AI56=0,0)</f>
        <v>0</v>
      </c>
      <c r="W67" s="83">
        <f>_xlfn.IFS('Prepare Gantt Chart'!AJ56=10,'Project types'!$O57,'Prepare Gantt Chart'!AJ56=9,'Project types'!$Q57,'Prepare Gantt Chart'!AJ56=0,0)</f>
        <v>0</v>
      </c>
      <c r="X67" s="83">
        <f>_xlfn.IFS('Prepare Gantt Chart'!AK56=10,'Project types'!$O57,'Prepare Gantt Chart'!AK56=9,'Project types'!$Q57,'Prepare Gantt Chart'!AK56=0,0)</f>
        <v>0</v>
      </c>
      <c r="Y67" s="83">
        <f>_xlfn.IFS('Prepare Gantt Chart'!AL56=10,'Project types'!$O57,'Prepare Gantt Chart'!AL56=9,'Project types'!$Q57,'Prepare Gantt Chart'!AL56=0,0)</f>
        <v>0</v>
      </c>
      <c r="Z67" s="83">
        <f>_xlfn.IFS('Prepare Gantt Chart'!AM56=10,'Project types'!$O57,'Prepare Gantt Chart'!AM56=9,'Project types'!$Q57,'Prepare Gantt Chart'!AM56=0,0)</f>
        <v>0</v>
      </c>
      <c r="AA67" s="83">
        <f>_xlfn.IFS('Prepare Gantt Chart'!AN56=10,'Project types'!$O57,'Prepare Gantt Chart'!AN56=9,'Project types'!$Q57,'Prepare Gantt Chart'!AN56=0,0)</f>
        <v>0</v>
      </c>
      <c r="AB67" s="83">
        <f>_xlfn.IFS('Prepare Gantt Chart'!AO56=10,'Project types'!$O57,'Prepare Gantt Chart'!AO56=9,'Project types'!$Q57,'Prepare Gantt Chart'!AO56=0,0)</f>
        <v>0</v>
      </c>
      <c r="AC67" s="93">
        <f t="shared" si="0"/>
        <v>0</v>
      </c>
      <c r="AD67" s="86">
        <f>_xlfn.IFS('Prepare Gantt Chart'!P56=10,'Project types'!$L57,'Prepare Gantt Chart'!P56=9,'Project types'!$L57,'Prepare Gantt Chart'!P56=0,0)</f>
        <v>0</v>
      </c>
      <c r="AE67" s="83">
        <f>_xlfn.IFS('Prepare Gantt Chart'!Q56=10,'Project types'!$L57,'Prepare Gantt Chart'!Q56=9,'Project types'!$L57,'Prepare Gantt Chart'!Q56=0,0)</f>
        <v>0</v>
      </c>
      <c r="AF67" s="83">
        <f>_xlfn.IFS('Prepare Gantt Chart'!R56=10,'Project types'!$L57,'Prepare Gantt Chart'!R56=9,'Project types'!$L57,'Prepare Gantt Chart'!R56=0,0)</f>
        <v>0</v>
      </c>
      <c r="AG67" s="83">
        <f>_xlfn.IFS('Prepare Gantt Chart'!S56=10,'Project types'!$L57,'Prepare Gantt Chart'!S56=9,'Project types'!$L57,'Prepare Gantt Chart'!S56=0,0)</f>
        <v>0</v>
      </c>
      <c r="AH67" s="83">
        <f>_xlfn.IFS('Prepare Gantt Chart'!T56=10,'Project types'!$L57,'Prepare Gantt Chart'!T56=9,'Project types'!$L57,'Prepare Gantt Chart'!T56=0,0)</f>
        <v>0</v>
      </c>
      <c r="AI67" s="83">
        <f>_xlfn.IFS('Prepare Gantt Chart'!U56=10,'Project types'!$L57,'Prepare Gantt Chart'!U56=9,'Project types'!$L57,'Prepare Gantt Chart'!U56=0,0)</f>
        <v>0</v>
      </c>
      <c r="AJ67" s="83">
        <f>_xlfn.IFS('Prepare Gantt Chart'!V56=10,'Project types'!$L57,'Prepare Gantt Chart'!V56=9,'Project types'!$L57,'Prepare Gantt Chart'!V56=0,0)</f>
        <v>0</v>
      </c>
      <c r="AK67" s="83">
        <f>_xlfn.IFS('Prepare Gantt Chart'!W56=10,'Project types'!$L57,'Prepare Gantt Chart'!W56=9,'Project types'!$L57,'Prepare Gantt Chart'!W56=0,0)</f>
        <v>0</v>
      </c>
      <c r="AL67" s="83">
        <f>_xlfn.IFS('Prepare Gantt Chart'!X56=10,'Project types'!$L57,'Prepare Gantt Chart'!X56=9,'Project types'!$L57,'Prepare Gantt Chart'!X56=0,0)</f>
        <v>0</v>
      </c>
      <c r="AM67" s="83">
        <f>_xlfn.IFS('Prepare Gantt Chart'!Y56=10,'Project types'!$L57,'Prepare Gantt Chart'!Y56=9,'Project types'!$L57,'Prepare Gantt Chart'!Y56=0,0)</f>
        <v>0</v>
      </c>
      <c r="AN67" s="83">
        <f>_xlfn.IFS('Prepare Gantt Chart'!Z56=10,'Project types'!$L57,'Prepare Gantt Chart'!Z56=9,'Project types'!$L57,'Prepare Gantt Chart'!Z56=0,0)</f>
        <v>0</v>
      </c>
      <c r="AO67" s="83">
        <f>_xlfn.IFS('Prepare Gantt Chart'!AA56=10,'Project types'!$L57,'Prepare Gantt Chart'!AA56=9,'Project types'!$L57,'Prepare Gantt Chart'!AA56=0,0)</f>
        <v>0</v>
      </c>
      <c r="AP67" s="83">
        <f>_xlfn.IFS('Prepare Gantt Chart'!AB56=10,'Project types'!$L57,'Prepare Gantt Chart'!AB56=9,'Project types'!$L57,'Prepare Gantt Chart'!AB56=0,0)</f>
        <v>0</v>
      </c>
      <c r="AQ67" s="83">
        <f>_xlfn.IFS('Prepare Gantt Chart'!AC56=10,'Project types'!$L57,'Prepare Gantt Chart'!AC56=9,'Project types'!$L57,'Prepare Gantt Chart'!AC56=0,0)</f>
        <v>0</v>
      </c>
      <c r="AR67" s="83">
        <f>_xlfn.IFS('Prepare Gantt Chart'!AD56=10,'Project types'!$L57,'Prepare Gantt Chart'!AD56=9,'Project types'!$L57,'Prepare Gantt Chart'!AD56=0,0)</f>
        <v>0</v>
      </c>
      <c r="AS67" s="83">
        <f>_xlfn.IFS('Prepare Gantt Chart'!AE56=10,'Project types'!$L57,'Prepare Gantt Chart'!AE56=9,'Project types'!$L57,'Prepare Gantt Chart'!AE56=0,0)</f>
        <v>0</v>
      </c>
      <c r="AT67" s="83">
        <f>_xlfn.IFS('Prepare Gantt Chart'!AF56=10,'Project types'!$L57,'Prepare Gantt Chart'!AF56=9,'Project types'!$L57,'Prepare Gantt Chart'!AF56=0,0)</f>
        <v>0</v>
      </c>
      <c r="AU67" s="83">
        <f>_xlfn.IFS('Prepare Gantt Chart'!AG56=10,'Project types'!$L57,'Prepare Gantt Chart'!AG56=9,'Project types'!$L57,'Prepare Gantt Chart'!AG56=0,0)</f>
        <v>0</v>
      </c>
      <c r="AV67" s="83">
        <f>_xlfn.IFS('Prepare Gantt Chart'!AH56=10,'Project types'!$L57,'Prepare Gantt Chart'!AH56=9,'Project types'!$L57,'Prepare Gantt Chart'!AH56=0,0)</f>
        <v>0</v>
      </c>
      <c r="AW67" s="83">
        <f>_xlfn.IFS('Prepare Gantt Chart'!AI56=10,'Project types'!$L57,'Prepare Gantt Chart'!AI56=9,'Project types'!$L57,'Prepare Gantt Chart'!AI56=0,0)</f>
        <v>0</v>
      </c>
      <c r="AX67" s="83">
        <f>_xlfn.IFS('Prepare Gantt Chart'!AJ56=10,'Project types'!$L57,'Prepare Gantt Chart'!AJ56=9,'Project types'!$L57,'Prepare Gantt Chart'!AJ56=0,0)</f>
        <v>0</v>
      </c>
      <c r="AY67" s="83">
        <f>_xlfn.IFS('Prepare Gantt Chart'!AK56=10,'Project types'!$L57,'Prepare Gantt Chart'!AK56=9,'Project types'!$L57,'Prepare Gantt Chart'!AK56=0,0)</f>
        <v>0</v>
      </c>
      <c r="AZ67" s="83">
        <f>_xlfn.IFS('Prepare Gantt Chart'!AL56=10,'Project types'!$L57,'Prepare Gantt Chart'!AL56=9,'Project types'!$L57,'Prepare Gantt Chart'!AL56=0,0)</f>
        <v>0</v>
      </c>
      <c r="BA67" s="83">
        <f>_xlfn.IFS('Prepare Gantt Chart'!AM56=10,'Project types'!$L57,'Prepare Gantt Chart'!AM56=9,'Project types'!$L57,'Prepare Gantt Chart'!AM56=0,0)</f>
        <v>0</v>
      </c>
      <c r="BB67" s="83">
        <f>_xlfn.IFS('Prepare Gantt Chart'!AN56=10,'Project types'!$L57,'Prepare Gantt Chart'!AN56=9,'Project types'!$L57,'Prepare Gantt Chart'!AN56=0,0)</f>
        <v>0</v>
      </c>
      <c r="BC67" s="83">
        <f>_xlfn.IFS('Prepare Gantt Chart'!AO56=10,'Project types'!$L57,'Prepare Gantt Chart'!AO56=9,'Project types'!$L57,'Prepare Gantt Chart'!AO56=0,0)</f>
        <v>0</v>
      </c>
      <c r="BD67" s="91">
        <f t="shared" si="1"/>
        <v>0</v>
      </c>
      <c r="CI67" s="85"/>
    </row>
    <row r="68" spans="1:87" x14ac:dyDescent="0.2">
      <c r="A68" s="1" t="s">
        <v>140</v>
      </c>
      <c r="B68" s="30" t="s">
        <v>53</v>
      </c>
      <c r="C68" s="83">
        <f>_xlfn.IFS('Prepare Gantt Chart'!P57=10,'Project types'!$O58,'Prepare Gantt Chart'!P57=9,'Project types'!$Q58,'Prepare Gantt Chart'!P57=0,0)</f>
        <v>0</v>
      </c>
      <c r="D68" s="83">
        <f>_xlfn.IFS('Prepare Gantt Chart'!Q57=10,'Project types'!$O58,'Prepare Gantt Chart'!Q57=9,'Project types'!$Q58,'Prepare Gantt Chart'!Q57=0,0)</f>
        <v>0</v>
      </c>
      <c r="E68" s="83">
        <f>_xlfn.IFS('Prepare Gantt Chart'!R57=10,'Project types'!$O58,'Prepare Gantt Chart'!R57=9,'Project types'!$Q58,'Prepare Gantt Chart'!R57=0,0)</f>
        <v>0</v>
      </c>
      <c r="F68" s="83">
        <f>_xlfn.IFS('Prepare Gantt Chart'!S57=10,'Project types'!$O58,'Prepare Gantt Chart'!S57=9,'Project types'!$Q58,'Prepare Gantt Chart'!S57=0,0)</f>
        <v>0</v>
      </c>
      <c r="G68" s="83">
        <f>_xlfn.IFS('Prepare Gantt Chart'!T57=10,'Project types'!$O58,'Prepare Gantt Chart'!T57=9,'Project types'!$Q58,'Prepare Gantt Chart'!T57=0,0)</f>
        <v>0</v>
      </c>
      <c r="H68" s="83">
        <f>_xlfn.IFS('Prepare Gantt Chart'!U57=10,'Project types'!$O58,'Prepare Gantt Chart'!U57=9,'Project types'!$Q58,'Prepare Gantt Chart'!U57=0,0)</f>
        <v>0</v>
      </c>
      <c r="I68" s="83">
        <f>_xlfn.IFS('Prepare Gantt Chart'!V57=10,'Project types'!$O58,'Prepare Gantt Chart'!V57=9,'Project types'!$Q58,'Prepare Gantt Chart'!V57=0,0)</f>
        <v>0</v>
      </c>
      <c r="J68" s="83">
        <f>_xlfn.IFS('Prepare Gantt Chart'!W57=10,'Project types'!$O58,'Prepare Gantt Chart'!W57=9,'Project types'!$Q58,'Prepare Gantt Chart'!W57=0,0)</f>
        <v>0</v>
      </c>
      <c r="K68" s="83">
        <f>_xlfn.IFS('Prepare Gantt Chart'!X57=10,'Project types'!$O58,'Prepare Gantt Chart'!X57=9,'Project types'!$Q58,'Prepare Gantt Chart'!X57=0,0)</f>
        <v>0</v>
      </c>
      <c r="L68" s="83">
        <f>_xlfn.IFS('Prepare Gantt Chart'!Y57=10,'Project types'!$O58,'Prepare Gantt Chart'!Y57=9,'Project types'!$Q58,'Prepare Gantt Chart'!Y57=0,0)</f>
        <v>0</v>
      </c>
      <c r="M68" s="83">
        <f>_xlfn.IFS('Prepare Gantt Chart'!Z57=10,'Project types'!$O58,'Prepare Gantt Chart'!Z57=9,'Project types'!$Q58,'Prepare Gantt Chart'!Z57=0,0)</f>
        <v>0</v>
      </c>
      <c r="N68" s="83">
        <f>_xlfn.IFS('Prepare Gantt Chart'!AA57=10,'Project types'!$O58,'Prepare Gantt Chart'!AA57=9,'Project types'!$Q58,'Prepare Gantt Chart'!AA57=0,0)</f>
        <v>0</v>
      </c>
      <c r="O68" s="83">
        <f>_xlfn.IFS('Prepare Gantt Chart'!AB57=10,'Project types'!$O58,'Prepare Gantt Chart'!AB57=9,'Project types'!$Q58,'Prepare Gantt Chart'!AB57=0,0)</f>
        <v>0</v>
      </c>
      <c r="P68" s="83">
        <f>_xlfn.IFS('Prepare Gantt Chart'!AC57=10,'Project types'!$O58,'Prepare Gantt Chart'!AC57=9,'Project types'!$Q58,'Prepare Gantt Chart'!AC57=0,0)</f>
        <v>0</v>
      </c>
      <c r="Q68" s="83">
        <f>_xlfn.IFS('Prepare Gantt Chart'!AD57=10,'Project types'!$O58,'Prepare Gantt Chart'!AD57=9,'Project types'!$Q58,'Prepare Gantt Chart'!AD57=0,0)</f>
        <v>0</v>
      </c>
      <c r="R68" s="83">
        <f>_xlfn.IFS('Prepare Gantt Chart'!AE57=10,'Project types'!$O58,'Prepare Gantt Chart'!AE57=9,'Project types'!$Q58,'Prepare Gantt Chart'!AE57=0,0)</f>
        <v>0</v>
      </c>
      <c r="S68" s="83">
        <f>_xlfn.IFS('Prepare Gantt Chart'!AF57=10,'Project types'!$O58,'Prepare Gantt Chart'!AF57=9,'Project types'!$Q58,'Prepare Gantt Chart'!AF57=0,0)</f>
        <v>0</v>
      </c>
      <c r="T68" s="83">
        <f>_xlfn.IFS('Prepare Gantt Chart'!AG57=10,'Project types'!$O58,'Prepare Gantt Chart'!AG57=9,'Project types'!$Q58,'Prepare Gantt Chart'!AG57=0,0)</f>
        <v>0</v>
      </c>
      <c r="U68" s="83">
        <f>_xlfn.IFS('Prepare Gantt Chart'!AH57=10,'Project types'!$O58,'Prepare Gantt Chart'!AH57=9,'Project types'!$Q58,'Prepare Gantt Chart'!AH57=0,0)</f>
        <v>0</v>
      </c>
      <c r="V68" s="83">
        <f>_xlfn.IFS('Prepare Gantt Chart'!AI57=10,'Project types'!$O58,'Prepare Gantt Chart'!AI57=9,'Project types'!$Q58,'Prepare Gantt Chart'!AI57=0,0)</f>
        <v>0</v>
      </c>
      <c r="W68" s="83">
        <f>_xlfn.IFS('Prepare Gantt Chart'!AJ57=10,'Project types'!$O58,'Prepare Gantt Chart'!AJ57=9,'Project types'!$Q58,'Prepare Gantt Chart'!AJ57=0,0)</f>
        <v>0</v>
      </c>
      <c r="X68" s="83">
        <f>_xlfn.IFS('Prepare Gantt Chart'!AK57=10,'Project types'!$O58,'Prepare Gantt Chart'!AK57=9,'Project types'!$Q58,'Prepare Gantt Chart'!AK57=0,0)</f>
        <v>0</v>
      </c>
      <c r="Y68" s="83">
        <f>_xlfn.IFS('Prepare Gantt Chart'!AL57=10,'Project types'!$O58,'Prepare Gantt Chart'!AL57=9,'Project types'!$Q58,'Prepare Gantt Chart'!AL57=0,0)</f>
        <v>0</v>
      </c>
      <c r="Z68" s="83">
        <f>_xlfn.IFS('Prepare Gantt Chart'!AM57=10,'Project types'!$O58,'Prepare Gantt Chart'!AM57=9,'Project types'!$Q58,'Prepare Gantt Chart'!AM57=0,0)</f>
        <v>0</v>
      </c>
      <c r="AA68" s="83">
        <f>_xlfn.IFS('Prepare Gantt Chart'!AN57=10,'Project types'!$O58,'Prepare Gantt Chart'!AN57=9,'Project types'!$Q58,'Prepare Gantt Chart'!AN57=0,0)</f>
        <v>0</v>
      </c>
      <c r="AB68" s="83">
        <f>_xlfn.IFS('Prepare Gantt Chart'!AO57=10,'Project types'!$O58,'Prepare Gantt Chart'!AO57=9,'Project types'!$Q58,'Prepare Gantt Chart'!AO57=0,0)</f>
        <v>0</v>
      </c>
      <c r="AC68" s="93">
        <f t="shared" si="0"/>
        <v>0</v>
      </c>
      <c r="AD68" s="86">
        <f>_xlfn.IFS('Prepare Gantt Chart'!P57=10,'Project types'!$L58,'Prepare Gantt Chart'!P57=9,'Project types'!$L58,'Prepare Gantt Chart'!P57=0,0)</f>
        <v>0</v>
      </c>
      <c r="AE68" s="83">
        <f>_xlfn.IFS('Prepare Gantt Chart'!Q57=10,'Project types'!$L58,'Prepare Gantt Chart'!Q57=9,'Project types'!$L58,'Prepare Gantt Chart'!Q57=0,0)</f>
        <v>0</v>
      </c>
      <c r="AF68" s="83">
        <f>_xlfn.IFS('Prepare Gantt Chart'!R57=10,'Project types'!$L58,'Prepare Gantt Chart'!R57=9,'Project types'!$L58,'Prepare Gantt Chart'!R57=0,0)</f>
        <v>0</v>
      </c>
      <c r="AG68" s="83">
        <f>_xlfn.IFS('Prepare Gantt Chart'!S57=10,'Project types'!$L58,'Prepare Gantt Chart'!S57=9,'Project types'!$L58,'Prepare Gantt Chart'!S57=0,0)</f>
        <v>0</v>
      </c>
      <c r="AH68" s="83">
        <f>_xlfn.IFS('Prepare Gantt Chart'!T57=10,'Project types'!$L58,'Prepare Gantt Chart'!T57=9,'Project types'!$L58,'Prepare Gantt Chart'!T57=0,0)</f>
        <v>0</v>
      </c>
      <c r="AI68" s="83">
        <f>_xlfn.IFS('Prepare Gantt Chart'!U57=10,'Project types'!$L58,'Prepare Gantt Chart'!U57=9,'Project types'!$L58,'Prepare Gantt Chart'!U57=0,0)</f>
        <v>0</v>
      </c>
      <c r="AJ68" s="83">
        <f>_xlfn.IFS('Prepare Gantt Chart'!V57=10,'Project types'!$L58,'Prepare Gantt Chart'!V57=9,'Project types'!$L58,'Prepare Gantt Chart'!V57=0,0)</f>
        <v>0</v>
      </c>
      <c r="AK68" s="83">
        <f>_xlfn.IFS('Prepare Gantt Chart'!W57=10,'Project types'!$L58,'Prepare Gantt Chart'!W57=9,'Project types'!$L58,'Prepare Gantt Chart'!W57=0,0)</f>
        <v>0</v>
      </c>
      <c r="AL68" s="83">
        <f>_xlfn.IFS('Prepare Gantt Chart'!X57=10,'Project types'!$L58,'Prepare Gantt Chart'!X57=9,'Project types'!$L58,'Prepare Gantt Chart'!X57=0,0)</f>
        <v>0</v>
      </c>
      <c r="AM68" s="83">
        <f>_xlfn.IFS('Prepare Gantt Chart'!Y57=10,'Project types'!$L58,'Prepare Gantt Chart'!Y57=9,'Project types'!$L58,'Prepare Gantt Chart'!Y57=0,0)</f>
        <v>0</v>
      </c>
      <c r="AN68" s="83">
        <f>_xlfn.IFS('Prepare Gantt Chart'!Z57=10,'Project types'!$L58,'Prepare Gantt Chart'!Z57=9,'Project types'!$L58,'Prepare Gantt Chart'!Z57=0,0)</f>
        <v>0</v>
      </c>
      <c r="AO68" s="83">
        <f>_xlfn.IFS('Prepare Gantt Chart'!AA57=10,'Project types'!$L58,'Prepare Gantt Chart'!AA57=9,'Project types'!$L58,'Prepare Gantt Chart'!AA57=0,0)</f>
        <v>0</v>
      </c>
      <c r="AP68" s="83">
        <f>_xlfn.IFS('Prepare Gantt Chart'!AB57=10,'Project types'!$L58,'Prepare Gantt Chart'!AB57=9,'Project types'!$L58,'Prepare Gantt Chart'!AB57=0,0)</f>
        <v>0</v>
      </c>
      <c r="AQ68" s="83">
        <f>_xlfn.IFS('Prepare Gantt Chart'!AC57=10,'Project types'!$L58,'Prepare Gantt Chart'!AC57=9,'Project types'!$L58,'Prepare Gantt Chart'!AC57=0,0)</f>
        <v>0</v>
      </c>
      <c r="AR68" s="83">
        <f>_xlfn.IFS('Prepare Gantt Chart'!AD57=10,'Project types'!$L58,'Prepare Gantt Chart'!AD57=9,'Project types'!$L58,'Prepare Gantt Chart'!AD57=0,0)</f>
        <v>0</v>
      </c>
      <c r="AS68" s="83">
        <f>_xlfn.IFS('Prepare Gantt Chart'!AE57=10,'Project types'!$L58,'Prepare Gantt Chart'!AE57=9,'Project types'!$L58,'Prepare Gantt Chart'!AE57=0,0)</f>
        <v>0</v>
      </c>
      <c r="AT68" s="83">
        <f>_xlfn.IFS('Prepare Gantt Chart'!AF57=10,'Project types'!$L58,'Prepare Gantt Chart'!AF57=9,'Project types'!$L58,'Prepare Gantt Chart'!AF57=0,0)</f>
        <v>0</v>
      </c>
      <c r="AU68" s="83">
        <f>_xlfn.IFS('Prepare Gantt Chart'!AG57=10,'Project types'!$L58,'Prepare Gantt Chart'!AG57=9,'Project types'!$L58,'Prepare Gantt Chart'!AG57=0,0)</f>
        <v>0</v>
      </c>
      <c r="AV68" s="83">
        <f>_xlfn.IFS('Prepare Gantt Chart'!AH57=10,'Project types'!$L58,'Prepare Gantt Chart'!AH57=9,'Project types'!$L58,'Prepare Gantt Chart'!AH57=0,0)</f>
        <v>0</v>
      </c>
      <c r="AW68" s="83">
        <f>_xlfn.IFS('Prepare Gantt Chart'!AI57=10,'Project types'!$L58,'Prepare Gantt Chart'!AI57=9,'Project types'!$L58,'Prepare Gantt Chart'!AI57=0,0)</f>
        <v>0</v>
      </c>
      <c r="AX68" s="83">
        <f>_xlfn.IFS('Prepare Gantt Chart'!AJ57=10,'Project types'!$L58,'Prepare Gantt Chart'!AJ57=9,'Project types'!$L58,'Prepare Gantt Chart'!AJ57=0,0)</f>
        <v>0</v>
      </c>
      <c r="AY68" s="83">
        <f>_xlfn.IFS('Prepare Gantt Chart'!AK57=10,'Project types'!$L58,'Prepare Gantt Chart'!AK57=9,'Project types'!$L58,'Prepare Gantt Chart'!AK57=0,0)</f>
        <v>0</v>
      </c>
      <c r="AZ68" s="83">
        <f>_xlfn.IFS('Prepare Gantt Chart'!AL57=10,'Project types'!$L58,'Prepare Gantt Chart'!AL57=9,'Project types'!$L58,'Prepare Gantt Chart'!AL57=0,0)</f>
        <v>0</v>
      </c>
      <c r="BA68" s="83">
        <f>_xlfn.IFS('Prepare Gantt Chart'!AM57=10,'Project types'!$L58,'Prepare Gantt Chart'!AM57=9,'Project types'!$L58,'Prepare Gantt Chart'!AM57=0,0)</f>
        <v>0</v>
      </c>
      <c r="BB68" s="83">
        <f>_xlfn.IFS('Prepare Gantt Chart'!AN57=10,'Project types'!$L58,'Prepare Gantt Chart'!AN57=9,'Project types'!$L58,'Prepare Gantt Chart'!AN57=0,0)</f>
        <v>0</v>
      </c>
      <c r="BC68" s="83">
        <f>_xlfn.IFS('Prepare Gantt Chart'!AO57=10,'Project types'!$L58,'Prepare Gantt Chart'!AO57=9,'Project types'!$L58,'Prepare Gantt Chart'!AO57=0,0)</f>
        <v>0</v>
      </c>
      <c r="BD68" s="91">
        <f t="shared" si="1"/>
        <v>0</v>
      </c>
      <c r="CI68" s="85"/>
    </row>
    <row r="69" spans="1:87" x14ac:dyDescent="0.2">
      <c r="A69" s="1" t="s">
        <v>405</v>
      </c>
      <c r="B69" s="30" t="s">
        <v>54</v>
      </c>
      <c r="C69" s="83">
        <f>_xlfn.IFS('Prepare Gantt Chart'!P58=10,'Project types'!$O59,'Prepare Gantt Chart'!P58=9,'Project types'!$Q59,'Prepare Gantt Chart'!P58=0,0)</f>
        <v>0</v>
      </c>
      <c r="D69" s="83">
        <f>_xlfn.IFS('Prepare Gantt Chart'!Q58=10,'Project types'!$O59,'Prepare Gantt Chart'!Q58=9,'Project types'!$Q59,'Prepare Gantt Chart'!Q58=0,0)</f>
        <v>0</v>
      </c>
      <c r="E69" s="83">
        <f>_xlfn.IFS('Prepare Gantt Chart'!R58=10,'Project types'!$O59,'Prepare Gantt Chart'!R58=9,'Project types'!$Q59,'Prepare Gantt Chart'!R58=0,0)</f>
        <v>0</v>
      </c>
      <c r="F69" s="83">
        <f>_xlfn.IFS('Prepare Gantt Chart'!S58=10,'Project types'!$O59,'Prepare Gantt Chart'!S58=9,'Project types'!$Q59,'Prepare Gantt Chart'!S58=0,0)</f>
        <v>0</v>
      </c>
      <c r="G69" s="83">
        <f>_xlfn.IFS('Prepare Gantt Chart'!T58=10,'Project types'!$O59,'Prepare Gantt Chart'!T58=9,'Project types'!$Q59,'Prepare Gantt Chart'!T58=0,0)</f>
        <v>0</v>
      </c>
      <c r="H69" s="83">
        <f>_xlfn.IFS('Prepare Gantt Chart'!U58=10,'Project types'!$O59,'Prepare Gantt Chart'!U58=9,'Project types'!$Q59,'Prepare Gantt Chart'!U58=0,0)</f>
        <v>0</v>
      </c>
      <c r="I69" s="83">
        <f>_xlfn.IFS('Prepare Gantt Chart'!V58=10,'Project types'!$O59,'Prepare Gantt Chart'!V58=9,'Project types'!$Q59,'Prepare Gantt Chart'!V58=0,0)</f>
        <v>0</v>
      </c>
      <c r="J69" s="83">
        <f>_xlfn.IFS('Prepare Gantt Chart'!W58=10,'Project types'!$O59,'Prepare Gantt Chart'!W58=9,'Project types'!$Q59,'Prepare Gantt Chart'!W58=0,0)</f>
        <v>0</v>
      </c>
      <c r="K69" s="83">
        <f>_xlfn.IFS('Prepare Gantt Chart'!X58=10,'Project types'!$O59,'Prepare Gantt Chart'!X58=9,'Project types'!$Q59,'Prepare Gantt Chart'!X58=0,0)</f>
        <v>0</v>
      </c>
      <c r="L69" s="83">
        <f>_xlfn.IFS('Prepare Gantt Chart'!Y58=10,'Project types'!$O59,'Prepare Gantt Chart'!Y58=9,'Project types'!$Q59,'Prepare Gantt Chart'!Y58=0,0)</f>
        <v>0</v>
      </c>
      <c r="M69" s="83">
        <f>_xlfn.IFS('Prepare Gantt Chart'!Z58=10,'Project types'!$O59,'Prepare Gantt Chart'!Z58=9,'Project types'!$Q59,'Prepare Gantt Chart'!Z58=0,0)</f>
        <v>0</v>
      </c>
      <c r="N69" s="83">
        <f>_xlfn.IFS('Prepare Gantt Chart'!AA58=10,'Project types'!$O59,'Prepare Gantt Chart'!AA58=9,'Project types'!$Q59,'Prepare Gantt Chart'!AA58=0,0)</f>
        <v>0</v>
      </c>
      <c r="O69" s="83">
        <f>_xlfn.IFS('Prepare Gantt Chart'!AB58=10,'Project types'!$O59,'Prepare Gantt Chart'!AB58=9,'Project types'!$Q59,'Prepare Gantt Chart'!AB58=0,0)</f>
        <v>0</v>
      </c>
      <c r="P69" s="83">
        <f>_xlfn.IFS('Prepare Gantt Chart'!AC58=10,'Project types'!$O59,'Prepare Gantt Chart'!AC58=9,'Project types'!$Q59,'Prepare Gantt Chart'!AC58=0,0)</f>
        <v>0</v>
      </c>
      <c r="Q69" s="83">
        <f>_xlfn.IFS('Prepare Gantt Chart'!AD58=10,'Project types'!$O59,'Prepare Gantt Chart'!AD58=9,'Project types'!$Q59,'Prepare Gantt Chart'!AD58=0,0)</f>
        <v>0</v>
      </c>
      <c r="R69" s="83">
        <f>_xlfn.IFS('Prepare Gantt Chart'!AE58=10,'Project types'!$O59,'Prepare Gantt Chart'!AE58=9,'Project types'!$Q59,'Prepare Gantt Chart'!AE58=0,0)</f>
        <v>0</v>
      </c>
      <c r="S69" s="83">
        <f>_xlfn.IFS('Prepare Gantt Chart'!AF58=10,'Project types'!$O59,'Prepare Gantt Chart'!AF58=9,'Project types'!$Q59,'Prepare Gantt Chart'!AF58=0,0)</f>
        <v>0</v>
      </c>
      <c r="T69" s="83">
        <f>_xlfn.IFS('Prepare Gantt Chart'!AG58=10,'Project types'!$O59,'Prepare Gantt Chart'!AG58=9,'Project types'!$Q59,'Prepare Gantt Chart'!AG58=0,0)</f>
        <v>0</v>
      </c>
      <c r="U69" s="83">
        <f>_xlfn.IFS('Prepare Gantt Chart'!AH58=10,'Project types'!$O59,'Prepare Gantt Chart'!AH58=9,'Project types'!$Q59,'Prepare Gantt Chart'!AH58=0,0)</f>
        <v>0</v>
      </c>
      <c r="V69" s="83">
        <f>_xlfn.IFS('Prepare Gantt Chart'!AI58=10,'Project types'!$O59,'Prepare Gantt Chart'!AI58=9,'Project types'!$Q59,'Prepare Gantt Chart'!AI58=0,0)</f>
        <v>0</v>
      </c>
      <c r="W69" s="83">
        <f>_xlfn.IFS('Prepare Gantt Chart'!AJ58=10,'Project types'!$O59,'Prepare Gantt Chart'!AJ58=9,'Project types'!$Q59,'Prepare Gantt Chart'!AJ58=0,0)</f>
        <v>0</v>
      </c>
      <c r="X69" s="83">
        <f>_xlfn.IFS('Prepare Gantt Chart'!AK58=10,'Project types'!$O59,'Prepare Gantt Chart'!AK58=9,'Project types'!$Q59,'Prepare Gantt Chart'!AK58=0,0)</f>
        <v>0</v>
      </c>
      <c r="Y69" s="83">
        <f>_xlfn.IFS('Prepare Gantt Chart'!AL58=10,'Project types'!$O59,'Prepare Gantt Chart'!AL58=9,'Project types'!$Q59,'Prepare Gantt Chart'!AL58=0,0)</f>
        <v>0</v>
      </c>
      <c r="Z69" s="83">
        <f>_xlfn.IFS('Prepare Gantt Chart'!AM58=10,'Project types'!$O59,'Prepare Gantt Chart'!AM58=9,'Project types'!$Q59,'Prepare Gantt Chart'!AM58=0,0)</f>
        <v>0</v>
      </c>
      <c r="AA69" s="83">
        <f>_xlfn.IFS('Prepare Gantt Chart'!AN58=10,'Project types'!$O59,'Prepare Gantt Chart'!AN58=9,'Project types'!$Q59,'Prepare Gantt Chart'!AN58=0,0)</f>
        <v>0</v>
      </c>
      <c r="AB69" s="83">
        <f>_xlfn.IFS('Prepare Gantt Chart'!AO58=10,'Project types'!$O59,'Prepare Gantt Chart'!AO58=9,'Project types'!$Q59,'Prepare Gantt Chart'!AO58=0,0)</f>
        <v>0</v>
      </c>
      <c r="AC69" s="93">
        <f t="shared" si="0"/>
        <v>0</v>
      </c>
      <c r="AD69" s="86">
        <f>_xlfn.IFS('Prepare Gantt Chart'!P58=10,'Project types'!$L59,'Prepare Gantt Chart'!P58=9,'Project types'!$L59,'Prepare Gantt Chart'!P58=0,0)</f>
        <v>0</v>
      </c>
      <c r="AE69" s="83">
        <f>_xlfn.IFS('Prepare Gantt Chart'!Q58=10,'Project types'!$L59,'Prepare Gantt Chart'!Q58=9,'Project types'!$L59,'Prepare Gantt Chart'!Q58=0,0)</f>
        <v>0</v>
      </c>
      <c r="AF69" s="83">
        <f>_xlfn.IFS('Prepare Gantt Chart'!R58=10,'Project types'!$L59,'Prepare Gantt Chart'!R58=9,'Project types'!$L59,'Prepare Gantt Chart'!R58=0,0)</f>
        <v>0</v>
      </c>
      <c r="AG69" s="83">
        <f>_xlfn.IFS('Prepare Gantt Chart'!S58=10,'Project types'!$L59,'Prepare Gantt Chart'!S58=9,'Project types'!$L59,'Prepare Gantt Chart'!S58=0,0)</f>
        <v>0</v>
      </c>
      <c r="AH69" s="83">
        <f>_xlfn.IFS('Prepare Gantt Chart'!T58=10,'Project types'!$L59,'Prepare Gantt Chart'!T58=9,'Project types'!$L59,'Prepare Gantt Chart'!T58=0,0)</f>
        <v>0</v>
      </c>
      <c r="AI69" s="83">
        <f>_xlfn.IFS('Prepare Gantt Chart'!U58=10,'Project types'!$L59,'Prepare Gantt Chart'!U58=9,'Project types'!$L59,'Prepare Gantt Chart'!U58=0,0)</f>
        <v>0</v>
      </c>
      <c r="AJ69" s="83">
        <f>_xlfn.IFS('Prepare Gantt Chart'!V58=10,'Project types'!$L59,'Prepare Gantt Chart'!V58=9,'Project types'!$L59,'Prepare Gantt Chart'!V58=0,0)</f>
        <v>0</v>
      </c>
      <c r="AK69" s="83">
        <f>_xlfn.IFS('Prepare Gantt Chart'!W58=10,'Project types'!$L59,'Prepare Gantt Chart'!W58=9,'Project types'!$L59,'Prepare Gantt Chart'!W58=0,0)</f>
        <v>0</v>
      </c>
      <c r="AL69" s="83">
        <f>_xlfn.IFS('Prepare Gantt Chart'!X58=10,'Project types'!$L59,'Prepare Gantt Chart'!X58=9,'Project types'!$L59,'Prepare Gantt Chart'!X58=0,0)</f>
        <v>0</v>
      </c>
      <c r="AM69" s="83">
        <f>_xlfn.IFS('Prepare Gantt Chart'!Y58=10,'Project types'!$L59,'Prepare Gantt Chart'!Y58=9,'Project types'!$L59,'Prepare Gantt Chart'!Y58=0,0)</f>
        <v>0</v>
      </c>
      <c r="AN69" s="83">
        <f>_xlfn.IFS('Prepare Gantt Chart'!Z58=10,'Project types'!$L59,'Prepare Gantt Chart'!Z58=9,'Project types'!$L59,'Prepare Gantt Chart'!Z58=0,0)</f>
        <v>0</v>
      </c>
      <c r="AO69" s="83">
        <f>_xlfn.IFS('Prepare Gantt Chart'!AA58=10,'Project types'!$L59,'Prepare Gantt Chart'!AA58=9,'Project types'!$L59,'Prepare Gantt Chart'!AA58=0,0)</f>
        <v>0</v>
      </c>
      <c r="AP69" s="83">
        <f>_xlfn.IFS('Prepare Gantt Chart'!AB58=10,'Project types'!$L59,'Prepare Gantt Chart'!AB58=9,'Project types'!$L59,'Prepare Gantt Chart'!AB58=0,0)</f>
        <v>0</v>
      </c>
      <c r="AQ69" s="83">
        <f>_xlfn.IFS('Prepare Gantt Chart'!AC58=10,'Project types'!$L59,'Prepare Gantt Chart'!AC58=9,'Project types'!$L59,'Prepare Gantt Chart'!AC58=0,0)</f>
        <v>0</v>
      </c>
      <c r="AR69" s="83">
        <f>_xlfn.IFS('Prepare Gantt Chart'!AD58=10,'Project types'!$L59,'Prepare Gantt Chart'!AD58=9,'Project types'!$L59,'Prepare Gantt Chart'!AD58=0,0)</f>
        <v>0</v>
      </c>
      <c r="AS69" s="83">
        <f>_xlfn.IFS('Prepare Gantt Chart'!AE58=10,'Project types'!$L59,'Prepare Gantt Chart'!AE58=9,'Project types'!$L59,'Prepare Gantt Chart'!AE58=0,0)</f>
        <v>0</v>
      </c>
      <c r="AT69" s="83">
        <f>_xlfn.IFS('Prepare Gantt Chart'!AF58=10,'Project types'!$L59,'Prepare Gantt Chart'!AF58=9,'Project types'!$L59,'Prepare Gantt Chart'!AF58=0,0)</f>
        <v>0</v>
      </c>
      <c r="AU69" s="83">
        <f>_xlfn.IFS('Prepare Gantt Chart'!AG58=10,'Project types'!$L59,'Prepare Gantt Chart'!AG58=9,'Project types'!$L59,'Prepare Gantt Chart'!AG58=0,0)</f>
        <v>0</v>
      </c>
      <c r="AV69" s="83">
        <f>_xlfn.IFS('Prepare Gantt Chart'!AH58=10,'Project types'!$L59,'Prepare Gantt Chart'!AH58=9,'Project types'!$L59,'Prepare Gantt Chart'!AH58=0,0)</f>
        <v>0</v>
      </c>
      <c r="AW69" s="83">
        <f>_xlfn.IFS('Prepare Gantt Chart'!AI58=10,'Project types'!$L59,'Prepare Gantt Chart'!AI58=9,'Project types'!$L59,'Prepare Gantt Chart'!AI58=0,0)</f>
        <v>0</v>
      </c>
      <c r="AX69" s="83">
        <f>_xlfn.IFS('Prepare Gantt Chart'!AJ58=10,'Project types'!$L59,'Prepare Gantt Chart'!AJ58=9,'Project types'!$L59,'Prepare Gantt Chart'!AJ58=0,0)</f>
        <v>0</v>
      </c>
      <c r="AY69" s="83">
        <f>_xlfn.IFS('Prepare Gantt Chart'!AK58=10,'Project types'!$L59,'Prepare Gantt Chart'!AK58=9,'Project types'!$L59,'Prepare Gantt Chart'!AK58=0,0)</f>
        <v>0</v>
      </c>
      <c r="AZ69" s="83">
        <f>_xlfn.IFS('Prepare Gantt Chart'!AL58=10,'Project types'!$L59,'Prepare Gantt Chart'!AL58=9,'Project types'!$L59,'Prepare Gantt Chart'!AL58=0,0)</f>
        <v>0</v>
      </c>
      <c r="BA69" s="83">
        <f>_xlfn.IFS('Prepare Gantt Chart'!AM58=10,'Project types'!$L59,'Prepare Gantt Chart'!AM58=9,'Project types'!$L59,'Prepare Gantt Chart'!AM58=0,0)</f>
        <v>0</v>
      </c>
      <c r="BB69" s="83">
        <f>_xlfn.IFS('Prepare Gantt Chart'!AN58=10,'Project types'!$L59,'Prepare Gantt Chart'!AN58=9,'Project types'!$L59,'Prepare Gantt Chart'!AN58=0,0)</f>
        <v>0</v>
      </c>
      <c r="BC69" s="83">
        <f>_xlfn.IFS('Prepare Gantt Chart'!AO58=10,'Project types'!$L59,'Prepare Gantt Chart'!AO58=9,'Project types'!$L59,'Prepare Gantt Chart'!AO58=0,0)</f>
        <v>0</v>
      </c>
      <c r="BD69" s="91">
        <f t="shared" si="1"/>
        <v>0</v>
      </c>
      <c r="CI69" s="85"/>
    </row>
    <row r="70" spans="1:87" x14ac:dyDescent="0.2">
      <c r="A70" s="1" t="s">
        <v>406</v>
      </c>
      <c r="B70" s="30" t="s">
        <v>408</v>
      </c>
      <c r="C70" s="83">
        <f>_xlfn.IFS('Prepare Gantt Chart'!P59=10,'Project types'!$O60,'Prepare Gantt Chart'!P59=9,'Project types'!$Q60,'Prepare Gantt Chart'!P59=0,0)</f>
        <v>0</v>
      </c>
      <c r="D70" s="83">
        <f>_xlfn.IFS('Prepare Gantt Chart'!Q59=10,'Project types'!$O60,'Prepare Gantt Chart'!Q59=9,'Project types'!$Q60,'Prepare Gantt Chart'!Q59=0,0)</f>
        <v>0</v>
      </c>
      <c r="E70" s="83">
        <f>_xlfn.IFS('Prepare Gantt Chart'!R59=10,'Project types'!$O60,'Prepare Gantt Chart'!R59=9,'Project types'!$Q60,'Prepare Gantt Chart'!R59=0,0)</f>
        <v>0</v>
      </c>
      <c r="F70" s="83">
        <f>_xlfn.IFS('Prepare Gantt Chart'!S59=10,'Project types'!$O60,'Prepare Gantt Chart'!S59=9,'Project types'!$Q60,'Prepare Gantt Chart'!S59=0,0)</f>
        <v>0</v>
      </c>
      <c r="G70" s="83">
        <f>_xlfn.IFS('Prepare Gantt Chart'!T59=10,'Project types'!$O60,'Prepare Gantt Chart'!T59=9,'Project types'!$Q60,'Prepare Gantt Chart'!T59=0,0)</f>
        <v>0</v>
      </c>
      <c r="H70" s="83">
        <f>_xlfn.IFS('Prepare Gantt Chart'!U59=10,'Project types'!$O60,'Prepare Gantt Chart'!U59=9,'Project types'!$Q60,'Prepare Gantt Chart'!U59=0,0)</f>
        <v>0</v>
      </c>
      <c r="I70" s="83">
        <f>_xlfn.IFS('Prepare Gantt Chart'!V59=10,'Project types'!$O60,'Prepare Gantt Chart'!V59=9,'Project types'!$Q60,'Prepare Gantt Chart'!V59=0,0)</f>
        <v>0</v>
      </c>
      <c r="J70" s="83">
        <f>_xlfn.IFS('Prepare Gantt Chart'!W59=10,'Project types'!$O60,'Prepare Gantt Chart'!W59=9,'Project types'!$Q60,'Prepare Gantt Chart'!W59=0,0)</f>
        <v>0</v>
      </c>
      <c r="K70" s="83">
        <f>_xlfn.IFS('Prepare Gantt Chart'!X59=10,'Project types'!$O60,'Prepare Gantt Chart'!X59=9,'Project types'!$Q60,'Prepare Gantt Chart'!X59=0,0)</f>
        <v>0</v>
      </c>
      <c r="L70" s="83">
        <f>_xlfn.IFS('Prepare Gantt Chart'!Y59=10,'Project types'!$O60,'Prepare Gantt Chart'!Y59=9,'Project types'!$Q60,'Prepare Gantt Chart'!Y59=0,0)</f>
        <v>0</v>
      </c>
      <c r="M70" s="83">
        <f>_xlfn.IFS('Prepare Gantt Chart'!Z59=10,'Project types'!$O60,'Prepare Gantt Chart'!Z59=9,'Project types'!$Q60,'Prepare Gantt Chart'!Z59=0,0)</f>
        <v>0</v>
      </c>
      <c r="N70" s="83">
        <f>_xlfn.IFS('Prepare Gantt Chart'!AA59=10,'Project types'!$O60,'Prepare Gantt Chart'!AA59=9,'Project types'!$Q60,'Prepare Gantt Chart'!AA59=0,0)</f>
        <v>0</v>
      </c>
      <c r="O70" s="83">
        <f>_xlfn.IFS('Prepare Gantt Chart'!AB59=10,'Project types'!$O60,'Prepare Gantt Chart'!AB59=9,'Project types'!$Q60,'Prepare Gantt Chart'!AB59=0,0)</f>
        <v>0</v>
      </c>
      <c r="P70" s="83">
        <f>_xlfn.IFS('Prepare Gantt Chart'!AC59=10,'Project types'!$O60,'Prepare Gantt Chart'!AC59=9,'Project types'!$Q60,'Prepare Gantt Chart'!AC59=0,0)</f>
        <v>0</v>
      </c>
      <c r="Q70" s="83">
        <f>_xlfn.IFS('Prepare Gantt Chart'!AD59=10,'Project types'!$O60,'Prepare Gantt Chart'!AD59=9,'Project types'!$Q60,'Prepare Gantt Chart'!AD59=0,0)</f>
        <v>0</v>
      </c>
      <c r="R70" s="83">
        <f>_xlfn.IFS('Prepare Gantt Chart'!AE59=10,'Project types'!$O60,'Prepare Gantt Chart'!AE59=9,'Project types'!$Q60,'Prepare Gantt Chart'!AE59=0,0)</f>
        <v>0</v>
      </c>
      <c r="S70" s="83">
        <f>_xlfn.IFS('Prepare Gantt Chart'!AF59=10,'Project types'!$O60,'Prepare Gantt Chart'!AF59=9,'Project types'!$Q60,'Prepare Gantt Chart'!AF59=0,0)</f>
        <v>0</v>
      </c>
      <c r="T70" s="83">
        <f>_xlfn.IFS('Prepare Gantt Chart'!AG59=10,'Project types'!$O60,'Prepare Gantt Chart'!AG59=9,'Project types'!$Q60,'Prepare Gantt Chart'!AG59=0,0)</f>
        <v>0</v>
      </c>
      <c r="U70" s="83">
        <f>_xlfn.IFS('Prepare Gantt Chart'!AH59=10,'Project types'!$O60,'Prepare Gantt Chart'!AH59=9,'Project types'!$Q60,'Prepare Gantt Chart'!AH59=0,0)</f>
        <v>0</v>
      </c>
      <c r="V70" s="83">
        <f>_xlfn.IFS('Prepare Gantt Chart'!AI59=10,'Project types'!$O60,'Prepare Gantt Chart'!AI59=9,'Project types'!$Q60,'Prepare Gantt Chart'!AI59=0,0)</f>
        <v>0</v>
      </c>
      <c r="W70" s="83">
        <f>_xlfn.IFS('Prepare Gantt Chart'!AJ59=10,'Project types'!$O60,'Prepare Gantt Chart'!AJ59=9,'Project types'!$Q60,'Prepare Gantt Chart'!AJ59=0,0)</f>
        <v>0</v>
      </c>
      <c r="X70" s="83">
        <f>_xlfn.IFS('Prepare Gantt Chart'!AK59=10,'Project types'!$O60,'Prepare Gantt Chart'!AK59=9,'Project types'!$Q60,'Prepare Gantt Chart'!AK59=0,0)</f>
        <v>0</v>
      </c>
      <c r="Y70" s="83">
        <f>_xlfn.IFS('Prepare Gantt Chart'!AL59=10,'Project types'!$O60,'Prepare Gantt Chart'!AL59=9,'Project types'!$Q60,'Prepare Gantt Chart'!AL59=0,0)</f>
        <v>0</v>
      </c>
      <c r="Z70" s="83">
        <f>_xlfn.IFS('Prepare Gantt Chart'!AM59=10,'Project types'!$O60,'Prepare Gantt Chart'!AM59=9,'Project types'!$Q60,'Prepare Gantt Chart'!AM59=0,0)</f>
        <v>0</v>
      </c>
      <c r="AA70" s="83">
        <f>_xlfn.IFS('Prepare Gantt Chart'!AN59=10,'Project types'!$O60,'Prepare Gantt Chart'!AN59=9,'Project types'!$Q60,'Prepare Gantt Chart'!AN59=0,0)</f>
        <v>0</v>
      </c>
      <c r="AB70" s="83">
        <f>_xlfn.IFS('Prepare Gantt Chart'!AO59=10,'Project types'!$O60,'Prepare Gantt Chart'!AO59=9,'Project types'!$Q60,'Prepare Gantt Chart'!AO59=0,0)</f>
        <v>0</v>
      </c>
      <c r="AC70" s="93">
        <f t="shared" si="0"/>
        <v>0</v>
      </c>
      <c r="AD70" s="86">
        <f>_xlfn.IFS('Prepare Gantt Chart'!P59=10,'Project types'!$L60,'Prepare Gantt Chart'!P59=9,'Project types'!$L60,'Prepare Gantt Chart'!P59=0,0)</f>
        <v>0</v>
      </c>
      <c r="AE70" s="83">
        <f>_xlfn.IFS('Prepare Gantt Chart'!Q59=10,'Project types'!$L60,'Prepare Gantt Chart'!Q59=9,'Project types'!$L60,'Prepare Gantt Chart'!Q59=0,0)</f>
        <v>0</v>
      </c>
      <c r="AF70" s="83">
        <f>_xlfn.IFS('Prepare Gantt Chart'!R59=10,'Project types'!$L60,'Prepare Gantt Chart'!R59=9,'Project types'!$L60,'Prepare Gantt Chart'!R59=0,0)</f>
        <v>0</v>
      </c>
      <c r="AG70" s="83">
        <f>_xlfn.IFS('Prepare Gantt Chart'!S59=10,'Project types'!$L60,'Prepare Gantt Chart'!S59=9,'Project types'!$L60,'Prepare Gantt Chart'!S59=0,0)</f>
        <v>0</v>
      </c>
      <c r="AH70" s="83">
        <f>_xlfn.IFS('Prepare Gantt Chart'!T59=10,'Project types'!$L60,'Prepare Gantt Chart'!T59=9,'Project types'!$L60,'Prepare Gantt Chart'!T59=0,0)</f>
        <v>0</v>
      </c>
      <c r="AI70" s="83">
        <f>_xlfn.IFS('Prepare Gantt Chart'!U59=10,'Project types'!$L60,'Prepare Gantt Chart'!U59=9,'Project types'!$L60,'Prepare Gantt Chart'!U59=0,0)</f>
        <v>0</v>
      </c>
      <c r="AJ70" s="83">
        <f>_xlfn.IFS('Prepare Gantt Chart'!V59=10,'Project types'!$L60,'Prepare Gantt Chart'!V59=9,'Project types'!$L60,'Prepare Gantt Chart'!V59=0,0)</f>
        <v>0</v>
      </c>
      <c r="AK70" s="83">
        <f>_xlfn.IFS('Prepare Gantt Chart'!W59=10,'Project types'!$L60,'Prepare Gantt Chart'!W59=9,'Project types'!$L60,'Prepare Gantt Chart'!W59=0,0)</f>
        <v>0</v>
      </c>
      <c r="AL70" s="83">
        <f>_xlfn.IFS('Prepare Gantt Chart'!X59=10,'Project types'!$L60,'Prepare Gantt Chart'!X59=9,'Project types'!$L60,'Prepare Gantt Chart'!X59=0,0)</f>
        <v>0</v>
      </c>
      <c r="AM70" s="83">
        <f>_xlfn.IFS('Prepare Gantt Chart'!Y59=10,'Project types'!$L60,'Prepare Gantt Chart'!Y59=9,'Project types'!$L60,'Prepare Gantt Chart'!Y59=0,0)</f>
        <v>0</v>
      </c>
      <c r="AN70" s="83">
        <f>_xlfn.IFS('Prepare Gantt Chart'!Z59=10,'Project types'!$L60,'Prepare Gantt Chart'!Z59=9,'Project types'!$L60,'Prepare Gantt Chart'!Z59=0,0)</f>
        <v>0</v>
      </c>
      <c r="AO70" s="83">
        <f>_xlfn.IFS('Prepare Gantt Chart'!AA59=10,'Project types'!$L60,'Prepare Gantt Chart'!AA59=9,'Project types'!$L60,'Prepare Gantt Chart'!AA59=0,0)</f>
        <v>0</v>
      </c>
      <c r="AP70" s="83">
        <f>_xlfn.IFS('Prepare Gantt Chart'!AB59=10,'Project types'!$L60,'Prepare Gantt Chart'!AB59=9,'Project types'!$L60,'Prepare Gantt Chart'!AB59=0,0)</f>
        <v>0</v>
      </c>
      <c r="AQ70" s="83">
        <f>_xlfn.IFS('Prepare Gantt Chart'!AC59=10,'Project types'!$L60,'Prepare Gantt Chart'!AC59=9,'Project types'!$L60,'Prepare Gantt Chart'!AC59=0,0)</f>
        <v>0</v>
      </c>
      <c r="AR70" s="83">
        <f>_xlfn.IFS('Prepare Gantt Chart'!AD59=10,'Project types'!$L60,'Prepare Gantt Chart'!AD59=9,'Project types'!$L60,'Prepare Gantt Chart'!AD59=0,0)</f>
        <v>0</v>
      </c>
      <c r="AS70" s="83">
        <f>_xlfn.IFS('Prepare Gantt Chart'!AE59=10,'Project types'!$L60,'Prepare Gantt Chart'!AE59=9,'Project types'!$L60,'Prepare Gantt Chart'!AE59=0,0)</f>
        <v>0</v>
      </c>
      <c r="AT70" s="83">
        <f>_xlfn.IFS('Prepare Gantt Chart'!AF59=10,'Project types'!$L60,'Prepare Gantt Chart'!AF59=9,'Project types'!$L60,'Prepare Gantt Chart'!AF59=0,0)</f>
        <v>0</v>
      </c>
      <c r="AU70" s="83">
        <f>_xlfn.IFS('Prepare Gantt Chart'!AG59=10,'Project types'!$L60,'Prepare Gantt Chart'!AG59=9,'Project types'!$L60,'Prepare Gantt Chart'!AG59=0,0)</f>
        <v>0</v>
      </c>
      <c r="AV70" s="83">
        <f>_xlfn.IFS('Prepare Gantt Chart'!AH59=10,'Project types'!$L60,'Prepare Gantt Chart'!AH59=9,'Project types'!$L60,'Prepare Gantt Chart'!AH59=0,0)</f>
        <v>0</v>
      </c>
      <c r="AW70" s="83">
        <f>_xlfn.IFS('Prepare Gantt Chart'!AI59=10,'Project types'!$L60,'Prepare Gantt Chart'!AI59=9,'Project types'!$L60,'Prepare Gantt Chart'!AI59=0,0)</f>
        <v>0</v>
      </c>
      <c r="AX70" s="83">
        <f>_xlfn.IFS('Prepare Gantt Chart'!AJ59=10,'Project types'!$L60,'Prepare Gantt Chart'!AJ59=9,'Project types'!$L60,'Prepare Gantt Chart'!AJ59=0,0)</f>
        <v>0</v>
      </c>
      <c r="AY70" s="83">
        <f>_xlfn.IFS('Prepare Gantt Chart'!AK59=10,'Project types'!$L60,'Prepare Gantt Chart'!AK59=9,'Project types'!$L60,'Prepare Gantt Chart'!AK59=0,0)</f>
        <v>0</v>
      </c>
      <c r="AZ70" s="83">
        <f>_xlfn.IFS('Prepare Gantt Chart'!AL59=10,'Project types'!$L60,'Prepare Gantt Chart'!AL59=9,'Project types'!$L60,'Prepare Gantt Chart'!AL59=0,0)</f>
        <v>0</v>
      </c>
      <c r="BA70" s="83">
        <f>_xlfn.IFS('Prepare Gantt Chart'!AM59=10,'Project types'!$L60,'Prepare Gantt Chart'!AM59=9,'Project types'!$L60,'Prepare Gantt Chart'!AM59=0,0)</f>
        <v>0</v>
      </c>
      <c r="BB70" s="83">
        <f>_xlfn.IFS('Prepare Gantt Chart'!AN59=10,'Project types'!$L60,'Prepare Gantt Chart'!AN59=9,'Project types'!$L60,'Prepare Gantt Chart'!AN59=0,0)</f>
        <v>0</v>
      </c>
      <c r="BC70" s="83">
        <f>_xlfn.IFS('Prepare Gantt Chart'!AO59=10,'Project types'!$L60,'Prepare Gantt Chart'!AO59=9,'Project types'!$L60,'Prepare Gantt Chart'!AO59=0,0)</f>
        <v>0</v>
      </c>
      <c r="BD70" s="91">
        <f t="shared" si="1"/>
        <v>0</v>
      </c>
      <c r="CI70" s="85"/>
    </row>
    <row r="71" spans="1:87" x14ac:dyDescent="0.2">
      <c r="A71" s="1" t="s">
        <v>407</v>
      </c>
      <c r="B71" s="30" t="s">
        <v>409</v>
      </c>
      <c r="C71" s="83">
        <f>_xlfn.IFS('Prepare Gantt Chart'!P60=10,'Project types'!$O61,'Prepare Gantt Chart'!P60=9,'Project types'!$Q61,'Prepare Gantt Chart'!P60=0,0)</f>
        <v>0</v>
      </c>
      <c r="D71" s="83">
        <f>_xlfn.IFS('Prepare Gantt Chart'!Q60=10,'Project types'!$O61,'Prepare Gantt Chart'!Q60=9,'Project types'!$Q61,'Prepare Gantt Chart'!Q60=0,0)</f>
        <v>0</v>
      </c>
      <c r="E71" s="83">
        <f>_xlfn.IFS('Prepare Gantt Chart'!R60=10,'Project types'!$O61,'Prepare Gantt Chart'!R60=9,'Project types'!$Q61,'Prepare Gantt Chart'!R60=0,0)</f>
        <v>0</v>
      </c>
      <c r="F71" s="83">
        <f>_xlfn.IFS('Prepare Gantt Chart'!S60=10,'Project types'!$O61,'Prepare Gantt Chart'!S60=9,'Project types'!$Q61,'Prepare Gantt Chart'!S60=0,0)</f>
        <v>0</v>
      </c>
      <c r="G71" s="83">
        <f>_xlfn.IFS('Prepare Gantt Chart'!T60=10,'Project types'!$O61,'Prepare Gantt Chart'!T60=9,'Project types'!$Q61,'Prepare Gantt Chart'!T60=0,0)</f>
        <v>0</v>
      </c>
      <c r="H71" s="83">
        <f>_xlfn.IFS('Prepare Gantt Chart'!U60=10,'Project types'!$O61,'Prepare Gantt Chart'!U60=9,'Project types'!$Q61,'Prepare Gantt Chart'!U60=0,0)</f>
        <v>0</v>
      </c>
      <c r="I71" s="83">
        <f>_xlfn.IFS('Prepare Gantt Chart'!V60=10,'Project types'!$O61,'Prepare Gantt Chart'!V60=9,'Project types'!$Q61,'Prepare Gantt Chart'!V60=0,0)</f>
        <v>0</v>
      </c>
      <c r="J71" s="83">
        <f>_xlfn.IFS('Prepare Gantt Chart'!W60=10,'Project types'!$O61,'Prepare Gantt Chart'!W60=9,'Project types'!$Q61,'Prepare Gantt Chart'!W60=0,0)</f>
        <v>0</v>
      </c>
      <c r="K71" s="83">
        <f>_xlfn.IFS('Prepare Gantt Chart'!X60=10,'Project types'!$O61,'Prepare Gantt Chart'!X60=9,'Project types'!$Q61,'Prepare Gantt Chart'!X60=0,0)</f>
        <v>0</v>
      </c>
      <c r="L71" s="83">
        <f>_xlfn.IFS('Prepare Gantt Chart'!Y60=10,'Project types'!$O61,'Prepare Gantt Chart'!Y60=9,'Project types'!$Q61,'Prepare Gantt Chart'!Y60=0,0)</f>
        <v>0</v>
      </c>
      <c r="M71" s="83">
        <f>_xlfn.IFS('Prepare Gantt Chart'!Z60=10,'Project types'!$O61,'Prepare Gantt Chart'!Z60=9,'Project types'!$Q61,'Prepare Gantt Chart'!Z60=0,0)</f>
        <v>0</v>
      </c>
      <c r="N71" s="83">
        <f>_xlfn.IFS('Prepare Gantt Chart'!AA60=10,'Project types'!$O61,'Prepare Gantt Chart'!AA60=9,'Project types'!$Q61,'Prepare Gantt Chart'!AA60=0,0)</f>
        <v>0</v>
      </c>
      <c r="O71" s="83">
        <f>_xlfn.IFS('Prepare Gantt Chart'!AB60=10,'Project types'!$O61,'Prepare Gantt Chart'!AB60=9,'Project types'!$Q61,'Prepare Gantt Chart'!AB60=0,0)</f>
        <v>0</v>
      </c>
      <c r="P71" s="83">
        <f>_xlfn.IFS('Prepare Gantt Chart'!AC60=10,'Project types'!$O61,'Prepare Gantt Chart'!AC60=9,'Project types'!$Q61,'Prepare Gantt Chart'!AC60=0,0)</f>
        <v>0</v>
      </c>
      <c r="Q71" s="83">
        <f>_xlfn.IFS('Prepare Gantt Chart'!AD60=10,'Project types'!$O61,'Prepare Gantt Chart'!AD60=9,'Project types'!$Q61,'Prepare Gantt Chart'!AD60=0,0)</f>
        <v>0</v>
      </c>
      <c r="R71" s="83">
        <f>_xlfn.IFS('Prepare Gantt Chart'!AE60=10,'Project types'!$O61,'Prepare Gantt Chart'!AE60=9,'Project types'!$Q61,'Prepare Gantt Chart'!AE60=0,0)</f>
        <v>0</v>
      </c>
      <c r="S71" s="83">
        <f>_xlfn.IFS('Prepare Gantt Chart'!AF60=10,'Project types'!$O61,'Prepare Gantt Chart'!AF60=9,'Project types'!$Q61,'Prepare Gantt Chart'!AF60=0,0)</f>
        <v>0</v>
      </c>
      <c r="T71" s="83">
        <f>_xlfn.IFS('Prepare Gantt Chart'!AG60=10,'Project types'!$O61,'Prepare Gantt Chart'!AG60=9,'Project types'!$Q61,'Prepare Gantt Chart'!AG60=0,0)</f>
        <v>0</v>
      </c>
      <c r="U71" s="83">
        <f>_xlfn.IFS('Prepare Gantt Chart'!AH60=10,'Project types'!$O61,'Prepare Gantt Chart'!AH60=9,'Project types'!$Q61,'Prepare Gantt Chart'!AH60=0,0)</f>
        <v>0</v>
      </c>
      <c r="V71" s="83">
        <f>_xlfn.IFS('Prepare Gantt Chart'!AI60=10,'Project types'!$O61,'Prepare Gantt Chart'!AI60=9,'Project types'!$Q61,'Prepare Gantt Chart'!AI60=0,0)</f>
        <v>0</v>
      </c>
      <c r="W71" s="83">
        <f>_xlfn.IFS('Prepare Gantt Chart'!AJ60=10,'Project types'!$O61,'Prepare Gantt Chart'!AJ60=9,'Project types'!$Q61,'Prepare Gantt Chart'!AJ60=0,0)</f>
        <v>0</v>
      </c>
      <c r="X71" s="83">
        <f>_xlfn.IFS('Prepare Gantt Chart'!AK60=10,'Project types'!$O61,'Prepare Gantt Chart'!AK60=9,'Project types'!$Q61,'Prepare Gantt Chart'!AK60=0,0)</f>
        <v>0</v>
      </c>
      <c r="Y71" s="83">
        <f>_xlfn.IFS('Prepare Gantt Chart'!AL60=10,'Project types'!$O61,'Prepare Gantt Chart'!AL60=9,'Project types'!$Q61,'Prepare Gantt Chart'!AL60=0,0)</f>
        <v>0</v>
      </c>
      <c r="Z71" s="83">
        <f>_xlfn.IFS('Prepare Gantt Chart'!AM60=10,'Project types'!$O61,'Prepare Gantt Chart'!AM60=9,'Project types'!$Q61,'Prepare Gantt Chart'!AM60=0,0)</f>
        <v>0</v>
      </c>
      <c r="AA71" s="83">
        <f>_xlfn.IFS('Prepare Gantt Chart'!AN60=10,'Project types'!$O61,'Prepare Gantt Chart'!AN60=9,'Project types'!$Q61,'Prepare Gantt Chart'!AN60=0,0)</f>
        <v>0</v>
      </c>
      <c r="AB71" s="83">
        <f>_xlfn.IFS('Prepare Gantt Chart'!AO60=10,'Project types'!$O61,'Prepare Gantt Chart'!AO60=9,'Project types'!$Q61,'Prepare Gantt Chart'!AO60=0,0)</f>
        <v>0</v>
      </c>
      <c r="AC71" s="93">
        <f t="shared" si="0"/>
        <v>0</v>
      </c>
      <c r="AD71" s="86">
        <f>_xlfn.IFS('Prepare Gantt Chart'!P60=10,'Project types'!$L61,'Prepare Gantt Chart'!P60=9,'Project types'!$L61,'Prepare Gantt Chart'!P60=0,0)</f>
        <v>0</v>
      </c>
      <c r="AE71" s="83">
        <f>_xlfn.IFS('Prepare Gantt Chart'!Q60=10,'Project types'!$L61,'Prepare Gantt Chart'!Q60=9,'Project types'!$L61,'Prepare Gantt Chart'!Q60=0,0)</f>
        <v>0</v>
      </c>
      <c r="AF71" s="83">
        <f>_xlfn.IFS('Prepare Gantt Chart'!R60=10,'Project types'!$L61,'Prepare Gantt Chart'!R60=9,'Project types'!$L61,'Prepare Gantt Chart'!R60=0,0)</f>
        <v>0</v>
      </c>
      <c r="AG71" s="83">
        <f>_xlfn.IFS('Prepare Gantt Chart'!S60=10,'Project types'!$L61,'Prepare Gantt Chart'!S60=9,'Project types'!$L61,'Prepare Gantt Chart'!S60=0,0)</f>
        <v>0</v>
      </c>
      <c r="AH71" s="83">
        <f>_xlfn.IFS('Prepare Gantt Chart'!T60=10,'Project types'!$L61,'Prepare Gantt Chart'!T60=9,'Project types'!$L61,'Prepare Gantt Chart'!T60=0,0)</f>
        <v>0</v>
      </c>
      <c r="AI71" s="83">
        <f>_xlfn.IFS('Prepare Gantt Chart'!U60=10,'Project types'!$L61,'Prepare Gantt Chart'!U60=9,'Project types'!$L61,'Prepare Gantt Chart'!U60=0,0)</f>
        <v>0</v>
      </c>
      <c r="AJ71" s="83">
        <f>_xlfn.IFS('Prepare Gantt Chart'!V60=10,'Project types'!$L61,'Prepare Gantt Chart'!V60=9,'Project types'!$L61,'Prepare Gantt Chart'!V60=0,0)</f>
        <v>0</v>
      </c>
      <c r="AK71" s="83">
        <f>_xlfn.IFS('Prepare Gantt Chart'!W60=10,'Project types'!$L61,'Prepare Gantt Chart'!W60=9,'Project types'!$L61,'Prepare Gantt Chart'!W60=0,0)</f>
        <v>0</v>
      </c>
      <c r="AL71" s="83">
        <f>_xlfn.IFS('Prepare Gantt Chart'!X60=10,'Project types'!$L61,'Prepare Gantt Chart'!X60=9,'Project types'!$L61,'Prepare Gantt Chart'!X60=0,0)</f>
        <v>0</v>
      </c>
      <c r="AM71" s="83">
        <f>_xlfn.IFS('Prepare Gantt Chart'!Y60=10,'Project types'!$L61,'Prepare Gantt Chart'!Y60=9,'Project types'!$L61,'Prepare Gantt Chart'!Y60=0,0)</f>
        <v>0</v>
      </c>
      <c r="AN71" s="83">
        <f>_xlfn.IFS('Prepare Gantt Chart'!Z60=10,'Project types'!$L61,'Prepare Gantt Chart'!Z60=9,'Project types'!$L61,'Prepare Gantt Chart'!Z60=0,0)</f>
        <v>0</v>
      </c>
      <c r="AO71" s="83">
        <f>_xlfn.IFS('Prepare Gantt Chart'!AA60=10,'Project types'!$L61,'Prepare Gantt Chart'!AA60=9,'Project types'!$L61,'Prepare Gantt Chart'!AA60=0,0)</f>
        <v>0</v>
      </c>
      <c r="AP71" s="83">
        <f>_xlfn.IFS('Prepare Gantt Chart'!AB60=10,'Project types'!$L61,'Prepare Gantt Chart'!AB60=9,'Project types'!$L61,'Prepare Gantt Chart'!AB60=0,0)</f>
        <v>0</v>
      </c>
      <c r="AQ71" s="83">
        <f>_xlfn.IFS('Prepare Gantt Chart'!AC60=10,'Project types'!$L61,'Prepare Gantt Chart'!AC60=9,'Project types'!$L61,'Prepare Gantt Chart'!AC60=0,0)</f>
        <v>0</v>
      </c>
      <c r="AR71" s="83">
        <f>_xlfn.IFS('Prepare Gantt Chart'!AD60=10,'Project types'!$L61,'Prepare Gantt Chart'!AD60=9,'Project types'!$L61,'Prepare Gantt Chart'!AD60=0,0)</f>
        <v>0</v>
      </c>
      <c r="AS71" s="83">
        <f>_xlfn.IFS('Prepare Gantt Chart'!AE60=10,'Project types'!$L61,'Prepare Gantt Chart'!AE60=9,'Project types'!$L61,'Prepare Gantt Chart'!AE60=0,0)</f>
        <v>0</v>
      </c>
      <c r="AT71" s="83">
        <f>_xlfn.IFS('Prepare Gantt Chart'!AF60=10,'Project types'!$L61,'Prepare Gantt Chart'!AF60=9,'Project types'!$L61,'Prepare Gantt Chart'!AF60=0,0)</f>
        <v>0</v>
      </c>
      <c r="AU71" s="83">
        <f>_xlfn.IFS('Prepare Gantt Chart'!AG60=10,'Project types'!$L61,'Prepare Gantt Chart'!AG60=9,'Project types'!$L61,'Prepare Gantt Chart'!AG60=0,0)</f>
        <v>0</v>
      </c>
      <c r="AV71" s="83">
        <f>_xlfn.IFS('Prepare Gantt Chart'!AH60=10,'Project types'!$L61,'Prepare Gantt Chart'!AH60=9,'Project types'!$L61,'Prepare Gantt Chart'!AH60=0,0)</f>
        <v>0</v>
      </c>
      <c r="AW71" s="83">
        <f>_xlfn.IFS('Prepare Gantt Chart'!AI60=10,'Project types'!$L61,'Prepare Gantt Chart'!AI60=9,'Project types'!$L61,'Prepare Gantt Chart'!AI60=0,0)</f>
        <v>0</v>
      </c>
      <c r="AX71" s="83">
        <f>_xlfn.IFS('Prepare Gantt Chart'!AJ60=10,'Project types'!$L61,'Prepare Gantt Chart'!AJ60=9,'Project types'!$L61,'Prepare Gantt Chart'!AJ60=0,0)</f>
        <v>0</v>
      </c>
      <c r="AY71" s="83">
        <f>_xlfn.IFS('Prepare Gantt Chart'!AK60=10,'Project types'!$L61,'Prepare Gantt Chart'!AK60=9,'Project types'!$L61,'Prepare Gantt Chart'!AK60=0,0)</f>
        <v>0</v>
      </c>
      <c r="AZ71" s="83">
        <f>_xlfn.IFS('Prepare Gantt Chart'!AL60=10,'Project types'!$L61,'Prepare Gantt Chart'!AL60=9,'Project types'!$L61,'Prepare Gantt Chart'!AL60=0,0)</f>
        <v>0</v>
      </c>
      <c r="BA71" s="83">
        <f>_xlfn.IFS('Prepare Gantt Chart'!AM60=10,'Project types'!$L61,'Prepare Gantt Chart'!AM60=9,'Project types'!$L61,'Prepare Gantt Chart'!AM60=0,0)</f>
        <v>0</v>
      </c>
      <c r="BB71" s="83">
        <f>_xlfn.IFS('Prepare Gantt Chart'!AN60=10,'Project types'!$L61,'Prepare Gantt Chart'!AN60=9,'Project types'!$L61,'Prepare Gantt Chart'!AN60=0,0)</f>
        <v>0</v>
      </c>
      <c r="BC71" s="83">
        <f>_xlfn.IFS('Prepare Gantt Chart'!AO60=10,'Project types'!$L61,'Prepare Gantt Chart'!AO60=9,'Project types'!$L61,'Prepare Gantt Chart'!AO60=0,0)</f>
        <v>0</v>
      </c>
      <c r="BD71" s="91">
        <f t="shared" si="1"/>
        <v>0</v>
      </c>
      <c r="CI71" s="85"/>
    </row>
    <row r="72" spans="1:87" ht="16" thickBot="1" x14ac:dyDescent="0.25">
      <c r="A72" s="8" t="s">
        <v>118</v>
      </c>
      <c r="B72" s="31" t="s">
        <v>410</v>
      </c>
      <c r="C72" s="89">
        <f>_xlfn.IFS('Prepare Gantt Chart'!P61=10,'Project types'!$O62,'Prepare Gantt Chart'!P61=9,'Project types'!$Q62,'Prepare Gantt Chart'!P61=0,0)</f>
        <v>0</v>
      </c>
      <c r="D72" s="89">
        <f>_xlfn.IFS('Prepare Gantt Chart'!Q61=10,'Project types'!$O62,'Prepare Gantt Chart'!Q61=9,'Project types'!$Q62,'Prepare Gantt Chart'!Q61=0,0)</f>
        <v>0</v>
      </c>
      <c r="E72" s="89">
        <f>_xlfn.IFS('Prepare Gantt Chart'!R61=10,'Project types'!$O62,'Prepare Gantt Chart'!R61=9,'Project types'!$Q62,'Prepare Gantt Chart'!R61=0,0)</f>
        <v>0</v>
      </c>
      <c r="F72" s="89">
        <f>_xlfn.IFS('Prepare Gantt Chart'!S61=10,'Project types'!$O62,'Prepare Gantt Chart'!S61=9,'Project types'!$Q62,'Prepare Gantt Chart'!S61=0,0)</f>
        <v>0</v>
      </c>
      <c r="G72" s="89">
        <f>_xlfn.IFS('Prepare Gantt Chart'!T61=10,'Project types'!$O62,'Prepare Gantt Chart'!T61=9,'Project types'!$Q62,'Prepare Gantt Chart'!T61=0,0)</f>
        <v>0</v>
      </c>
      <c r="H72" s="89">
        <f>_xlfn.IFS('Prepare Gantt Chart'!U61=10,'Project types'!$O62,'Prepare Gantt Chart'!U61=9,'Project types'!$Q62,'Prepare Gantt Chart'!U61=0,0)</f>
        <v>0</v>
      </c>
      <c r="I72" s="89">
        <f>_xlfn.IFS('Prepare Gantt Chart'!V61=10,'Project types'!$O62,'Prepare Gantt Chart'!V61=9,'Project types'!$Q62,'Prepare Gantt Chart'!V61=0,0)</f>
        <v>0</v>
      </c>
      <c r="J72" s="89">
        <f>_xlfn.IFS('Prepare Gantt Chart'!W61=10,'Project types'!$O62,'Prepare Gantt Chart'!W61=9,'Project types'!$Q62,'Prepare Gantt Chart'!W61=0,0)</f>
        <v>0</v>
      </c>
      <c r="K72" s="89">
        <f>_xlfn.IFS('Prepare Gantt Chart'!X61=10,'Project types'!$O62,'Prepare Gantt Chart'!X61=9,'Project types'!$Q62,'Prepare Gantt Chart'!X61=0,0)</f>
        <v>0</v>
      </c>
      <c r="L72" s="89">
        <f>_xlfn.IFS('Prepare Gantt Chart'!Y61=10,'Project types'!$O62,'Prepare Gantt Chart'!Y61=9,'Project types'!$Q62,'Prepare Gantt Chart'!Y61=0,0)</f>
        <v>0</v>
      </c>
      <c r="M72" s="89">
        <f>_xlfn.IFS('Prepare Gantt Chart'!Z61=10,'Project types'!$O62,'Prepare Gantt Chart'!Z61=9,'Project types'!$Q62,'Prepare Gantt Chart'!Z61=0,0)</f>
        <v>0</v>
      </c>
      <c r="N72" s="89">
        <f>_xlfn.IFS('Prepare Gantt Chart'!AA61=10,'Project types'!$O62,'Prepare Gantt Chart'!AA61=9,'Project types'!$Q62,'Prepare Gantt Chart'!AA61=0,0)</f>
        <v>0</v>
      </c>
      <c r="O72" s="89">
        <f>_xlfn.IFS('Prepare Gantt Chart'!AB61=10,'Project types'!$O62,'Prepare Gantt Chart'!AB61=9,'Project types'!$Q62,'Prepare Gantt Chart'!AB61=0,0)</f>
        <v>0</v>
      </c>
      <c r="P72" s="89">
        <f>_xlfn.IFS('Prepare Gantt Chart'!AC61=10,'Project types'!$O62,'Prepare Gantt Chart'!AC61=9,'Project types'!$Q62,'Prepare Gantt Chart'!AC61=0,0)</f>
        <v>0</v>
      </c>
      <c r="Q72" s="89">
        <f>_xlfn.IFS('Prepare Gantt Chart'!AD61=10,'Project types'!$O62,'Prepare Gantt Chart'!AD61=9,'Project types'!$Q62,'Prepare Gantt Chart'!AD61=0,0)</f>
        <v>0</v>
      </c>
      <c r="R72" s="89">
        <f>_xlfn.IFS('Prepare Gantt Chart'!AE61=10,'Project types'!$O62,'Prepare Gantt Chart'!AE61=9,'Project types'!$Q62,'Prepare Gantt Chart'!AE61=0,0)</f>
        <v>0</v>
      </c>
      <c r="S72" s="89">
        <f>_xlfn.IFS('Prepare Gantt Chart'!AF61=10,'Project types'!$O62,'Prepare Gantt Chart'!AF61=9,'Project types'!$Q62,'Prepare Gantt Chart'!AF61=0,0)</f>
        <v>0</v>
      </c>
      <c r="T72" s="89">
        <f>_xlfn.IFS('Prepare Gantt Chart'!AG61=10,'Project types'!$O62,'Prepare Gantt Chart'!AG61=9,'Project types'!$Q62,'Prepare Gantt Chart'!AG61=0,0)</f>
        <v>0</v>
      </c>
      <c r="U72" s="89">
        <f>_xlfn.IFS('Prepare Gantt Chart'!AH61=10,'Project types'!$O62,'Prepare Gantt Chart'!AH61=9,'Project types'!$Q62,'Prepare Gantt Chart'!AH61=0,0)</f>
        <v>0</v>
      </c>
      <c r="V72" s="89">
        <f>_xlfn.IFS('Prepare Gantt Chart'!AI61=10,'Project types'!$O62,'Prepare Gantt Chart'!AI61=9,'Project types'!$Q62,'Prepare Gantt Chart'!AI61=0,0)</f>
        <v>0</v>
      </c>
      <c r="W72" s="89">
        <f>_xlfn.IFS('Prepare Gantt Chart'!AJ61=10,'Project types'!$O62,'Prepare Gantt Chart'!AJ61=9,'Project types'!$Q62,'Prepare Gantt Chart'!AJ61=0,0)</f>
        <v>0</v>
      </c>
      <c r="X72" s="89">
        <f>_xlfn.IFS('Prepare Gantt Chart'!AK61=10,'Project types'!$O62,'Prepare Gantt Chart'!AK61=9,'Project types'!$Q62,'Prepare Gantt Chart'!AK61=0,0)</f>
        <v>0</v>
      </c>
      <c r="Y72" s="89">
        <f>_xlfn.IFS('Prepare Gantt Chart'!AL61=10,'Project types'!$O62,'Prepare Gantt Chart'!AL61=9,'Project types'!$Q62,'Prepare Gantt Chart'!AL61=0,0)</f>
        <v>0</v>
      </c>
      <c r="Z72" s="89">
        <f>_xlfn.IFS('Prepare Gantt Chart'!AM61=10,'Project types'!$O62,'Prepare Gantt Chart'!AM61=9,'Project types'!$Q62,'Prepare Gantt Chart'!AM61=0,0)</f>
        <v>0</v>
      </c>
      <c r="AA72" s="89">
        <f>_xlfn.IFS('Prepare Gantt Chart'!AN61=10,'Project types'!$O62,'Prepare Gantt Chart'!AN61=9,'Project types'!$Q62,'Prepare Gantt Chart'!AN61=0,0)</f>
        <v>0</v>
      </c>
      <c r="AB72" s="89">
        <f>_xlfn.IFS('Prepare Gantt Chart'!AO61=10,'Project types'!$O62,'Prepare Gantt Chart'!AO61=9,'Project types'!$Q62,'Prepare Gantt Chart'!AO61=0,0)</f>
        <v>0</v>
      </c>
      <c r="AC72" s="94">
        <f t="shared" si="0"/>
        <v>0</v>
      </c>
      <c r="AD72" s="90">
        <f>_xlfn.IFS('Prepare Gantt Chart'!P61=10,'Project types'!$L62,'Prepare Gantt Chart'!P61=9,'Project types'!$L62,'Prepare Gantt Chart'!P61=0,0)</f>
        <v>0</v>
      </c>
      <c r="AE72" s="89">
        <f>_xlfn.IFS('Prepare Gantt Chart'!Q61=10,'Project types'!$L62,'Prepare Gantt Chart'!Q61=9,'Project types'!$L62,'Prepare Gantt Chart'!Q61=0,0)</f>
        <v>0</v>
      </c>
      <c r="AF72" s="89">
        <f>_xlfn.IFS('Prepare Gantt Chart'!R61=10,'Project types'!$L62,'Prepare Gantt Chart'!R61=9,'Project types'!$L62,'Prepare Gantt Chart'!R61=0,0)</f>
        <v>0</v>
      </c>
      <c r="AG72" s="89">
        <f>_xlfn.IFS('Prepare Gantt Chart'!S61=10,'Project types'!$L62,'Prepare Gantt Chart'!S61=9,'Project types'!$L62,'Prepare Gantt Chart'!S61=0,0)</f>
        <v>0</v>
      </c>
      <c r="AH72" s="89">
        <f>_xlfn.IFS('Prepare Gantt Chart'!T61=10,'Project types'!$L62,'Prepare Gantt Chart'!T61=9,'Project types'!$L62,'Prepare Gantt Chart'!T61=0,0)</f>
        <v>0</v>
      </c>
      <c r="AI72" s="89">
        <f>_xlfn.IFS('Prepare Gantt Chart'!U61=10,'Project types'!$L62,'Prepare Gantt Chart'!U61=9,'Project types'!$L62,'Prepare Gantt Chart'!U61=0,0)</f>
        <v>0</v>
      </c>
      <c r="AJ72" s="89">
        <f>_xlfn.IFS('Prepare Gantt Chart'!V61=10,'Project types'!$L62,'Prepare Gantt Chart'!V61=9,'Project types'!$L62,'Prepare Gantt Chart'!V61=0,0)</f>
        <v>0</v>
      </c>
      <c r="AK72" s="89">
        <f>_xlfn.IFS('Prepare Gantt Chart'!W61=10,'Project types'!$L62,'Prepare Gantt Chart'!W61=9,'Project types'!$L62,'Prepare Gantt Chart'!W61=0,0)</f>
        <v>0</v>
      </c>
      <c r="AL72" s="89">
        <f>_xlfn.IFS('Prepare Gantt Chart'!X61=10,'Project types'!$L62,'Prepare Gantt Chart'!X61=9,'Project types'!$L62,'Prepare Gantt Chart'!X61=0,0)</f>
        <v>0</v>
      </c>
      <c r="AM72" s="89">
        <f>_xlfn.IFS('Prepare Gantt Chart'!Y61=10,'Project types'!$L62,'Prepare Gantt Chart'!Y61=9,'Project types'!$L62,'Prepare Gantt Chart'!Y61=0,0)</f>
        <v>0</v>
      </c>
      <c r="AN72" s="89">
        <f>_xlfn.IFS('Prepare Gantt Chart'!Z61=10,'Project types'!$L62,'Prepare Gantt Chart'!Z61=9,'Project types'!$L62,'Prepare Gantt Chart'!Z61=0,0)</f>
        <v>0</v>
      </c>
      <c r="AO72" s="89">
        <f>_xlfn.IFS('Prepare Gantt Chart'!AA61=10,'Project types'!$L62,'Prepare Gantt Chart'!AA61=9,'Project types'!$L62,'Prepare Gantt Chart'!AA61=0,0)</f>
        <v>0</v>
      </c>
      <c r="AP72" s="89">
        <f>_xlfn.IFS('Prepare Gantt Chart'!AB61=10,'Project types'!$L62,'Prepare Gantt Chart'!AB61=9,'Project types'!$L62,'Prepare Gantt Chart'!AB61=0,0)</f>
        <v>0</v>
      </c>
      <c r="AQ72" s="89">
        <f>_xlfn.IFS('Prepare Gantt Chart'!AC61=10,'Project types'!$L62,'Prepare Gantt Chart'!AC61=9,'Project types'!$L62,'Prepare Gantt Chart'!AC61=0,0)</f>
        <v>0</v>
      </c>
      <c r="AR72" s="89">
        <f>_xlfn.IFS('Prepare Gantt Chart'!AD61=10,'Project types'!$L62,'Prepare Gantt Chart'!AD61=9,'Project types'!$L62,'Prepare Gantt Chart'!AD61=0,0)</f>
        <v>0</v>
      </c>
      <c r="AS72" s="89">
        <f>_xlfn.IFS('Prepare Gantt Chart'!AE61=10,'Project types'!$L62,'Prepare Gantt Chart'!AE61=9,'Project types'!$L62,'Prepare Gantt Chart'!AE61=0,0)</f>
        <v>0</v>
      </c>
      <c r="AT72" s="89">
        <f>_xlfn.IFS('Prepare Gantt Chart'!AF61=10,'Project types'!$L62,'Prepare Gantt Chart'!AF61=9,'Project types'!$L62,'Prepare Gantt Chart'!AF61=0,0)</f>
        <v>0</v>
      </c>
      <c r="AU72" s="89">
        <f>_xlfn.IFS('Prepare Gantt Chart'!AG61=10,'Project types'!$L62,'Prepare Gantt Chart'!AG61=9,'Project types'!$L62,'Prepare Gantt Chart'!AG61=0,0)</f>
        <v>0</v>
      </c>
      <c r="AV72" s="89">
        <f>_xlfn.IFS('Prepare Gantt Chart'!AH61=10,'Project types'!$L62,'Prepare Gantt Chart'!AH61=9,'Project types'!$L62,'Prepare Gantt Chart'!AH61=0,0)</f>
        <v>0</v>
      </c>
      <c r="AW72" s="89">
        <f>_xlfn.IFS('Prepare Gantt Chart'!AI61=10,'Project types'!$L62,'Prepare Gantt Chart'!AI61=9,'Project types'!$L62,'Prepare Gantt Chart'!AI61=0,0)</f>
        <v>0</v>
      </c>
      <c r="AX72" s="89">
        <f>_xlfn.IFS('Prepare Gantt Chart'!AJ61=10,'Project types'!$L62,'Prepare Gantt Chart'!AJ61=9,'Project types'!$L62,'Prepare Gantt Chart'!AJ61=0,0)</f>
        <v>0</v>
      </c>
      <c r="AY72" s="89">
        <f>_xlfn.IFS('Prepare Gantt Chart'!AK61=10,'Project types'!$L62,'Prepare Gantt Chart'!AK61=9,'Project types'!$L62,'Prepare Gantt Chart'!AK61=0,0)</f>
        <v>0</v>
      </c>
      <c r="AZ72" s="89">
        <f>_xlfn.IFS('Prepare Gantt Chart'!AL61=10,'Project types'!$L62,'Prepare Gantt Chart'!AL61=9,'Project types'!$L62,'Prepare Gantt Chart'!AL61=0,0)</f>
        <v>0</v>
      </c>
      <c r="BA72" s="89">
        <f>_xlfn.IFS('Prepare Gantt Chart'!AM61=10,'Project types'!$L62,'Prepare Gantt Chart'!AM61=9,'Project types'!$L62,'Prepare Gantt Chart'!AM61=0,0)</f>
        <v>0</v>
      </c>
      <c r="BB72" s="89">
        <f>_xlfn.IFS('Prepare Gantt Chart'!AN61=10,'Project types'!$L62,'Prepare Gantt Chart'!AN61=9,'Project types'!$L62,'Prepare Gantt Chart'!AN61=0,0)</f>
        <v>0</v>
      </c>
      <c r="BC72" s="89">
        <f>_xlfn.IFS('Prepare Gantt Chart'!AO61=10,'Project types'!$L62,'Prepare Gantt Chart'!AO61=9,'Project types'!$L62,'Prepare Gantt Chart'!AO61=0,0)</f>
        <v>0</v>
      </c>
      <c r="BD72" s="92">
        <f t="shared" si="1"/>
        <v>0</v>
      </c>
      <c r="CI72" s="85"/>
    </row>
    <row r="73" spans="1:87" x14ac:dyDescent="0.2">
      <c r="A73" s="1" t="s">
        <v>143</v>
      </c>
      <c r="B73" s="32" t="s">
        <v>55</v>
      </c>
      <c r="C73" s="83">
        <f>_xlfn.IFS('Prepare Gantt Chart'!P62=12,'Project types'!$O63,'Prepare Gantt Chart'!P62=11,'Project types'!$Q63,'Prepare Gantt Chart'!P62=0,0)</f>
        <v>0</v>
      </c>
      <c r="D73" s="83">
        <f>_xlfn.IFS('Prepare Gantt Chart'!Q62=12,'Project types'!$O63,'Prepare Gantt Chart'!Q62=11,'Project types'!$Q63,'Prepare Gantt Chart'!Q62=0,0)</f>
        <v>0</v>
      </c>
      <c r="E73" s="83">
        <f>_xlfn.IFS('Prepare Gantt Chart'!R62=12,'Project types'!$O63,'Prepare Gantt Chart'!R62=11,'Project types'!$Q63,'Prepare Gantt Chart'!R62=0,0)</f>
        <v>0</v>
      </c>
      <c r="F73" s="83">
        <f>_xlfn.IFS('Prepare Gantt Chart'!S62=12,'Project types'!$O63,'Prepare Gantt Chart'!S62=11,'Project types'!$Q63,'Prepare Gantt Chart'!S62=0,0)</f>
        <v>0</v>
      </c>
      <c r="G73" s="83">
        <f>_xlfn.IFS('Prepare Gantt Chart'!T62=12,'Project types'!$O63,'Prepare Gantt Chart'!T62=11,'Project types'!$Q63,'Prepare Gantt Chart'!T62=0,0)</f>
        <v>0</v>
      </c>
      <c r="H73" s="83">
        <f>_xlfn.IFS('Prepare Gantt Chart'!U62=12,'Project types'!$O63,'Prepare Gantt Chart'!U62=11,'Project types'!$Q63,'Prepare Gantt Chart'!U62=0,0)</f>
        <v>0</v>
      </c>
      <c r="I73" s="83">
        <f>_xlfn.IFS('Prepare Gantt Chart'!V62=12,'Project types'!$O63,'Prepare Gantt Chart'!V62=11,'Project types'!$Q63,'Prepare Gantt Chart'!V62=0,0)</f>
        <v>0</v>
      </c>
      <c r="J73" s="83">
        <f>_xlfn.IFS('Prepare Gantt Chart'!W62=12,'Project types'!$O63,'Prepare Gantt Chart'!W62=11,'Project types'!$Q63,'Prepare Gantt Chart'!W62=0,0)</f>
        <v>0</v>
      </c>
      <c r="K73" s="83">
        <f>_xlfn.IFS('Prepare Gantt Chart'!X62=12,'Project types'!$O63,'Prepare Gantt Chart'!X62=11,'Project types'!$Q63,'Prepare Gantt Chart'!X62=0,0)</f>
        <v>0</v>
      </c>
      <c r="L73" s="83">
        <f>_xlfn.IFS('Prepare Gantt Chart'!Y62=12,'Project types'!$O63,'Prepare Gantt Chart'!Y62=11,'Project types'!$Q63,'Prepare Gantt Chart'!Y62=0,0)</f>
        <v>0</v>
      </c>
      <c r="M73" s="83">
        <f>_xlfn.IFS('Prepare Gantt Chart'!Z62=12,'Project types'!$O63,'Prepare Gantt Chart'!Z62=11,'Project types'!$Q63,'Prepare Gantt Chart'!Z62=0,0)</f>
        <v>0</v>
      </c>
      <c r="N73" s="83">
        <f>_xlfn.IFS('Prepare Gantt Chart'!AA62=12,'Project types'!$O63,'Prepare Gantt Chart'!AA62=11,'Project types'!$Q63,'Prepare Gantt Chart'!AA62=0,0)</f>
        <v>0</v>
      </c>
      <c r="O73" s="83">
        <f>_xlfn.IFS('Prepare Gantt Chart'!AB62=12,'Project types'!$O63,'Prepare Gantt Chart'!AB62=11,'Project types'!$Q63,'Prepare Gantt Chart'!AB62=0,0)</f>
        <v>0</v>
      </c>
      <c r="P73" s="83">
        <f>_xlfn.IFS('Prepare Gantt Chart'!AC62=12,'Project types'!$O63,'Prepare Gantt Chart'!AC62=11,'Project types'!$Q63,'Prepare Gantt Chart'!AC62=0,0)</f>
        <v>0</v>
      </c>
      <c r="Q73" s="83">
        <f>_xlfn.IFS('Prepare Gantt Chart'!AD62=12,'Project types'!$O63,'Prepare Gantt Chart'!AD62=11,'Project types'!$Q63,'Prepare Gantt Chart'!AD62=0,0)</f>
        <v>0</v>
      </c>
      <c r="R73" s="83">
        <f>_xlfn.IFS('Prepare Gantt Chart'!AE62=12,'Project types'!$O63,'Prepare Gantt Chart'!AE62=11,'Project types'!$Q63,'Prepare Gantt Chart'!AE62=0,0)</f>
        <v>0</v>
      </c>
      <c r="S73" s="83">
        <f>_xlfn.IFS('Prepare Gantt Chart'!AF62=12,'Project types'!$O63,'Prepare Gantt Chart'!AF62=11,'Project types'!$Q63,'Prepare Gantt Chart'!AF62=0,0)</f>
        <v>0</v>
      </c>
      <c r="T73" s="83">
        <f>_xlfn.IFS('Prepare Gantt Chart'!AG62=12,'Project types'!$O63,'Prepare Gantt Chart'!AG62=11,'Project types'!$Q63,'Prepare Gantt Chart'!AG62=0,0)</f>
        <v>0</v>
      </c>
      <c r="U73" s="83">
        <f>_xlfn.IFS('Prepare Gantt Chart'!AH62=12,'Project types'!$O63,'Prepare Gantt Chart'!AH62=11,'Project types'!$Q63,'Prepare Gantt Chart'!AH62=0,0)</f>
        <v>0</v>
      </c>
      <c r="V73" s="83">
        <f>_xlfn.IFS('Prepare Gantt Chart'!AI62=12,'Project types'!$O63,'Prepare Gantt Chart'!AI62=11,'Project types'!$Q63,'Prepare Gantt Chart'!AI62=0,0)</f>
        <v>0</v>
      </c>
      <c r="W73" s="83">
        <f>_xlfn.IFS('Prepare Gantt Chart'!AJ62=12,'Project types'!$O63,'Prepare Gantt Chart'!AJ62=11,'Project types'!$Q63,'Prepare Gantt Chart'!AJ62=0,0)</f>
        <v>0</v>
      </c>
      <c r="X73" s="83">
        <f>_xlfn.IFS('Prepare Gantt Chart'!AK62=12,'Project types'!$O63,'Prepare Gantt Chart'!AK62=11,'Project types'!$Q63,'Prepare Gantt Chart'!AK62=0,0)</f>
        <v>0</v>
      </c>
      <c r="Y73" s="83">
        <f>_xlfn.IFS('Prepare Gantt Chart'!AL62=12,'Project types'!$O63,'Prepare Gantt Chart'!AL62=11,'Project types'!$Q63,'Prepare Gantt Chart'!AL62=0,0)</f>
        <v>0</v>
      </c>
      <c r="Z73" s="83">
        <f>_xlfn.IFS('Prepare Gantt Chart'!AM62=12,'Project types'!$O63,'Prepare Gantt Chart'!AM62=11,'Project types'!$Q63,'Prepare Gantt Chart'!AM62=0,0)</f>
        <v>0</v>
      </c>
      <c r="AA73" s="83">
        <f>_xlfn.IFS('Prepare Gantt Chart'!AN62=12,'Project types'!$O63,'Prepare Gantt Chart'!AN62=11,'Project types'!$Q63,'Prepare Gantt Chart'!AN62=0,0)</f>
        <v>0</v>
      </c>
      <c r="AB73" s="83">
        <f>_xlfn.IFS('Prepare Gantt Chart'!AO62=12,'Project types'!$O63,'Prepare Gantt Chart'!AO62=11,'Project types'!$Q63,'Prepare Gantt Chart'!AO62=0,0)</f>
        <v>0</v>
      </c>
      <c r="AC73" s="93">
        <f t="shared" si="0"/>
        <v>0</v>
      </c>
      <c r="AD73" s="86">
        <f>_xlfn.IFS('Prepare Gantt Chart'!P62=12,'Project types'!$L63,'Prepare Gantt Chart'!P62=11,'Project types'!$L63,'Prepare Gantt Chart'!P62=0,0)</f>
        <v>0</v>
      </c>
      <c r="AE73" s="83">
        <f>_xlfn.IFS('Prepare Gantt Chart'!Q62=12,'Project types'!$L63,'Prepare Gantt Chart'!Q62=11,'Project types'!$L63,'Prepare Gantt Chart'!Q62=0,0)</f>
        <v>0</v>
      </c>
      <c r="AF73" s="83">
        <f>_xlfn.IFS('Prepare Gantt Chart'!R62=12,'Project types'!$L63,'Prepare Gantt Chart'!R62=11,'Project types'!$L63,'Prepare Gantt Chart'!R62=0,0)</f>
        <v>0</v>
      </c>
      <c r="AG73" s="83">
        <f>_xlfn.IFS('Prepare Gantt Chart'!S62=12,'Project types'!$L63,'Prepare Gantt Chart'!S62=11,'Project types'!$L63,'Prepare Gantt Chart'!S62=0,0)</f>
        <v>0</v>
      </c>
      <c r="AH73" s="83">
        <f>_xlfn.IFS('Prepare Gantt Chart'!T62=12,'Project types'!$L63,'Prepare Gantt Chart'!T62=11,'Project types'!$L63,'Prepare Gantt Chart'!T62=0,0)</f>
        <v>0</v>
      </c>
      <c r="AI73" s="83">
        <f>_xlfn.IFS('Prepare Gantt Chart'!U62=12,'Project types'!$L63,'Prepare Gantt Chart'!U62=11,'Project types'!$L63,'Prepare Gantt Chart'!U62=0,0)</f>
        <v>0</v>
      </c>
      <c r="AJ73" s="83">
        <f>_xlfn.IFS('Prepare Gantt Chart'!V62=12,'Project types'!$L63,'Prepare Gantt Chart'!V62=11,'Project types'!$L63,'Prepare Gantt Chart'!V62=0,0)</f>
        <v>0</v>
      </c>
      <c r="AK73" s="83">
        <f>_xlfn.IFS('Prepare Gantt Chart'!W62=12,'Project types'!$L63,'Prepare Gantt Chart'!W62=11,'Project types'!$L63,'Prepare Gantt Chart'!W62=0,0)</f>
        <v>0</v>
      </c>
      <c r="AL73" s="83">
        <f>_xlfn.IFS('Prepare Gantt Chart'!X62=12,'Project types'!$L63,'Prepare Gantt Chart'!X62=11,'Project types'!$L63,'Prepare Gantt Chart'!X62=0,0)</f>
        <v>0</v>
      </c>
      <c r="AM73" s="83">
        <f>_xlfn.IFS('Prepare Gantt Chart'!Y62=12,'Project types'!$L63,'Prepare Gantt Chart'!Y62=11,'Project types'!$L63,'Prepare Gantt Chart'!Y62=0,0)</f>
        <v>0</v>
      </c>
      <c r="AN73" s="83">
        <f>_xlfn.IFS('Prepare Gantt Chart'!Z62=12,'Project types'!$L63,'Prepare Gantt Chart'!Z62=11,'Project types'!$L63,'Prepare Gantt Chart'!Z62=0,0)</f>
        <v>0</v>
      </c>
      <c r="AO73" s="83">
        <f>_xlfn.IFS('Prepare Gantt Chart'!AA62=12,'Project types'!$L63,'Prepare Gantt Chart'!AA62=11,'Project types'!$L63,'Prepare Gantt Chart'!AA62=0,0)</f>
        <v>0</v>
      </c>
      <c r="AP73" s="83">
        <f>_xlfn.IFS('Prepare Gantt Chart'!AB62=12,'Project types'!$L63,'Prepare Gantt Chart'!AB62=11,'Project types'!$L63,'Prepare Gantt Chart'!AB62=0,0)</f>
        <v>0</v>
      </c>
      <c r="AQ73" s="83">
        <f>_xlfn.IFS('Prepare Gantt Chart'!AC62=12,'Project types'!$L63,'Prepare Gantt Chart'!AC62=11,'Project types'!$L63,'Prepare Gantt Chart'!AC62=0,0)</f>
        <v>0</v>
      </c>
      <c r="AR73" s="83">
        <f>_xlfn.IFS('Prepare Gantt Chart'!AD62=12,'Project types'!$L63,'Prepare Gantt Chart'!AD62=11,'Project types'!$L63,'Prepare Gantt Chart'!AD62=0,0)</f>
        <v>0</v>
      </c>
      <c r="AS73" s="83">
        <f>_xlfn.IFS('Prepare Gantt Chart'!AE62=12,'Project types'!$L63,'Prepare Gantt Chart'!AE62=11,'Project types'!$L63,'Prepare Gantt Chart'!AE62=0,0)</f>
        <v>0</v>
      </c>
      <c r="AT73" s="83">
        <f>_xlfn.IFS('Prepare Gantt Chart'!AF62=12,'Project types'!$L63,'Prepare Gantt Chart'!AF62=11,'Project types'!$L63,'Prepare Gantt Chart'!AF62=0,0)</f>
        <v>0</v>
      </c>
      <c r="AU73" s="83">
        <f>_xlfn.IFS('Prepare Gantt Chart'!AG62=12,'Project types'!$L63,'Prepare Gantt Chart'!AG62=11,'Project types'!$L63,'Prepare Gantt Chart'!AG62=0,0)</f>
        <v>0</v>
      </c>
      <c r="AV73" s="83">
        <f>_xlfn.IFS('Prepare Gantt Chart'!AH62=12,'Project types'!$L63,'Prepare Gantt Chart'!AH62=11,'Project types'!$L63,'Prepare Gantt Chart'!AH62=0,0)</f>
        <v>0</v>
      </c>
      <c r="AW73" s="83">
        <f>_xlfn.IFS('Prepare Gantt Chart'!AI62=12,'Project types'!$L63,'Prepare Gantt Chart'!AI62=11,'Project types'!$L63,'Prepare Gantt Chart'!AI62=0,0)</f>
        <v>0</v>
      </c>
      <c r="AX73" s="83">
        <f>_xlfn.IFS('Prepare Gantt Chart'!AJ62=12,'Project types'!$L63,'Prepare Gantt Chart'!AJ62=11,'Project types'!$L63,'Prepare Gantt Chart'!AJ62=0,0)</f>
        <v>0</v>
      </c>
      <c r="AY73" s="83">
        <f>_xlfn.IFS('Prepare Gantt Chart'!AK62=12,'Project types'!$L63,'Prepare Gantt Chart'!AK62=11,'Project types'!$L63,'Prepare Gantt Chart'!AK62=0,0)</f>
        <v>0</v>
      </c>
      <c r="AZ73" s="83">
        <f>_xlfn.IFS('Prepare Gantt Chart'!AL62=12,'Project types'!$L63,'Prepare Gantt Chart'!AL62=11,'Project types'!$L63,'Prepare Gantt Chart'!AL62=0,0)</f>
        <v>0</v>
      </c>
      <c r="BA73" s="83">
        <f>_xlfn.IFS('Prepare Gantt Chart'!AM62=12,'Project types'!$L63,'Prepare Gantt Chart'!AM62=11,'Project types'!$L63,'Prepare Gantt Chart'!AM62=0,0)</f>
        <v>0</v>
      </c>
      <c r="BB73" s="83">
        <f>_xlfn.IFS('Prepare Gantt Chart'!AN62=12,'Project types'!$L63,'Prepare Gantt Chart'!AN62=11,'Project types'!$L63,'Prepare Gantt Chart'!AN62=0,0)</f>
        <v>0</v>
      </c>
      <c r="BC73" s="83">
        <f>_xlfn.IFS('Prepare Gantt Chart'!AO62=12,'Project types'!$L63,'Prepare Gantt Chart'!AO62=11,'Project types'!$L63,'Prepare Gantt Chart'!AO62=0,0)</f>
        <v>0</v>
      </c>
      <c r="BD73" s="91">
        <f t="shared" si="1"/>
        <v>0</v>
      </c>
      <c r="CI73" s="85"/>
    </row>
    <row r="74" spans="1:87" x14ac:dyDescent="0.2">
      <c r="A74" s="1" t="s">
        <v>122</v>
      </c>
      <c r="B74" s="33" t="s">
        <v>56</v>
      </c>
      <c r="C74" s="83">
        <f>_xlfn.IFS('Prepare Gantt Chart'!P63=12,'Project types'!$O64,'Prepare Gantt Chart'!P63=11,'Project types'!$Q64,'Prepare Gantt Chart'!P63=0,0)</f>
        <v>0</v>
      </c>
      <c r="D74" s="83">
        <f>_xlfn.IFS('Prepare Gantt Chart'!Q63=12,'Project types'!$O64,'Prepare Gantt Chart'!Q63=11,'Project types'!$Q64,'Prepare Gantt Chart'!Q63=0,0)</f>
        <v>0</v>
      </c>
      <c r="E74" s="83">
        <f>_xlfn.IFS('Prepare Gantt Chart'!R63=12,'Project types'!$O64,'Prepare Gantt Chart'!R63=11,'Project types'!$Q64,'Prepare Gantt Chart'!R63=0,0)</f>
        <v>0</v>
      </c>
      <c r="F74" s="83">
        <f>_xlfn.IFS('Prepare Gantt Chart'!S63=12,'Project types'!$O64,'Prepare Gantt Chart'!S63=11,'Project types'!$Q64,'Prepare Gantt Chart'!S63=0,0)</f>
        <v>0</v>
      </c>
      <c r="G74" s="83">
        <f>_xlfn.IFS('Prepare Gantt Chart'!T63=12,'Project types'!$O64,'Prepare Gantt Chart'!T63=11,'Project types'!$Q64,'Prepare Gantt Chart'!T63=0,0)</f>
        <v>0</v>
      </c>
      <c r="H74" s="83">
        <f>_xlfn.IFS('Prepare Gantt Chart'!U63=12,'Project types'!$O64,'Prepare Gantt Chart'!U63=11,'Project types'!$Q64,'Prepare Gantt Chart'!U63=0,0)</f>
        <v>0</v>
      </c>
      <c r="I74" s="83">
        <f>_xlfn.IFS('Prepare Gantt Chart'!V63=12,'Project types'!$O64,'Prepare Gantt Chart'!V63=11,'Project types'!$Q64,'Prepare Gantt Chart'!V63=0,0)</f>
        <v>0</v>
      </c>
      <c r="J74" s="83">
        <f>_xlfn.IFS('Prepare Gantt Chart'!W63=12,'Project types'!$O64,'Prepare Gantt Chart'!W63=11,'Project types'!$Q64,'Prepare Gantt Chart'!W63=0,0)</f>
        <v>0</v>
      </c>
      <c r="K74" s="83">
        <f>_xlfn.IFS('Prepare Gantt Chart'!X63=12,'Project types'!$O64,'Prepare Gantt Chart'!X63=11,'Project types'!$Q64,'Prepare Gantt Chart'!X63=0,0)</f>
        <v>0</v>
      </c>
      <c r="L74" s="83">
        <f>_xlfn.IFS('Prepare Gantt Chart'!Y63=12,'Project types'!$O64,'Prepare Gantt Chart'!Y63=11,'Project types'!$Q64,'Prepare Gantt Chart'!Y63=0,0)</f>
        <v>0</v>
      </c>
      <c r="M74" s="83">
        <f>_xlfn.IFS('Prepare Gantt Chart'!Z63=12,'Project types'!$O64,'Prepare Gantt Chart'!Z63=11,'Project types'!$Q64,'Prepare Gantt Chart'!Z63=0,0)</f>
        <v>0</v>
      </c>
      <c r="N74" s="83">
        <f>_xlfn.IFS('Prepare Gantt Chart'!AA63=12,'Project types'!$O64,'Prepare Gantt Chart'!AA63=11,'Project types'!$Q64,'Prepare Gantt Chart'!AA63=0,0)</f>
        <v>0</v>
      </c>
      <c r="O74" s="83">
        <f>_xlfn.IFS('Prepare Gantt Chart'!AB63=12,'Project types'!$O64,'Prepare Gantt Chart'!AB63=11,'Project types'!$Q64,'Prepare Gantt Chart'!AB63=0,0)</f>
        <v>0</v>
      </c>
      <c r="P74" s="83">
        <f>_xlfn.IFS('Prepare Gantt Chart'!AC63=12,'Project types'!$O64,'Prepare Gantt Chart'!AC63=11,'Project types'!$Q64,'Prepare Gantt Chart'!AC63=0,0)</f>
        <v>0</v>
      </c>
      <c r="Q74" s="83">
        <f>_xlfn.IFS('Prepare Gantt Chart'!AD63=12,'Project types'!$O64,'Prepare Gantt Chart'!AD63=11,'Project types'!$Q64,'Prepare Gantt Chart'!AD63=0,0)</f>
        <v>0</v>
      </c>
      <c r="R74" s="83">
        <f>_xlfn.IFS('Prepare Gantt Chart'!AE63=12,'Project types'!$O64,'Prepare Gantt Chart'!AE63=11,'Project types'!$Q64,'Prepare Gantt Chart'!AE63=0,0)</f>
        <v>0</v>
      </c>
      <c r="S74" s="83">
        <f>_xlfn.IFS('Prepare Gantt Chart'!AF63=12,'Project types'!$O64,'Prepare Gantt Chart'!AF63=11,'Project types'!$Q64,'Prepare Gantt Chart'!AF63=0,0)</f>
        <v>0</v>
      </c>
      <c r="T74" s="83">
        <f>_xlfn.IFS('Prepare Gantt Chart'!AG63=12,'Project types'!$O64,'Prepare Gantt Chart'!AG63=11,'Project types'!$Q64,'Prepare Gantt Chart'!AG63=0,0)</f>
        <v>0</v>
      </c>
      <c r="U74" s="83">
        <f>_xlfn.IFS('Prepare Gantt Chart'!AH63=12,'Project types'!$O64,'Prepare Gantt Chart'!AH63=11,'Project types'!$Q64,'Prepare Gantt Chart'!AH63=0,0)</f>
        <v>0</v>
      </c>
      <c r="V74" s="83">
        <f>_xlfn.IFS('Prepare Gantt Chart'!AI63=12,'Project types'!$O64,'Prepare Gantt Chart'!AI63=11,'Project types'!$Q64,'Prepare Gantt Chart'!AI63=0,0)</f>
        <v>0</v>
      </c>
      <c r="W74" s="83">
        <f>_xlfn.IFS('Prepare Gantt Chart'!AJ63=12,'Project types'!$O64,'Prepare Gantt Chart'!AJ63=11,'Project types'!$Q64,'Prepare Gantt Chart'!AJ63=0,0)</f>
        <v>0</v>
      </c>
      <c r="X74" s="83">
        <f>_xlfn.IFS('Prepare Gantt Chart'!AK63=12,'Project types'!$O64,'Prepare Gantt Chart'!AK63=11,'Project types'!$Q64,'Prepare Gantt Chart'!AK63=0,0)</f>
        <v>0</v>
      </c>
      <c r="Y74" s="83">
        <f>_xlfn.IFS('Prepare Gantt Chart'!AL63=12,'Project types'!$O64,'Prepare Gantt Chart'!AL63=11,'Project types'!$Q64,'Prepare Gantt Chart'!AL63=0,0)</f>
        <v>0</v>
      </c>
      <c r="Z74" s="83">
        <f>_xlfn.IFS('Prepare Gantt Chart'!AM63=12,'Project types'!$O64,'Prepare Gantt Chart'!AM63=11,'Project types'!$Q64,'Prepare Gantt Chart'!AM63=0,0)</f>
        <v>0</v>
      </c>
      <c r="AA74" s="83">
        <f>_xlfn.IFS('Prepare Gantt Chart'!AN63=12,'Project types'!$O64,'Prepare Gantt Chart'!AN63=11,'Project types'!$Q64,'Prepare Gantt Chart'!AN63=0,0)</f>
        <v>0</v>
      </c>
      <c r="AB74" s="83">
        <f>_xlfn.IFS('Prepare Gantt Chart'!AO63=12,'Project types'!$O64,'Prepare Gantt Chart'!AO63=11,'Project types'!$Q64,'Prepare Gantt Chart'!AO63=0,0)</f>
        <v>0</v>
      </c>
      <c r="AC74" s="93">
        <f t="shared" si="0"/>
        <v>0</v>
      </c>
      <c r="AD74" s="86">
        <f>_xlfn.IFS('Prepare Gantt Chart'!P63=12,'Project types'!$L64,'Prepare Gantt Chart'!P63=11,'Project types'!$L64,'Prepare Gantt Chart'!P63=0,0)</f>
        <v>0</v>
      </c>
      <c r="AE74" s="83">
        <f>_xlfn.IFS('Prepare Gantt Chart'!Q63=12,'Project types'!$L64,'Prepare Gantt Chart'!Q63=11,'Project types'!$L64,'Prepare Gantt Chart'!Q63=0,0)</f>
        <v>0</v>
      </c>
      <c r="AF74" s="83">
        <f>_xlfn.IFS('Prepare Gantt Chart'!R63=12,'Project types'!$L64,'Prepare Gantt Chart'!R63=11,'Project types'!$L64,'Prepare Gantt Chart'!R63=0,0)</f>
        <v>0</v>
      </c>
      <c r="AG74" s="83">
        <f>_xlfn.IFS('Prepare Gantt Chart'!S63=12,'Project types'!$L64,'Prepare Gantt Chart'!S63=11,'Project types'!$L64,'Prepare Gantt Chart'!S63=0,0)</f>
        <v>0</v>
      </c>
      <c r="AH74" s="83">
        <f>_xlfn.IFS('Prepare Gantt Chart'!T63=12,'Project types'!$L64,'Prepare Gantt Chart'!T63=11,'Project types'!$L64,'Prepare Gantt Chart'!T63=0,0)</f>
        <v>0</v>
      </c>
      <c r="AI74" s="83">
        <f>_xlfn.IFS('Prepare Gantt Chart'!U63=12,'Project types'!$L64,'Prepare Gantt Chart'!U63=11,'Project types'!$L64,'Prepare Gantt Chart'!U63=0,0)</f>
        <v>0</v>
      </c>
      <c r="AJ74" s="83">
        <f>_xlfn.IFS('Prepare Gantt Chart'!V63=12,'Project types'!$L64,'Prepare Gantt Chart'!V63=11,'Project types'!$L64,'Prepare Gantt Chart'!V63=0,0)</f>
        <v>0</v>
      </c>
      <c r="AK74" s="83">
        <f>_xlfn.IFS('Prepare Gantt Chart'!W63=12,'Project types'!$L64,'Prepare Gantt Chart'!W63=11,'Project types'!$L64,'Prepare Gantt Chart'!W63=0,0)</f>
        <v>0</v>
      </c>
      <c r="AL74" s="83">
        <f>_xlfn.IFS('Prepare Gantt Chart'!X63=12,'Project types'!$L64,'Prepare Gantt Chart'!X63=11,'Project types'!$L64,'Prepare Gantt Chart'!X63=0,0)</f>
        <v>0</v>
      </c>
      <c r="AM74" s="83">
        <f>_xlfn.IFS('Prepare Gantt Chart'!Y63=12,'Project types'!$L64,'Prepare Gantt Chart'!Y63=11,'Project types'!$L64,'Prepare Gantt Chart'!Y63=0,0)</f>
        <v>0</v>
      </c>
      <c r="AN74" s="83">
        <f>_xlfn.IFS('Prepare Gantt Chart'!Z63=12,'Project types'!$L64,'Prepare Gantt Chart'!Z63=11,'Project types'!$L64,'Prepare Gantt Chart'!Z63=0,0)</f>
        <v>0</v>
      </c>
      <c r="AO74" s="83">
        <f>_xlfn.IFS('Prepare Gantt Chart'!AA63=12,'Project types'!$L64,'Prepare Gantt Chart'!AA63=11,'Project types'!$L64,'Prepare Gantt Chart'!AA63=0,0)</f>
        <v>0</v>
      </c>
      <c r="AP74" s="83">
        <f>_xlfn.IFS('Prepare Gantt Chart'!AB63=12,'Project types'!$L64,'Prepare Gantt Chart'!AB63=11,'Project types'!$L64,'Prepare Gantt Chart'!AB63=0,0)</f>
        <v>0</v>
      </c>
      <c r="AQ74" s="83">
        <f>_xlfn.IFS('Prepare Gantt Chart'!AC63=12,'Project types'!$L64,'Prepare Gantt Chart'!AC63=11,'Project types'!$L64,'Prepare Gantt Chart'!AC63=0,0)</f>
        <v>0</v>
      </c>
      <c r="AR74" s="83">
        <f>_xlfn.IFS('Prepare Gantt Chart'!AD63=12,'Project types'!$L64,'Prepare Gantt Chart'!AD63=11,'Project types'!$L64,'Prepare Gantt Chart'!AD63=0,0)</f>
        <v>0</v>
      </c>
      <c r="AS74" s="83">
        <f>_xlfn.IFS('Prepare Gantt Chart'!AE63=12,'Project types'!$L64,'Prepare Gantt Chart'!AE63=11,'Project types'!$L64,'Prepare Gantt Chart'!AE63=0,0)</f>
        <v>0</v>
      </c>
      <c r="AT74" s="83">
        <f>_xlfn.IFS('Prepare Gantt Chart'!AF63=12,'Project types'!$L64,'Prepare Gantt Chart'!AF63=11,'Project types'!$L64,'Prepare Gantt Chart'!AF63=0,0)</f>
        <v>0</v>
      </c>
      <c r="AU74" s="83">
        <f>_xlfn.IFS('Prepare Gantt Chart'!AG63=12,'Project types'!$L64,'Prepare Gantt Chart'!AG63=11,'Project types'!$L64,'Prepare Gantt Chart'!AG63=0,0)</f>
        <v>0</v>
      </c>
      <c r="AV74" s="83">
        <f>_xlfn.IFS('Prepare Gantt Chart'!AH63=12,'Project types'!$L64,'Prepare Gantt Chart'!AH63=11,'Project types'!$L64,'Prepare Gantt Chart'!AH63=0,0)</f>
        <v>0</v>
      </c>
      <c r="AW74" s="83">
        <f>_xlfn.IFS('Prepare Gantt Chart'!AI63=12,'Project types'!$L64,'Prepare Gantt Chart'!AI63=11,'Project types'!$L64,'Prepare Gantt Chart'!AI63=0,0)</f>
        <v>0</v>
      </c>
      <c r="AX74" s="83">
        <f>_xlfn.IFS('Prepare Gantt Chart'!AJ63=12,'Project types'!$L64,'Prepare Gantt Chart'!AJ63=11,'Project types'!$L64,'Prepare Gantt Chart'!AJ63=0,0)</f>
        <v>0</v>
      </c>
      <c r="AY74" s="83">
        <f>_xlfn.IFS('Prepare Gantt Chart'!AK63=12,'Project types'!$L64,'Prepare Gantt Chart'!AK63=11,'Project types'!$L64,'Prepare Gantt Chart'!AK63=0,0)</f>
        <v>0</v>
      </c>
      <c r="AZ74" s="83">
        <f>_xlfn.IFS('Prepare Gantt Chart'!AL63=12,'Project types'!$L64,'Prepare Gantt Chart'!AL63=11,'Project types'!$L64,'Prepare Gantt Chart'!AL63=0,0)</f>
        <v>0</v>
      </c>
      <c r="BA74" s="83">
        <f>_xlfn.IFS('Prepare Gantt Chart'!AM63=12,'Project types'!$L64,'Prepare Gantt Chart'!AM63=11,'Project types'!$L64,'Prepare Gantt Chart'!AM63=0,0)</f>
        <v>0</v>
      </c>
      <c r="BB74" s="83">
        <f>_xlfn.IFS('Prepare Gantt Chart'!AN63=12,'Project types'!$L64,'Prepare Gantt Chart'!AN63=11,'Project types'!$L64,'Prepare Gantt Chart'!AN63=0,0)</f>
        <v>0</v>
      </c>
      <c r="BC74" s="83">
        <f>_xlfn.IFS('Prepare Gantt Chart'!AO63=12,'Project types'!$L64,'Prepare Gantt Chart'!AO63=11,'Project types'!$L64,'Prepare Gantt Chart'!AO63=0,0)</f>
        <v>0</v>
      </c>
      <c r="BD74" s="91">
        <f t="shared" si="1"/>
        <v>0</v>
      </c>
      <c r="CI74" s="85"/>
    </row>
    <row r="75" spans="1:87" x14ac:dyDescent="0.2">
      <c r="A75" s="1" t="s">
        <v>141</v>
      </c>
      <c r="B75" s="33" t="s">
        <v>57</v>
      </c>
      <c r="C75" s="83">
        <f>_xlfn.IFS('Prepare Gantt Chart'!P64=12,'Project types'!$O65,'Prepare Gantt Chart'!P64=11,'Project types'!$Q65,'Prepare Gantt Chart'!P64=0,0)</f>
        <v>0</v>
      </c>
      <c r="D75" s="83">
        <f>_xlfn.IFS('Prepare Gantt Chart'!Q64=12,'Project types'!$O65,'Prepare Gantt Chart'!Q64=11,'Project types'!$Q65,'Prepare Gantt Chart'!Q64=0,0)</f>
        <v>0</v>
      </c>
      <c r="E75" s="83">
        <f>_xlfn.IFS('Prepare Gantt Chart'!R64=12,'Project types'!$O65,'Prepare Gantt Chart'!R64=11,'Project types'!$Q65,'Prepare Gantt Chart'!R64=0,0)</f>
        <v>0</v>
      </c>
      <c r="F75" s="83">
        <f>_xlfn.IFS('Prepare Gantt Chart'!S64=12,'Project types'!$O65,'Prepare Gantt Chart'!S64=11,'Project types'!$Q65,'Prepare Gantt Chart'!S64=0,0)</f>
        <v>0</v>
      </c>
      <c r="G75" s="83">
        <f>_xlfn.IFS('Prepare Gantt Chart'!T64=12,'Project types'!$O65,'Prepare Gantt Chart'!T64=11,'Project types'!$Q65,'Prepare Gantt Chart'!T64=0,0)</f>
        <v>0</v>
      </c>
      <c r="H75" s="83">
        <f>_xlfn.IFS('Prepare Gantt Chart'!U64=12,'Project types'!$O65,'Prepare Gantt Chart'!U64=11,'Project types'!$Q65,'Prepare Gantt Chart'!U64=0,0)</f>
        <v>0</v>
      </c>
      <c r="I75" s="83">
        <f>_xlfn.IFS('Prepare Gantt Chart'!V64=12,'Project types'!$O65,'Prepare Gantt Chart'!V64=11,'Project types'!$Q65,'Prepare Gantt Chart'!V64=0,0)</f>
        <v>0</v>
      </c>
      <c r="J75" s="83">
        <f>_xlfn.IFS('Prepare Gantt Chart'!W64=12,'Project types'!$O65,'Prepare Gantt Chart'!W64=11,'Project types'!$Q65,'Prepare Gantt Chart'!W64=0,0)</f>
        <v>0</v>
      </c>
      <c r="K75" s="83">
        <f>_xlfn.IFS('Prepare Gantt Chart'!X64=12,'Project types'!$O65,'Prepare Gantt Chart'!X64=11,'Project types'!$Q65,'Prepare Gantt Chart'!X64=0,0)</f>
        <v>0</v>
      </c>
      <c r="L75" s="83">
        <f>_xlfn.IFS('Prepare Gantt Chart'!Y64=12,'Project types'!$O65,'Prepare Gantt Chart'!Y64=11,'Project types'!$Q65,'Prepare Gantt Chart'!Y64=0,0)</f>
        <v>0</v>
      </c>
      <c r="M75" s="83">
        <f>_xlfn.IFS('Prepare Gantt Chart'!Z64=12,'Project types'!$O65,'Prepare Gantt Chart'!Z64=11,'Project types'!$Q65,'Prepare Gantt Chart'!Z64=0,0)</f>
        <v>0</v>
      </c>
      <c r="N75" s="83">
        <f>_xlfn.IFS('Prepare Gantt Chart'!AA64=12,'Project types'!$O65,'Prepare Gantt Chart'!AA64=11,'Project types'!$Q65,'Prepare Gantt Chart'!AA64=0,0)</f>
        <v>0</v>
      </c>
      <c r="O75" s="83">
        <f>_xlfn.IFS('Prepare Gantt Chart'!AB64=12,'Project types'!$O65,'Prepare Gantt Chart'!AB64=11,'Project types'!$Q65,'Prepare Gantt Chart'!AB64=0,0)</f>
        <v>0</v>
      </c>
      <c r="P75" s="83">
        <f>_xlfn.IFS('Prepare Gantt Chart'!AC64=12,'Project types'!$O65,'Prepare Gantt Chart'!AC64=11,'Project types'!$Q65,'Prepare Gantt Chart'!AC64=0,0)</f>
        <v>0</v>
      </c>
      <c r="Q75" s="83">
        <f>_xlfn.IFS('Prepare Gantt Chart'!AD64=12,'Project types'!$O65,'Prepare Gantt Chart'!AD64=11,'Project types'!$Q65,'Prepare Gantt Chart'!AD64=0,0)</f>
        <v>0</v>
      </c>
      <c r="R75" s="83">
        <f>_xlfn.IFS('Prepare Gantt Chart'!AE64=12,'Project types'!$O65,'Prepare Gantt Chart'!AE64=11,'Project types'!$Q65,'Prepare Gantt Chart'!AE64=0,0)</f>
        <v>0</v>
      </c>
      <c r="S75" s="83">
        <f>_xlfn.IFS('Prepare Gantt Chart'!AF64=12,'Project types'!$O65,'Prepare Gantt Chart'!AF64=11,'Project types'!$Q65,'Prepare Gantt Chart'!AF64=0,0)</f>
        <v>0</v>
      </c>
      <c r="T75" s="83">
        <f>_xlfn.IFS('Prepare Gantt Chart'!AG64=12,'Project types'!$O65,'Prepare Gantt Chart'!AG64=11,'Project types'!$Q65,'Prepare Gantt Chart'!AG64=0,0)</f>
        <v>0</v>
      </c>
      <c r="U75" s="83">
        <f>_xlfn.IFS('Prepare Gantt Chart'!AH64=12,'Project types'!$O65,'Prepare Gantt Chart'!AH64=11,'Project types'!$Q65,'Prepare Gantt Chart'!AH64=0,0)</f>
        <v>0</v>
      </c>
      <c r="V75" s="83">
        <f>_xlfn.IFS('Prepare Gantt Chart'!AI64=12,'Project types'!$O65,'Prepare Gantt Chart'!AI64=11,'Project types'!$Q65,'Prepare Gantt Chart'!AI64=0,0)</f>
        <v>0</v>
      </c>
      <c r="W75" s="83">
        <f>_xlfn.IFS('Prepare Gantt Chart'!AJ64=12,'Project types'!$O65,'Prepare Gantt Chart'!AJ64=11,'Project types'!$Q65,'Prepare Gantt Chart'!AJ64=0,0)</f>
        <v>0</v>
      </c>
      <c r="X75" s="83">
        <f>_xlfn.IFS('Prepare Gantt Chart'!AK64=12,'Project types'!$O65,'Prepare Gantt Chart'!AK64=11,'Project types'!$Q65,'Prepare Gantt Chart'!AK64=0,0)</f>
        <v>0</v>
      </c>
      <c r="Y75" s="83">
        <f>_xlfn.IFS('Prepare Gantt Chart'!AL64=12,'Project types'!$O65,'Prepare Gantt Chart'!AL64=11,'Project types'!$Q65,'Prepare Gantt Chart'!AL64=0,0)</f>
        <v>0</v>
      </c>
      <c r="Z75" s="83">
        <f>_xlfn.IFS('Prepare Gantt Chart'!AM64=12,'Project types'!$O65,'Prepare Gantt Chart'!AM64=11,'Project types'!$Q65,'Prepare Gantt Chart'!AM64=0,0)</f>
        <v>0</v>
      </c>
      <c r="AA75" s="83">
        <f>_xlfn.IFS('Prepare Gantt Chart'!AN64=12,'Project types'!$O65,'Prepare Gantt Chart'!AN64=11,'Project types'!$Q65,'Prepare Gantt Chart'!AN64=0,0)</f>
        <v>0</v>
      </c>
      <c r="AB75" s="83">
        <f>_xlfn.IFS('Prepare Gantt Chart'!AO64=12,'Project types'!$O65,'Prepare Gantt Chart'!AO64=11,'Project types'!$Q65,'Prepare Gantt Chart'!AO64=0,0)</f>
        <v>0</v>
      </c>
      <c r="AC75" s="93">
        <f t="shared" si="0"/>
        <v>0</v>
      </c>
      <c r="AD75" s="86">
        <f>_xlfn.IFS('Prepare Gantt Chart'!P64=12,'Project types'!$L65,'Prepare Gantt Chart'!P64=11,'Project types'!$L65,'Prepare Gantt Chart'!P64=0,0)</f>
        <v>0</v>
      </c>
      <c r="AE75" s="83">
        <f>_xlfn.IFS('Prepare Gantt Chart'!Q64=12,'Project types'!$L65,'Prepare Gantt Chart'!Q64=11,'Project types'!$L65,'Prepare Gantt Chart'!Q64=0,0)</f>
        <v>0</v>
      </c>
      <c r="AF75" s="83">
        <f>_xlfn.IFS('Prepare Gantt Chart'!R64=12,'Project types'!$L65,'Prepare Gantt Chart'!R64=11,'Project types'!$L65,'Prepare Gantt Chart'!R64=0,0)</f>
        <v>0</v>
      </c>
      <c r="AG75" s="83">
        <f>_xlfn.IFS('Prepare Gantt Chart'!S64=12,'Project types'!$L65,'Prepare Gantt Chart'!S64=11,'Project types'!$L65,'Prepare Gantt Chart'!S64=0,0)</f>
        <v>0</v>
      </c>
      <c r="AH75" s="83">
        <f>_xlfn.IFS('Prepare Gantt Chart'!T64=12,'Project types'!$L65,'Prepare Gantt Chart'!T64=11,'Project types'!$L65,'Prepare Gantt Chart'!T64=0,0)</f>
        <v>0</v>
      </c>
      <c r="AI75" s="83">
        <f>_xlfn.IFS('Prepare Gantt Chart'!U64=12,'Project types'!$L65,'Prepare Gantt Chart'!U64=11,'Project types'!$L65,'Prepare Gantt Chart'!U64=0,0)</f>
        <v>0</v>
      </c>
      <c r="AJ75" s="83">
        <f>_xlfn.IFS('Prepare Gantt Chart'!V64=12,'Project types'!$L65,'Prepare Gantt Chart'!V64=11,'Project types'!$L65,'Prepare Gantt Chart'!V64=0,0)</f>
        <v>0</v>
      </c>
      <c r="AK75" s="83">
        <f>_xlfn.IFS('Prepare Gantt Chart'!W64=12,'Project types'!$L65,'Prepare Gantt Chart'!W64=11,'Project types'!$L65,'Prepare Gantt Chart'!W64=0,0)</f>
        <v>0</v>
      </c>
      <c r="AL75" s="83">
        <f>_xlfn.IFS('Prepare Gantt Chart'!X64=12,'Project types'!$L65,'Prepare Gantt Chart'!X64=11,'Project types'!$L65,'Prepare Gantt Chart'!X64=0,0)</f>
        <v>0</v>
      </c>
      <c r="AM75" s="83">
        <f>_xlfn.IFS('Prepare Gantt Chart'!Y64=12,'Project types'!$L65,'Prepare Gantt Chart'!Y64=11,'Project types'!$L65,'Prepare Gantt Chart'!Y64=0,0)</f>
        <v>0</v>
      </c>
      <c r="AN75" s="83">
        <f>_xlfn.IFS('Prepare Gantt Chart'!Z64=12,'Project types'!$L65,'Prepare Gantt Chart'!Z64=11,'Project types'!$L65,'Prepare Gantt Chart'!Z64=0,0)</f>
        <v>0</v>
      </c>
      <c r="AO75" s="83">
        <f>_xlfn.IFS('Prepare Gantt Chart'!AA64=12,'Project types'!$L65,'Prepare Gantt Chart'!AA64=11,'Project types'!$L65,'Prepare Gantt Chart'!AA64=0,0)</f>
        <v>0</v>
      </c>
      <c r="AP75" s="83">
        <f>_xlfn.IFS('Prepare Gantt Chart'!AB64=12,'Project types'!$L65,'Prepare Gantt Chart'!AB64=11,'Project types'!$L65,'Prepare Gantt Chart'!AB64=0,0)</f>
        <v>0</v>
      </c>
      <c r="AQ75" s="83">
        <f>_xlfn.IFS('Prepare Gantt Chart'!AC64=12,'Project types'!$L65,'Prepare Gantt Chart'!AC64=11,'Project types'!$L65,'Prepare Gantt Chart'!AC64=0,0)</f>
        <v>0</v>
      </c>
      <c r="AR75" s="83">
        <f>_xlfn.IFS('Prepare Gantt Chart'!AD64=12,'Project types'!$L65,'Prepare Gantt Chart'!AD64=11,'Project types'!$L65,'Prepare Gantt Chart'!AD64=0,0)</f>
        <v>0</v>
      </c>
      <c r="AS75" s="83">
        <f>_xlfn.IFS('Prepare Gantt Chart'!AE64=12,'Project types'!$L65,'Prepare Gantt Chart'!AE64=11,'Project types'!$L65,'Prepare Gantt Chart'!AE64=0,0)</f>
        <v>0</v>
      </c>
      <c r="AT75" s="83">
        <f>_xlfn.IFS('Prepare Gantt Chart'!AF64=12,'Project types'!$L65,'Prepare Gantt Chart'!AF64=11,'Project types'!$L65,'Prepare Gantt Chart'!AF64=0,0)</f>
        <v>0</v>
      </c>
      <c r="AU75" s="83">
        <f>_xlfn.IFS('Prepare Gantt Chart'!AG64=12,'Project types'!$L65,'Prepare Gantt Chart'!AG64=11,'Project types'!$L65,'Prepare Gantt Chart'!AG64=0,0)</f>
        <v>0</v>
      </c>
      <c r="AV75" s="83">
        <f>_xlfn.IFS('Prepare Gantt Chart'!AH64=12,'Project types'!$L65,'Prepare Gantt Chart'!AH64=11,'Project types'!$L65,'Prepare Gantt Chart'!AH64=0,0)</f>
        <v>0</v>
      </c>
      <c r="AW75" s="83">
        <f>_xlfn.IFS('Prepare Gantt Chart'!AI64=12,'Project types'!$L65,'Prepare Gantt Chart'!AI64=11,'Project types'!$L65,'Prepare Gantt Chart'!AI64=0,0)</f>
        <v>0</v>
      </c>
      <c r="AX75" s="83">
        <f>_xlfn.IFS('Prepare Gantt Chart'!AJ64=12,'Project types'!$L65,'Prepare Gantt Chart'!AJ64=11,'Project types'!$L65,'Prepare Gantt Chart'!AJ64=0,0)</f>
        <v>0</v>
      </c>
      <c r="AY75" s="83">
        <f>_xlfn.IFS('Prepare Gantt Chart'!AK64=12,'Project types'!$L65,'Prepare Gantt Chart'!AK64=11,'Project types'!$L65,'Prepare Gantt Chart'!AK64=0,0)</f>
        <v>0</v>
      </c>
      <c r="AZ75" s="83">
        <f>_xlfn.IFS('Prepare Gantt Chart'!AL64=12,'Project types'!$L65,'Prepare Gantt Chart'!AL64=11,'Project types'!$L65,'Prepare Gantt Chart'!AL64=0,0)</f>
        <v>0</v>
      </c>
      <c r="BA75" s="83">
        <f>_xlfn.IFS('Prepare Gantt Chart'!AM64=12,'Project types'!$L65,'Prepare Gantt Chart'!AM64=11,'Project types'!$L65,'Prepare Gantt Chart'!AM64=0,0)</f>
        <v>0</v>
      </c>
      <c r="BB75" s="83">
        <f>_xlfn.IFS('Prepare Gantt Chart'!AN64=12,'Project types'!$L65,'Prepare Gantt Chart'!AN64=11,'Project types'!$L65,'Prepare Gantt Chart'!AN64=0,0)</f>
        <v>0</v>
      </c>
      <c r="BC75" s="83">
        <f>_xlfn.IFS('Prepare Gantt Chart'!AO64=12,'Project types'!$L65,'Prepare Gantt Chart'!AO64=11,'Project types'!$L65,'Prepare Gantt Chart'!AO64=0,0)</f>
        <v>0</v>
      </c>
      <c r="BD75" s="91">
        <f t="shared" si="1"/>
        <v>0</v>
      </c>
      <c r="CI75" s="85"/>
    </row>
    <row r="76" spans="1:87" x14ac:dyDescent="0.2">
      <c r="A76" s="1" t="s">
        <v>142</v>
      </c>
      <c r="B76" s="33" t="s">
        <v>58</v>
      </c>
      <c r="C76" s="83">
        <f>_xlfn.IFS('Prepare Gantt Chart'!P65=12,'Project types'!$O66,'Prepare Gantt Chart'!P65=11,'Project types'!$Q66,'Prepare Gantt Chart'!P65=0,0)</f>
        <v>0</v>
      </c>
      <c r="D76" s="83">
        <f>_xlfn.IFS('Prepare Gantt Chart'!Q65=12,'Project types'!$O66,'Prepare Gantt Chart'!Q65=11,'Project types'!$Q66,'Prepare Gantt Chart'!Q65=0,0)</f>
        <v>0</v>
      </c>
      <c r="E76" s="83">
        <f>_xlfn.IFS('Prepare Gantt Chart'!R65=12,'Project types'!$O66,'Prepare Gantt Chart'!R65=11,'Project types'!$Q66,'Prepare Gantt Chart'!R65=0,0)</f>
        <v>0</v>
      </c>
      <c r="F76" s="83">
        <f>_xlfn.IFS('Prepare Gantt Chart'!S65=12,'Project types'!$O66,'Prepare Gantt Chart'!S65=11,'Project types'!$Q66,'Prepare Gantt Chart'!S65=0,0)</f>
        <v>0</v>
      </c>
      <c r="G76" s="83">
        <f>_xlfn.IFS('Prepare Gantt Chart'!T65=12,'Project types'!$O66,'Prepare Gantt Chart'!T65=11,'Project types'!$Q66,'Prepare Gantt Chart'!T65=0,0)</f>
        <v>0</v>
      </c>
      <c r="H76" s="83">
        <f>_xlfn.IFS('Prepare Gantt Chart'!U65=12,'Project types'!$O66,'Prepare Gantt Chart'!U65=11,'Project types'!$Q66,'Prepare Gantt Chart'!U65=0,0)</f>
        <v>0</v>
      </c>
      <c r="I76" s="83">
        <f>_xlfn.IFS('Prepare Gantt Chart'!V65=12,'Project types'!$O66,'Prepare Gantt Chart'!V65=11,'Project types'!$Q66,'Prepare Gantt Chart'!V65=0,0)</f>
        <v>0</v>
      </c>
      <c r="J76" s="83">
        <f>_xlfn.IFS('Prepare Gantt Chart'!W65=12,'Project types'!$O66,'Prepare Gantt Chart'!W65=11,'Project types'!$Q66,'Prepare Gantt Chart'!W65=0,0)</f>
        <v>0</v>
      </c>
      <c r="K76" s="83">
        <f>_xlfn.IFS('Prepare Gantt Chart'!X65=12,'Project types'!$O66,'Prepare Gantt Chart'!X65=11,'Project types'!$Q66,'Prepare Gantt Chart'!X65=0,0)</f>
        <v>0</v>
      </c>
      <c r="L76" s="83">
        <f>_xlfn.IFS('Prepare Gantt Chart'!Y65=12,'Project types'!$O66,'Prepare Gantt Chart'!Y65=11,'Project types'!$Q66,'Prepare Gantt Chart'!Y65=0,0)</f>
        <v>0</v>
      </c>
      <c r="M76" s="83">
        <f>_xlfn.IFS('Prepare Gantt Chart'!Z65=12,'Project types'!$O66,'Prepare Gantt Chart'!Z65=11,'Project types'!$Q66,'Prepare Gantt Chart'!Z65=0,0)</f>
        <v>0</v>
      </c>
      <c r="N76" s="83">
        <f>_xlfn.IFS('Prepare Gantt Chart'!AA65=12,'Project types'!$O66,'Prepare Gantt Chart'!AA65=11,'Project types'!$Q66,'Prepare Gantt Chart'!AA65=0,0)</f>
        <v>0</v>
      </c>
      <c r="O76" s="83">
        <f>_xlfn.IFS('Prepare Gantt Chart'!AB65=12,'Project types'!$O66,'Prepare Gantt Chart'!AB65=11,'Project types'!$Q66,'Prepare Gantt Chart'!AB65=0,0)</f>
        <v>0</v>
      </c>
      <c r="P76" s="83">
        <f>_xlfn.IFS('Prepare Gantt Chart'!AC65=12,'Project types'!$O66,'Prepare Gantt Chart'!AC65=11,'Project types'!$Q66,'Prepare Gantt Chart'!AC65=0,0)</f>
        <v>0</v>
      </c>
      <c r="Q76" s="83">
        <f>_xlfn.IFS('Prepare Gantt Chart'!AD65=12,'Project types'!$O66,'Prepare Gantt Chart'!AD65=11,'Project types'!$Q66,'Prepare Gantt Chart'!AD65=0,0)</f>
        <v>0</v>
      </c>
      <c r="R76" s="83">
        <f>_xlfn.IFS('Prepare Gantt Chart'!AE65=12,'Project types'!$O66,'Prepare Gantt Chart'!AE65=11,'Project types'!$Q66,'Prepare Gantt Chart'!AE65=0,0)</f>
        <v>0</v>
      </c>
      <c r="S76" s="83">
        <f>_xlfn.IFS('Prepare Gantt Chart'!AF65=12,'Project types'!$O66,'Prepare Gantt Chart'!AF65=11,'Project types'!$Q66,'Prepare Gantt Chart'!AF65=0,0)</f>
        <v>0</v>
      </c>
      <c r="T76" s="83">
        <f>_xlfn.IFS('Prepare Gantt Chart'!AG65=12,'Project types'!$O66,'Prepare Gantt Chart'!AG65=11,'Project types'!$Q66,'Prepare Gantt Chart'!AG65=0,0)</f>
        <v>0</v>
      </c>
      <c r="U76" s="83">
        <f>_xlfn.IFS('Prepare Gantt Chart'!AH65=12,'Project types'!$O66,'Prepare Gantt Chart'!AH65=11,'Project types'!$Q66,'Prepare Gantt Chart'!AH65=0,0)</f>
        <v>0</v>
      </c>
      <c r="V76" s="83">
        <f>_xlfn.IFS('Prepare Gantt Chart'!AI65=12,'Project types'!$O66,'Prepare Gantt Chart'!AI65=11,'Project types'!$Q66,'Prepare Gantt Chart'!AI65=0,0)</f>
        <v>0</v>
      </c>
      <c r="W76" s="83">
        <f>_xlfn.IFS('Prepare Gantt Chart'!AJ65=12,'Project types'!$O66,'Prepare Gantt Chart'!AJ65=11,'Project types'!$Q66,'Prepare Gantt Chart'!AJ65=0,0)</f>
        <v>0</v>
      </c>
      <c r="X76" s="83">
        <f>_xlfn.IFS('Prepare Gantt Chart'!AK65=12,'Project types'!$O66,'Prepare Gantt Chart'!AK65=11,'Project types'!$Q66,'Prepare Gantt Chart'!AK65=0,0)</f>
        <v>0</v>
      </c>
      <c r="Y76" s="83">
        <f>_xlfn.IFS('Prepare Gantt Chart'!AL65=12,'Project types'!$O66,'Prepare Gantt Chart'!AL65=11,'Project types'!$Q66,'Prepare Gantt Chart'!AL65=0,0)</f>
        <v>0</v>
      </c>
      <c r="Z76" s="83">
        <f>_xlfn.IFS('Prepare Gantt Chart'!AM65=12,'Project types'!$O66,'Prepare Gantt Chart'!AM65=11,'Project types'!$Q66,'Prepare Gantt Chart'!AM65=0,0)</f>
        <v>0</v>
      </c>
      <c r="AA76" s="83">
        <f>_xlfn.IFS('Prepare Gantt Chart'!AN65=12,'Project types'!$O66,'Prepare Gantt Chart'!AN65=11,'Project types'!$Q66,'Prepare Gantt Chart'!AN65=0,0)</f>
        <v>0</v>
      </c>
      <c r="AB76" s="83">
        <f>_xlfn.IFS('Prepare Gantt Chart'!AO65=12,'Project types'!$O66,'Prepare Gantt Chart'!AO65=11,'Project types'!$Q66,'Prepare Gantt Chart'!AO65=0,0)</f>
        <v>0</v>
      </c>
      <c r="AC76" s="93">
        <f t="shared" si="0"/>
        <v>0</v>
      </c>
      <c r="AD76" s="86">
        <f>_xlfn.IFS('Prepare Gantt Chart'!P65=12,'Project types'!$L66,'Prepare Gantt Chart'!P65=11,'Project types'!$L66,'Prepare Gantt Chart'!P65=0,0)</f>
        <v>0</v>
      </c>
      <c r="AE76" s="83">
        <f>_xlfn.IFS('Prepare Gantt Chart'!Q65=12,'Project types'!$L66,'Prepare Gantt Chart'!Q65=11,'Project types'!$L66,'Prepare Gantt Chart'!Q65=0,0)</f>
        <v>0</v>
      </c>
      <c r="AF76" s="83">
        <f>_xlfn.IFS('Prepare Gantt Chart'!R65=12,'Project types'!$L66,'Prepare Gantt Chart'!R65=11,'Project types'!$L66,'Prepare Gantt Chart'!R65=0,0)</f>
        <v>0</v>
      </c>
      <c r="AG76" s="83">
        <f>_xlfn.IFS('Prepare Gantt Chart'!S65=12,'Project types'!$L66,'Prepare Gantt Chart'!S65=11,'Project types'!$L66,'Prepare Gantt Chart'!S65=0,0)</f>
        <v>0</v>
      </c>
      <c r="AH76" s="83">
        <f>_xlfn.IFS('Prepare Gantt Chart'!T65=12,'Project types'!$L66,'Prepare Gantt Chart'!T65=11,'Project types'!$L66,'Prepare Gantt Chart'!T65=0,0)</f>
        <v>0</v>
      </c>
      <c r="AI76" s="83">
        <f>_xlfn.IFS('Prepare Gantt Chart'!U65=12,'Project types'!$L66,'Prepare Gantt Chart'!U65=11,'Project types'!$L66,'Prepare Gantt Chart'!U65=0,0)</f>
        <v>0</v>
      </c>
      <c r="AJ76" s="83">
        <f>_xlfn.IFS('Prepare Gantt Chart'!V65=12,'Project types'!$L66,'Prepare Gantt Chart'!V65=11,'Project types'!$L66,'Prepare Gantt Chart'!V65=0,0)</f>
        <v>0</v>
      </c>
      <c r="AK76" s="83">
        <f>_xlfn.IFS('Prepare Gantt Chart'!W65=12,'Project types'!$L66,'Prepare Gantt Chart'!W65=11,'Project types'!$L66,'Prepare Gantt Chart'!W65=0,0)</f>
        <v>0</v>
      </c>
      <c r="AL76" s="83">
        <f>_xlfn.IFS('Prepare Gantt Chart'!X65=12,'Project types'!$L66,'Prepare Gantt Chart'!X65=11,'Project types'!$L66,'Prepare Gantt Chart'!X65=0,0)</f>
        <v>0</v>
      </c>
      <c r="AM76" s="83">
        <f>_xlfn.IFS('Prepare Gantt Chart'!Y65=12,'Project types'!$L66,'Prepare Gantt Chart'!Y65=11,'Project types'!$L66,'Prepare Gantt Chart'!Y65=0,0)</f>
        <v>0</v>
      </c>
      <c r="AN76" s="83">
        <f>_xlfn.IFS('Prepare Gantt Chart'!Z65=12,'Project types'!$L66,'Prepare Gantt Chart'!Z65=11,'Project types'!$L66,'Prepare Gantt Chart'!Z65=0,0)</f>
        <v>0</v>
      </c>
      <c r="AO76" s="83">
        <f>_xlfn.IFS('Prepare Gantt Chart'!AA65=12,'Project types'!$L66,'Prepare Gantt Chart'!AA65=11,'Project types'!$L66,'Prepare Gantt Chart'!AA65=0,0)</f>
        <v>0</v>
      </c>
      <c r="AP76" s="83">
        <f>_xlfn.IFS('Prepare Gantt Chart'!AB65=12,'Project types'!$L66,'Prepare Gantt Chart'!AB65=11,'Project types'!$L66,'Prepare Gantt Chart'!AB65=0,0)</f>
        <v>0</v>
      </c>
      <c r="AQ76" s="83">
        <f>_xlfn.IFS('Prepare Gantt Chart'!AC65=12,'Project types'!$L66,'Prepare Gantt Chart'!AC65=11,'Project types'!$L66,'Prepare Gantt Chart'!AC65=0,0)</f>
        <v>0</v>
      </c>
      <c r="AR76" s="83">
        <f>_xlfn.IFS('Prepare Gantt Chart'!AD65=12,'Project types'!$L66,'Prepare Gantt Chart'!AD65=11,'Project types'!$L66,'Prepare Gantt Chart'!AD65=0,0)</f>
        <v>0</v>
      </c>
      <c r="AS76" s="83">
        <f>_xlfn.IFS('Prepare Gantt Chart'!AE65=12,'Project types'!$L66,'Prepare Gantt Chart'!AE65=11,'Project types'!$L66,'Prepare Gantt Chart'!AE65=0,0)</f>
        <v>0</v>
      </c>
      <c r="AT76" s="83">
        <f>_xlfn.IFS('Prepare Gantt Chart'!AF65=12,'Project types'!$L66,'Prepare Gantt Chart'!AF65=11,'Project types'!$L66,'Prepare Gantt Chart'!AF65=0,0)</f>
        <v>0</v>
      </c>
      <c r="AU76" s="83">
        <f>_xlfn.IFS('Prepare Gantt Chart'!AG65=12,'Project types'!$L66,'Prepare Gantt Chart'!AG65=11,'Project types'!$L66,'Prepare Gantt Chart'!AG65=0,0)</f>
        <v>0</v>
      </c>
      <c r="AV76" s="83">
        <f>_xlfn.IFS('Prepare Gantt Chart'!AH65=12,'Project types'!$L66,'Prepare Gantt Chart'!AH65=11,'Project types'!$L66,'Prepare Gantt Chart'!AH65=0,0)</f>
        <v>0</v>
      </c>
      <c r="AW76" s="83">
        <f>_xlfn.IFS('Prepare Gantt Chart'!AI65=12,'Project types'!$L66,'Prepare Gantt Chart'!AI65=11,'Project types'!$L66,'Prepare Gantt Chart'!AI65=0,0)</f>
        <v>0</v>
      </c>
      <c r="AX76" s="83">
        <f>_xlfn.IFS('Prepare Gantt Chart'!AJ65=12,'Project types'!$L66,'Prepare Gantt Chart'!AJ65=11,'Project types'!$L66,'Prepare Gantt Chart'!AJ65=0,0)</f>
        <v>0</v>
      </c>
      <c r="AY76" s="83">
        <f>_xlfn.IFS('Prepare Gantt Chart'!AK65=12,'Project types'!$L66,'Prepare Gantt Chart'!AK65=11,'Project types'!$L66,'Prepare Gantt Chart'!AK65=0,0)</f>
        <v>0</v>
      </c>
      <c r="AZ76" s="83">
        <f>_xlfn.IFS('Prepare Gantt Chart'!AL65=12,'Project types'!$L66,'Prepare Gantt Chart'!AL65=11,'Project types'!$L66,'Prepare Gantt Chart'!AL65=0,0)</f>
        <v>0</v>
      </c>
      <c r="BA76" s="83">
        <f>_xlfn.IFS('Prepare Gantt Chart'!AM65=12,'Project types'!$L66,'Prepare Gantt Chart'!AM65=11,'Project types'!$L66,'Prepare Gantt Chart'!AM65=0,0)</f>
        <v>0</v>
      </c>
      <c r="BB76" s="83">
        <f>_xlfn.IFS('Prepare Gantt Chart'!AN65=12,'Project types'!$L66,'Prepare Gantt Chart'!AN65=11,'Project types'!$L66,'Prepare Gantt Chart'!AN65=0,0)</f>
        <v>0</v>
      </c>
      <c r="BC76" s="83">
        <f>_xlfn.IFS('Prepare Gantt Chart'!AO65=12,'Project types'!$L66,'Prepare Gantt Chart'!AO65=11,'Project types'!$L66,'Prepare Gantt Chart'!AO65=0,0)</f>
        <v>0</v>
      </c>
      <c r="BD76" s="91">
        <f t="shared" si="1"/>
        <v>0</v>
      </c>
      <c r="CI76" s="85"/>
    </row>
    <row r="77" spans="1:87" x14ac:dyDescent="0.2">
      <c r="A77" s="1" t="s">
        <v>144</v>
      </c>
      <c r="B77" s="33" t="s">
        <v>59</v>
      </c>
      <c r="C77" s="83">
        <f>_xlfn.IFS('Prepare Gantt Chart'!P66=12,'Project types'!$O67,'Prepare Gantt Chart'!P66=11,'Project types'!$Q67,'Prepare Gantt Chart'!P66=0,0)</f>
        <v>0</v>
      </c>
      <c r="D77" s="83">
        <f>_xlfn.IFS('Prepare Gantt Chart'!Q66=12,'Project types'!$O67,'Prepare Gantt Chart'!Q66=11,'Project types'!$Q67,'Prepare Gantt Chart'!Q66=0,0)</f>
        <v>0</v>
      </c>
      <c r="E77" s="83">
        <f>_xlfn.IFS('Prepare Gantt Chart'!R66=12,'Project types'!$O67,'Prepare Gantt Chart'!R66=11,'Project types'!$Q67,'Prepare Gantt Chart'!R66=0,0)</f>
        <v>0</v>
      </c>
      <c r="F77" s="83">
        <f>_xlfn.IFS('Prepare Gantt Chart'!S66=12,'Project types'!$O67,'Prepare Gantt Chart'!S66=11,'Project types'!$Q67,'Prepare Gantt Chart'!S66=0,0)</f>
        <v>0</v>
      </c>
      <c r="G77" s="83">
        <f>_xlfn.IFS('Prepare Gantt Chart'!T66=12,'Project types'!$O67,'Prepare Gantt Chart'!T66=11,'Project types'!$Q67,'Prepare Gantt Chart'!T66=0,0)</f>
        <v>0</v>
      </c>
      <c r="H77" s="83">
        <f>_xlfn.IFS('Prepare Gantt Chart'!U66=12,'Project types'!$O67,'Prepare Gantt Chart'!U66=11,'Project types'!$Q67,'Prepare Gantt Chart'!U66=0,0)</f>
        <v>0</v>
      </c>
      <c r="I77" s="83">
        <f>_xlfn.IFS('Prepare Gantt Chart'!V66=12,'Project types'!$O67,'Prepare Gantt Chart'!V66=11,'Project types'!$Q67,'Prepare Gantt Chart'!V66=0,0)</f>
        <v>0</v>
      </c>
      <c r="J77" s="83">
        <f>_xlfn.IFS('Prepare Gantt Chart'!W66=12,'Project types'!$O67,'Prepare Gantt Chart'!W66=11,'Project types'!$Q67,'Prepare Gantt Chart'!W66=0,0)</f>
        <v>0</v>
      </c>
      <c r="K77" s="83">
        <f>_xlfn.IFS('Prepare Gantt Chart'!X66=12,'Project types'!$O67,'Prepare Gantt Chart'!X66=11,'Project types'!$Q67,'Prepare Gantt Chart'!X66=0,0)</f>
        <v>0</v>
      </c>
      <c r="L77" s="83">
        <f>_xlfn.IFS('Prepare Gantt Chart'!Y66=12,'Project types'!$O67,'Prepare Gantt Chart'!Y66=11,'Project types'!$Q67,'Prepare Gantt Chart'!Y66=0,0)</f>
        <v>0</v>
      </c>
      <c r="M77" s="83">
        <f>_xlfn.IFS('Prepare Gantt Chart'!Z66=12,'Project types'!$O67,'Prepare Gantt Chart'!Z66=11,'Project types'!$Q67,'Prepare Gantt Chart'!Z66=0,0)</f>
        <v>0</v>
      </c>
      <c r="N77" s="83">
        <f>_xlfn.IFS('Prepare Gantt Chart'!AA66=12,'Project types'!$O67,'Prepare Gantt Chart'!AA66=11,'Project types'!$Q67,'Prepare Gantt Chart'!AA66=0,0)</f>
        <v>0</v>
      </c>
      <c r="O77" s="83">
        <f>_xlfn.IFS('Prepare Gantt Chart'!AB66=12,'Project types'!$O67,'Prepare Gantt Chart'!AB66=11,'Project types'!$Q67,'Prepare Gantt Chart'!AB66=0,0)</f>
        <v>0</v>
      </c>
      <c r="P77" s="83">
        <f>_xlfn.IFS('Prepare Gantt Chart'!AC66=12,'Project types'!$O67,'Prepare Gantt Chart'!AC66=11,'Project types'!$Q67,'Prepare Gantt Chart'!AC66=0,0)</f>
        <v>0</v>
      </c>
      <c r="Q77" s="83">
        <f>_xlfn.IFS('Prepare Gantt Chart'!AD66=12,'Project types'!$O67,'Prepare Gantt Chart'!AD66=11,'Project types'!$Q67,'Prepare Gantt Chart'!AD66=0,0)</f>
        <v>0</v>
      </c>
      <c r="R77" s="83">
        <f>_xlfn.IFS('Prepare Gantt Chart'!AE66=12,'Project types'!$O67,'Prepare Gantt Chart'!AE66=11,'Project types'!$Q67,'Prepare Gantt Chart'!AE66=0,0)</f>
        <v>0</v>
      </c>
      <c r="S77" s="83">
        <f>_xlfn.IFS('Prepare Gantt Chart'!AF66=12,'Project types'!$O67,'Prepare Gantt Chart'!AF66=11,'Project types'!$Q67,'Prepare Gantt Chart'!AF66=0,0)</f>
        <v>0</v>
      </c>
      <c r="T77" s="83">
        <f>_xlfn.IFS('Prepare Gantt Chart'!AG66=12,'Project types'!$O67,'Prepare Gantt Chart'!AG66=11,'Project types'!$Q67,'Prepare Gantt Chart'!AG66=0,0)</f>
        <v>0</v>
      </c>
      <c r="U77" s="83">
        <f>_xlfn.IFS('Prepare Gantt Chart'!AH66=12,'Project types'!$O67,'Prepare Gantt Chart'!AH66=11,'Project types'!$Q67,'Prepare Gantt Chart'!AH66=0,0)</f>
        <v>0</v>
      </c>
      <c r="V77" s="83">
        <f>_xlfn.IFS('Prepare Gantt Chart'!AI66=12,'Project types'!$O67,'Prepare Gantt Chart'!AI66=11,'Project types'!$Q67,'Prepare Gantt Chart'!AI66=0,0)</f>
        <v>0</v>
      </c>
      <c r="W77" s="83">
        <f>_xlfn.IFS('Prepare Gantt Chart'!AJ66=12,'Project types'!$O67,'Prepare Gantt Chart'!AJ66=11,'Project types'!$Q67,'Prepare Gantt Chart'!AJ66=0,0)</f>
        <v>0</v>
      </c>
      <c r="X77" s="83">
        <f>_xlfn.IFS('Prepare Gantt Chart'!AK66=12,'Project types'!$O67,'Prepare Gantt Chart'!AK66=11,'Project types'!$Q67,'Prepare Gantt Chart'!AK66=0,0)</f>
        <v>0</v>
      </c>
      <c r="Y77" s="83">
        <f>_xlfn.IFS('Prepare Gantt Chart'!AL66=12,'Project types'!$O67,'Prepare Gantt Chart'!AL66=11,'Project types'!$Q67,'Prepare Gantt Chart'!AL66=0,0)</f>
        <v>0</v>
      </c>
      <c r="Z77" s="83">
        <f>_xlfn.IFS('Prepare Gantt Chart'!AM66=12,'Project types'!$O67,'Prepare Gantt Chart'!AM66=11,'Project types'!$Q67,'Prepare Gantt Chart'!AM66=0,0)</f>
        <v>0</v>
      </c>
      <c r="AA77" s="83">
        <f>_xlfn.IFS('Prepare Gantt Chart'!AN66=12,'Project types'!$O67,'Prepare Gantt Chart'!AN66=11,'Project types'!$Q67,'Prepare Gantt Chart'!AN66=0,0)</f>
        <v>0</v>
      </c>
      <c r="AB77" s="83">
        <f>_xlfn.IFS('Prepare Gantt Chart'!AO66=12,'Project types'!$O67,'Prepare Gantt Chart'!AO66=11,'Project types'!$Q67,'Prepare Gantt Chart'!AO66=0,0)</f>
        <v>0</v>
      </c>
      <c r="AC77" s="93">
        <f t="shared" si="0"/>
        <v>0</v>
      </c>
      <c r="AD77" s="86">
        <f>_xlfn.IFS('Prepare Gantt Chart'!P66=12,'Project types'!$L67,'Prepare Gantt Chart'!P66=11,'Project types'!$L67,'Prepare Gantt Chart'!P66=0,0)</f>
        <v>0</v>
      </c>
      <c r="AE77" s="83">
        <f>_xlfn.IFS('Prepare Gantt Chart'!Q66=12,'Project types'!$L67,'Prepare Gantt Chart'!Q66=11,'Project types'!$L67,'Prepare Gantt Chart'!Q66=0,0)</f>
        <v>0</v>
      </c>
      <c r="AF77" s="83">
        <f>_xlfn.IFS('Prepare Gantt Chart'!R66=12,'Project types'!$L67,'Prepare Gantt Chart'!R66=11,'Project types'!$L67,'Prepare Gantt Chart'!R66=0,0)</f>
        <v>0</v>
      </c>
      <c r="AG77" s="83">
        <f>_xlfn.IFS('Prepare Gantt Chart'!S66=12,'Project types'!$L67,'Prepare Gantt Chart'!S66=11,'Project types'!$L67,'Prepare Gantt Chart'!S66=0,0)</f>
        <v>0</v>
      </c>
      <c r="AH77" s="83">
        <f>_xlfn.IFS('Prepare Gantt Chart'!T66=12,'Project types'!$L67,'Prepare Gantt Chart'!T66=11,'Project types'!$L67,'Prepare Gantt Chart'!T66=0,0)</f>
        <v>0</v>
      </c>
      <c r="AI77" s="83">
        <f>_xlfn.IFS('Prepare Gantt Chart'!U66=12,'Project types'!$L67,'Prepare Gantt Chart'!U66=11,'Project types'!$L67,'Prepare Gantt Chart'!U66=0,0)</f>
        <v>0</v>
      </c>
      <c r="AJ77" s="83">
        <f>_xlfn.IFS('Prepare Gantt Chart'!V66=12,'Project types'!$L67,'Prepare Gantt Chart'!V66=11,'Project types'!$L67,'Prepare Gantt Chart'!V66=0,0)</f>
        <v>0</v>
      </c>
      <c r="AK77" s="83">
        <f>_xlfn.IFS('Prepare Gantt Chart'!W66=12,'Project types'!$L67,'Prepare Gantt Chart'!W66=11,'Project types'!$L67,'Prepare Gantt Chart'!W66=0,0)</f>
        <v>0</v>
      </c>
      <c r="AL77" s="83">
        <f>_xlfn.IFS('Prepare Gantt Chart'!X66=12,'Project types'!$L67,'Prepare Gantt Chart'!X66=11,'Project types'!$L67,'Prepare Gantt Chart'!X66=0,0)</f>
        <v>0</v>
      </c>
      <c r="AM77" s="83">
        <f>_xlfn.IFS('Prepare Gantt Chart'!Y66=12,'Project types'!$L67,'Prepare Gantt Chart'!Y66=11,'Project types'!$L67,'Prepare Gantt Chart'!Y66=0,0)</f>
        <v>0</v>
      </c>
      <c r="AN77" s="83">
        <f>_xlfn.IFS('Prepare Gantt Chart'!Z66=12,'Project types'!$L67,'Prepare Gantt Chart'!Z66=11,'Project types'!$L67,'Prepare Gantt Chart'!Z66=0,0)</f>
        <v>0</v>
      </c>
      <c r="AO77" s="83">
        <f>_xlfn.IFS('Prepare Gantt Chart'!AA66=12,'Project types'!$L67,'Prepare Gantt Chart'!AA66=11,'Project types'!$L67,'Prepare Gantt Chart'!AA66=0,0)</f>
        <v>0</v>
      </c>
      <c r="AP77" s="83">
        <f>_xlfn.IFS('Prepare Gantt Chart'!AB66=12,'Project types'!$L67,'Prepare Gantt Chart'!AB66=11,'Project types'!$L67,'Prepare Gantt Chart'!AB66=0,0)</f>
        <v>0</v>
      </c>
      <c r="AQ77" s="83">
        <f>_xlfn.IFS('Prepare Gantt Chart'!AC66=12,'Project types'!$L67,'Prepare Gantt Chart'!AC66=11,'Project types'!$L67,'Prepare Gantt Chart'!AC66=0,0)</f>
        <v>0</v>
      </c>
      <c r="AR77" s="83">
        <f>_xlfn.IFS('Prepare Gantt Chart'!AD66=12,'Project types'!$L67,'Prepare Gantt Chart'!AD66=11,'Project types'!$L67,'Prepare Gantt Chart'!AD66=0,0)</f>
        <v>0</v>
      </c>
      <c r="AS77" s="83">
        <f>_xlfn.IFS('Prepare Gantt Chart'!AE66=12,'Project types'!$L67,'Prepare Gantt Chart'!AE66=11,'Project types'!$L67,'Prepare Gantt Chart'!AE66=0,0)</f>
        <v>0</v>
      </c>
      <c r="AT77" s="83">
        <f>_xlfn.IFS('Prepare Gantt Chart'!AF66=12,'Project types'!$L67,'Prepare Gantt Chart'!AF66=11,'Project types'!$L67,'Prepare Gantt Chart'!AF66=0,0)</f>
        <v>0</v>
      </c>
      <c r="AU77" s="83">
        <f>_xlfn.IFS('Prepare Gantt Chart'!AG66=12,'Project types'!$L67,'Prepare Gantt Chart'!AG66=11,'Project types'!$L67,'Prepare Gantt Chart'!AG66=0,0)</f>
        <v>0</v>
      </c>
      <c r="AV77" s="83">
        <f>_xlfn.IFS('Prepare Gantt Chart'!AH66=12,'Project types'!$L67,'Prepare Gantt Chart'!AH66=11,'Project types'!$L67,'Prepare Gantt Chart'!AH66=0,0)</f>
        <v>0</v>
      </c>
      <c r="AW77" s="83">
        <f>_xlfn.IFS('Prepare Gantt Chart'!AI66=12,'Project types'!$L67,'Prepare Gantt Chart'!AI66=11,'Project types'!$L67,'Prepare Gantt Chart'!AI66=0,0)</f>
        <v>0</v>
      </c>
      <c r="AX77" s="83">
        <f>_xlfn.IFS('Prepare Gantt Chart'!AJ66=12,'Project types'!$L67,'Prepare Gantt Chart'!AJ66=11,'Project types'!$L67,'Prepare Gantt Chart'!AJ66=0,0)</f>
        <v>0</v>
      </c>
      <c r="AY77" s="83">
        <f>_xlfn.IFS('Prepare Gantt Chart'!AK66=12,'Project types'!$L67,'Prepare Gantt Chart'!AK66=11,'Project types'!$L67,'Prepare Gantt Chart'!AK66=0,0)</f>
        <v>0</v>
      </c>
      <c r="AZ77" s="83">
        <f>_xlfn.IFS('Prepare Gantt Chart'!AL66=12,'Project types'!$L67,'Prepare Gantt Chart'!AL66=11,'Project types'!$L67,'Prepare Gantt Chart'!AL66=0,0)</f>
        <v>0</v>
      </c>
      <c r="BA77" s="83">
        <f>_xlfn.IFS('Prepare Gantt Chart'!AM66=12,'Project types'!$L67,'Prepare Gantt Chart'!AM66=11,'Project types'!$L67,'Prepare Gantt Chart'!AM66=0,0)</f>
        <v>0</v>
      </c>
      <c r="BB77" s="83">
        <f>_xlfn.IFS('Prepare Gantt Chart'!AN66=12,'Project types'!$L67,'Prepare Gantt Chart'!AN66=11,'Project types'!$L67,'Prepare Gantt Chart'!AN66=0,0)</f>
        <v>0</v>
      </c>
      <c r="BC77" s="83">
        <f>_xlfn.IFS('Prepare Gantt Chart'!AO66=12,'Project types'!$L67,'Prepare Gantt Chart'!AO66=11,'Project types'!$L67,'Prepare Gantt Chart'!AO66=0,0)</f>
        <v>0</v>
      </c>
      <c r="BD77" s="91">
        <f t="shared" si="1"/>
        <v>0</v>
      </c>
      <c r="CI77" s="85"/>
    </row>
    <row r="78" spans="1:87" x14ac:dyDescent="0.2">
      <c r="A78" s="1" t="s">
        <v>123</v>
      </c>
      <c r="B78" s="33" t="s">
        <v>60</v>
      </c>
      <c r="C78" s="83">
        <f>_xlfn.IFS('Prepare Gantt Chart'!P67=12,'Project types'!$O68,'Prepare Gantt Chart'!P67=11,'Project types'!$Q68,'Prepare Gantt Chart'!P67=0,0)</f>
        <v>0</v>
      </c>
      <c r="D78" s="83">
        <f>_xlfn.IFS('Prepare Gantt Chart'!Q67=12,'Project types'!$O68,'Prepare Gantt Chart'!Q67=11,'Project types'!$Q68,'Prepare Gantt Chart'!Q67=0,0)</f>
        <v>0</v>
      </c>
      <c r="E78" s="83">
        <f>_xlfn.IFS('Prepare Gantt Chart'!R67=12,'Project types'!$O68,'Prepare Gantt Chart'!R67=11,'Project types'!$Q68,'Prepare Gantt Chart'!R67=0,0)</f>
        <v>0</v>
      </c>
      <c r="F78" s="83">
        <f>_xlfn.IFS('Prepare Gantt Chart'!S67=12,'Project types'!$O68,'Prepare Gantt Chart'!S67=11,'Project types'!$Q68,'Prepare Gantt Chart'!S67=0,0)</f>
        <v>0</v>
      </c>
      <c r="G78" s="83">
        <f>_xlfn.IFS('Prepare Gantt Chart'!T67=12,'Project types'!$O68,'Prepare Gantt Chart'!T67=11,'Project types'!$Q68,'Prepare Gantt Chart'!T67=0,0)</f>
        <v>0</v>
      </c>
      <c r="H78" s="83">
        <f>_xlfn.IFS('Prepare Gantt Chart'!U67=12,'Project types'!$O68,'Prepare Gantt Chart'!U67=11,'Project types'!$Q68,'Prepare Gantt Chart'!U67=0,0)</f>
        <v>0</v>
      </c>
      <c r="I78" s="83">
        <f>_xlfn.IFS('Prepare Gantt Chart'!V67=12,'Project types'!$O68,'Prepare Gantt Chart'!V67=11,'Project types'!$Q68,'Prepare Gantt Chart'!V67=0,0)</f>
        <v>0</v>
      </c>
      <c r="J78" s="83">
        <f>_xlfn.IFS('Prepare Gantt Chart'!W67=12,'Project types'!$O68,'Prepare Gantt Chart'!W67=11,'Project types'!$Q68,'Prepare Gantt Chart'!W67=0,0)</f>
        <v>0</v>
      </c>
      <c r="K78" s="83">
        <f>_xlfn.IFS('Prepare Gantt Chart'!X67=12,'Project types'!$O68,'Prepare Gantt Chart'!X67=11,'Project types'!$Q68,'Prepare Gantt Chart'!X67=0,0)</f>
        <v>0</v>
      </c>
      <c r="L78" s="83">
        <f>_xlfn.IFS('Prepare Gantt Chart'!Y67=12,'Project types'!$O68,'Prepare Gantt Chart'!Y67=11,'Project types'!$Q68,'Prepare Gantt Chart'!Y67=0,0)</f>
        <v>0</v>
      </c>
      <c r="M78" s="83">
        <f>_xlfn.IFS('Prepare Gantt Chart'!Z67=12,'Project types'!$O68,'Prepare Gantt Chart'!Z67=11,'Project types'!$Q68,'Prepare Gantt Chart'!Z67=0,0)</f>
        <v>0</v>
      </c>
      <c r="N78" s="83">
        <f>_xlfn.IFS('Prepare Gantt Chart'!AA67=12,'Project types'!$O68,'Prepare Gantt Chart'!AA67=11,'Project types'!$Q68,'Prepare Gantt Chart'!AA67=0,0)</f>
        <v>0</v>
      </c>
      <c r="O78" s="83">
        <f>_xlfn.IFS('Prepare Gantt Chart'!AB67=12,'Project types'!$O68,'Prepare Gantt Chart'!AB67=11,'Project types'!$Q68,'Prepare Gantt Chart'!AB67=0,0)</f>
        <v>0</v>
      </c>
      <c r="P78" s="83">
        <f>_xlfn.IFS('Prepare Gantt Chart'!AC67=12,'Project types'!$O68,'Prepare Gantt Chart'!AC67=11,'Project types'!$Q68,'Prepare Gantt Chart'!AC67=0,0)</f>
        <v>0</v>
      </c>
      <c r="Q78" s="83">
        <f>_xlfn.IFS('Prepare Gantt Chart'!AD67=12,'Project types'!$O68,'Prepare Gantt Chart'!AD67=11,'Project types'!$Q68,'Prepare Gantt Chart'!AD67=0,0)</f>
        <v>0</v>
      </c>
      <c r="R78" s="83">
        <f>_xlfn.IFS('Prepare Gantt Chart'!AE67=12,'Project types'!$O68,'Prepare Gantt Chart'!AE67=11,'Project types'!$Q68,'Prepare Gantt Chart'!AE67=0,0)</f>
        <v>0</v>
      </c>
      <c r="S78" s="83">
        <f>_xlfn.IFS('Prepare Gantt Chart'!AF67=12,'Project types'!$O68,'Prepare Gantt Chart'!AF67=11,'Project types'!$Q68,'Prepare Gantt Chart'!AF67=0,0)</f>
        <v>0</v>
      </c>
      <c r="T78" s="83">
        <f>_xlfn.IFS('Prepare Gantt Chart'!AG67=12,'Project types'!$O68,'Prepare Gantt Chart'!AG67=11,'Project types'!$Q68,'Prepare Gantt Chart'!AG67=0,0)</f>
        <v>0</v>
      </c>
      <c r="U78" s="83">
        <f>_xlfn.IFS('Prepare Gantt Chart'!AH67=12,'Project types'!$O68,'Prepare Gantt Chart'!AH67=11,'Project types'!$Q68,'Prepare Gantt Chart'!AH67=0,0)</f>
        <v>0</v>
      </c>
      <c r="V78" s="83">
        <f>_xlfn.IFS('Prepare Gantt Chart'!AI67=12,'Project types'!$O68,'Prepare Gantt Chart'!AI67=11,'Project types'!$Q68,'Prepare Gantt Chart'!AI67=0,0)</f>
        <v>0</v>
      </c>
      <c r="W78" s="83">
        <f>_xlfn.IFS('Prepare Gantt Chart'!AJ67=12,'Project types'!$O68,'Prepare Gantt Chart'!AJ67=11,'Project types'!$Q68,'Prepare Gantt Chart'!AJ67=0,0)</f>
        <v>0</v>
      </c>
      <c r="X78" s="83">
        <f>_xlfn.IFS('Prepare Gantt Chart'!AK67=12,'Project types'!$O68,'Prepare Gantt Chart'!AK67=11,'Project types'!$Q68,'Prepare Gantt Chart'!AK67=0,0)</f>
        <v>0</v>
      </c>
      <c r="Y78" s="83">
        <f>_xlfn.IFS('Prepare Gantt Chart'!AL67=12,'Project types'!$O68,'Prepare Gantt Chart'!AL67=11,'Project types'!$Q68,'Prepare Gantt Chart'!AL67=0,0)</f>
        <v>0</v>
      </c>
      <c r="Z78" s="83">
        <f>_xlfn.IFS('Prepare Gantt Chart'!AM67=12,'Project types'!$O68,'Prepare Gantt Chart'!AM67=11,'Project types'!$Q68,'Prepare Gantt Chart'!AM67=0,0)</f>
        <v>0</v>
      </c>
      <c r="AA78" s="83">
        <f>_xlfn.IFS('Prepare Gantt Chart'!AN67=12,'Project types'!$O68,'Prepare Gantt Chart'!AN67=11,'Project types'!$Q68,'Prepare Gantt Chart'!AN67=0,0)</f>
        <v>0</v>
      </c>
      <c r="AB78" s="83">
        <f>_xlfn.IFS('Prepare Gantt Chart'!AO67=12,'Project types'!$O68,'Prepare Gantt Chart'!AO67=11,'Project types'!$Q68,'Prepare Gantt Chart'!AO67=0,0)</f>
        <v>0</v>
      </c>
      <c r="AC78" s="93">
        <f t="shared" si="0"/>
        <v>0</v>
      </c>
      <c r="AD78" s="86">
        <f>_xlfn.IFS('Prepare Gantt Chart'!P67=12,'Project types'!$L68,'Prepare Gantt Chart'!P67=11,'Project types'!$L68,'Prepare Gantt Chart'!P67=0,0)</f>
        <v>0</v>
      </c>
      <c r="AE78" s="83">
        <f>_xlfn.IFS('Prepare Gantt Chart'!Q67=12,'Project types'!$L68,'Prepare Gantt Chart'!Q67=11,'Project types'!$L68,'Prepare Gantt Chart'!Q67=0,0)</f>
        <v>0</v>
      </c>
      <c r="AF78" s="83">
        <f>_xlfn.IFS('Prepare Gantt Chart'!R67=12,'Project types'!$L68,'Prepare Gantt Chart'!R67=11,'Project types'!$L68,'Prepare Gantt Chart'!R67=0,0)</f>
        <v>0</v>
      </c>
      <c r="AG78" s="83">
        <f>_xlfn.IFS('Prepare Gantt Chart'!S67=12,'Project types'!$L68,'Prepare Gantt Chart'!S67=11,'Project types'!$L68,'Prepare Gantt Chart'!S67=0,0)</f>
        <v>0</v>
      </c>
      <c r="AH78" s="83">
        <f>_xlfn.IFS('Prepare Gantt Chart'!T67=12,'Project types'!$L68,'Prepare Gantt Chart'!T67=11,'Project types'!$L68,'Prepare Gantt Chart'!T67=0,0)</f>
        <v>0</v>
      </c>
      <c r="AI78" s="83">
        <f>_xlfn.IFS('Prepare Gantt Chart'!U67=12,'Project types'!$L68,'Prepare Gantt Chart'!U67=11,'Project types'!$L68,'Prepare Gantt Chart'!U67=0,0)</f>
        <v>0</v>
      </c>
      <c r="AJ78" s="83">
        <f>_xlfn.IFS('Prepare Gantt Chart'!V67=12,'Project types'!$L68,'Prepare Gantt Chart'!V67=11,'Project types'!$L68,'Prepare Gantt Chart'!V67=0,0)</f>
        <v>0</v>
      </c>
      <c r="AK78" s="83">
        <f>_xlfn.IFS('Prepare Gantt Chart'!W67=12,'Project types'!$L68,'Prepare Gantt Chart'!W67=11,'Project types'!$L68,'Prepare Gantt Chart'!W67=0,0)</f>
        <v>0</v>
      </c>
      <c r="AL78" s="83">
        <f>_xlfn.IFS('Prepare Gantt Chart'!X67=12,'Project types'!$L68,'Prepare Gantt Chart'!X67=11,'Project types'!$L68,'Prepare Gantt Chart'!X67=0,0)</f>
        <v>0</v>
      </c>
      <c r="AM78" s="83">
        <f>_xlfn.IFS('Prepare Gantt Chart'!Y67=12,'Project types'!$L68,'Prepare Gantt Chart'!Y67=11,'Project types'!$L68,'Prepare Gantt Chart'!Y67=0,0)</f>
        <v>0</v>
      </c>
      <c r="AN78" s="83">
        <f>_xlfn.IFS('Prepare Gantt Chart'!Z67=12,'Project types'!$L68,'Prepare Gantt Chart'!Z67=11,'Project types'!$L68,'Prepare Gantt Chart'!Z67=0,0)</f>
        <v>0</v>
      </c>
      <c r="AO78" s="83">
        <f>_xlfn.IFS('Prepare Gantt Chart'!AA67=12,'Project types'!$L68,'Prepare Gantt Chart'!AA67=11,'Project types'!$L68,'Prepare Gantt Chart'!AA67=0,0)</f>
        <v>0</v>
      </c>
      <c r="AP78" s="83">
        <f>_xlfn.IFS('Prepare Gantt Chart'!AB67=12,'Project types'!$L68,'Prepare Gantt Chart'!AB67=11,'Project types'!$L68,'Prepare Gantt Chart'!AB67=0,0)</f>
        <v>0</v>
      </c>
      <c r="AQ78" s="83">
        <f>_xlfn.IFS('Prepare Gantt Chart'!AC67=12,'Project types'!$L68,'Prepare Gantt Chart'!AC67=11,'Project types'!$L68,'Prepare Gantt Chart'!AC67=0,0)</f>
        <v>0</v>
      </c>
      <c r="AR78" s="83">
        <f>_xlfn.IFS('Prepare Gantt Chart'!AD67=12,'Project types'!$L68,'Prepare Gantt Chart'!AD67=11,'Project types'!$L68,'Prepare Gantt Chart'!AD67=0,0)</f>
        <v>0</v>
      </c>
      <c r="AS78" s="83">
        <f>_xlfn.IFS('Prepare Gantt Chart'!AE67=12,'Project types'!$L68,'Prepare Gantt Chart'!AE67=11,'Project types'!$L68,'Prepare Gantt Chart'!AE67=0,0)</f>
        <v>0</v>
      </c>
      <c r="AT78" s="83">
        <f>_xlfn.IFS('Prepare Gantt Chart'!AF67=12,'Project types'!$L68,'Prepare Gantt Chart'!AF67=11,'Project types'!$L68,'Prepare Gantt Chart'!AF67=0,0)</f>
        <v>0</v>
      </c>
      <c r="AU78" s="83">
        <f>_xlfn.IFS('Prepare Gantt Chart'!AG67=12,'Project types'!$L68,'Prepare Gantt Chart'!AG67=11,'Project types'!$L68,'Prepare Gantt Chart'!AG67=0,0)</f>
        <v>0</v>
      </c>
      <c r="AV78" s="83">
        <f>_xlfn.IFS('Prepare Gantt Chart'!AH67=12,'Project types'!$L68,'Prepare Gantt Chart'!AH67=11,'Project types'!$L68,'Prepare Gantt Chart'!AH67=0,0)</f>
        <v>0</v>
      </c>
      <c r="AW78" s="83">
        <f>_xlfn.IFS('Prepare Gantt Chart'!AI67=12,'Project types'!$L68,'Prepare Gantt Chart'!AI67=11,'Project types'!$L68,'Prepare Gantt Chart'!AI67=0,0)</f>
        <v>0</v>
      </c>
      <c r="AX78" s="83">
        <f>_xlfn.IFS('Prepare Gantt Chart'!AJ67=12,'Project types'!$L68,'Prepare Gantt Chart'!AJ67=11,'Project types'!$L68,'Prepare Gantt Chart'!AJ67=0,0)</f>
        <v>0</v>
      </c>
      <c r="AY78" s="83">
        <f>_xlfn.IFS('Prepare Gantt Chart'!AK67=12,'Project types'!$L68,'Prepare Gantt Chart'!AK67=11,'Project types'!$L68,'Prepare Gantt Chart'!AK67=0,0)</f>
        <v>0</v>
      </c>
      <c r="AZ78" s="83">
        <f>_xlfn.IFS('Prepare Gantt Chart'!AL67=12,'Project types'!$L68,'Prepare Gantt Chart'!AL67=11,'Project types'!$L68,'Prepare Gantt Chart'!AL67=0,0)</f>
        <v>0</v>
      </c>
      <c r="BA78" s="83">
        <f>_xlfn.IFS('Prepare Gantt Chart'!AM67=12,'Project types'!$L68,'Prepare Gantt Chart'!AM67=11,'Project types'!$L68,'Prepare Gantt Chart'!AM67=0,0)</f>
        <v>0</v>
      </c>
      <c r="BB78" s="83">
        <f>_xlfn.IFS('Prepare Gantt Chart'!AN67=12,'Project types'!$L68,'Prepare Gantt Chart'!AN67=11,'Project types'!$L68,'Prepare Gantt Chart'!AN67=0,0)</f>
        <v>0</v>
      </c>
      <c r="BC78" s="83">
        <f>_xlfn.IFS('Prepare Gantt Chart'!AO67=12,'Project types'!$L68,'Prepare Gantt Chart'!AO67=11,'Project types'!$L68,'Prepare Gantt Chart'!AO67=0,0)</f>
        <v>0</v>
      </c>
      <c r="BD78" s="91">
        <f t="shared" si="1"/>
        <v>0</v>
      </c>
      <c r="CI78" s="85"/>
    </row>
    <row r="79" spans="1:87" x14ac:dyDescent="0.2">
      <c r="A79" s="1" t="s">
        <v>145</v>
      </c>
      <c r="B79" s="33" t="s">
        <v>61</v>
      </c>
      <c r="C79" s="83">
        <f>_xlfn.IFS('Prepare Gantt Chart'!P68=12,'Project types'!$O69,'Prepare Gantt Chart'!P68=11,'Project types'!$Q69,'Prepare Gantt Chart'!P68=0,0)</f>
        <v>0</v>
      </c>
      <c r="D79" s="83">
        <f>_xlfn.IFS('Prepare Gantt Chart'!Q68=12,'Project types'!$O69,'Prepare Gantt Chart'!Q68=11,'Project types'!$Q69,'Prepare Gantt Chart'!Q68=0,0)</f>
        <v>0</v>
      </c>
      <c r="E79" s="83">
        <f>_xlfn.IFS('Prepare Gantt Chart'!R68=12,'Project types'!$O69,'Prepare Gantt Chart'!R68=11,'Project types'!$Q69,'Prepare Gantt Chart'!R68=0,0)</f>
        <v>0</v>
      </c>
      <c r="F79" s="83">
        <f>_xlfn.IFS('Prepare Gantt Chart'!S68=12,'Project types'!$O69,'Prepare Gantt Chart'!S68=11,'Project types'!$Q69,'Prepare Gantt Chart'!S68=0,0)</f>
        <v>0</v>
      </c>
      <c r="G79" s="83">
        <f>_xlfn.IFS('Prepare Gantt Chart'!T68=12,'Project types'!$O69,'Prepare Gantt Chart'!T68=11,'Project types'!$Q69,'Prepare Gantt Chart'!T68=0,0)</f>
        <v>0</v>
      </c>
      <c r="H79" s="83">
        <f>_xlfn.IFS('Prepare Gantt Chart'!U68=12,'Project types'!$O69,'Prepare Gantt Chart'!U68=11,'Project types'!$Q69,'Prepare Gantt Chart'!U68=0,0)</f>
        <v>0</v>
      </c>
      <c r="I79" s="83">
        <f>_xlfn.IFS('Prepare Gantt Chart'!V68=12,'Project types'!$O69,'Prepare Gantt Chart'!V68=11,'Project types'!$Q69,'Prepare Gantt Chart'!V68=0,0)</f>
        <v>0</v>
      </c>
      <c r="J79" s="83">
        <f>_xlfn.IFS('Prepare Gantt Chart'!W68=12,'Project types'!$O69,'Prepare Gantt Chart'!W68=11,'Project types'!$Q69,'Prepare Gantt Chart'!W68=0,0)</f>
        <v>0</v>
      </c>
      <c r="K79" s="83">
        <f>_xlfn.IFS('Prepare Gantt Chart'!X68=12,'Project types'!$O69,'Prepare Gantt Chart'!X68=11,'Project types'!$Q69,'Prepare Gantt Chart'!X68=0,0)</f>
        <v>0</v>
      </c>
      <c r="L79" s="83">
        <f>_xlfn.IFS('Prepare Gantt Chart'!Y68=12,'Project types'!$O69,'Prepare Gantt Chart'!Y68=11,'Project types'!$Q69,'Prepare Gantt Chart'!Y68=0,0)</f>
        <v>0</v>
      </c>
      <c r="M79" s="83">
        <f>_xlfn.IFS('Prepare Gantt Chart'!Z68=12,'Project types'!$O69,'Prepare Gantt Chart'!Z68=11,'Project types'!$Q69,'Prepare Gantt Chart'!Z68=0,0)</f>
        <v>0</v>
      </c>
      <c r="N79" s="83">
        <f>_xlfn.IFS('Prepare Gantt Chart'!AA68=12,'Project types'!$O69,'Prepare Gantt Chart'!AA68=11,'Project types'!$Q69,'Prepare Gantt Chart'!AA68=0,0)</f>
        <v>0</v>
      </c>
      <c r="O79" s="83">
        <f>_xlfn.IFS('Prepare Gantt Chart'!AB68=12,'Project types'!$O69,'Prepare Gantt Chart'!AB68=11,'Project types'!$Q69,'Prepare Gantt Chart'!AB68=0,0)</f>
        <v>0</v>
      </c>
      <c r="P79" s="83">
        <f>_xlfn.IFS('Prepare Gantt Chart'!AC68=12,'Project types'!$O69,'Prepare Gantt Chart'!AC68=11,'Project types'!$Q69,'Prepare Gantt Chart'!AC68=0,0)</f>
        <v>0</v>
      </c>
      <c r="Q79" s="83">
        <f>_xlfn.IFS('Prepare Gantt Chart'!AD68=12,'Project types'!$O69,'Prepare Gantt Chart'!AD68=11,'Project types'!$Q69,'Prepare Gantt Chart'!AD68=0,0)</f>
        <v>0</v>
      </c>
      <c r="R79" s="83">
        <f>_xlfn.IFS('Prepare Gantt Chart'!AE68=12,'Project types'!$O69,'Prepare Gantt Chart'!AE68=11,'Project types'!$Q69,'Prepare Gantt Chart'!AE68=0,0)</f>
        <v>0</v>
      </c>
      <c r="S79" s="83">
        <f>_xlfn.IFS('Prepare Gantt Chart'!AF68=12,'Project types'!$O69,'Prepare Gantt Chart'!AF68=11,'Project types'!$Q69,'Prepare Gantt Chart'!AF68=0,0)</f>
        <v>0</v>
      </c>
      <c r="T79" s="83">
        <f>_xlfn.IFS('Prepare Gantt Chart'!AG68=12,'Project types'!$O69,'Prepare Gantt Chart'!AG68=11,'Project types'!$Q69,'Prepare Gantt Chart'!AG68=0,0)</f>
        <v>0</v>
      </c>
      <c r="U79" s="83">
        <f>_xlfn.IFS('Prepare Gantt Chart'!AH68=12,'Project types'!$O69,'Prepare Gantt Chart'!AH68=11,'Project types'!$Q69,'Prepare Gantt Chart'!AH68=0,0)</f>
        <v>0</v>
      </c>
      <c r="V79" s="83">
        <f>_xlfn.IFS('Prepare Gantt Chart'!AI68=12,'Project types'!$O69,'Prepare Gantt Chart'!AI68=11,'Project types'!$Q69,'Prepare Gantt Chart'!AI68=0,0)</f>
        <v>0</v>
      </c>
      <c r="W79" s="83">
        <f>_xlfn.IFS('Prepare Gantt Chart'!AJ68=12,'Project types'!$O69,'Prepare Gantt Chart'!AJ68=11,'Project types'!$Q69,'Prepare Gantt Chart'!AJ68=0,0)</f>
        <v>0</v>
      </c>
      <c r="X79" s="83">
        <f>_xlfn.IFS('Prepare Gantt Chart'!AK68=12,'Project types'!$O69,'Prepare Gantt Chart'!AK68=11,'Project types'!$Q69,'Prepare Gantt Chart'!AK68=0,0)</f>
        <v>0</v>
      </c>
      <c r="Y79" s="83">
        <f>_xlfn.IFS('Prepare Gantt Chart'!AL68=12,'Project types'!$O69,'Prepare Gantt Chart'!AL68=11,'Project types'!$Q69,'Prepare Gantt Chart'!AL68=0,0)</f>
        <v>0</v>
      </c>
      <c r="Z79" s="83">
        <f>_xlfn.IFS('Prepare Gantt Chart'!AM68=12,'Project types'!$O69,'Prepare Gantt Chart'!AM68=11,'Project types'!$Q69,'Prepare Gantt Chart'!AM68=0,0)</f>
        <v>0</v>
      </c>
      <c r="AA79" s="83">
        <f>_xlfn.IFS('Prepare Gantt Chart'!AN68=12,'Project types'!$O69,'Prepare Gantt Chart'!AN68=11,'Project types'!$Q69,'Prepare Gantt Chart'!AN68=0,0)</f>
        <v>0</v>
      </c>
      <c r="AB79" s="83">
        <f>_xlfn.IFS('Prepare Gantt Chart'!AO68=12,'Project types'!$O69,'Prepare Gantt Chart'!AO68=11,'Project types'!$Q69,'Prepare Gantt Chart'!AO68=0,0)</f>
        <v>0</v>
      </c>
      <c r="AC79" s="93">
        <f t="shared" si="0"/>
        <v>0</v>
      </c>
      <c r="AD79" s="86">
        <f>_xlfn.IFS('Prepare Gantt Chart'!P68=12,'Project types'!$L69,'Prepare Gantt Chart'!P68=11,'Project types'!$L69,'Prepare Gantt Chart'!P68=0,0)</f>
        <v>0</v>
      </c>
      <c r="AE79" s="83">
        <f>_xlfn.IFS('Prepare Gantt Chart'!Q68=12,'Project types'!$L69,'Prepare Gantt Chart'!Q68=11,'Project types'!$L69,'Prepare Gantt Chart'!Q68=0,0)</f>
        <v>0</v>
      </c>
      <c r="AF79" s="83">
        <f>_xlfn.IFS('Prepare Gantt Chart'!R68=12,'Project types'!$L69,'Prepare Gantt Chart'!R68=11,'Project types'!$L69,'Prepare Gantt Chart'!R68=0,0)</f>
        <v>0</v>
      </c>
      <c r="AG79" s="83">
        <f>_xlfn.IFS('Prepare Gantt Chart'!S68=12,'Project types'!$L69,'Prepare Gantt Chart'!S68=11,'Project types'!$L69,'Prepare Gantt Chart'!S68=0,0)</f>
        <v>0</v>
      </c>
      <c r="AH79" s="83">
        <f>_xlfn.IFS('Prepare Gantt Chart'!T68=12,'Project types'!$L69,'Prepare Gantt Chart'!T68=11,'Project types'!$L69,'Prepare Gantt Chart'!T68=0,0)</f>
        <v>0</v>
      </c>
      <c r="AI79" s="83">
        <f>_xlfn.IFS('Prepare Gantt Chart'!U68=12,'Project types'!$L69,'Prepare Gantt Chart'!U68=11,'Project types'!$L69,'Prepare Gantt Chart'!U68=0,0)</f>
        <v>0</v>
      </c>
      <c r="AJ79" s="83">
        <f>_xlfn.IFS('Prepare Gantt Chart'!V68=12,'Project types'!$L69,'Prepare Gantt Chart'!V68=11,'Project types'!$L69,'Prepare Gantt Chart'!V68=0,0)</f>
        <v>0</v>
      </c>
      <c r="AK79" s="83">
        <f>_xlfn.IFS('Prepare Gantt Chart'!W68=12,'Project types'!$L69,'Prepare Gantt Chart'!W68=11,'Project types'!$L69,'Prepare Gantt Chart'!W68=0,0)</f>
        <v>0</v>
      </c>
      <c r="AL79" s="83">
        <f>_xlfn.IFS('Prepare Gantt Chart'!X68=12,'Project types'!$L69,'Prepare Gantt Chart'!X68=11,'Project types'!$L69,'Prepare Gantt Chart'!X68=0,0)</f>
        <v>0</v>
      </c>
      <c r="AM79" s="83">
        <f>_xlfn.IFS('Prepare Gantt Chart'!Y68=12,'Project types'!$L69,'Prepare Gantt Chart'!Y68=11,'Project types'!$L69,'Prepare Gantt Chart'!Y68=0,0)</f>
        <v>0</v>
      </c>
      <c r="AN79" s="83">
        <f>_xlfn.IFS('Prepare Gantt Chart'!Z68=12,'Project types'!$L69,'Prepare Gantt Chart'!Z68=11,'Project types'!$L69,'Prepare Gantt Chart'!Z68=0,0)</f>
        <v>0</v>
      </c>
      <c r="AO79" s="83">
        <f>_xlfn.IFS('Prepare Gantt Chart'!AA68=12,'Project types'!$L69,'Prepare Gantt Chart'!AA68=11,'Project types'!$L69,'Prepare Gantt Chart'!AA68=0,0)</f>
        <v>0</v>
      </c>
      <c r="AP79" s="83">
        <f>_xlfn.IFS('Prepare Gantt Chart'!AB68=12,'Project types'!$L69,'Prepare Gantt Chart'!AB68=11,'Project types'!$L69,'Prepare Gantt Chart'!AB68=0,0)</f>
        <v>0</v>
      </c>
      <c r="AQ79" s="83">
        <f>_xlfn.IFS('Prepare Gantt Chart'!AC68=12,'Project types'!$L69,'Prepare Gantt Chart'!AC68=11,'Project types'!$L69,'Prepare Gantt Chart'!AC68=0,0)</f>
        <v>0</v>
      </c>
      <c r="AR79" s="83">
        <f>_xlfn.IFS('Prepare Gantt Chart'!AD68=12,'Project types'!$L69,'Prepare Gantt Chart'!AD68=11,'Project types'!$L69,'Prepare Gantt Chart'!AD68=0,0)</f>
        <v>0</v>
      </c>
      <c r="AS79" s="83">
        <f>_xlfn.IFS('Prepare Gantt Chart'!AE68=12,'Project types'!$L69,'Prepare Gantt Chart'!AE68=11,'Project types'!$L69,'Prepare Gantt Chart'!AE68=0,0)</f>
        <v>0</v>
      </c>
      <c r="AT79" s="83">
        <f>_xlfn.IFS('Prepare Gantt Chart'!AF68=12,'Project types'!$L69,'Prepare Gantt Chart'!AF68=11,'Project types'!$L69,'Prepare Gantt Chart'!AF68=0,0)</f>
        <v>0</v>
      </c>
      <c r="AU79" s="83">
        <f>_xlfn.IFS('Prepare Gantt Chart'!AG68=12,'Project types'!$L69,'Prepare Gantt Chart'!AG68=11,'Project types'!$L69,'Prepare Gantt Chart'!AG68=0,0)</f>
        <v>0</v>
      </c>
      <c r="AV79" s="83">
        <f>_xlfn.IFS('Prepare Gantt Chart'!AH68=12,'Project types'!$L69,'Prepare Gantt Chart'!AH68=11,'Project types'!$L69,'Prepare Gantt Chart'!AH68=0,0)</f>
        <v>0</v>
      </c>
      <c r="AW79" s="83">
        <f>_xlfn.IFS('Prepare Gantt Chart'!AI68=12,'Project types'!$L69,'Prepare Gantt Chart'!AI68=11,'Project types'!$L69,'Prepare Gantt Chart'!AI68=0,0)</f>
        <v>0</v>
      </c>
      <c r="AX79" s="83">
        <f>_xlfn.IFS('Prepare Gantt Chart'!AJ68=12,'Project types'!$L69,'Prepare Gantt Chart'!AJ68=11,'Project types'!$L69,'Prepare Gantt Chart'!AJ68=0,0)</f>
        <v>0</v>
      </c>
      <c r="AY79" s="83">
        <f>_xlfn.IFS('Prepare Gantt Chart'!AK68=12,'Project types'!$L69,'Prepare Gantt Chart'!AK68=11,'Project types'!$L69,'Prepare Gantt Chart'!AK68=0,0)</f>
        <v>0</v>
      </c>
      <c r="AZ79" s="83">
        <f>_xlfn.IFS('Prepare Gantt Chart'!AL68=12,'Project types'!$L69,'Prepare Gantt Chart'!AL68=11,'Project types'!$L69,'Prepare Gantt Chart'!AL68=0,0)</f>
        <v>0</v>
      </c>
      <c r="BA79" s="83">
        <f>_xlfn.IFS('Prepare Gantt Chart'!AM68=12,'Project types'!$L69,'Prepare Gantt Chart'!AM68=11,'Project types'!$L69,'Prepare Gantt Chart'!AM68=0,0)</f>
        <v>0</v>
      </c>
      <c r="BB79" s="83">
        <f>_xlfn.IFS('Prepare Gantt Chart'!AN68=12,'Project types'!$L69,'Prepare Gantt Chart'!AN68=11,'Project types'!$L69,'Prepare Gantt Chart'!AN68=0,0)</f>
        <v>0</v>
      </c>
      <c r="BC79" s="83">
        <f>_xlfn.IFS('Prepare Gantt Chart'!AO68=12,'Project types'!$L69,'Prepare Gantt Chart'!AO68=11,'Project types'!$L69,'Prepare Gantt Chart'!AO68=0,0)</f>
        <v>0</v>
      </c>
      <c r="BD79" s="91">
        <f t="shared" si="1"/>
        <v>0</v>
      </c>
      <c r="CI79" s="85"/>
    </row>
    <row r="80" spans="1:87" x14ac:dyDescent="0.2">
      <c r="A80" s="1" t="s">
        <v>146</v>
      </c>
      <c r="B80" s="33" t="s">
        <v>62</v>
      </c>
      <c r="C80" s="83">
        <f>_xlfn.IFS('Prepare Gantt Chart'!P69=12,'Project types'!$O70,'Prepare Gantt Chart'!P69=11,'Project types'!$Q70,'Prepare Gantt Chart'!P69=0,0)</f>
        <v>0</v>
      </c>
      <c r="D80" s="83">
        <f>_xlfn.IFS('Prepare Gantt Chart'!Q69=12,'Project types'!$O70,'Prepare Gantt Chart'!Q69=11,'Project types'!$Q70,'Prepare Gantt Chart'!Q69=0,0)</f>
        <v>0</v>
      </c>
      <c r="E80" s="83">
        <f>_xlfn.IFS('Prepare Gantt Chart'!R69=12,'Project types'!$O70,'Prepare Gantt Chart'!R69=11,'Project types'!$Q70,'Prepare Gantt Chart'!R69=0,0)</f>
        <v>0</v>
      </c>
      <c r="F80" s="83">
        <f>_xlfn.IFS('Prepare Gantt Chart'!S69=12,'Project types'!$O70,'Prepare Gantt Chart'!S69=11,'Project types'!$Q70,'Prepare Gantt Chart'!S69=0,0)</f>
        <v>0</v>
      </c>
      <c r="G80" s="83">
        <f>_xlfn.IFS('Prepare Gantt Chart'!T69=12,'Project types'!$O70,'Prepare Gantt Chart'!T69=11,'Project types'!$Q70,'Prepare Gantt Chart'!T69=0,0)</f>
        <v>0</v>
      </c>
      <c r="H80" s="83">
        <f>_xlfn.IFS('Prepare Gantt Chart'!U69=12,'Project types'!$O70,'Prepare Gantt Chart'!U69=11,'Project types'!$Q70,'Prepare Gantt Chart'!U69=0,0)</f>
        <v>0</v>
      </c>
      <c r="I80" s="83">
        <f>_xlfn.IFS('Prepare Gantt Chart'!V69=12,'Project types'!$O70,'Prepare Gantt Chart'!V69=11,'Project types'!$Q70,'Prepare Gantt Chart'!V69=0,0)</f>
        <v>0</v>
      </c>
      <c r="J80" s="83">
        <f>_xlfn.IFS('Prepare Gantt Chart'!W69=12,'Project types'!$O70,'Prepare Gantt Chart'!W69=11,'Project types'!$Q70,'Prepare Gantt Chart'!W69=0,0)</f>
        <v>0</v>
      </c>
      <c r="K80" s="83">
        <f>_xlfn.IFS('Prepare Gantt Chart'!X69=12,'Project types'!$O70,'Prepare Gantt Chart'!X69=11,'Project types'!$Q70,'Prepare Gantt Chart'!X69=0,0)</f>
        <v>0</v>
      </c>
      <c r="L80" s="83">
        <f>_xlfn.IFS('Prepare Gantt Chart'!Y69=12,'Project types'!$O70,'Prepare Gantt Chart'!Y69=11,'Project types'!$Q70,'Prepare Gantt Chart'!Y69=0,0)</f>
        <v>0</v>
      </c>
      <c r="M80" s="83">
        <f>_xlfn.IFS('Prepare Gantt Chart'!Z69=12,'Project types'!$O70,'Prepare Gantt Chart'!Z69=11,'Project types'!$Q70,'Prepare Gantt Chart'!Z69=0,0)</f>
        <v>0</v>
      </c>
      <c r="N80" s="83">
        <f>_xlfn.IFS('Prepare Gantt Chart'!AA69=12,'Project types'!$O70,'Prepare Gantt Chart'!AA69=11,'Project types'!$Q70,'Prepare Gantt Chart'!AA69=0,0)</f>
        <v>0</v>
      </c>
      <c r="O80" s="83">
        <f>_xlfn.IFS('Prepare Gantt Chart'!AB69=12,'Project types'!$O70,'Prepare Gantt Chart'!AB69=11,'Project types'!$Q70,'Prepare Gantt Chart'!AB69=0,0)</f>
        <v>0</v>
      </c>
      <c r="P80" s="83">
        <f>_xlfn.IFS('Prepare Gantt Chart'!AC69=12,'Project types'!$O70,'Prepare Gantt Chart'!AC69=11,'Project types'!$Q70,'Prepare Gantt Chart'!AC69=0,0)</f>
        <v>0</v>
      </c>
      <c r="Q80" s="83">
        <f>_xlfn.IFS('Prepare Gantt Chart'!AD69=12,'Project types'!$O70,'Prepare Gantt Chart'!AD69=11,'Project types'!$Q70,'Prepare Gantt Chart'!AD69=0,0)</f>
        <v>0</v>
      </c>
      <c r="R80" s="83">
        <f>_xlfn.IFS('Prepare Gantt Chart'!AE69=12,'Project types'!$O70,'Prepare Gantt Chart'!AE69=11,'Project types'!$Q70,'Prepare Gantt Chart'!AE69=0,0)</f>
        <v>0</v>
      </c>
      <c r="S80" s="83">
        <f>_xlfn.IFS('Prepare Gantt Chart'!AF69=12,'Project types'!$O70,'Prepare Gantt Chart'!AF69=11,'Project types'!$Q70,'Prepare Gantt Chart'!AF69=0,0)</f>
        <v>0</v>
      </c>
      <c r="T80" s="83">
        <f>_xlfn.IFS('Prepare Gantt Chart'!AG69=12,'Project types'!$O70,'Prepare Gantt Chart'!AG69=11,'Project types'!$Q70,'Prepare Gantt Chart'!AG69=0,0)</f>
        <v>0</v>
      </c>
      <c r="U80" s="83">
        <f>_xlfn.IFS('Prepare Gantt Chart'!AH69=12,'Project types'!$O70,'Prepare Gantt Chart'!AH69=11,'Project types'!$Q70,'Prepare Gantt Chart'!AH69=0,0)</f>
        <v>0</v>
      </c>
      <c r="V80" s="83">
        <f>_xlfn.IFS('Prepare Gantt Chart'!AI69=12,'Project types'!$O70,'Prepare Gantt Chart'!AI69=11,'Project types'!$Q70,'Prepare Gantt Chart'!AI69=0,0)</f>
        <v>0</v>
      </c>
      <c r="W80" s="83">
        <f>_xlfn.IFS('Prepare Gantt Chart'!AJ69=12,'Project types'!$O70,'Prepare Gantt Chart'!AJ69=11,'Project types'!$Q70,'Prepare Gantt Chart'!AJ69=0,0)</f>
        <v>0</v>
      </c>
      <c r="X80" s="83">
        <f>_xlfn.IFS('Prepare Gantt Chart'!AK69=12,'Project types'!$O70,'Prepare Gantt Chart'!AK69=11,'Project types'!$Q70,'Prepare Gantt Chart'!AK69=0,0)</f>
        <v>0</v>
      </c>
      <c r="Y80" s="83">
        <f>_xlfn.IFS('Prepare Gantt Chart'!AL69=12,'Project types'!$O70,'Prepare Gantt Chart'!AL69=11,'Project types'!$Q70,'Prepare Gantt Chart'!AL69=0,0)</f>
        <v>0</v>
      </c>
      <c r="Z80" s="83">
        <f>_xlfn.IFS('Prepare Gantt Chart'!AM69=12,'Project types'!$O70,'Prepare Gantt Chart'!AM69=11,'Project types'!$Q70,'Prepare Gantt Chart'!AM69=0,0)</f>
        <v>0</v>
      </c>
      <c r="AA80" s="83">
        <f>_xlfn.IFS('Prepare Gantt Chart'!AN69=12,'Project types'!$O70,'Prepare Gantt Chart'!AN69=11,'Project types'!$Q70,'Prepare Gantt Chart'!AN69=0,0)</f>
        <v>0</v>
      </c>
      <c r="AB80" s="83">
        <f>_xlfn.IFS('Prepare Gantt Chart'!AO69=12,'Project types'!$O70,'Prepare Gantt Chart'!AO69=11,'Project types'!$Q70,'Prepare Gantt Chart'!AO69=0,0)</f>
        <v>0</v>
      </c>
      <c r="AC80" s="93">
        <f t="shared" si="0"/>
        <v>0</v>
      </c>
      <c r="AD80" s="86">
        <f>_xlfn.IFS('Prepare Gantt Chart'!P69=12,'Project types'!$L70,'Prepare Gantt Chart'!P69=11,'Project types'!$L70,'Prepare Gantt Chart'!P69=0,0)</f>
        <v>0</v>
      </c>
      <c r="AE80" s="83">
        <f>_xlfn.IFS('Prepare Gantt Chart'!Q69=12,'Project types'!$L70,'Prepare Gantt Chart'!Q69=11,'Project types'!$L70,'Prepare Gantt Chart'!Q69=0,0)</f>
        <v>0</v>
      </c>
      <c r="AF80" s="83">
        <f>_xlfn.IFS('Prepare Gantt Chart'!R69=12,'Project types'!$L70,'Prepare Gantt Chart'!R69=11,'Project types'!$L70,'Prepare Gantt Chart'!R69=0,0)</f>
        <v>0</v>
      </c>
      <c r="AG80" s="83">
        <f>_xlfn.IFS('Prepare Gantt Chart'!S69=12,'Project types'!$L70,'Prepare Gantt Chart'!S69=11,'Project types'!$L70,'Prepare Gantt Chart'!S69=0,0)</f>
        <v>0</v>
      </c>
      <c r="AH80" s="83">
        <f>_xlfn.IFS('Prepare Gantt Chart'!T69=12,'Project types'!$L70,'Prepare Gantt Chart'!T69=11,'Project types'!$L70,'Prepare Gantt Chart'!T69=0,0)</f>
        <v>0</v>
      </c>
      <c r="AI80" s="83">
        <f>_xlfn.IFS('Prepare Gantt Chart'!U69=12,'Project types'!$L70,'Prepare Gantt Chart'!U69=11,'Project types'!$L70,'Prepare Gantt Chart'!U69=0,0)</f>
        <v>0</v>
      </c>
      <c r="AJ80" s="83">
        <f>_xlfn.IFS('Prepare Gantt Chart'!V69=12,'Project types'!$L70,'Prepare Gantt Chart'!V69=11,'Project types'!$L70,'Prepare Gantt Chart'!V69=0,0)</f>
        <v>0</v>
      </c>
      <c r="AK80" s="83">
        <f>_xlfn.IFS('Prepare Gantt Chart'!W69=12,'Project types'!$L70,'Prepare Gantt Chart'!W69=11,'Project types'!$L70,'Prepare Gantt Chart'!W69=0,0)</f>
        <v>0</v>
      </c>
      <c r="AL80" s="83">
        <f>_xlfn.IFS('Prepare Gantt Chart'!X69=12,'Project types'!$L70,'Prepare Gantt Chart'!X69=11,'Project types'!$L70,'Prepare Gantt Chart'!X69=0,0)</f>
        <v>0</v>
      </c>
      <c r="AM80" s="83">
        <f>_xlfn.IFS('Prepare Gantt Chart'!Y69=12,'Project types'!$L70,'Prepare Gantt Chart'!Y69=11,'Project types'!$L70,'Prepare Gantt Chart'!Y69=0,0)</f>
        <v>0</v>
      </c>
      <c r="AN80" s="83">
        <f>_xlfn.IFS('Prepare Gantt Chart'!Z69=12,'Project types'!$L70,'Prepare Gantt Chart'!Z69=11,'Project types'!$L70,'Prepare Gantt Chart'!Z69=0,0)</f>
        <v>0</v>
      </c>
      <c r="AO80" s="83">
        <f>_xlfn.IFS('Prepare Gantt Chart'!AA69=12,'Project types'!$L70,'Prepare Gantt Chart'!AA69=11,'Project types'!$L70,'Prepare Gantt Chart'!AA69=0,0)</f>
        <v>0</v>
      </c>
      <c r="AP80" s="83">
        <f>_xlfn.IFS('Prepare Gantt Chart'!AB69=12,'Project types'!$L70,'Prepare Gantt Chart'!AB69=11,'Project types'!$L70,'Prepare Gantt Chart'!AB69=0,0)</f>
        <v>0</v>
      </c>
      <c r="AQ80" s="83">
        <f>_xlfn.IFS('Prepare Gantt Chart'!AC69=12,'Project types'!$L70,'Prepare Gantt Chart'!AC69=11,'Project types'!$L70,'Prepare Gantt Chart'!AC69=0,0)</f>
        <v>0</v>
      </c>
      <c r="AR80" s="83">
        <f>_xlfn.IFS('Prepare Gantt Chart'!AD69=12,'Project types'!$L70,'Prepare Gantt Chart'!AD69=11,'Project types'!$L70,'Prepare Gantt Chart'!AD69=0,0)</f>
        <v>0</v>
      </c>
      <c r="AS80" s="83">
        <f>_xlfn.IFS('Prepare Gantt Chart'!AE69=12,'Project types'!$L70,'Prepare Gantt Chart'!AE69=11,'Project types'!$L70,'Prepare Gantt Chart'!AE69=0,0)</f>
        <v>0</v>
      </c>
      <c r="AT80" s="83">
        <f>_xlfn.IFS('Prepare Gantt Chart'!AF69=12,'Project types'!$L70,'Prepare Gantt Chart'!AF69=11,'Project types'!$L70,'Prepare Gantt Chart'!AF69=0,0)</f>
        <v>0</v>
      </c>
      <c r="AU80" s="83">
        <f>_xlfn.IFS('Prepare Gantt Chart'!AG69=12,'Project types'!$L70,'Prepare Gantt Chart'!AG69=11,'Project types'!$L70,'Prepare Gantt Chart'!AG69=0,0)</f>
        <v>0</v>
      </c>
      <c r="AV80" s="83">
        <f>_xlfn.IFS('Prepare Gantt Chart'!AH69=12,'Project types'!$L70,'Prepare Gantt Chart'!AH69=11,'Project types'!$L70,'Prepare Gantt Chart'!AH69=0,0)</f>
        <v>0</v>
      </c>
      <c r="AW80" s="83">
        <f>_xlfn.IFS('Prepare Gantt Chart'!AI69=12,'Project types'!$L70,'Prepare Gantt Chart'!AI69=11,'Project types'!$L70,'Prepare Gantt Chart'!AI69=0,0)</f>
        <v>0</v>
      </c>
      <c r="AX80" s="83">
        <f>_xlfn.IFS('Prepare Gantt Chart'!AJ69=12,'Project types'!$L70,'Prepare Gantt Chart'!AJ69=11,'Project types'!$L70,'Prepare Gantt Chart'!AJ69=0,0)</f>
        <v>0</v>
      </c>
      <c r="AY80" s="83">
        <f>_xlfn.IFS('Prepare Gantt Chart'!AK69=12,'Project types'!$L70,'Prepare Gantt Chart'!AK69=11,'Project types'!$L70,'Prepare Gantt Chart'!AK69=0,0)</f>
        <v>0</v>
      </c>
      <c r="AZ80" s="83">
        <f>_xlfn.IFS('Prepare Gantt Chart'!AL69=12,'Project types'!$L70,'Prepare Gantt Chart'!AL69=11,'Project types'!$L70,'Prepare Gantt Chart'!AL69=0,0)</f>
        <v>0</v>
      </c>
      <c r="BA80" s="83">
        <f>_xlfn.IFS('Prepare Gantt Chart'!AM69=12,'Project types'!$L70,'Prepare Gantt Chart'!AM69=11,'Project types'!$L70,'Prepare Gantt Chart'!AM69=0,0)</f>
        <v>0</v>
      </c>
      <c r="BB80" s="83">
        <f>_xlfn.IFS('Prepare Gantt Chart'!AN69=12,'Project types'!$L70,'Prepare Gantt Chart'!AN69=11,'Project types'!$L70,'Prepare Gantt Chart'!AN69=0,0)</f>
        <v>0</v>
      </c>
      <c r="BC80" s="83">
        <f>_xlfn.IFS('Prepare Gantt Chart'!AO69=12,'Project types'!$L70,'Prepare Gantt Chart'!AO69=11,'Project types'!$L70,'Prepare Gantt Chart'!AO69=0,0)</f>
        <v>0</v>
      </c>
      <c r="BD80" s="91">
        <f t="shared" si="1"/>
        <v>0</v>
      </c>
      <c r="CI80" s="85"/>
    </row>
    <row r="81" spans="1:87" x14ac:dyDescent="0.2">
      <c r="A81" s="1" t="s">
        <v>147</v>
      </c>
      <c r="B81" s="33" t="s">
        <v>63</v>
      </c>
      <c r="C81" s="83">
        <f>_xlfn.IFS('Prepare Gantt Chart'!P70=12,'Project types'!$O71,'Prepare Gantt Chart'!P70=11,'Project types'!$Q71,'Prepare Gantt Chart'!P70=0,0)</f>
        <v>0</v>
      </c>
      <c r="D81" s="83">
        <f>_xlfn.IFS('Prepare Gantt Chart'!Q70=12,'Project types'!$O71,'Prepare Gantt Chart'!Q70=11,'Project types'!$Q71,'Prepare Gantt Chart'!Q70=0,0)</f>
        <v>0</v>
      </c>
      <c r="E81" s="83">
        <f>_xlfn.IFS('Prepare Gantt Chart'!R70=12,'Project types'!$O71,'Prepare Gantt Chart'!R70=11,'Project types'!$Q71,'Prepare Gantt Chart'!R70=0,0)</f>
        <v>0</v>
      </c>
      <c r="F81" s="83">
        <f>_xlfn.IFS('Prepare Gantt Chart'!S70=12,'Project types'!$O71,'Prepare Gantt Chart'!S70=11,'Project types'!$Q71,'Prepare Gantt Chart'!S70=0,0)</f>
        <v>0</v>
      </c>
      <c r="G81" s="83">
        <f>_xlfn.IFS('Prepare Gantt Chart'!T70=12,'Project types'!$O71,'Prepare Gantt Chart'!T70=11,'Project types'!$Q71,'Prepare Gantt Chart'!T70=0,0)</f>
        <v>0</v>
      </c>
      <c r="H81" s="83">
        <f>_xlfn.IFS('Prepare Gantt Chart'!U70=12,'Project types'!$O71,'Prepare Gantt Chart'!U70=11,'Project types'!$Q71,'Prepare Gantt Chart'!U70=0,0)</f>
        <v>0</v>
      </c>
      <c r="I81" s="83">
        <f>_xlfn.IFS('Prepare Gantt Chart'!V70=12,'Project types'!$O71,'Prepare Gantt Chart'!V70=11,'Project types'!$Q71,'Prepare Gantt Chart'!V70=0,0)</f>
        <v>0</v>
      </c>
      <c r="J81" s="83">
        <f>_xlfn.IFS('Prepare Gantt Chart'!W70=12,'Project types'!$O71,'Prepare Gantt Chart'!W70=11,'Project types'!$Q71,'Prepare Gantt Chart'!W70=0,0)</f>
        <v>0</v>
      </c>
      <c r="K81" s="83">
        <f>_xlfn.IFS('Prepare Gantt Chart'!X70=12,'Project types'!$O71,'Prepare Gantt Chart'!X70=11,'Project types'!$Q71,'Prepare Gantt Chart'!X70=0,0)</f>
        <v>0</v>
      </c>
      <c r="L81" s="83">
        <f>_xlfn.IFS('Prepare Gantt Chart'!Y70=12,'Project types'!$O71,'Prepare Gantt Chart'!Y70=11,'Project types'!$Q71,'Prepare Gantt Chart'!Y70=0,0)</f>
        <v>0</v>
      </c>
      <c r="M81" s="83">
        <f>_xlfn.IFS('Prepare Gantt Chart'!Z70=12,'Project types'!$O71,'Prepare Gantt Chart'!Z70=11,'Project types'!$Q71,'Prepare Gantt Chart'!Z70=0,0)</f>
        <v>0</v>
      </c>
      <c r="N81" s="83">
        <f>_xlfn.IFS('Prepare Gantt Chart'!AA70=12,'Project types'!$O71,'Prepare Gantt Chart'!AA70=11,'Project types'!$Q71,'Prepare Gantt Chart'!AA70=0,0)</f>
        <v>0</v>
      </c>
      <c r="O81" s="83">
        <f>_xlfn.IFS('Prepare Gantt Chart'!AB70=12,'Project types'!$O71,'Prepare Gantt Chart'!AB70=11,'Project types'!$Q71,'Prepare Gantt Chart'!AB70=0,0)</f>
        <v>0</v>
      </c>
      <c r="P81" s="83">
        <f>_xlfn.IFS('Prepare Gantt Chart'!AC70=12,'Project types'!$O71,'Prepare Gantt Chart'!AC70=11,'Project types'!$Q71,'Prepare Gantt Chart'!AC70=0,0)</f>
        <v>0</v>
      </c>
      <c r="Q81" s="83">
        <f>_xlfn.IFS('Prepare Gantt Chart'!AD70=12,'Project types'!$O71,'Prepare Gantt Chart'!AD70=11,'Project types'!$Q71,'Prepare Gantt Chart'!AD70=0,0)</f>
        <v>0</v>
      </c>
      <c r="R81" s="83">
        <f>_xlfn.IFS('Prepare Gantt Chart'!AE70=12,'Project types'!$O71,'Prepare Gantt Chart'!AE70=11,'Project types'!$Q71,'Prepare Gantt Chart'!AE70=0,0)</f>
        <v>0</v>
      </c>
      <c r="S81" s="83">
        <f>_xlfn.IFS('Prepare Gantt Chart'!AF70=12,'Project types'!$O71,'Prepare Gantt Chart'!AF70=11,'Project types'!$Q71,'Prepare Gantt Chart'!AF70=0,0)</f>
        <v>0</v>
      </c>
      <c r="T81" s="83">
        <f>_xlfn.IFS('Prepare Gantt Chart'!AG70=12,'Project types'!$O71,'Prepare Gantt Chart'!AG70=11,'Project types'!$Q71,'Prepare Gantt Chart'!AG70=0,0)</f>
        <v>0</v>
      </c>
      <c r="U81" s="83">
        <f>_xlfn.IFS('Prepare Gantt Chart'!AH70=12,'Project types'!$O71,'Prepare Gantt Chart'!AH70=11,'Project types'!$Q71,'Prepare Gantt Chart'!AH70=0,0)</f>
        <v>0</v>
      </c>
      <c r="V81" s="83">
        <f>_xlfn.IFS('Prepare Gantt Chart'!AI70=12,'Project types'!$O71,'Prepare Gantt Chart'!AI70=11,'Project types'!$Q71,'Prepare Gantt Chart'!AI70=0,0)</f>
        <v>0</v>
      </c>
      <c r="W81" s="83">
        <f>_xlfn.IFS('Prepare Gantt Chart'!AJ70=12,'Project types'!$O71,'Prepare Gantt Chart'!AJ70=11,'Project types'!$Q71,'Prepare Gantt Chart'!AJ70=0,0)</f>
        <v>0</v>
      </c>
      <c r="X81" s="83">
        <f>_xlfn.IFS('Prepare Gantt Chart'!AK70=12,'Project types'!$O71,'Prepare Gantt Chart'!AK70=11,'Project types'!$Q71,'Prepare Gantt Chart'!AK70=0,0)</f>
        <v>0</v>
      </c>
      <c r="Y81" s="83">
        <f>_xlfn.IFS('Prepare Gantt Chart'!AL70=12,'Project types'!$O71,'Prepare Gantt Chart'!AL70=11,'Project types'!$Q71,'Prepare Gantt Chart'!AL70=0,0)</f>
        <v>0</v>
      </c>
      <c r="Z81" s="83">
        <f>_xlfn.IFS('Prepare Gantt Chart'!AM70=12,'Project types'!$O71,'Prepare Gantt Chart'!AM70=11,'Project types'!$Q71,'Prepare Gantt Chart'!AM70=0,0)</f>
        <v>0</v>
      </c>
      <c r="AA81" s="83">
        <f>_xlfn.IFS('Prepare Gantt Chart'!AN70=12,'Project types'!$O71,'Prepare Gantt Chart'!AN70=11,'Project types'!$Q71,'Prepare Gantt Chart'!AN70=0,0)</f>
        <v>0</v>
      </c>
      <c r="AB81" s="83">
        <f>_xlfn.IFS('Prepare Gantt Chart'!AO70=12,'Project types'!$O71,'Prepare Gantt Chart'!AO70=11,'Project types'!$Q71,'Prepare Gantt Chart'!AO70=0,0)</f>
        <v>0</v>
      </c>
      <c r="AC81" s="93">
        <f t="shared" ref="AC81:AC132" si="2">SUM(C81:AB81)/COUNT(C81:AB81)</f>
        <v>0</v>
      </c>
      <c r="AD81" s="86">
        <f>_xlfn.IFS('Prepare Gantt Chart'!P70=12,'Project types'!$L71,'Prepare Gantt Chart'!P70=11,'Project types'!$L71,'Prepare Gantt Chart'!P70=0,0)</f>
        <v>0</v>
      </c>
      <c r="AE81" s="83">
        <f>_xlfn.IFS('Prepare Gantt Chart'!Q70=12,'Project types'!$L71,'Prepare Gantt Chart'!Q70=11,'Project types'!$L71,'Prepare Gantt Chart'!Q70=0,0)</f>
        <v>0</v>
      </c>
      <c r="AF81" s="83">
        <f>_xlfn.IFS('Prepare Gantt Chart'!R70=12,'Project types'!$L71,'Prepare Gantt Chart'!R70=11,'Project types'!$L71,'Prepare Gantt Chart'!R70=0,0)</f>
        <v>0</v>
      </c>
      <c r="AG81" s="83">
        <f>_xlfn.IFS('Prepare Gantt Chart'!S70=12,'Project types'!$L71,'Prepare Gantt Chart'!S70=11,'Project types'!$L71,'Prepare Gantt Chart'!S70=0,0)</f>
        <v>0</v>
      </c>
      <c r="AH81" s="83">
        <f>_xlfn.IFS('Prepare Gantt Chart'!T70=12,'Project types'!$L71,'Prepare Gantt Chart'!T70=11,'Project types'!$L71,'Prepare Gantt Chart'!T70=0,0)</f>
        <v>0</v>
      </c>
      <c r="AI81" s="83">
        <f>_xlfn.IFS('Prepare Gantt Chart'!U70=12,'Project types'!$L71,'Prepare Gantt Chart'!U70=11,'Project types'!$L71,'Prepare Gantt Chart'!U70=0,0)</f>
        <v>0</v>
      </c>
      <c r="AJ81" s="83">
        <f>_xlfn.IFS('Prepare Gantt Chart'!V70=12,'Project types'!$L71,'Prepare Gantt Chart'!V70=11,'Project types'!$L71,'Prepare Gantt Chart'!V70=0,0)</f>
        <v>0</v>
      </c>
      <c r="AK81" s="83">
        <f>_xlfn.IFS('Prepare Gantt Chart'!W70=12,'Project types'!$L71,'Prepare Gantt Chart'!W70=11,'Project types'!$L71,'Prepare Gantt Chart'!W70=0,0)</f>
        <v>0</v>
      </c>
      <c r="AL81" s="83">
        <f>_xlfn.IFS('Prepare Gantt Chart'!X70=12,'Project types'!$L71,'Prepare Gantt Chart'!X70=11,'Project types'!$L71,'Prepare Gantt Chart'!X70=0,0)</f>
        <v>0</v>
      </c>
      <c r="AM81" s="83">
        <f>_xlfn.IFS('Prepare Gantt Chart'!Y70=12,'Project types'!$L71,'Prepare Gantt Chart'!Y70=11,'Project types'!$L71,'Prepare Gantt Chart'!Y70=0,0)</f>
        <v>0</v>
      </c>
      <c r="AN81" s="83">
        <f>_xlfn.IFS('Prepare Gantt Chart'!Z70=12,'Project types'!$L71,'Prepare Gantt Chart'!Z70=11,'Project types'!$L71,'Prepare Gantt Chart'!Z70=0,0)</f>
        <v>0</v>
      </c>
      <c r="AO81" s="83">
        <f>_xlfn.IFS('Prepare Gantt Chart'!AA70=12,'Project types'!$L71,'Prepare Gantt Chart'!AA70=11,'Project types'!$L71,'Prepare Gantt Chart'!AA70=0,0)</f>
        <v>0</v>
      </c>
      <c r="AP81" s="83">
        <f>_xlfn.IFS('Prepare Gantt Chart'!AB70=12,'Project types'!$L71,'Prepare Gantt Chart'!AB70=11,'Project types'!$L71,'Prepare Gantt Chart'!AB70=0,0)</f>
        <v>0</v>
      </c>
      <c r="AQ81" s="83">
        <f>_xlfn.IFS('Prepare Gantt Chart'!AC70=12,'Project types'!$L71,'Prepare Gantt Chart'!AC70=11,'Project types'!$L71,'Prepare Gantt Chart'!AC70=0,0)</f>
        <v>0</v>
      </c>
      <c r="AR81" s="83">
        <f>_xlfn.IFS('Prepare Gantt Chart'!AD70=12,'Project types'!$L71,'Prepare Gantt Chart'!AD70=11,'Project types'!$L71,'Prepare Gantt Chart'!AD70=0,0)</f>
        <v>0</v>
      </c>
      <c r="AS81" s="83">
        <f>_xlfn.IFS('Prepare Gantt Chart'!AE70=12,'Project types'!$L71,'Prepare Gantt Chart'!AE70=11,'Project types'!$L71,'Prepare Gantt Chart'!AE70=0,0)</f>
        <v>0</v>
      </c>
      <c r="AT81" s="83">
        <f>_xlfn.IFS('Prepare Gantt Chart'!AF70=12,'Project types'!$L71,'Prepare Gantt Chart'!AF70=11,'Project types'!$L71,'Prepare Gantt Chart'!AF70=0,0)</f>
        <v>0</v>
      </c>
      <c r="AU81" s="83">
        <f>_xlfn.IFS('Prepare Gantt Chart'!AG70=12,'Project types'!$L71,'Prepare Gantt Chart'!AG70=11,'Project types'!$L71,'Prepare Gantt Chart'!AG70=0,0)</f>
        <v>0</v>
      </c>
      <c r="AV81" s="83">
        <f>_xlfn.IFS('Prepare Gantt Chart'!AH70=12,'Project types'!$L71,'Prepare Gantt Chart'!AH70=11,'Project types'!$L71,'Prepare Gantt Chart'!AH70=0,0)</f>
        <v>0</v>
      </c>
      <c r="AW81" s="83">
        <f>_xlfn.IFS('Prepare Gantt Chart'!AI70=12,'Project types'!$L71,'Prepare Gantt Chart'!AI70=11,'Project types'!$L71,'Prepare Gantt Chart'!AI70=0,0)</f>
        <v>0</v>
      </c>
      <c r="AX81" s="83">
        <f>_xlfn.IFS('Prepare Gantt Chart'!AJ70=12,'Project types'!$L71,'Prepare Gantt Chart'!AJ70=11,'Project types'!$L71,'Prepare Gantt Chart'!AJ70=0,0)</f>
        <v>0</v>
      </c>
      <c r="AY81" s="83">
        <f>_xlfn.IFS('Prepare Gantt Chart'!AK70=12,'Project types'!$L71,'Prepare Gantt Chart'!AK70=11,'Project types'!$L71,'Prepare Gantt Chart'!AK70=0,0)</f>
        <v>0</v>
      </c>
      <c r="AZ81" s="83">
        <f>_xlfn.IFS('Prepare Gantt Chart'!AL70=12,'Project types'!$L71,'Prepare Gantt Chart'!AL70=11,'Project types'!$L71,'Prepare Gantt Chart'!AL70=0,0)</f>
        <v>0</v>
      </c>
      <c r="BA81" s="83">
        <f>_xlfn.IFS('Prepare Gantt Chart'!AM70=12,'Project types'!$L71,'Prepare Gantt Chart'!AM70=11,'Project types'!$L71,'Prepare Gantt Chart'!AM70=0,0)</f>
        <v>0</v>
      </c>
      <c r="BB81" s="83">
        <f>_xlfn.IFS('Prepare Gantt Chart'!AN70=12,'Project types'!$L71,'Prepare Gantt Chart'!AN70=11,'Project types'!$L71,'Prepare Gantt Chart'!AN70=0,0)</f>
        <v>0</v>
      </c>
      <c r="BC81" s="83">
        <f>_xlfn.IFS('Prepare Gantt Chart'!AO70=12,'Project types'!$L71,'Prepare Gantt Chart'!AO70=11,'Project types'!$L71,'Prepare Gantt Chart'!AO70=0,0)</f>
        <v>0</v>
      </c>
      <c r="BD81" s="91">
        <f t="shared" ref="BD81:BD132" si="3">SUM(AD81:BC81)/COUNT(AD81:BC81)</f>
        <v>0</v>
      </c>
      <c r="CI81" s="85"/>
    </row>
    <row r="82" spans="1:87" x14ac:dyDescent="0.2">
      <c r="A82" s="1" t="s">
        <v>148</v>
      </c>
      <c r="B82" s="33" t="s">
        <v>64</v>
      </c>
      <c r="C82" s="83">
        <f>_xlfn.IFS('Prepare Gantt Chart'!P71=12,'Project types'!$O72,'Prepare Gantt Chart'!P71=11,'Project types'!$Q72,'Prepare Gantt Chart'!P71=0,0)</f>
        <v>0</v>
      </c>
      <c r="D82" s="83">
        <f>_xlfn.IFS('Prepare Gantt Chart'!Q71=12,'Project types'!$O72,'Prepare Gantt Chart'!Q71=11,'Project types'!$Q72,'Prepare Gantt Chart'!Q71=0,0)</f>
        <v>0</v>
      </c>
      <c r="E82" s="83">
        <f>_xlfn.IFS('Prepare Gantt Chart'!R71=12,'Project types'!$O72,'Prepare Gantt Chart'!R71=11,'Project types'!$Q72,'Prepare Gantt Chart'!R71=0,0)</f>
        <v>0</v>
      </c>
      <c r="F82" s="83">
        <f>_xlfn.IFS('Prepare Gantt Chart'!S71=12,'Project types'!$O72,'Prepare Gantt Chart'!S71=11,'Project types'!$Q72,'Prepare Gantt Chart'!S71=0,0)</f>
        <v>0</v>
      </c>
      <c r="G82" s="83">
        <f>_xlfn.IFS('Prepare Gantt Chart'!T71=12,'Project types'!$O72,'Prepare Gantt Chart'!T71=11,'Project types'!$Q72,'Prepare Gantt Chart'!T71=0,0)</f>
        <v>0</v>
      </c>
      <c r="H82" s="83">
        <f>_xlfn.IFS('Prepare Gantt Chart'!U71=12,'Project types'!$O72,'Prepare Gantt Chart'!U71=11,'Project types'!$Q72,'Prepare Gantt Chart'!U71=0,0)</f>
        <v>0</v>
      </c>
      <c r="I82" s="83">
        <f>_xlfn.IFS('Prepare Gantt Chart'!V71=12,'Project types'!$O72,'Prepare Gantt Chart'!V71=11,'Project types'!$Q72,'Prepare Gantt Chart'!V71=0,0)</f>
        <v>0</v>
      </c>
      <c r="J82" s="83">
        <f>_xlfn.IFS('Prepare Gantt Chart'!W71=12,'Project types'!$O72,'Prepare Gantt Chart'!W71=11,'Project types'!$Q72,'Prepare Gantt Chart'!W71=0,0)</f>
        <v>0</v>
      </c>
      <c r="K82" s="83">
        <f>_xlfn.IFS('Prepare Gantt Chart'!X71=12,'Project types'!$O72,'Prepare Gantt Chart'!X71=11,'Project types'!$Q72,'Prepare Gantt Chart'!X71=0,0)</f>
        <v>0</v>
      </c>
      <c r="L82" s="83">
        <f>_xlfn.IFS('Prepare Gantt Chart'!Y71=12,'Project types'!$O72,'Prepare Gantt Chart'!Y71=11,'Project types'!$Q72,'Prepare Gantt Chart'!Y71=0,0)</f>
        <v>0</v>
      </c>
      <c r="M82" s="83">
        <f>_xlfn.IFS('Prepare Gantt Chart'!Z71=12,'Project types'!$O72,'Prepare Gantt Chart'!Z71=11,'Project types'!$Q72,'Prepare Gantt Chart'!Z71=0,0)</f>
        <v>0</v>
      </c>
      <c r="N82" s="83">
        <f>_xlfn.IFS('Prepare Gantt Chart'!AA71=12,'Project types'!$O72,'Prepare Gantt Chart'!AA71=11,'Project types'!$Q72,'Prepare Gantt Chart'!AA71=0,0)</f>
        <v>0</v>
      </c>
      <c r="O82" s="83">
        <f>_xlfn.IFS('Prepare Gantt Chart'!AB71=12,'Project types'!$O72,'Prepare Gantt Chart'!AB71=11,'Project types'!$Q72,'Prepare Gantt Chart'!AB71=0,0)</f>
        <v>0</v>
      </c>
      <c r="P82" s="83">
        <f>_xlfn.IFS('Prepare Gantt Chart'!AC71=12,'Project types'!$O72,'Prepare Gantt Chart'!AC71=11,'Project types'!$Q72,'Prepare Gantt Chart'!AC71=0,0)</f>
        <v>0</v>
      </c>
      <c r="Q82" s="83">
        <f>_xlfn.IFS('Prepare Gantt Chart'!AD71=12,'Project types'!$O72,'Prepare Gantt Chart'!AD71=11,'Project types'!$Q72,'Prepare Gantt Chart'!AD71=0,0)</f>
        <v>0</v>
      </c>
      <c r="R82" s="83">
        <f>_xlfn.IFS('Prepare Gantt Chart'!AE71=12,'Project types'!$O72,'Prepare Gantt Chart'!AE71=11,'Project types'!$Q72,'Prepare Gantt Chart'!AE71=0,0)</f>
        <v>0</v>
      </c>
      <c r="S82" s="83">
        <f>_xlfn.IFS('Prepare Gantt Chart'!AF71=12,'Project types'!$O72,'Prepare Gantt Chart'!AF71=11,'Project types'!$Q72,'Prepare Gantt Chart'!AF71=0,0)</f>
        <v>0</v>
      </c>
      <c r="T82" s="83">
        <f>_xlfn.IFS('Prepare Gantt Chart'!AG71=12,'Project types'!$O72,'Prepare Gantt Chart'!AG71=11,'Project types'!$Q72,'Prepare Gantt Chart'!AG71=0,0)</f>
        <v>0</v>
      </c>
      <c r="U82" s="83">
        <f>_xlfn.IFS('Prepare Gantt Chart'!AH71=12,'Project types'!$O72,'Prepare Gantt Chart'!AH71=11,'Project types'!$Q72,'Prepare Gantt Chart'!AH71=0,0)</f>
        <v>0</v>
      </c>
      <c r="V82" s="83">
        <f>_xlfn.IFS('Prepare Gantt Chart'!AI71=12,'Project types'!$O72,'Prepare Gantt Chart'!AI71=11,'Project types'!$Q72,'Prepare Gantt Chart'!AI71=0,0)</f>
        <v>0</v>
      </c>
      <c r="W82" s="83">
        <f>_xlfn.IFS('Prepare Gantt Chart'!AJ71=12,'Project types'!$O72,'Prepare Gantt Chart'!AJ71=11,'Project types'!$Q72,'Prepare Gantt Chart'!AJ71=0,0)</f>
        <v>0</v>
      </c>
      <c r="X82" s="83">
        <f>_xlfn.IFS('Prepare Gantt Chart'!AK71=12,'Project types'!$O72,'Prepare Gantt Chart'!AK71=11,'Project types'!$Q72,'Prepare Gantt Chart'!AK71=0,0)</f>
        <v>0</v>
      </c>
      <c r="Y82" s="83">
        <f>_xlfn.IFS('Prepare Gantt Chart'!AL71=12,'Project types'!$O72,'Prepare Gantt Chart'!AL71=11,'Project types'!$Q72,'Prepare Gantt Chart'!AL71=0,0)</f>
        <v>0</v>
      </c>
      <c r="Z82" s="83">
        <f>_xlfn.IFS('Prepare Gantt Chart'!AM71=12,'Project types'!$O72,'Prepare Gantt Chart'!AM71=11,'Project types'!$Q72,'Prepare Gantt Chart'!AM71=0,0)</f>
        <v>0</v>
      </c>
      <c r="AA82" s="83">
        <f>_xlfn.IFS('Prepare Gantt Chart'!AN71=12,'Project types'!$O72,'Prepare Gantt Chart'!AN71=11,'Project types'!$Q72,'Prepare Gantt Chart'!AN71=0,0)</f>
        <v>0</v>
      </c>
      <c r="AB82" s="83">
        <f>_xlfn.IFS('Prepare Gantt Chart'!AO71=12,'Project types'!$O72,'Prepare Gantt Chart'!AO71=11,'Project types'!$Q72,'Prepare Gantt Chart'!AO71=0,0)</f>
        <v>0</v>
      </c>
      <c r="AC82" s="93">
        <f t="shared" si="2"/>
        <v>0</v>
      </c>
      <c r="AD82" s="86">
        <f>_xlfn.IFS('Prepare Gantt Chart'!P71=12,'Project types'!$L72,'Prepare Gantt Chart'!P71=11,'Project types'!$L72,'Prepare Gantt Chart'!P71=0,0)</f>
        <v>0</v>
      </c>
      <c r="AE82" s="83">
        <f>_xlfn.IFS('Prepare Gantt Chart'!Q71=12,'Project types'!$L72,'Prepare Gantt Chart'!Q71=11,'Project types'!$L72,'Prepare Gantt Chart'!Q71=0,0)</f>
        <v>0</v>
      </c>
      <c r="AF82" s="83">
        <f>_xlfn.IFS('Prepare Gantt Chart'!R71=12,'Project types'!$L72,'Prepare Gantt Chart'!R71=11,'Project types'!$L72,'Prepare Gantt Chart'!R71=0,0)</f>
        <v>0</v>
      </c>
      <c r="AG82" s="83">
        <f>_xlfn.IFS('Prepare Gantt Chart'!S71=12,'Project types'!$L72,'Prepare Gantt Chart'!S71=11,'Project types'!$L72,'Prepare Gantt Chart'!S71=0,0)</f>
        <v>0</v>
      </c>
      <c r="AH82" s="83">
        <f>_xlfn.IFS('Prepare Gantt Chart'!T71=12,'Project types'!$L72,'Prepare Gantt Chart'!T71=11,'Project types'!$L72,'Prepare Gantt Chart'!T71=0,0)</f>
        <v>0</v>
      </c>
      <c r="AI82" s="83">
        <f>_xlfn.IFS('Prepare Gantt Chart'!U71=12,'Project types'!$L72,'Prepare Gantt Chart'!U71=11,'Project types'!$L72,'Prepare Gantt Chart'!U71=0,0)</f>
        <v>0</v>
      </c>
      <c r="AJ82" s="83">
        <f>_xlfn.IFS('Prepare Gantt Chart'!V71=12,'Project types'!$L72,'Prepare Gantt Chart'!V71=11,'Project types'!$L72,'Prepare Gantt Chart'!V71=0,0)</f>
        <v>0</v>
      </c>
      <c r="AK82" s="83">
        <f>_xlfn.IFS('Prepare Gantt Chart'!W71=12,'Project types'!$L72,'Prepare Gantt Chart'!W71=11,'Project types'!$L72,'Prepare Gantt Chart'!W71=0,0)</f>
        <v>0</v>
      </c>
      <c r="AL82" s="83">
        <f>_xlfn.IFS('Prepare Gantt Chart'!X71=12,'Project types'!$L72,'Prepare Gantt Chart'!X71=11,'Project types'!$L72,'Prepare Gantt Chart'!X71=0,0)</f>
        <v>0</v>
      </c>
      <c r="AM82" s="83">
        <f>_xlfn.IFS('Prepare Gantt Chart'!Y71=12,'Project types'!$L72,'Prepare Gantt Chart'!Y71=11,'Project types'!$L72,'Prepare Gantt Chart'!Y71=0,0)</f>
        <v>0</v>
      </c>
      <c r="AN82" s="83">
        <f>_xlfn.IFS('Prepare Gantt Chart'!Z71=12,'Project types'!$L72,'Prepare Gantt Chart'!Z71=11,'Project types'!$L72,'Prepare Gantt Chart'!Z71=0,0)</f>
        <v>0</v>
      </c>
      <c r="AO82" s="83">
        <f>_xlfn.IFS('Prepare Gantt Chart'!AA71=12,'Project types'!$L72,'Prepare Gantt Chart'!AA71=11,'Project types'!$L72,'Prepare Gantt Chart'!AA71=0,0)</f>
        <v>0</v>
      </c>
      <c r="AP82" s="83">
        <f>_xlfn.IFS('Prepare Gantt Chart'!AB71=12,'Project types'!$L72,'Prepare Gantt Chart'!AB71=11,'Project types'!$L72,'Prepare Gantt Chart'!AB71=0,0)</f>
        <v>0</v>
      </c>
      <c r="AQ82" s="83">
        <f>_xlfn.IFS('Prepare Gantt Chart'!AC71=12,'Project types'!$L72,'Prepare Gantt Chart'!AC71=11,'Project types'!$L72,'Prepare Gantt Chart'!AC71=0,0)</f>
        <v>0</v>
      </c>
      <c r="AR82" s="83">
        <f>_xlfn.IFS('Prepare Gantt Chart'!AD71=12,'Project types'!$L72,'Prepare Gantt Chart'!AD71=11,'Project types'!$L72,'Prepare Gantt Chart'!AD71=0,0)</f>
        <v>0</v>
      </c>
      <c r="AS82" s="83">
        <f>_xlfn.IFS('Prepare Gantt Chart'!AE71=12,'Project types'!$L72,'Prepare Gantt Chart'!AE71=11,'Project types'!$L72,'Prepare Gantt Chart'!AE71=0,0)</f>
        <v>0</v>
      </c>
      <c r="AT82" s="83">
        <f>_xlfn.IFS('Prepare Gantt Chart'!AF71=12,'Project types'!$L72,'Prepare Gantt Chart'!AF71=11,'Project types'!$L72,'Prepare Gantt Chart'!AF71=0,0)</f>
        <v>0</v>
      </c>
      <c r="AU82" s="83">
        <f>_xlfn.IFS('Prepare Gantt Chart'!AG71=12,'Project types'!$L72,'Prepare Gantt Chart'!AG71=11,'Project types'!$L72,'Prepare Gantt Chart'!AG71=0,0)</f>
        <v>0</v>
      </c>
      <c r="AV82" s="83">
        <f>_xlfn.IFS('Prepare Gantt Chart'!AH71=12,'Project types'!$L72,'Prepare Gantt Chart'!AH71=11,'Project types'!$L72,'Prepare Gantt Chart'!AH71=0,0)</f>
        <v>0</v>
      </c>
      <c r="AW82" s="83">
        <f>_xlfn.IFS('Prepare Gantt Chart'!AI71=12,'Project types'!$L72,'Prepare Gantt Chart'!AI71=11,'Project types'!$L72,'Prepare Gantt Chart'!AI71=0,0)</f>
        <v>0</v>
      </c>
      <c r="AX82" s="83">
        <f>_xlfn.IFS('Prepare Gantt Chart'!AJ71=12,'Project types'!$L72,'Prepare Gantt Chart'!AJ71=11,'Project types'!$L72,'Prepare Gantt Chart'!AJ71=0,0)</f>
        <v>0</v>
      </c>
      <c r="AY82" s="83">
        <f>_xlfn.IFS('Prepare Gantt Chart'!AK71=12,'Project types'!$L72,'Prepare Gantt Chart'!AK71=11,'Project types'!$L72,'Prepare Gantt Chart'!AK71=0,0)</f>
        <v>0</v>
      </c>
      <c r="AZ82" s="83">
        <f>_xlfn.IFS('Prepare Gantt Chart'!AL71=12,'Project types'!$L72,'Prepare Gantt Chart'!AL71=11,'Project types'!$L72,'Prepare Gantt Chart'!AL71=0,0)</f>
        <v>0</v>
      </c>
      <c r="BA82" s="83">
        <f>_xlfn.IFS('Prepare Gantt Chart'!AM71=12,'Project types'!$L72,'Prepare Gantt Chart'!AM71=11,'Project types'!$L72,'Prepare Gantt Chart'!AM71=0,0)</f>
        <v>0</v>
      </c>
      <c r="BB82" s="83">
        <f>_xlfn.IFS('Prepare Gantt Chart'!AN71=12,'Project types'!$L72,'Prepare Gantt Chart'!AN71=11,'Project types'!$L72,'Prepare Gantt Chart'!AN71=0,0)</f>
        <v>0</v>
      </c>
      <c r="BC82" s="83">
        <f>_xlfn.IFS('Prepare Gantt Chart'!AO71=12,'Project types'!$L72,'Prepare Gantt Chart'!AO71=11,'Project types'!$L72,'Prepare Gantt Chart'!AO71=0,0)</f>
        <v>0</v>
      </c>
      <c r="BD82" s="91">
        <f t="shared" si="3"/>
        <v>0</v>
      </c>
      <c r="CI82" s="85"/>
    </row>
    <row r="83" spans="1:87" x14ac:dyDescent="0.2">
      <c r="A83" s="1" t="s">
        <v>411</v>
      </c>
      <c r="B83" s="33" t="s">
        <v>65</v>
      </c>
      <c r="C83" s="83">
        <f>_xlfn.IFS('Prepare Gantt Chart'!P72=12,'Project types'!$O73,'Prepare Gantt Chart'!P72=11,'Project types'!$Q73,'Prepare Gantt Chart'!P72=0,0)</f>
        <v>0</v>
      </c>
      <c r="D83" s="83">
        <f>_xlfn.IFS('Prepare Gantt Chart'!Q72=12,'Project types'!$O73,'Prepare Gantt Chart'!Q72=11,'Project types'!$Q73,'Prepare Gantt Chart'!Q72=0,0)</f>
        <v>0</v>
      </c>
      <c r="E83" s="83">
        <f>_xlfn.IFS('Prepare Gantt Chart'!R72=12,'Project types'!$O73,'Prepare Gantt Chart'!R72=11,'Project types'!$Q73,'Prepare Gantt Chart'!R72=0,0)</f>
        <v>0</v>
      </c>
      <c r="F83" s="83">
        <f>_xlfn.IFS('Prepare Gantt Chart'!S72=12,'Project types'!$O73,'Prepare Gantt Chart'!S72=11,'Project types'!$Q73,'Prepare Gantt Chart'!S72=0,0)</f>
        <v>0</v>
      </c>
      <c r="G83" s="83">
        <f>_xlfn.IFS('Prepare Gantt Chart'!T72=12,'Project types'!$O73,'Prepare Gantt Chart'!T72=11,'Project types'!$Q73,'Prepare Gantt Chart'!T72=0,0)</f>
        <v>0</v>
      </c>
      <c r="H83" s="83">
        <f>_xlfn.IFS('Prepare Gantt Chart'!U72=12,'Project types'!$O73,'Prepare Gantt Chart'!U72=11,'Project types'!$Q73,'Prepare Gantt Chart'!U72=0,0)</f>
        <v>0</v>
      </c>
      <c r="I83" s="83">
        <f>_xlfn.IFS('Prepare Gantt Chart'!V72=12,'Project types'!$O73,'Prepare Gantt Chart'!V72=11,'Project types'!$Q73,'Prepare Gantt Chart'!V72=0,0)</f>
        <v>0</v>
      </c>
      <c r="J83" s="83">
        <f>_xlfn.IFS('Prepare Gantt Chart'!W72=12,'Project types'!$O73,'Prepare Gantt Chart'!W72=11,'Project types'!$Q73,'Prepare Gantt Chart'!W72=0,0)</f>
        <v>0</v>
      </c>
      <c r="K83" s="83">
        <f>_xlfn.IFS('Prepare Gantt Chart'!X72=12,'Project types'!$O73,'Prepare Gantt Chart'!X72=11,'Project types'!$Q73,'Prepare Gantt Chart'!X72=0,0)</f>
        <v>0</v>
      </c>
      <c r="L83" s="83">
        <f>_xlfn.IFS('Prepare Gantt Chart'!Y72=12,'Project types'!$O73,'Prepare Gantt Chart'!Y72=11,'Project types'!$Q73,'Prepare Gantt Chart'!Y72=0,0)</f>
        <v>0</v>
      </c>
      <c r="M83" s="83">
        <f>_xlfn.IFS('Prepare Gantt Chart'!Z72=12,'Project types'!$O73,'Prepare Gantt Chart'!Z72=11,'Project types'!$Q73,'Prepare Gantt Chart'!Z72=0,0)</f>
        <v>0</v>
      </c>
      <c r="N83" s="83">
        <f>_xlfn.IFS('Prepare Gantt Chart'!AA72=12,'Project types'!$O73,'Prepare Gantt Chart'!AA72=11,'Project types'!$Q73,'Prepare Gantt Chart'!AA72=0,0)</f>
        <v>0</v>
      </c>
      <c r="O83" s="83">
        <f>_xlfn.IFS('Prepare Gantt Chart'!AB72=12,'Project types'!$O73,'Prepare Gantt Chart'!AB72=11,'Project types'!$Q73,'Prepare Gantt Chart'!AB72=0,0)</f>
        <v>0</v>
      </c>
      <c r="P83" s="83">
        <f>_xlfn.IFS('Prepare Gantt Chart'!AC72=12,'Project types'!$O73,'Prepare Gantt Chart'!AC72=11,'Project types'!$Q73,'Prepare Gantt Chart'!AC72=0,0)</f>
        <v>0</v>
      </c>
      <c r="Q83" s="83">
        <f>_xlfn.IFS('Prepare Gantt Chart'!AD72=12,'Project types'!$O73,'Prepare Gantt Chart'!AD72=11,'Project types'!$Q73,'Prepare Gantt Chart'!AD72=0,0)</f>
        <v>0</v>
      </c>
      <c r="R83" s="83">
        <f>_xlfn.IFS('Prepare Gantt Chart'!AE72=12,'Project types'!$O73,'Prepare Gantt Chart'!AE72=11,'Project types'!$Q73,'Prepare Gantt Chart'!AE72=0,0)</f>
        <v>0</v>
      </c>
      <c r="S83" s="83">
        <f>_xlfn.IFS('Prepare Gantt Chart'!AF72=12,'Project types'!$O73,'Prepare Gantt Chart'!AF72=11,'Project types'!$Q73,'Prepare Gantt Chart'!AF72=0,0)</f>
        <v>0</v>
      </c>
      <c r="T83" s="83">
        <f>_xlfn.IFS('Prepare Gantt Chart'!AG72=12,'Project types'!$O73,'Prepare Gantt Chart'!AG72=11,'Project types'!$Q73,'Prepare Gantt Chart'!AG72=0,0)</f>
        <v>0</v>
      </c>
      <c r="U83" s="83">
        <f>_xlfn.IFS('Prepare Gantt Chart'!AH72=12,'Project types'!$O73,'Prepare Gantt Chart'!AH72=11,'Project types'!$Q73,'Prepare Gantt Chart'!AH72=0,0)</f>
        <v>0</v>
      </c>
      <c r="V83" s="83">
        <f>_xlfn.IFS('Prepare Gantt Chart'!AI72=12,'Project types'!$O73,'Prepare Gantt Chart'!AI72=11,'Project types'!$Q73,'Prepare Gantt Chart'!AI72=0,0)</f>
        <v>0</v>
      </c>
      <c r="W83" s="83">
        <f>_xlfn.IFS('Prepare Gantt Chart'!AJ72=12,'Project types'!$O73,'Prepare Gantt Chart'!AJ72=11,'Project types'!$Q73,'Prepare Gantt Chart'!AJ72=0,0)</f>
        <v>0</v>
      </c>
      <c r="X83" s="83">
        <f>_xlfn.IFS('Prepare Gantt Chart'!AK72=12,'Project types'!$O73,'Prepare Gantt Chart'!AK72=11,'Project types'!$Q73,'Prepare Gantt Chart'!AK72=0,0)</f>
        <v>0</v>
      </c>
      <c r="Y83" s="83">
        <f>_xlfn.IFS('Prepare Gantt Chart'!AL72=12,'Project types'!$O73,'Prepare Gantt Chart'!AL72=11,'Project types'!$Q73,'Prepare Gantt Chart'!AL72=0,0)</f>
        <v>0</v>
      </c>
      <c r="Z83" s="83">
        <f>_xlfn.IFS('Prepare Gantt Chart'!AM72=12,'Project types'!$O73,'Prepare Gantt Chart'!AM72=11,'Project types'!$Q73,'Prepare Gantt Chart'!AM72=0,0)</f>
        <v>0</v>
      </c>
      <c r="AA83" s="83">
        <f>_xlfn.IFS('Prepare Gantt Chart'!AN72=12,'Project types'!$O73,'Prepare Gantt Chart'!AN72=11,'Project types'!$Q73,'Prepare Gantt Chart'!AN72=0,0)</f>
        <v>0</v>
      </c>
      <c r="AB83" s="83">
        <f>_xlfn.IFS('Prepare Gantt Chart'!AO72=12,'Project types'!$O73,'Prepare Gantt Chart'!AO72=11,'Project types'!$Q73,'Prepare Gantt Chart'!AO72=0,0)</f>
        <v>0</v>
      </c>
      <c r="AC83" s="93">
        <f t="shared" si="2"/>
        <v>0</v>
      </c>
      <c r="AD83" s="86">
        <f>_xlfn.IFS('Prepare Gantt Chart'!P72=12,'Project types'!$L73,'Prepare Gantt Chart'!P72=11,'Project types'!$L73,'Prepare Gantt Chart'!P72=0,0)</f>
        <v>0</v>
      </c>
      <c r="AE83" s="83">
        <f>_xlfn.IFS('Prepare Gantt Chart'!Q72=12,'Project types'!$L73,'Prepare Gantt Chart'!Q72=11,'Project types'!$L73,'Prepare Gantt Chart'!Q72=0,0)</f>
        <v>0</v>
      </c>
      <c r="AF83" s="83">
        <f>_xlfn.IFS('Prepare Gantt Chart'!R72=12,'Project types'!$L73,'Prepare Gantt Chart'!R72=11,'Project types'!$L73,'Prepare Gantt Chart'!R72=0,0)</f>
        <v>0</v>
      </c>
      <c r="AG83" s="83">
        <f>_xlfn.IFS('Prepare Gantt Chart'!S72=12,'Project types'!$L73,'Prepare Gantt Chart'!S72=11,'Project types'!$L73,'Prepare Gantt Chart'!S72=0,0)</f>
        <v>0</v>
      </c>
      <c r="AH83" s="83">
        <f>_xlfn.IFS('Prepare Gantt Chart'!T72=12,'Project types'!$L73,'Prepare Gantt Chart'!T72=11,'Project types'!$L73,'Prepare Gantt Chart'!T72=0,0)</f>
        <v>0</v>
      </c>
      <c r="AI83" s="83">
        <f>_xlfn.IFS('Prepare Gantt Chart'!U72=12,'Project types'!$L73,'Prepare Gantt Chart'!U72=11,'Project types'!$L73,'Prepare Gantt Chart'!U72=0,0)</f>
        <v>0</v>
      </c>
      <c r="AJ83" s="83">
        <f>_xlfn.IFS('Prepare Gantt Chart'!V72=12,'Project types'!$L73,'Prepare Gantt Chart'!V72=11,'Project types'!$L73,'Prepare Gantt Chart'!V72=0,0)</f>
        <v>0</v>
      </c>
      <c r="AK83" s="83">
        <f>_xlfn.IFS('Prepare Gantt Chart'!W72=12,'Project types'!$L73,'Prepare Gantt Chart'!W72=11,'Project types'!$L73,'Prepare Gantt Chart'!W72=0,0)</f>
        <v>0</v>
      </c>
      <c r="AL83" s="83">
        <f>_xlfn.IFS('Prepare Gantt Chart'!X72=12,'Project types'!$L73,'Prepare Gantt Chart'!X72=11,'Project types'!$L73,'Prepare Gantt Chart'!X72=0,0)</f>
        <v>0</v>
      </c>
      <c r="AM83" s="83">
        <f>_xlfn.IFS('Prepare Gantt Chart'!Y72=12,'Project types'!$L73,'Prepare Gantt Chart'!Y72=11,'Project types'!$L73,'Prepare Gantt Chart'!Y72=0,0)</f>
        <v>0</v>
      </c>
      <c r="AN83" s="83">
        <f>_xlfn.IFS('Prepare Gantt Chart'!Z72=12,'Project types'!$L73,'Prepare Gantt Chart'!Z72=11,'Project types'!$L73,'Prepare Gantt Chart'!Z72=0,0)</f>
        <v>0</v>
      </c>
      <c r="AO83" s="83">
        <f>_xlfn.IFS('Prepare Gantt Chart'!AA72=12,'Project types'!$L73,'Prepare Gantt Chart'!AA72=11,'Project types'!$L73,'Prepare Gantt Chart'!AA72=0,0)</f>
        <v>0</v>
      </c>
      <c r="AP83" s="83">
        <f>_xlfn.IFS('Prepare Gantt Chart'!AB72=12,'Project types'!$L73,'Prepare Gantt Chart'!AB72=11,'Project types'!$L73,'Prepare Gantt Chart'!AB72=0,0)</f>
        <v>0</v>
      </c>
      <c r="AQ83" s="83">
        <f>_xlfn.IFS('Prepare Gantt Chart'!AC72=12,'Project types'!$L73,'Prepare Gantt Chart'!AC72=11,'Project types'!$L73,'Prepare Gantt Chart'!AC72=0,0)</f>
        <v>0</v>
      </c>
      <c r="AR83" s="83">
        <f>_xlfn.IFS('Prepare Gantt Chart'!AD72=12,'Project types'!$L73,'Prepare Gantt Chart'!AD72=11,'Project types'!$L73,'Prepare Gantt Chart'!AD72=0,0)</f>
        <v>0</v>
      </c>
      <c r="AS83" s="83">
        <f>_xlfn.IFS('Prepare Gantt Chart'!AE72=12,'Project types'!$L73,'Prepare Gantt Chart'!AE72=11,'Project types'!$L73,'Prepare Gantt Chart'!AE72=0,0)</f>
        <v>0</v>
      </c>
      <c r="AT83" s="83">
        <f>_xlfn.IFS('Prepare Gantt Chart'!AF72=12,'Project types'!$L73,'Prepare Gantt Chart'!AF72=11,'Project types'!$L73,'Prepare Gantt Chart'!AF72=0,0)</f>
        <v>0</v>
      </c>
      <c r="AU83" s="83">
        <f>_xlfn.IFS('Prepare Gantt Chart'!AG72=12,'Project types'!$L73,'Prepare Gantt Chart'!AG72=11,'Project types'!$L73,'Prepare Gantt Chart'!AG72=0,0)</f>
        <v>0</v>
      </c>
      <c r="AV83" s="83">
        <f>_xlfn.IFS('Prepare Gantt Chart'!AH72=12,'Project types'!$L73,'Prepare Gantt Chart'!AH72=11,'Project types'!$L73,'Prepare Gantt Chart'!AH72=0,0)</f>
        <v>0</v>
      </c>
      <c r="AW83" s="83">
        <f>_xlfn.IFS('Prepare Gantt Chart'!AI72=12,'Project types'!$L73,'Prepare Gantt Chart'!AI72=11,'Project types'!$L73,'Prepare Gantt Chart'!AI72=0,0)</f>
        <v>0</v>
      </c>
      <c r="AX83" s="83">
        <f>_xlfn.IFS('Prepare Gantt Chart'!AJ72=12,'Project types'!$L73,'Prepare Gantt Chart'!AJ72=11,'Project types'!$L73,'Prepare Gantt Chart'!AJ72=0,0)</f>
        <v>0</v>
      </c>
      <c r="AY83" s="83">
        <f>_xlfn.IFS('Prepare Gantt Chart'!AK72=12,'Project types'!$L73,'Prepare Gantt Chart'!AK72=11,'Project types'!$L73,'Prepare Gantt Chart'!AK72=0,0)</f>
        <v>0</v>
      </c>
      <c r="AZ83" s="83">
        <f>_xlfn.IFS('Prepare Gantt Chart'!AL72=12,'Project types'!$L73,'Prepare Gantt Chart'!AL72=11,'Project types'!$L73,'Prepare Gantt Chart'!AL72=0,0)</f>
        <v>0</v>
      </c>
      <c r="BA83" s="83">
        <f>_xlfn.IFS('Prepare Gantt Chart'!AM72=12,'Project types'!$L73,'Prepare Gantt Chart'!AM72=11,'Project types'!$L73,'Prepare Gantt Chart'!AM72=0,0)</f>
        <v>0</v>
      </c>
      <c r="BB83" s="83">
        <f>_xlfn.IFS('Prepare Gantt Chart'!AN72=12,'Project types'!$L73,'Prepare Gantt Chart'!AN72=11,'Project types'!$L73,'Prepare Gantt Chart'!AN72=0,0)</f>
        <v>0</v>
      </c>
      <c r="BC83" s="83">
        <f>_xlfn.IFS('Prepare Gantt Chart'!AO72=12,'Project types'!$L73,'Prepare Gantt Chart'!AO72=11,'Project types'!$L73,'Prepare Gantt Chart'!AO72=0,0)</f>
        <v>0</v>
      </c>
      <c r="BD83" s="91">
        <f t="shared" si="3"/>
        <v>0</v>
      </c>
      <c r="CI83" s="85"/>
    </row>
    <row r="84" spans="1:87" x14ac:dyDescent="0.2">
      <c r="A84" s="1" t="s">
        <v>149</v>
      </c>
      <c r="B84" s="33" t="s">
        <v>66</v>
      </c>
      <c r="C84" s="83">
        <f>_xlfn.IFS('Prepare Gantt Chart'!P73=12,'Project types'!$O74,'Prepare Gantt Chart'!P73=11,'Project types'!$Q74,'Prepare Gantt Chart'!P73=0,0)</f>
        <v>0</v>
      </c>
      <c r="D84" s="83">
        <f>_xlfn.IFS('Prepare Gantt Chart'!Q73=12,'Project types'!$O74,'Prepare Gantt Chart'!Q73=11,'Project types'!$Q74,'Prepare Gantt Chart'!Q73=0,0)</f>
        <v>0</v>
      </c>
      <c r="E84" s="83">
        <f>_xlfn.IFS('Prepare Gantt Chart'!R73=12,'Project types'!$O74,'Prepare Gantt Chart'!R73=11,'Project types'!$Q74,'Prepare Gantt Chart'!R73=0,0)</f>
        <v>0</v>
      </c>
      <c r="F84" s="83">
        <f>_xlfn.IFS('Prepare Gantt Chart'!S73=12,'Project types'!$O74,'Prepare Gantt Chart'!S73=11,'Project types'!$Q74,'Prepare Gantt Chart'!S73=0,0)</f>
        <v>0</v>
      </c>
      <c r="G84" s="83">
        <f>_xlfn.IFS('Prepare Gantt Chart'!T73=12,'Project types'!$O74,'Prepare Gantt Chart'!T73=11,'Project types'!$Q74,'Prepare Gantt Chart'!T73=0,0)</f>
        <v>0</v>
      </c>
      <c r="H84" s="83">
        <f>_xlfn.IFS('Prepare Gantt Chart'!U73=12,'Project types'!$O74,'Prepare Gantt Chart'!U73=11,'Project types'!$Q74,'Prepare Gantt Chart'!U73=0,0)</f>
        <v>0</v>
      </c>
      <c r="I84" s="83">
        <f>_xlfn.IFS('Prepare Gantt Chart'!V73=12,'Project types'!$O74,'Prepare Gantt Chart'!V73=11,'Project types'!$Q74,'Prepare Gantt Chart'!V73=0,0)</f>
        <v>0</v>
      </c>
      <c r="J84" s="83">
        <f>_xlfn.IFS('Prepare Gantt Chart'!W73=12,'Project types'!$O74,'Prepare Gantt Chart'!W73=11,'Project types'!$Q74,'Prepare Gantt Chart'!W73=0,0)</f>
        <v>0</v>
      </c>
      <c r="K84" s="83">
        <f>_xlfn.IFS('Prepare Gantt Chart'!X73=12,'Project types'!$O74,'Prepare Gantt Chart'!X73=11,'Project types'!$Q74,'Prepare Gantt Chart'!X73=0,0)</f>
        <v>0</v>
      </c>
      <c r="L84" s="83">
        <f>_xlfn.IFS('Prepare Gantt Chart'!Y73=12,'Project types'!$O74,'Prepare Gantt Chart'!Y73=11,'Project types'!$Q74,'Prepare Gantt Chart'!Y73=0,0)</f>
        <v>0</v>
      </c>
      <c r="M84" s="83">
        <f>_xlfn.IFS('Prepare Gantt Chart'!Z73=12,'Project types'!$O74,'Prepare Gantt Chart'!Z73=11,'Project types'!$Q74,'Prepare Gantt Chart'!Z73=0,0)</f>
        <v>0</v>
      </c>
      <c r="N84" s="83">
        <f>_xlfn.IFS('Prepare Gantt Chart'!AA73=12,'Project types'!$O74,'Prepare Gantt Chart'!AA73=11,'Project types'!$Q74,'Prepare Gantt Chart'!AA73=0,0)</f>
        <v>0</v>
      </c>
      <c r="O84" s="83">
        <f>_xlfn.IFS('Prepare Gantt Chart'!AB73=12,'Project types'!$O74,'Prepare Gantt Chart'!AB73=11,'Project types'!$Q74,'Prepare Gantt Chart'!AB73=0,0)</f>
        <v>0</v>
      </c>
      <c r="P84" s="83">
        <f>_xlfn.IFS('Prepare Gantt Chart'!AC73=12,'Project types'!$O74,'Prepare Gantt Chart'!AC73=11,'Project types'!$Q74,'Prepare Gantt Chart'!AC73=0,0)</f>
        <v>0</v>
      </c>
      <c r="Q84" s="83">
        <f>_xlfn.IFS('Prepare Gantt Chart'!AD73=12,'Project types'!$O74,'Prepare Gantt Chart'!AD73=11,'Project types'!$Q74,'Prepare Gantt Chart'!AD73=0,0)</f>
        <v>0</v>
      </c>
      <c r="R84" s="83">
        <f>_xlfn.IFS('Prepare Gantt Chart'!AE73=12,'Project types'!$O74,'Prepare Gantt Chart'!AE73=11,'Project types'!$Q74,'Prepare Gantt Chart'!AE73=0,0)</f>
        <v>0</v>
      </c>
      <c r="S84" s="83">
        <f>_xlfn.IFS('Prepare Gantt Chart'!AF73=12,'Project types'!$O74,'Prepare Gantt Chart'!AF73=11,'Project types'!$Q74,'Prepare Gantt Chart'!AF73=0,0)</f>
        <v>0</v>
      </c>
      <c r="T84" s="83">
        <f>_xlfn.IFS('Prepare Gantt Chart'!AG73=12,'Project types'!$O74,'Prepare Gantt Chart'!AG73=11,'Project types'!$Q74,'Prepare Gantt Chart'!AG73=0,0)</f>
        <v>0</v>
      </c>
      <c r="U84" s="83">
        <f>_xlfn.IFS('Prepare Gantt Chart'!AH73=12,'Project types'!$O74,'Prepare Gantt Chart'!AH73=11,'Project types'!$Q74,'Prepare Gantt Chart'!AH73=0,0)</f>
        <v>0</v>
      </c>
      <c r="V84" s="83">
        <f>_xlfn.IFS('Prepare Gantt Chart'!AI73=12,'Project types'!$O74,'Prepare Gantt Chart'!AI73=11,'Project types'!$Q74,'Prepare Gantt Chart'!AI73=0,0)</f>
        <v>0</v>
      </c>
      <c r="W84" s="83">
        <f>_xlfn.IFS('Prepare Gantt Chart'!AJ73=12,'Project types'!$O74,'Prepare Gantt Chart'!AJ73=11,'Project types'!$Q74,'Prepare Gantt Chart'!AJ73=0,0)</f>
        <v>0</v>
      </c>
      <c r="X84" s="83">
        <f>_xlfn.IFS('Prepare Gantt Chart'!AK73=12,'Project types'!$O74,'Prepare Gantt Chart'!AK73=11,'Project types'!$Q74,'Prepare Gantt Chart'!AK73=0,0)</f>
        <v>0</v>
      </c>
      <c r="Y84" s="83">
        <f>_xlfn.IFS('Prepare Gantt Chart'!AL73=12,'Project types'!$O74,'Prepare Gantt Chart'!AL73=11,'Project types'!$Q74,'Prepare Gantt Chart'!AL73=0,0)</f>
        <v>0</v>
      </c>
      <c r="Z84" s="83">
        <f>_xlfn.IFS('Prepare Gantt Chart'!AM73=12,'Project types'!$O74,'Prepare Gantt Chart'!AM73=11,'Project types'!$Q74,'Prepare Gantt Chart'!AM73=0,0)</f>
        <v>0</v>
      </c>
      <c r="AA84" s="83">
        <f>_xlfn.IFS('Prepare Gantt Chart'!AN73=12,'Project types'!$O74,'Prepare Gantt Chart'!AN73=11,'Project types'!$Q74,'Prepare Gantt Chart'!AN73=0,0)</f>
        <v>0</v>
      </c>
      <c r="AB84" s="83">
        <f>_xlfn.IFS('Prepare Gantt Chart'!AO73=12,'Project types'!$O74,'Prepare Gantt Chart'!AO73=11,'Project types'!$Q74,'Prepare Gantt Chart'!AO73=0,0)</f>
        <v>0</v>
      </c>
      <c r="AC84" s="93">
        <f t="shared" si="2"/>
        <v>0</v>
      </c>
      <c r="AD84" s="86">
        <f>_xlfn.IFS('Prepare Gantt Chart'!P73=12,'Project types'!$L74,'Prepare Gantt Chart'!P73=11,'Project types'!$L74,'Prepare Gantt Chart'!P73=0,0)</f>
        <v>0</v>
      </c>
      <c r="AE84" s="83">
        <f>_xlfn.IFS('Prepare Gantt Chart'!Q73=12,'Project types'!$L74,'Prepare Gantt Chart'!Q73=11,'Project types'!$L74,'Prepare Gantt Chart'!Q73=0,0)</f>
        <v>0</v>
      </c>
      <c r="AF84" s="83">
        <f>_xlfn.IFS('Prepare Gantt Chart'!R73=12,'Project types'!$L74,'Prepare Gantt Chart'!R73=11,'Project types'!$L74,'Prepare Gantt Chart'!R73=0,0)</f>
        <v>0</v>
      </c>
      <c r="AG84" s="83">
        <f>_xlfn.IFS('Prepare Gantt Chart'!S73=12,'Project types'!$L74,'Prepare Gantt Chart'!S73=11,'Project types'!$L74,'Prepare Gantt Chart'!S73=0,0)</f>
        <v>0</v>
      </c>
      <c r="AH84" s="83">
        <f>_xlfn.IFS('Prepare Gantt Chart'!T73=12,'Project types'!$L74,'Prepare Gantt Chart'!T73=11,'Project types'!$L74,'Prepare Gantt Chart'!T73=0,0)</f>
        <v>0</v>
      </c>
      <c r="AI84" s="83">
        <f>_xlfn.IFS('Prepare Gantt Chart'!U73=12,'Project types'!$L74,'Prepare Gantt Chart'!U73=11,'Project types'!$L74,'Prepare Gantt Chart'!U73=0,0)</f>
        <v>0</v>
      </c>
      <c r="AJ84" s="83">
        <f>_xlfn.IFS('Prepare Gantt Chart'!V73=12,'Project types'!$L74,'Prepare Gantt Chart'!V73=11,'Project types'!$L74,'Prepare Gantt Chart'!V73=0,0)</f>
        <v>0</v>
      </c>
      <c r="AK84" s="83">
        <f>_xlfn.IFS('Prepare Gantt Chart'!W73=12,'Project types'!$L74,'Prepare Gantt Chart'!W73=11,'Project types'!$L74,'Prepare Gantt Chart'!W73=0,0)</f>
        <v>0</v>
      </c>
      <c r="AL84" s="83">
        <f>_xlfn.IFS('Prepare Gantt Chart'!X73=12,'Project types'!$L74,'Prepare Gantt Chart'!X73=11,'Project types'!$L74,'Prepare Gantt Chart'!X73=0,0)</f>
        <v>0</v>
      </c>
      <c r="AM84" s="83">
        <f>_xlfn.IFS('Prepare Gantt Chart'!Y73=12,'Project types'!$L74,'Prepare Gantt Chart'!Y73=11,'Project types'!$L74,'Prepare Gantt Chart'!Y73=0,0)</f>
        <v>0</v>
      </c>
      <c r="AN84" s="83">
        <f>_xlfn.IFS('Prepare Gantt Chart'!Z73=12,'Project types'!$L74,'Prepare Gantt Chart'!Z73=11,'Project types'!$L74,'Prepare Gantt Chart'!Z73=0,0)</f>
        <v>0</v>
      </c>
      <c r="AO84" s="83">
        <f>_xlfn.IFS('Prepare Gantt Chart'!AA73=12,'Project types'!$L74,'Prepare Gantt Chart'!AA73=11,'Project types'!$L74,'Prepare Gantt Chart'!AA73=0,0)</f>
        <v>0</v>
      </c>
      <c r="AP84" s="83">
        <f>_xlfn.IFS('Prepare Gantt Chart'!AB73=12,'Project types'!$L74,'Prepare Gantt Chart'!AB73=11,'Project types'!$L74,'Prepare Gantt Chart'!AB73=0,0)</f>
        <v>0</v>
      </c>
      <c r="AQ84" s="83">
        <f>_xlfn.IFS('Prepare Gantt Chart'!AC73=12,'Project types'!$L74,'Prepare Gantt Chart'!AC73=11,'Project types'!$L74,'Prepare Gantt Chart'!AC73=0,0)</f>
        <v>0</v>
      </c>
      <c r="AR84" s="83">
        <f>_xlfn.IFS('Prepare Gantt Chart'!AD73=12,'Project types'!$L74,'Prepare Gantt Chart'!AD73=11,'Project types'!$L74,'Prepare Gantt Chart'!AD73=0,0)</f>
        <v>0</v>
      </c>
      <c r="AS84" s="83">
        <f>_xlfn.IFS('Prepare Gantt Chart'!AE73=12,'Project types'!$L74,'Prepare Gantt Chart'!AE73=11,'Project types'!$L74,'Prepare Gantt Chart'!AE73=0,0)</f>
        <v>0</v>
      </c>
      <c r="AT84" s="83">
        <f>_xlfn.IFS('Prepare Gantt Chart'!AF73=12,'Project types'!$L74,'Prepare Gantt Chart'!AF73=11,'Project types'!$L74,'Prepare Gantt Chart'!AF73=0,0)</f>
        <v>0</v>
      </c>
      <c r="AU84" s="83">
        <f>_xlfn.IFS('Prepare Gantt Chart'!AG73=12,'Project types'!$L74,'Prepare Gantt Chart'!AG73=11,'Project types'!$L74,'Prepare Gantt Chart'!AG73=0,0)</f>
        <v>0</v>
      </c>
      <c r="AV84" s="83">
        <f>_xlfn.IFS('Prepare Gantt Chart'!AH73=12,'Project types'!$L74,'Prepare Gantt Chart'!AH73=11,'Project types'!$L74,'Prepare Gantt Chart'!AH73=0,0)</f>
        <v>0</v>
      </c>
      <c r="AW84" s="83">
        <f>_xlfn.IFS('Prepare Gantt Chart'!AI73=12,'Project types'!$L74,'Prepare Gantt Chart'!AI73=11,'Project types'!$L74,'Prepare Gantt Chart'!AI73=0,0)</f>
        <v>0</v>
      </c>
      <c r="AX84" s="83">
        <f>_xlfn.IFS('Prepare Gantt Chart'!AJ73=12,'Project types'!$L74,'Prepare Gantt Chart'!AJ73=11,'Project types'!$L74,'Prepare Gantt Chart'!AJ73=0,0)</f>
        <v>0</v>
      </c>
      <c r="AY84" s="83">
        <f>_xlfn.IFS('Prepare Gantt Chart'!AK73=12,'Project types'!$L74,'Prepare Gantt Chart'!AK73=11,'Project types'!$L74,'Prepare Gantt Chart'!AK73=0,0)</f>
        <v>0</v>
      </c>
      <c r="AZ84" s="83">
        <f>_xlfn.IFS('Prepare Gantt Chart'!AL73=12,'Project types'!$L74,'Prepare Gantt Chart'!AL73=11,'Project types'!$L74,'Prepare Gantt Chart'!AL73=0,0)</f>
        <v>0</v>
      </c>
      <c r="BA84" s="83">
        <f>_xlfn.IFS('Prepare Gantt Chart'!AM73=12,'Project types'!$L74,'Prepare Gantt Chart'!AM73=11,'Project types'!$L74,'Prepare Gantt Chart'!AM73=0,0)</f>
        <v>0</v>
      </c>
      <c r="BB84" s="83">
        <f>_xlfn.IFS('Prepare Gantt Chart'!AN73=12,'Project types'!$L74,'Prepare Gantt Chart'!AN73=11,'Project types'!$L74,'Prepare Gantt Chart'!AN73=0,0)</f>
        <v>0</v>
      </c>
      <c r="BC84" s="83">
        <f>_xlfn.IFS('Prepare Gantt Chart'!AO73=12,'Project types'!$L74,'Prepare Gantt Chart'!AO73=11,'Project types'!$L74,'Prepare Gantt Chart'!AO73=0,0)</f>
        <v>0</v>
      </c>
      <c r="BD84" s="91">
        <f t="shared" si="3"/>
        <v>0</v>
      </c>
      <c r="CI84" s="85"/>
    </row>
    <row r="85" spans="1:87" ht="16" thickBot="1" x14ac:dyDescent="0.25">
      <c r="A85" s="8" t="s">
        <v>118</v>
      </c>
      <c r="B85" s="34" t="s">
        <v>67</v>
      </c>
      <c r="C85" s="89">
        <f>_xlfn.IFS('Prepare Gantt Chart'!P74=12,'Project types'!$O75,'Prepare Gantt Chart'!P74=11,'Project types'!$Q75,'Prepare Gantt Chart'!P74=0,0)</f>
        <v>0</v>
      </c>
      <c r="D85" s="89">
        <f>_xlfn.IFS('Prepare Gantt Chart'!Q74=12,'Project types'!$O75,'Prepare Gantt Chart'!Q74=11,'Project types'!$Q75,'Prepare Gantt Chart'!Q74=0,0)</f>
        <v>0</v>
      </c>
      <c r="E85" s="89">
        <f>_xlfn.IFS('Prepare Gantt Chart'!R74=12,'Project types'!$O75,'Prepare Gantt Chart'!R74=11,'Project types'!$Q75,'Prepare Gantt Chart'!R74=0,0)</f>
        <v>0</v>
      </c>
      <c r="F85" s="89">
        <f>_xlfn.IFS('Prepare Gantt Chart'!S74=12,'Project types'!$O75,'Prepare Gantt Chart'!S74=11,'Project types'!$Q75,'Prepare Gantt Chart'!S74=0,0)</f>
        <v>0</v>
      </c>
      <c r="G85" s="89">
        <f>_xlfn.IFS('Prepare Gantt Chart'!T74=12,'Project types'!$O75,'Prepare Gantt Chart'!T74=11,'Project types'!$Q75,'Prepare Gantt Chart'!T74=0,0)</f>
        <v>0</v>
      </c>
      <c r="H85" s="89">
        <f>_xlfn.IFS('Prepare Gantt Chart'!U74=12,'Project types'!$O75,'Prepare Gantt Chart'!U74=11,'Project types'!$Q75,'Prepare Gantt Chart'!U74=0,0)</f>
        <v>0</v>
      </c>
      <c r="I85" s="89">
        <f>_xlfn.IFS('Prepare Gantt Chart'!V74=12,'Project types'!$O75,'Prepare Gantt Chart'!V74=11,'Project types'!$Q75,'Prepare Gantt Chart'!V74=0,0)</f>
        <v>0</v>
      </c>
      <c r="J85" s="89">
        <f>_xlfn.IFS('Prepare Gantt Chart'!W74=12,'Project types'!$O75,'Prepare Gantt Chart'!W74=11,'Project types'!$Q75,'Prepare Gantt Chart'!W74=0,0)</f>
        <v>0</v>
      </c>
      <c r="K85" s="89">
        <f>_xlfn.IFS('Prepare Gantt Chart'!X74=12,'Project types'!$O75,'Prepare Gantt Chart'!X74=11,'Project types'!$Q75,'Prepare Gantt Chart'!X74=0,0)</f>
        <v>0</v>
      </c>
      <c r="L85" s="89">
        <f>_xlfn.IFS('Prepare Gantt Chart'!Y74=12,'Project types'!$O75,'Prepare Gantt Chart'!Y74=11,'Project types'!$Q75,'Prepare Gantt Chart'!Y74=0,0)</f>
        <v>0</v>
      </c>
      <c r="M85" s="89">
        <f>_xlfn.IFS('Prepare Gantt Chart'!Z74=12,'Project types'!$O75,'Prepare Gantt Chart'!Z74=11,'Project types'!$Q75,'Prepare Gantt Chart'!Z74=0,0)</f>
        <v>0</v>
      </c>
      <c r="N85" s="89">
        <f>_xlfn.IFS('Prepare Gantt Chart'!AA74=12,'Project types'!$O75,'Prepare Gantt Chart'!AA74=11,'Project types'!$Q75,'Prepare Gantt Chart'!AA74=0,0)</f>
        <v>0</v>
      </c>
      <c r="O85" s="89">
        <f>_xlfn.IFS('Prepare Gantt Chart'!AB74=12,'Project types'!$O75,'Prepare Gantt Chart'!AB74=11,'Project types'!$Q75,'Prepare Gantt Chart'!AB74=0,0)</f>
        <v>0</v>
      </c>
      <c r="P85" s="89">
        <f>_xlfn.IFS('Prepare Gantt Chart'!AC74=12,'Project types'!$O75,'Prepare Gantt Chart'!AC74=11,'Project types'!$Q75,'Prepare Gantt Chart'!AC74=0,0)</f>
        <v>0</v>
      </c>
      <c r="Q85" s="89">
        <f>_xlfn.IFS('Prepare Gantt Chart'!AD74=12,'Project types'!$O75,'Prepare Gantt Chart'!AD74=11,'Project types'!$Q75,'Prepare Gantt Chart'!AD74=0,0)</f>
        <v>0</v>
      </c>
      <c r="R85" s="89">
        <f>_xlfn.IFS('Prepare Gantt Chart'!AE74=12,'Project types'!$O75,'Prepare Gantt Chart'!AE74=11,'Project types'!$Q75,'Prepare Gantt Chart'!AE74=0,0)</f>
        <v>0</v>
      </c>
      <c r="S85" s="89">
        <f>_xlfn.IFS('Prepare Gantt Chart'!AF74=12,'Project types'!$O75,'Prepare Gantt Chart'!AF74=11,'Project types'!$Q75,'Prepare Gantt Chart'!AF74=0,0)</f>
        <v>0</v>
      </c>
      <c r="T85" s="89">
        <f>_xlfn.IFS('Prepare Gantt Chart'!AG74=12,'Project types'!$O75,'Prepare Gantt Chart'!AG74=11,'Project types'!$Q75,'Prepare Gantt Chart'!AG74=0,0)</f>
        <v>0</v>
      </c>
      <c r="U85" s="89">
        <f>_xlfn.IFS('Prepare Gantt Chart'!AH74=12,'Project types'!$O75,'Prepare Gantt Chart'!AH74=11,'Project types'!$Q75,'Prepare Gantt Chart'!AH74=0,0)</f>
        <v>0</v>
      </c>
      <c r="V85" s="89">
        <f>_xlfn.IFS('Prepare Gantt Chart'!AI74=12,'Project types'!$O75,'Prepare Gantt Chart'!AI74=11,'Project types'!$Q75,'Prepare Gantt Chart'!AI74=0,0)</f>
        <v>0</v>
      </c>
      <c r="W85" s="89">
        <f>_xlfn.IFS('Prepare Gantt Chart'!AJ74=12,'Project types'!$O75,'Prepare Gantt Chart'!AJ74=11,'Project types'!$Q75,'Prepare Gantt Chart'!AJ74=0,0)</f>
        <v>0</v>
      </c>
      <c r="X85" s="89">
        <f>_xlfn.IFS('Prepare Gantt Chart'!AK74=12,'Project types'!$O75,'Prepare Gantt Chart'!AK74=11,'Project types'!$Q75,'Prepare Gantt Chart'!AK74=0,0)</f>
        <v>0</v>
      </c>
      <c r="Y85" s="89">
        <f>_xlfn.IFS('Prepare Gantt Chart'!AL74=12,'Project types'!$O75,'Prepare Gantt Chart'!AL74=11,'Project types'!$Q75,'Prepare Gantt Chart'!AL74=0,0)</f>
        <v>0</v>
      </c>
      <c r="Z85" s="89">
        <f>_xlfn.IFS('Prepare Gantt Chart'!AM74=12,'Project types'!$O75,'Prepare Gantt Chart'!AM74=11,'Project types'!$Q75,'Prepare Gantt Chart'!AM74=0,0)</f>
        <v>0</v>
      </c>
      <c r="AA85" s="89">
        <f>_xlfn.IFS('Prepare Gantt Chart'!AN74=12,'Project types'!$O75,'Prepare Gantt Chart'!AN74=11,'Project types'!$Q75,'Prepare Gantt Chart'!AN74=0,0)</f>
        <v>0</v>
      </c>
      <c r="AB85" s="89">
        <f>_xlfn.IFS('Prepare Gantt Chart'!AO74=12,'Project types'!$O75,'Prepare Gantt Chart'!AO74=11,'Project types'!$Q75,'Prepare Gantt Chart'!AO74=0,0)</f>
        <v>0</v>
      </c>
      <c r="AC85" s="94">
        <f t="shared" si="2"/>
        <v>0</v>
      </c>
      <c r="AD85" s="90">
        <f>_xlfn.IFS('Prepare Gantt Chart'!P74=12,'Project types'!$L75,'Prepare Gantt Chart'!P74=11,'Project types'!$L75,'Prepare Gantt Chart'!P74=0,0)</f>
        <v>0</v>
      </c>
      <c r="AE85" s="89">
        <f>_xlfn.IFS('Prepare Gantt Chart'!Q74=12,'Project types'!$L75,'Prepare Gantt Chart'!Q74=11,'Project types'!$L75,'Prepare Gantt Chart'!Q74=0,0)</f>
        <v>0</v>
      </c>
      <c r="AF85" s="89">
        <f>_xlfn.IFS('Prepare Gantt Chart'!R74=12,'Project types'!$L75,'Prepare Gantt Chart'!R74=11,'Project types'!$L75,'Prepare Gantt Chart'!R74=0,0)</f>
        <v>0</v>
      </c>
      <c r="AG85" s="89">
        <f>_xlfn.IFS('Prepare Gantt Chart'!S74=12,'Project types'!$L75,'Prepare Gantt Chart'!S74=11,'Project types'!$L75,'Prepare Gantt Chart'!S74=0,0)</f>
        <v>0</v>
      </c>
      <c r="AH85" s="89">
        <f>_xlfn.IFS('Prepare Gantt Chart'!T74=12,'Project types'!$L75,'Prepare Gantt Chart'!T74=11,'Project types'!$L75,'Prepare Gantt Chart'!T74=0,0)</f>
        <v>0</v>
      </c>
      <c r="AI85" s="89">
        <f>_xlfn.IFS('Prepare Gantt Chart'!U74=12,'Project types'!$L75,'Prepare Gantt Chart'!U74=11,'Project types'!$L75,'Prepare Gantt Chart'!U74=0,0)</f>
        <v>0</v>
      </c>
      <c r="AJ85" s="89">
        <f>_xlfn.IFS('Prepare Gantt Chart'!V74=12,'Project types'!$L75,'Prepare Gantt Chart'!V74=11,'Project types'!$L75,'Prepare Gantt Chart'!V74=0,0)</f>
        <v>0</v>
      </c>
      <c r="AK85" s="89">
        <f>_xlfn.IFS('Prepare Gantt Chart'!W74=12,'Project types'!$L75,'Prepare Gantt Chart'!W74=11,'Project types'!$L75,'Prepare Gantt Chart'!W74=0,0)</f>
        <v>0</v>
      </c>
      <c r="AL85" s="89">
        <f>_xlfn.IFS('Prepare Gantt Chart'!X74=12,'Project types'!$L75,'Prepare Gantt Chart'!X74=11,'Project types'!$L75,'Prepare Gantt Chart'!X74=0,0)</f>
        <v>0</v>
      </c>
      <c r="AM85" s="89">
        <f>_xlfn.IFS('Prepare Gantt Chart'!Y74=12,'Project types'!$L75,'Prepare Gantt Chart'!Y74=11,'Project types'!$L75,'Prepare Gantt Chart'!Y74=0,0)</f>
        <v>0</v>
      </c>
      <c r="AN85" s="89">
        <f>_xlfn.IFS('Prepare Gantt Chart'!Z74=12,'Project types'!$L75,'Prepare Gantt Chart'!Z74=11,'Project types'!$L75,'Prepare Gantt Chart'!Z74=0,0)</f>
        <v>0</v>
      </c>
      <c r="AO85" s="89">
        <f>_xlfn.IFS('Prepare Gantt Chart'!AA74=12,'Project types'!$L75,'Prepare Gantt Chart'!AA74=11,'Project types'!$L75,'Prepare Gantt Chart'!AA74=0,0)</f>
        <v>0</v>
      </c>
      <c r="AP85" s="89">
        <f>_xlfn.IFS('Prepare Gantt Chart'!AB74=12,'Project types'!$L75,'Prepare Gantt Chart'!AB74=11,'Project types'!$L75,'Prepare Gantt Chart'!AB74=0,0)</f>
        <v>0</v>
      </c>
      <c r="AQ85" s="89">
        <f>_xlfn.IFS('Prepare Gantt Chart'!AC74=12,'Project types'!$L75,'Prepare Gantt Chart'!AC74=11,'Project types'!$L75,'Prepare Gantt Chart'!AC74=0,0)</f>
        <v>0</v>
      </c>
      <c r="AR85" s="89">
        <f>_xlfn.IFS('Prepare Gantt Chart'!AD74=12,'Project types'!$L75,'Prepare Gantt Chart'!AD74=11,'Project types'!$L75,'Prepare Gantt Chart'!AD74=0,0)</f>
        <v>0</v>
      </c>
      <c r="AS85" s="89">
        <f>_xlfn.IFS('Prepare Gantt Chart'!AE74=12,'Project types'!$L75,'Prepare Gantt Chart'!AE74=11,'Project types'!$L75,'Prepare Gantt Chart'!AE74=0,0)</f>
        <v>0</v>
      </c>
      <c r="AT85" s="89">
        <f>_xlfn.IFS('Prepare Gantt Chart'!AF74=12,'Project types'!$L75,'Prepare Gantt Chart'!AF74=11,'Project types'!$L75,'Prepare Gantt Chart'!AF74=0,0)</f>
        <v>0</v>
      </c>
      <c r="AU85" s="89">
        <f>_xlfn.IFS('Prepare Gantt Chart'!AG74=12,'Project types'!$L75,'Prepare Gantt Chart'!AG74=11,'Project types'!$L75,'Prepare Gantt Chart'!AG74=0,0)</f>
        <v>0</v>
      </c>
      <c r="AV85" s="89">
        <f>_xlfn.IFS('Prepare Gantt Chart'!AH74=12,'Project types'!$L75,'Prepare Gantt Chart'!AH74=11,'Project types'!$L75,'Prepare Gantt Chart'!AH74=0,0)</f>
        <v>0</v>
      </c>
      <c r="AW85" s="89">
        <f>_xlfn.IFS('Prepare Gantt Chart'!AI74=12,'Project types'!$L75,'Prepare Gantt Chart'!AI74=11,'Project types'!$L75,'Prepare Gantt Chart'!AI74=0,0)</f>
        <v>0</v>
      </c>
      <c r="AX85" s="89">
        <f>_xlfn.IFS('Prepare Gantt Chart'!AJ74=12,'Project types'!$L75,'Prepare Gantt Chart'!AJ74=11,'Project types'!$L75,'Prepare Gantt Chart'!AJ74=0,0)</f>
        <v>0</v>
      </c>
      <c r="AY85" s="89">
        <f>_xlfn.IFS('Prepare Gantt Chart'!AK74=12,'Project types'!$L75,'Prepare Gantt Chart'!AK74=11,'Project types'!$L75,'Prepare Gantt Chart'!AK74=0,0)</f>
        <v>0</v>
      </c>
      <c r="AZ85" s="89">
        <f>_xlfn.IFS('Prepare Gantt Chart'!AL74=12,'Project types'!$L75,'Prepare Gantt Chart'!AL74=11,'Project types'!$L75,'Prepare Gantt Chart'!AL74=0,0)</f>
        <v>0</v>
      </c>
      <c r="BA85" s="89">
        <f>_xlfn.IFS('Prepare Gantt Chart'!AM74=12,'Project types'!$L75,'Prepare Gantt Chart'!AM74=11,'Project types'!$L75,'Prepare Gantt Chart'!AM74=0,0)</f>
        <v>0</v>
      </c>
      <c r="BB85" s="89">
        <f>_xlfn.IFS('Prepare Gantt Chart'!AN74=12,'Project types'!$L75,'Prepare Gantt Chart'!AN74=11,'Project types'!$L75,'Prepare Gantt Chart'!AN74=0,0)</f>
        <v>0</v>
      </c>
      <c r="BC85" s="89">
        <f>_xlfn.IFS('Prepare Gantt Chart'!AO74=12,'Project types'!$L75,'Prepare Gantt Chart'!AO74=11,'Project types'!$L75,'Prepare Gantt Chart'!AO74=0,0)</f>
        <v>0</v>
      </c>
      <c r="BD85" s="92">
        <f t="shared" si="3"/>
        <v>0</v>
      </c>
      <c r="CI85" s="85"/>
    </row>
    <row r="86" spans="1:87" x14ac:dyDescent="0.2">
      <c r="A86" s="1" t="s">
        <v>150</v>
      </c>
      <c r="B86" s="35" t="s">
        <v>68</v>
      </c>
      <c r="C86" s="83">
        <f>_xlfn.IFS('Prepare Gantt Chart'!P75=14,'Project types'!$O76,'Prepare Gantt Chart'!P75=13,'Project types'!$Q76,'Prepare Gantt Chart'!P75=0,0)</f>
        <v>0</v>
      </c>
      <c r="D86" s="83">
        <f>_xlfn.IFS('Prepare Gantt Chart'!Q75=14,'Project types'!$O76,'Prepare Gantt Chart'!Q75=13,'Project types'!$Q76,'Prepare Gantt Chart'!Q75=0,0)</f>
        <v>0</v>
      </c>
      <c r="E86" s="83">
        <f>_xlfn.IFS('Prepare Gantt Chart'!R75=14,'Project types'!$O76,'Prepare Gantt Chart'!R75=13,'Project types'!$Q76,'Prepare Gantt Chart'!R75=0,0)</f>
        <v>0</v>
      </c>
      <c r="F86" s="83">
        <f>_xlfn.IFS('Prepare Gantt Chart'!S75=14,'Project types'!$O76,'Prepare Gantt Chart'!S75=13,'Project types'!$Q76,'Prepare Gantt Chart'!S75=0,0)</f>
        <v>0</v>
      </c>
      <c r="G86" s="83">
        <f>_xlfn.IFS('Prepare Gantt Chart'!T75=14,'Project types'!$O76,'Prepare Gantt Chart'!T75=13,'Project types'!$Q76,'Prepare Gantt Chart'!T75=0,0)</f>
        <v>0</v>
      </c>
      <c r="H86" s="83">
        <f>_xlfn.IFS('Prepare Gantt Chart'!U75=14,'Project types'!$O76,'Prepare Gantt Chart'!U75=13,'Project types'!$Q76,'Prepare Gantt Chart'!U75=0,0)</f>
        <v>0</v>
      </c>
      <c r="I86" s="83">
        <f>_xlfn.IFS('Prepare Gantt Chart'!V75=14,'Project types'!$O76,'Prepare Gantt Chart'!V75=13,'Project types'!$Q76,'Prepare Gantt Chart'!V75=0,0)</f>
        <v>0</v>
      </c>
      <c r="J86" s="83">
        <f>_xlfn.IFS('Prepare Gantt Chart'!W75=14,'Project types'!$O76,'Prepare Gantt Chart'!W75=13,'Project types'!$Q76,'Prepare Gantt Chart'!W75=0,0)</f>
        <v>0</v>
      </c>
      <c r="K86" s="83">
        <f>_xlfn.IFS('Prepare Gantt Chart'!X75=14,'Project types'!$O76,'Prepare Gantt Chart'!X75=13,'Project types'!$Q76,'Prepare Gantt Chart'!X75=0,0)</f>
        <v>0</v>
      </c>
      <c r="L86" s="83">
        <f>_xlfn.IFS('Prepare Gantt Chart'!Y75=14,'Project types'!$O76,'Prepare Gantt Chart'!Y75=13,'Project types'!$Q76,'Prepare Gantt Chart'!Y75=0,0)</f>
        <v>0</v>
      </c>
      <c r="M86" s="83">
        <f>_xlfn.IFS('Prepare Gantt Chart'!Z75=14,'Project types'!$O76,'Prepare Gantt Chart'!Z75=13,'Project types'!$Q76,'Prepare Gantt Chart'!Z75=0,0)</f>
        <v>0</v>
      </c>
      <c r="N86" s="83">
        <f>_xlfn.IFS('Prepare Gantt Chart'!AA75=14,'Project types'!$O76,'Prepare Gantt Chart'!AA75=13,'Project types'!$Q76,'Prepare Gantt Chart'!AA75=0,0)</f>
        <v>0</v>
      </c>
      <c r="O86" s="83">
        <f>_xlfn.IFS('Prepare Gantt Chart'!AB75=14,'Project types'!$O76,'Prepare Gantt Chart'!AB75=13,'Project types'!$Q76,'Prepare Gantt Chart'!AB75=0,0)</f>
        <v>0</v>
      </c>
      <c r="P86" s="83">
        <f>_xlfn.IFS('Prepare Gantt Chart'!AC75=14,'Project types'!$O76,'Prepare Gantt Chart'!AC75=13,'Project types'!$Q76,'Prepare Gantt Chart'!AC75=0,0)</f>
        <v>0</v>
      </c>
      <c r="Q86" s="83">
        <f>_xlfn.IFS('Prepare Gantt Chart'!AD75=14,'Project types'!$O76,'Prepare Gantt Chart'!AD75=13,'Project types'!$Q76,'Prepare Gantt Chart'!AD75=0,0)</f>
        <v>0</v>
      </c>
      <c r="R86" s="83">
        <f>_xlfn.IFS('Prepare Gantt Chart'!AE75=14,'Project types'!$O76,'Prepare Gantt Chart'!AE75=13,'Project types'!$Q76,'Prepare Gantt Chart'!AE75=0,0)</f>
        <v>0</v>
      </c>
      <c r="S86" s="83">
        <f>_xlfn.IFS('Prepare Gantt Chart'!AF75=14,'Project types'!$O76,'Prepare Gantt Chart'!AF75=13,'Project types'!$Q76,'Prepare Gantt Chart'!AF75=0,0)</f>
        <v>0</v>
      </c>
      <c r="T86" s="83">
        <f>_xlfn.IFS('Prepare Gantt Chart'!AG75=14,'Project types'!$O76,'Prepare Gantt Chart'!AG75=13,'Project types'!$Q76,'Prepare Gantt Chart'!AG75=0,0)</f>
        <v>0</v>
      </c>
      <c r="U86" s="83">
        <f>_xlfn.IFS('Prepare Gantt Chart'!AH75=14,'Project types'!$O76,'Prepare Gantt Chart'!AH75=13,'Project types'!$Q76,'Prepare Gantt Chart'!AH75=0,0)</f>
        <v>0</v>
      </c>
      <c r="V86" s="83">
        <f>_xlfn.IFS('Prepare Gantt Chart'!AI75=14,'Project types'!$O76,'Prepare Gantt Chart'!AI75=13,'Project types'!$Q76,'Prepare Gantt Chart'!AI75=0,0)</f>
        <v>0</v>
      </c>
      <c r="W86" s="83">
        <f>_xlfn.IFS('Prepare Gantt Chart'!AJ75=14,'Project types'!$O76,'Prepare Gantt Chart'!AJ75=13,'Project types'!$Q76,'Prepare Gantt Chart'!AJ75=0,0)</f>
        <v>0</v>
      </c>
      <c r="X86" s="83">
        <f>_xlfn.IFS('Prepare Gantt Chart'!AK75=14,'Project types'!$O76,'Prepare Gantt Chart'!AK75=13,'Project types'!$Q76,'Prepare Gantt Chart'!AK75=0,0)</f>
        <v>0</v>
      </c>
      <c r="Y86" s="83">
        <f>_xlfn.IFS('Prepare Gantt Chart'!AL75=14,'Project types'!$O76,'Prepare Gantt Chart'!AL75=13,'Project types'!$Q76,'Prepare Gantt Chart'!AL75=0,0)</f>
        <v>0</v>
      </c>
      <c r="Z86" s="83">
        <f>_xlfn.IFS('Prepare Gantt Chart'!AM75=14,'Project types'!$O76,'Prepare Gantt Chart'!AM75=13,'Project types'!$Q76,'Prepare Gantt Chart'!AM75=0,0)</f>
        <v>0</v>
      </c>
      <c r="AA86" s="83">
        <f>_xlfn.IFS('Prepare Gantt Chart'!AN75=14,'Project types'!$O76,'Prepare Gantt Chart'!AN75=13,'Project types'!$Q76,'Prepare Gantt Chart'!AN75=0,0)</f>
        <v>0</v>
      </c>
      <c r="AB86" s="83">
        <f>_xlfn.IFS('Prepare Gantt Chart'!AO75=14,'Project types'!$O76,'Prepare Gantt Chart'!AO75=13,'Project types'!$Q76,'Prepare Gantt Chart'!AO75=0,0)</f>
        <v>0</v>
      </c>
      <c r="AC86" s="93">
        <f t="shared" si="2"/>
        <v>0</v>
      </c>
      <c r="AD86" s="86">
        <f>_xlfn.IFS('Prepare Gantt Chart'!P75=14,'Project types'!$L76,'Prepare Gantt Chart'!P75=13,'Project types'!$L76,'Prepare Gantt Chart'!P75=0,0)</f>
        <v>0</v>
      </c>
      <c r="AE86" s="83">
        <f>_xlfn.IFS('Prepare Gantt Chart'!Q75=14,'Project types'!$L76,'Prepare Gantt Chart'!Q75=13,'Project types'!$L76,'Prepare Gantt Chart'!Q75=0,0)</f>
        <v>0</v>
      </c>
      <c r="AF86" s="83">
        <f>_xlfn.IFS('Prepare Gantt Chart'!R75=14,'Project types'!$L76,'Prepare Gantt Chart'!R75=13,'Project types'!$L76,'Prepare Gantt Chart'!R75=0,0)</f>
        <v>0</v>
      </c>
      <c r="AG86" s="83">
        <f>_xlfn.IFS('Prepare Gantt Chart'!S75=14,'Project types'!$L76,'Prepare Gantt Chart'!S75=13,'Project types'!$L76,'Prepare Gantt Chart'!S75=0,0)</f>
        <v>0</v>
      </c>
      <c r="AH86" s="83">
        <f>_xlfn.IFS('Prepare Gantt Chart'!T75=14,'Project types'!$L76,'Prepare Gantt Chart'!T75=13,'Project types'!$L76,'Prepare Gantt Chart'!T75=0,0)</f>
        <v>0</v>
      </c>
      <c r="AI86" s="83">
        <f>_xlfn.IFS('Prepare Gantt Chart'!U75=14,'Project types'!$L76,'Prepare Gantt Chart'!U75=13,'Project types'!$L76,'Prepare Gantt Chart'!U75=0,0)</f>
        <v>0</v>
      </c>
      <c r="AJ86" s="83">
        <f>_xlfn.IFS('Prepare Gantt Chart'!V75=14,'Project types'!$L76,'Prepare Gantt Chart'!V75=13,'Project types'!$L76,'Prepare Gantt Chart'!V75=0,0)</f>
        <v>0</v>
      </c>
      <c r="AK86" s="83">
        <f>_xlfn.IFS('Prepare Gantt Chart'!W75=14,'Project types'!$L76,'Prepare Gantt Chart'!W75=13,'Project types'!$L76,'Prepare Gantt Chart'!W75=0,0)</f>
        <v>0</v>
      </c>
      <c r="AL86" s="83">
        <f>_xlfn.IFS('Prepare Gantt Chart'!X75=14,'Project types'!$L76,'Prepare Gantt Chart'!X75=13,'Project types'!$L76,'Prepare Gantt Chart'!X75=0,0)</f>
        <v>0</v>
      </c>
      <c r="AM86" s="83">
        <f>_xlfn.IFS('Prepare Gantt Chart'!Y75=14,'Project types'!$L76,'Prepare Gantt Chart'!Y75=13,'Project types'!$L76,'Prepare Gantt Chart'!Y75=0,0)</f>
        <v>0</v>
      </c>
      <c r="AN86" s="83">
        <f>_xlfn.IFS('Prepare Gantt Chart'!Z75=14,'Project types'!$L76,'Prepare Gantt Chart'!Z75=13,'Project types'!$L76,'Prepare Gantt Chart'!Z75=0,0)</f>
        <v>0</v>
      </c>
      <c r="AO86" s="83">
        <f>_xlfn.IFS('Prepare Gantt Chart'!AA75=14,'Project types'!$L76,'Prepare Gantt Chart'!AA75=13,'Project types'!$L76,'Prepare Gantt Chart'!AA75=0,0)</f>
        <v>0</v>
      </c>
      <c r="AP86" s="83">
        <f>_xlfn.IFS('Prepare Gantt Chart'!AB75=14,'Project types'!$L76,'Prepare Gantt Chart'!AB75=13,'Project types'!$L76,'Prepare Gantt Chart'!AB75=0,0)</f>
        <v>0</v>
      </c>
      <c r="AQ86" s="83">
        <f>_xlfn.IFS('Prepare Gantt Chart'!AC75=14,'Project types'!$L76,'Prepare Gantt Chart'!AC75=13,'Project types'!$L76,'Prepare Gantt Chart'!AC75=0,0)</f>
        <v>0</v>
      </c>
      <c r="AR86" s="83">
        <f>_xlfn.IFS('Prepare Gantt Chart'!AD75=14,'Project types'!$L76,'Prepare Gantt Chart'!AD75=13,'Project types'!$L76,'Prepare Gantt Chart'!AD75=0,0)</f>
        <v>0</v>
      </c>
      <c r="AS86" s="83">
        <f>_xlfn.IFS('Prepare Gantt Chart'!AE75=14,'Project types'!$L76,'Prepare Gantt Chart'!AE75=13,'Project types'!$L76,'Prepare Gantt Chart'!AE75=0,0)</f>
        <v>0</v>
      </c>
      <c r="AT86" s="83">
        <f>_xlfn.IFS('Prepare Gantt Chart'!AF75=14,'Project types'!$L76,'Prepare Gantt Chart'!AF75=13,'Project types'!$L76,'Prepare Gantt Chart'!AF75=0,0)</f>
        <v>0</v>
      </c>
      <c r="AU86" s="83">
        <f>_xlfn.IFS('Prepare Gantt Chart'!AG75=14,'Project types'!$L76,'Prepare Gantt Chart'!AG75=13,'Project types'!$L76,'Prepare Gantt Chart'!AG75=0,0)</f>
        <v>0</v>
      </c>
      <c r="AV86" s="83">
        <f>_xlfn.IFS('Prepare Gantt Chart'!AH75=14,'Project types'!$L76,'Prepare Gantt Chart'!AH75=13,'Project types'!$L76,'Prepare Gantt Chart'!AH75=0,0)</f>
        <v>0</v>
      </c>
      <c r="AW86" s="83">
        <f>_xlfn.IFS('Prepare Gantt Chart'!AI75=14,'Project types'!$L76,'Prepare Gantt Chart'!AI75=13,'Project types'!$L76,'Prepare Gantt Chart'!AI75=0,0)</f>
        <v>0</v>
      </c>
      <c r="AX86" s="83">
        <f>_xlfn.IFS('Prepare Gantt Chart'!AJ75=14,'Project types'!$L76,'Prepare Gantt Chart'!AJ75=13,'Project types'!$L76,'Prepare Gantt Chart'!AJ75=0,0)</f>
        <v>0</v>
      </c>
      <c r="AY86" s="83">
        <f>_xlfn.IFS('Prepare Gantt Chart'!AK75=14,'Project types'!$L76,'Prepare Gantt Chart'!AK75=13,'Project types'!$L76,'Prepare Gantt Chart'!AK75=0,0)</f>
        <v>0</v>
      </c>
      <c r="AZ86" s="83">
        <f>_xlfn.IFS('Prepare Gantt Chart'!AL75=14,'Project types'!$L76,'Prepare Gantt Chart'!AL75=13,'Project types'!$L76,'Prepare Gantt Chart'!AL75=0,0)</f>
        <v>0</v>
      </c>
      <c r="BA86" s="83">
        <f>_xlfn.IFS('Prepare Gantt Chart'!AM75=14,'Project types'!$L76,'Prepare Gantt Chart'!AM75=13,'Project types'!$L76,'Prepare Gantt Chart'!AM75=0,0)</f>
        <v>0</v>
      </c>
      <c r="BB86" s="83">
        <f>_xlfn.IFS('Prepare Gantt Chart'!AN75=14,'Project types'!$L76,'Prepare Gantt Chart'!AN75=13,'Project types'!$L76,'Prepare Gantt Chart'!AN75=0,0)</f>
        <v>0</v>
      </c>
      <c r="BC86" s="83">
        <f>_xlfn.IFS('Prepare Gantt Chart'!AO75=14,'Project types'!$L76,'Prepare Gantt Chart'!AO75=13,'Project types'!$L76,'Prepare Gantt Chart'!AO75=0,0)</f>
        <v>0</v>
      </c>
      <c r="BD86" s="91">
        <f t="shared" si="3"/>
        <v>0</v>
      </c>
      <c r="CI86" s="85"/>
    </row>
    <row r="87" spans="1:87" x14ac:dyDescent="0.2">
      <c r="A87" s="1" t="s">
        <v>151</v>
      </c>
      <c r="B87" s="36" t="s">
        <v>69</v>
      </c>
      <c r="C87" s="83">
        <f>_xlfn.IFS('Prepare Gantt Chart'!P76=14,'Project types'!$O77,'Prepare Gantt Chart'!P76=13,'Project types'!$Q77,'Prepare Gantt Chart'!P76=0,0)</f>
        <v>0</v>
      </c>
      <c r="D87" s="83">
        <f>_xlfn.IFS('Prepare Gantt Chart'!Q76=14,'Project types'!$O77,'Prepare Gantt Chart'!Q76=13,'Project types'!$Q77,'Prepare Gantt Chart'!Q76=0,0)</f>
        <v>0</v>
      </c>
      <c r="E87" s="83">
        <f>_xlfn.IFS('Prepare Gantt Chart'!R76=14,'Project types'!$O77,'Prepare Gantt Chart'!R76=13,'Project types'!$Q77,'Prepare Gantt Chart'!R76=0,0)</f>
        <v>0</v>
      </c>
      <c r="F87" s="83">
        <f>_xlfn.IFS('Prepare Gantt Chart'!S76=14,'Project types'!$O77,'Prepare Gantt Chart'!S76=13,'Project types'!$Q77,'Prepare Gantt Chart'!S76=0,0)</f>
        <v>0</v>
      </c>
      <c r="G87" s="83">
        <f>_xlfn.IFS('Prepare Gantt Chart'!T76=14,'Project types'!$O77,'Prepare Gantt Chart'!T76=13,'Project types'!$Q77,'Prepare Gantt Chart'!T76=0,0)</f>
        <v>0</v>
      </c>
      <c r="H87" s="83">
        <f>_xlfn.IFS('Prepare Gantt Chart'!U76=14,'Project types'!$O77,'Prepare Gantt Chart'!U76=13,'Project types'!$Q77,'Prepare Gantt Chart'!U76=0,0)</f>
        <v>0</v>
      </c>
      <c r="I87" s="83">
        <f>_xlfn.IFS('Prepare Gantt Chart'!V76=14,'Project types'!$O77,'Prepare Gantt Chart'!V76=13,'Project types'!$Q77,'Prepare Gantt Chart'!V76=0,0)</f>
        <v>0</v>
      </c>
      <c r="J87" s="83">
        <f>_xlfn.IFS('Prepare Gantt Chart'!W76=14,'Project types'!$O77,'Prepare Gantt Chart'!W76=13,'Project types'!$Q77,'Prepare Gantt Chart'!W76=0,0)</f>
        <v>0</v>
      </c>
      <c r="K87" s="83">
        <f>_xlfn.IFS('Prepare Gantt Chart'!X76=14,'Project types'!$O77,'Prepare Gantt Chart'!X76=13,'Project types'!$Q77,'Prepare Gantt Chart'!X76=0,0)</f>
        <v>0</v>
      </c>
      <c r="L87" s="83">
        <f>_xlfn.IFS('Prepare Gantt Chart'!Y76=14,'Project types'!$O77,'Prepare Gantt Chart'!Y76=13,'Project types'!$Q77,'Prepare Gantt Chart'!Y76=0,0)</f>
        <v>0</v>
      </c>
      <c r="M87" s="83">
        <f>_xlfn.IFS('Prepare Gantt Chart'!Z76=14,'Project types'!$O77,'Prepare Gantt Chart'!Z76=13,'Project types'!$Q77,'Prepare Gantt Chart'!Z76=0,0)</f>
        <v>0</v>
      </c>
      <c r="N87" s="83">
        <f>_xlfn.IFS('Prepare Gantt Chart'!AA76=14,'Project types'!$O77,'Prepare Gantt Chart'!AA76=13,'Project types'!$Q77,'Prepare Gantt Chart'!AA76=0,0)</f>
        <v>0</v>
      </c>
      <c r="O87" s="83">
        <f>_xlfn.IFS('Prepare Gantt Chart'!AB76=14,'Project types'!$O77,'Prepare Gantt Chart'!AB76=13,'Project types'!$Q77,'Prepare Gantt Chart'!AB76=0,0)</f>
        <v>0</v>
      </c>
      <c r="P87" s="83">
        <f>_xlfn.IFS('Prepare Gantt Chart'!AC76=14,'Project types'!$O77,'Prepare Gantt Chart'!AC76=13,'Project types'!$Q77,'Prepare Gantt Chart'!AC76=0,0)</f>
        <v>0</v>
      </c>
      <c r="Q87" s="83">
        <f>_xlfn.IFS('Prepare Gantt Chart'!AD76=14,'Project types'!$O77,'Prepare Gantt Chart'!AD76=13,'Project types'!$Q77,'Prepare Gantt Chart'!AD76=0,0)</f>
        <v>0</v>
      </c>
      <c r="R87" s="83">
        <f>_xlfn.IFS('Prepare Gantt Chart'!AE76=14,'Project types'!$O77,'Prepare Gantt Chart'!AE76=13,'Project types'!$Q77,'Prepare Gantt Chart'!AE76=0,0)</f>
        <v>0</v>
      </c>
      <c r="S87" s="83">
        <f>_xlfn.IFS('Prepare Gantt Chart'!AF76=14,'Project types'!$O77,'Prepare Gantt Chart'!AF76=13,'Project types'!$Q77,'Prepare Gantt Chart'!AF76=0,0)</f>
        <v>0</v>
      </c>
      <c r="T87" s="83">
        <f>_xlfn.IFS('Prepare Gantt Chart'!AG76=14,'Project types'!$O77,'Prepare Gantt Chart'!AG76=13,'Project types'!$Q77,'Prepare Gantt Chart'!AG76=0,0)</f>
        <v>0</v>
      </c>
      <c r="U87" s="83">
        <f>_xlfn.IFS('Prepare Gantt Chart'!AH76=14,'Project types'!$O77,'Prepare Gantt Chart'!AH76=13,'Project types'!$Q77,'Prepare Gantt Chart'!AH76=0,0)</f>
        <v>0</v>
      </c>
      <c r="V87" s="83">
        <f>_xlfn.IFS('Prepare Gantt Chart'!AI76=14,'Project types'!$O77,'Prepare Gantt Chart'!AI76=13,'Project types'!$Q77,'Prepare Gantt Chart'!AI76=0,0)</f>
        <v>0</v>
      </c>
      <c r="W87" s="83">
        <f>_xlfn.IFS('Prepare Gantt Chart'!AJ76=14,'Project types'!$O77,'Prepare Gantt Chart'!AJ76=13,'Project types'!$Q77,'Prepare Gantt Chart'!AJ76=0,0)</f>
        <v>0</v>
      </c>
      <c r="X87" s="83">
        <f>_xlfn.IFS('Prepare Gantt Chart'!AK76=14,'Project types'!$O77,'Prepare Gantt Chart'!AK76=13,'Project types'!$Q77,'Prepare Gantt Chart'!AK76=0,0)</f>
        <v>0</v>
      </c>
      <c r="Y87" s="83">
        <f>_xlfn.IFS('Prepare Gantt Chart'!AL76=14,'Project types'!$O77,'Prepare Gantt Chart'!AL76=13,'Project types'!$Q77,'Prepare Gantt Chart'!AL76=0,0)</f>
        <v>0</v>
      </c>
      <c r="Z87" s="83">
        <f>_xlfn.IFS('Prepare Gantt Chart'!AM76=14,'Project types'!$O77,'Prepare Gantt Chart'!AM76=13,'Project types'!$Q77,'Prepare Gantt Chart'!AM76=0,0)</f>
        <v>0</v>
      </c>
      <c r="AA87" s="83">
        <f>_xlfn.IFS('Prepare Gantt Chart'!AN76=14,'Project types'!$O77,'Prepare Gantt Chart'!AN76=13,'Project types'!$Q77,'Prepare Gantt Chart'!AN76=0,0)</f>
        <v>0</v>
      </c>
      <c r="AB87" s="83">
        <f>_xlfn.IFS('Prepare Gantt Chart'!AO76=14,'Project types'!$O77,'Prepare Gantt Chart'!AO76=13,'Project types'!$Q77,'Prepare Gantt Chart'!AO76=0,0)</f>
        <v>0</v>
      </c>
      <c r="AC87" s="93">
        <f t="shared" si="2"/>
        <v>0</v>
      </c>
      <c r="AD87" s="86">
        <f>_xlfn.IFS('Prepare Gantt Chart'!P76=14,'Project types'!$L77,'Prepare Gantt Chart'!P76=13,'Project types'!$L77,'Prepare Gantt Chart'!P76=0,0)</f>
        <v>0</v>
      </c>
      <c r="AE87" s="83">
        <f>_xlfn.IFS('Prepare Gantt Chart'!Q76=14,'Project types'!$L77,'Prepare Gantt Chart'!Q76=13,'Project types'!$L77,'Prepare Gantt Chart'!Q76=0,0)</f>
        <v>0</v>
      </c>
      <c r="AF87" s="83">
        <f>_xlfn.IFS('Prepare Gantt Chart'!R76=14,'Project types'!$L77,'Prepare Gantt Chart'!R76=13,'Project types'!$L77,'Prepare Gantt Chart'!R76=0,0)</f>
        <v>0</v>
      </c>
      <c r="AG87" s="83">
        <f>_xlfn.IFS('Prepare Gantt Chart'!S76=14,'Project types'!$L77,'Prepare Gantt Chart'!S76=13,'Project types'!$L77,'Prepare Gantt Chart'!S76=0,0)</f>
        <v>0</v>
      </c>
      <c r="AH87" s="83">
        <f>_xlfn.IFS('Prepare Gantt Chart'!T76=14,'Project types'!$L77,'Prepare Gantt Chart'!T76=13,'Project types'!$L77,'Prepare Gantt Chart'!T76=0,0)</f>
        <v>0</v>
      </c>
      <c r="AI87" s="83">
        <f>_xlfn.IFS('Prepare Gantt Chart'!U76=14,'Project types'!$L77,'Prepare Gantt Chart'!U76=13,'Project types'!$L77,'Prepare Gantt Chart'!U76=0,0)</f>
        <v>0</v>
      </c>
      <c r="AJ87" s="83">
        <f>_xlfn.IFS('Prepare Gantt Chart'!V76=14,'Project types'!$L77,'Prepare Gantt Chart'!V76=13,'Project types'!$L77,'Prepare Gantt Chart'!V76=0,0)</f>
        <v>0</v>
      </c>
      <c r="AK87" s="83">
        <f>_xlfn.IFS('Prepare Gantt Chart'!W76=14,'Project types'!$L77,'Prepare Gantt Chart'!W76=13,'Project types'!$L77,'Prepare Gantt Chart'!W76=0,0)</f>
        <v>0</v>
      </c>
      <c r="AL87" s="83">
        <f>_xlfn.IFS('Prepare Gantt Chart'!X76=14,'Project types'!$L77,'Prepare Gantt Chart'!X76=13,'Project types'!$L77,'Prepare Gantt Chart'!X76=0,0)</f>
        <v>0</v>
      </c>
      <c r="AM87" s="83">
        <f>_xlfn.IFS('Prepare Gantt Chart'!Y76=14,'Project types'!$L77,'Prepare Gantt Chart'!Y76=13,'Project types'!$L77,'Prepare Gantt Chart'!Y76=0,0)</f>
        <v>0</v>
      </c>
      <c r="AN87" s="83">
        <f>_xlfn.IFS('Prepare Gantt Chart'!Z76=14,'Project types'!$L77,'Prepare Gantt Chart'!Z76=13,'Project types'!$L77,'Prepare Gantt Chart'!Z76=0,0)</f>
        <v>0</v>
      </c>
      <c r="AO87" s="83">
        <f>_xlfn.IFS('Prepare Gantt Chart'!AA76=14,'Project types'!$L77,'Prepare Gantt Chart'!AA76=13,'Project types'!$L77,'Prepare Gantt Chart'!AA76=0,0)</f>
        <v>0</v>
      </c>
      <c r="AP87" s="83">
        <f>_xlfn.IFS('Prepare Gantt Chart'!AB76=14,'Project types'!$L77,'Prepare Gantt Chart'!AB76=13,'Project types'!$L77,'Prepare Gantt Chart'!AB76=0,0)</f>
        <v>0</v>
      </c>
      <c r="AQ87" s="83">
        <f>_xlfn.IFS('Prepare Gantt Chart'!AC76=14,'Project types'!$L77,'Prepare Gantt Chart'!AC76=13,'Project types'!$L77,'Prepare Gantt Chart'!AC76=0,0)</f>
        <v>0</v>
      </c>
      <c r="AR87" s="83">
        <f>_xlfn.IFS('Prepare Gantt Chart'!AD76=14,'Project types'!$L77,'Prepare Gantt Chart'!AD76=13,'Project types'!$L77,'Prepare Gantt Chart'!AD76=0,0)</f>
        <v>0</v>
      </c>
      <c r="AS87" s="83">
        <f>_xlfn.IFS('Prepare Gantt Chart'!AE76=14,'Project types'!$L77,'Prepare Gantt Chart'!AE76=13,'Project types'!$L77,'Prepare Gantt Chart'!AE76=0,0)</f>
        <v>0</v>
      </c>
      <c r="AT87" s="83">
        <f>_xlfn.IFS('Prepare Gantt Chart'!AF76=14,'Project types'!$L77,'Prepare Gantt Chart'!AF76=13,'Project types'!$L77,'Prepare Gantt Chart'!AF76=0,0)</f>
        <v>0</v>
      </c>
      <c r="AU87" s="83">
        <f>_xlfn.IFS('Prepare Gantt Chart'!AG76=14,'Project types'!$L77,'Prepare Gantt Chart'!AG76=13,'Project types'!$L77,'Prepare Gantt Chart'!AG76=0,0)</f>
        <v>0</v>
      </c>
      <c r="AV87" s="83">
        <f>_xlfn.IFS('Prepare Gantt Chart'!AH76=14,'Project types'!$L77,'Prepare Gantt Chart'!AH76=13,'Project types'!$L77,'Prepare Gantt Chart'!AH76=0,0)</f>
        <v>0</v>
      </c>
      <c r="AW87" s="83">
        <f>_xlfn.IFS('Prepare Gantt Chart'!AI76=14,'Project types'!$L77,'Prepare Gantt Chart'!AI76=13,'Project types'!$L77,'Prepare Gantt Chart'!AI76=0,0)</f>
        <v>0</v>
      </c>
      <c r="AX87" s="83">
        <f>_xlfn.IFS('Prepare Gantt Chart'!AJ76=14,'Project types'!$L77,'Prepare Gantt Chart'!AJ76=13,'Project types'!$L77,'Prepare Gantt Chart'!AJ76=0,0)</f>
        <v>0</v>
      </c>
      <c r="AY87" s="83">
        <f>_xlfn.IFS('Prepare Gantt Chart'!AK76=14,'Project types'!$L77,'Prepare Gantt Chart'!AK76=13,'Project types'!$L77,'Prepare Gantt Chart'!AK76=0,0)</f>
        <v>0</v>
      </c>
      <c r="AZ87" s="83">
        <f>_xlfn.IFS('Prepare Gantt Chart'!AL76=14,'Project types'!$L77,'Prepare Gantt Chart'!AL76=13,'Project types'!$L77,'Prepare Gantt Chart'!AL76=0,0)</f>
        <v>0</v>
      </c>
      <c r="BA87" s="83">
        <f>_xlfn.IFS('Prepare Gantt Chart'!AM76=14,'Project types'!$L77,'Prepare Gantt Chart'!AM76=13,'Project types'!$L77,'Prepare Gantt Chart'!AM76=0,0)</f>
        <v>0</v>
      </c>
      <c r="BB87" s="83">
        <f>_xlfn.IFS('Prepare Gantt Chart'!AN76=14,'Project types'!$L77,'Prepare Gantt Chart'!AN76=13,'Project types'!$L77,'Prepare Gantt Chart'!AN76=0,0)</f>
        <v>0</v>
      </c>
      <c r="BC87" s="83">
        <f>_xlfn.IFS('Prepare Gantt Chart'!AO76=14,'Project types'!$L77,'Prepare Gantt Chart'!AO76=13,'Project types'!$L77,'Prepare Gantt Chart'!AO76=0,0)</f>
        <v>0</v>
      </c>
      <c r="BD87" s="91">
        <f t="shared" si="3"/>
        <v>0</v>
      </c>
      <c r="CI87" s="85"/>
    </row>
    <row r="88" spans="1:87" x14ac:dyDescent="0.2">
      <c r="A88" s="1" t="s">
        <v>412</v>
      </c>
      <c r="B88" s="36" t="s">
        <v>70</v>
      </c>
      <c r="C88" s="83">
        <f>_xlfn.IFS('Prepare Gantt Chart'!P77=14,'Project types'!$O78,'Prepare Gantt Chart'!P77=13,'Project types'!$Q78,'Prepare Gantt Chart'!P77=0,0)</f>
        <v>0</v>
      </c>
      <c r="D88" s="83">
        <f>_xlfn.IFS('Prepare Gantt Chart'!Q77=14,'Project types'!$O78,'Prepare Gantt Chart'!Q77=13,'Project types'!$Q78,'Prepare Gantt Chart'!Q77=0,0)</f>
        <v>0</v>
      </c>
      <c r="E88" s="83">
        <f>_xlfn.IFS('Prepare Gantt Chart'!R77=14,'Project types'!$O78,'Prepare Gantt Chart'!R77=13,'Project types'!$Q78,'Prepare Gantt Chart'!R77=0,0)</f>
        <v>0</v>
      </c>
      <c r="F88" s="83">
        <f>_xlfn.IFS('Prepare Gantt Chart'!S77=14,'Project types'!$O78,'Prepare Gantt Chart'!S77=13,'Project types'!$Q78,'Prepare Gantt Chart'!S77=0,0)</f>
        <v>0</v>
      </c>
      <c r="G88" s="83">
        <f>_xlfn.IFS('Prepare Gantt Chart'!T77=14,'Project types'!$O78,'Prepare Gantt Chart'!T77=13,'Project types'!$Q78,'Prepare Gantt Chart'!T77=0,0)</f>
        <v>0</v>
      </c>
      <c r="H88" s="83">
        <f>_xlfn.IFS('Prepare Gantt Chart'!U77=14,'Project types'!$O78,'Prepare Gantt Chart'!U77=13,'Project types'!$Q78,'Prepare Gantt Chart'!U77=0,0)</f>
        <v>0</v>
      </c>
      <c r="I88" s="83">
        <f>_xlfn.IFS('Prepare Gantt Chart'!V77=14,'Project types'!$O78,'Prepare Gantt Chart'!V77=13,'Project types'!$Q78,'Prepare Gantt Chart'!V77=0,0)</f>
        <v>0</v>
      </c>
      <c r="J88" s="83">
        <f>_xlfn.IFS('Prepare Gantt Chart'!W77=14,'Project types'!$O78,'Prepare Gantt Chart'!W77=13,'Project types'!$Q78,'Prepare Gantt Chart'!W77=0,0)</f>
        <v>0</v>
      </c>
      <c r="K88" s="83">
        <f>_xlfn.IFS('Prepare Gantt Chart'!X77=14,'Project types'!$O78,'Prepare Gantt Chart'!X77=13,'Project types'!$Q78,'Prepare Gantt Chart'!X77=0,0)</f>
        <v>0</v>
      </c>
      <c r="L88" s="83">
        <f>_xlfn.IFS('Prepare Gantt Chart'!Y77=14,'Project types'!$O78,'Prepare Gantt Chart'!Y77=13,'Project types'!$Q78,'Prepare Gantt Chart'!Y77=0,0)</f>
        <v>0</v>
      </c>
      <c r="M88" s="83">
        <f>_xlfn.IFS('Prepare Gantt Chart'!Z77=14,'Project types'!$O78,'Prepare Gantt Chart'!Z77=13,'Project types'!$Q78,'Prepare Gantt Chart'!Z77=0,0)</f>
        <v>0</v>
      </c>
      <c r="N88" s="83">
        <f>_xlfn.IFS('Prepare Gantt Chart'!AA77=14,'Project types'!$O78,'Prepare Gantt Chart'!AA77=13,'Project types'!$Q78,'Prepare Gantt Chart'!AA77=0,0)</f>
        <v>0</v>
      </c>
      <c r="O88" s="83">
        <f>_xlfn.IFS('Prepare Gantt Chart'!AB77=14,'Project types'!$O78,'Prepare Gantt Chart'!AB77=13,'Project types'!$Q78,'Prepare Gantt Chart'!AB77=0,0)</f>
        <v>0</v>
      </c>
      <c r="P88" s="83">
        <f>_xlfn.IFS('Prepare Gantt Chart'!AC77=14,'Project types'!$O78,'Prepare Gantt Chart'!AC77=13,'Project types'!$Q78,'Prepare Gantt Chart'!AC77=0,0)</f>
        <v>0</v>
      </c>
      <c r="Q88" s="83">
        <f>_xlfn.IFS('Prepare Gantt Chart'!AD77=14,'Project types'!$O78,'Prepare Gantt Chart'!AD77=13,'Project types'!$Q78,'Prepare Gantt Chart'!AD77=0,0)</f>
        <v>0</v>
      </c>
      <c r="R88" s="83">
        <f>_xlfn.IFS('Prepare Gantt Chart'!AE77=14,'Project types'!$O78,'Prepare Gantt Chart'!AE77=13,'Project types'!$Q78,'Prepare Gantt Chart'!AE77=0,0)</f>
        <v>0</v>
      </c>
      <c r="S88" s="83">
        <f>_xlfn.IFS('Prepare Gantt Chart'!AF77=14,'Project types'!$O78,'Prepare Gantt Chart'!AF77=13,'Project types'!$Q78,'Prepare Gantt Chart'!AF77=0,0)</f>
        <v>0</v>
      </c>
      <c r="T88" s="83">
        <f>_xlfn.IFS('Prepare Gantt Chart'!AG77=14,'Project types'!$O78,'Prepare Gantt Chart'!AG77=13,'Project types'!$Q78,'Prepare Gantt Chart'!AG77=0,0)</f>
        <v>0</v>
      </c>
      <c r="U88" s="83">
        <f>_xlfn.IFS('Prepare Gantt Chart'!AH77=14,'Project types'!$O78,'Prepare Gantt Chart'!AH77=13,'Project types'!$Q78,'Prepare Gantt Chart'!AH77=0,0)</f>
        <v>0</v>
      </c>
      <c r="V88" s="83">
        <f>_xlfn.IFS('Prepare Gantt Chart'!AI77=14,'Project types'!$O78,'Prepare Gantt Chart'!AI77=13,'Project types'!$Q78,'Prepare Gantt Chart'!AI77=0,0)</f>
        <v>0</v>
      </c>
      <c r="W88" s="83">
        <f>_xlfn.IFS('Prepare Gantt Chart'!AJ77=14,'Project types'!$O78,'Prepare Gantt Chart'!AJ77=13,'Project types'!$Q78,'Prepare Gantt Chart'!AJ77=0,0)</f>
        <v>0</v>
      </c>
      <c r="X88" s="83">
        <f>_xlfn.IFS('Prepare Gantt Chart'!AK77=14,'Project types'!$O78,'Prepare Gantt Chart'!AK77=13,'Project types'!$Q78,'Prepare Gantt Chart'!AK77=0,0)</f>
        <v>0</v>
      </c>
      <c r="Y88" s="83">
        <f>_xlfn.IFS('Prepare Gantt Chart'!AL77=14,'Project types'!$O78,'Prepare Gantt Chart'!AL77=13,'Project types'!$Q78,'Prepare Gantt Chart'!AL77=0,0)</f>
        <v>0</v>
      </c>
      <c r="Z88" s="83">
        <f>_xlfn.IFS('Prepare Gantt Chart'!AM77=14,'Project types'!$O78,'Prepare Gantt Chart'!AM77=13,'Project types'!$Q78,'Prepare Gantt Chart'!AM77=0,0)</f>
        <v>0</v>
      </c>
      <c r="AA88" s="83">
        <f>_xlfn.IFS('Prepare Gantt Chart'!AN77=14,'Project types'!$O78,'Prepare Gantt Chart'!AN77=13,'Project types'!$Q78,'Prepare Gantt Chart'!AN77=0,0)</f>
        <v>0</v>
      </c>
      <c r="AB88" s="83">
        <f>_xlfn.IFS('Prepare Gantt Chart'!AO77=14,'Project types'!$O78,'Prepare Gantt Chart'!AO77=13,'Project types'!$Q78,'Prepare Gantt Chart'!AO77=0,0)</f>
        <v>0</v>
      </c>
      <c r="AC88" s="93">
        <f t="shared" si="2"/>
        <v>0</v>
      </c>
      <c r="AD88" s="86">
        <f>_xlfn.IFS('Prepare Gantt Chart'!P77=14,'Project types'!$L78,'Prepare Gantt Chart'!P77=13,'Project types'!$L78,'Prepare Gantt Chart'!P77=0,0)</f>
        <v>0</v>
      </c>
      <c r="AE88" s="83">
        <f>_xlfn.IFS('Prepare Gantt Chart'!Q77=14,'Project types'!$L78,'Prepare Gantt Chart'!Q77=13,'Project types'!$L78,'Prepare Gantt Chart'!Q77=0,0)</f>
        <v>0</v>
      </c>
      <c r="AF88" s="83">
        <f>_xlfn.IFS('Prepare Gantt Chart'!R77=14,'Project types'!$L78,'Prepare Gantt Chart'!R77=13,'Project types'!$L78,'Prepare Gantt Chart'!R77=0,0)</f>
        <v>0</v>
      </c>
      <c r="AG88" s="83">
        <f>_xlfn.IFS('Prepare Gantt Chart'!S77=14,'Project types'!$L78,'Prepare Gantt Chart'!S77=13,'Project types'!$L78,'Prepare Gantt Chart'!S77=0,0)</f>
        <v>0</v>
      </c>
      <c r="AH88" s="83">
        <f>_xlfn.IFS('Prepare Gantt Chart'!T77=14,'Project types'!$L78,'Prepare Gantt Chart'!T77=13,'Project types'!$L78,'Prepare Gantt Chart'!T77=0,0)</f>
        <v>0</v>
      </c>
      <c r="AI88" s="83">
        <f>_xlfn.IFS('Prepare Gantt Chart'!U77=14,'Project types'!$L78,'Prepare Gantt Chart'!U77=13,'Project types'!$L78,'Prepare Gantt Chart'!U77=0,0)</f>
        <v>0</v>
      </c>
      <c r="AJ88" s="83">
        <f>_xlfn.IFS('Prepare Gantt Chart'!V77=14,'Project types'!$L78,'Prepare Gantt Chart'!V77=13,'Project types'!$L78,'Prepare Gantt Chart'!V77=0,0)</f>
        <v>0</v>
      </c>
      <c r="AK88" s="83">
        <f>_xlfn.IFS('Prepare Gantt Chart'!W77=14,'Project types'!$L78,'Prepare Gantt Chart'!W77=13,'Project types'!$L78,'Prepare Gantt Chart'!W77=0,0)</f>
        <v>0</v>
      </c>
      <c r="AL88" s="83">
        <f>_xlfn.IFS('Prepare Gantt Chart'!X77=14,'Project types'!$L78,'Prepare Gantt Chart'!X77=13,'Project types'!$L78,'Prepare Gantt Chart'!X77=0,0)</f>
        <v>0</v>
      </c>
      <c r="AM88" s="83">
        <f>_xlfn.IFS('Prepare Gantt Chart'!Y77=14,'Project types'!$L78,'Prepare Gantt Chart'!Y77=13,'Project types'!$L78,'Prepare Gantt Chart'!Y77=0,0)</f>
        <v>0</v>
      </c>
      <c r="AN88" s="83">
        <f>_xlfn.IFS('Prepare Gantt Chart'!Z77=14,'Project types'!$L78,'Prepare Gantt Chart'!Z77=13,'Project types'!$L78,'Prepare Gantt Chart'!Z77=0,0)</f>
        <v>0</v>
      </c>
      <c r="AO88" s="83">
        <f>_xlfn.IFS('Prepare Gantt Chart'!AA77=14,'Project types'!$L78,'Prepare Gantt Chart'!AA77=13,'Project types'!$L78,'Prepare Gantt Chart'!AA77=0,0)</f>
        <v>0</v>
      </c>
      <c r="AP88" s="83">
        <f>_xlfn.IFS('Prepare Gantt Chart'!AB77=14,'Project types'!$L78,'Prepare Gantt Chart'!AB77=13,'Project types'!$L78,'Prepare Gantt Chart'!AB77=0,0)</f>
        <v>0</v>
      </c>
      <c r="AQ88" s="83">
        <f>_xlfn.IFS('Prepare Gantt Chart'!AC77=14,'Project types'!$L78,'Prepare Gantt Chart'!AC77=13,'Project types'!$L78,'Prepare Gantt Chart'!AC77=0,0)</f>
        <v>0</v>
      </c>
      <c r="AR88" s="83">
        <f>_xlfn.IFS('Prepare Gantt Chart'!AD77=14,'Project types'!$L78,'Prepare Gantt Chart'!AD77=13,'Project types'!$L78,'Prepare Gantt Chart'!AD77=0,0)</f>
        <v>0</v>
      </c>
      <c r="AS88" s="83">
        <f>_xlfn.IFS('Prepare Gantt Chart'!AE77=14,'Project types'!$L78,'Prepare Gantt Chart'!AE77=13,'Project types'!$L78,'Prepare Gantt Chart'!AE77=0,0)</f>
        <v>0</v>
      </c>
      <c r="AT88" s="83">
        <f>_xlfn.IFS('Prepare Gantt Chart'!AF77=14,'Project types'!$L78,'Prepare Gantt Chart'!AF77=13,'Project types'!$L78,'Prepare Gantt Chart'!AF77=0,0)</f>
        <v>0</v>
      </c>
      <c r="AU88" s="83">
        <f>_xlfn.IFS('Prepare Gantt Chart'!AG77=14,'Project types'!$L78,'Prepare Gantt Chart'!AG77=13,'Project types'!$L78,'Prepare Gantt Chart'!AG77=0,0)</f>
        <v>0</v>
      </c>
      <c r="AV88" s="83">
        <f>_xlfn.IFS('Prepare Gantt Chart'!AH77=14,'Project types'!$L78,'Prepare Gantt Chart'!AH77=13,'Project types'!$L78,'Prepare Gantt Chart'!AH77=0,0)</f>
        <v>0</v>
      </c>
      <c r="AW88" s="83">
        <f>_xlfn.IFS('Prepare Gantt Chart'!AI77=14,'Project types'!$L78,'Prepare Gantt Chart'!AI77=13,'Project types'!$L78,'Prepare Gantt Chart'!AI77=0,0)</f>
        <v>0</v>
      </c>
      <c r="AX88" s="83">
        <f>_xlfn.IFS('Prepare Gantt Chart'!AJ77=14,'Project types'!$L78,'Prepare Gantt Chart'!AJ77=13,'Project types'!$L78,'Prepare Gantt Chart'!AJ77=0,0)</f>
        <v>0</v>
      </c>
      <c r="AY88" s="83">
        <f>_xlfn.IFS('Prepare Gantt Chart'!AK77=14,'Project types'!$L78,'Prepare Gantt Chart'!AK77=13,'Project types'!$L78,'Prepare Gantt Chart'!AK77=0,0)</f>
        <v>0</v>
      </c>
      <c r="AZ88" s="83">
        <f>_xlfn.IFS('Prepare Gantt Chart'!AL77=14,'Project types'!$L78,'Prepare Gantt Chart'!AL77=13,'Project types'!$L78,'Prepare Gantt Chart'!AL77=0,0)</f>
        <v>0</v>
      </c>
      <c r="BA88" s="83">
        <f>_xlfn.IFS('Prepare Gantt Chart'!AM77=14,'Project types'!$L78,'Prepare Gantt Chart'!AM77=13,'Project types'!$L78,'Prepare Gantt Chart'!AM77=0,0)</f>
        <v>0</v>
      </c>
      <c r="BB88" s="83">
        <f>_xlfn.IFS('Prepare Gantt Chart'!AN77=14,'Project types'!$L78,'Prepare Gantt Chart'!AN77=13,'Project types'!$L78,'Prepare Gantt Chart'!AN77=0,0)</f>
        <v>0</v>
      </c>
      <c r="BC88" s="83">
        <f>_xlfn.IFS('Prepare Gantt Chart'!AO77=14,'Project types'!$L78,'Prepare Gantt Chart'!AO77=13,'Project types'!$L78,'Prepare Gantt Chart'!AO77=0,0)</f>
        <v>0</v>
      </c>
      <c r="BD88" s="91">
        <f t="shared" si="3"/>
        <v>0</v>
      </c>
      <c r="CI88" s="85"/>
    </row>
    <row r="89" spans="1:87" x14ac:dyDescent="0.2">
      <c r="A89" s="1" t="s">
        <v>152</v>
      </c>
      <c r="B89" s="36" t="s">
        <v>71</v>
      </c>
      <c r="C89" s="83">
        <f>_xlfn.IFS('Prepare Gantt Chart'!P78=14,'Project types'!$O79,'Prepare Gantt Chart'!P78=13,'Project types'!$Q79,'Prepare Gantt Chart'!P78=0,0)</f>
        <v>0</v>
      </c>
      <c r="D89" s="83">
        <f>_xlfn.IFS('Prepare Gantt Chart'!Q78=14,'Project types'!$O79,'Prepare Gantt Chart'!Q78=13,'Project types'!$Q79,'Prepare Gantt Chart'!Q78=0,0)</f>
        <v>0</v>
      </c>
      <c r="E89" s="83">
        <f>_xlfn.IFS('Prepare Gantt Chart'!R78=14,'Project types'!$O79,'Prepare Gantt Chart'!R78=13,'Project types'!$Q79,'Prepare Gantt Chart'!R78=0,0)</f>
        <v>0</v>
      </c>
      <c r="F89" s="83">
        <f>_xlfn.IFS('Prepare Gantt Chart'!S78=14,'Project types'!$O79,'Prepare Gantt Chart'!S78=13,'Project types'!$Q79,'Prepare Gantt Chart'!S78=0,0)</f>
        <v>0</v>
      </c>
      <c r="G89" s="83">
        <f>_xlfn.IFS('Prepare Gantt Chart'!T78=14,'Project types'!$O79,'Prepare Gantt Chart'!T78=13,'Project types'!$Q79,'Prepare Gantt Chart'!T78=0,0)</f>
        <v>0</v>
      </c>
      <c r="H89" s="83">
        <f>_xlfn.IFS('Prepare Gantt Chart'!U78=14,'Project types'!$O79,'Prepare Gantt Chart'!U78=13,'Project types'!$Q79,'Prepare Gantt Chart'!U78=0,0)</f>
        <v>0</v>
      </c>
      <c r="I89" s="83">
        <f>_xlfn.IFS('Prepare Gantt Chart'!V78=14,'Project types'!$O79,'Prepare Gantt Chart'!V78=13,'Project types'!$Q79,'Prepare Gantt Chart'!V78=0,0)</f>
        <v>0</v>
      </c>
      <c r="J89" s="83">
        <f>_xlfn.IFS('Prepare Gantt Chart'!W78=14,'Project types'!$O79,'Prepare Gantt Chart'!W78=13,'Project types'!$Q79,'Prepare Gantt Chart'!W78=0,0)</f>
        <v>0</v>
      </c>
      <c r="K89" s="83">
        <f>_xlfn.IFS('Prepare Gantt Chart'!X78=14,'Project types'!$O79,'Prepare Gantt Chart'!X78=13,'Project types'!$Q79,'Prepare Gantt Chart'!X78=0,0)</f>
        <v>0</v>
      </c>
      <c r="L89" s="83">
        <f>_xlfn.IFS('Prepare Gantt Chart'!Y78=14,'Project types'!$O79,'Prepare Gantt Chart'!Y78=13,'Project types'!$Q79,'Prepare Gantt Chart'!Y78=0,0)</f>
        <v>0</v>
      </c>
      <c r="M89" s="83">
        <f>_xlfn.IFS('Prepare Gantt Chart'!Z78=14,'Project types'!$O79,'Prepare Gantt Chart'!Z78=13,'Project types'!$Q79,'Prepare Gantt Chart'!Z78=0,0)</f>
        <v>0</v>
      </c>
      <c r="N89" s="83">
        <f>_xlfn.IFS('Prepare Gantt Chart'!AA78=14,'Project types'!$O79,'Prepare Gantt Chart'!AA78=13,'Project types'!$Q79,'Prepare Gantt Chart'!AA78=0,0)</f>
        <v>0</v>
      </c>
      <c r="O89" s="83">
        <f>_xlfn.IFS('Prepare Gantt Chart'!AB78=14,'Project types'!$O79,'Prepare Gantt Chart'!AB78=13,'Project types'!$Q79,'Prepare Gantt Chart'!AB78=0,0)</f>
        <v>0</v>
      </c>
      <c r="P89" s="83">
        <f>_xlfn.IFS('Prepare Gantt Chart'!AC78=14,'Project types'!$O79,'Prepare Gantt Chart'!AC78=13,'Project types'!$Q79,'Prepare Gantt Chart'!AC78=0,0)</f>
        <v>0</v>
      </c>
      <c r="Q89" s="83">
        <f>_xlfn.IFS('Prepare Gantt Chart'!AD78=14,'Project types'!$O79,'Prepare Gantt Chart'!AD78=13,'Project types'!$Q79,'Prepare Gantt Chart'!AD78=0,0)</f>
        <v>0</v>
      </c>
      <c r="R89" s="83">
        <f>_xlfn.IFS('Prepare Gantt Chart'!AE78=14,'Project types'!$O79,'Prepare Gantt Chart'!AE78=13,'Project types'!$Q79,'Prepare Gantt Chart'!AE78=0,0)</f>
        <v>0</v>
      </c>
      <c r="S89" s="83">
        <f>_xlfn.IFS('Prepare Gantt Chart'!AF78=14,'Project types'!$O79,'Prepare Gantt Chart'!AF78=13,'Project types'!$Q79,'Prepare Gantt Chart'!AF78=0,0)</f>
        <v>0</v>
      </c>
      <c r="T89" s="83">
        <f>_xlfn.IFS('Prepare Gantt Chart'!AG78=14,'Project types'!$O79,'Prepare Gantt Chart'!AG78=13,'Project types'!$Q79,'Prepare Gantt Chart'!AG78=0,0)</f>
        <v>0</v>
      </c>
      <c r="U89" s="83">
        <f>_xlfn.IFS('Prepare Gantt Chart'!AH78=14,'Project types'!$O79,'Prepare Gantt Chart'!AH78=13,'Project types'!$Q79,'Prepare Gantt Chart'!AH78=0,0)</f>
        <v>0</v>
      </c>
      <c r="V89" s="83">
        <f>_xlfn.IFS('Prepare Gantt Chart'!AI78=14,'Project types'!$O79,'Prepare Gantt Chart'!AI78=13,'Project types'!$Q79,'Prepare Gantt Chart'!AI78=0,0)</f>
        <v>0</v>
      </c>
      <c r="W89" s="83">
        <f>_xlfn.IFS('Prepare Gantt Chart'!AJ78=14,'Project types'!$O79,'Prepare Gantt Chart'!AJ78=13,'Project types'!$Q79,'Prepare Gantt Chart'!AJ78=0,0)</f>
        <v>0</v>
      </c>
      <c r="X89" s="83">
        <f>_xlfn.IFS('Prepare Gantt Chart'!AK78=14,'Project types'!$O79,'Prepare Gantt Chart'!AK78=13,'Project types'!$Q79,'Prepare Gantt Chart'!AK78=0,0)</f>
        <v>0</v>
      </c>
      <c r="Y89" s="83">
        <f>_xlfn.IFS('Prepare Gantt Chart'!AL78=14,'Project types'!$O79,'Prepare Gantt Chart'!AL78=13,'Project types'!$Q79,'Prepare Gantt Chart'!AL78=0,0)</f>
        <v>0</v>
      </c>
      <c r="Z89" s="83">
        <f>_xlfn.IFS('Prepare Gantt Chart'!AM78=14,'Project types'!$O79,'Prepare Gantt Chart'!AM78=13,'Project types'!$Q79,'Prepare Gantt Chart'!AM78=0,0)</f>
        <v>0</v>
      </c>
      <c r="AA89" s="83">
        <f>_xlfn.IFS('Prepare Gantt Chart'!AN78=14,'Project types'!$O79,'Prepare Gantt Chart'!AN78=13,'Project types'!$Q79,'Prepare Gantt Chart'!AN78=0,0)</f>
        <v>0</v>
      </c>
      <c r="AB89" s="83">
        <f>_xlfn.IFS('Prepare Gantt Chart'!AO78=14,'Project types'!$O79,'Prepare Gantt Chart'!AO78=13,'Project types'!$Q79,'Prepare Gantt Chart'!AO78=0,0)</f>
        <v>0</v>
      </c>
      <c r="AC89" s="93">
        <f t="shared" si="2"/>
        <v>0</v>
      </c>
      <c r="AD89" s="86">
        <f>_xlfn.IFS('Prepare Gantt Chart'!P78=14,'Project types'!$L79,'Prepare Gantt Chart'!P78=13,'Project types'!$L79,'Prepare Gantt Chart'!P78=0,0)</f>
        <v>0</v>
      </c>
      <c r="AE89" s="83">
        <f>_xlfn.IFS('Prepare Gantt Chart'!Q78=14,'Project types'!$L79,'Prepare Gantt Chart'!Q78=13,'Project types'!$L79,'Prepare Gantt Chart'!Q78=0,0)</f>
        <v>0</v>
      </c>
      <c r="AF89" s="83">
        <f>_xlfn.IFS('Prepare Gantt Chart'!R78=14,'Project types'!$L79,'Prepare Gantt Chart'!R78=13,'Project types'!$L79,'Prepare Gantt Chart'!R78=0,0)</f>
        <v>0</v>
      </c>
      <c r="AG89" s="83">
        <f>_xlfn.IFS('Prepare Gantt Chart'!S78=14,'Project types'!$L79,'Prepare Gantt Chart'!S78=13,'Project types'!$L79,'Prepare Gantt Chart'!S78=0,0)</f>
        <v>0</v>
      </c>
      <c r="AH89" s="83">
        <f>_xlfn.IFS('Prepare Gantt Chart'!T78=14,'Project types'!$L79,'Prepare Gantt Chart'!T78=13,'Project types'!$L79,'Prepare Gantt Chart'!T78=0,0)</f>
        <v>0</v>
      </c>
      <c r="AI89" s="83">
        <f>_xlfn.IFS('Prepare Gantt Chart'!U78=14,'Project types'!$L79,'Prepare Gantt Chart'!U78=13,'Project types'!$L79,'Prepare Gantt Chart'!U78=0,0)</f>
        <v>0</v>
      </c>
      <c r="AJ89" s="83">
        <f>_xlfn.IFS('Prepare Gantt Chart'!V78=14,'Project types'!$L79,'Prepare Gantt Chart'!V78=13,'Project types'!$L79,'Prepare Gantt Chart'!V78=0,0)</f>
        <v>0</v>
      </c>
      <c r="AK89" s="83">
        <f>_xlfn.IFS('Prepare Gantt Chart'!W78=14,'Project types'!$L79,'Prepare Gantt Chart'!W78=13,'Project types'!$L79,'Prepare Gantt Chart'!W78=0,0)</f>
        <v>0</v>
      </c>
      <c r="AL89" s="83">
        <f>_xlfn.IFS('Prepare Gantt Chart'!X78=14,'Project types'!$L79,'Prepare Gantt Chart'!X78=13,'Project types'!$L79,'Prepare Gantt Chart'!X78=0,0)</f>
        <v>0</v>
      </c>
      <c r="AM89" s="83">
        <f>_xlfn.IFS('Prepare Gantt Chart'!Y78=14,'Project types'!$L79,'Prepare Gantt Chart'!Y78=13,'Project types'!$L79,'Prepare Gantt Chart'!Y78=0,0)</f>
        <v>0</v>
      </c>
      <c r="AN89" s="83">
        <f>_xlfn.IFS('Prepare Gantt Chart'!Z78=14,'Project types'!$L79,'Prepare Gantt Chart'!Z78=13,'Project types'!$L79,'Prepare Gantt Chart'!Z78=0,0)</f>
        <v>0</v>
      </c>
      <c r="AO89" s="83">
        <f>_xlfn.IFS('Prepare Gantt Chart'!AA78=14,'Project types'!$L79,'Prepare Gantt Chart'!AA78=13,'Project types'!$L79,'Prepare Gantt Chart'!AA78=0,0)</f>
        <v>0</v>
      </c>
      <c r="AP89" s="83">
        <f>_xlfn.IFS('Prepare Gantt Chart'!AB78=14,'Project types'!$L79,'Prepare Gantt Chart'!AB78=13,'Project types'!$L79,'Prepare Gantt Chart'!AB78=0,0)</f>
        <v>0</v>
      </c>
      <c r="AQ89" s="83">
        <f>_xlfn.IFS('Prepare Gantt Chart'!AC78=14,'Project types'!$L79,'Prepare Gantt Chart'!AC78=13,'Project types'!$L79,'Prepare Gantt Chart'!AC78=0,0)</f>
        <v>0</v>
      </c>
      <c r="AR89" s="83">
        <f>_xlfn.IFS('Prepare Gantt Chart'!AD78=14,'Project types'!$L79,'Prepare Gantt Chart'!AD78=13,'Project types'!$L79,'Prepare Gantt Chart'!AD78=0,0)</f>
        <v>0</v>
      </c>
      <c r="AS89" s="83">
        <f>_xlfn.IFS('Prepare Gantt Chart'!AE78=14,'Project types'!$L79,'Prepare Gantt Chart'!AE78=13,'Project types'!$L79,'Prepare Gantt Chart'!AE78=0,0)</f>
        <v>0</v>
      </c>
      <c r="AT89" s="83">
        <f>_xlfn.IFS('Prepare Gantt Chart'!AF78=14,'Project types'!$L79,'Prepare Gantt Chart'!AF78=13,'Project types'!$L79,'Prepare Gantt Chart'!AF78=0,0)</f>
        <v>0</v>
      </c>
      <c r="AU89" s="83">
        <f>_xlfn.IFS('Prepare Gantt Chart'!AG78=14,'Project types'!$L79,'Prepare Gantt Chart'!AG78=13,'Project types'!$L79,'Prepare Gantt Chart'!AG78=0,0)</f>
        <v>0</v>
      </c>
      <c r="AV89" s="83">
        <f>_xlfn.IFS('Prepare Gantt Chart'!AH78=14,'Project types'!$L79,'Prepare Gantt Chart'!AH78=13,'Project types'!$L79,'Prepare Gantt Chart'!AH78=0,0)</f>
        <v>0</v>
      </c>
      <c r="AW89" s="83">
        <f>_xlfn.IFS('Prepare Gantt Chart'!AI78=14,'Project types'!$L79,'Prepare Gantt Chart'!AI78=13,'Project types'!$L79,'Prepare Gantt Chart'!AI78=0,0)</f>
        <v>0</v>
      </c>
      <c r="AX89" s="83">
        <f>_xlfn.IFS('Prepare Gantt Chart'!AJ78=14,'Project types'!$L79,'Prepare Gantt Chart'!AJ78=13,'Project types'!$L79,'Prepare Gantt Chart'!AJ78=0,0)</f>
        <v>0</v>
      </c>
      <c r="AY89" s="83">
        <f>_xlfn.IFS('Prepare Gantt Chart'!AK78=14,'Project types'!$L79,'Prepare Gantt Chart'!AK78=13,'Project types'!$L79,'Prepare Gantt Chart'!AK78=0,0)</f>
        <v>0</v>
      </c>
      <c r="AZ89" s="83">
        <f>_xlfn.IFS('Prepare Gantt Chart'!AL78=14,'Project types'!$L79,'Prepare Gantt Chart'!AL78=13,'Project types'!$L79,'Prepare Gantt Chart'!AL78=0,0)</f>
        <v>0</v>
      </c>
      <c r="BA89" s="83">
        <f>_xlfn.IFS('Prepare Gantt Chart'!AM78=14,'Project types'!$L79,'Prepare Gantt Chart'!AM78=13,'Project types'!$L79,'Prepare Gantt Chart'!AM78=0,0)</f>
        <v>0</v>
      </c>
      <c r="BB89" s="83">
        <f>_xlfn.IFS('Prepare Gantt Chart'!AN78=14,'Project types'!$L79,'Prepare Gantt Chart'!AN78=13,'Project types'!$L79,'Prepare Gantt Chart'!AN78=0,0)</f>
        <v>0</v>
      </c>
      <c r="BC89" s="83">
        <f>_xlfn.IFS('Prepare Gantt Chart'!AO78=14,'Project types'!$L79,'Prepare Gantt Chart'!AO78=13,'Project types'!$L79,'Prepare Gantt Chart'!AO78=0,0)</f>
        <v>0</v>
      </c>
      <c r="BD89" s="91">
        <f t="shared" si="3"/>
        <v>0</v>
      </c>
      <c r="CI89" s="85"/>
    </row>
    <row r="90" spans="1:87" x14ac:dyDescent="0.2">
      <c r="A90" s="1" t="s">
        <v>413</v>
      </c>
      <c r="B90" s="36" t="s">
        <v>72</v>
      </c>
      <c r="C90" s="83">
        <f>_xlfn.IFS('Prepare Gantt Chart'!P79=14,'Project types'!$O80,'Prepare Gantt Chart'!P79=13,'Project types'!$Q80,'Prepare Gantt Chart'!P79=0,0)</f>
        <v>0</v>
      </c>
      <c r="D90" s="83">
        <f>_xlfn.IFS('Prepare Gantt Chart'!Q79=14,'Project types'!$O80,'Prepare Gantt Chart'!Q79=13,'Project types'!$Q80,'Prepare Gantt Chart'!Q79=0,0)</f>
        <v>0</v>
      </c>
      <c r="E90" s="83">
        <f>_xlfn.IFS('Prepare Gantt Chart'!R79=14,'Project types'!$O80,'Prepare Gantt Chart'!R79=13,'Project types'!$Q80,'Prepare Gantt Chart'!R79=0,0)</f>
        <v>0</v>
      </c>
      <c r="F90" s="83">
        <f>_xlfn.IFS('Prepare Gantt Chart'!S79=14,'Project types'!$O80,'Prepare Gantt Chart'!S79=13,'Project types'!$Q80,'Prepare Gantt Chart'!S79=0,0)</f>
        <v>0</v>
      </c>
      <c r="G90" s="83">
        <f>_xlfn.IFS('Prepare Gantt Chart'!T79=14,'Project types'!$O80,'Prepare Gantt Chart'!T79=13,'Project types'!$Q80,'Prepare Gantt Chart'!T79=0,0)</f>
        <v>0</v>
      </c>
      <c r="H90" s="83">
        <f>_xlfn.IFS('Prepare Gantt Chart'!U79=14,'Project types'!$O80,'Prepare Gantt Chart'!U79=13,'Project types'!$Q80,'Prepare Gantt Chart'!U79=0,0)</f>
        <v>0</v>
      </c>
      <c r="I90" s="83">
        <f>_xlfn.IFS('Prepare Gantt Chart'!V79=14,'Project types'!$O80,'Prepare Gantt Chart'!V79=13,'Project types'!$Q80,'Prepare Gantt Chart'!V79=0,0)</f>
        <v>0</v>
      </c>
      <c r="J90" s="83">
        <f>_xlfn.IFS('Prepare Gantt Chart'!W79=14,'Project types'!$O80,'Prepare Gantt Chart'!W79=13,'Project types'!$Q80,'Prepare Gantt Chart'!W79=0,0)</f>
        <v>0</v>
      </c>
      <c r="K90" s="83">
        <f>_xlfn.IFS('Prepare Gantt Chart'!X79=14,'Project types'!$O80,'Prepare Gantt Chart'!X79=13,'Project types'!$Q80,'Prepare Gantt Chart'!X79=0,0)</f>
        <v>0</v>
      </c>
      <c r="L90" s="83">
        <f>_xlfn.IFS('Prepare Gantt Chart'!Y79=14,'Project types'!$O80,'Prepare Gantt Chart'!Y79=13,'Project types'!$Q80,'Prepare Gantt Chart'!Y79=0,0)</f>
        <v>0</v>
      </c>
      <c r="M90" s="83">
        <f>_xlfn.IFS('Prepare Gantt Chart'!Z79=14,'Project types'!$O80,'Prepare Gantt Chart'!Z79=13,'Project types'!$Q80,'Prepare Gantt Chart'!Z79=0,0)</f>
        <v>0</v>
      </c>
      <c r="N90" s="83">
        <f>_xlfn.IFS('Prepare Gantt Chart'!AA79=14,'Project types'!$O80,'Prepare Gantt Chart'!AA79=13,'Project types'!$Q80,'Prepare Gantt Chart'!AA79=0,0)</f>
        <v>0</v>
      </c>
      <c r="O90" s="83">
        <f>_xlfn.IFS('Prepare Gantt Chart'!AB79=14,'Project types'!$O80,'Prepare Gantt Chart'!AB79=13,'Project types'!$Q80,'Prepare Gantt Chart'!AB79=0,0)</f>
        <v>0</v>
      </c>
      <c r="P90" s="83">
        <f>_xlfn.IFS('Prepare Gantt Chart'!AC79=14,'Project types'!$O80,'Prepare Gantt Chart'!AC79=13,'Project types'!$Q80,'Prepare Gantt Chart'!AC79=0,0)</f>
        <v>0</v>
      </c>
      <c r="Q90" s="83">
        <f>_xlfn.IFS('Prepare Gantt Chart'!AD79=14,'Project types'!$O80,'Prepare Gantt Chart'!AD79=13,'Project types'!$Q80,'Prepare Gantt Chart'!AD79=0,0)</f>
        <v>0</v>
      </c>
      <c r="R90" s="83">
        <f>_xlfn.IFS('Prepare Gantt Chart'!AE79=14,'Project types'!$O80,'Prepare Gantt Chart'!AE79=13,'Project types'!$Q80,'Prepare Gantt Chart'!AE79=0,0)</f>
        <v>0</v>
      </c>
      <c r="S90" s="83">
        <f>_xlfn.IFS('Prepare Gantt Chart'!AF79=14,'Project types'!$O80,'Prepare Gantt Chart'!AF79=13,'Project types'!$Q80,'Prepare Gantt Chart'!AF79=0,0)</f>
        <v>0</v>
      </c>
      <c r="T90" s="83">
        <f>_xlfn.IFS('Prepare Gantt Chart'!AG79=14,'Project types'!$O80,'Prepare Gantt Chart'!AG79=13,'Project types'!$Q80,'Prepare Gantt Chart'!AG79=0,0)</f>
        <v>0</v>
      </c>
      <c r="U90" s="83">
        <f>_xlfn.IFS('Prepare Gantt Chart'!AH79=14,'Project types'!$O80,'Prepare Gantt Chart'!AH79=13,'Project types'!$Q80,'Prepare Gantt Chart'!AH79=0,0)</f>
        <v>0</v>
      </c>
      <c r="V90" s="83">
        <f>_xlfn.IFS('Prepare Gantt Chart'!AI79=14,'Project types'!$O80,'Prepare Gantt Chart'!AI79=13,'Project types'!$Q80,'Prepare Gantt Chart'!AI79=0,0)</f>
        <v>0</v>
      </c>
      <c r="W90" s="83">
        <f>_xlfn.IFS('Prepare Gantt Chart'!AJ79=14,'Project types'!$O80,'Prepare Gantt Chart'!AJ79=13,'Project types'!$Q80,'Prepare Gantt Chart'!AJ79=0,0)</f>
        <v>0</v>
      </c>
      <c r="X90" s="83">
        <f>_xlfn.IFS('Prepare Gantt Chart'!AK79=14,'Project types'!$O80,'Prepare Gantt Chart'!AK79=13,'Project types'!$Q80,'Prepare Gantt Chart'!AK79=0,0)</f>
        <v>0</v>
      </c>
      <c r="Y90" s="83">
        <f>_xlfn.IFS('Prepare Gantt Chart'!AL79=14,'Project types'!$O80,'Prepare Gantt Chart'!AL79=13,'Project types'!$Q80,'Prepare Gantt Chart'!AL79=0,0)</f>
        <v>0</v>
      </c>
      <c r="Z90" s="83">
        <f>_xlfn.IFS('Prepare Gantt Chart'!AM79=14,'Project types'!$O80,'Prepare Gantt Chart'!AM79=13,'Project types'!$Q80,'Prepare Gantt Chart'!AM79=0,0)</f>
        <v>0</v>
      </c>
      <c r="AA90" s="83">
        <f>_xlfn.IFS('Prepare Gantt Chart'!AN79=14,'Project types'!$O80,'Prepare Gantt Chart'!AN79=13,'Project types'!$Q80,'Prepare Gantt Chart'!AN79=0,0)</f>
        <v>0</v>
      </c>
      <c r="AB90" s="83">
        <f>_xlfn.IFS('Prepare Gantt Chart'!AO79=14,'Project types'!$O80,'Prepare Gantt Chart'!AO79=13,'Project types'!$Q80,'Prepare Gantt Chart'!AO79=0,0)</f>
        <v>0</v>
      </c>
      <c r="AC90" s="93">
        <f t="shared" si="2"/>
        <v>0</v>
      </c>
      <c r="AD90" s="86">
        <f>_xlfn.IFS('Prepare Gantt Chart'!P79=14,'Project types'!$L80,'Prepare Gantt Chart'!P79=13,'Project types'!$L80,'Prepare Gantt Chart'!P79=0,0)</f>
        <v>0</v>
      </c>
      <c r="AE90" s="83">
        <f>_xlfn.IFS('Prepare Gantt Chart'!Q79=14,'Project types'!$L80,'Prepare Gantt Chart'!Q79=13,'Project types'!$L80,'Prepare Gantt Chart'!Q79=0,0)</f>
        <v>0</v>
      </c>
      <c r="AF90" s="83">
        <f>_xlfn.IFS('Prepare Gantt Chart'!R79=14,'Project types'!$L80,'Prepare Gantt Chart'!R79=13,'Project types'!$L80,'Prepare Gantt Chart'!R79=0,0)</f>
        <v>0</v>
      </c>
      <c r="AG90" s="83">
        <f>_xlfn.IFS('Prepare Gantt Chart'!S79=14,'Project types'!$L80,'Prepare Gantt Chart'!S79=13,'Project types'!$L80,'Prepare Gantt Chart'!S79=0,0)</f>
        <v>0</v>
      </c>
      <c r="AH90" s="83">
        <f>_xlfn.IFS('Prepare Gantt Chart'!T79=14,'Project types'!$L80,'Prepare Gantt Chart'!T79=13,'Project types'!$L80,'Prepare Gantt Chart'!T79=0,0)</f>
        <v>0</v>
      </c>
      <c r="AI90" s="83">
        <f>_xlfn.IFS('Prepare Gantt Chart'!U79=14,'Project types'!$L80,'Prepare Gantt Chart'!U79=13,'Project types'!$L80,'Prepare Gantt Chart'!U79=0,0)</f>
        <v>0</v>
      </c>
      <c r="AJ90" s="83">
        <f>_xlfn.IFS('Prepare Gantt Chart'!V79=14,'Project types'!$L80,'Prepare Gantt Chart'!V79=13,'Project types'!$L80,'Prepare Gantt Chart'!V79=0,0)</f>
        <v>0</v>
      </c>
      <c r="AK90" s="83">
        <f>_xlfn.IFS('Prepare Gantt Chart'!W79=14,'Project types'!$L80,'Prepare Gantt Chart'!W79=13,'Project types'!$L80,'Prepare Gantt Chart'!W79=0,0)</f>
        <v>0</v>
      </c>
      <c r="AL90" s="83">
        <f>_xlfn.IFS('Prepare Gantt Chart'!X79=14,'Project types'!$L80,'Prepare Gantt Chart'!X79=13,'Project types'!$L80,'Prepare Gantt Chart'!X79=0,0)</f>
        <v>0</v>
      </c>
      <c r="AM90" s="83">
        <f>_xlfn.IFS('Prepare Gantt Chart'!Y79=14,'Project types'!$L80,'Prepare Gantt Chart'!Y79=13,'Project types'!$L80,'Prepare Gantt Chart'!Y79=0,0)</f>
        <v>0</v>
      </c>
      <c r="AN90" s="83">
        <f>_xlfn.IFS('Prepare Gantt Chart'!Z79=14,'Project types'!$L80,'Prepare Gantt Chart'!Z79=13,'Project types'!$L80,'Prepare Gantt Chart'!Z79=0,0)</f>
        <v>0</v>
      </c>
      <c r="AO90" s="83">
        <f>_xlfn.IFS('Prepare Gantt Chart'!AA79=14,'Project types'!$L80,'Prepare Gantt Chart'!AA79=13,'Project types'!$L80,'Prepare Gantt Chart'!AA79=0,0)</f>
        <v>0</v>
      </c>
      <c r="AP90" s="83">
        <f>_xlfn.IFS('Prepare Gantt Chart'!AB79=14,'Project types'!$L80,'Prepare Gantt Chart'!AB79=13,'Project types'!$L80,'Prepare Gantt Chart'!AB79=0,0)</f>
        <v>0</v>
      </c>
      <c r="AQ90" s="83">
        <f>_xlfn.IFS('Prepare Gantt Chart'!AC79=14,'Project types'!$L80,'Prepare Gantt Chart'!AC79=13,'Project types'!$L80,'Prepare Gantt Chart'!AC79=0,0)</f>
        <v>0</v>
      </c>
      <c r="AR90" s="83">
        <f>_xlfn.IFS('Prepare Gantt Chart'!AD79=14,'Project types'!$L80,'Prepare Gantt Chart'!AD79=13,'Project types'!$L80,'Prepare Gantt Chart'!AD79=0,0)</f>
        <v>0</v>
      </c>
      <c r="AS90" s="83">
        <f>_xlfn.IFS('Prepare Gantt Chart'!AE79=14,'Project types'!$L80,'Prepare Gantt Chart'!AE79=13,'Project types'!$L80,'Prepare Gantt Chart'!AE79=0,0)</f>
        <v>0</v>
      </c>
      <c r="AT90" s="83">
        <f>_xlfn.IFS('Prepare Gantt Chart'!AF79=14,'Project types'!$L80,'Prepare Gantt Chart'!AF79=13,'Project types'!$L80,'Prepare Gantt Chart'!AF79=0,0)</f>
        <v>0</v>
      </c>
      <c r="AU90" s="83">
        <f>_xlfn.IFS('Prepare Gantt Chart'!AG79=14,'Project types'!$L80,'Prepare Gantt Chart'!AG79=13,'Project types'!$L80,'Prepare Gantt Chart'!AG79=0,0)</f>
        <v>0</v>
      </c>
      <c r="AV90" s="83">
        <f>_xlfn.IFS('Prepare Gantt Chart'!AH79=14,'Project types'!$L80,'Prepare Gantt Chart'!AH79=13,'Project types'!$L80,'Prepare Gantt Chart'!AH79=0,0)</f>
        <v>0</v>
      </c>
      <c r="AW90" s="83">
        <f>_xlfn.IFS('Prepare Gantt Chart'!AI79=14,'Project types'!$L80,'Prepare Gantt Chart'!AI79=13,'Project types'!$L80,'Prepare Gantt Chart'!AI79=0,0)</f>
        <v>0</v>
      </c>
      <c r="AX90" s="83">
        <f>_xlfn.IFS('Prepare Gantt Chart'!AJ79=14,'Project types'!$L80,'Prepare Gantt Chart'!AJ79=13,'Project types'!$L80,'Prepare Gantt Chart'!AJ79=0,0)</f>
        <v>0</v>
      </c>
      <c r="AY90" s="83">
        <f>_xlfn.IFS('Prepare Gantt Chart'!AK79=14,'Project types'!$L80,'Prepare Gantt Chart'!AK79=13,'Project types'!$L80,'Prepare Gantt Chart'!AK79=0,0)</f>
        <v>0</v>
      </c>
      <c r="AZ90" s="83">
        <f>_xlfn.IFS('Prepare Gantt Chart'!AL79=14,'Project types'!$L80,'Prepare Gantt Chart'!AL79=13,'Project types'!$L80,'Prepare Gantt Chart'!AL79=0,0)</f>
        <v>0</v>
      </c>
      <c r="BA90" s="83">
        <f>_xlfn.IFS('Prepare Gantt Chart'!AM79=14,'Project types'!$L80,'Prepare Gantt Chart'!AM79=13,'Project types'!$L80,'Prepare Gantt Chart'!AM79=0,0)</f>
        <v>0</v>
      </c>
      <c r="BB90" s="83">
        <f>_xlfn.IFS('Prepare Gantt Chart'!AN79=14,'Project types'!$L80,'Prepare Gantt Chart'!AN79=13,'Project types'!$L80,'Prepare Gantt Chart'!AN79=0,0)</f>
        <v>0</v>
      </c>
      <c r="BC90" s="83">
        <f>_xlfn.IFS('Prepare Gantt Chart'!AO79=14,'Project types'!$L80,'Prepare Gantt Chart'!AO79=13,'Project types'!$L80,'Prepare Gantt Chart'!AO79=0,0)</f>
        <v>0</v>
      </c>
      <c r="BD90" s="91">
        <f t="shared" si="3"/>
        <v>0</v>
      </c>
      <c r="CI90" s="85"/>
    </row>
    <row r="91" spans="1:87" x14ac:dyDescent="0.2">
      <c r="A91" s="1" t="s">
        <v>470</v>
      </c>
      <c r="B91" s="36" t="s">
        <v>73</v>
      </c>
      <c r="C91" s="83">
        <f>_xlfn.IFS('Prepare Gantt Chart'!P80=14,'Project types'!$O81,'Prepare Gantt Chart'!P80=13,'Project types'!$Q81,'Prepare Gantt Chart'!P80=0,0)</f>
        <v>0</v>
      </c>
      <c r="D91" s="83">
        <f>_xlfn.IFS('Prepare Gantt Chart'!Q80=14,'Project types'!$O81,'Prepare Gantt Chart'!Q80=13,'Project types'!$Q81,'Prepare Gantt Chart'!Q80=0,0)</f>
        <v>0</v>
      </c>
      <c r="E91" s="83">
        <f>_xlfn.IFS('Prepare Gantt Chart'!R80=14,'Project types'!$O81,'Prepare Gantt Chart'!R80=13,'Project types'!$Q81,'Prepare Gantt Chart'!R80=0,0)</f>
        <v>0</v>
      </c>
      <c r="F91" s="83">
        <f>_xlfn.IFS('Prepare Gantt Chart'!S80=14,'Project types'!$O81,'Prepare Gantt Chart'!S80=13,'Project types'!$Q81,'Prepare Gantt Chart'!S80=0,0)</f>
        <v>0</v>
      </c>
      <c r="G91" s="83">
        <f>_xlfn.IFS('Prepare Gantt Chart'!T80=14,'Project types'!$O81,'Prepare Gantt Chart'!T80=13,'Project types'!$Q81,'Prepare Gantt Chart'!T80=0,0)</f>
        <v>0</v>
      </c>
      <c r="H91" s="83">
        <f>_xlfn.IFS('Prepare Gantt Chart'!U80=14,'Project types'!$O81,'Prepare Gantt Chart'!U80=13,'Project types'!$Q81,'Prepare Gantt Chart'!U80=0,0)</f>
        <v>0</v>
      </c>
      <c r="I91" s="83">
        <f>_xlfn.IFS('Prepare Gantt Chart'!V80=14,'Project types'!$O81,'Prepare Gantt Chart'!V80=13,'Project types'!$Q81,'Prepare Gantt Chart'!V80=0,0)</f>
        <v>0</v>
      </c>
      <c r="J91" s="83">
        <f>_xlfn.IFS('Prepare Gantt Chart'!W80=14,'Project types'!$O81,'Prepare Gantt Chart'!W80=13,'Project types'!$Q81,'Prepare Gantt Chart'!W80=0,0)</f>
        <v>0</v>
      </c>
      <c r="K91" s="83">
        <f>_xlfn.IFS('Prepare Gantt Chart'!X80=14,'Project types'!$O81,'Prepare Gantt Chart'!X80=13,'Project types'!$Q81,'Prepare Gantt Chart'!X80=0,0)</f>
        <v>0</v>
      </c>
      <c r="L91" s="83">
        <f>_xlfn.IFS('Prepare Gantt Chart'!Y80=14,'Project types'!$O81,'Prepare Gantt Chart'!Y80=13,'Project types'!$Q81,'Prepare Gantt Chart'!Y80=0,0)</f>
        <v>0</v>
      </c>
      <c r="M91" s="83">
        <f>_xlfn.IFS('Prepare Gantt Chart'!Z80=14,'Project types'!$O81,'Prepare Gantt Chart'!Z80=13,'Project types'!$Q81,'Prepare Gantt Chart'!Z80=0,0)</f>
        <v>0</v>
      </c>
      <c r="N91" s="83">
        <f>_xlfn.IFS('Prepare Gantt Chart'!AA80=14,'Project types'!$O81,'Prepare Gantt Chart'!AA80=13,'Project types'!$Q81,'Prepare Gantt Chart'!AA80=0,0)</f>
        <v>0</v>
      </c>
      <c r="O91" s="83">
        <f>_xlfn.IFS('Prepare Gantt Chart'!AB80=14,'Project types'!$O81,'Prepare Gantt Chart'!AB80=13,'Project types'!$Q81,'Prepare Gantt Chart'!AB80=0,0)</f>
        <v>0</v>
      </c>
      <c r="P91" s="83">
        <f>_xlfn.IFS('Prepare Gantt Chart'!AC80=14,'Project types'!$O81,'Prepare Gantt Chart'!AC80=13,'Project types'!$Q81,'Prepare Gantt Chart'!AC80=0,0)</f>
        <v>0</v>
      </c>
      <c r="Q91" s="83">
        <f>_xlfn.IFS('Prepare Gantt Chart'!AD80=14,'Project types'!$O81,'Prepare Gantt Chart'!AD80=13,'Project types'!$Q81,'Prepare Gantt Chart'!AD80=0,0)</f>
        <v>0</v>
      </c>
      <c r="R91" s="83">
        <f>_xlfn.IFS('Prepare Gantt Chart'!AE80=14,'Project types'!$O81,'Prepare Gantt Chart'!AE80=13,'Project types'!$Q81,'Prepare Gantt Chart'!AE80=0,0)</f>
        <v>0</v>
      </c>
      <c r="S91" s="83">
        <f>_xlfn.IFS('Prepare Gantt Chart'!AF80=14,'Project types'!$O81,'Prepare Gantt Chart'!AF80=13,'Project types'!$Q81,'Prepare Gantt Chart'!AF80=0,0)</f>
        <v>0</v>
      </c>
      <c r="T91" s="83">
        <f>_xlfn.IFS('Prepare Gantt Chart'!AG80=14,'Project types'!$O81,'Prepare Gantt Chart'!AG80=13,'Project types'!$Q81,'Prepare Gantt Chart'!AG80=0,0)</f>
        <v>0</v>
      </c>
      <c r="U91" s="83">
        <f>_xlfn.IFS('Prepare Gantt Chart'!AH80=14,'Project types'!$O81,'Prepare Gantt Chart'!AH80=13,'Project types'!$Q81,'Prepare Gantt Chart'!AH80=0,0)</f>
        <v>0</v>
      </c>
      <c r="V91" s="83">
        <f>_xlfn.IFS('Prepare Gantt Chart'!AI80=14,'Project types'!$O81,'Prepare Gantt Chart'!AI80=13,'Project types'!$Q81,'Prepare Gantt Chart'!AI80=0,0)</f>
        <v>0</v>
      </c>
      <c r="W91" s="83">
        <f>_xlfn.IFS('Prepare Gantt Chart'!AJ80=14,'Project types'!$O81,'Prepare Gantt Chart'!AJ80=13,'Project types'!$Q81,'Prepare Gantt Chart'!AJ80=0,0)</f>
        <v>0</v>
      </c>
      <c r="X91" s="83">
        <f>_xlfn.IFS('Prepare Gantt Chart'!AK80=14,'Project types'!$O81,'Prepare Gantt Chart'!AK80=13,'Project types'!$Q81,'Prepare Gantt Chart'!AK80=0,0)</f>
        <v>0</v>
      </c>
      <c r="Y91" s="83">
        <f>_xlfn.IFS('Prepare Gantt Chart'!AL80=14,'Project types'!$O81,'Prepare Gantt Chart'!AL80=13,'Project types'!$Q81,'Prepare Gantt Chart'!AL80=0,0)</f>
        <v>0</v>
      </c>
      <c r="Z91" s="83">
        <f>_xlfn.IFS('Prepare Gantt Chart'!AM80=14,'Project types'!$O81,'Prepare Gantt Chart'!AM80=13,'Project types'!$Q81,'Prepare Gantt Chart'!AM80=0,0)</f>
        <v>0</v>
      </c>
      <c r="AA91" s="83">
        <f>_xlfn.IFS('Prepare Gantt Chart'!AN80=14,'Project types'!$O81,'Prepare Gantt Chart'!AN80=13,'Project types'!$Q81,'Prepare Gantt Chart'!AN80=0,0)</f>
        <v>0</v>
      </c>
      <c r="AB91" s="83">
        <f>_xlfn.IFS('Prepare Gantt Chart'!AO80=14,'Project types'!$O81,'Prepare Gantt Chart'!AO80=13,'Project types'!$Q81,'Prepare Gantt Chart'!AO80=0,0)</f>
        <v>0</v>
      </c>
      <c r="AC91" s="93">
        <f t="shared" si="2"/>
        <v>0</v>
      </c>
      <c r="AD91" s="86">
        <f>_xlfn.IFS('Prepare Gantt Chart'!P80=14,'Project types'!$L81,'Prepare Gantt Chart'!P80=13,'Project types'!$L81,'Prepare Gantt Chart'!P80=0,0)</f>
        <v>0</v>
      </c>
      <c r="AE91" s="83">
        <f>_xlfn.IFS('Prepare Gantt Chart'!Q80=14,'Project types'!$L81,'Prepare Gantt Chart'!Q80=13,'Project types'!$L81,'Prepare Gantt Chart'!Q80=0,0)</f>
        <v>0</v>
      </c>
      <c r="AF91" s="83">
        <f>_xlfn.IFS('Prepare Gantt Chart'!R80=14,'Project types'!$L81,'Prepare Gantt Chart'!R80=13,'Project types'!$L81,'Prepare Gantt Chart'!R80=0,0)</f>
        <v>0</v>
      </c>
      <c r="AG91" s="83">
        <f>_xlfn.IFS('Prepare Gantt Chart'!S80=14,'Project types'!$L81,'Prepare Gantt Chart'!S80=13,'Project types'!$L81,'Prepare Gantt Chart'!S80=0,0)</f>
        <v>0</v>
      </c>
      <c r="AH91" s="83">
        <f>_xlfn.IFS('Prepare Gantt Chart'!T80=14,'Project types'!$L81,'Prepare Gantt Chart'!T80=13,'Project types'!$L81,'Prepare Gantt Chart'!T80=0,0)</f>
        <v>0</v>
      </c>
      <c r="AI91" s="83">
        <f>_xlfn.IFS('Prepare Gantt Chart'!U80=14,'Project types'!$L81,'Prepare Gantt Chart'!U80=13,'Project types'!$L81,'Prepare Gantt Chart'!U80=0,0)</f>
        <v>0</v>
      </c>
      <c r="AJ91" s="83">
        <f>_xlfn.IFS('Prepare Gantt Chart'!V80=14,'Project types'!$L81,'Prepare Gantt Chart'!V80=13,'Project types'!$L81,'Prepare Gantt Chart'!V80=0,0)</f>
        <v>0</v>
      </c>
      <c r="AK91" s="83">
        <f>_xlfn.IFS('Prepare Gantt Chart'!W80=14,'Project types'!$L81,'Prepare Gantt Chart'!W80=13,'Project types'!$L81,'Prepare Gantt Chart'!W80=0,0)</f>
        <v>0</v>
      </c>
      <c r="AL91" s="83">
        <f>_xlfn.IFS('Prepare Gantt Chart'!X80=14,'Project types'!$L81,'Prepare Gantt Chart'!X80=13,'Project types'!$L81,'Prepare Gantt Chart'!X80=0,0)</f>
        <v>0</v>
      </c>
      <c r="AM91" s="83">
        <f>_xlfn.IFS('Prepare Gantt Chart'!Y80=14,'Project types'!$L81,'Prepare Gantt Chart'!Y80=13,'Project types'!$L81,'Prepare Gantt Chart'!Y80=0,0)</f>
        <v>0</v>
      </c>
      <c r="AN91" s="83">
        <f>_xlfn.IFS('Prepare Gantt Chart'!Z80=14,'Project types'!$L81,'Prepare Gantt Chart'!Z80=13,'Project types'!$L81,'Prepare Gantt Chart'!Z80=0,0)</f>
        <v>0</v>
      </c>
      <c r="AO91" s="83">
        <f>_xlfn.IFS('Prepare Gantt Chart'!AA80=14,'Project types'!$L81,'Prepare Gantt Chart'!AA80=13,'Project types'!$L81,'Prepare Gantt Chart'!AA80=0,0)</f>
        <v>0</v>
      </c>
      <c r="AP91" s="83">
        <f>_xlfn.IFS('Prepare Gantt Chart'!AB80=14,'Project types'!$L81,'Prepare Gantt Chart'!AB80=13,'Project types'!$L81,'Prepare Gantt Chart'!AB80=0,0)</f>
        <v>0</v>
      </c>
      <c r="AQ91" s="83">
        <f>_xlfn.IFS('Prepare Gantt Chart'!AC80=14,'Project types'!$L81,'Prepare Gantt Chart'!AC80=13,'Project types'!$L81,'Prepare Gantt Chart'!AC80=0,0)</f>
        <v>0</v>
      </c>
      <c r="AR91" s="83">
        <f>_xlfn.IFS('Prepare Gantt Chart'!AD80=14,'Project types'!$L81,'Prepare Gantt Chart'!AD80=13,'Project types'!$L81,'Prepare Gantt Chart'!AD80=0,0)</f>
        <v>0</v>
      </c>
      <c r="AS91" s="83">
        <f>_xlfn.IFS('Prepare Gantt Chart'!AE80=14,'Project types'!$L81,'Prepare Gantt Chart'!AE80=13,'Project types'!$L81,'Prepare Gantt Chart'!AE80=0,0)</f>
        <v>0</v>
      </c>
      <c r="AT91" s="83">
        <f>_xlfn.IFS('Prepare Gantt Chart'!AF80=14,'Project types'!$L81,'Prepare Gantt Chart'!AF80=13,'Project types'!$L81,'Prepare Gantt Chart'!AF80=0,0)</f>
        <v>0</v>
      </c>
      <c r="AU91" s="83">
        <f>_xlfn.IFS('Prepare Gantt Chart'!AG80=14,'Project types'!$L81,'Prepare Gantt Chart'!AG80=13,'Project types'!$L81,'Prepare Gantt Chart'!AG80=0,0)</f>
        <v>0</v>
      </c>
      <c r="AV91" s="83">
        <f>_xlfn.IFS('Prepare Gantt Chart'!AH80=14,'Project types'!$L81,'Prepare Gantt Chart'!AH80=13,'Project types'!$L81,'Prepare Gantt Chart'!AH80=0,0)</f>
        <v>0</v>
      </c>
      <c r="AW91" s="83">
        <f>_xlfn.IFS('Prepare Gantt Chart'!AI80=14,'Project types'!$L81,'Prepare Gantt Chart'!AI80=13,'Project types'!$L81,'Prepare Gantt Chart'!AI80=0,0)</f>
        <v>0</v>
      </c>
      <c r="AX91" s="83">
        <f>_xlfn.IFS('Prepare Gantt Chart'!AJ80=14,'Project types'!$L81,'Prepare Gantt Chart'!AJ80=13,'Project types'!$L81,'Prepare Gantt Chart'!AJ80=0,0)</f>
        <v>0</v>
      </c>
      <c r="AY91" s="83">
        <f>_xlfn.IFS('Prepare Gantt Chart'!AK80=14,'Project types'!$L81,'Prepare Gantt Chart'!AK80=13,'Project types'!$L81,'Prepare Gantt Chart'!AK80=0,0)</f>
        <v>0</v>
      </c>
      <c r="AZ91" s="83">
        <f>_xlfn.IFS('Prepare Gantt Chart'!AL80=14,'Project types'!$L81,'Prepare Gantt Chart'!AL80=13,'Project types'!$L81,'Prepare Gantt Chart'!AL80=0,0)</f>
        <v>0</v>
      </c>
      <c r="BA91" s="83">
        <f>_xlfn.IFS('Prepare Gantt Chart'!AM80=14,'Project types'!$L81,'Prepare Gantt Chart'!AM80=13,'Project types'!$L81,'Prepare Gantt Chart'!AM80=0,0)</f>
        <v>0</v>
      </c>
      <c r="BB91" s="83">
        <f>_xlfn.IFS('Prepare Gantt Chart'!AN80=14,'Project types'!$L81,'Prepare Gantt Chart'!AN80=13,'Project types'!$L81,'Prepare Gantt Chart'!AN80=0,0)</f>
        <v>0</v>
      </c>
      <c r="BC91" s="83">
        <f>_xlfn.IFS('Prepare Gantt Chart'!AO80=14,'Project types'!$L81,'Prepare Gantt Chart'!AO80=13,'Project types'!$L81,'Prepare Gantt Chart'!AO80=0,0)</f>
        <v>0</v>
      </c>
      <c r="BD91" s="91">
        <f t="shared" si="3"/>
        <v>0</v>
      </c>
      <c r="CI91" s="85"/>
    </row>
    <row r="92" spans="1:87" x14ac:dyDescent="0.2">
      <c r="A92" s="1" t="s">
        <v>153</v>
      </c>
      <c r="B92" s="36" t="s">
        <v>74</v>
      </c>
      <c r="C92" s="83">
        <f>_xlfn.IFS('Prepare Gantt Chart'!P81=14,'Project types'!$O82,'Prepare Gantt Chart'!P81=13,'Project types'!$Q82,'Prepare Gantt Chart'!P81=0,0)</f>
        <v>0</v>
      </c>
      <c r="D92" s="83">
        <f>_xlfn.IFS('Prepare Gantt Chart'!Q81=14,'Project types'!$O82,'Prepare Gantt Chart'!Q81=13,'Project types'!$Q82,'Prepare Gantt Chart'!Q81=0,0)</f>
        <v>0</v>
      </c>
      <c r="E92" s="83">
        <f>_xlfn.IFS('Prepare Gantt Chart'!R81=14,'Project types'!$O82,'Prepare Gantt Chart'!R81=13,'Project types'!$Q82,'Prepare Gantt Chart'!R81=0,0)</f>
        <v>0</v>
      </c>
      <c r="F92" s="83">
        <f>_xlfn.IFS('Prepare Gantt Chart'!S81=14,'Project types'!$O82,'Prepare Gantt Chart'!S81=13,'Project types'!$Q82,'Prepare Gantt Chart'!S81=0,0)</f>
        <v>0</v>
      </c>
      <c r="G92" s="83">
        <f>_xlfn.IFS('Prepare Gantt Chart'!T81=14,'Project types'!$O82,'Prepare Gantt Chart'!T81=13,'Project types'!$Q82,'Prepare Gantt Chart'!T81=0,0)</f>
        <v>0</v>
      </c>
      <c r="H92" s="83">
        <f>_xlfn.IFS('Prepare Gantt Chart'!U81=14,'Project types'!$O82,'Prepare Gantt Chart'!U81=13,'Project types'!$Q82,'Prepare Gantt Chart'!U81=0,0)</f>
        <v>0</v>
      </c>
      <c r="I92" s="83">
        <f>_xlfn.IFS('Prepare Gantt Chart'!V81=14,'Project types'!$O82,'Prepare Gantt Chart'!V81=13,'Project types'!$Q82,'Prepare Gantt Chart'!V81=0,0)</f>
        <v>0</v>
      </c>
      <c r="J92" s="83">
        <f>_xlfn.IFS('Prepare Gantt Chart'!W81=14,'Project types'!$O82,'Prepare Gantt Chart'!W81=13,'Project types'!$Q82,'Prepare Gantt Chart'!W81=0,0)</f>
        <v>0</v>
      </c>
      <c r="K92" s="83">
        <f>_xlfn.IFS('Prepare Gantt Chart'!X81=14,'Project types'!$O82,'Prepare Gantt Chart'!X81=13,'Project types'!$Q82,'Prepare Gantt Chart'!X81=0,0)</f>
        <v>0</v>
      </c>
      <c r="L92" s="83">
        <f>_xlfn.IFS('Prepare Gantt Chart'!Y81=14,'Project types'!$O82,'Prepare Gantt Chart'!Y81=13,'Project types'!$Q82,'Prepare Gantt Chart'!Y81=0,0)</f>
        <v>0</v>
      </c>
      <c r="M92" s="83">
        <f>_xlfn.IFS('Prepare Gantt Chart'!Z81=14,'Project types'!$O82,'Prepare Gantt Chart'!Z81=13,'Project types'!$Q82,'Prepare Gantt Chart'!Z81=0,0)</f>
        <v>0</v>
      </c>
      <c r="N92" s="83">
        <f>_xlfn.IFS('Prepare Gantt Chart'!AA81=14,'Project types'!$O82,'Prepare Gantt Chart'!AA81=13,'Project types'!$Q82,'Prepare Gantt Chart'!AA81=0,0)</f>
        <v>0</v>
      </c>
      <c r="O92" s="83">
        <f>_xlfn.IFS('Prepare Gantt Chart'!AB81=14,'Project types'!$O82,'Prepare Gantt Chart'!AB81=13,'Project types'!$Q82,'Prepare Gantt Chart'!AB81=0,0)</f>
        <v>0</v>
      </c>
      <c r="P92" s="83">
        <f>_xlfn.IFS('Prepare Gantt Chart'!AC81=14,'Project types'!$O82,'Prepare Gantt Chart'!AC81=13,'Project types'!$Q82,'Prepare Gantt Chart'!AC81=0,0)</f>
        <v>0</v>
      </c>
      <c r="Q92" s="83">
        <f>_xlfn.IFS('Prepare Gantt Chart'!AD81=14,'Project types'!$O82,'Prepare Gantt Chart'!AD81=13,'Project types'!$Q82,'Prepare Gantt Chart'!AD81=0,0)</f>
        <v>0</v>
      </c>
      <c r="R92" s="83">
        <f>_xlfn.IFS('Prepare Gantt Chart'!AE81=14,'Project types'!$O82,'Prepare Gantt Chart'!AE81=13,'Project types'!$Q82,'Prepare Gantt Chart'!AE81=0,0)</f>
        <v>0</v>
      </c>
      <c r="S92" s="83">
        <f>_xlfn.IFS('Prepare Gantt Chart'!AF81=14,'Project types'!$O82,'Prepare Gantt Chart'!AF81=13,'Project types'!$Q82,'Prepare Gantt Chart'!AF81=0,0)</f>
        <v>0</v>
      </c>
      <c r="T92" s="83">
        <f>_xlfn.IFS('Prepare Gantt Chart'!AG81=14,'Project types'!$O82,'Prepare Gantt Chart'!AG81=13,'Project types'!$Q82,'Prepare Gantt Chart'!AG81=0,0)</f>
        <v>0</v>
      </c>
      <c r="U92" s="83">
        <f>_xlfn.IFS('Prepare Gantt Chart'!AH81=14,'Project types'!$O82,'Prepare Gantt Chart'!AH81=13,'Project types'!$Q82,'Prepare Gantt Chart'!AH81=0,0)</f>
        <v>0</v>
      </c>
      <c r="V92" s="83">
        <f>_xlfn.IFS('Prepare Gantt Chart'!AI81=14,'Project types'!$O82,'Prepare Gantt Chart'!AI81=13,'Project types'!$Q82,'Prepare Gantt Chart'!AI81=0,0)</f>
        <v>0</v>
      </c>
      <c r="W92" s="83">
        <f>_xlfn.IFS('Prepare Gantt Chart'!AJ81=14,'Project types'!$O82,'Prepare Gantt Chart'!AJ81=13,'Project types'!$Q82,'Prepare Gantt Chart'!AJ81=0,0)</f>
        <v>0</v>
      </c>
      <c r="X92" s="83">
        <f>_xlfn.IFS('Prepare Gantt Chart'!AK81=14,'Project types'!$O82,'Prepare Gantt Chart'!AK81=13,'Project types'!$Q82,'Prepare Gantt Chart'!AK81=0,0)</f>
        <v>0</v>
      </c>
      <c r="Y92" s="83">
        <f>_xlfn.IFS('Prepare Gantt Chart'!AL81=14,'Project types'!$O82,'Prepare Gantt Chart'!AL81=13,'Project types'!$Q82,'Prepare Gantt Chart'!AL81=0,0)</f>
        <v>0</v>
      </c>
      <c r="Z92" s="83">
        <f>_xlfn.IFS('Prepare Gantt Chart'!AM81=14,'Project types'!$O82,'Prepare Gantt Chart'!AM81=13,'Project types'!$Q82,'Prepare Gantt Chart'!AM81=0,0)</f>
        <v>0</v>
      </c>
      <c r="AA92" s="83">
        <f>_xlfn.IFS('Prepare Gantt Chart'!AN81=14,'Project types'!$O82,'Prepare Gantt Chart'!AN81=13,'Project types'!$Q82,'Prepare Gantt Chart'!AN81=0,0)</f>
        <v>0</v>
      </c>
      <c r="AB92" s="83">
        <f>_xlfn.IFS('Prepare Gantt Chart'!AO81=14,'Project types'!$O82,'Prepare Gantt Chart'!AO81=13,'Project types'!$Q82,'Prepare Gantt Chart'!AO81=0,0)</f>
        <v>0</v>
      </c>
      <c r="AC92" s="93">
        <f t="shared" si="2"/>
        <v>0</v>
      </c>
      <c r="AD92" s="86">
        <f>_xlfn.IFS('Prepare Gantt Chart'!P81=14,'Project types'!$L82,'Prepare Gantt Chart'!P81=13,'Project types'!$L82,'Prepare Gantt Chart'!P81=0,0)</f>
        <v>0</v>
      </c>
      <c r="AE92" s="83">
        <f>_xlfn.IFS('Prepare Gantt Chart'!Q81=14,'Project types'!$L82,'Prepare Gantt Chart'!Q81=13,'Project types'!$L82,'Prepare Gantt Chart'!Q81=0,0)</f>
        <v>0</v>
      </c>
      <c r="AF92" s="83">
        <f>_xlfn.IFS('Prepare Gantt Chart'!R81=14,'Project types'!$L82,'Prepare Gantt Chart'!R81=13,'Project types'!$L82,'Prepare Gantt Chart'!R81=0,0)</f>
        <v>0</v>
      </c>
      <c r="AG92" s="83">
        <f>_xlfn.IFS('Prepare Gantt Chart'!S81=14,'Project types'!$L82,'Prepare Gantt Chart'!S81=13,'Project types'!$L82,'Prepare Gantt Chart'!S81=0,0)</f>
        <v>0</v>
      </c>
      <c r="AH92" s="83">
        <f>_xlfn.IFS('Prepare Gantt Chart'!T81=14,'Project types'!$L82,'Prepare Gantt Chart'!T81=13,'Project types'!$L82,'Prepare Gantt Chart'!T81=0,0)</f>
        <v>0</v>
      </c>
      <c r="AI92" s="83">
        <f>_xlfn.IFS('Prepare Gantt Chart'!U81=14,'Project types'!$L82,'Prepare Gantt Chart'!U81=13,'Project types'!$L82,'Prepare Gantt Chart'!U81=0,0)</f>
        <v>0</v>
      </c>
      <c r="AJ92" s="83">
        <f>_xlfn.IFS('Prepare Gantt Chart'!V81=14,'Project types'!$L82,'Prepare Gantt Chart'!V81=13,'Project types'!$L82,'Prepare Gantt Chart'!V81=0,0)</f>
        <v>0</v>
      </c>
      <c r="AK92" s="83">
        <f>_xlfn.IFS('Prepare Gantt Chart'!W81=14,'Project types'!$L82,'Prepare Gantt Chart'!W81=13,'Project types'!$L82,'Prepare Gantt Chart'!W81=0,0)</f>
        <v>0</v>
      </c>
      <c r="AL92" s="83">
        <f>_xlfn.IFS('Prepare Gantt Chart'!X81=14,'Project types'!$L82,'Prepare Gantt Chart'!X81=13,'Project types'!$L82,'Prepare Gantt Chart'!X81=0,0)</f>
        <v>0</v>
      </c>
      <c r="AM92" s="83">
        <f>_xlfn.IFS('Prepare Gantt Chart'!Y81=14,'Project types'!$L82,'Prepare Gantt Chart'!Y81=13,'Project types'!$L82,'Prepare Gantt Chart'!Y81=0,0)</f>
        <v>0</v>
      </c>
      <c r="AN92" s="83">
        <f>_xlfn.IFS('Prepare Gantt Chart'!Z81=14,'Project types'!$L82,'Prepare Gantt Chart'!Z81=13,'Project types'!$L82,'Prepare Gantt Chart'!Z81=0,0)</f>
        <v>0</v>
      </c>
      <c r="AO92" s="83">
        <f>_xlfn.IFS('Prepare Gantt Chart'!AA81=14,'Project types'!$L82,'Prepare Gantt Chart'!AA81=13,'Project types'!$L82,'Prepare Gantt Chart'!AA81=0,0)</f>
        <v>0</v>
      </c>
      <c r="AP92" s="83">
        <f>_xlfn.IFS('Prepare Gantt Chart'!AB81=14,'Project types'!$L82,'Prepare Gantt Chart'!AB81=13,'Project types'!$L82,'Prepare Gantt Chart'!AB81=0,0)</f>
        <v>0</v>
      </c>
      <c r="AQ92" s="83">
        <f>_xlfn.IFS('Prepare Gantt Chart'!AC81=14,'Project types'!$L82,'Prepare Gantt Chart'!AC81=13,'Project types'!$L82,'Prepare Gantt Chart'!AC81=0,0)</f>
        <v>0</v>
      </c>
      <c r="AR92" s="83">
        <f>_xlfn.IFS('Prepare Gantt Chart'!AD81=14,'Project types'!$L82,'Prepare Gantt Chart'!AD81=13,'Project types'!$L82,'Prepare Gantt Chart'!AD81=0,0)</f>
        <v>0</v>
      </c>
      <c r="AS92" s="83">
        <f>_xlfn.IFS('Prepare Gantt Chart'!AE81=14,'Project types'!$L82,'Prepare Gantt Chart'!AE81=13,'Project types'!$L82,'Prepare Gantt Chart'!AE81=0,0)</f>
        <v>0</v>
      </c>
      <c r="AT92" s="83">
        <f>_xlfn.IFS('Prepare Gantt Chart'!AF81=14,'Project types'!$L82,'Prepare Gantt Chart'!AF81=13,'Project types'!$L82,'Prepare Gantt Chart'!AF81=0,0)</f>
        <v>0</v>
      </c>
      <c r="AU92" s="83">
        <f>_xlfn.IFS('Prepare Gantt Chart'!AG81=14,'Project types'!$L82,'Prepare Gantt Chart'!AG81=13,'Project types'!$L82,'Prepare Gantt Chart'!AG81=0,0)</f>
        <v>0</v>
      </c>
      <c r="AV92" s="83">
        <f>_xlfn.IFS('Prepare Gantt Chart'!AH81=14,'Project types'!$L82,'Prepare Gantt Chart'!AH81=13,'Project types'!$L82,'Prepare Gantt Chart'!AH81=0,0)</f>
        <v>0</v>
      </c>
      <c r="AW92" s="83">
        <f>_xlfn.IFS('Prepare Gantt Chart'!AI81=14,'Project types'!$L82,'Prepare Gantt Chart'!AI81=13,'Project types'!$L82,'Prepare Gantt Chart'!AI81=0,0)</f>
        <v>0</v>
      </c>
      <c r="AX92" s="83">
        <f>_xlfn.IFS('Prepare Gantt Chart'!AJ81=14,'Project types'!$L82,'Prepare Gantt Chart'!AJ81=13,'Project types'!$L82,'Prepare Gantt Chart'!AJ81=0,0)</f>
        <v>0</v>
      </c>
      <c r="AY92" s="83">
        <f>_xlfn.IFS('Prepare Gantt Chart'!AK81=14,'Project types'!$L82,'Prepare Gantt Chart'!AK81=13,'Project types'!$L82,'Prepare Gantt Chart'!AK81=0,0)</f>
        <v>0</v>
      </c>
      <c r="AZ92" s="83">
        <f>_xlfn.IFS('Prepare Gantt Chart'!AL81=14,'Project types'!$L82,'Prepare Gantt Chart'!AL81=13,'Project types'!$L82,'Prepare Gantt Chart'!AL81=0,0)</f>
        <v>0</v>
      </c>
      <c r="BA92" s="83">
        <f>_xlfn.IFS('Prepare Gantt Chart'!AM81=14,'Project types'!$L82,'Prepare Gantt Chart'!AM81=13,'Project types'!$L82,'Prepare Gantt Chart'!AM81=0,0)</f>
        <v>0</v>
      </c>
      <c r="BB92" s="83">
        <f>_xlfn.IFS('Prepare Gantt Chart'!AN81=14,'Project types'!$L82,'Prepare Gantt Chart'!AN81=13,'Project types'!$L82,'Prepare Gantt Chart'!AN81=0,0)</f>
        <v>0</v>
      </c>
      <c r="BC92" s="83">
        <f>_xlfn.IFS('Prepare Gantt Chart'!AO81=14,'Project types'!$L82,'Prepare Gantt Chart'!AO81=13,'Project types'!$L82,'Prepare Gantt Chart'!AO81=0,0)</f>
        <v>0</v>
      </c>
      <c r="BD92" s="91">
        <f t="shared" si="3"/>
        <v>0</v>
      </c>
      <c r="CI92" s="85"/>
    </row>
    <row r="93" spans="1:87" x14ac:dyDescent="0.2">
      <c r="A93" s="1" t="s">
        <v>154</v>
      </c>
      <c r="B93" s="36" t="s">
        <v>75</v>
      </c>
      <c r="C93" s="83">
        <f>_xlfn.IFS('Prepare Gantt Chart'!P82=14,'Project types'!$O83,'Prepare Gantt Chart'!P82=13,'Project types'!$Q83,'Prepare Gantt Chart'!P82=0,0)</f>
        <v>0</v>
      </c>
      <c r="D93" s="83">
        <f>_xlfn.IFS('Prepare Gantt Chart'!Q82=14,'Project types'!$O83,'Prepare Gantt Chart'!Q82=13,'Project types'!$Q83,'Prepare Gantt Chart'!Q82=0,0)</f>
        <v>0</v>
      </c>
      <c r="E93" s="83">
        <f>_xlfn.IFS('Prepare Gantt Chart'!R82=14,'Project types'!$O83,'Prepare Gantt Chart'!R82=13,'Project types'!$Q83,'Prepare Gantt Chart'!R82=0,0)</f>
        <v>0</v>
      </c>
      <c r="F93" s="83">
        <f>_xlfn.IFS('Prepare Gantt Chart'!S82=14,'Project types'!$O83,'Prepare Gantt Chart'!S82=13,'Project types'!$Q83,'Prepare Gantt Chart'!S82=0,0)</f>
        <v>0</v>
      </c>
      <c r="G93" s="83">
        <f>_xlfn.IFS('Prepare Gantt Chart'!T82=14,'Project types'!$O83,'Prepare Gantt Chart'!T82=13,'Project types'!$Q83,'Prepare Gantt Chart'!T82=0,0)</f>
        <v>0</v>
      </c>
      <c r="H93" s="83">
        <f>_xlfn.IFS('Prepare Gantt Chart'!U82=14,'Project types'!$O83,'Prepare Gantt Chart'!U82=13,'Project types'!$Q83,'Prepare Gantt Chart'!U82=0,0)</f>
        <v>0</v>
      </c>
      <c r="I93" s="83">
        <f>_xlfn.IFS('Prepare Gantt Chart'!V82=14,'Project types'!$O83,'Prepare Gantt Chart'!V82=13,'Project types'!$Q83,'Prepare Gantt Chart'!V82=0,0)</f>
        <v>0</v>
      </c>
      <c r="J93" s="83">
        <f>_xlfn.IFS('Prepare Gantt Chart'!W82=14,'Project types'!$O83,'Prepare Gantt Chart'!W82=13,'Project types'!$Q83,'Prepare Gantt Chart'!W82=0,0)</f>
        <v>0</v>
      </c>
      <c r="K93" s="83">
        <f>_xlfn.IFS('Prepare Gantt Chart'!X82=14,'Project types'!$O83,'Prepare Gantt Chart'!X82=13,'Project types'!$Q83,'Prepare Gantt Chart'!X82=0,0)</f>
        <v>0</v>
      </c>
      <c r="L93" s="83">
        <f>_xlfn.IFS('Prepare Gantt Chart'!Y82=14,'Project types'!$O83,'Prepare Gantt Chart'!Y82=13,'Project types'!$Q83,'Prepare Gantt Chart'!Y82=0,0)</f>
        <v>0</v>
      </c>
      <c r="M93" s="83">
        <f>_xlfn.IFS('Prepare Gantt Chart'!Z82=14,'Project types'!$O83,'Prepare Gantt Chart'!Z82=13,'Project types'!$Q83,'Prepare Gantt Chart'!Z82=0,0)</f>
        <v>0</v>
      </c>
      <c r="N93" s="83">
        <f>_xlfn.IFS('Prepare Gantt Chart'!AA82=14,'Project types'!$O83,'Prepare Gantt Chart'!AA82=13,'Project types'!$Q83,'Prepare Gantt Chart'!AA82=0,0)</f>
        <v>0</v>
      </c>
      <c r="O93" s="83">
        <f>_xlfn.IFS('Prepare Gantt Chart'!AB82=14,'Project types'!$O83,'Prepare Gantt Chart'!AB82=13,'Project types'!$Q83,'Prepare Gantt Chart'!AB82=0,0)</f>
        <v>0</v>
      </c>
      <c r="P93" s="83">
        <f>_xlfn.IFS('Prepare Gantt Chart'!AC82=14,'Project types'!$O83,'Prepare Gantt Chart'!AC82=13,'Project types'!$Q83,'Prepare Gantt Chart'!AC82=0,0)</f>
        <v>0</v>
      </c>
      <c r="Q93" s="83">
        <f>_xlfn.IFS('Prepare Gantt Chart'!AD82=14,'Project types'!$O83,'Prepare Gantt Chart'!AD82=13,'Project types'!$Q83,'Prepare Gantt Chart'!AD82=0,0)</f>
        <v>0</v>
      </c>
      <c r="R93" s="83">
        <f>_xlfn.IFS('Prepare Gantt Chart'!AE82=14,'Project types'!$O83,'Prepare Gantt Chart'!AE82=13,'Project types'!$Q83,'Prepare Gantt Chart'!AE82=0,0)</f>
        <v>0</v>
      </c>
      <c r="S93" s="83">
        <f>_xlfn.IFS('Prepare Gantt Chart'!AF82=14,'Project types'!$O83,'Prepare Gantt Chart'!AF82=13,'Project types'!$Q83,'Prepare Gantt Chart'!AF82=0,0)</f>
        <v>0</v>
      </c>
      <c r="T93" s="83">
        <f>_xlfn.IFS('Prepare Gantt Chart'!AG82=14,'Project types'!$O83,'Prepare Gantt Chart'!AG82=13,'Project types'!$Q83,'Prepare Gantt Chart'!AG82=0,0)</f>
        <v>0</v>
      </c>
      <c r="U93" s="83">
        <f>_xlfn.IFS('Prepare Gantt Chart'!AH82=14,'Project types'!$O83,'Prepare Gantt Chart'!AH82=13,'Project types'!$Q83,'Prepare Gantt Chart'!AH82=0,0)</f>
        <v>0</v>
      </c>
      <c r="V93" s="83">
        <f>_xlfn.IFS('Prepare Gantt Chart'!AI82=14,'Project types'!$O83,'Prepare Gantt Chart'!AI82=13,'Project types'!$Q83,'Prepare Gantt Chart'!AI82=0,0)</f>
        <v>0</v>
      </c>
      <c r="W93" s="83">
        <f>_xlfn.IFS('Prepare Gantt Chart'!AJ82=14,'Project types'!$O83,'Prepare Gantt Chart'!AJ82=13,'Project types'!$Q83,'Prepare Gantt Chart'!AJ82=0,0)</f>
        <v>0</v>
      </c>
      <c r="X93" s="83">
        <f>_xlfn.IFS('Prepare Gantt Chart'!AK82=14,'Project types'!$O83,'Prepare Gantt Chart'!AK82=13,'Project types'!$Q83,'Prepare Gantt Chart'!AK82=0,0)</f>
        <v>0</v>
      </c>
      <c r="Y93" s="83">
        <f>_xlfn.IFS('Prepare Gantt Chart'!AL82=14,'Project types'!$O83,'Prepare Gantt Chart'!AL82=13,'Project types'!$Q83,'Prepare Gantt Chart'!AL82=0,0)</f>
        <v>0</v>
      </c>
      <c r="Z93" s="83">
        <f>_xlfn.IFS('Prepare Gantt Chart'!AM82=14,'Project types'!$O83,'Prepare Gantt Chart'!AM82=13,'Project types'!$Q83,'Prepare Gantt Chart'!AM82=0,0)</f>
        <v>0</v>
      </c>
      <c r="AA93" s="83">
        <f>_xlfn.IFS('Prepare Gantt Chart'!AN82=14,'Project types'!$O83,'Prepare Gantt Chart'!AN82=13,'Project types'!$Q83,'Prepare Gantt Chart'!AN82=0,0)</f>
        <v>0</v>
      </c>
      <c r="AB93" s="83">
        <f>_xlfn.IFS('Prepare Gantt Chart'!AO82=14,'Project types'!$O83,'Prepare Gantt Chart'!AO82=13,'Project types'!$Q83,'Prepare Gantt Chart'!AO82=0,0)</f>
        <v>0</v>
      </c>
      <c r="AC93" s="93">
        <f t="shared" si="2"/>
        <v>0</v>
      </c>
      <c r="AD93" s="86">
        <f>_xlfn.IFS('Prepare Gantt Chart'!P82=14,'Project types'!$L83,'Prepare Gantt Chart'!P82=13,'Project types'!$L83,'Prepare Gantt Chart'!P82=0,0)</f>
        <v>0</v>
      </c>
      <c r="AE93" s="83">
        <f>_xlfn.IFS('Prepare Gantt Chart'!Q82=14,'Project types'!$L83,'Prepare Gantt Chart'!Q82=13,'Project types'!$L83,'Prepare Gantt Chart'!Q82=0,0)</f>
        <v>0</v>
      </c>
      <c r="AF93" s="83">
        <f>_xlfn.IFS('Prepare Gantt Chart'!R82=14,'Project types'!$L83,'Prepare Gantt Chart'!R82=13,'Project types'!$L83,'Prepare Gantt Chart'!R82=0,0)</f>
        <v>0</v>
      </c>
      <c r="AG93" s="83">
        <f>_xlfn.IFS('Prepare Gantt Chart'!S82=14,'Project types'!$L83,'Prepare Gantt Chart'!S82=13,'Project types'!$L83,'Prepare Gantt Chart'!S82=0,0)</f>
        <v>0</v>
      </c>
      <c r="AH93" s="83">
        <f>_xlfn.IFS('Prepare Gantt Chart'!T82=14,'Project types'!$L83,'Prepare Gantt Chart'!T82=13,'Project types'!$L83,'Prepare Gantt Chart'!T82=0,0)</f>
        <v>0</v>
      </c>
      <c r="AI93" s="83">
        <f>_xlfn.IFS('Prepare Gantt Chart'!U82=14,'Project types'!$L83,'Prepare Gantt Chart'!U82=13,'Project types'!$L83,'Prepare Gantt Chart'!U82=0,0)</f>
        <v>0</v>
      </c>
      <c r="AJ93" s="83">
        <f>_xlfn.IFS('Prepare Gantt Chart'!V82=14,'Project types'!$L83,'Prepare Gantt Chart'!V82=13,'Project types'!$L83,'Prepare Gantt Chart'!V82=0,0)</f>
        <v>0</v>
      </c>
      <c r="AK93" s="83">
        <f>_xlfn.IFS('Prepare Gantt Chart'!W82=14,'Project types'!$L83,'Prepare Gantt Chart'!W82=13,'Project types'!$L83,'Prepare Gantt Chart'!W82=0,0)</f>
        <v>0</v>
      </c>
      <c r="AL93" s="83">
        <f>_xlfn.IFS('Prepare Gantt Chart'!X82=14,'Project types'!$L83,'Prepare Gantt Chart'!X82=13,'Project types'!$L83,'Prepare Gantt Chart'!X82=0,0)</f>
        <v>0</v>
      </c>
      <c r="AM93" s="83">
        <f>_xlfn.IFS('Prepare Gantt Chart'!Y82=14,'Project types'!$L83,'Prepare Gantt Chart'!Y82=13,'Project types'!$L83,'Prepare Gantt Chart'!Y82=0,0)</f>
        <v>0</v>
      </c>
      <c r="AN93" s="83">
        <f>_xlfn.IFS('Prepare Gantt Chart'!Z82=14,'Project types'!$L83,'Prepare Gantt Chart'!Z82=13,'Project types'!$L83,'Prepare Gantt Chart'!Z82=0,0)</f>
        <v>0</v>
      </c>
      <c r="AO93" s="83">
        <f>_xlfn.IFS('Prepare Gantt Chart'!AA82=14,'Project types'!$L83,'Prepare Gantt Chart'!AA82=13,'Project types'!$L83,'Prepare Gantt Chart'!AA82=0,0)</f>
        <v>0</v>
      </c>
      <c r="AP93" s="83">
        <f>_xlfn.IFS('Prepare Gantt Chart'!AB82=14,'Project types'!$L83,'Prepare Gantt Chart'!AB82=13,'Project types'!$L83,'Prepare Gantt Chart'!AB82=0,0)</f>
        <v>0</v>
      </c>
      <c r="AQ93" s="83">
        <f>_xlfn.IFS('Prepare Gantt Chart'!AC82=14,'Project types'!$L83,'Prepare Gantt Chart'!AC82=13,'Project types'!$L83,'Prepare Gantt Chart'!AC82=0,0)</f>
        <v>0</v>
      </c>
      <c r="AR93" s="83">
        <f>_xlfn.IFS('Prepare Gantt Chart'!AD82=14,'Project types'!$L83,'Prepare Gantt Chart'!AD82=13,'Project types'!$L83,'Prepare Gantt Chart'!AD82=0,0)</f>
        <v>0</v>
      </c>
      <c r="AS93" s="83">
        <f>_xlfn.IFS('Prepare Gantt Chart'!AE82=14,'Project types'!$L83,'Prepare Gantt Chart'!AE82=13,'Project types'!$L83,'Prepare Gantt Chart'!AE82=0,0)</f>
        <v>0</v>
      </c>
      <c r="AT93" s="83">
        <f>_xlfn.IFS('Prepare Gantt Chart'!AF82=14,'Project types'!$L83,'Prepare Gantt Chart'!AF82=13,'Project types'!$L83,'Prepare Gantt Chart'!AF82=0,0)</f>
        <v>0</v>
      </c>
      <c r="AU93" s="83">
        <f>_xlfn.IFS('Prepare Gantt Chart'!AG82=14,'Project types'!$L83,'Prepare Gantt Chart'!AG82=13,'Project types'!$L83,'Prepare Gantt Chart'!AG82=0,0)</f>
        <v>0</v>
      </c>
      <c r="AV93" s="83">
        <f>_xlfn.IFS('Prepare Gantt Chart'!AH82=14,'Project types'!$L83,'Prepare Gantt Chart'!AH82=13,'Project types'!$L83,'Prepare Gantt Chart'!AH82=0,0)</f>
        <v>0</v>
      </c>
      <c r="AW93" s="83">
        <f>_xlfn.IFS('Prepare Gantt Chart'!AI82=14,'Project types'!$L83,'Prepare Gantt Chart'!AI82=13,'Project types'!$L83,'Prepare Gantt Chart'!AI82=0,0)</f>
        <v>0</v>
      </c>
      <c r="AX93" s="83">
        <f>_xlfn.IFS('Prepare Gantt Chart'!AJ82=14,'Project types'!$L83,'Prepare Gantt Chart'!AJ82=13,'Project types'!$L83,'Prepare Gantt Chart'!AJ82=0,0)</f>
        <v>0</v>
      </c>
      <c r="AY93" s="83">
        <f>_xlfn.IFS('Prepare Gantt Chart'!AK82=14,'Project types'!$L83,'Prepare Gantt Chart'!AK82=13,'Project types'!$L83,'Prepare Gantt Chart'!AK82=0,0)</f>
        <v>0</v>
      </c>
      <c r="AZ93" s="83">
        <f>_xlfn.IFS('Prepare Gantt Chart'!AL82=14,'Project types'!$L83,'Prepare Gantt Chart'!AL82=13,'Project types'!$L83,'Prepare Gantt Chart'!AL82=0,0)</f>
        <v>0</v>
      </c>
      <c r="BA93" s="83">
        <f>_xlfn.IFS('Prepare Gantt Chart'!AM82=14,'Project types'!$L83,'Prepare Gantt Chart'!AM82=13,'Project types'!$L83,'Prepare Gantt Chart'!AM82=0,0)</f>
        <v>0</v>
      </c>
      <c r="BB93" s="83">
        <f>_xlfn.IFS('Prepare Gantt Chart'!AN82=14,'Project types'!$L83,'Prepare Gantt Chart'!AN82=13,'Project types'!$L83,'Prepare Gantt Chart'!AN82=0,0)</f>
        <v>0</v>
      </c>
      <c r="BC93" s="83">
        <f>_xlfn.IFS('Prepare Gantt Chart'!AO82=14,'Project types'!$L83,'Prepare Gantt Chart'!AO82=13,'Project types'!$L83,'Prepare Gantt Chart'!AO82=0,0)</f>
        <v>0</v>
      </c>
      <c r="BD93" s="91">
        <f t="shared" si="3"/>
        <v>0</v>
      </c>
      <c r="CI93" s="85"/>
    </row>
    <row r="94" spans="1:87" x14ac:dyDescent="0.2">
      <c r="A94" s="1" t="s">
        <v>155</v>
      </c>
      <c r="B94" s="36" t="s">
        <v>76</v>
      </c>
      <c r="C94" s="83">
        <f>_xlfn.IFS('Prepare Gantt Chart'!P83=14,'Project types'!$O84,'Prepare Gantt Chart'!P83=13,'Project types'!$Q84,'Prepare Gantt Chart'!P83=0,0)</f>
        <v>0</v>
      </c>
      <c r="D94" s="83">
        <f>_xlfn.IFS('Prepare Gantt Chart'!Q83=14,'Project types'!$O84,'Prepare Gantt Chart'!Q83=13,'Project types'!$Q84,'Prepare Gantt Chart'!Q83=0,0)</f>
        <v>0</v>
      </c>
      <c r="E94" s="83">
        <f>_xlfn.IFS('Prepare Gantt Chart'!R83=14,'Project types'!$O84,'Prepare Gantt Chart'!R83=13,'Project types'!$Q84,'Prepare Gantt Chart'!R83=0,0)</f>
        <v>0</v>
      </c>
      <c r="F94" s="83">
        <f>_xlfn.IFS('Prepare Gantt Chart'!S83=14,'Project types'!$O84,'Prepare Gantt Chart'!S83=13,'Project types'!$Q84,'Prepare Gantt Chart'!S83=0,0)</f>
        <v>0</v>
      </c>
      <c r="G94" s="83">
        <f>_xlfn.IFS('Prepare Gantt Chart'!T83=14,'Project types'!$O84,'Prepare Gantt Chart'!T83=13,'Project types'!$Q84,'Prepare Gantt Chart'!T83=0,0)</f>
        <v>0</v>
      </c>
      <c r="H94" s="83">
        <f>_xlfn.IFS('Prepare Gantt Chart'!U83=14,'Project types'!$O84,'Prepare Gantt Chart'!U83=13,'Project types'!$Q84,'Prepare Gantt Chart'!U83=0,0)</f>
        <v>0</v>
      </c>
      <c r="I94" s="83">
        <f>_xlfn.IFS('Prepare Gantt Chart'!V83=14,'Project types'!$O84,'Prepare Gantt Chart'!V83=13,'Project types'!$Q84,'Prepare Gantt Chart'!V83=0,0)</f>
        <v>0</v>
      </c>
      <c r="J94" s="83">
        <f>_xlfn.IFS('Prepare Gantt Chart'!W83=14,'Project types'!$O84,'Prepare Gantt Chart'!W83=13,'Project types'!$Q84,'Prepare Gantt Chart'!W83=0,0)</f>
        <v>0</v>
      </c>
      <c r="K94" s="83">
        <f>_xlfn.IFS('Prepare Gantt Chart'!X83=14,'Project types'!$O84,'Prepare Gantt Chart'!X83=13,'Project types'!$Q84,'Prepare Gantt Chart'!X83=0,0)</f>
        <v>0</v>
      </c>
      <c r="L94" s="83">
        <f>_xlfn.IFS('Prepare Gantt Chart'!Y83=14,'Project types'!$O84,'Prepare Gantt Chart'!Y83=13,'Project types'!$Q84,'Prepare Gantt Chart'!Y83=0,0)</f>
        <v>0</v>
      </c>
      <c r="M94" s="83">
        <f>_xlfn.IFS('Prepare Gantt Chart'!Z83=14,'Project types'!$O84,'Prepare Gantt Chart'!Z83=13,'Project types'!$Q84,'Prepare Gantt Chart'!Z83=0,0)</f>
        <v>0</v>
      </c>
      <c r="N94" s="83">
        <f>_xlfn.IFS('Prepare Gantt Chart'!AA83=14,'Project types'!$O84,'Prepare Gantt Chart'!AA83=13,'Project types'!$Q84,'Prepare Gantt Chart'!AA83=0,0)</f>
        <v>0</v>
      </c>
      <c r="O94" s="83">
        <f>_xlfn.IFS('Prepare Gantt Chart'!AB83=14,'Project types'!$O84,'Prepare Gantt Chart'!AB83=13,'Project types'!$Q84,'Prepare Gantt Chart'!AB83=0,0)</f>
        <v>0</v>
      </c>
      <c r="P94" s="83">
        <f>_xlfn.IFS('Prepare Gantt Chart'!AC83=14,'Project types'!$O84,'Prepare Gantt Chart'!AC83=13,'Project types'!$Q84,'Prepare Gantt Chart'!AC83=0,0)</f>
        <v>0</v>
      </c>
      <c r="Q94" s="83">
        <f>_xlfn.IFS('Prepare Gantt Chart'!AD83=14,'Project types'!$O84,'Prepare Gantt Chart'!AD83=13,'Project types'!$Q84,'Prepare Gantt Chart'!AD83=0,0)</f>
        <v>0</v>
      </c>
      <c r="R94" s="83">
        <f>_xlfn.IFS('Prepare Gantt Chart'!AE83=14,'Project types'!$O84,'Prepare Gantt Chart'!AE83=13,'Project types'!$Q84,'Prepare Gantt Chart'!AE83=0,0)</f>
        <v>0</v>
      </c>
      <c r="S94" s="83">
        <f>_xlfn.IFS('Prepare Gantt Chart'!AF83=14,'Project types'!$O84,'Prepare Gantt Chart'!AF83=13,'Project types'!$Q84,'Prepare Gantt Chart'!AF83=0,0)</f>
        <v>0</v>
      </c>
      <c r="T94" s="83">
        <f>_xlfn.IFS('Prepare Gantt Chart'!AG83=14,'Project types'!$O84,'Prepare Gantt Chart'!AG83=13,'Project types'!$Q84,'Prepare Gantt Chart'!AG83=0,0)</f>
        <v>0</v>
      </c>
      <c r="U94" s="83">
        <f>_xlfn.IFS('Prepare Gantt Chart'!AH83=14,'Project types'!$O84,'Prepare Gantt Chart'!AH83=13,'Project types'!$Q84,'Prepare Gantt Chart'!AH83=0,0)</f>
        <v>0</v>
      </c>
      <c r="V94" s="83">
        <f>_xlfn.IFS('Prepare Gantt Chart'!AI83=14,'Project types'!$O84,'Prepare Gantt Chart'!AI83=13,'Project types'!$Q84,'Prepare Gantt Chart'!AI83=0,0)</f>
        <v>0</v>
      </c>
      <c r="W94" s="83">
        <f>_xlfn.IFS('Prepare Gantt Chart'!AJ83=14,'Project types'!$O84,'Prepare Gantt Chart'!AJ83=13,'Project types'!$Q84,'Prepare Gantt Chart'!AJ83=0,0)</f>
        <v>0</v>
      </c>
      <c r="X94" s="83">
        <f>_xlfn.IFS('Prepare Gantt Chart'!AK83=14,'Project types'!$O84,'Prepare Gantt Chart'!AK83=13,'Project types'!$Q84,'Prepare Gantt Chart'!AK83=0,0)</f>
        <v>0</v>
      </c>
      <c r="Y94" s="83">
        <f>_xlfn.IFS('Prepare Gantt Chart'!AL83=14,'Project types'!$O84,'Prepare Gantt Chart'!AL83=13,'Project types'!$Q84,'Prepare Gantt Chart'!AL83=0,0)</f>
        <v>0</v>
      </c>
      <c r="Z94" s="83">
        <f>_xlfn.IFS('Prepare Gantt Chart'!AM83=14,'Project types'!$O84,'Prepare Gantt Chart'!AM83=13,'Project types'!$Q84,'Prepare Gantt Chart'!AM83=0,0)</f>
        <v>0</v>
      </c>
      <c r="AA94" s="83">
        <f>_xlfn.IFS('Prepare Gantt Chart'!AN83=14,'Project types'!$O84,'Prepare Gantt Chart'!AN83=13,'Project types'!$Q84,'Prepare Gantt Chart'!AN83=0,0)</f>
        <v>0</v>
      </c>
      <c r="AB94" s="83">
        <f>_xlfn.IFS('Prepare Gantt Chart'!AO83=14,'Project types'!$O84,'Prepare Gantt Chart'!AO83=13,'Project types'!$Q84,'Prepare Gantt Chart'!AO83=0,0)</f>
        <v>0</v>
      </c>
      <c r="AC94" s="93">
        <f t="shared" si="2"/>
        <v>0</v>
      </c>
      <c r="AD94" s="86">
        <f>_xlfn.IFS('Prepare Gantt Chart'!P83=14,'Project types'!$L84,'Prepare Gantt Chart'!P83=13,'Project types'!$L84,'Prepare Gantt Chart'!P83=0,0)</f>
        <v>0</v>
      </c>
      <c r="AE94" s="83">
        <f>_xlfn.IFS('Prepare Gantt Chart'!Q83=14,'Project types'!$L84,'Prepare Gantt Chart'!Q83=13,'Project types'!$L84,'Prepare Gantt Chart'!Q83=0,0)</f>
        <v>0</v>
      </c>
      <c r="AF94" s="83">
        <f>_xlfn.IFS('Prepare Gantt Chart'!R83=14,'Project types'!$L84,'Prepare Gantt Chart'!R83=13,'Project types'!$L84,'Prepare Gantt Chart'!R83=0,0)</f>
        <v>0</v>
      </c>
      <c r="AG94" s="83">
        <f>_xlfn.IFS('Prepare Gantt Chart'!S83=14,'Project types'!$L84,'Prepare Gantt Chart'!S83=13,'Project types'!$L84,'Prepare Gantt Chart'!S83=0,0)</f>
        <v>0</v>
      </c>
      <c r="AH94" s="83">
        <f>_xlfn.IFS('Prepare Gantt Chart'!T83=14,'Project types'!$L84,'Prepare Gantt Chart'!T83=13,'Project types'!$L84,'Prepare Gantt Chart'!T83=0,0)</f>
        <v>0</v>
      </c>
      <c r="AI94" s="83">
        <f>_xlfn.IFS('Prepare Gantt Chart'!U83=14,'Project types'!$L84,'Prepare Gantt Chart'!U83=13,'Project types'!$L84,'Prepare Gantt Chart'!U83=0,0)</f>
        <v>0</v>
      </c>
      <c r="AJ94" s="83">
        <f>_xlfn.IFS('Prepare Gantt Chart'!V83=14,'Project types'!$L84,'Prepare Gantt Chart'!V83=13,'Project types'!$L84,'Prepare Gantt Chart'!V83=0,0)</f>
        <v>0</v>
      </c>
      <c r="AK94" s="83">
        <f>_xlfn.IFS('Prepare Gantt Chart'!W83=14,'Project types'!$L84,'Prepare Gantt Chart'!W83=13,'Project types'!$L84,'Prepare Gantt Chart'!W83=0,0)</f>
        <v>0</v>
      </c>
      <c r="AL94" s="83">
        <f>_xlfn.IFS('Prepare Gantt Chart'!X83=14,'Project types'!$L84,'Prepare Gantt Chart'!X83=13,'Project types'!$L84,'Prepare Gantt Chart'!X83=0,0)</f>
        <v>0</v>
      </c>
      <c r="AM94" s="83">
        <f>_xlfn.IFS('Prepare Gantt Chart'!Y83=14,'Project types'!$L84,'Prepare Gantt Chart'!Y83=13,'Project types'!$L84,'Prepare Gantt Chart'!Y83=0,0)</f>
        <v>0</v>
      </c>
      <c r="AN94" s="83">
        <f>_xlfn.IFS('Prepare Gantt Chart'!Z83=14,'Project types'!$L84,'Prepare Gantt Chart'!Z83=13,'Project types'!$L84,'Prepare Gantt Chart'!Z83=0,0)</f>
        <v>0</v>
      </c>
      <c r="AO94" s="83">
        <f>_xlfn.IFS('Prepare Gantt Chart'!AA83=14,'Project types'!$L84,'Prepare Gantt Chart'!AA83=13,'Project types'!$L84,'Prepare Gantt Chart'!AA83=0,0)</f>
        <v>0</v>
      </c>
      <c r="AP94" s="83">
        <f>_xlfn.IFS('Prepare Gantt Chart'!AB83=14,'Project types'!$L84,'Prepare Gantt Chart'!AB83=13,'Project types'!$L84,'Prepare Gantt Chart'!AB83=0,0)</f>
        <v>0</v>
      </c>
      <c r="AQ94" s="83">
        <f>_xlfn.IFS('Prepare Gantt Chart'!AC83=14,'Project types'!$L84,'Prepare Gantt Chart'!AC83=13,'Project types'!$L84,'Prepare Gantt Chart'!AC83=0,0)</f>
        <v>0</v>
      </c>
      <c r="AR94" s="83">
        <f>_xlfn.IFS('Prepare Gantt Chart'!AD83=14,'Project types'!$L84,'Prepare Gantt Chart'!AD83=13,'Project types'!$L84,'Prepare Gantt Chart'!AD83=0,0)</f>
        <v>0</v>
      </c>
      <c r="AS94" s="83">
        <f>_xlfn.IFS('Prepare Gantt Chart'!AE83=14,'Project types'!$L84,'Prepare Gantt Chart'!AE83=13,'Project types'!$L84,'Prepare Gantt Chart'!AE83=0,0)</f>
        <v>0</v>
      </c>
      <c r="AT94" s="83">
        <f>_xlfn.IFS('Prepare Gantt Chart'!AF83=14,'Project types'!$L84,'Prepare Gantt Chart'!AF83=13,'Project types'!$L84,'Prepare Gantt Chart'!AF83=0,0)</f>
        <v>0</v>
      </c>
      <c r="AU94" s="83">
        <f>_xlfn.IFS('Prepare Gantt Chart'!AG83=14,'Project types'!$L84,'Prepare Gantt Chart'!AG83=13,'Project types'!$L84,'Prepare Gantt Chart'!AG83=0,0)</f>
        <v>0</v>
      </c>
      <c r="AV94" s="83">
        <f>_xlfn.IFS('Prepare Gantt Chart'!AH83=14,'Project types'!$L84,'Prepare Gantt Chart'!AH83=13,'Project types'!$L84,'Prepare Gantt Chart'!AH83=0,0)</f>
        <v>0</v>
      </c>
      <c r="AW94" s="83">
        <f>_xlfn.IFS('Prepare Gantt Chart'!AI83=14,'Project types'!$L84,'Prepare Gantt Chart'!AI83=13,'Project types'!$L84,'Prepare Gantt Chart'!AI83=0,0)</f>
        <v>0</v>
      </c>
      <c r="AX94" s="83">
        <f>_xlfn.IFS('Prepare Gantt Chart'!AJ83=14,'Project types'!$L84,'Prepare Gantt Chart'!AJ83=13,'Project types'!$L84,'Prepare Gantt Chart'!AJ83=0,0)</f>
        <v>0</v>
      </c>
      <c r="AY94" s="83">
        <f>_xlfn.IFS('Prepare Gantt Chart'!AK83=14,'Project types'!$L84,'Prepare Gantt Chart'!AK83=13,'Project types'!$L84,'Prepare Gantt Chart'!AK83=0,0)</f>
        <v>0</v>
      </c>
      <c r="AZ94" s="83">
        <f>_xlfn.IFS('Prepare Gantt Chart'!AL83=14,'Project types'!$L84,'Prepare Gantt Chart'!AL83=13,'Project types'!$L84,'Prepare Gantt Chart'!AL83=0,0)</f>
        <v>0</v>
      </c>
      <c r="BA94" s="83">
        <f>_xlfn.IFS('Prepare Gantt Chart'!AM83=14,'Project types'!$L84,'Prepare Gantt Chart'!AM83=13,'Project types'!$L84,'Prepare Gantt Chart'!AM83=0,0)</f>
        <v>0</v>
      </c>
      <c r="BB94" s="83">
        <f>_xlfn.IFS('Prepare Gantt Chart'!AN83=14,'Project types'!$L84,'Prepare Gantt Chart'!AN83=13,'Project types'!$L84,'Prepare Gantt Chart'!AN83=0,0)</f>
        <v>0</v>
      </c>
      <c r="BC94" s="83">
        <f>_xlfn.IFS('Prepare Gantt Chart'!AO83=14,'Project types'!$L84,'Prepare Gantt Chart'!AO83=13,'Project types'!$L84,'Prepare Gantt Chart'!AO83=0,0)</f>
        <v>0</v>
      </c>
      <c r="BD94" s="91">
        <f t="shared" si="3"/>
        <v>0</v>
      </c>
      <c r="CI94" s="85"/>
    </row>
    <row r="95" spans="1:87" x14ac:dyDescent="0.2">
      <c r="A95" s="1" t="s">
        <v>156</v>
      </c>
      <c r="B95" s="36" t="s">
        <v>77</v>
      </c>
      <c r="C95" s="83">
        <f>_xlfn.IFS('Prepare Gantt Chart'!P84=14,'Project types'!$O85,'Prepare Gantt Chart'!P84=13,'Project types'!$Q85,'Prepare Gantt Chart'!P84=0,0)</f>
        <v>0</v>
      </c>
      <c r="D95" s="83">
        <f>_xlfn.IFS('Prepare Gantt Chart'!Q84=14,'Project types'!$O85,'Prepare Gantt Chart'!Q84=13,'Project types'!$Q85,'Prepare Gantt Chart'!Q84=0,0)</f>
        <v>0</v>
      </c>
      <c r="E95" s="83">
        <f>_xlfn.IFS('Prepare Gantt Chart'!R84=14,'Project types'!$O85,'Prepare Gantt Chart'!R84=13,'Project types'!$Q85,'Prepare Gantt Chart'!R84=0,0)</f>
        <v>0</v>
      </c>
      <c r="F95" s="83">
        <f>_xlfn.IFS('Prepare Gantt Chart'!S84=14,'Project types'!$O85,'Prepare Gantt Chart'!S84=13,'Project types'!$Q85,'Prepare Gantt Chart'!S84=0,0)</f>
        <v>0</v>
      </c>
      <c r="G95" s="83">
        <f>_xlfn.IFS('Prepare Gantt Chart'!T84=14,'Project types'!$O85,'Prepare Gantt Chart'!T84=13,'Project types'!$Q85,'Prepare Gantt Chart'!T84=0,0)</f>
        <v>0</v>
      </c>
      <c r="H95" s="83">
        <f>_xlfn.IFS('Prepare Gantt Chart'!U84=14,'Project types'!$O85,'Prepare Gantt Chart'!U84=13,'Project types'!$Q85,'Prepare Gantt Chart'!U84=0,0)</f>
        <v>0</v>
      </c>
      <c r="I95" s="83">
        <f>_xlfn.IFS('Prepare Gantt Chart'!V84=14,'Project types'!$O85,'Prepare Gantt Chart'!V84=13,'Project types'!$Q85,'Prepare Gantt Chart'!V84=0,0)</f>
        <v>0</v>
      </c>
      <c r="J95" s="83">
        <f>_xlfn.IFS('Prepare Gantt Chart'!W84=14,'Project types'!$O85,'Prepare Gantt Chart'!W84=13,'Project types'!$Q85,'Prepare Gantt Chart'!W84=0,0)</f>
        <v>0</v>
      </c>
      <c r="K95" s="83">
        <f>_xlfn.IFS('Prepare Gantt Chart'!X84=14,'Project types'!$O85,'Prepare Gantt Chart'!X84=13,'Project types'!$Q85,'Prepare Gantt Chart'!X84=0,0)</f>
        <v>0</v>
      </c>
      <c r="L95" s="83">
        <f>_xlfn.IFS('Prepare Gantt Chart'!Y84=14,'Project types'!$O85,'Prepare Gantt Chart'!Y84=13,'Project types'!$Q85,'Prepare Gantt Chart'!Y84=0,0)</f>
        <v>0</v>
      </c>
      <c r="M95" s="83">
        <f>_xlfn.IFS('Prepare Gantt Chart'!Z84=14,'Project types'!$O85,'Prepare Gantt Chart'!Z84=13,'Project types'!$Q85,'Prepare Gantt Chart'!Z84=0,0)</f>
        <v>0</v>
      </c>
      <c r="N95" s="83">
        <f>_xlfn.IFS('Prepare Gantt Chart'!AA84=14,'Project types'!$O85,'Prepare Gantt Chart'!AA84=13,'Project types'!$Q85,'Prepare Gantt Chart'!AA84=0,0)</f>
        <v>0</v>
      </c>
      <c r="O95" s="83">
        <f>_xlfn.IFS('Prepare Gantt Chart'!AB84=14,'Project types'!$O85,'Prepare Gantt Chart'!AB84=13,'Project types'!$Q85,'Prepare Gantt Chart'!AB84=0,0)</f>
        <v>0</v>
      </c>
      <c r="P95" s="83">
        <f>_xlfn.IFS('Prepare Gantt Chart'!AC84=14,'Project types'!$O85,'Prepare Gantt Chart'!AC84=13,'Project types'!$Q85,'Prepare Gantt Chart'!AC84=0,0)</f>
        <v>0</v>
      </c>
      <c r="Q95" s="83">
        <f>_xlfn.IFS('Prepare Gantt Chart'!AD84=14,'Project types'!$O85,'Prepare Gantt Chart'!AD84=13,'Project types'!$Q85,'Prepare Gantt Chart'!AD84=0,0)</f>
        <v>0</v>
      </c>
      <c r="R95" s="83">
        <f>_xlfn.IFS('Prepare Gantt Chart'!AE84=14,'Project types'!$O85,'Prepare Gantt Chart'!AE84=13,'Project types'!$Q85,'Prepare Gantt Chart'!AE84=0,0)</f>
        <v>0</v>
      </c>
      <c r="S95" s="83">
        <f>_xlfn.IFS('Prepare Gantt Chart'!AF84=14,'Project types'!$O85,'Prepare Gantt Chart'!AF84=13,'Project types'!$Q85,'Prepare Gantt Chart'!AF84=0,0)</f>
        <v>0</v>
      </c>
      <c r="T95" s="83">
        <f>_xlfn.IFS('Prepare Gantt Chart'!AG84=14,'Project types'!$O85,'Prepare Gantt Chart'!AG84=13,'Project types'!$Q85,'Prepare Gantt Chart'!AG84=0,0)</f>
        <v>0</v>
      </c>
      <c r="U95" s="83">
        <f>_xlfn.IFS('Prepare Gantt Chart'!AH84=14,'Project types'!$O85,'Prepare Gantt Chart'!AH84=13,'Project types'!$Q85,'Prepare Gantt Chart'!AH84=0,0)</f>
        <v>0</v>
      </c>
      <c r="V95" s="83">
        <f>_xlfn.IFS('Prepare Gantt Chart'!AI84=14,'Project types'!$O85,'Prepare Gantt Chart'!AI84=13,'Project types'!$Q85,'Prepare Gantt Chart'!AI84=0,0)</f>
        <v>0</v>
      </c>
      <c r="W95" s="83">
        <f>_xlfn.IFS('Prepare Gantt Chart'!AJ84=14,'Project types'!$O85,'Prepare Gantt Chart'!AJ84=13,'Project types'!$Q85,'Prepare Gantt Chart'!AJ84=0,0)</f>
        <v>0</v>
      </c>
      <c r="X95" s="83">
        <f>_xlfn.IFS('Prepare Gantt Chart'!AK84=14,'Project types'!$O85,'Prepare Gantt Chart'!AK84=13,'Project types'!$Q85,'Prepare Gantt Chart'!AK84=0,0)</f>
        <v>0</v>
      </c>
      <c r="Y95" s="83">
        <f>_xlfn.IFS('Prepare Gantt Chart'!AL84=14,'Project types'!$O85,'Prepare Gantt Chart'!AL84=13,'Project types'!$Q85,'Prepare Gantt Chart'!AL84=0,0)</f>
        <v>0</v>
      </c>
      <c r="Z95" s="83">
        <f>_xlfn.IFS('Prepare Gantt Chart'!AM84=14,'Project types'!$O85,'Prepare Gantt Chart'!AM84=13,'Project types'!$Q85,'Prepare Gantt Chart'!AM84=0,0)</f>
        <v>0</v>
      </c>
      <c r="AA95" s="83">
        <f>_xlfn.IFS('Prepare Gantt Chart'!AN84=14,'Project types'!$O85,'Prepare Gantt Chart'!AN84=13,'Project types'!$Q85,'Prepare Gantt Chart'!AN84=0,0)</f>
        <v>0</v>
      </c>
      <c r="AB95" s="83">
        <f>_xlfn.IFS('Prepare Gantt Chart'!AO84=14,'Project types'!$O85,'Prepare Gantt Chart'!AO84=13,'Project types'!$Q85,'Prepare Gantt Chart'!AO84=0,0)</f>
        <v>0</v>
      </c>
      <c r="AC95" s="93">
        <f t="shared" si="2"/>
        <v>0</v>
      </c>
      <c r="AD95" s="86">
        <f>_xlfn.IFS('Prepare Gantt Chart'!P84=14,'Project types'!$L85,'Prepare Gantt Chart'!P84=13,'Project types'!$L85,'Prepare Gantt Chart'!P84=0,0)</f>
        <v>0</v>
      </c>
      <c r="AE95" s="83">
        <f>_xlfn.IFS('Prepare Gantt Chart'!Q84=14,'Project types'!$L85,'Prepare Gantt Chart'!Q84=13,'Project types'!$L85,'Prepare Gantt Chart'!Q84=0,0)</f>
        <v>0</v>
      </c>
      <c r="AF95" s="83">
        <f>_xlfn.IFS('Prepare Gantt Chart'!R84=14,'Project types'!$L85,'Prepare Gantt Chart'!R84=13,'Project types'!$L85,'Prepare Gantt Chart'!R84=0,0)</f>
        <v>0</v>
      </c>
      <c r="AG95" s="83">
        <f>_xlfn.IFS('Prepare Gantt Chart'!S84=14,'Project types'!$L85,'Prepare Gantt Chart'!S84=13,'Project types'!$L85,'Prepare Gantt Chart'!S84=0,0)</f>
        <v>0</v>
      </c>
      <c r="AH95" s="83">
        <f>_xlfn.IFS('Prepare Gantt Chart'!T84=14,'Project types'!$L85,'Prepare Gantt Chart'!T84=13,'Project types'!$L85,'Prepare Gantt Chart'!T84=0,0)</f>
        <v>0</v>
      </c>
      <c r="AI95" s="83">
        <f>_xlfn.IFS('Prepare Gantt Chart'!U84=14,'Project types'!$L85,'Prepare Gantt Chart'!U84=13,'Project types'!$L85,'Prepare Gantt Chart'!U84=0,0)</f>
        <v>0</v>
      </c>
      <c r="AJ95" s="83">
        <f>_xlfn.IFS('Prepare Gantt Chart'!V84=14,'Project types'!$L85,'Prepare Gantt Chart'!V84=13,'Project types'!$L85,'Prepare Gantt Chart'!V84=0,0)</f>
        <v>0</v>
      </c>
      <c r="AK95" s="83">
        <f>_xlfn.IFS('Prepare Gantt Chart'!W84=14,'Project types'!$L85,'Prepare Gantt Chart'!W84=13,'Project types'!$L85,'Prepare Gantt Chart'!W84=0,0)</f>
        <v>0</v>
      </c>
      <c r="AL95" s="83">
        <f>_xlfn.IFS('Prepare Gantt Chart'!X84=14,'Project types'!$L85,'Prepare Gantt Chart'!X84=13,'Project types'!$L85,'Prepare Gantt Chart'!X84=0,0)</f>
        <v>0</v>
      </c>
      <c r="AM95" s="83">
        <f>_xlfn.IFS('Prepare Gantt Chart'!Y84=14,'Project types'!$L85,'Prepare Gantt Chart'!Y84=13,'Project types'!$L85,'Prepare Gantt Chart'!Y84=0,0)</f>
        <v>0</v>
      </c>
      <c r="AN95" s="83">
        <f>_xlfn.IFS('Prepare Gantt Chart'!Z84=14,'Project types'!$L85,'Prepare Gantt Chart'!Z84=13,'Project types'!$L85,'Prepare Gantt Chart'!Z84=0,0)</f>
        <v>0</v>
      </c>
      <c r="AO95" s="83">
        <f>_xlfn.IFS('Prepare Gantt Chart'!AA84=14,'Project types'!$L85,'Prepare Gantt Chart'!AA84=13,'Project types'!$L85,'Prepare Gantt Chart'!AA84=0,0)</f>
        <v>0</v>
      </c>
      <c r="AP95" s="83">
        <f>_xlfn.IFS('Prepare Gantt Chart'!AB84=14,'Project types'!$L85,'Prepare Gantt Chart'!AB84=13,'Project types'!$L85,'Prepare Gantt Chart'!AB84=0,0)</f>
        <v>0</v>
      </c>
      <c r="AQ95" s="83">
        <f>_xlfn.IFS('Prepare Gantt Chart'!AC84=14,'Project types'!$L85,'Prepare Gantt Chart'!AC84=13,'Project types'!$L85,'Prepare Gantt Chart'!AC84=0,0)</f>
        <v>0</v>
      </c>
      <c r="AR95" s="83">
        <f>_xlfn.IFS('Prepare Gantt Chart'!AD84=14,'Project types'!$L85,'Prepare Gantt Chart'!AD84=13,'Project types'!$L85,'Prepare Gantt Chart'!AD84=0,0)</f>
        <v>0</v>
      </c>
      <c r="AS95" s="83">
        <f>_xlfn.IFS('Prepare Gantt Chart'!AE84=14,'Project types'!$L85,'Prepare Gantt Chart'!AE84=13,'Project types'!$L85,'Prepare Gantt Chart'!AE84=0,0)</f>
        <v>0</v>
      </c>
      <c r="AT95" s="83">
        <f>_xlfn.IFS('Prepare Gantt Chart'!AF84=14,'Project types'!$L85,'Prepare Gantt Chart'!AF84=13,'Project types'!$L85,'Prepare Gantt Chart'!AF84=0,0)</f>
        <v>0</v>
      </c>
      <c r="AU95" s="83">
        <f>_xlfn.IFS('Prepare Gantt Chart'!AG84=14,'Project types'!$L85,'Prepare Gantt Chart'!AG84=13,'Project types'!$L85,'Prepare Gantt Chart'!AG84=0,0)</f>
        <v>0</v>
      </c>
      <c r="AV95" s="83">
        <f>_xlfn.IFS('Prepare Gantt Chart'!AH84=14,'Project types'!$L85,'Prepare Gantt Chart'!AH84=13,'Project types'!$L85,'Prepare Gantt Chart'!AH84=0,0)</f>
        <v>0</v>
      </c>
      <c r="AW95" s="83">
        <f>_xlfn.IFS('Prepare Gantt Chart'!AI84=14,'Project types'!$L85,'Prepare Gantt Chart'!AI84=13,'Project types'!$L85,'Prepare Gantt Chart'!AI84=0,0)</f>
        <v>0</v>
      </c>
      <c r="AX95" s="83">
        <f>_xlfn.IFS('Prepare Gantt Chart'!AJ84=14,'Project types'!$L85,'Prepare Gantt Chart'!AJ84=13,'Project types'!$L85,'Prepare Gantt Chart'!AJ84=0,0)</f>
        <v>0</v>
      </c>
      <c r="AY95" s="83">
        <f>_xlfn.IFS('Prepare Gantt Chart'!AK84=14,'Project types'!$L85,'Prepare Gantt Chart'!AK84=13,'Project types'!$L85,'Prepare Gantt Chart'!AK84=0,0)</f>
        <v>0</v>
      </c>
      <c r="AZ95" s="83">
        <f>_xlfn.IFS('Prepare Gantt Chart'!AL84=14,'Project types'!$L85,'Prepare Gantt Chart'!AL84=13,'Project types'!$L85,'Prepare Gantt Chart'!AL84=0,0)</f>
        <v>0</v>
      </c>
      <c r="BA95" s="83">
        <f>_xlfn.IFS('Prepare Gantt Chart'!AM84=14,'Project types'!$L85,'Prepare Gantt Chart'!AM84=13,'Project types'!$L85,'Prepare Gantt Chart'!AM84=0,0)</f>
        <v>0</v>
      </c>
      <c r="BB95" s="83">
        <f>_xlfn.IFS('Prepare Gantt Chart'!AN84=14,'Project types'!$L85,'Prepare Gantt Chart'!AN84=13,'Project types'!$L85,'Prepare Gantt Chart'!AN84=0,0)</f>
        <v>0</v>
      </c>
      <c r="BC95" s="83">
        <f>_xlfn.IFS('Prepare Gantt Chart'!AO84=14,'Project types'!$L85,'Prepare Gantt Chart'!AO84=13,'Project types'!$L85,'Prepare Gantt Chart'!AO84=0,0)</f>
        <v>0</v>
      </c>
      <c r="BD95" s="91">
        <f t="shared" si="3"/>
        <v>0</v>
      </c>
      <c r="CI95" s="85"/>
    </row>
    <row r="96" spans="1:87" ht="16" thickBot="1" x14ac:dyDescent="0.25">
      <c r="A96" s="8" t="s">
        <v>118</v>
      </c>
      <c r="B96" s="37" t="s">
        <v>78</v>
      </c>
      <c r="C96" s="89">
        <f>_xlfn.IFS('Prepare Gantt Chart'!P85=14,'Project types'!$O86,'Prepare Gantt Chart'!P85=13,'Project types'!$Q86,'Prepare Gantt Chart'!P85=0,0)</f>
        <v>0</v>
      </c>
      <c r="D96" s="89">
        <f>_xlfn.IFS('Prepare Gantt Chart'!Q85=14,'Project types'!$O86,'Prepare Gantt Chart'!Q85=13,'Project types'!$Q86,'Prepare Gantt Chart'!Q85=0,0)</f>
        <v>0</v>
      </c>
      <c r="E96" s="89">
        <f>_xlfn.IFS('Prepare Gantt Chart'!R85=14,'Project types'!$O86,'Prepare Gantt Chart'!R85=13,'Project types'!$Q86,'Prepare Gantt Chart'!R85=0,0)</f>
        <v>0</v>
      </c>
      <c r="F96" s="89">
        <f>_xlfn.IFS('Prepare Gantt Chart'!S85=14,'Project types'!$O86,'Prepare Gantt Chart'!S85=13,'Project types'!$Q86,'Prepare Gantt Chart'!S85=0,0)</f>
        <v>0</v>
      </c>
      <c r="G96" s="89">
        <f>_xlfn.IFS('Prepare Gantt Chart'!T85=14,'Project types'!$O86,'Prepare Gantt Chart'!T85=13,'Project types'!$Q86,'Prepare Gantt Chart'!T85=0,0)</f>
        <v>0</v>
      </c>
      <c r="H96" s="89">
        <f>_xlfn.IFS('Prepare Gantt Chart'!U85=14,'Project types'!$O86,'Prepare Gantt Chart'!U85=13,'Project types'!$Q86,'Prepare Gantt Chart'!U85=0,0)</f>
        <v>0</v>
      </c>
      <c r="I96" s="89">
        <f>_xlfn.IFS('Prepare Gantt Chart'!V85=14,'Project types'!$O86,'Prepare Gantt Chart'!V85=13,'Project types'!$Q86,'Prepare Gantt Chart'!V85=0,0)</f>
        <v>0</v>
      </c>
      <c r="J96" s="89">
        <f>_xlfn.IFS('Prepare Gantt Chart'!W85=14,'Project types'!$O86,'Prepare Gantt Chart'!W85=13,'Project types'!$Q86,'Prepare Gantt Chart'!W85=0,0)</f>
        <v>0</v>
      </c>
      <c r="K96" s="89">
        <f>_xlfn.IFS('Prepare Gantt Chart'!X85=14,'Project types'!$O86,'Prepare Gantt Chart'!X85=13,'Project types'!$Q86,'Prepare Gantt Chart'!X85=0,0)</f>
        <v>0</v>
      </c>
      <c r="L96" s="89">
        <f>_xlfn.IFS('Prepare Gantt Chart'!Y85=14,'Project types'!$O86,'Prepare Gantt Chart'!Y85=13,'Project types'!$Q86,'Prepare Gantt Chart'!Y85=0,0)</f>
        <v>0</v>
      </c>
      <c r="M96" s="89">
        <f>_xlfn.IFS('Prepare Gantt Chart'!Z85=14,'Project types'!$O86,'Prepare Gantt Chart'!Z85=13,'Project types'!$Q86,'Prepare Gantt Chart'!Z85=0,0)</f>
        <v>0</v>
      </c>
      <c r="N96" s="89">
        <f>_xlfn.IFS('Prepare Gantt Chart'!AA85=14,'Project types'!$O86,'Prepare Gantt Chart'!AA85=13,'Project types'!$Q86,'Prepare Gantt Chart'!AA85=0,0)</f>
        <v>0</v>
      </c>
      <c r="O96" s="89">
        <f>_xlfn.IFS('Prepare Gantt Chart'!AB85=14,'Project types'!$O86,'Prepare Gantt Chart'!AB85=13,'Project types'!$Q86,'Prepare Gantt Chart'!AB85=0,0)</f>
        <v>0</v>
      </c>
      <c r="P96" s="89">
        <f>_xlfn.IFS('Prepare Gantt Chart'!AC85=14,'Project types'!$O86,'Prepare Gantt Chart'!AC85=13,'Project types'!$Q86,'Prepare Gantt Chart'!AC85=0,0)</f>
        <v>0</v>
      </c>
      <c r="Q96" s="89">
        <f>_xlfn.IFS('Prepare Gantt Chart'!AD85=14,'Project types'!$O86,'Prepare Gantt Chart'!AD85=13,'Project types'!$Q86,'Prepare Gantt Chart'!AD85=0,0)</f>
        <v>0</v>
      </c>
      <c r="R96" s="89">
        <f>_xlfn.IFS('Prepare Gantt Chart'!AE85=14,'Project types'!$O86,'Prepare Gantt Chart'!AE85=13,'Project types'!$Q86,'Prepare Gantt Chart'!AE85=0,0)</f>
        <v>0</v>
      </c>
      <c r="S96" s="89">
        <f>_xlfn.IFS('Prepare Gantt Chart'!AF85=14,'Project types'!$O86,'Prepare Gantt Chart'!AF85=13,'Project types'!$Q86,'Prepare Gantt Chart'!AF85=0,0)</f>
        <v>0</v>
      </c>
      <c r="T96" s="89">
        <f>_xlfn.IFS('Prepare Gantt Chart'!AG85=14,'Project types'!$O86,'Prepare Gantt Chart'!AG85=13,'Project types'!$Q86,'Prepare Gantt Chart'!AG85=0,0)</f>
        <v>0</v>
      </c>
      <c r="U96" s="89">
        <f>_xlfn.IFS('Prepare Gantt Chart'!AH85=14,'Project types'!$O86,'Prepare Gantt Chart'!AH85=13,'Project types'!$Q86,'Prepare Gantt Chart'!AH85=0,0)</f>
        <v>0</v>
      </c>
      <c r="V96" s="89">
        <f>_xlfn.IFS('Prepare Gantt Chart'!AI85=14,'Project types'!$O86,'Prepare Gantt Chart'!AI85=13,'Project types'!$Q86,'Prepare Gantt Chart'!AI85=0,0)</f>
        <v>0</v>
      </c>
      <c r="W96" s="89">
        <f>_xlfn.IFS('Prepare Gantt Chart'!AJ85=14,'Project types'!$O86,'Prepare Gantt Chart'!AJ85=13,'Project types'!$Q86,'Prepare Gantt Chart'!AJ85=0,0)</f>
        <v>0</v>
      </c>
      <c r="X96" s="89">
        <f>_xlfn.IFS('Prepare Gantt Chart'!AK85=14,'Project types'!$O86,'Prepare Gantt Chart'!AK85=13,'Project types'!$Q86,'Prepare Gantt Chart'!AK85=0,0)</f>
        <v>0</v>
      </c>
      <c r="Y96" s="89">
        <f>_xlfn.IFS('Prepare Gantt Chart'!AL85=14,'Project types'!$O86,'Prepare Gantt Chart'!AL85=13,'Project types'!$Q86,'Prepare Gantt Chart'!AL85=0,0)</f>
        <v>0</v>
      </c>
      <c r="Z96" s="89">
        <f>_xlfn.IFS('Prepare Gantt Chart'!AM85=14,'Project types'!$O86,'Prepare Gantt Chart'!AM85=13,'Project types'!$Q86,'Prepare Gantt Chart'!AM85=0,0)</f>
        <v>0</v>
      </c>
      <c r="AA96" s="89">
        <f>_xlfn.IFS('Prepare Gantt Chart'!AN85=14,'Project types'!$O86,'Prepare Gantt Chart'!AN85=13,'Project types'!$Q86,'Prepare Gantt Chart'!AN85=0,0)</f>
        <v>0</v>
      </c>
      <c r="AB96" s="89">
        <f>_xlfn.IFS('Prepare Gantt Chart'!AO85=14,'Project types'!$O86,'Prepare Gantt Chart'!AO85=13,'Project types'!$Q86,'Prepare Gantt Chart'!AO85=0,0)</f>
        <v>0</v>
      </c>
      <c r="AC96" s="94">
        <f t="shared" si="2"/>
        <v>0</v>
      </c>
      <c r="AD96" s="90">
        <f>_xlfn.IFS('Prepare Gantt Chart'!P85=14,'Project types'!$L86,'Prepare Gantt Chart'!P85=13,'Project types'!$L86,'Prepare Gantt Chart'!P85=0,0)</f>
        <v>0</v>
      </c>
      <c r="AE96" s="89">
        <f>_xlfn.IFS('Prepare Gantt Chart'!Q85=14,'Project types'!$L86,'Prepare Gantt Chart'!Q85=13,'Project types'!$L86,'Prepare Gantt Chart'!Q85=0,0)</f>
        <v>0</v>
      </c>
      <c r="AF96" s="89">
        <f>_xlfn.IFS('Prepare Gantt Chart'!R85=14,'Project types'!$L86,'Prepare Gantt Chart'!R85=13,'Project types'!$L86,'Prepare Gantt Chart'!R85=0,0)</f>
        <v>0</v>
      </c>
      <c r="AG96" s="89">
        <f>_xlfn.IFS('Prepare Gantt Chart'!S85=14,'Project types'!$L86,'Prepare Gantt Chart'!S85=13,'Project types'!$L86,'Prepare Gantt Chart'!S85=0,0)</f>
        <v>0</v>
      </c>
      <c r="AH96" s="89">
        <f>_xlfn.IFS('Prepare Gantt Chart'!T85=14,'Project types'!$L86,'Prepare Gantt Chart'!T85=13,'Project types'!$L86,'Prepare Gantt Chart'!T85=0,0)</f>
        <v>0</v>
      </c>
      <c r="AI96" s="89">
        <f>_xlfn.IFS('Prepare Gantt Chart'!U85=14,'Project types'!$L86,'Prepare Gantt Chart'!U85=13,'Project types'!$L86,'Prepare Gantt Chart'!U85=0,0)</f>
        <v>0</v>
      </c>
      <c r="AJ96" s="89">
        <f>_xlfn.IFS('Prepare Gantt Chart'!V85=14,'Project types'!$L86,'Prepare Gantt Chart'!V85=13,'Project types'!$L86,'Prepare Gantt Chart'!V85=0,0)</f>
        <v>0</v>
      </c>
      <c r="AK96" s="89">
        <f>_xlfn.IFS('Prepare Gantt Chart'!W85=14,'Project types'!$L86,'Prepare Gantt Chart'!W85=13,'Project types'!$L86,'Prepare Gantt Chart'!W85=0,0)</f>
        <v>0</v>
      </c>
      <c r="AL96" s="89">
        <f>_xlfn.IFS('Prepare Gantt Chart'!X85=14,'Project types'!$L86,'Prepare Gantt Chart'!X85=13,'Project types'!$L86,'Prepare Gantt Chart'!X85=0,0)</f>
        <v>0</v>
      </c>
      <c r="AM96" s="89">
        <f>_xlfn.IFS('Prepare Gantt Chart'!Y85=14,'Project types'!$L86,'Prepare Gantt Chart'!Y85=13,'Project types'!$L86,'Prepare Gantt Chart'!Y85=0,0)</f>
        <v>0</v>
      </c>
      <c r="AN96" s="89">
        <f>_xlfn.IFS('Prepare Gantt Chart'!Z85=14,'Project types'!$L86,'Prepare Gantt Chart'!Z85=13,'Project types'!$L86,'Prepare Gantt Chart'!Z85=0,0)</f>
        <v>0</v>
      </c>
      <c r="AO96" s="89">
        <f>_xlfn.IFS('Prepare Gantt Chart'!AA85=14,'Project types'!$L86,'Prepare Gantt Chart'!AA85=13,'Project types'!$L86,'Prepare Gantt Chart'!AA85=0,0)</f>
        <v>0</v>
      </c>
      <c r="AP96" s="89">
        <f>_xlfn.IFS('Prepare Gantt Chart'!AB85=14,'Project types'!$L86,'Prepare Gantt Chart'!AB85=13,'Project types'!$L86,'Prepare Gantt Chart'!AB85=0,0)</f>
        <v>0</v>
      </c>
      <c r="AQ96" s="89">
        <f>_xlfn.IFS('Prepare Gantt Chart'!AC85=14,'Project types'!$L86,'Prepare Gantt Chart'!AC85=13,'Project types'!$L86,'Prepare Gantt Chart'!AC85=0,0)</f>
        <v>0</v>
      </c>
      <c r="AR96" s="89">
        <f>_xlfn.IFS('Prepare Gantt Chart'!AD85=14,'Project types'!$L86,'Prepare Gantt Chart'!AD85=13,'Project types'!$L86,'Prepare Gantt Chart'!AD85=0,0)</f>
        <v>0</v>
      </c>
      <c r="AS96" s="89">
        <f>_xlfn.IFS('Prepare Gantt Chart'!AE85=14,'Project types'!$L86,'Prepare Gantt Chart'!AE85=13,'Project types'!$L86,'Prepare Gantt Chart'!AE85=0,0)</f>
        <v>0</v>
      </c>
      <c r="AT96" s="89">
        <f>_xlfn.IFS('Prepare Gantt Chart'!AF85=14,'Project types'!$L86,'Prepare Gantt Chart'!AF85=13,'Project types'!$L86,'Prepare Gantt Chart'!AF85=0,0)</f>
        <v>0</v>
      </c>
      <c r="AU96" s="89">
        <f>_xlfn.IFS('Prepare Gantt Chart'!AG85=14,'Project types'!$L86,'Prepare Gantt Chart'!AG85=13,'Project types'!$L86,'Prepare Gantt Chart'!AG85=0,0)</f>
        <v>0</v>
      </c>
      <c r="AV96" s="89">
        <f>_xlfn.IFS('Prepare Gantt Chart'!AH85=14,'Project types'!$L86,'Prepare Gantt Chart'!AH85=13,'Project types'!$L86,'Prepare Gantt Chart'!AH85=0,0)</f>
        <v>0</v>
      </c>
      <c r="AW96" s="89">
        <f>_xlfn.IFS('Prepare Gantt Chart'!AI85=14,'Project types'!$L86,'Prepare Gantt Chart'!AI85=13,'Project types'!$L86,'Prepare Gantt Chart'!AI85=0,0)</f>
        <v>0</v>
      </c>
      <c r="AX96" s="89">
        <f>_xlfn.IFS('Prepare Gantt Chart'!AJ85=14,'Project types'!$L86,'Prepare Gantt Chart'!AJ85=13,'Project types'!$L86,'Prepare Gantt Chart'!AJ85=0,0)</f>
        <v>0</v>
      </c>
      <c r="AY96" s="89">
        <f>_xlfn.IFS('Prepare Gantt Chart'!AK85=14,'Project types'!$L86,'Prepare Gantt Chart'!AK85=13,'Project types'!$L86,'Prepare Gantt Chart'!AK85=0,0)</f>
        <v>0</v>
      </c>
      <c r="AZ96" s="89">
        <f>_xlfn.IFS('Prepare Gantt Chart'!AL85=14,'Project types'!$L86,'Prepare Gantt Chart'!AL85=13,'Project types'!$L86,'Prepare Gantt Chart'!AL85=0,0)</f>
        <v>0</v>
      </c>
      <c r="BA96" s="89">
        <f>_xlfn.IFS('Prepare Gantt Chart'!AM85=14,'Project types'!$L86,'Prepare Gantt Chart'!AM85=13,'Project types'!$L86,'Prepare Gantt Chart'!AM85=0,0)</f>
        <v>0</v>
      </c>
      <c r="BB96" s="89">
        <f>_xlfn.IFS('Prepare Gantt Chart'!AN85=14,'Project types'!$L86,'Prepare Gantt Chart'!AN85=13,'Project types'!$L86,'Prepare Gantt Chart'!AN85=0,0)</f>
        <v>0</v>
      </c>
      <c r="BC96" s="89">
        <f>_xlfn.IFS('Prepare Gantt Chart'!AO85=14,'Project types'!$L86,'Prepare Gantt Chart'!AO85=13,'Project types'!$L86,'Prepare Gantt Chart'!AO85=0,0)</f>
        <v>0</v>
      </c>
      <c r="BD96" s="92">
        <f t="shared" si="3"/>
        <v>0</v>
      </c>
      <c r="CI96" s="85"/>
    </row>
    <row r="97" spans="1:87" x14ac:dyDescent="0.2">
      <c r="A97" s="1" t="s">
        <v>471</v>
      </c>
      <c r="B97" s="38" t="s">
        <v>79</v>
      </c>
      <c r="C97" s="83">
        <f>_xlfn.IFS('Prepare Gantt Chart'!P86=16,'Project types'!$O87,'Prepare Gantt Chart'!P86=15,'Project types'!$Q87,'Prepare Gantt Chart'!P86=0,0)</f>
        <v>0</v>
      </c>
      <c r="D97" s="83">
        <f>_xlfn.IFS('Prepare Gantt Chart'!Q86=16,'Project types'!$O87,'Prepare Gantt Chart'!Q86=15,'Project types'!$Q87,'Prepare Gantt Chart'!Q86=0,0)</f>
        <v>0</v>
      </c>
      <c r="E97" s="83">
        <f>_xlfn.IFS('Prepare Gantt Chart'!R86=16,'Project types'!$O87,'Prepare Gantt Chart'!R86=15,'Project types'!$Q87,'Prepare Gantt Chart'!R86=0,0)</f>
        <v>0</v>
      </c>
      <c r="F97" s="83">
        <f>_xlfn.IFS('Prepare Gantt Chart'!S86=16,'Project types'!$O87,'Prepare Gantt Chart'!S86=15,'Project types'!$Q87,'Prepare Gantt Chart'!S86=0,0)</f>
        <v>0</v>
      </c>
      <c r="G97" s="83">
        <f>_xlfn.IFS('Prepare Gantt Chart'!T86=16,'Project types'!$O87,'Prepare Gantt Chart'!T86=15,'Project types'!$Q87,'Prepare Gantt Chart'!T86=0,0)</f>
        <v>0</v>
      </c>
      <c r="H97" s="83">
        <f>_xlfn.IFS('Prepare Gantt Chart'!U86=16,'Project types'!$O87,'Prepare Gantt Chart'!U86=15,'Project types'!$Q87,'Prepare Gantt Chart'!U86=0,0)</f>
        <v>0</v>
      </c>
      <c r="I97" s="83">
        <f>_xlfn.IFS('Prepare Gantt Chart'!V86=16,'Project types'!$O87,'Prepare Gantt Chart'!V86=15,'Project types'!$Q87,'Prepare Gantt Chart'!V86=0,0)</f>
        <v>0</v>
      </c>
      <c r="J97" s="83">
        <f>_xlfn.IFS('Prepare Gantt Chart'!W86=16,'Project types'!$O87,'Prepare Gantt Chart'!W86=15,'Project types'!$Q87,'Prepare Gantt Chart'!W86=0,0)</f>
        <v>0</v>
      </c>
      <c r="K97" s="83">
        <f>_xlfn.IFS('Prepare Gantt Chart'!X86=16,'Project types'!$O87,'Prepare Gantt Chart'!X86=15,'Project types'!$Q87,'Prepare Gantt Chart'!X86=0,0)</f>
        <v>0</v>
      </c>
      <c r="L97" s="83">
        <f>_xlfn.IFS('Prepare Gantt Chart'!Y86=16,'Project types'!$O87,'Prepare Gantt Chart'!Y86=15,'Project types'!$Q87,'Prepare Gantt Chart'!Y86=0,0)</f>
        <v>0</v>
      </c>
      <c r="M97" s="83">
        <f>_xlfn.IFS('Prepare Gantt Chart'!Z86=16,'Project types'!$O87,'Prepare Gantt Chart'!Z86=15,'Project types'!$Q87,'Prepare Gantt Chart'!Z86=0,0)</f>
        <v>0</v>
      </c>
      <c r="N97" s="83">
        <f>_xlfn.IFS('Prepare Gantt Chart'!AA86=16,'Project types'!$O87,'Prepare Gantt Chart'!AA86=15,'Project types'!$Q87,'Prepare Gantt Chart'!AA86=0,0)</f>
        <v>0</v>
      </c>
      <c r="O97" s="83">
        <f>_xlfn.IFS('Prepare Gantt Chart'!AB86=16,'Project types'!$O87,'Prepare Gantt Chart'!AB86=15,'Project types'!$Q87,'Prepare Gantt Chart'!AB86=0,0)</f>
        <v>0</v>
      </c>
      <c r="P97" s="83">
        <f>_xlfn.IFS('Prepare Gantt Chart'!AC86=16,'Project types'!$O87,'Prepare Gantt Chart'!AC86=15,'Project types'!$Q87,'Prepare Gantt Chart'!AC86=0,0)</f>
        <v>0</v>
      </c>
      <c r="Q97" s="83">
        <f>_xlfn.IFS('Prepare Gantt Chart'!AD86=16,'Project types'!$O87,'Prepare Gantt Chart'!AD86=15,'Project types'!$Q87,'Prepare Gantt Chart'!AD86=0,0)</f>
        <v>0</v>
      </c>
      <c r="R97" s="83">
        <f>_xlfn.IFS('Prepare Gantt Chart'!AE86=16,'Project types'!$O87,'Prepare Gantt Chart'!AE86=15,'Project types'!$Q87,'Prepare Gantt Chart'!AE86=0,0)</f>
        <v>0</v>
      </c>
      <c r="S97" s="83">
        <f>_xlfn.IFS('Prepare Gantt Chart'!AF86=16,'Project types'!$O87,'Prepare Gantt Chart'!AF86=15,'Project types'!$Q87,'Prepare Gantt Chart'!AF86=0,0)</f>
        <v>0</v>
      </c>
      <c r="T97" s="83">
        <f>_xlfn.IFS('Prepare Gantt Chart'!AG86=16,'Project types'!$O87,'Prepare Gantt Chart'!AG86=15,'Project types'!$Q87,'Prepare Gantt Chart'!AG86=0,0)</f>
        <v>0</v>
      </c>
      <c r="U97" s="83">
        <f>_xlfn.IFS('Prepare Gantt Chart'!AH86=16,'Project types'!$O87,'Prepare Gantt Chart'!AH86=15,'Project types'!$Q87,'Prepare Gantt Chart'!AH86=0,0)</f>
        <v>0</v>
      </c>
      <c r="V97" s="83">
        <f>_xlfn.IFS('Prepare Gantt Chart'!AI86=16,'Project types'!$O87,'Prepare Gantt Chart'!AI86=15,'Project types'!$Q87,'Prepare Gantt Chart'!AI86=0,0)</f>
        <v>0</v>
      </c>
      <c r="W97" s="83">
        <f>_xlfn.IFS('Prepare Gantt Chart'!AJ86=16,'Project types'!$O87,'Prepare Gantt Chart'!AJ86=15,'Project types'!$Q87,'Prepare Gantt Chart'!AJ86=0,0)</f>
        <v>0</v>
      </c>
      <c r="X97" s="83">
        <f>_xlfn.IFS('Prepare Gantt Chart'!AK86=16,'Project types'!$O87,'Prepare Gantt Chart'!AK86=15,'Project types'!$Q87,'Prepare Gantt Chart'!AK86=0,0)</f>
        <v>0</v>
      </c>
      <c r="Y97" s="83">
        <f>_xlfn.IFS('Prepare Gantt Chart'!AL86=16,'Project types'!$O87,'Prepare Gantt Chart'!AL86=15,'Project types'!$Q87,'Prepare Gantt Chart'!AL86=0,0)</f>
        <v>0</v>
      </c>
      <c r="Z97" s="83">
        <f>_xlfn.IFS('Prepare Gantt Chart'!AM86=16,'Project types'!$O87,'Prepare Gantt Chart'!AM86=15,'Project types'!$Q87,'Prepare Gantt Chart'!AM86=0,0)</f>
        <v>0</v>
      </c>
      <c r="AA97" s="83">
        <f>_xlfn.IFS('Prepare Gantt Chart'!AN86=16,'Project types'!$O87,'Prepare Gantt Chart'!AN86=15,'Project types'!$Q87,'Prepare Gantt Chart'!AN86=0,0)</f>
        <v>0</v>
      </c>
      <c r="AB97" s="83">
        <f>_xlfn.IFS('Prepare Gantt Chart'!AO86=16,'Project types'!$O87,'Prepare Gantt Chart'!AO86=15,'Project types'!$Q87,'Prepare Gantt Chart'!AO86=0,0)</f>
        <v>0</v>
      </c>
      <c r="AC97" s="93">
        <f t="shared" si="2"/>
        <v>0</v>
      </c>
      <c r="AD97" s="86">
        <f>_xlfn.IFS('Prepare Gantt Chart'!P86=16,'Project types'!$L87,'Prepare Gantt Chart'!P86=15,'Project types'!$L87,'Prepare Gantt Chart'!P86=0,0)</f>
        <v>0</v>
      </c>
      <c r="AE97" s="83">
        <f>_xlfn.IFS('Prepare Gantt Chart'!Q86=16,'Project types'!$L87,'Prepare Gantt Chart'!Q86=15,'Project types'!$L87,'Prepare Gantt Chart'!Q86=0,0)</f>
        <v>0</v>
      </c>
      <c r="AF97" s="83">
        <f>_xlfn.IFS('Prepare Gantt Chart'!R86=16,'Project types'!$L87,'Prepare Gantt Chart'!R86=15,'Project types'!$L87,'Prepare Gantt Chart'!R86=0,0)</f>
        <v>0</v>
      </c>
      <c r="AG97" s="83">
        <f>_xlfn.IFS('Prepare Gantt Chart'!S86=16,'Project types'!$L87,'Prepare Gantt Chart'!S86=15,'Project types'!$L87,'Prepare Gantt Chart'!S86=0,0)</f>
        <v>0</v>
      </c>
      <c r="AH97" s="83">
        <f>_xlfn.IFS('Prepare Gantt Chart'!T86=16,'Project types'!$L87,'Prepare Gantt Chart'!T86=15,'Project types'!$L87,'Prepare Gantt Chart'!T86=0,0)</f>
        <v>0</v>
      </c>
      <c r="AI97" s="83">
        <f>_xlfn.IFS('Prepare Gantt Chart'!U86=16,'Project types'!$L87,'Prepare Gantt Chart'!U86=15,'Project types'!$L87,'Prepare Gantt Chart'!U86=0,0)</f>
        <v>0</v>
      </c>
      <c r="AJ97" s="83">
        <f>_xlfn.IFS('Prepare Gantt Chart'!V86=16,'Project types'!$L87,'Prepare Gantt Chart'!V86=15,'Project types'!$L87,'Prepare Gantt Chart'!V86=0,0)</f>
        <v>0</v>
      </c>
      <c r="AK97" s="83">
        <f>_xlfn.IFS('Prepare Gantt Chart'!W86=16,'Project types'!$L87,'Prepare Gantt Chart'!W86=15,'Project types'!$L87,'Prepare Gantt Chart'!W86=0,0)</f>
        <v>0</v>
      </c>
      <c r="AL97" s="83">
        <f>_xlfn.IFS('Prepare Gantt Chart'!X86=16,'Project types'!$L87,'Prepare Gantt Chart'!X86=15,'Project types'!$L87,'Prepare Gantt Chart'!X86=0,0)</f>
        <v>0</v>
      </c>
      <c r="AM97" s="83">
        <f>_xlfn.IFS('Prepare Gantt Chart'!Y86=16,'Project types'!$L87,'Prepare Gantt Chart'!Y86=15,'Project types'!$L87,'Prepare Gantt Chart'!Y86=0,0)</f>
        <v>0</v>
      </c>
      <c r="AN97" s="83">
        <f>_xlfn.IFS('Prepare Gantt Chart'!Z86=16,'Project types'!$L87,'Prepare Gantt Chart'!Z86=15,'Project types'!$L87,'Prepare Gantt Chart'!Z86=0,0)</f>
        <v>0</v>
      </c>
      <c r="AO97" s="83">
        <f>_xlfn.IFS('Prepare Gantt Chart'!AA86=16,'Project types'!$L87,'Prepare Gantt Chart'!AA86=15,'Project types'!$L87,'Prepare Gantt Chart'!AA86=0,0)</f>
        <v>0</v>
      </c>
      <c r="AP97" s="83">
        <f>_xlfn.IFS('Prepare Gantt Chart'!AB86=16,'Project types'!$L87,'Prepare Gantt Chart'!AB86=15,'Project types'!$L87,'Prepare Gantt Chart'!AB86=0,0)</f>
        <v>0</v>
      </c>
      <c r="AQ97" s="83">
        <f>_xlfn.IFS('Prepare Gantt Chart'!AC86=16,'Project types'!$L87,'Prepare Gantt Chart'!AC86=15,'Project types'!$L87,'Prepare Gantt Chart'!AC86=0,0)</f>
        <v>0</v>
      </c>
      <c r="AR97" s="83">
        <f>_xlfn.IFS('Prepare Gantt Chart'!AD86=16,'Project types'!$L87,'Prepare Gantt Chart'!AD86=15,'Project types'!$L87,'Prepare Gantt Chart'!AD86=0,0)</f>
        <v>0</v>
      </c>
      <c r="AS97" s="83">
        <f>_xlfn.IFS('Prepare Gantt Chart'!AE86=16,'Project types'!$L87,'Prepare Gantt Chart'!AE86=15,'Project types'!$L87,'Prepare Gantt Chart'!AE86=0,0)</f>
        <v>0</v>
      </c>
      <c r="AT97" s="83">
        <f>_xlfn.IFS('Prepare Gantt Chart'!AF86=16,'Project types'!$L87,'Prepare Gantt Chart'!AF86=15,'Project types'!$L87,'Prepare Gantt Chart'!AF86=0,0)</f>
        <v>0</v>
      </c>
      <c r="AU97" s="83">
        <f>_xlfn.IFS('Prepare Gantt Chart'!AG86=16,'Project types'!$L87,'Prepare Gantt Chart'!AG86=15,'Project types'!$L87,'Prepare Gantt Chart'!AG86=0,0)</f>
        <v>0</v>
      </c>
      <c r="AV97" s="83">
        <f>_xlfn.IFS('Prepare Gantt Chart'!AH86=16,'Project types'!$L87,'Prepare Gantt Chart'!AH86=15,'Project types'!$L87,'Prepare Gantt Chart'!AH86=0,0)</f>
        <v>0</v>
      </c>
      <c r="AW97" s="83">
        <f>_xlfn.IFS('Prepare Gantt Chart'!AI86=16,'Project types'!$L87,'Prepare Gantt Chart'!AI86=15,'Project types'!$L87,'Prepare Gantt Chart'!AI86=0,0)</f>
        <v>0</v>
      </c>
      <c r="AX97" s="83">
        <f>_xlfn.IFS('Prepare Gantt Chart'!AJ86=16,'Project types'!$L87,'Prepare Gantt Chart'!AJ86=15,'Project types'!$L87,'Prepare Gantt Chart'!AJ86=0,0)</f>
        <v>0</v>
      </c>
      <c r="AY97" s="83">
        <f>_xlfn.IFS('Prepare Gantt Chart'!AK86=16,'Project types'!$L87,'Prepare Gantt Chart'!AK86=15,'Project types'!$L87,'Prepare Gantt Chart'!AK86=0,0)</f>
        <v>0</v>
      </c>
      <c r="AZ97" s="83">
        <f>_xlfn.IFS('Prepare Gantt Chart'!AL86=16,'Project types'!$L87,'Prepare Gantt Chart'!AL86=15,'Project types'!$L87,'Prepare Gantt Chart'!AL86=0,0)</f>
        <v>0</v>
      </c>
      <c r="BA97" s="83">
        <f>_xlfn.IFS('Prepare Gantt Chart'!AM86=16,'Project types'!$L87,'Prepare Gantt Chart'!AM86=15,'Project types'!$L87,'Prepare Gantt Chart'!AM86=0,0)</f>
        <v>0</v>
      </c>
      <c r="BB97" s="83">
        <f>_xlfn.IFS('Prepare Gantt Chart'!AN86=16,'Project types'!$L87,'Prepare Gantt Chart'!AN86=15,'Project types'!$L87,'Prepare Gantt Chart'!AN86=0,0)</f>
        <v>0</v>
      </c>
      <c r="BC97" s="83">
        <f>_xlfn.IFS('Prepare Gantt Chart'!AO86=16,'Project types'!$L87,'Prepare Gantt Chart'!AO86=15,'Project types'!$L87,'Prepare Gantt Chart'!AO86=0,0)</f>
        <v>0</v>
      </c>
      <c r="BD97" s="91">
        <f t="shared" si="3"/>
        <v>0</v>
      </c>
      <c r="CI97" s="85"/>
    </row>
    <row r="98" spans="1:87" x14ac:dyDescent="0.2">
      <c r="A98" s="1" t="s">
        <v>472</v>
      </c>
      <c r="B98" s="39" t="s">
        <v>80</v>
      </c>
      <c r="C98" s="83">
        <f>_xlfn.IFS('Prepare Gantt Chart'!P87=16,'Project types'!$O88,'Prepare Gantt Chart'!P87=15,'Project types'!$Q88,'Prepare Gantt Chart'!P87=0,0)</f>
        <v>0</v>
      </c>
      <c r="D98" s="83">
        <f>_xlfn.IFS('Prepare Gantt Chart'!Q87=16,'Project types'!$O88,'Prepare Gantt Chart'!Q87=15,'Project types'!$Q88,'Prepare Gantt Chart'!Q87=0,0)</f>
        <v>0</v>
      </c>
      <c r="E98" s="83">
        <f>_xlfn.IFS('Prepare Gantt Chart'!R87=16,'Project types'!$O88,'Prepare Gantt Chart'!R87=15,'Project types'!$Q88,'Prepare Gantt Chart'!R87=0,0)</f>
        <v>0</v>
      </c>
      <c r="F98" s="83">
        <f>_xlfn.IFS('Prepare Gantt Chart'!S87=16,'Project types'!$O88,'Prepare Gantt Chart'!S87=15,'Project types'!$Q88,'Prepare Gantt Chart'!S87=0,0)</f>
        <v>0</v>
      </c>
      <c r="G98" s="83">
        <f>_xlfn.IFS('Prepare Gantt Chart'!T87=16,'Project types'!$O88,'Prepare Gantt Chart'!T87=15,'Project types'!$Q88,'Prepare Gantt Chart'!T87=0,0)</f>
        <v>0</v>
      </c>
      <c r="H98" s="83">
        <f>_xlfn.IFS('Prepare Gantt Chart'!U87=16,'Project types'!$O88,'Prepare Gantt Chart'!U87=15,'Project types'!$Q88,'Prepare Gantt Chart'!U87=0,0)</f>
        <v>0</v>
      </c>
      <c r="I98" s="83">
        <f>_xlfn.IFS('Prepare Gantt Chart'!V87=16,'Project types'!$O88,'Prepare Gantt Chart'!V87=15,'Project types'!$Q88,'Prepare Gantt Chart'!V87=0,0)</f>
        <v>0</v>
      </c>
      <c r="J98" s="83">
        <f>_xlfn.IFS('Prepare Gantt Chart'!W87=16,'Project types'!$O88,'Prepare Gantt Chart'!W87=15,'Project types'!$Q88,'Prepare Gantt Chart'!W87=0,0)</f>
        <v>0</v>
      </c>
      <c r="K98" s="83">
        <f>_xlfn.IFS('Prepare Gantt Chart'!X87=16,'Project types'!$O88,'Prepare Gantt Chart'!X87=15,'Project types'!$Q88,'Prepare Gantt Chart'!X87=0,0)</f>
        <v>0</v>
      </c>
      <c r="L98" s="83">
        <f>_xlfn.IFS('Prepare Gantt Chart'!Y87=16,'Project types'!$O88,'Prepare Gantt Chart'!Y87=15,'Project types'!$Q88,'Prepare Gantt Chart'!Y87=0,0)</f>
        <v>0</v>
      </c>
      <c r="M98" s="83">
        <f>_xlfn.IFS('Prepare Gantt Chart'!Z87=16,'Project types'!$O88,'Prepare Gantt Chart'!Z87=15,'Project types'!$Q88,'Prepare Gantt Chart'!Z87=0,0)</f>
        <v>0</v>
      </c>
      <c r="N98" s="83">
        <f>_xlfn.IFS('Prepare Gantt Chart'!AA87=16,'Project types'!$O88,'Prepare Gantt Chart'!AA87=15,'Project types'!$Q88,'Prepare Gantt Chart'!AA87=0,0)</f>
        <v>0</v>
      </c>
      <c r="O98" s="83">
        <f>_xlfn.IFS('Prepare Gantt Chart'!AB87=16,'Project types'!$O88,'Prepare Gantt Chart'!AB87=15,'Project types'!$Q88,'Prepare Gantt Chart'!AB87=0,0)</f>
        <v>0</v>
      </c>
      <c r="P98" s="83">
        <f>_xlfn.IFS('Prepare Gantt Chart'!AC87=16,'Project types'!$O88,'Prepare Gantt Chart'!AC87=15,'Project types'!$Q88,'Prepare Gantt Chart'!AC87=0,0)</f>
        <v>0</v>
      </c>
      <c r="Q98" s="83">
        <f>_xlfn.IFS('Prepare Gantt Chart'!AD87=16,'Project types'!$O88,'Prepare Gantt Chart'!AD87=15,'Project types'!$Q88,'Prepare Gantt Chart'!AD87=0,0)</f>
        <v>0</v>
      </c>
      <c r="R98" s="83">
        <f>_xlfn.IFS('Prepare Gantt Chart'!AE87=16,'Project types'!$O88,'Prepare Gantt Chart'!AE87=15,'Project types'!$Q88,'Prepare Gantt Chart'!AE87=0,0)</f>
        <v>0</v>
      </c>
      <c r="S98" s="83">
        <f>_xlfn.IFS('Prepare Gantt Chart'!AF87=16,'Project types'!$O88,'Prepare Gantt Chart'!AF87=15,'Project types'!$Q88,'Prepare Gantt Chart'!AF87=0,0)</f>
        <v>0</v>
      </c>
      <c r="T98" s="83">
        <f>_xlfn.IFS('Prepare Gantt Chart'!AG87=16,'Project types'!$O88,'Prepare Gantt Chart'!AG87=15,'Project types'!$Q88,'Prepare Gantt Chart'!AG87=0,0)</f>
        <v>0</v>
      </c>
      <c r="U98" s="83">
        <f>_xlfn.IFS('Prepare Gantt Chart'!AH87=16,'Project types'!$O88,'Prepare Gantt Chart'!AH87=15,'Project types'!$Q88,'Prepare Gantt Chart'!AH87=0,0)</f>
        <v>0</v>
      </c>
      <c r="V98" s="83">
        <f>_xlfn.IFS('Prepare Gantt Chart'!AI87=16,'Project types'!$O88,'Prepare Gantt Chart'!AI87=15,'Project types'!$Q88,'Prepare Gantt Chart'!AI87=0,0)</f>
        <v>0</v>
      </c>
      <c r="W98" s="83">
        <f>_xlfn.IFS('Prepare Gantt Chart'!AJ87=16,'Project types'!$O88,'Prepare Gantt Chart'!AJ87=15,'Project types'!$Q88,'Prepare Gantt Chart'!AJ87=0,0)</f>
        <v>0</v>
      </c>
      <c r="X98" s="83">
        <f>_xlfn.IFS('Prepare Gantt Chart'!AK87=16,'Project types'!$O88,'Prepare Gantt Chart'!AK87=15,'Project types'!$Q88,'Prepare Gantt Chart'!AK87=0,0)</f>
        <v>0</v>
      </c>
      <c r="Y98" s="83">
        <f>_xlfn.IFS('Prepare Gantt Chart'!AL87=16,'Project types'!$O88,'Prepare Gantt Chart'!AL87=15,'Project types'!$Q88,'Prepare Gantt Chart'!AL87=0,0)</f>
        <v>0</v>
      </c>
      <c r="Z98" s="83">
        <f>_xlfn.IFS('Prepare Gantt Chart'!AM87=16,'Project types'!$O88,'Prepare Gantt Chart'!AM87=15,'Project types'!$Q88,'Prepare Gantt Chart'!AM87=0,0)</f>
        <v>0</v>
      </c>
      <c r="AA98" s="83">
        <f>_xlfn.IFS('Prepare Gantt Chart'!AN87=16,'Project types'!$O88,'Prepare Gantt Chart'!AN87=15,'Project types'!$Q88,'Prepare Gantt Chart'!AN87=0,0)</f>
        <v>0</v>
      </c>
      <c r="AB98" s="83">
        <f>_xlfn.IFS('Prepare Gantt Chart'!AO87=16,'Project types'!$O88,'Prepare Gantt Chart'!AO87=15,'Project types'!$Q88,'Prepare Gantt Chart'!AO87=0,0)</f>
        <v>0</v>
      </c>
      <c r="AC98" s="93">
        <f t="shared" si="2"/>
        <v>0</v>
      </c>
      <c r="AD98" s="86">
        <f>_xlfn.IFS('Prepare Gantt Chart'!P87=16,'Project types'!$L88,'Prepare Gantt Chart'!P87=15,'Project types'!$L88,'Prepare Gantt Chart'!P87=0,0)</f>
        <v>0</v>
      </c>
      <c r="AE98" s="83">
        <f>_xlfn.IFS('Prepare Gantt Chart'!Q87=16,'Project types'!$L88,'Prepare Gantt Chart'!Q87=15,'Project types'!$L88,'Prepare Gantt Chart'!Q87=0,0)</f>
        <v>0</v>
      </c>
      <c r="AF98" s="83">
        <f>_xlfn.IFS('Prepare Gantt Chart'!R87=16,'Project types'!$L88,'Prepare Gantt Chart'!R87=15,'Project types'!$L88,'Prepare Gantt Chart'!R87=0,0)</f>
        <v>0</v>
      </c>
      <c r="AG98" s="83">
        <f>_xlfn.IFS('Prepare Gantt Chart'!S87=16,'Project types'!$L88,'Prepare Gantt Chart'!S87=15,'Project types'!$L88,'Prepare Gantt Chart'!S87=0,0)</f>
        <v>0</v>
      </c>
      <c r="AH98" s="83">
        <f>_xlfn.IFS('Prepare Gantt Chart'!T87=16,'Project types'!$L88,'Prepare Gantt Chart'!T87=15,'Project types'!$L88,'Prepare Gantt Chart'!T87=0,0)</f>
        <v>0</v>
      </c>
      <c r="AI98" s="83">
        <f>_xlfn.IFS('Prepare Gantt Chart'!U87=16,'Project types'!$L88,'Prepare Gantt Chart'!U87=15,'Project types'!$L88,'Prepare Gantt Chart'!U87=0,0)</f>
        <v>0</v>
      </c>
      <c r="AJ98" s="83">
        <f>_xlfn.IFS('Prepare Gantt Chart'!V87=16,'Project types'!$L88,'Prepare Gantt Chart'!V87=15,'Project types'!$L88,'Prepare Gantt Chart'!V87=0,0)</f>
        <v>0</v>
      </c>
      <c r="AK98" s="83">
        <f>_xlfn.IFS('Prepare Gantt Chart'!W87=16,'Project types'!$L88,'Prepare Gantt Chart'!W87=15,'Project types'!$L88,'Prepare Gantt Chart'!W87=0,0)</f>
        <v>0</v>
      </c>
      <c r="AL98" s="83">
        <f>_xlfn.IFS('Prepare Gantt Chart'!X87=16,'Project types'!$L88,'Prepare Gantt Chart'!X87=15,'Project types'!$L88,'Prepare Gantt Chart'!X87=0,0)</f>
        <v>0</v>
      </c>
      <c r="AM98" s="83">
        <f>_xlfn.IFS('Prepare Gantt Chart'!Y87=16,'Project types'!$L88,'Prepare Gantt Chart'!Y87=15,'Project types'!$L88,'Prepare Gantt Chart'!Y87=0,0)</f>
        <v>0</v>
      </c>
      <c r="AN98" s="83">
        <f>_xlfn.IFS('Prepare Gantt Chart'!Z87=16,'Project types'!$L88,'Prepare Gantt Chart'!Z87=15,'Project types'!$L88,'Prepare Gantt Chart'!Z87=0,0)</f>
        <v>0</v>
      </c>
      <c r="AO98" s="83">
        <f>_xlfn.IFS('Prepare Gantt Chart'!AA87=16,'Project types'!$L88,'Prepare Gantt Chart'!AA87=15,'Project types'!$L88,'Prepare Gantt Chart'!AA87=0,0)</f>
        <v>0</v>
      </c>
      <c r="AP98" s="83">
        <f>_xlfn.IFS('Prepare Gantt Chart'!AB87=16,'Project types'!$L88,'Prepare Gantt Chart'!AB87=15,'Project types'!$L88,'Prepare Gantt Chart'!AB87=0,0)</f>
        <v>0</v>
      </c>
      <c r="AQ98" s="83">
        <f>_xlfn.IFS('Prepare Gantt Chart'!AC87=16,'Project types'!$L88,'Prepare Gantt Chart'!AC87=15,'Project types'!$L88,'Prepare Gantt Chart'!AC87=0,0)</f>
        <v>0</v>
      </c>
      <c r="AR98" s="83">
        <f>_xlfn.IFS('Prepare Gantt Chart'!AD87=16,'Project types'!$L88,'Prepare Gantt Chart'!AD87=15,'Project types'!$L88,'Prepare Gantt Chart'!AD87=0,0)</f>
        <v>0</v>
      </c>
      <c r="AS98" s="83">
        <f>_xlfn.IFS('Prepare Gantt Chart'!AE87=16,'Project types'!$L88,'Prepare Gantt Chart'!AE87=15,'Project types'!$L88,'Prepare Gantt Chart'!AE87=0,0)</f>
        <v>0</v>
      </c>
      <c r="AT98" s="83">
        <f>_xlfn.IFS('Prepare Gantt Chart'!AF87=16,'Project types'!$L88,'Prepare Gantt Chart'!AF87=15,'Project types'!$L88,'Prepare Gantt Chart'!AF87=0,0)</f>
        <v>0</v>
      </c>
      <c r="AU98" s="83">
        <f>_xlfn.IFS('Prepare Gantt Chart'!AG87=16,'Project types'!$L88,'Prepare Gantt Chart'!AG87=15,'Project types'!$L88,'Prepare Gantt Chart'!AG87=0,0)</f>
        <v>0</v>
      </c>
      <c r="AV98" s="83">
        <f>_xlfn.IFS('Prepare Gantt Chart'!AH87=16,'Project types'!$L88,'Prepare Gantt Chart'!AH87=15,'Project types'!$L88,'Prepare Gantt Chart'!AH87=0,0)</f>
        <v>0</v>
      </c>
      <c r="AW98" s="83">
        <f>_xlfn.IFS('Prepare Gantt Chart'!AI87=16,'Project types'!$L88,'Prepare Gantt Chart'!AI87=15,'Project types'!$L88,'Prepare Gantt Chart'!AI87=0,0)</f>
        <v>0</v>
      </c>
      <c r="AX98" s="83">
        <f>_xlfn.IFS('Prepare Gantt Chart'!AJ87=16,'Project types'!$L88,'Prepare Gantt Chart'!AJ87=15,'Project types'!$L88,'Prepare Gantt Chart'!AJ87=0,0)</f>
        <v>0</v>
      </c>
      <c r="AY98" s="83">
        <f>_xlfn.IFS('Prepare Gantt Chart'!AK87=16,'Project types'!$L88,'Prepare Gantt Chart'!AK87=15,'Project types'!$L88,'Prepare Gantt Chart'!AK87=0,0)</f>
        <v>0</v>
      </c>
      <c r="AZ98" s="83">
        <f>_xlfn.IFS('Prepare Gantt Chart'!AL87=16,'Project types'!$L88,'Prepare Gantt Chart'!AL87=15,'Project types'!$L88,'Prepare Gantt Chart'!AL87=0,0)</f>
        <v>0</v>
      </c>
      <c r="BA98" s="83">
        <f>_xlfn.IFS('Prepare Gantt Chart'!AM87=16,'Project types'!$L88,'Prepare Gantt Chart'!AM87=15,'Project types'!$L88,'Prepare Gantt Chart'!AM87=0,0)</f>
        <v>0</v>
      </c>
      <c r="BB98" s="83">
        <f>_xlfn.IFS('Prepare Gantt Chart'!AN87=16,'Project types'!$L88,'Prepare Gantt Chart'!AN87=15,'Project types'!$L88,'Prepare Gantt Chart'!AN87=0,0)</f>
        <v>0</v>
      </c>
      <c r="BC98" s="83">
        <f>_xlfn.IFS('Prepare Gantt Chart'!AO87=16,'Project types'!$L88,'Prepare Gantt Chart'!AO87=15,'Project types'!$L88,'Prepare Gantt Chart'!AO87=0,0)</f>
        <v>0</v>
      </c>
      <c r="BD98" s="91">
        <f t="shared" si="3"/>
        <v>0</v>
      </c>
      <c r="CI98" s="85"/>
    </row>
    <row r="99" spans="1:87" x14ac:dyDescent="0.2">
      <c r="A99" s="1" t="s">
        <v>473</v>
      </c>
      <c r="B99" s="39" t="s">
        <v>81</v>
      </c>
      <c r="C99" s="83">
        <f>_xlfn.IFS('Prepare Gantt Chart'!P88=16,'Project types'!$O89,'Prepare Gantt Chart'!P88=15,'Project types'!$Q89,'Prepare Gantt Chart'!P88=0,0)</f>
        <v>0</v>
      </c>
      <c r="D99" s="83">
        <f>_xlfn.IFS('Prepare Gantt Chart'!Q88=16,'Project types'!$O89,'Prepare Gantt Chart'!Q88=15,'Project types'!$Q89,'Prepare Gantt Chart'!Q88=0,0)</f>
        <v>0</v>
      </c>
      <c r="E99" s="83">
        <f>_xlfn.IFS('Prepare Gantt Chart'!R88=16,'Project types'!$O89,'Prepare Gantt Chart'!R88=15,'Project types'!$Q89,'Prepare Gantt Chart'!R88=0,0)</f>
        <v>0</v>
      </c>
      <c r="F99" s="83">
        <f>_xlfn.IFS('Prepare Gantt Chart'!S88=16,'Project types'!$O89,'Prepare Gantt Chart'!S88=15,'Project types'!$Q89,'Prepare Gantt Chart'!S88=0,0)</f>
        <v>0</v>
      </c>
      <c r="G99" s="83">
        <f>_xlfn.IFS('Prepare Gantt Chart'!T88=16,'Project types'!$O89,'Prepare Gantt Chart'!T88=15,'Project types'!$Q89,'Prepare Gantt Chart'!T88=0,0)</f>
        <v>0</v>
      </c>
      <c r="H99" s="83">
        <f>_xlfn.IFS('Prepare Gantt Chart'!U88=16,'Project types'!$O89,'Prepare Gantt Chart'!U88=15,'Project types'!$Q89,'Prepare Gantt Chart'!U88=0,0)</f>
        <v>0</v>
      </c>
      <c r="I99" s="83">
        <f>_xlfn.IFS('Prepare Gantt Chart'!V88=16,'Project types'!$O89,'Prepare Gantt Chart'!V88=15,'Project types'!$Q89,'Prepare Gantt Chart'!V88=0,0)</f>
        <v>0</v>
      </c>
      <c r="J99" s="83">
        <f>_xlfn.IFS('Prepare Gantt Chart'!W88=16,'Project types'!$O89,'Prepare Gantt Chart'!W88=15,'Project types'!$Q89,'Prepare Gantt Chart'!W88=0,0)</f>
        <v>0</v>
      </c>
      <c r="K99" s="83">
        <f>_xlfn.IFS('Prepare Gantt Chart'!X88=16,'Project types'!$O89,'Prepare Gantt Chart'!X88=15,'Project types'!$Q89,'Prepare Gantt Chart'!X88=0,0)</f>
        <v>0</v>
      </c>
      <c r="L99" s="83">
        <f>_xlfn.IFS('Prepare Gantt Chart'!Y88=16,'Project types'!$O89,'Prepare Gantt Chart'!Y88=15,'Project types'!$Q89,'Prepare Gantt Chart'!Y88=0,0)</f>
        <v>0</v>
      </c>
      <c r="M99" s="83">
        <f>_xlfn.IFS('Prepare Gantt Chart'!Z88=16,'Project types'!$O89,'Prepare Gantt Chart'!Z88=15,'Project types'!$Q89,'Prepare Gantt Chart'!Z88=0,0)</f>
        <v>0</v>
      </c>
      <c r="N99" s="83">
        <f>_xlfn.IFS('Prepare Gantt Chart'!AA88=16,'Project types'!$O89,'Prepare Gantt Chart'!AA88=15,'Project types'!$Q89,'Prepare Gantt Chart'!AA88=0,0)</f>
        <v>0</v>
      </c>
      <c r="O99" s="83">
        <f>_xlfn.IFS('Prepare Gantt Chart'!AB88=16,'Project types'!$O89,'Prepare Gantt Chart'!AB88=15,'Project types'!$Q89,'Prepare Gantt Chart'!AB88=0,0)</f>
        <v>0</v>
      </c>
      <c r="P99" s="83">
        <f>_xlfn.IFS('Prepare Gantt Chart'!AC88=16,'Project types'!$O89,'Prepare Gantt Chart'!AC88=15,'Project types'!$Q89,'Prepare Gantt Chart'!AC88=0,0)</f>
        <v>0</v>
      </c>
      <c r="Q99" s="83">
        <f>_xlfn.IFS('Prepare Gantt Chart'!AD88=16,'Project types'!$O89,'Prepare Gantt Chart'!AD88=15,'Project types'!$Q89,'Prepare Gantt Chart'!AD88=0,0)</f>
        <v>0</v>
      </c>
      <c r="R99" s="83">
        <f>_xlfn.IFS('Prepare Gantt Chart'!AE88=16,'Project types'!$O89,'Prepare Gantt Chart'!AE88=15,'Project types'!$Q89,'Prepare Gantt Chart'!AE88=0,0)</f>
        <v>0</v>
      </c>
      <c r="S99" s="83">
        <f>_xlfn.IFS('Prepare Gantt Chart'!AF88=16,'Project types'!$O89,'Prepare Gantt Chart'!AF88=15,'Project types'!$Q89,'Prepare Gantt Chart'!AF88=0,0)</f>
        <v>0</v>
      </c>
      <c r="T99" s="83">
        <f>_xlfn.IFS('Prepare Gantt Chart'!AG88=16,'Project types'!$O89,'Prepare Gantt Chart'!AG88=15,'Project types'!$Q89,'Prepare Gantt Chart'!AG88=0,0)</f>
        <v>0</v>
      </c>
      <c r="U99" s="83">
        <f>_xlfn.IFS('Prepare Gantt Chart'!AH88=16,'Project types'!$O89,'Prepare Gantt Chart'!AH88=15,'Project types'!$Q89,'Prepare Gantt Chart'!AH88=0,0)</f>
        <v>0</v>
      </c>
      <c r="V99" s="83">
        <f>_xlfn.IFS('Prepare Gantt Chart'!AI88=16,'Project types'!$O89,'Prepare Gantt Chart'!AI88=15,'Project types'!$Q89,'Prepare Gantt Chart'!AI88=0,0)</f>
        <v>0</v>
      </c>
      <c r="W99" s="83">
        <f>_xlfn.IFS('Prepare Gantt Chart'!AJ88=16,'Project types'!$O89,'Prepare Gantt Chart'!AJ88=15,'Project types'!$Q89,'Prepare Gantt Chart'!AJ88=0,0)</f>
        <v>0</v>
      </c>
      <c r="X99" s="83">
        <f>_xlfn.IFS('Prepare Gantt Chart'!AK88=16,'Project types'!$O89,'Prepare Gantt Chart'!AK88=15,'Project types'!$Q89,'Prepare Gantt Chart'!AK88=0,0)</f>
        <v>0</v>
      </c>
      <c r="Y99" s="83">
        <f>_xlfn.IFS('Prepare Gantt Chart'!AL88=16,'Project types'!$O89,'Prepare Gantt Chart'!AL88=15,'Project types'!$Q89,'Prepare Gantt Chart'!AL88=0,0)</f>
        <v>0</v>
      </c>
      <c r="Z99" s="83">
        <f>_xlfn.IFS('Prepare Gantt Chart'!AM88=16,'Project types'!$O89,'Prepare Gantt Chart'!AM88=15,'Project types'!$Q89,'Prepare Gantt Chart'!AM88=0,0)</f>
        <v>0</v>
      </c>
      <c r="AA99" s="83">
        <f>_xlfn.IFS('Prepare Gantt Chart'!AN88=16,'Project types'!$O89,'Prepare Gantt Chart'!AN88=15,'Project types'!$Q89,'Prepare Gantt Chart'!AN88=0,0)</f>
        <v>0</v>
      </c>
      <c r="AB99" s="83">
        <f>_xlfn.IFS('Prepare Gantt Chart'!AO88=16,'Project types'!$O89,'Prepare Gantt Chart'!AO88=15,'Project types'!$Q89,'Prepare Gantt Chart'!AO88=0,0)</f>
        <v>0</v>
      </c>
      <c r="AC99" s="93">
        <f t="shared" si="2"/>
        <v>0</v>
      </c>
      <c r="AD99" s="86">
        <f>_xlfn.IFS('Prepare Gantt Chart'!P88=16,'Project types'!$L89,'Prepare Gantt Chart'!P88=15,'Project types'!$L89,'Prepare Gantt Chart'!P88=0,0)</f>
        <v>0</v>
      </c>
      <c r="AE99" s="83">
        <f>_xlfn.IFS('Prepare Gantt Chart'!Q88=16,'Project types'!$L89,'Prepare Gantt Chart'!Q88=15,'Project types'!$L89,'Prepare Gantt Chart'!Q88=0,0)</f>
        <v>0</v>
      </c>
      <c r="AF99" s="83">
        <f>_xlfn.IFS('Prepare Gantt Chart'!R88=16,'Project types'!$L89,'Prepare Gantt Chart'!R88=15,'Project types'!$L89,'Prepare Gantt Chart'!R88=0,0)</f>
        <v>0</v>
      </c>
      <c r="AG99" s="83">
        <f>_xlfn.IFS('Prepare Gantt Chart'!S88=16,'Project types'!$L89,'Prepare Gantt Chart'!S88=15,'Project types'!$L89,'Prepare Gantt Chart'!S88=0,0)</f>
        <v>0</v>
      </c>
      <c r="AH99" s="83">
        <f>_xlfn.IFS('Prepare Gantt Chart'!T88=16,'Project types'!$L89,'Prepare Gantt Chart'!T88=15,'Project types'!$L89,'Prepare Gantt Chart'!T88=0,0)</f>
        <v>0</v>
      </c>
      <c r="AI99" s="83">
        <f>_xlfn.IFS('Prepare Gantt Chart'!U88=16,'Project types'!$L89,'Prepare Gantt Chart'!U88=15,'Project types'!$L89,'Prepare Gantt Chart'!U88=0,0)</f>
        <v>0</v>
      </c>
      <c r="AJ99" s="83">
        <f>_xlfn.IFS('Prepare Gantt Chart'!V88=16,'Project types'!$L89,'Prepare Gantt Chart'!V88=15,'Project types'!$L89,'Prepare Gantt Chart'!V88=0,0)</f>
        <v>0</v>
      </c>
      <c r="AK99" s="83">
        <f>_xlfn.IFS('Prepare Gantt Chart'!W88=16,'Project types'!$L89,'Prepare Gantt Chart'!W88=15,'Project types'!$L89,'Prepare Gantt Chart'!W88=0,0)</f>
        <v>0</v>
      </c>
      <c r="AL99" s="83">
        <f>_xlfn.IFS('Prepare Gantt Chart'!X88=16,'Project types'!$L89,'Prepare Gantt Chart'!X88=15,'Project types'!$L89,'Prepare Gantt Chart'!X88=0,0)</f>
        <v>0</v>
      </c>
      <c r="AM99" s="83">
        <f>_xlfn.IFS('Prepare Gantt Chart'!Y88=16,'Project types'!$L89,'Prepare Gantt Chart'!Y88=15,'Project types'!$L89,'Prepare Gantt Chart'!Y88=0,0)</f>
        <v>0</v>
      </c>
      <c r="AN99" s="83">
        <f>_xlfn.IFS('Prepare Gantt Chart'!Z88=16,'Project types'!$L89,'Prepare Gantt Chart'!Z88=15,'Project types'!$L89,'Prepare Gantt Chart'!Z88=0,0)</f>
        <v>0</v>
      </c>
      <c r="AO99" s="83">
        <f>_xlfn.IFS('Prepare Gantt Chart'!AA88=16,'Project types'!$L89,'Prepare Gantt Chart'!AA88=15,'Project types'!$L89,'Prepare Gantt Chart'!AA88=0,0)</f>
        <v>0</v>
      </c>
      <c r="AP99" s="83">
        <f>_xlfn.IFS('Prepare Gantt Chart'!AB88=16,'Project types'!$L89,'Prepare Gantt Chart'!AB88=15,'Project types'!$L89,'Prepare Gantt Chart'!AB88=0,0)</f>
        <v>0</v>
      </c>
      <c r="AQ99" s="83">
        <f>_xlfn.IFS('Prepare Gantt Chart'!AC88=16,'Project types'!$L89,'Prepare Gantt Chart'!AC88=15,'Project types'!$L89,'Prepare Gantt Chart'!AC88=0,0)</f>
        <v>0</v>
      </c>
      <c r="AR99" s="83">
        <f>_xlfn.IFS('Prepare Gantt Chart'!AD88=16,'Project types'!$L89,'Prepare Gantt Chart'!AD88=15,'Project types'!$L89,'Prepare Gantt Chart'!AD88=0,0)</f>
        <v>0</v>
      </c>
      <c r="AS99" s="83">
        <f>_xlfn.IFS('Prepare Gantt Chart'!AE88=16,'Project types'!$L89,'Prepare Gantt Chart'!AE88=15,'Project types'!$L89,'Prepare Gantt Chart'!AE88=0,0)</f>
        <v>0</v>
      </c>
      <c r="AT99" s="83">
        <f>_xlfn.IFS('Prepare Gantt Chart'!AF88=16,'Project types'!$L89,'Prepare Gantt Chart'!AF88=15,'Project types'!$L89,'Prepare Gantt Chart'!AF88=0,0)</f>
        <v>0</v>
      </c>
      <c r="AU99" s="83">
        <f>_xlfn.IFS('Prepare Gantt Chart'!AG88=16,'Project types'!$L89,'Prepare Gantt Chart'!AG88=15,'Project types'!$L89,'Prepare Gantt Chart'!AG88=0,0)</f>
        <v>0</v>
      </c>
      <c r="AV99" s="83">
        <f>_xlfn.IFS('Prepare Gantt Chart'!AH88=16,'Project types'!$L89,'Prepare Gantt Chart'!AH88=15,'Project types'!$L89,'Prepare Gantt Chart'!AH88=0,0)</f>
        <v>0</v>
      </c>
      <c r="AW99" s="83">
        <f>_xlfn.IFS('Prepare Gantt Chart'!AI88=16,'Project types'!$L89,'Prepare Gantt Chart'!AI88=15,'Project types'!$L89,'Prepare Gantt Chart'!AI88=0,0)</f>
        <v>0</v>
      </c>
      <c r="AX99" s="83">
        <f>_xlfn.IFS('Prepare Gantt Chart'!AJ88=16,'Project types'!$L89,'Prepare Gantt Chart'!AJ88=15,'Project types'!$L89,'Prepare Gantt Chart'!AJ88=0,0)</f>
        <v>0</v>
      </c>
      <c r="AY99" s="83">
        <f>_xlfn.IFS('Prepare Gantt Chart'!AK88=16,'Project types'!$L89,'Prepare Gantt Chart'!AK88=15,'Project types'!$L89,'Prepare Gantt Chart'!AK88=0,0)</f>
        <v>0</v>
      </c>
      <c r="AZ99" s="83">
        <f>_xlfn.IFS('Prepare Gantt Chart'!AL88=16,'Project types'!$L89,'Prepare Gantt Chart'!AL88=15,'Project types'!$L89,'Prepare Gantt Chart'!AL88=0,0)</f>
        <v>0</v>
      </c>
      <c r="BA99" s="83">
        <f>_xlfn.IFS('Prepare Gantt Chart'!AM88=16,'Project types'!$L89,'Prepare Gantt Chart'!AM88=15,'Project types'!$L89,'Prepare Gantt Chart'!AM88=0,0)</f>
        <v>0</v>
      </c>
      <c r="BB99" s="83">
        <f>_xlfn.IFS('Prepare Gantt Chart'!AN88=16,'Project types'!$L89,'Prepare Gantt Chart'!AN88=15,'Project types'!$L89,'Prepare Gantt Chart'!AN88=0,0)</f>
        <v>0</v>
      </c>
      <c r="BC99" s="83">
        <f>_xlfn.IFS('Prepare Gantt Chart'!AO88=16,'Project types'!$L89,'Prepare Gantt Chart'!AO88=15,'Project types'!$L89,'Prepare Gantt Chart'!AO88=0,0)</f>
        <v>0</v>
      </c>
      <c r="BD99" s="91">
        <f t="shared" si="3"/>
        <v>0</v>
      </c>
      <c r="CI99" s="85"/>
    </row>
    <row r="100" spans="1:87" x14ac:dyDescent="0.2">
      <c r="A100" s="1" t="s">
        <v>474</v>
      </c>
      <c r="B100" s="39" t="s">
        <v>82</v>
      </c>
      <c r="C100" s="83">
        <f>_xlfn.IFS('Prepare Gantt Chart'!P89=16,'Project types'!$O90,'Prepare Gantt Chart'!P89=15,'Project types'!$Q90,'Prepare Gantt Chart'!P89=0,0)</f>
        <v>0</v>
      </c>
      <c r="D100" s="83">
        <f>_xlfn.IFS('Prepare Gantt Chart'!Q89=16,'Project types'!$O90,'Prepare Gantt Chart'!Q89=15,'Project types'!$Q90,'Prepare Gantt Chart'!Q89=0,0)</f>
        <v>0</v>
      </c>
      <c r="E100" s="83">
        <f>_xlfn.IFS('Prepare Gantt Chart'!R89=16,'Project types'!$O90,'Prepare Gantt Chart'!R89=15,'Project types'!$Q90,'Prepare Gantt Chart'!R89=0,0)</f>
        <v>0</v>
      </c>
      <c r="F100" s="83">
        <f>_xlfn.IFS('Prepare Gantt Chart'!S89=16,'Project types'!$O90,'Prepare Gantt Chart'!S89=15,'Project types'!$Q90,'Prepare Gantt Chart'!S89=0,0)</f>
        <v>0</v>
      </c>
      <c r="G100" s="83">
        <f>_xlfn.IFS('Prepare Gantt Chart'!T89=16,'Project types'!$O90,'Prepare Gantt Chart'!T89=15,'Project types'!$Q90,'Prepare Gantt Chart'!T89=0,0)</f>
        <v>0</v>
      </c>
      <c r="H100" s="83">
        <f>_xlfn.IFS('Prepare Gantt Chart'!U89=16,'Project types'!$O90,'Prepare Gantt Chart'!U89=15,'Project types'!$Q90,'Prepare Gantt Chart'!U89=0,0)</f>
        <v>0</v>
      </c>
      <c r="I100" s="83">
        <f>_xlfn.IFS('Prepare Gantt Chart'!V89=16,'Project types'!$O90,'Prepare Gantt Chart'!V89=15,'Project types'!$Q90,'Prepare Gantt Chart'!V89=0,0)</f>
        <v>0</v>
      </c>
      <c r="J100" s="83">
        <f>_xlfn.IFS('Prepare Gantt Chart'!W89=16,'Project types'!$O90,'Prepare Gantt Chart'!W89=15,'Project types'!$Q90,'Prepare Gantt Chart'!W89=0,0)</f>
        <v>0</v>
      </c>
      <c r="K100" s="83">
        <f>_xlfn.IFS('Prepare Gantt Chart'!X89=16,'Project types'!$O90,'Prepare Gantt Chart'!X89=15,'Project types'!$Q90,'Prepare Gantt Chart'!X89=0,0)</f>
        <v>0</v>
      </c>
      <c r="L100" s="83">
        <f>_xlfn.IFS('Prepare Gantt Chart'!Y89=16,'Project types'!$O90,'Prepare Gantt Chart'!Y89=15,'Project types'!$Q90,'Prepare Gantt Chart'!Y89=0,0)</f>
        <v>0</v>
      </c>
      <c r="M100" s="83">
        <f>_xlfn.IFS('Prepare Gantt Chart'!Z89=16,'Project types'!$O90,'Prepare Gantt Chart'!Z89=15,'Project types'!$Q90,'Prepare Gantt Chart'!Z89=0,0)</f>
        <v>0</v>
      </c>
      <c r="N100" s="83">
        <f>_xlfn.IFS('Prepare Gantt Chart'!AA89=16,'Project types'!$O90,'Prepare Gantt Chart'!AA89=15,'Project types'!$Q90,'Prepare Gantt Chart'!AA89=0,0)</f>
        <v>0</v>
      </c>
      <c r="O100" s="83">
        <f>_xlfn.IFS('Prepare Gantt Chart'!AB89=16,'Project types'!$O90,'Prepare Gantt Chart'!AB89=15,'Project types'!$Q90,'Prepare Gantt Chart'!AB89=0,0)</f>
        <v>0</v>
      </c>
      <c r="P100" s="83">
        <f>_xlfn.IFS('Prepare Gantt Chart'!AC89=16,'Project types'!$O90,'Prepare Gantt Chart'!AC89=15,'Project types'!$Q90,'Prepare Gantt Chart'!AC89=0,0)</f>
        <v>0</v>
      </c>
      <c r="Q100" s="83">
        <f>_xlfn.IFS('Prepare Gantt Chart'!AD89=16,'Project types'!$O90,'Prepare Gantt Chart'!AD89=15,'Project types'!$Q90,'Prepare Gantt Chart'!AD89=0,0)</f>
        <v>0</v>
      </c>
      <c r="R100" s="83">
        <f>_xlfn.IFS('Prepare Gantt Chart'!AE89=16,'Project types'!$O90,'Prepare Gantt Chart'!AE89=15,'Project types'!$Q90,'Prepare Gantt Chart'!AE89=0,0)</f>
        <v>0</v>
      </c>
      <c r="S100" s="83">
        <f>_xlfn.IFS('Prepare Gantt Chart'!AF89=16,'Project types'!$O90,'Prepare Gantt Chart'!AF89=15,'Project types'!$Q90,'Prepare Gantt Chart'!AF89=0,0)</f>
        <v>0</v>
      </c>
      <c r="T100" s="83">
        <f>_xlfn.IFS('Prepare Gantt Chart'!AG89=16,'Project types'!$O90,'Prepare Gantt Chart'!AG89=15,'Project types'!$Q90,'Prepare Gantt Chart'!AG89=0,0)</f>
        <v>0</v>
      </c>
      <c r="U100" s="83">
        <f>_xlfn.IFS('Prepare Gantt Chart'!AH89=16,'Project types'!$O90,'Prepare Gantt Chart'!AH89=15,'Project types'!$Q90,'Prepare Gantt Chart'!AH89=0,0)</f>
        <v>0</v>
      </c>
      <c r="V100" s="83">
        <f>_xlfn.IFS('Prepare Gantt Chart'!AI89=16,'Project types'!$O90,'Prepare Gantt Chart'!AI89=15,'Project types'!$Q90,'Prepare Gantt Chart'!AI89=0,0)</f>
        <v>0</v>
      </c>
      <c r="W100" s="83">
        <f>_xlfn.IFS('Prepare Gantt Chart'!AJ89=16,'Project types'!$O90,'Prepare Gantt Chart'!AJ89=15,'Project types'!$Q90,'Prepare Gantt Chart'!AJ89=0,0)</f>
        <v>0</v>
      </c>
      <c r="X100" s="83">
        <f>_xlfn.IFS('Prepare Gantt Chart'!AK89=16,'Project types'!$O90,'Prepare Gantt Chart'!AK89=15,'Project types'!$Q90,'Prepare Gantt Chart'!AK89=0,0)</f>
        <v>0</v>
      </c>
      <c r="Y100" s="83">
        <f>_xlfn.IFS('Prepare Gantt Chart'!AL89=16,'Project types'!$O90,'Prepare Gantt Chart'!AL89=15,'Project types'!$Q90,'Prepare Gantt Chart'!AL89=0,0)</f>
        <v>0</v>
      </c>
      <c r="Z100" s="83">
        <f>_xlfn.IFS('Prepare Gantt Chart'!AM89=16,'Project types'!$O90,'Prepare Gantt Chart'!AM89=15,'Project types'!$Q90,'Prepare Gantt Chart'!AM89=0,0)</f>
        <v>0</v>
      </c>
      <c r="AA100" s="83">
        <f>_xlfn.IFS('Prepare Gantt Chart'!AN89=16,'Project types'!$O90,'Prepare Gantt Chart'!AN89=15,'Project types'!$Q90,'Prepare Gantt Chart'!AN89=0,0)</f>
        <v>0</v>
      </c>
      <c r="AB100" s="83">
        <f>_xlfn.IFS('Prepare Gantt Chart'!AO89=16,'Project types'!$O90,'Prepare Gantt Chart'!AO89=15,'Project types'!$Q90,'Prepare Gantt Chart'!AO89=0,0)</f>
        <v>0</v>
      </c>
      <c r="AC100" s="93">
        <f t="shared" si="2"/>
        <v>0</v>
      </c>
      <c r="AD100" s="86">
        <f>_xlfn.IFS('Prepare Gantt Chart'!P89=16,'Project types'!$L90,'Prepare Gantt Chart'!P89=15,'Project types'!$L90,'Prepare Gantt Chart'!P89=0,0)</f>
        <v>0</v>
      </c>
      <c r="AE100" s="83">
        <f>_xlfn.IFS('Prepare Gantt Chart'!Q89=16,'Project types'!$L90,'Prepare Gantt Chart'!Q89=15,'Project types'!$L90,'Prepare Gantt Chart'!Q89=0,0)</f>
        <v>0</v>
      </c>
      <c r="AF100" s="83">
        <f>_xlfn.IFS('Prepare Gantt Chart'!R89=16,'Project types'!$L90,'Prepare Gantt Chart'!R89=15,'Project types'!$L90,'Prepare Gantt Chart'!R89=0,0)</f>
        <v>0</v>
      </c>
      <c r="AG100" s="83">
        <f>_xlfn.IFS('Prepare Gantt Chart'!S89=16,'Project types'!$L90,'Prepare Gantt Chart'!S89=15,'Project types'!$L90,'Prepare Gantt Chart'!S89=0,0)</f>
        <v>0</v>
      </c>
      <c r="AH100" s="83">
        <f>_xlfn.IFS('Prepare Gantt Chart'!T89=16,'Project types'!$L90,'Prepare Gantt Chart'!T89=15,'Project types'!$L90,'Prepare Gantt Chart'!T89=0,0)</f>
        <v>0</v>
      </c>
      <c r="AI100" s="83">
        <f>_xlfn.IFS('Prepare Gantt Chart'!U89=16,'Project types'!$L90,'Prepare Gantt Chart'!U89=15,'Project types'!$L90,'Prepare Gantt Chart'!U89=0,0)</f>
        <v>0</v>
      </c>
      <c r="AJ100" s="83">
        <f>_xlfn.IFS('Prepare Gantt Chart'!V89=16,'Project types'!$L90,'Prepare Gantt Chart'!V89=15,'Project types'!$L90,'Prepare Gantt Chart'!V89=0,0)</f>
        <v>0</v>
      </c>
      <c r="AK100" s="83">
        <f>_xlfn.IFS('Prepare Gantt Chart'!W89=16,'Project types'!$L90,'Prepare Gantt Chart'!W89=15,'Project types'!$L90,'Prepare Gantt Chart'!W89=0,0)</f>
        <v>0</v>
      </c>
      <c r="AL100" s="83">
        <f>_xlfn.IFS('Prepare Gantt Chart'!X89=16,'Project types'!$L90,'Prepare Gantt Chart'!X89=15,'Project types'!$L90,'Prepare Gantt Chart'!X89=0,0)</f>
        <v>0</v>
      </c>
      <c r="AM100" s="83">
        <f>_xlfn.IFS('Prepare Gantt Chart'!Y89=16,'Project types'!$L90,'Prepare Gantt Chart'!Y89=15,'Project types'!$L90,'Prepare Gantt Chart'!Y89=0,0)</f>
        <v>0</v>
      </c>
      <c r="AN100" s="83">
        <f>_xlfn.IFS('Prepare Gantt Chart'!Z89=16,'Project types'!$L90,'Prepare Gantt Chart'!Z89=15,'Project types'!$L90,'Prepare Gantt Chart'!Z89=0,0)</f>
        <v>0</v>
      </c>
      <c r="AO100" s="83">
        <f>_xlfn.IFS('Prepare Gantt Chart'!AA89=16,'Project types'!$L90,'Prepare Gantt Chart'!AA89=15,'Project types'!$L90,'Prepare Gantt Chart'!AA89=0,0)</f>
        <v>0</v>
      </c>
      <c r="AP100" s="83">
        <f>_xlfn.IFS('Prepare Gantt Chart'!AB89=16,'Project types'!$L90,'Prepare Gantt Chart'!AB89=15,'Project types'!$L90,'Prepare Gantt Chart'!AB89=0,0)</f>
        <v>0</v>
      </c>
      <c r="AQ100" s="83">
        <f>_xlfn.IFS('Prepare Gantt Chart'!AC89=16,'Project types'!$L90,'Prepare Gantt Chart'!AC89=15,'Project types'!$L90,'Prepare Gantt Chart'!AC89=0,0)</f>
        <v>0</v>
      </c>
      <c r="AR100" s="83">
        <f>_xlfn.IFS('Prepare Gantt Chart'!AD89=16,'Project types'!$L90,'Prepare Gantt Chart'!AD89=15,'Project types'!$L90,'Prepare Gantt Chart'!AD89=0,0)</f>
        <v>0</v>
      </c>
      <c r="AS100" s="83">
        <f>_xlfn.IFS('Prepare Gantt Chart'!AE89=16,'Project types'!$L90,'Prepare Gantt Chart'!AE89=15,'Project types'!$L90,'Prepare Gantt Chart'!AE89=0,0)</f>
        <v>0</v>
      </c>
      <c r="AT100" s="83">
        <f>_xlfn.IFS('Prepare Gantt Chart'!AF89=16,'Project types'!$L90,'Prepare Gantt Chart'!AF89=15,'Project types'!$L90,'Prepare Gantt Chart'!AF89=0,0)</f>
        <v>0</v>
      </c>
      <c r="AU100" s="83">
        <f>_xlfn.IFS('Prepare Gantt Chart'!AG89=16,'Project types'!$L90,'Prepare Gantt Chart'!AG89=15,'Project types'!$L90,'Prepare Gantt Chart'!AG89=0,0)</f>
        <v>0</v>
      </c>
      <c r="AV100" s="83">
        <f>_xlfn.IFS('Prepare Gantt Chart'!AH89=16,'Project types'!$L90,'Prepare Gantt Chart'!AH89=15,'Project types'!$L90,'Prepare Gantt Chart'!AH89=0,0)</f>
        <v>0</v>
      </c>
      <c r="AW100" s="83">
        <f>_xlfn.IFS('Prepare Gantt Chart'!AI89=16,'Project types'!$L90,'Prepare Gantt Chart'!AI89=15,'Project types'!$L90,'Prepare Gantt Chart'!AI89=0,0)</f>
        <v>0</v>
      </c>
      <c r="AX100" s="83">
        <f>_xlfn.IFS('Prepare Gantt Chart'!AJ89=16,'Project types'!$L90,'Prepare Gantt Chart'!AJ89=15,'Project types'!$L90,'Prepare Gantt Chart'!AJ89=0,0)</f>
        <v>0</v>
      </c>
      <c r="AY100" s="83">
        <f>_xlfn.IFS('Prepare Gantt Chart'!AK89=16,'Project types'!$L90,'Prepare Gantt Chart'!AK89=15,'Project types'!$L90,'Prepare Gantt Chart'!AK89=0,0)</f>
        <v>0</v>
      </c>
      <c r="AZ100" s="83">
        <f>_xlfn.IFS('Prepare Gantt Chart'!AL89=16,'Project types'!$L90,'Prepare Gantt Chart'!AL89=15,'Project types'!$L90,'Prepare Gantt Chart'!AL89=0,0)</f>
        <v>0</v>
      </c>
      <c r="BA100" s="83">
        <f>_xlfn.IFS('Prepare Gantt Chart'!AM89=16,'Project types'!$L90,'Prepare Gantt Chart'!AM89=15,'Project types'!$L90,'Prepare Gantt Chart'!AM89=0,0)</f>
        <v>0</v>
      </c>
      <c r="BB100" s="83">
        <f>_xlfn.IFS('Prepare Gantt Chart'!AN89=16,'Project types'!$L90,'Prepare Gantt Chart'!AN89=15,'Project types'!$L90,'Prepare Gantt Chart'!AN89=0,0)</f>
        <v>0</v>
      </c>
      <c r="BC100" s="83">
        <f>_xlfn.IFS('Prepare Gantt Chart'!AO89=16,'Project types'!$L90,'Prepare Gantt Chart'!AO89=15,'Project types'!$L90,'Prepare Gantt Chart'!AO89=0,0)</f>
        <v>0</v>
      </c>
      <c r="BD100" s="91">
        <f t="shared" si="3"/>
        <v>0</v>
      </c>
    </row>
    <row r="101" spans="1:87" x14ac:dyDescent="0.2">
      <c r="A101" s="1" t="s">
        <v>475</v>
      </c>
      <c r="B101" s="39" t="s">
        <v>83</v>
      </c>
      <c r="C101" s="83">
        <f>_xlfn.IFS('Prepare Gantt Chart'!P90=16,'Project types'!$O91,'Prepare Gantt Chart'!P90=15,'Project types'!$Q91,'Prepare Gantt Chart'!P90=0,0)</f>
        <v>0</v>
      </c>
      <c r="D101" s="83">
        <f>_xlfn.IFS('Prepare Gantt Chart'!Q90=16,'Project types'!$O91,'Prepare Gantt Chart'!Q90=15,'Project types'!$Q91,'Prepare Gantt Chart'!Q90=0,0)</f>
        <v>0</v>
      </c>
      <c r="E101" s="83">
        <f>_xlfn.IFS('Prepare Gantt Chart'!R90=16,'Project types'!$O91,'Prepare Gantt Chart'!R90=15,'Project types'!$Q91,'Prepare Gantt Chart'!R90=0,0)</f>
        <v>0</v>
      </c>
      <c r="F101" s="83">
        <f>_xlfn.IFS('Prepare Gantt Chart'!S90=16,'Project types'!$O91,'Prepare Gantt Chart'!S90=15,'Project types'!$Q91,'Prepare Gantt Chart'!S90=0,0)</f>
        <v>0</v>
      </c>
      <c r="G101" s="83">
        <f>_xlfn.IFS('Prepare Gantt Chart'!T90=16,'Project types'!$O91,'Prepare Gantt Chart'!T90=15,'Project types'!$Q91,'Prepare Gantt Chart'!T90=0,0)</f>
        <v>0</v>
      </c>
      <c r="H101" s="83">
        <f>_xlfn.IFS('Prepare Gantt Chart'!U90=16,'Project types'!$O91,'Prepare Gantt Chart'!U90=15,'Project types'!$Q91,'Prepare Gantt Chart'!U90=0,0)</f>
        <v>0</v>
      </c>
      <c r="I101" s="83">
        <f>_xlfn.IFS('Prepare Gantt Chart'!V90=16,'Project types'!$O91,'Prepare Gantt Chart'!V90=15,'Project types'!$Q91,'Prepare Gantt Chart'!V90=0,0)</f>
        <v>0</v>
      </c>
      <c r="J101" s="83">
        <f>_xlfn.IFS('Prepare Gantt Chart'!W90=16,'Project types'!$O91,'Prepare Gantt Chart'!W90=15,'Project types'!$Q91,'Prepare Gantt Chart'!W90=0,0)</f>
        <v>0</v>
      </c>
      <c r="K101" s="83">
        <f>_xlfn.IFS('Prepare Gantt Chart'!X90=16,'Project types'!$O91,'Prepare Gantt Chart'!X90=15,'Project types'!$Q91,'Prepare Gantt Chart'!X90=0,0)</f>
        <v>0</v>
      </c>
      <c r="L101" s="83">
        <f>_xlfn.IFS('Prepare Gantt Chart'!Y90=16,'Project types'!$O91,'Prepare Gantt Chart'!Y90=15,'Project types'!$Q91,'Prepare Gantt Chart'!Y90=0,0)</f>
        <v>0</v>
      </c>
      <c r="M101" s="83">
        <f>_xlfn.IFS('Prepare Gantt Chart'!Z90=16,'Project types'!$O91,'Prepare Gantt Chart'!Z90=15,'Project types'!$Q91,'Prepare Gantt Chart'!Z90=0,0)</f>
        <v>0</v>
      </c>
      <c r="N101" s="83">
        <f>_xlfn.IFS('Prepare Gantt Chart'!AA90=16,'Project types'!$O91,'Prepare Gantt Chart'!AA90=15,'Project types'!$Q91,'Prepare Gantt Chart'!AA90=0,0)</f>
        <v>0</v>
      </c>
      <c r="O101" s="83">
        <f>_xlfn.IFS('Prepare Gantt Chart'!AB90=16,'Project types'!$O91,'Prepare Gantt Chart'!AB90=15,'Project types'!$Q91,'Prepare Gantt Chart'!AB90=0,0)</f>
        <v>0</v>
      </c>
      <c r="P101" s="83">
        <f>_xlfn.IFS('Prepare Gantt Chart'!AC90=16,'Project types'!$O91,'Prepare Gantt Chart'!AC90=15,'Project types'!$Q91,'Prepare Gantt Chart'!AC90=0,0)</f>
        <v>0</v>
      </c>
      <c r="Q101" s="83">
        <f>_xlfn.IFS('Prepare Gantt Chart'!AD90=16,'Project types'!$O91,'Prepare Gantt Chart'!AD90=15,'Project types'!$Q91,'Prepare Gantt Chart'!AD90=0,0)</f>
        <v>0</v>
      </c>
      <c r="R101" s="83">
        <f>_xlfn.IFS('Prepare Gantt Chart'!AE90=16,'Project types'!$O91,'Prepare Gantt Chart'!AE90=15,'Project types'!$Q91,'Prepare Gantt Chart'!AE90=0,0)</f>
        <v>0</v>
      </c>
      <c r="S101" s="83">
        <f>_xlfn.IFS('Prepare Gantt Chart'!AF90=16,'Project types'!$O91,'Prepare Gantt Chart'!AF90=15,'Project types'!$Q91,'Prepare Gantt Chart'!AF90=0,0)</f>
        <v>0</v>
      </c>
      <c r="T101" s="83">
        <f>_xlfn.IFS('Prepare Gantt Chart'!AG90=16,'Project types'!$O91,'Prepare Gantt Chart'!AG90=15,'Project types'!$Q91,'Prepare Gantt Chart'!AG90=0,0)</f>
        <v>0</v>
      </c>
      <c r="U101" s="83">
        <f>_xlfn.IFS('Prepare Gantt Chart'!AH90=16,'Project types'!$O91,'Prepare Gantt Chart'!AH90=15,'Project types'!$Q91,'Prepare Gantt Chart'!AH90=0,0)</f>
        <v>0</v>
      </c>
      <c r="V101" s="83">
        <f>_xlfn.IFS('Prepare Gantt Chart'!AI90=16,'Project types'!$O91,'Prepare Gantt Chart'!AI90=15,'Project types'!$Q91,'Prepare Gantt Chart'!AI90=0,0)</f>
        <v>0</v>
      </c>
      <c r="W101" s="83">
        <f>_xlfn.IFS('Prepare Gantt Chart'!AJ90=16,'Project types'!$O91,'Prepare Gantt Chart'!AJ90=15,'Project types'!$Q91,'Prepare Gantt Chart'!AJ90=0,0)</f>
        <v>0</v>
      </c>
      <c r="X101" s="83">
        <f>_xlfn.IFS('Prepare Gantt Chart'!AK90=16,'Project types'!$O91,'Prepare Gantt Chart'!AK90=15,'Project types'!$Q91,'Prepare Gantt Chart'!AK90=0,0)</f>
        <v>0</v>
      </c>
      <c r="Y101" s="83">
        <f>_xlfn.IFS('Prepare Gantt Chart'!AL90=16,'Project types'!$O91,'Prepare Gantt Chart'!AL90=15,'Project types'!$Q91,'Prepare Gantt Chart'!AL90=0,0)</f>
        <v>0</v>
      </c>
      <c r="Z101" s="83">
        <f>_xlfn.IFS('Prepare Gantt Chart'!AM90=16,'Project types'!$O91,'Prepare Gantt Chart'!AM90=15,'Project types'!$Q91,'Prepare Gantt Chart'!AM90=0,0)</f>
        <v>0</v>
      </c>
      <c r="AA101" s="83">
        <f>_xlfn.IFS('Prepare Gantt Chart'!AN90=16,'Project types'!$O91,'Prepare Gantt Chart'!AN90=15,'Project types'!$Q91,'Prepare Gantt Chart'!AN90=0,0)</f>
        <v>0</v>
      </c>
      <c r="AB101" s="83">
        <f>_xlfn.IFS('Prepare Gantt Chart'!AO90=16,'Project types'!$O91,'Prepare Gantt Chart'!AO90=15,'Project types'!$Q91,'Prepare Gantt Chart'!AO90=0,0)</f>
        <v>0</v>
      </c>
      <c r="AC101" s="93">
        <f t="shared" si="2"/>
        <v>0</v>
      </c>
      <c r="AD101" s="86">
        <f>_xlfn.IFS('Prepare Gantt Chart'!P90=16,'Project types'!$L91,'Prepare Gantt Chart'!P90=15,'Project types'!$L91,'Prepare Gantt Chart'!P90=0,0)</f>
        <v>0</v>
      </c>
      <c r="AE101" s="83">
        <f>_xlfn.IFS('Prepare Gantt Chart'!Q90=16,'Project types'!$L91,'Prepare Gantt Chart'!Q90=15,'Project types'!$L91,'Prepare Gantt Chart'!Q90=0,0)</f>
        <v>0</v>
      </c>
      <c r="AF101" s="83">
        <f>_xlfn.IFS('Prepare Gantt Chart'!R90=16,'Project types'!$L91,'Prepare Gantt Chart'!R90=15,'Project types'!$L91,'Prepare Gantt Chart'!R90=0,0)</f>
        <v>0</v>
      </c>
      <c r="AG101" s="83">
        <f>_xlfn.IFS('Prepare Gantt Chart'!S90=16,'Project types'!$L91,'Prepare Gantt Chart'!S90=15,'Project types'!$L91,'Prepare Gantt Chart'!S90=0,0)</f>
        <v>0</v>
      </c>
      <c r="AH101" s="83">
        <f>_xlfn.IFS('Prepare Gantt Chart'!T90=16,'Project types'!$L91,'Prepare Gantt Chart'!T90=15,'Project types'!$L91,'Prepare Gantt Chart'!T90=0,0)</f>
        <v>0</v>
      </c>
      <c r="AI101" s="83">
        <f>_xlfn.IFS('Prepare Gantt Chart'!U90=16,'Project types'!$L91,'Prepare Gantt Chart'!U90=15,'Project types'!$L91,'Prepare Gantt Chart'!U90=0,0)</f>
        <v>0</v>
      </c>
      <c r="AJ101" s="83">
        <f>_xlfn.IFS('Prepare Gantt Chart'!V90=16,'Project types'!$L91,'Prepare Gantt Chart'!V90=15,'Project types'!$L91,'Prepare Gantt Chart'!V90=0,0)</f>
        <v>0</v>
      </c>
      <c r="AK101" s="83">
        <f>_xlfn.IFS('Prepare Gantt Chart'!W90=16,'Project types'!$L91,'Prepare Gantt Chart'!W90=15,'Project types'!$L91,'Prepare Gantt Chart'!W90=0,0)</f>
        <v>0</v>
      </c>
      <c r="AL101" s="83">
        <f>_xlfn.IFS('Prepare Gantt Chart'!X90=16,'Project types'!$L91,'Prepare Gantt Chart'!X90=15,'Project types'!$L91,'Prepare Gantt Chart'!X90=0,0)</f>
        <v>0</v>
      </c>
      <c r="AM101" s="83">
        <f>_xlfn.IFS('Prepare Gantt Chart'!Y90=16,'Project types'!$L91,'Prepare Gantt Chart'!Y90=15,'Project types'!$L91,'Prepare Gantt Chart'!Y90=0,0)</f>
        <v>0</v>
      </c>
      <c r="AN101" s="83">
        <f>_xlfn.IFS('Prepare Gantt Chart'!Z90=16,'Project types'!$L91,'Prepare Gantt Chart'!Z90=15,'Project types'!$L91,'Prepare Gantt Chart'!Z90=0,0)</f>
        <v>0</v>
      </c>
      <c r="AO101" s="83">
        <f>_xlfn.IFS('Prepare Gantt Chart'!AA90=16,'Project types'!$L91,'Prepare Gantt Chart'!AA90=15,'Project types'!$L91,'Prepare Gantt Chart'!AA90=0,0)</f>
        <v>0</v>
      </c>
      <c r="AP101" s="83">
        <f>_xlfn.IFS('Prepare Gantt Chart'!AB90=16,'Project types'!$L91,'Prepare Gantt Chart'!AB90=15,'Project types'!$L91,'Prepare Gantt Chart'!AB90=0,0)</f>
        <v>0</v>
      </c>
      <c r="AQ101" s="83">
        <f>_xlfn.IFS('Prepare Gantt Chart'!AC90=16,'Project types'!$L91,'Prepare Gantt Chart'!AC90=15,'Project types'!$L91,'Prepare Gantt Chart'!AC90=0,0)</f>
        <v>0</v>
      </c>
      <c r="AR101" s="83">
        <f>_xlfn.IFS('Prepare Gantt Chart'!AD90=16,'Project types'!$L91,'Prepare Gantt Chart'!AD90=15,'Project types'!$L91,'Prepare Gantt Chart'!AD90=0,0)</f>
        <v>0</v>
      </c>
      <c r="AS101" s="83">
        <f>_xlfn.IFS('Prepare Gantt Chart'!AE90=16,'Project types'!$L91,'Prepare Gantt Chart'!AE90=15,'Project types'!$L91,'Prepare Gantt Chart'!AE90=0,0)</f>
        <v>0</v>
      </c>
      <c r="AT101" s="83">
        <f>_xlfn.IFS('Prepare Gantt Chart'!AF90=16,'Project types'!$L91,'Prepare Gantt Chart'!AF90=15,'Project types'!$L91,'Prepare Gantt Chart'!AF90=0,0)</f>
        <v>0</v>
      </c>
      <c r="AU101" s="83">
        <f>_xlfn.IFS('Prepare Gantt Chart'!AG90=16,'Project types'!$L91,'Prepare Gantt Chart'!AG90=15,'Project types'!$L91,'Prepare Gantt Chart'!AG90=0,0)</f>
        <v>0</v>
      </c>
      <c r="AV101" s="83">
        <f>_xlfn.IFS('Prepare Gantt Chart'!AH90=16,'Project types'!$L91,'Prepare Gantt Chart'!AH90=15,'Project types'!$L91,'Prepare Gantt Chart'!AH90=0,0)</f>
        <v>0</v>
      </c>
      <c r="AW101" s="83">
        <f>_xlfn.IFS('Prepare Gantt Chart'!AI90=16,'Project types'!$L91,'Prepare Gantt Chart'!AI90=15,'Project types'!$L91,'Prepare Gantt Chart'!AI90=0,0)</f>
        <v>0</v>
      </c>
      <c r="AX101" s="83">
        <f>_xlfn.IFS('Prepare Gantt Chart'!AJ90=16,'Project types'!$L91,'Prepare Gantt Chart'!AJ90=15,'Project types'!$L91,'Prepare Gantt Chart'!AJ90=0,0)</f>
        <v>0</v>
      </c>
      <c r="AY101" s="83">
        <f>_xlfn.IFS('Prepare Gantt Chart'!AK90=16,'Project types'!$L91,'Prepare Gantt Chart'!AK90=15,'Project types'!$L91,'Prepare Gantt Chart'!AK90=0,0)</f>
        <v>0</v>
      </c>
      <c r="AZ101" s="83">
        <f>_xlfn.IFS('Prepare Gantt Chart'!AL90=16,'Project types'!$L91,'Prepare Gantt Chart'!AL90=15,'Project types'!$L91,'Prepare Gantt Chart'!AL90=0,0)</f>
        <v>0</v>
      </c>
      <c r="BA101" s="83">
        <f>_xlfn.IFS('Prepare Gantt Chart'!AM90=16,'Project types'!$L91,'Prepare Gantt Chart'!AM90=15,'Project types'!$L91,'Prepare Gantt Chart'!AM90=0,0)</f>
        <v>0</v>
      </c>
      <c r="BB101" s="83">
        <f>_xlfn.IFS('Prepare Gantt Chart'!AN90=16,'Project types'!$L91,'Prepare Gantt Chart'!AN90=15,'Project types'!$L91,'Prepare Gantt Chart'!AN90=0,0)</f>
        <v>0</v>
      </c>
      <c r="BC101" s="83">
        <f>_xlfn.IFS('Prepare Gantt Chart'!AO90=16,'Project types'!$L91,'Prepare Gantt Chart'!AO90=15,'Project types'!$L91,'Prepare Gantt Chart'!AO90=0,0)</f>
        <v>0</v>
      </c>
      <c r="BD101" s="91">
        <f t="shared" si="3"/>
        <v>0</v>
      </c>
    </row>
    <row r="102" spans="1:87" x14ac:dyDescent="0.2">
      <c r="A102" s="1" t="s">
        <v>476</v>
      </c>
      <c r="B102" s="39" t="s">
        <v>84</v>
      </c>
      <c r="C102" s="83">
        <f>_xlfn.IFS('Prepare Gantt Chart'!P91=16,'Project types'!$O92,'Prepare Gantt Chart'!P91=15,'Project types'!$Q92,'Prepare Gantt Chart'!P91=0,0)</f>
        <v>0</v>
      </c>
      <c r="D102" s="83">
        <f>_xlfn.IFS('Prepare Gantt Chart'!Q91=16,'Project types'!$O92,'Prepare Gantt Chart'!Q91=15,'Project types'!$Q92,'Prepare Gantt Chart'!Q91=0,0)</f>
        <v>0</v>
      </c>
      <c r="E102" s="83">
        <f>_xlfn.IFS('Prepare Gantt Chart'!R91=16,'Project types'!$O92,'Prepare Gantt Chart'!R91=15,'Project types'!$Q92,'Prepare Gantt Chart'!R91=0,0)</f>
        <v>0</v>
      </c>
      <c r="F102" s="83">
        <f>_xlfn.IFS('Prepare Gantt Chart'!S91=16,'Project types'!$O92,'Prepare Gantt Chart'!S91=15,'Project types'!$Q92,'Prepare Gantt Chart'!S91=0,0)</f>
        <v>0</v>
      </c>
      <c r="G102" s="83">
        <f>_xlfn.IFS('Prepare Gantt Chart'!T91=16,'Project types'!$O92,'Prepare Gantt Chart'!T91=15,'Project types'!$Q92,'Prepare Gantt Chart'!T91=0,0)</f>
        <v>0</v>
      </c>
      <c r="H102" s="83">
        <f>_xlfn.IFS('Prepare Gantt Chart'!U91=16,'Project types'!$O92,'Prepare Gantt Chart'!U91=15,'Project types'!$Q92,'Prepare Gantt Chart'!U91=0,0)</f>
        <v>0</v>
      </c>
      <c r="I102" s="83">
        <f>_xlfn.IFS('Prepare Gantt Chart'!V91=16,'Project types'!$O92,'Prepare Gantt Chart'!V91=15,'Project types'!$Q92,'Prepare Gantt Chart'!V91=0,0)</f>
        <v>0</v>
      </c>
      <c r="J102" s="83">
        <f>_xlfn.IFS('Prepare Gantt Chart'!W91=16,'Project types'!$O92,'Prepare Gantt Chart'!W91=15,'Project types'!$Q92,'Prepare Gantt Chart'!W91=0,0)</f>
        <v>0</v>
      </c>
      <c r="K102" s="83">
        <f>_xlfn.IFS('Prepare Gantt Chart'!X91=16,'Project types'!$O92,'Prepare Gantt Chart'!X91=15,'Project types'!$Q92,'Prepare Gantt Chart'!X91=0,0)</f>
        <v>0</v>
      </c>
      <c r="L102" s="83">
        <f>_xlfn.IFS('Prepare Gantt Chart'!Y91=16,'Project types'!$O92,'Prepare Gantt Chart'!Y91=15,'Project types'!$Q92,'Prepare Gantt Chart'!Y91=0,0)</f>
        <v>0</v>
      </c>
      <c r="M102" s="83">
        <f>_xlfn.IFS('Prepare Gantt Chart'!Z91=16,'Project types'!$O92,'Prepare Gantt Chart'!Z91=15,'Project types'!$Q92,'Prepare Gantt Chart'!Z91=0,0)</f>
        <v>0</v>
      </c>
      <c r="N102" s="83">
        <f>_xlfn.IFS('Prepare Gantt Chart'!AA91=16,'Project types'!$O92,'Prepare Gantt Chart'!AA91=15,'Project types'!$Q92,'Prepare Gantt Chart'!AA91=0,0)</f>
        <v>0</v>
      </c>
      <c r="O102" s="83">
        <f>_xlfn.IFS('Prepare Gantt Chart'!AB91=16,'Project types'!$O92,'Prepare Gantt Chart'!AB91=15,'Project types'!$Q92,'Prepare Gantt Chart'!AB91=0,0)</f>
        <v>0</v>
      </c>
      <c r="P102" s="83">
        <f>_xlfn.IFS('Prepare Gantt Chart'!AC91=16,'Project types'!$O92,'Prepare Gantt Chart'!AC91=15,'Project types'!$Q92,'Prepare Gantt Chart'!AC91=0,0)</f>
        <v>0</v>
      </c>
      <c r="Q102" s="83">
        <f>_xlfn.IFS('Prepare Gantt Chart'!AD91=16,'Project types'!$O92,'Prepare Gantt Chart'!AD91=15,'Project types'!$Q92,'Prepare Gantt Chart'!AD91=0,0)</f>
        <v>0</v>
      </c>
      <c r="R102" s="83">
        <f>_xlfn.IFS('Prepare Gantt Chart'!AE91=16,'Project types'!$O92,'Prepare Gantt Chart'!AE91=15,'Project types'!$Q92,'Prepare Gantt Chart'!AE91=0,0)</f>
        <v>0</v>
      </c>
      <c r="S102" s="83">
        <f>_xlfn.IFS('Prepare Gantt Chart'!AF91=16,'Project types'!$O92,'Prepare Gantt Chart'!AF91=15,'Project types'!$Q92,'Prepare Gantt Chart'!AF91=0,0)</f>
        <v>0</v>
      </c>
      <c r="T102" s="83">
        <f>_xlfn.IFS('Prepare Gantt Chart'!AG91=16,'Project types'!$O92,'Prepare Gantt Chart'!AG91=15,'Project types'!$Q92,'Prepare Gantt Chart'!AG91=0,0)</f>
        <v>0</v>
      </c>
      <c r="U102" s="83">
        <f>_xlfn.IFS('Prepare Gantt Chart'!AH91=16,'Project types'!$O92,'Prepare Gantt Chart'!AH91=15,'Project types'!$Q92,'Prepare Gantt Chart'!AH91=0,0)</f>
        <v>0</v>
      </c>
      <c r="V102" s="83">
        <f>_xlfn.IFS('Prepare Gantt Chart'!AI91=16,'Project types'!$O92,'Prepare Gantt Chart'!AI91=15,'Project types'!$Q92,'Prepare Gantt Chart'!AI91=0,0)</f>
        <v>0</v>
      </c>
      <c r="W102" s="83">
        <f>_xlfn.IFS('Prepare Gantt Chart'!AJ91=16,'Project types'!$O92,'Prepare Gantt Chart'!AJ91=15,'Project types'!$Q92,'Prepare Gantt Chart'!AJ91=0,0)</f>
        <v>0</v>
      </c>
      <c r="X102" s="83">
        <f>_xlfn.IFS('Prepare Gantt Chart'!AK91=16,'Project types'!$O92,'Prepare Gantt Chart'!AK91=15,'Project types'!$Q92,'Prepare Gantt Chart'!AK91=0,0)</f>
        <v>0</v>
      </c>
      <c r="Y102" s="83">
        <f>_xlfn.IFS('Prepare Gantt Chart'!AL91=16,'Project types'!$O92,'Prepare Gantt Chart'!AL91=15,'Project types'!$Q92,'Prepare Gantt Chart'!AL91=0,0)</f>
        <v>0</v>
      </c>
      <c r="Z102" s="83">
        <f>_xlfn.IFS('Prepare Gantt Chart'!AM91=16,'Project types'!$O92,'Prepare Gantt Chart'!AM91=15,'Project types'!$Q92,'Prepare Gantt Chart'!AM91=0,0)</f>
        <v>0</v>
      </c>
      <c r="AA102" s="83">
        <f>_xlfn.IFS('Prepare Gantt Chart'!AN91=16,'Project types'!$O92,'Prepare Gantt Chart'!AN91=15,'Project types'!$Q92,'Prepare Gantt Chart'!AN91=0,0)</f>
        <v>0</v>
      </c>
      <c r="AB102" s="83">
        <f>_xlfn.IFS('Prepare Gantt Chart'!AO91=16,'Project types'!$O92,'Prepare Gantt Chart'!AO91=15,'Project types'!$Q92,'Prepare Gantt Chart'!AO91=0,0)</f>
        <v>0</v>
      </c>
      <c r="AC102" s="93">
        <f t="shared" si="2"/>
        <v>0</v>
      </c>
      <c r="AD102" s="86">
        <f>_xlfn.IFS('Prepare Gantt Chart'!P91=16,'Project types'!$L92,'Prepare Gantt Chart'!P91=15,'Project types'!$L92,'Prepare Gantt Chart'!P91=0,0)</f>
        <v>0</v>
      </c>
      <c r="AE102" s="83">
        <f>_xlfn.IFS('Prepare Gantt Chart'!Q91=16,'Project types'!$L92,'Prepare Gantt Chart'!Q91=15,'Project types'!$L92,'Prepare Gantt Chart'!Q91=0,0)</f>
        <v>0</v>
      </c>
      <c r="AF102" s="83">
        <f>_xlfn.IFS('Prepare Gantt Chart'!R91=16,'Project types'!$L92,'Prepare Gantt Chart'!R91=15,'Project types'!$L92,'Prepare Gantt Chart'!R91=0,0)</f>
        <v>0</v>
      </c>
      <c r="AG102" s="83">
        <f>_xlfn.IFS('Prepare Gantt Chart'!S91=16,'Project types'!$L92,'Prepare Gantt Chart'!S91=15,'Project types'!$L92,'Prepare Gantt Chart'!S91=0,0)</f>
        <v>0</v>
      </c>
      <c r="AH102" s="83">
        <f>_xlfn.IFS('Prepare Gantt Chart'!T91=16,'Project types'!$L92,'Prepare Gantt Chart'!T91=15,'Project types'!$L92,'Prepare Gantt Chart'!T91=0,0)</f>
        <v>0</v>
      </c>
      <c r="AI102" s="83">
        <f>_xlfn.IFS('Prepare Gantt Chart'!U91=16,'Project types'!$L92,'Prepare Gantt Chart'!U91=15,'Project types'!$L92,'Prepare Gantt Chart'!U91=0,0)</f>
        <v>0</v>
      </c>
      <c r="AJ102" s="83">
        <f>_xlfn.IFS('Prepare Gantt Chart'!V91=16,'Project types'!$L92,'Prepare Gantt Chart'!V91=15,'Project types'!$L92,'Prepare Gantt Chart'!V91=0,0)</f>
        <v>0</v>
      </c>
      <c r="AK102" s="83">
        <f>_xlfn.IFS('Prepare Gantt Chart'!W91=16,'Project types'!$L92,'Prepare Gantt Chart'!W91=15,'Project types'!$L92,'Prepare Gantt Chart'!W91=0,0)</f>
        <v>0</v>
      </c>
      <c r="AL102" s="83">
        <f>_xlfn.IFS('Prepare Gantt Chart'!X91=16,'Project types'!$L92,'Prepare Gantt Chart'!X91=15,'Project types'!$L92,'Prepare Gantt Chart'!X91=0,0)</f>
        <v>0</v>
      </c>
      <c r="AM102" s="83">
        <f>_xlfn.IFS('Prepare Gantt Chart'!Y91=16,'Project types'!$L92,'Prepare Gantt Chart'!Y91=15,'Project types'!$L92,'Prepare Gantt Chart'!Y91=0,0)</f>
        <v>0</v>
      </c>
      <c r="AN102" s="83">
        <f>_xlfn.IFS('Prepare Gantt Chart'!Z91=16,'Project types'!$L92,'Prepare Gantt Chart'!Z91=15,'Project types'!$L92,'Prepare Gantt Chart'!Z91=0,0)</f>
        <v>0</v>
      </c>
      <c r="AO102" s="83">
        <f>_xlfn.IFS('Prepare Gantt Chart'!AA91=16,'Project types'!$L92,'Prepare Gantt Chart'!AA91=15,'Project types'!$L92,'Prepare Gantt Chart'!AA91=0,0)</f>
        <v>0</v>
      </c>
      <c r="AP102" s="83">
        <f>_xlfn.IFS('Prepare Gantt Chart'!AB91=16,'Project types'!$L92,'Prepare Gantt Chart'!AB91=15,'Project types'!$L92,'Prepare Gantt Chart'!AB91=0,0)</f>
        <v>0</v>
      </c>
      <c r="AQ102" s="83">
        <f>_xlfn.IFS('Prepare Gantt Chart'!AC91=16,'Project types'!$L92,'Prepare Gantt Chart'!AC91=15,'Project types'!$L92,'Prepare Gantt Chart'!AC91=0,0)</f>
        <v>0</v>
      </c>
      <c r="AR102" s="83">
        <f>_xlfn.IFS('Prepare Gantt Chart'!AD91=16,'Project types'!$L92,'Prepare Gantt Chart'!AD91=15,'Project types'!$L92,'Prepare Gantt Chart'!AD91=0,0)</f>
        <v>0</v>
      </c>
      <c r="AS102" s="83">
        <f>_xlfn.IFS('Prepare Gantt Chart'!AE91=16,'Project types'!$L92,'Prepare Gantt Chart'!AE91=15,'Project types'!$L92,'Prepare Gantt Chart'!AE91=0,0)</f>
        <v>0</v>
      </c>
      <c r="AT102" s="83">
        <f>_xlfn.IFS('Prepare Gantt Chart'!AF91=16,'Project types'!$L92,'Prepare Gantt Chart'!AF91=15,'Project types'!$L92,'Prepare Gantt Chart'!AF91=0,0)</f>
        <v>0</v>
      </c>
      <c r="AU102" s="83">
        <f>_xlfn.IFS('Prepare Gantt Chart'!AG91=16,'Project types'!$L92,'Prepare Gantt Chart'!AG91=15,'Project types'!$L92,'Prepare Gantt Chart'!AG91=0,0)</f>
        <v>0</v>
      </c>
      <c r="AV102" s="83">
        <f>_xlfn.IFS('Prepare Gantt Chart'!AH91=16,'Project types'!$L92,'Prepare Gantt Chart'!AH91=15,'Project types'!$L92,'Prepare Gantt Chart'!AH91=0,0)</f>
        <v>0</v>
      </c>
      <c r="AW102" s="83">
        <f>_xlfn.IFS('Prepare Gantt Chart'!AI91=16,'Project types'!$L92,'Prepare Gantt Chart'!AI91=15,'Project types'!$L92,'Prepare Gantt Chart'!AI91=0,0)</f>
        <v>0</v>
      </c>
      <c r="AX102" s="83">
        <f>_xlfn.IFS('Prepare Gantt Chart'!AJ91=16,'Project types'!$L92,'Prepare Gantt Chart'!AJ91=15,'Project types'!$L92,'Prepare Gantt Chart'!AJ91=0,0)</f>
        <v>0</v>
      </c>
      <c r="AY102" s="83">
        <f>_xlfn.IFS('Prepare Gantt Chart'!AK91=16,'Project types'!$L92,'Prepare Gantt Chart'!AK91=15,'Project types'!$L92,'Prepare Gantt Chart'!AK91=0,0)</f>
        <v>0</v>
      </c>
      <c r="AZ102" s="83">
        <f>_xlfn.IFS('Prepare Gantt Chart'!AL91=16,'Project types'!$L92,'Prepare Gantt Chart'!AL91=15,'Project types'!$L92,'Prepare Gantt Chart'!AL91=0,0)</f>
        <v>0</v>
      </c>
      <c r="BA102" s="83">
        <f>_xlfn.IFS('Prepare Gantt Chart'!AM91=16,'Project types'!$L92,'Prepare Gantt Chart'!AM91=15,'Project types'!$L92,'Prepare Gantt Chart'!AM91=0,0)</f>
        <v>0</v>
      </c>
      <c r="BB102" s="83">
        <f>_xlfn.IFS('Prepare Gantt Chart'!AN91=16,'Project types'!$L92,'Prepare Gantt Chart'!AN91=15,'Project types'!$L92,'Prepare Gantt Chart'!AN91=0,0)</f>
        <v>0</v>
      </c>
      <c r="BC102" s="83">
        <f>_xlfn.IFS('Prepare Gantt Chart'!AO91=16,'Project types'!$L92,'Prepare Gantt Chart'!AO91=15,'Project types'!$L92,'Prepare Gantt Chart'!AO91=0,0)</f>
        <v>0</v>
      </c>
      <c r="BD102" s="91">
        <f t="shared" si="3"/>
        <v>0</v>
      </c>
    </row>
    <row r="103" spans="1:87" x14ac:dyDescent="0.2">
      <c r="A103" s="1" t="s">
        <v>477</v>
      </c>
      <c r="B103" s="39" t="s">
        <v>85</v>
      </c>
      <c r="C103" s="83">
        <f>_xlfn.IFS('Prepare Gantt Chart'!P92=16,'Project types'!$O93,'Prepare Gantt Chart'!P92=15,'Project types'!$Q93,'Prepare Gantt Chart'!P92=0,0)</f>
        <v>0</v>
      </c>
      <c r="D103" s="83">
        <f>_xlfn.IFS('Prepare Gantt Chart'!Q92=16,'Project types'!$O93,'Prepare Gantt Chart'!Q92=15,'Project types'!$Q93,'Prepare Gantt Chart'!Q92=0,0)</f>
        <v>0</v>
      </c>
      <c r="E103" s="83">
        <f>_xlfn.IFS('Prepare Gantt Chart'!R92=16,'Project types'!$O93,'Prepare Gantt Chart'!R92=15,'Project types'!$Q93,'Prepare Gantt Chart'!R92=0,0)</f>
        <v>0</v>
      </c>
      <c r="F103" s="83">
        <f>_xlfn.IFS('Prepare Gantt Chart'!S92=16,'Project types'!$O93,'Prepare Gantt Chart'!S92=15,'Project types'!$Q93,'Prepare Gantt Chart'!S92=0,0)</f>
        <v>0</v>
      </c>
      <c r="G103" s="83">
        <f>_xlfn.IFS('Prepare Gantt Chart'!T92=16,'Project types'!$O93,'Prepare Gantt Chart'!T92=15,'Project types'!$Q93,'Prepare Gantt Chart'!T92=0,0)</f>
        <v>0</v>
      </c>
      <c r="H103" s="83">
        <f>_xlfn.IFS('Prepare Gantt Chart'!U92=16,'Project types'!$O93,'Prepare Gantt Chart'!U92=15,'Project types'!$Q93,'Prepare Gantt Chart'!U92=0,0)</f>
        <v>0</v>
      </c>
      <c r="I103" s="83">
        <f>_xlfn.IFS('Prepare Gantt Chart'!V92=16,'Project types'!$O93,'Prepare Gantt Chart'!V92=15,'Project types'!$Q93,'Prepare Gantt Chart'!V92=0,0)</f>
        <v>0</v>
      </c>
      <c r="J103" s="83">
        <f>_xlfn.IFS('Prepare Gantt Chart'!W92=16,'Project types'!$O93,'Prepare Gantt Chart'!W92=15,'Project types'!$Q93,'Prepare Gantt Chart'!W92=0,0)</f>
        <v>0</v>
      </c>
      <c r="K103" s="83">
        <f>_xlfn.IFS('Prepare Gantt Chart'!X92=16,'Project types'!$O93,'Prepare Gantt Chart'!X92=15,'Project types'!$Q93,'Prepare Gantt Chart'!X92=0,0)</f>
        <v>0</v>
      </c>
      <c r="L103" s="83">
        <f>_xlfn.IFS('Prepare Gantt Chart'!Y92=16,'Project types'!$O93,'Prepare Gantt Chart'!Y92=15,'Project types'!$Q93,'Prepare Gantt Chart'!Y92=0,0)</f>
        <v>0</v>
      </c>
      <c r="M103" s="83">
        <f>_xlfn.IFS('Prepare Gantt Chart'!Z92=16,'Project types'!$O93,'Prepare Gantt Chart'!Z92=15,'Project types'!$Q93,'Prepare Gantt Chart'!Z92=0,0)</f>
        <v>0</v>
      </c>
      <c r="N103" s="83">
        <f>_xlfn.IFS('Prepare Gantt Chart'!AA92=16,'Project types'!$O93,'Prepare Gantt Chart'!AA92=15,'Project types'!$Q93,'Prepare Gantt Chart'!AA92=0,0)</f>
        <v>0</v>
      </c>
      <c r="O103" s="83">
        <f>_xlfn.IFS('Prepare Gantt Chart'!AB92=16,'Project types'!$O93,'Prepare Gantt Chart'!AB92=15,'Project types'!$Q93,'Prepare Gantt Chart'!AB92=0,0)</f>
        <v>0</v>
      </c>
      <c r="P103" s="83">
        <f>_xlfn.IFS('Prepare Gantt Chart'!AC92=16,'Project types'!$O93,'Prepare Gantt Chart'!AC92=15,'Project types'!$Q93,'Prepare Gantt Chart'!AC92=0,0)</f>
        <v>0</v>
      </c>
      <c r="Q103" s="83">
        <f>_xlfn.IFS('Prepare Gantt Chart'!AD92=16,'Project types'!$O93,'Prepare Gantt Chart'!AD92=15,'Project types'!$Q93,'Prepare Gantt Chart'!AD92=0,0)</f>
        <v>0</v>
      </c>
      <c r="R103" s="83">
        <f>_xlfn.IFS('Prepare Gantt Chart'!AE92=16,'Project types'!$O93,'Prepare Gantt Chart'!AE92=15,'Project types'!$Q93,'Prepare Gantt Chart'!AE92=0,0)</f>
        <v>0</v>
      </c>
      <c r="S103" s="83">
        <f>_xlfn.IFS('Prepare Gantt Chart'!AF92=16,'Project types'!$O93,'Prepare Gantt Chart'!AF92=15,'Project types'!$Q93,'Prepare Gantt Chart'!AF92=0,0)</f>
        <v>0</v>
      </c>
      <c r="T103" s="83">
        <f>_xlfn.IFS('Prepare Gantt Chart'!AG92=16,'Project types'!$O93,'Prepare Gantt Chart'!AG92=15,'Project types'!$Q93,'Prepare Gantt Chart'!AG92=0,0)</f>
        <v>0</v>
      </c>
      <c r="U103" s="83">
        <f>_xlfn.IFS('Prepare Gantt Chart'!AH92=16,'Project types'!$O93,'Prepare Gantt Chart'!AH92=15,'Project types'!$Q93,'Prepare Gantt Chart'!AH92=0,0)</f>
        <v>0</v>
      </c>
      <c r="V103" s="83">
        <f>_xlfn.IFS('Prepare Gantt Chart'!AI92=16,'Project types'!$O93,'Prepare Gantt Chart'!AI92=15,'Project types'!$Q93,'Prepare Gantt Chart'!AI92=0,0)</f>
        <v>0</v>
      </c>
      <c r="W103" s="83">
        <f>_xlfn.IFS('Prepare Gantt Chart'!AJ92=16,'Project types'!$O93,'Prepare Gantt Chart'!AJ92=15,'Project types'!$Q93,'Prepare Gantt Chart'!AJ92=0,0)</f>
        <v>0</v>
      </c>
      <c r="X103" s="83">
        <f>_xlfn.IFS('Prepare Gantt Chart'!AK92=16,'Project types'!$O93,'Prepare Gantt Chart'!AK92=15,'Project types'!$Q93,'Prepare Gantt Chart'!AK92=0,0)</f>
        <v>0</v>
      </c>
      <c r="Y103" s="83">
        <f>_xlfn.IFS('Prepare Gantt Chart'!AL92=16,'Project types'!$O93,'Prepare Gantt Chart'!AL92=15,'Project types'!$Q93,'Prepare Gantt Chart'!AL92=0,0)</f>
        <v>0</v>
      </c>
      <c r="Z103" s="83">
        <f>_xlfn.IFS('Prepare Gantt Chart'!AM92=16,'Project types'!$O93,'Prepare Gantt Chart'!AM92=15,'Project types'!$Q93,'Prepare Gantt Chart'!AM92=0,0)</f>
        <v>0</v>
      </c>
      <c r="AA103" s="83">
        <f>_xlfn.IFS('Prepare Gantt Chart'!AN92=16,'Project types'!$O93,'Prepare Gantt Chart'!AN92=15,'Project types'!$Q93,'Prepare Gantt Chart'!AN92=0,0)</f>
        <v>0</v>
      </c>
      <c r="AB103" s="83">
        <f>_xlfn.IFS('Prepare Gantt Chart'!AO92=16,'Project types'!$O93,'Prepare Gantt Chart'!AO92=15,'Project types'!$Q93,'Prepare Gantt Chart'!AO92=0,0)</f>
        <v>0</v>
      </c>
      <c r="AC103" s="93">
        <f t="shared" si="2"/>
        <v>0</v>
      </c>
      <c r="AD103" s="86">
        <f>_xlfn.IFS('Prepare Gantt Chart'!P92=16,'Project types'!$L93,'Prepare Gantt Chart'!P92=15,'Project types'!$L93,'Prepare Gantt Chart'!P92=0,0)</f>
        <v>0</v>
      </c>
      <c r="AE103" s="83">
        <f>_xlfn.IFS('Prepare Gantt Chart'!Q92=16,'Project types'!$L93,'Prepare Gantt Chart'!Q92=15,'Project types'!$L93,'Prepare Gantt Chart'!Q92=0,0)</f>
        <v>0</v>
      </c>
      <c r="AF103" s="83">
        <f>_xlfn.IFS('Prepare Gantt Chart'!R92=16,'Project types'!$L93,'Prepare Gantt Chart'!R92=15,'Project types'!$L93,'Prepare Gantt Chart'!R92=0,0)</f>
        <v>0</v>
      </c>
      <c r="AG103" s="83">
        <f>_xlfn.IFS('Prepare Gantt Chart'!S92=16,'Project types'!$L93,'Prepare Gantt Chart'!S92=15,'Project types'!$L93,'Prepare Gantt Chart'!S92=0,0)</f>
        <v>0</v>
      </c>
      <c r="AH103" s="83">
        <f>_xlfn.IFS('Prepare Gantt Chart'!T92=16,'Project types'!$L93,'Prepare Gantt Chart'!T92=15,'Project types'!$L93,'Prepare Gantt Chart'!T92=0,0)</f>
        <v>0</v>
      </c>
      <c r="AI103" s="83">
        <f>_xlfn.IFS('Prepare Gantt Chart'!U92=16,'Project types'!$L93,'Prepare Gantt Chart'!U92=15,'Project types'!$L93,'Prepare Gantt Chart'!U92=0,0)</f>
        <v>0</v>
      </c>
      <c r="AJ103" s="83">
        <f>_xlfn.IFS('Prepare Gantt Chart'!V92=16,'Project types'!$L93,'Prepare Gantt Chart'!V92=15,'Project types'!$L93,'Prepare Gantt Chart'!V92=0,0)</f>
        <v>0</v>
      </c>
      <c r="AK103" s="83">
        <f>_xlfn.IFS('Prepare Gantt Chart'!W92=16,'Project types'!$L93,'Prepare Gantt Chart'!W92=15,'Project types'!$L93,'Prepare Gantt Chart'!W92=0,0)</f>
        <v>0</v>
      </c>
      <c r="AL103" s="83">
        <f>_xlfn.IFS('Prepare Gantt Chart'!X92=16,'Project types'!$L93,'Prepare Gantt Chart'!X92=15,'Project types'!$L93,'Prepare Gantt Chart'!X92=0,0)</f>
        <v>0</v>
      </c>
      <c r="AM103" s="83">
        <f>_xlfn.IFS('Prepare Gantt Chart'!Y92=16,'Project types'!$L93,'Prepare Gantt Chart'!Y92=15,'Project types'!$L93,'Prepare Gantt Chart'!Y92=0,0)</f>
        <v>0</v>
      </c>
      <c r="AN103" s="83">
        <f>_xlfn.IFS('Prepare Gantt Chart'!Z92=16,'Project types'!$L93,'Prepare Gantt Chart'!Z92=15,'Project types'!$L93,'Prepare Gantt Chart'!Z92=0,0)</f>
        <v>0</v>
      </c>
      <c r="AO103" s="83">
        <f>_xlfn.IFS('Prepare Gantt Chart'!AA92=16,'Project types'!$L93,'Prepare Gantt Chart'!AA92=15,'Project types'!$L93,'Prepare Gantt Chart'!AA92=0,0)</f>
        <v>0</v>
      </c>
      <c r="AP103" s="83">
        <f>_xlfn.IFS('Prepare Gantt Chart'!AB92=16,'Project types'!$L93,'Prepare Gantt Chart'!AB92=15,'Project types'!$L93,'Prepare Gantt Chart'!AB92=0,0)</f>
        <v>0</v>
      </c>
      <c r="AQ103" s="83">
        <f>_xlfn.IFS('Prepare Gantt Chart'!AC92=16,'Project types'!$L93,'Prepare Gantt Chart'!AC92=15,'Project types'!$L93,'Prepare Gantt Chart'!AC92=0,0)</f>
        <v>0</v>
      </c>
      <c r="AR103" s="83">
        <f>_xlfn.IFS('Prepare Gantt Chart'!AD92=16,'Project types'!$L93,'Prepare Gantt Chart'!AD92=15,'Project types'!$L93,'Prepare Gantt Chart'!AD92=0,0)</f>
        <v>0</v>
      </c>
      <c r="AS103" s="83">
        <f>_xlfn.IFS('Prepare Gantt Chart'!AE92=16,'Project types'!$L93,'Prepare Gantt Chart'!AE92=15,'Project types'!$L93,'Prepare Gantt Chart'!AE92=0,0)</f>
        <v>0</v>
      </c>
      <c r="AT103" s="83">
        <f>_xlfn.IFS('Prepare Gantt Chart'!AF92=16,'Project types'!$L93,'Prepare Gantt Chart'!AF92=15,'Project types'!$L93,'Prepare Gantt Chart'!AF92=0,0)</f>
        <v>0</v>
      </c>
      <c r="AU103" s="83">
        <f>_xlfn.IFS('Prepare Gantt Chart'!AG92=16,'Project types'!$L93,'Prepare Gantt Chart'!AG92=15,'Project types'!$L93,'Prepare Gantt Chart'!AG92=0,0)</f>
        <v>0</v>
      </c>
      <c r="AV103" s="83">
        <f>_xlfn.IFS('Prepare Gantt Chart'!AH92=16,'Project types'!$L93,'Prepare Gantt Chart'!AH92=15,'Project types'!$L93,'Prepare Gantt Chart'!AH92=0,0)</f>
        <v>0</v>
      </c>
      <c r="AW103" s="83">
        <f>_xlfn.IFS('Prepare Gantt Chart'!AI92=16,'Project types'!$L93,'Prepare Gantt Chart'!AI92=15,'Project types'!$L93,'Prepare Gantt Chart'!AI92=0,0)</f>
        <v>0</v>
      </c>
      <c r="AX103" s="83">
        <f>_xlfn.IFS('Prepare Gantt Chart'!AJ92=16,'Project types'!$L93,'Prepare Gantt Chart'!AJ92=15,'Project types'!$L93,'Prepare Gantt Chart'!AJ92=0,0)</f>
        <v>0</v>
      </c>
      <c r="AY103" s="83">
        <f>_xlfn.IFS('Prepare Gantt Chart'!AK92=16,'Project types'!$L93,'Prepare Gantt Chart'!AK92=15,'Project types'!$L93,'Prepare Gantt Chart'!AK92=0,0)</f>
        <v>0</v>
      </c>
      <c r="AZ103" s="83">
        <f>_xlfn.IFS('Prepare Gantt Chart'!AL92=16,'Project types'!$L93,'Prepare Gantt Chart'!AL92=15,'Project types'!$L93,'Prepare Gantt Chart'!AL92=0,0)</f>
        <v>0</v>
      </c>
      <c r="BA103" s="83">
        <f>_xlfn.IFS('Prepare Gantt Chart'!AM92=16,'Project types'!$L93,'Prepare Gantt Chart'!AM92=15,'Project types'!$L93,'Prepare Gantt Chart'!AM92=0,0)</f>
        <v>0</v>
      </c>
      <c r="BB103" s="83">
        <f>_xlfn.IFS('Prepare Gantt Chart'!AN92=16,'Project types'!$L93,'Prepare Gantt Chart'!AN92=15,'Project types'!$L93,'Prepare Gantt Chart'!AN92=0,0)</f>
        <v>0</v>
      </c>
      <c r="BC103" s="83">
        <f>_xlfn.IFS('Prepare Gantt Chart'!AO92=16,'Project types'!$L93,'Prepare Gantt Chart'!AO92=15,'Project types'!$L93,'Prepare Gantt Chart'!AO92=0,0)</f>
        <v>0</v>
      </c>
      <c r="BD103" s="91">
        <f t="shared" si="3"/>
        <v>0</v>
      </c>
    </row>
    <row r="104" spans="1:87" x14ac:dyDescent="0.2">
      <c r="A104" s="1" t="s">
        <v>478</v>
      </c>
      <c r="B104" s="39" t="s">
        <v>86</v>
      </c>
      <c r="C104" s="83">
        <f>_xlfn.IFS('Prepare Gantt Chart'!P93=16,'Project types'!$O94,'Prepare Gantt Chart'!P93=15,'Project types'!$Q94,'Prepare Gantt Chart'!P93=0,0)</f>
        <v>0</v>
      </c>
      <c r="D104" s="83">
        <f>_xlfn.IFS('Prepare Gantt Chart'!Q93=16,'Project types'!$O94,'Prepare Gantt Chart'!Q93=15,'Project types'!$Q94,'Prepare Gantt Chart'!Q93=0,0)</f>
        <v>0</v>
      </c>
      <c r="E104" s="83">
        <f>_xlfn.IFS('Prepare Gantt Chart'!R93=16,'Project types'!$O94,'Prepare Gantt Chart'!R93=15,'Project types'!$Q94,'Prepare Gantt Chart'!R93=0,0)</f>
        <v>0</v>
      </c>
      <c r="F104" s="83">
        <f>_xlfn.IFS('Prepare Gantt Chart'!S93=16,'Project types'!$O94,'Prepare Gantt Chart'!S93=15,'Project types'!$Q94,'Prepare Gantt Chart'!S93=0,0)</f>
        <v>0</v>
      </c>
      <c r="G104" s="83">
        <f>_xlfn.IFS('Prepare Gantt Chart'!T93=16,'Project types'!$O94,'Prepare Gantt Chart'!T93=15,'Project types'!$Q94,'Prepare Gantt Chart'!T93=0,0)</f>
        <v>0</v>
      </c>
      <c r="H104" s="83">
        <f>_xlfn.IFS('Prepare Gantt Chart'!U93=16,'Project types'!$O94,'Prepare Gantt Chart'!U93=15,'Project types'!$Q94,'Prepare Gantt Chart'!U93=0,0)</f>
        <v>0</v>
      </c>
      <c r="I104" s="83">
        <f>_xlfn.IFS('Prepare Gantt Chart'!V93=16,'Project types'!$O94,'Prepare Gantt Chart'!V93=15,'Project types'!$Q94,'Prepare Gantt Chart'!V93=0,0)</f>
        <v>0</v>
      </c>
      <c r="J104" s="83">
        <f>_xlfn.IFS('Prepare Gantt Chart'!W93=16,'Project types'!$O94,'Prepare Gantt Chart'!W93=15,'Project types'!$Q94,'Prepare Gantt Chart'!W93=0,0)</f>
        <v>0</v>
      </c>
      <c r="K104" s="83">
        <f>_xlfn.IFS('Prepare Gantt Chart'!X93=16,'Project types'!$O94,'Prepare Gantt Chart'!X93=15,'Project types'!$Q94,'Prepare Gantt Chart'!X93=0,0)</f>
        <v>0</v>
      </c>
      <c r="L104" s="83">
        <f>_xlfn.IFS('Prepare Gantt Chart'!Y93=16,'Project types'!$O94,'Prepare Gantt Chart'!Y93=15,'Project types'!$Q94,'Prepare Gantt Chart'!Y93=0,0)</f>
        <v>0</v>
      </c>
      <c r="M104" s="83">
        <f>_xlfn.IFS('Prepare Gantt Chart'!Z93=16,'Project types'!$O94,'Prepare Gantt Chart'!Z93=15,'Project types'!$Q94,'Prepare Gantt Chart'!Z93=0,0)</f>
        <v>0</v>
      </c>
      <c r="N104" s="83">
        <f>_xlfn.IFS('Prepare Gantt Chart'!AA93=16,'Project types'!$O94,'Prepare Gantt Chart'!AA93=15,'Project types'!$Q94,'Prepare Gantt Chart'!AA93=0,0)</f>
        <v>0</v>
      </c>
      <c r="O104" s="83">
        <f>_xlfn.IFS('Prepare Gantt Chart'!AB93=16,'Project types'!$O94,'Prepare Gantt Chart'!AB93=15,'Project types'!$Q94,'Prepare Gantt Chart'!AB93=0,0)</f>
        <v>0</v>
      </c>
      <c r="P104" s="83">
        <f>_xlfn.IFS('Prepare Gantt Chart'!AC93=16,'Project types'!$O94,'Prepare Gantt Chart'!AC93=15,'Project types'!$Q94,'Prepare Gantt Chart'!AC93=0,0)</f>
        <v>0</v>
      </c>
      <c r="Q104" s="83">
        <f>_xlfn.IFS('Prepare Gantt Chart'!AD93=16,'Project types'!$O94,'Prepare Gantt Chart'!AD93=15,'Project types'!$Q94,'Prepare Gantt Chart'!AD93=0,0)</f>
        <v>0</v>
      </c>
      <c r="R104" s="83">
        <f>_xlfn.IFS('Prepare Gantt Chart'!AE93=16,'Project types'!$O94,'Prepare Gantt Chart'!AE93=15,'Project types'!$Q94,'Prepare Gantt Chart'!AE93=0,0)</f>
        <v>0</v>
      </c>
      <c r="S104" s="83">
        <f>_xlfn.IFS('Prepare Gantt Chart'!AF93=16,'Project types'!$O94,'Prepare Gantt Chart'!AF93=15,'Project types'!$Q94,'Prepare Gantt Chart'!AF93=0,0)</f>
        <v>0</v>
      </c>
      <c r="T104" s="83">
        <f>_xlfn.IFS('Prepare Gantt Chart'!AG93=16,'Project types'!$O94,'Prepare Gantt Chart'!AG93=15,'Project types'!$Q94,'Prepare Gantt Chart'!AG93=0,0)</f>
        <v>0</v>
      </c>
      <c r="U104" s="83">
        <f>_xlfn.IFS('Prepare Gantt Chart'!AH93=16,'Project types'!$O94,'Prepare Gantt Chart'!AH93=15,'Project types'!$Q94,'Prepare Gantt Chart'!AH93=0,0)</f>
        <v>0</v>
      </c>
      <c r="V104" s="83">
        <f>_xlfn.IFS('Prepare Gantt Chart'!AI93=16,'Project types'!$O94,'Prepare Gantt Chart'!AI93=15,'Project types'!$Q94,'Prepare Gantt Chart'!AI93=0,0)</f>
        <v>0</v>
      </c>
      <c r="W104" s="83">
        <f>_xlfn.IFS('Prepare Gantt Chart'!AJ93=16,'Project types'!$O94,'Prepare Gantt Chart'!AJ93=15,'Project types'!$Q94,'Prepare Gantt Chart'!AJ93=0,0)</f>
        <v>0</v>
      </c>
      <c r="X104" s="83">
        <f>_xlfn.IFS('Prepare Gantt Chart'!AK93=16,'Project types'!$O94,'Prepare Gantt Chart'!AK93=15,'Project types'!$Q94,'Prepare Gantt Chart'!AK93=0,0)</f>
        <v>0</v>
      </c>
      <c r="Y104" s="83">
        <f>_xlfn.IFS('Prepare Gantt Chart'!AL93=16,'Project types'!$O94,'Prepare Gantt Chart'!AL93=15,'Project types'!$Q94,'Prepare Gantt Chart'!AL93=0,0)</f>
        <v>0</v>
      </c>
      <c r="Z104" s="83">
        <f>_xlfn.IFS('Prepare Gantt Chart'!AM93=16,'Project types'!$O94,'Prepare Gantt Chart'!AM93=15,'Project types'!$Q94,'Prepare Gantt Chart'!AM93=0,0)</f>
        <v>0</v>
      </c>
      <c r="AA104" s="83">
        <f>_xlfn.IFS('Prepare Gantt Chart'!AN93=16,'Project types'!$O94,'Prepare Gantt Chart'!AN93=15,'Project types'!$Q94,'Prepare Gantt Chart'!AN93=0,0)</f>
        <v>0</v>
      </c>
      <c r="AB104" s="83">
        <f>_xlfn.IFS('Prepare Gantt Chart'!AO93=16,'Project types'!$O94,'Prepare Gantt Chart'!AO93=15,'Project types'!$Q94,'Prepare Gantt Chart'!AO93=0,0)</f>
        <v>0</v>
      </c>
      <c r="AC104" s="93">
        <f t="shared" si="2"/>
        <v>0</v>
      </c>
      <c r="AD104" s="86">
        <f>_xlfn.IFS('Prepare Gantt Chart'!P93=16,'Project types'!$L94,'Prepare Gantt Chart'!P93=15,'Project types'!$L94,'Prepare Gantt Chart'!P93=0,0)</f>
        <v>0</v>
      </c>
      <c r="AE104" s="83">
        <f>_xlfn.IFS('Prepare Gantt Chart'!Q93=16,'Project types'!$L94,'Prepare Gantt Chart'!Q93=15,'Project types'!$L94,'Prepare Gantt Chart'!Q93=0,0)</f>
        <v>0</v>
      </c>
      <c r="AF104" s="83">
        <f>_xlfn.IFS('Prepare Gantt Chart'!R93=16,'Project types'!$L94,'Prepare Gantt Chart'!R93=15,'Project types'!$L94,'Prepare Gantt Chart'!R93=0,0)</f>
        <v>0</v>
      </c>
      <c r="AG104" s="83">
        <f>_xlfn.IFS('Prepare Gantt Chart'!S93=16,'Project types'!$L94,'Prepare Gantt Chart'!S93=15,'Project types'!$L94,'Prepare Gantt Chart'!S93=0,0)</f>
        <v>0</v>
      </c>
      <c r="AH104" s="83">
        <f>_xlfn.IFS('Prepare Gantt Chart'!T93=16,'Project types'!$L94,'Prepare Gantt Chart'!T93=15,'Project types'!$L94,'Prepare Gantt Chart'!T93=0,0)</f>
        <v>0</v>
      </c>
      <c r="AI104" s="83">
        <f>_xlfn.IFS('Prepare Gantt Chart'!U93=16,'Project types'!$L94,'Prepare Gantt Chart'!U93=15,'Project types'!$L94,'Prepare Gantt Chart'!U93=0,0)</f>
        <v>0</v>
      </c>
      <c r="AJ104" s="83">
        <f>_xlfn.IFS('Prepare Gantt Chart'!V93=16,'Project types'!$L94,'Prepare Gantt Chart'!V93=15,'Project types'!$L94,'Prepare Gantt Chart'!V93=0,0)</f>
        <v>0</v>
      </c>
      <c r="AK104" s="83">
        <f>_xlfn.IFS('Prepare Gantt Chart'!W93=16,'Project types'!$L94,'Prepare Gantt Chart'!W93=15,'Project types'!$L94,'Prepare Gantt Chart'!W93=0,0)</f>
        <v>0</v>
      </c>
      <c r="AL104" s="83">
        <f>_xlfn.IFS('Prepare Gantt Chart'!X93=16,'Project types'!$L94,'Prepare Gantt Chart'!X93=15,'Project types'!$L94,'Prepare Gantt Chart'!X93=0,0)</f>
        <v>0</v>
      </c>
      <c r="AM104" s="83">
        <f>_xlfn.IFS('Prepare Gantt Chart'!Y93=16,'Project types'!$L94,'Prepare Gantt Chart'!Y93=15,'Project types'!$L94,'Prepare Gantt Chart'!Y93=0,0)</f>
        <v>0</v>
      </c>
      <c r="AN104" s="83">
        <f>_xlfn.IFS('Prepare Gantt Chart'!Z93=16,'Project types'!$L94,'Prepare Gantt Chart'!Z93=15,'Project types'!$L94,'Prepare Gantt Chart'!Z93=0,0)</f>
        <v>0</v>
      </c>
      <c r="AO104" s="83">
        <f>_xlfn.IFS('Prepare Gantt Chart'!AA93=16,'Project types'!$L94,'Prepare Gantt Chart'!AA93=15,'Project types'!$L94,'Prepare Gantt Chart'!AA93=0,0)</f>
        <v>0</v>
      </c>
      <c r="AP104" s="83">
        <f>_xlfn.IFS('Prepare Gantt Chart'!AB93=16,'Project types'!$L94,'Prepare Gantt Chart'!AB93=15,'Project types'!$L94,'Prepare Gantt Chart'!AB93=0,0)</f>
        <v>0</v>
      </c>
      <c r="AQ104" s="83">
        <f>_xlfn.IFS('Prepare Gantt Chart'!AC93=16,'Project types'!$L94,'Prepare Gantt Chart'!AC93=15,'Project types'!$L94,'Prepare Gantt Chart'!AC93=0,0)</f>
        <v>0</v>
      </c>
      <c r="AR104" s="83">
        <f>_xlfn.IFS('Prepare Gantt Chart'!AD93=16,'Project types'!$L94,'Prepare Gantt Chart'!AD93=15,'Project types'!$L94,'Prepare Gantt Chart'!AD93=0,0)</f>
        <v>0</v>
      </c>
      <c r="AS104" s="83">
        <f>_xlfn.IFS('Prepare Gantt Chart'!AE93=16,'Project types'!$L94,'Prepare Gantt Chart'!AE93=15,'Project types'!$L94,'Prepare Gantt Chart'!AE93=0,0)</f>
        <v>0</v>
      </c>
      <c r="AT104" s="83">
        <f>_xlfn.IFS('Prepare Gantt Chart'!AF93=16,'Project types'!$L94,'Prepare Gantt Chart'!AF93=15,'Project types'!$L94,'Prepare Gantt Chart'!AF93=0,0)</f>
        <v>0</v>
      </c>
      <c r="AU104" s="83">
        <f>_xlfn.IFS('Prepare Gantt Chart'!AG93=16,'Project types'!$L94,'Prepare Gantt Chart'!AG93=15,'Project types'!$L94,'Prepare Gantt Chart'!AG93=0,0)</f>
        <v>0</v>
      </c>
      <c r="AV104" s="83">
        <f>_xlfn.IFS('Prepare Gantt Chart'!AH93=16,'Project types'!$L94,'Prepare Gantt Chart'!AH93=15,'Project types'!$L94,'Prepare Gantt Chart'!AH93=0,0)</f>
        <v>0</v>
      </c>
      <c r="AW104" s="83">
        <f>_xlfn.IFS('Prepare Gantt Chart'!AI93=16,'Project types'!$L94,'Prepare Gantt Chart'!AI93=15,'Project types'!$L94,'Prepare Gantt Chart'!AI93=0,0)</f>
        <v>0</v>
      </c>
      <c r="AX104" s="83">
        <f>_xlfn.IFS('Prepare Gantt Chart'!AJ93=16,'Project types'!$L94,'Prepare Gantt Chart'!AJ93=15,'Project types'!$L94,'Prepare Gantt Chart'!AJ93=0,0)</f>
        <v>0</v>
      </c>
      <c r="AY104" s="83">
        <f>_xlfn.IFS('Prepare Gantt Chart'!AK93=16,'Project types'!$L94,'Prepare Gantt Chart'!AK93=15,'Project types'!$L94,'Prepare Gantt Chart'!AK93=0,0)</f>
        <v>0</v>
      </c>
      <c r="AZ104" s="83">
        <f>_xlfn.IFS('Prepare Gantt Chart'!AL93=16,'Project types'!$L94,'Prepare Gantt Chart'!AL93=15,'Project types'!$L94,'Prepare Gantt Chart'!AL93=0,0)</f>
        <v>0</v>
      </c>
      <c r="BA104" s="83">
        <f>_xlfn.IFS('Prepare Gantt Chart'!AM93=16,'Project types'!$L94,'Prepare Gantt Chart'!AM93=15,'Project types'!$L94,'Prepare Gantt Chart'!AM93=0,0)</f>
        <v>0</v>
      </c>
      <c r="BB104" s="83">
        <f>_xlfn.IFS('Prepare Gantt Chart'!AN93=16,'Project types'!$L94,'Prepare Gantt Chart'!AN93=15,'Project types'!$L94,'Prepare Gantt Chart'!AN93=0,0)</f>
        <v>0</v>
      </c>
      <c r="BC104" s="83">
        <f>_xlfn.IFS('Prepare Gantt Chart'!AO93=16,'Project types'!$L94,'Prepare Gantt Chart'!AO93=15,'Project types'!$L94,'Prepare Gantt Chart'!AO93=0,0)</f>
        <v>0</v>
      </c>
      <c r="BD104" s="91">
        <f t="shared" si="3"/>
        <v>0</v>
      </c>
    </row>
    <row r="105" spans="1:87" x14ac:dyDescent="0.2">
      <c r="A105" s="1" t="s">
        <v>479</v>
      </c>
      <c r="B105" s="39" t="s">
        <v>87</v>
      </c>
      <c r="C105" s="83">
        <f>_xlfn.IFS('Prepare Gantt Chart'!P94=16,'Project types'!$O95,'Prepare Gantt Chart'!P94=15,'Project types'!$Q95,'Prepare Gantt Chart'!P94=0,0)</f>
        <v>0</v>
      </c>
      <c r="D105" s="83">
        <f>_xlfn.IFS('Prepare Gantt Chart'!Q94=16,'Project types'!$O95,'Prepare Gantt Chart'!Q94=15,'Project types'!$Q95,'Prepare Gantt Chart'!Q94=0,0)</f>
        <v>0</v>
      </c>
      <c r="E105" s="83">
        <f>_xlfn.IFS('Prepare Gantt Chart'!R94=16,'Project types'!$O95,'Prepare Gantt Chart'!R94=15,'Project types'!$Q95,'Prepare Gantt Chart'!R94=0,0)</f>
        <v>0</v>
      </c>
      <c r="F105" s="83">
        <f>_xlfn.IFS('Prepare Gantt Chart'!S94=16,'Project types'!$O95,'Prepare Gantt Chart'!S94=15,'Project types'!$Q95,'Prepare Gantt Chart'!S94=0,0)</f>
        <v>0</v>
      </c>
      <c r="G105" s="83">
        <f>_xlfn.IFS('Prepare Gantt Chart'!T94=16,'Project types'!$O95,'Prepare Gantt Chart'!T94=15,'Project types'!$Q95,'Prepare Gantt Chart'!T94=0,0)</f>
        <v>0</v>
      </c>
      <c r="H105" s="83">
        <f>_xlfn.IFS('Prepare Gantt Chart'!U94=16,'Project types'!$O95,'Prepare Gantt Chart'!U94=15,'Project types'!$Q95,'Prepare Gantt Chart'!U94=0,0)</f>
        <v>0</v>
      </c>
      <c r="I105" s="83">
        <f>_xlfn.IFS('Prepare Gantt Chart'!V94=16,'Project types'!$O95,'Prepare Gantt Chart'!V94=15,'Project types'!$Q95,'Prepare Gantt Chart'!V94=0,0)</f>
        <v>0</v>
      </c>
      <c r="J105" s="83">
        <f>_xlfn.IFS('Prepare Gantt Chart'!W94=16,'Project types'!$O95,'Prepare Gantt Chart'!W94=15,'Project types'!$Q95,'Prepare Gantt Chart'!W94=0,0)</f>
        <v>0</v>
      </c>
      <c r="K105" s="83">
        <f>_xlfn.IFS('Prepare Gantt Chart'!X94=16,'Project types'!$O95,'Prepare Gantt Chart'!X94=15,'Project types'!$Q95,'Prepare Gantt Chart'!X94=0,0)</f>
        <v>0</v>
      </c>
      <c r="L105" s="83">
        <f>_xlfn.IFS('Prepare Gantt Chart'!Y94=16,'Project types'!$O95,'Prepare Gantt Chart'!Y94=15,'Project types'!$Q95,'Prepare Gantt Chart'!Y94=0,0)</f>
        <v>0</v>
      </c>
      <c r="M105" s="83">
        <f>_xlfn.IFS('Prepare Gantt Chart'!Z94=16,'Project types'!$O95,'Prepare Gantt Chart'!Z94=15,'Project types'!$Q95,'Prepare Gantt Chart'!Z94=0,0)</f>
        <v>0</v>
      </c>
      <c r="N105" s="83">
        <f>_xlfn.IFS('Prepare Gantt Chart'!AA94=16,'Project types'!$O95,'Prepare Gantt Chart'!AA94=15,'Project types'!$Q95,'Prepare Gantt Chart'!AA94=0,0)</f>
        <v>0</v>
      </c>
      <c r="O105" s="83">
        <f>_xlfn.IFS('Prepare Gantt Chart'!AB94=16,'Project types'!$O95,'Prepare Gantt Chart'!AB94=15,'Project types'!$Q95,'Prepare Gantt Chart'!AB94=0,0)</f>
        <v>0</v>
      </c>
      <c r="P105" s="83">
        <f>_xlfn.IFS('Prepare Gantt Chart'!AC94=16,'Project types'!$O95,'Prepare Gantt Chart'!AC94=15,'Project types'!$Q95,'Prepare Gantt Chart'!AC94=0,0)</f>
        <v>0</v>
      </c>
      <c r="Q105" s="83">
        <f>_xlfn.IFS('Prepare Gantt Chart'!AD94=16,'Project types'!$O95,'Prepare Gantt Chart'!AD94=15,'Project types'!$Q95,'Prepare Gantt Chart'!AD94=0,0)</f>
        <v>0</v>
      </c>
      <c r="R105" s="83">
        <f>_xlfn.IFS('Prepare Gantt Chart'!AE94=16,'Project types'!$O95,'Prepare Gantt Chart'!AE94=15,'Project types'!$Q95,'Prepare Gantt Chart'!AE94=0,0)</f>
        <v>0</v>
      </c>
      <c r="S105" s="83">
        <f>_xlfn.IFS('Prepare Gantt Chart'!AF94=16,'Project types'!$O95,'Prepare Gantt Chart'!AF94=15,'Project types'!$Q95,'Prepare Gantt Chart'!AF94=0,0)</f>
        <v>0</v>
      </c>
      <c r="T105" s="83">
        <f>_xlfn.IFS('Prepare Gantt Chart'!AG94=16,'Project types'!$O95,'Prepare Gantt Chart'!AG94=15,'Project types'!$Q95,'Prepare Gantt Chart'!AG94=0,0)</f>
        <v>0</v>
      </c>
      <c r="U105" s="83">
        <f>_xlfn.IFS('Prepare Gantt Chart'!AH94=16,'Project types'!$O95,'Prepare Gantt Chart'!AH94=15,'Project types'!$Q95,'Prepare Gantt Chart'!AH94=0,0)</f>
        <v>0</v>
      </c>
      <c r="V105" s="83">
        <f>_xlfn.IFS('Prepare Gantt Chart'!AI94=16,'Project types'!$O95,'Prepare Gantt Chart'!AI94=15,'Project types'!$Q95,'Prepare Gantt Chart'!AI94=0,0)</f>
        <v>0</v>
      </c>
      <c r="W105" s="83">
        <f>_xlfn.IFS('Prepare Gantt Chart'!AJ94=16,'Project types'!$O95,'Prepare Gantt Chart'!AJ94=15,'Project types'!$Q95,'Prepare Gantt Chart'!AJ94=0,0)</f>
        <v>0</v>
      </c>
      <c r="X105" s="83">
        <f>_xlfn.IFS('Prepare Gantt Chart'!AK94=16,'Project types'!$O95,'Prepare Gantt Chart'!AK94=15,'Project types'!$Q95,'Prepare Gantt Chart'!AK94=0,0)</f>
        <v>0</v>
      </c>
      <c r="Y105" s="83">
        <f>_xlfn.IFS('Prepare Gantt Chart'!AL94=16,'Project types'!$O95,'Prepare Gantt Chart'!AL94=15,'Project types'!$Q95,'Prepare Gantt Chart'!AL94=0,0)</f>
        <v>0</v>
      </c>
      <c r="Z105" s="83">
        <f>_xlfn.IFS('Prepare Gantt Chart'!AM94=16,'Project types'!$O95,'Prepare Gantt Chart'!AM94=15,'Project types'!$Q95,'Prepare Gantt Chart'!AM94=0,0)</f>
        <v>0</v>
      </c>
      <c r="AA105" s="83">
        <f>_xlfn.IFS('Prepare Gantt Chart'!AN94=16,'Project types'!$O95,'Prepare Gantt Chart'!AN94=15,'Project types'!$Q95,'Prepare Gantt Chart'!AN94=0,0)</f>
        <v>0</v>
      </c>
      <c r="AB105" s="83">
        <f>_xlfn.IFS('Prepare Gantt Chart'!AO94=16,'Project types'!$O95,'Prepare Gantt Chart'!AO94=15,'Project types'!$Q95,'Prepare Gantt Chart'!AO94=0,0)</f>
        <v>0</v>
      </c>
      <c r="AC105" s="93">
        <f t="shared" si="2"/>
        <v>0</v>
      </c>
      <c r="AD105" s="86">
        <f>_xlfn.IFS('Prepare Gantt Chart'!P94=16,'Project types'!$L95,'Prepare Gantt Chart'!P94=15,'Project types'!$L95,'Prepare Gantt Chart'!P94=0,0)</f>
        <v>0</v>
      </c>
      <c r="AE105" s="83">
        <f>_xlfn.IFS('Prepare Gantt Chart'!Q94=16,'Project types'!$L95,'Prepare Gantt Chart'!Q94=15,'Project types'!$L95,'Prepare Gantt Chart'!Q94=0,0)</f>
        <v>0</v>
      </c>
      <c r="AF105" s="83">
        <f>_xlfn.IFS('Prepare Gantt Chart'!R94=16,'Project types'!$L95,'Prepare Gantt Chart'!R94=15,'Project types'!$L95,'Prepare Gantt Chart'!R94=0,0)</f>
        <v>0</v>
      </c>
      <c r="AG105" s="83">
        <f>_xlfn.IFS('Prepare Gantt Chart'!S94=16,'Project types'!$L95,'Prepare Gantt Chart'!S94=15,'Project types'!$L95,'Prepare Gantt Chart'!S94=0,0)</f>
        <v>0</v>
      </c>
      <c r="AH105" s="83">
        <f>_xlfn.IFS('Prepare Gantt Chart'!T94=16,'Project types'!$L95,'Prepare Gantt Chart'!T94=15,'Project types'!$L95,'Prepare Gantt Chart'!T94=0,0)</f>
        <v>0</v>
      </c>
      <c r="AI105" s="83">
        <f>_xlfn.IFS('Prepare Gantt Chart'!U94=16,'Project types'!$L95,'Prepare Gantt Chart'!U94=15,'Project types'!$L95,'Prepare Gantt Chart'!U94=0,0)</f>
        <v>0</v>
      </c>
      <c r="AJ105" s="83">
        <f>_xlfn.IFS('Prepare Gantt Chart'!V94=16,'Project types'!$L95,'Prepare Gantt Chart'!V94=15,'Project types'!$L95,'Prepare Gantt Chart'!V94=0,0)</f>
        <v>0</v>
      </c>
      <c r="AK105" s="83">
        <f>_xlfn.IFS('Prepare Gantt Chart'!W94=16,'Project types'!$L95,'Prepare Gantt Chart'!W94=15,'Project types'!$L95,'Prepare Gantt Chart'!W94=0,0)</f>
        <v>0</v>
      </c>
      <c r="AL105" s="83">
        <f>_xlfn.IFS('Prepare Gantt Chart'!X94=16,'Project types'!$L95,'Prepare Gantt Chart'!X94=15,'Project types'!$L95,'Prepare Gantt Chart'!X94=0,0)</f>
        <v>0</v>
      </c>
      <c r="AM105" s="83">
        <f>_xlfn.IFS('Prepare Gantt Chart'!Y94=16,'Project types'!$L95,'Prepare Gantt Chart'!Y94=15,'Project types'!$L95,'Prepare Gantt Chart'!Y94=0,0)</f>
        <v>0</v>
      </c>
      <c r="AN105" s="83">
        <f>_xlfn.IFS('Prepare Gantt Chart'!Z94=16,'Project types'!$L95,'Prepare Gantt Chart'!Z94=15,'Project types'!$L95,'Prepare Gantt Chart'!Z94=0,0)</f>
        <v>0</v>
      </c>
      <c r="AO105" s="83">
        <f>_xlfn.IFS('Prepare Gantt Chart'!AA94=16,'Project types'!$L95,'Prepare Gantt Chart'!AA94=15,'Project types'!$L95,'Prepare Gantt Chart'!AA94=0,0)</f>
        <v>0</v>
      </c>
      <c r="AP105" s="83">
        <f>_xlfn.IFS('Prepare Gantt Chart'!AB94=16,'Project types'!$L95,'Prepare Gantt Chart'!AB94=15,'Project types'!$L95,'Prepare Gantt Chart'!AB94=0,0)</f>
        <v>0</v>
      </c>
      <c r="AQ105" s="83">
        <f>_xlfn.IFS('Prepare Gantt Chart'!AC94=16,'Project types'!$L95,'Prepare Gantt Chart'!AC94=15,'Project types'!$L95,'Prepare Gantt Chart'!AC94=0,0)</f>
        <v>0</v>
      </c>
      <c r="AR105" s="83">
        <f>_xlfn.IFS('Prepare Gantt Chart'!AD94=16,'Project types'!$L95,'Prepare Gantt Chart'!AD94=15,'Project types'!$L95,'Prepare Gantt Chart'!AD94=0,0)</f>
        <v>0</v>
      </c>
      <c r="AS105" s="83">
        <f>_xlfn.IFS('Prepare Gantt Chart'!AE94=16,'Project types'!$L95,'Prepare Gantt Chart'!AE94=15,'Project types'!$L95,'Prepare Gantt Chart'!AE94=0,0)</f>
        <v>0</v>
      </c>
      <c r="AT105" s="83">
        <f>_xlfn.IFS('Prepare Gantt Chart'!AF94=16,'Project types'!$L95,'Prepare Gantt Chart'!AF94=15,'Project types'!$L95,'Prepare Gantt Chart'!AF94=0,0)</f>
        <v>0</v>
      </c>
      <c r="AU105" s="83">
        <f>_xlfn.IFS('Prepare Gantt Chart'!AG94=16,'Project types'!$L95,'Prepare Gantt Chart'!AG94=15,'Project types'!$L95,'Prepare Gantt Chart'!AG94=0,0)</f>
        <v>0</v>
      </c>
      <c r="AV105" s="83">
        <f>_xlfn.IFS('Prepare Gantt Chart'!AH94=16,'Project types'!$L95,'Prepare Gantt Chart'!AH94=15,'Project types'!$L95,'Prepare Gantt Chart'!AH94=0,0)</f>
        <v>0</v>
      </c>
      <c r="AW105" s="83">
        <f>_xlfn.IFS('Prepare Gantt Chart'!AI94=16,'Project types'!$L95,'Prepare Gantt Chart'!AI94=15,'Project types'!$L95,'Prepare Gantt Chart'!AI94=0,0)</f>
        <v>0</v>
      </c>
      <c r="AX105" s="83">
        <f>_xlfn.IFS('Prepare Gantt Chart'!AJ94=16,'Project types'!$L95,'Prepare Gantt Chart'!AJ94=15,'Project types'!$L95,'Prepare Gantt Chart'!AJ94=0,0)</f>
        <v>0</v>
      </c>
      <c r="AY105" s="83">
        <f>_xlfn.IFS('Prepare Gantt Chart'!AK94=16,'Project types'!$L95,'Prepare Gantt Chart'!AK94=15,'Project types'!$L95,'Prepare Gantt Chart'!AK94=0,0)</f>
        <v>0</v>
      </c>
      <c r="AZ105" s="83">
        <f>_xlfn.IFS('Prepare Gantt Chart'!AL94=16,'Project types'!$L95,'Prepare Gantt Chart'!AL94=15,'Project types'!$L95,'Prepare Gantt Chart'!AL94=0,0)</f>
        <v>0</v>
      </c>
      <c r="BA105" s="83">
        <f>_xlfn.IFS('Prepare Gantt Chart'!AM94=16,'Project types'!$L95,'Prepare Gantt Chart'!AM94=15,'Project types'!$L95,'Prepare Gantt Chart'!AM94=0,0)</f>
        <v>0</v>
      </c>
      <c r="BB105" s="83">
        <f>_xlfn.IFS('Prepare Gantt Chart'!AN94=16,'Project types'!$L95,'Prepare Gantt Chart'!AN94=15,'Project types'!$L95,'Prepare Gantt Chart'!AN94=0,0)</f>
        <v>0</v>
      </c>
      <c r="BC105" s="83">
        <f>_xlfn.IFS('Prepare Gantt Chart'!AO94=16,'Project types'!$L95,'Prepare Gantt Chart'!AO94=15,'Project types'!$L95,'Prepare Gantt Chart'!AO94=0,0)</f>
        <v>0</v>
      </c>
      <c r="BD105" s="91">
        <f t="shared" si="3"/>
        <v>0</v>
      </c>
    </row>
    <row r="106" spans="1:87" x14ac:dyDescent="0.2">
      <c r="A106" s="1" t="s">
        <v>480</v>
      </c>
      <c r="B106" s="39" t="s">
        <v>88</v>
      </c>
      <c r="C106" s="83">
        <f>_xlfn.IFS('Prepare Gantt Chart'!P95=16,'Project types'!$O96,'Prepare Gantt Chart'!P95=15,'Project types'!$Q96,'Prepare Gantt Chart'!P95=0,0)</f>
        <v>0</v>
      </c>
      <c r="D106" s="83">
        <f>_xlfn.IFS('Prepare Gantt Chart'!Q95=16,'Project types'!$O96,'Prepare Gantt Chart'!Q95=15,'Project types'!$Q96,'Prepare Gantt Chart'!Q95=0,0)</f>
        <v>0</v>
      </c>
      <c r="E106" s="83">
        <f>_xlfn.IFS('Prepare Gantt Chart'!R95=16,'Project types'!$O96,'Prepare Gantt Chart'!R95=15,'Project types'!$Q96,'Prepare Gantt Chart'!R95=0,0)</f>
        <v>0</v>
      </c>
      <c r="F106" s="83">
        <f>_xlfn.IFS('Prepare Gantt Chart'!S95=16,'Project types'!$O96,'Prepare Gantt Chart'!S95=15,'Project types'!$Q96,'Prepare Gantt Chart'!S95=0,0)</f>
        <v>0</v>
      </c>
      <c r="G106" s="83">
        <f>_xlfn.IFS('Prepare Gantt Chart'!T95=16,'Project types'!$O96,'Prepare Gantt Chart'!T95=15,'Project types'!$Q96,'Prepare Gantt Chart'!T95=0,0)</f>
        <v>0</v>
      </c>
      <c r="H106" s="83">
        <f>_xlfn.IFS('Prepare Gantt Chart'!U95=16,'Project types'!$O96,'Prepare Gantt Chart'!U95=15,'Project types'!$Q96,'Prepare Gantt Chart'!U95=0,0)</f>
        <v>0</v>
      </c>
      <c r="I106" s="83">
        <f>_xlfn.IFS('Prepare Gantt Chart'!V95=16,'Project types'!$O96,'Prepare Gantt Chart'!V95=15,'Project types'!$Q96,'Prepare Gantt Chart'!V95=0,0)</f>
        <v>0</v>
      </c>
      <c r="J106" s="83">
        <f>_xlfn.IFS('Prepare Gantt Chart'!W95=16,'Project types'!$O96,'Prepare Gantt Chart'!W95=15,'Project types'!$Q96,'Prepare Gantt Chart'!W95=0,0)</f>
        <v>0</v>
      </c>
      <c r="K106" s="83">
        <f>_xlfn.IFS('Prepare Gantt Chart'!X95=16,'Project types'!$O96,'Prepare Gantt Chart'!X95=15,'Project types'!$Q96,'Prepare Gantt Chart'!X95=0,0)</f>
        <v>0</v>
      </c>
      <c r="L106" s="83">
        <f>_xlfn.IFS('Prepare Gantt Chart'!Y95=16,'Project types'!$O96,'Prepare Gantt Chart'!Y95=15,'Project types'!$Q96,'Prepare Gantt Chart'!Y95=0,0)</f>
        <v>0</v>
      </c>
      <c r="M106" s="83">
        <f>_xlfn.IFS('Prepare Gantt Chart'!Z95=16,'Project types'!$O96,'Prepare Gantt Chart'!Z95=15,'Project types'!$Q96,'Prepare Gantt Chart'!Z95=0,0)</f>
        <v>0</v>
      </c>
      <c r="N106" s="83">
        <f>_xlfn.IFS('Prepare Gantt Chart'!AA95=16,'Project types'!$O96,'Prepare Gantt Chart'!AA95=15,'Project types'!$Q96,'Prepare Gantt Chart'!AA95=0,0)</f>
        <v>0</v>
      </c>
      <c r="O106" s="83">
        <f>_xlfn.IFS('Prepare Gantt Chart'!AB95=16,'Project types'!$O96,'Prepare Gantt Chart'!AB95=15,'Project types'!$Q96,'Prepare Gantt Chart'!AB95=0,0)</f>
        <v>0</v>
      </c>
      <c r="P106" s="83">
        <f>_xlfn.IFS('Prepare Gantt Chart'!AC95=16,'Project types'!$O96,'Prepare Gantt Chart'!AC95=15,'Project types'!$Q96,'Prepare Gantt Chart'!AC95=0,0)</f>
        <v>0</v>
      </c>
      <c r="Q106" s="83">
        <f>_xlfn.IFS('Prepare Gantt Chart'!AD95=16,'Project types'!$O96,'Prepare Gantt Chart'!AD95=15,'Project types'!$Q96,'Prepare Gantt Chart'!AD95=0,0)</f>
        <v>0</v>
      </c>
      <c r="R106" s="83">
        <f>_xlfn.IFS('Prepare Gantt Chart'!AE95=16,'Project types'!$O96,'Prepare Gantt Chart'!AE95=15,'Project types'!$Q96,'Prepare Gantt Chart'!AE95=0,0)</f>
        <v>0</v>
      </c>
      <c r="S106" s="83">
        <f>_xlfn.IFS('Prepare Gantt Chart'!AF95=16,'Project types'!$O96,'Prepare Gantt Chart'!AF95=15,'Project types'!$Q96,'Prepare Gantt Chart'!AF95=0,0)</f>
        <v>0</v>
      </c>
      <c r="T106" s="83">
        <f>_xlfn.IFS('Prepare Gantt Chart'!AG95=16,'Project types'!$O96,'Prepare Gantt Chart'!AG95=15,'Project types'!$Q96,'Prepare Gantt Chart'!AG95=0,0)</f>
        <v>0</v>
      </c>
      <c r="U106" s="83">
        <f>_xlfn.IFS('Prepare Gantt Chart'!AH95=16,'Project types'!$O96,'Prepare Gantt Chart'!AH95=15,'Project types'!$Q96,'Prepare Gantt Chart'!AH95=0,0)</f>
        <v>0</v>
      </c>
      <c r="V106" s="83">
        <f>_xlfn.IFS('Prepare Gantt Chart'!AI95=16,'Project types'!$O96,'Prepare Gantt Chart'!AI95=15,'Project types'!$Q96,'Prepare Gantt Chart'!AI95=0,0)</f>
        <v>0</v>
      </c>
      <c r="W106" s="83">
        <f>_xlfn.IFS('Prepare Gantt Chart'!AJ95=16,'Project types'!$O96,'Prepare Gantt Chart'!AJ95=15,'Project types'!$Q96,'Prepare Gantt Chart'!AJ95=0,0)</f>
        <v>0</v>
      </c>
      <c r="X106" s="83">
        <f>_xlfn.IFS('Prepare Gantt Chart'!AK95=16,'Project types'!$O96,'Prepare Gantt Chart'!AK95=15,'Project types'!$Q96,'Prepare Gantt Chart'!AK95=0,0)</f>
        <v>0</v>
      </c>
      <c r="Y106" s="83">
        <f>_xlfn.IFS('Prepare Gantt Chart'!AL95=16,'Project types'!$O96,'Prepare Gantt Chart'!AL95=15,'Project types'!$Q96,'Prepare Gantt Chart'!AL95=0,0)</f>
        <v>0</v>
      </c>
      <c r="Z106" s="83">
        <f>_xlfn.IFS('Prepare Gantt Chart'!AM95=16,'Project types'!$O96,'Prepare Gantt Chart'!AM95=15,'Project types'!$Q96,'Prepare Gantt Chart'!AM95=0,0)</f>
        <v>0</v>
      </c>
      <c r="AA106" s="83">
        <f>_xlfn.IFS('Prepare Gantt Chart'!AN95=16,'Project types'!$O96,'Prepare Gantt Chart'!AN95=15,'Project types'!$Q96,'Prepare Gantt Chart'!AN95=0,0)</f>
        <v>0</v>
      </c>
      <c r="AB106" s="83">
        <f>_xlfn.IFS('Prepare Gantt Chart'!AO95=16,'Project types'!$O96,'Prepare Gantt Chart'!AO95=15,'Project types'!$Q96,'Prepare Gantt Chart'!AO95=0,0)</f>
        <v>0</v>
      </c>
      <c r="AC106" s="93">
        <f t="shared" si="2"/>
        <v>0</v>
      </c>
      <c r="AD106" s="86">
        <f>_xlfn.IFS('Prepare Gantt Chart'!P95=16,'Project types'!$L96,'Prepare Gantt Chart'!P95=15,'Project types'!$L96,'Prepare Gantt Chart'!P95=0,0)</f>
        <v>0</v>
      </c>
      <c r="AE106" s="83">
        <f>_xlfn.IFS('Prepare Gantt Chart'!Q95=16,'Project types'!$L96,'Prepare Gantt Chart'!Q95=15,'Project types'!$L96,'Prepare Gantt Chart'!Q95=0,0)</f>
        <v>0</v>
      </c>
      <c r="AF106" s="83">
        <f>_xlfn.IFS('Prepare Gantt Chart'!R95=16,'Project types'!$L96,'Prepare Gantt Chart'!R95=15,'Project types'!$L96,'Prepare Gantt Chart'!R95=0,0)</f>
        <v>0</v>
      </c>
      <c r="AG106" s="83">
        <f>_xlfn.IFS('Prepare Gantt Chart'!S95=16,'Project types'!$L96,'Prepare Gantt Chart'!S95=15,'Project types'!$L96,'Prepare Gantt Chart'!S95=0,0)</f>
        <v>0</v>
      </c>
      <c r="AH106" s="83">
        <f>_xlfn.IFS('Prepare Gantt Chart'!T95=16,'Project types'!$L96,'Prepare Gantt Chart'!T95=15,'Project types'!$L96,'Prepare Gantt Chart'!T95=0,0)</f>
        <v>0</v>
      </c>
      <c r="AI106" s="83">
        <f>_xlfn.IFS('Prepare Gantt Chart'!U95=16,'Project types'!$L96,'Prepare Gantt Chart'!U95=15,'Project types'!$L96,'Prepare Gantt Chart'!U95=0,0)</f>
        <v>0</v>
      </c>
      <c r="AJ106" s="83">
        <f>_xlfn.IFS('Prepare Gantt Chart'!V95=16,'Project types'!$L96,'Prepare Gantt Chart'!V95=15,'Project types'!$L96,'Prepare Gantt Chart'!V95=0,0)</f>
        <v>0</v>
      </c>
      <c r="AK106" s="83">
        <f>_xlfn.IFS('Prepare Gantt Chart'!W95=16,'Project types'!$L96,'Prepare Gantt Chart'!W95=15,'Project types'!$L96,'Prepare Gantt Chart'!W95=0,0)</f>
        <v>0</v>
      </c>
      <c r="AL106" s="83">
        <f>_xlfn.IFS('Prepare Gantt Chart'!X95=16,'Project types'!$L96,'Prepare Gantt Chart'!X95=15,'Project types'!$L96,'Prepare Gantt Chart'!X95=0,0)</f>
        <v>0</v>
      </c>
      <c r="AM106" s="83">
        <f>_xlfn.IFS('Prepare Gantt Chart'!Y95=16,'Project types'!$L96,'Prepare Gantt Chart'!Y95=15,'Project types'!$L96,'Prepare Gantt Chart'!Y95=0,0)</f>
        <v>0</v>
      </c>
      <c r="AN106" s="83">
        <f>_xlfn.IFS('Prepare Gantt Chart'!Z95=16,'Project types'!$L96,'Prepare Gantt Chart'!Z95=15,'Project types'!$L96,'Prepare Gantt Chart'!Z95=0,0)</f>
        <v>0</v>
      </c>
      <c r="AO106" s="83">
        <f>_xlfn.IFS('Prepare Gantt Chart'!AA95=16,'Project types'!$L96,'Prepare Gantt Chart'!AA95=15,'Project types'!$L96,'Prepare Gantt Chart'!AA95=0,0)</f>
        <v>0</v>
      </c>
      <c r="AP106" s="83">
        <f>_xlfn.IFS('Prepare Gantt Chart'!AB95=16,'Project types'!$L96,'Prepare Gantt Chart'!AB95=15,'Project types'!$L96,'Prepare Gantt Chart'!AB95=0,0)</f>
        <v>0</v>
      </c>
      <c r="AQ106" s="83">
        <f>_xlfn.IFS('Prepare Gantt Chart'!AC95=16,'Project types'!$L96,'Prepare Gantt Chart'!AC95=15,'Project types'!$L96,'Prepare Gantt Chart'!AC95=0,0)</f>
        <v>0</v>
      </c>
      <c r="AR106" s="83">
        <f>_xlfn.IFS('Prepare Gantt Chart'!AD95=16,'Project types'!$L96,'Prepare Gantt Chart'!AD95=15,'Project types'!$L96,'Prepare Gantt Chart'!AD95=0,0)</f>
        <v>0</v>
      </c>
      <c r="AS106" s="83">
        <f>_xlfn.IFS('Prepare Gantt Chart'!AE95=16,'Project types'!$L96,'Prepare Gantt Chart'!AE95=15,'Project types'!$L96,'Prepare Gantt Chart'!AE95=0,0)</f>
        <v>0</v>
      </c>
      <c r="AT106" s="83">
        <f>_xlfn.IFS('Prepare Gantt Chart'!AF95=16,'Project types'!$L96,'Prepare Gantt Chart'!AF95=15,'Project types'!$L96,'Prepare Gantt Chart'!AF95=0,0)</f>
        <v>0</v>
      </c>
      <c r="AU106" s="83">
        <f>_xlfn.IFS('Prepare Gantt Chart'!AG95=16,'Project types'!$L96,'Prepare Gantt Chart'!AG95=15,'Project types'!$L96,'Prepare Gantt Chart'!AG95=0,0)</f>
        <v>0</v>
      </c>
      <c r="AV106" s="83">
        <f>_xlfn.IFS('Prepare Gantt Chart'!AH95=16,'Project types'!$L96,'Prepare Gantt Chart'!AH95=15,'Project types'!$L96,'Prepare Gantt Chart'!AH95=0,0)</f>
        <v>0</v>
      </c>
      <c r="AW106" s="83">
        <f>_xlfn.IFS('Prepare Gantt Chart'!AI95=16,'Project types'!$L96,'Prepare Gantt Chart'!AI95=15,'Project types'!$L96,'Prepare Gantt Chart'!AI95=0,0)</f>
        <v>0</v>
      </c>
      <c r="AX106" s="83">
        <f>_xlfn.IFS('Prepare Gantt Chart'!AJ95=16,'Project types'!$L96,'Prepare Gantt Chart'!AJ95=15,'Project types'!$L96,'Prepare Gantt Chart'!AJ95=0,0)</f>
        <v>0</v>
      </c>
      <c r="AY106" s="83">
        <f>_xlfn.IFS('Prepare Gantt Chart'!AK95=16,'Project types'!$L96,'Prepare Gantt Chart'!AK95=15,'Project types'!$L96,'Prepare Gantt Chart'!AK95=0,0)</f>
        <v>0</v>
      </c>
      <c r="AZ106" s="83">
        <f>_xlfn.IFS('Prepare Gantt Chart'!AL95=16,'Project types'!$L96,'Prepare Gantt Chart'!AL95=15,'Project types'!$L96,'Prepare Gantt Chart'!AL95=0,0)</f>
        <v>0</v>
      </c>
      <c r="BA106" s="83">
        <f>_xlfn.IFS('Prepare Gantt Chart'!AM95=16,'Project types'!$L96,'Prepare Gantt Chart'!AM95=15,'Project types'!$L96,'Prepare Gantt Chart'!AM95=0,0)</f>
        <v>0</v>
      </c>
      <c r="BB106" s="83">
        <f>_xlfn.IFS('Prepare Gantt Chart'!AN95=16,'Project types'!$L96,'Prepare Gantt Chart'!AN95=15,'Project types'!$L96,'Prepare Gantt Chart'!AN95=0,0)</f>
        <v>0</v>
      </c>
      <c r="BC106" s="83">
        <f>_xlfn.IFS('Prepare Gantt Chart'!AO95=16,'Project types'!$L96,'Prepare Gantt Chart'!AO95=15,'Project types'!$L96,'Prepare Gantt Chart'!AO95=0,0)</f>
        <v>0</v>
      </c>
      <c r="BD106" s="91">
        <f t="shared" si="3"/>
        <v>0</v>
      </c>
    </row>
    <row r="107" spans="1:87" x14ac:dyDescent="0.2">
      <c r="A107" s="1" t="s">
        <v>157</v>
      </c>
      <c r="B107" s="39" t="s">
        <v>89</v>
      </c>
      <c r="C107" s="83">
        <f>_xlfn.IFS('Prepare Gantt Chart'!P96=16,'Project types'!$O97,'Prepare Gantt Chart'!P96=15,'Project types'!$Q97,'Prepare Gantt Chart'!P96=0,0)</f>
        <v>0</v>
      </c>
      <c r="D107" s="83">
        <f>_xlfn.IFS('Prepare Gantt Chart'!Q96=16,'Project types'!$O97,'Prepare Gantt Chart'!Q96=15,'Project types'!$Q97,'Prepare Gantt Chart'!Q96=0,0)</f>
        <v>0</v>
      </c>
      <c r="E107" s="83">
        <f>_xlfn.IFS('Prepare Gantt Chart'!R96=16,'Project types'!$O97,'Prepare Gantt Chart'!R96=15,'Project types'!$Q97,'Prepare Gantt Chart'!R96=0,0)</f>
        <v>0</v>
      </c>
      <c r="F107" s="83">
        <f>_xlfn.IFS('Prepare Gantt Chart'!S96=16,'Project types'!$O97,'Prepare Gantt Chart'!S96=15,'Project types'!$Q97,'Prepare Gantt Chart'!S96=0,0)</f>
        <v>0</v>
      </c>
      <c r="G107" s="83">
        <f>_xlfn.IFS('Prepare Gantt Chart'!T96=16,'Project types'!$O97,'Prepare Gantt Chart'!T96=15,'Project types'!$Q97,'Prepare Gantt Chart'!T96=0,0)</f>
        <v>0</v>
      </c>
      <c r="H107" s="83">
        <f>_xlfn.IFS('Prepare Gantt Chart'!U96=16,'Project types'!$O97,'Prepare Gantt Chart'!U96=15,'Project types'!$Q97,'Prepare Gantt Chart'!U96=0,0)</f>
        <v>0</v>
      </c>
      <c r="I107" s="83">
        <f>_xlfn.IFS('Prepare Gantt Chart'!V96=16,'Project types'!$O97,'Prepare Gantt Chart'!V96=15,'Project types'!$Q97,'Prepare Gantt Chart'!V96=0,0)</f>
        <v>0</v>
      </c>
      <c r="J107" s="83">
        <f>_xlfn.IFS('Prepare Gantt Chart'!W96=16,'Project types'!$O97,'Prepare Gantt Chart'!W96=15,'Project types'!$Q97,'Prepare Gantt Chart'!W96=0,0)</f>
        <v>0</v>
      </c>
      <c r="K107" s="83">
        <f>_xlfn.IFS('Prepare Gantt Chart'!X96=16,'Project types'!$O97,'Prepare Gantt Chart'!X96=15,'Project types'!$Q97,'Prepare Gantt Chart'!X96=0,0)</f>
        <v>0</v>
      </c>
      <c r="L107" s="83">
        <f>_xlfn.IFS('Prepare Gantt Chart'!Y96=16,'Project types'!$O97,'Prepare Gantt Chart'!Y96=15,'Project types'!$Q97,'Prepare Gantt Chart'!Y96=0,0)</f>
        <v>0</v>
      </c>
      <c r="M107" s="83">
        <f>_xlfn.IFS('Prepare Gantt Chart'!Z96=16,'Project types'!$O97,'Prepare Gantt Chart'!Z96=15,'Project types'!$Q97,'Prepare Gantt Chart'!Z96=0,0)</f>
        <v>0</v>
      </c>
      <c r="N107" s="83">
        <f>_xlfn.IFS('Prepare Gantt Chart'!AA96=16,'Project types'!$O97,'Prepare Gantt Chart'!AA96=15,'Project types'!$Q97,'Prepare Gantt Chart'!AA96=0,0)</f>
        <v>0</v>
      </c>
      <c r="O107" s="83">
        <f>_xlfn.IFS('Prepare Gantt Chart'!AB96=16,'Project types'!$O97,'Prepare Gantt Chart'!AB96=15,'Project types'!$Q97,'Prepare Gantt Chart'!AB96=0,0)</f>
        <v>0</v>
      </c>
      <c r="P107" s="83">
        <f>_xlfn.IFS('Prepare Gantt Chart'!AC96=16,'Project types'!$O97,'Prepare Gantt Chart'!AC96=15,'Project types'!$Q97,'Prepare Gantt Chart'!AC96=0,0)</f>
        <v>0</v>
      </c>
      <c r="Q107" s="83">
        <f>_xlfn.IFS('Prepare Gantt Chart'!AD96=16,'Project types'!$O97,'Prepare Gantt Chart'!AD96=15,'Project types'!$Q97,'Prepare Gantt Chart'!AD96=0,0)</f>
        <v>0</v>
      </c>
      <c r="R107" s="83">
        <f>_xlfn.IFS('Prepare Gantt Chart'!AE96=16,'Project types'!$O97,'Prepare Gantt Chart'!AE96=15,'Project types'!$Q97,'Prepare Gantt Chart'!AE96=0,0)</f>
        <v>0</v>
      </c>
      <c r="S107" s="83">
        <f>_xlfn.IFS('Prepare Gantt Chart'!AF96=16,'Project types'!$O97,'Prepare Gantt Chart'!AF96=15,'Project types'!$Q97,'Prepare Gantt Chart'!AF96=0,0)</f>
        <v>0</v>
      </c>
      <c r="T107" s="83">
        <f>_xlfn.IFS('Prepare Gantt Chart'!AG96=16,'Project types'!$O97,'Prepare Gantt Chart'!AG96=15,'Project types'!$Q97,'Prepare Gantt Chart'!AG96=0,0)</f>
        <v>0</v>
      </c>
      <c r="U107" s="83">
        <f>_xlfn.IFS('Prepare Gantt Chart'!AH96=16,'Project types'!$O97,'Prepare Gantt Chart'!AH96=15,'Project types'!$Q97,'Prepare Gantt Chart'!AH96=0,0)</f>
        <v>0</v>
      </c>
      <c r="V107" s="83">
        <f>_xlfn.IFS('Prepare Gantt Chart'!AI96=16,'Project types'!$O97,'Prepare Gantt Chart'!AI96=15,'Project types'!$Q97,'Prepare Gantt Chart'!AI96=0,0)</f>
        <v>0</v>
      </c>
      <c r="W107" s="83">
        <f>_xlfn.IFS('Prepare Gantt Chart'!AJ96=16,'Project types'!$O97,'Prepare Gantt Chart'!AJ96=15,'Project types'!$Q97,'Prepare Gantt Chart'!AJ96=0,0)</f>
        <v>0</v>
      </c>
      <c r="X107" s="83">
        <f>_xlfn.IFS('Prepare Gantt Chart'!AK96=16,'Project types'!$O97,'Prepare Gantt Chart'!AK96=15,'Project types'!$Q97,'Prepare Gantt Chart'!AK96=0,0)</f>
        <v>0</v>
      </c>
      <c r="Y107" s="83">
        <f>_xlfn.IFS('Prepare Gantt Chart'!AL96=16,'Project types'!$O97,'Prepare Gantt Chart'!AL96=15,'Project types'!$Q97,'Prepare Gantt Chart'!AL96=0,0)</f>
        <v>0</v>
      </c>
      <c r="Z107" s="83">
        <f>_xlfn.IFS('Prepare Gantt Chart'!AM96=16,'Project types'!$O97,'Prepare Gantt Chart'!AM96=15,'Project types'!$Q97,'Prepare Gantt Chart'!AM96=0,0)</f>
        <v>0</v>
      </c>
      <c r="AA107" s="83">
        <f>_xlfn.IFS('Prepare Gantt Chart'!AN96=16,'Project types'!$O97,'Prepare Gantt Chart'!AN96=15,'Project types'!$Q97,'Prepare Gantt Chart'!AN96=0,0)</f>
        <v>0</v>
      </c>
      <c r="AB107" s="83">
        <f>_xlfn.IFS('Prepare Gantt Chart'!AO96=16,'Project types'!$O97,'Prepare Gantt Chart'!AO96=15,'Project types'!$Q97,'Prepare Gantt Chart'!AO96=0,0)</f>
        <v>0</v>
      </c>
      <c r="AC107" s="93">
        <f t="shared" si="2"/>
        <v>0</v>
      </c>
      <c r="AD107" s="86">
        <f>_xlfn.IFS('Prepare Gantt Chart'!P96=16,'Project types'!$L97,'Prepare Gantt Chart'!P96=15,'Project types'!$L97,'Prepare Gantt Chart'!P96=0,0)</f>
        <v>0</v>
      </c>
      <c r="AE107" s="83">
        <f>_xlfn.IFS('Prepare Gantt Chart'!Q96=16,'Project types'!$L97,'Prepare Gantt Chart'!Q96=15,'Project types'!$L97,'Prepare Gantt Chart'!Q96=0,0)</f>
        <v>0</v>
      </c>
      <c r="AF107" s="83">
        <f>_xlfn.IFS('Prepare Gantt Chart'!R96=16,'Project types'!$L97,'Prepare Gantt Chart'!R96=15,'Project types'!$L97,'Prepare Gantt Chart'!R96=0,0)</f>
        <v>0</v>
      </c>
      <c r="AG107" s="83">
        <f>_xlfn.IFS('Prepare Gantt Chart'!S96=16,'Project types'!$L97,'Prepare Gantt Chart'!S96=15,'Project types'!$L97,'Prepare Gantt Chart'!S96=0,0)</f>
        <v>0</v>
      </c>
      <c r="AH107" s="83">
        <f>_xlfn.IFS('Prepare Gantt Chart'!T96=16,'Project types'!$L97,'Prepare Gantt Chart'!T96=15,'Project types'!$L97,'Prepare Gantt Chart'!T96=0,0)</f>
        <v>0</v>
      </c>
      <c r="AI107" s="83">
        <f>_xlfn.IFS('Prepare Gantt Chart'!U96=16,'Project types'!$L97,'Prepare Gantt Chart'!U96=15,'Project types'!$L97,'Prepare Gantt Chart'!U96=0,0)</f>
        <v>0</v>
      </c>
      <c r="AJ107" s="83">
        <f>_xlfn.IFS('Prepare Gantt Chart'!V96=16,'Project types'!$L97,'Prepare Gantt Chart'!V96=15,'Project types'!$L97,'Prepare Gantt Chart'!V96=0,0)</f>
        <v>0</v>
      </c>
      <c r="AK107" s="83">
        <f>_xlfn.IFS('Prepare Gantt Chart'!W96=16,'Project types'!$L97,'Prepare Gantt Chart'!W96=15,'Project types'!$L97,'Prepare Gantt Chart'!W96=0,0)</f>
        <v>0</v>
      </c>
      <c r="AL107" s="83">
        <f>_xlfn.IFS('Prepare Gantt Chart'!X96=16,'Project types'!$L97,'Prepare Gantt Chart'!X96=15,'Project types'!$L97,'Prepare Gantt Chart'!X96=0,0)</f>
        <v>0</v>
      </c>
      <c r="AM107" s="83">
        <f>_xlfn.IFS('Prepare Gantt Chart'!Y96=16,'Project types'!$L97,'Prepare Gantt Chart'!Y96=15,'Project types'!$L97,'Prepare Gantt Chart'!Y96=0,0)</f>
        <v>0</v>
      </c>
      <c r="AN107" s="83">
        <f>_xlfn.IFS('Prepare Gantt Chart'!Z96=16,'Project types'!$L97,'Prepare Gantt Chart'!Z96=15,'Project types'!$L97,'Prepare Gantt Chart'!Z96=0,0)</f>
        <v>0</v>
      </c>
      <c r="AO107" s="83">
        <f>_xlfn.IFS('Prepare Gantt Chart'!AA96=16,'Project types'!$L97,'Prepare Gantt Chart'!AA96=15,'Project types'!$L97,'Prepare Gantt Chart'!AA96=0,0)</f>
        <v>0</v>
      </c>
      <c r="AP107" s="83">
        <f>_xlfn.IFS('Prepare Gantt Chart'!AB96=16,'Project types'!$L97,'Prepare Gantt Chart'!AB96=15,'Project types'!$L97,'Prepare Gantt Chart'!AB96=0,0)</f>
        <v>0</v>
      </c>
      <c r="AQ107" s="83">
        <f>_xlfn.IFS('Prepare Gantt Chart'!AC96=16,'Project types'!$L97,'Prepare Gantt Chart'!AC96=15,'Project types'!$L97,'Prepare Gantt Chart'!AC96=0,0)</f>
        <v>0</v>
      </c>
      <c r="AR107" s="83">
        <f>_xlfn.IFS('Prepare Gantt Chart'!AD96=16,'Project types'!$L97,'Prepare Gantt Chart'!AD96=15,'Project types'!$L97,'Prepare Gantt Chart'!AD96=0,0)</f>
        <v>0</v>
      </c>
      <c r="AS107" s="83">
        <f>_xlfn.IFS('Prepare Gantt Chart'!AE96=16,'Project types'!$L97,'Prepare Gantt Chart'!AE96=15,'Project types'!$L97,'Prepare Gantt Chart'!AE96=0,0)</f>
        <v>0</v>
      </c>
      <c r="AT107" s="83">
        <f>_xlfn.IFS('Prepare Gantt Chart'!AF96=16,'Project types'!$L97,'Prepare Gantt Chart'!AF96=15,'Project types'!$L97,'Prepare Gantt Chart'!AF96=0,0)</f>
        <v>0</v>
      </c>
      <c r="AU107" s="83">
        <f>_xlfn.IFS('Prepare Gantt Chart'!AG96=16,'Project types'!$L97,'Prepare Gantt Chart'!AG96=15,'Project types'!$L97,'Prepare Gantt Chart'!AG96=0,0)</f>
        <v>0</v>
      </c>
      <c r="AV107" s="83">
        <f>_xlfn.IFS('Prepare Gantt Chart'!AH96=16,'Project types'!$L97,'Prepare Gantt Chart'!AH96=15,'Project types'!$L97,'Prepare Gantt Chart'!AH96=0,0)</f>
        <v>0</v>
      </c>
      <c r="AW107" s="83">
        <f>_xlfn.IFS('Prepare Gantt Chart'!AI96=16,'Project types'!$L97,'Prepare Gantt Chart'!AI96=15,'Project types'!$L97,'Prepare Gantt Chart'!AI96=0,0)</f>
        <v>0</v>
      </c>
      <c r="AX107" s="83">
        <f>_xlfn.IFS('Prepare Gantt Chart'!AJ96=16,'Project types'!$L97,'Prepare Gantt Chart'!AJ96=15,'Project types'!$L97,'Prepare Gantt Chart'!AJ96=0,0)</f>
        <v>0</v>
      </c>
      <c r="AY107" s="83">
        <f>_xlfn.IFS('Prepare Gantt Chart'!AK96=16,'Project types'!$L97,'Prepare Gantt Chart'!AK96=15,'Project types'!$L97,'Prepare Gantt Chart'!AK96=0,0)</f>
        <v>0</v>
      </c>
      <c r="AZ107" s="83">
        <f>_xlfn.IFS('Prepare Gantt Chart'!AL96=16,'Project types'!$L97,'Prepare Gantt Chart'!AL96=15,'Project types'!$L97,'Prepare Gantt Chart'!AL96=0,0)</f>
        <v>0</v>
      </c>
      <c r="BA107" s="83">
        <f>_xlfn.IFS('Prepare Gantt Chart'!AM96=16,'Project types'!$L97,'Prepare Gantt Chart'!AM96=15,'Project types'!$L97,'Prepare Gantt Chart'!AM96=0,0)</f>
        <v>0</v>
      </c>
      <c r="BB107" s="83">
        <f>_xlfn.IFS('Prepare Gantt Chart'!AN96=16,'Project types'!$L97,'Prepare Gantt Chart'!AN96=15,'Project types'!$L97,'Prepare Gantt Chart'!AN96=0,0)</f>
        <v>0</v>
      </c>
      <c r="BC107" s="83">
        <f>_xlfn.IFS('Prepare Gantt Chart'!AO96=16,'Project types'!$L97,'Prepare Gantt Chart'!AO96=15,'Project types'!$L97,'Prepare Gantt Chart'!AO96=0,0)</f>
        <v>0</v>
      </c>
      <c r="BD107" s="91">
        <f t="shared" si="3"/>
        <v>0</v>
      </c>
    </row>
    <row r="108" spans="1:87" x14ac:dyDescent="0.2">
      <c r="A108" s="1" t="s">
        <v>158</v>
      </c>
      <c r="B108" s="39" t="s">
        <v>90</v>
      </c>
      <c r="C108" s="83">
        <f>_xlfn.IFS('Prepare Gantt Chart'!P97=16,'Project types'!$O98,'Prepare Gantt Chart'!P97=15,'Project types'!$Q98,'Prepare Gantt Chart'!P97=0,0)</f>
        <v>0</v>
      </c>
      <c r="D108" s="83">
        <f>_xlfn.IFS('Prepare Gantt Chart'!Q97=16,'Project types'!$O98,'Prepare Gantt Chart'!Q97=15,'Project types'!$Q98,'Prepare Gantt Chart'!Q97=0,0)</f>
        <v>0</v>
      </c>
      <c r="E108" s="83">
        <f>_xlfn.IFS('Prepare Gantt Chart'!R97=16,'Project types'!$O98,'Prepare Gantt Chart'!R97=15,'Project types'!$Q98,'Prepare Gantt Chart'!R97=0,0)</f>
        <v>0</v>
      </c>
      <c r="F108" s="83">
        <f>_xlfn.IFS('Prepare Gantt Chart'!S97=16,'Project types'!$O98,'Prepare Gantt Chart'!S97=15,'Project types'!$Q98,'Prepare Gantt Chart'!S97=0,0)</f>
        <v>0</v>
      </c>
      <c r="G108" s="83">
        <f>_xlfn.IFS('Prepare Gantt Chart'!T97=16,'Project types'!$O98,'Prepare Gantt Chart'!T97=15,'Project types'!$Q98,'Prepare Gantt Chart'!T97=0,0)</f>
        <v>0</v>
      </c>
      <c r="H108" s="83">
        <f>_xlfn.IFS('Prepare Gantt Chart'!U97=16,'Project types'!$O98,'Prepare Gantt Chart'!U97=15,'Project types'!$Q98,'Prepare Gantt Chart'!U97=0,0)</f>
        <v>0</v>
      </c>
      <c r="I108" s="83">
        <f>_xlfn.IFS('Prepare Gantt Chart'!V97=16,'Project types'!$O98,'Prepare Gantt Chart'!V97=15,'Project types'!$Q98,'Prepare Gantt Chart'!V97=0,0)</f>
        <v>0</v>
      </c>
      <c r="J108" s="83">
        <f>_xlfn.IFS('Prepare Gantt Chart'!W97=16,'Project types'!$O98,'Prepare Gantt Chart'!W97=15,'Project types'!$Q98,'Prepare Gantt Chart'!W97=0,0)</f>
        <v>0</v>
      </c>
      <c r="K108" s="83">
        <f>_xlfn.IFS('Prepare Gantt Chart'!X97=16,'Project types'!$O98,'Prepare Gantt Chart'!X97=15,'Project types'!$Q98,'Prepare Gantt Chart'!X97=0,0)</f>
        <v>0</v>
      </c>
      <c r="L108" s="83">
        <f>_xlfn.IFS('Prepare Gantt Chart'!Y97=16,'Project types'!$O98,'Prepare Gantt Chart'!Y97=15,'Project types'!$Q98,'Prepare Gantt Chart'!Y97=0,0)</f>
        <v>0</v>
      </c>
      <c r="M108" s="83">
        <f>_xlfn.IFS('Prepare Gantt Chart'!Z97=16,'Project types'!$O98,'Prepare Gantt Chart'!Z97=15,'Project types'!$Q98,'Prepare Gantt Chart'!Z97=0,0)</f>
        <v>0</v>
      </c>
      <c r="N108" s="83">
        <f>_xlfn.IFS('Prepare Gantt Chart'!AA97=16,'Project types'!$O98,'Prepare Gantt Chart'!AA97=15,'Project types'!$Q98,'Prepare Gantt Chart'!AA97=0,0)</f>
        <v>0</v>
      </c>
      <c r="O108" s="83">
        <f>_xlfn.IFS('Prepare Gantt Chart'!AB97=16,'Project types'!$O98,'Prepare Gantt Chart'!AB97=15,'Project types'!$Q98,'Prepare Gantt Chart'!AB97=0,0)</f>
        <v>0</v>
      </c>
      <c r="P108" s="83">
        <f>_xlfn.IFS('Prepare Gantt Chart'!AC97=16,'Project types'!$O98,'Prepare Gantt Chart'!AC97=15,'Project types'!$Q98,'Prepare Gantt Chart'!AC97=0,0)</f>
        <v>0</v>
      </c>
      <c r="Q108" s="83">
        <f>_xlfn.IFS('Prepare Gantt Chart'!AD97=16,'Project types'!$O98,'Prepare Gantt Chart'!AD97=15,'Project types'!$Q98,'Prepare Gantt Chart'!AD97=0,0)</f>
        <v>0</v>
      </c>
      <c r="R108" s="83">
        <f>_xlfn.IFS('Prepare Gantt Chart'!AE97=16,'Project types'!$O98,'Prepare Gantt Chart'!AE97=15,'Project types'!$Q98,'Prepare Gantt Chart'!AE97=0,0)</f>
        <v>0</v>
      </c>
      <c r="S108" s="83">
        <f>_xlfn.IFS('Prepare Gantt Chart'!AF97=16,'Project types'!$O98,'Prepare Gantt Chart'!AF97=15,'Project types'!$Q98,'Prepare Gantt Chart'!AF97=0,0)</f>
        <v>0</v>
      </c>
      <c r="T108" s="83">
        <f>_xlfn.IFS('Prepare Gantt Chart'!AG97=16,'Project types'!$O98,'Prepare Gantt Chart'!AG97=15,'Project types'!$Q98,'Prepare Gantt Chart'!AG97=0,0)</f>
        <v>0</v>
      </c>
      <c r="U108" s="83">
        <f>_xlfn.IFS('Prepare Gantt Chart'!AH97=16,'Project types'!$O98,'Prepare Gantt Chart'!AH97=15,'Project types'!$Q98,'Prepare Gantt Chart'!AH97=0,0)</f>
        <v>0</v>
      </c>
      <c r="V108" s="83">
        <f>_xlfn.IFS('Prepare Gantt Chart'!AI97=16,'Project types'!$O98,'Prepare Gantt Chart'!AI97=15,'Project types'!$Q98,'Prepare Gantt Chart'!AI97=0,0)</f>
        <v>0</v>
      </c>
      <c r="W108" s="83">
        <f>_xlfn.IFS('Prepare Gantt Chart'!AJ97=16,'Project types'!$O98,'Prepare Gantt Chart'!AJ97=15,'Project types'!$Q98,'Prepare Gantt Chart'!AJ97=0,0)</f>
        <v>0</v>
      </c>
      <c r="X108" s="83">
        <f>_xlfn.IFS('Prepare Gantt Chart'!AK97=16,'Project types'!$O98,'Prepare Gantt Chart'!AK97=15,'Project types'!$Q98,'Prepare Gantt Chart'!AK97=0,0)</f>
        <v>0</v>
      </c>
      <c r="Y108" s="83">
        <f>_xlfn.IFS('Prepare Gantt Chart'!AL97=16,'Project types'!$O98,'Prepare Gantt Chart'!AL97=15,'Project types'!$Q98,'Prepare Gantt Chart'!AL97=0,0)</f>
        <v>0</v>
      </c>
      <c r="Z108" s="83">
        <f>_xlfn.IFS('Prepare Gantt Chart'!AM97=16,'Project types'!$O98,'Prepare Gantt Chart'!AM97=15,'Project types'!$Q98,'Prepare Gantt Chart'!AM97=0,0)</f>
        <v>0</v>
      </c>
      <c r="AA108" s="83">
        <f>_xlfn.IFS('Prepare Gantt Chart'!AN97=16,'Project types'!$O98,'Prepare Gantt Chart'!AN97=15,'Project types'!$Q98,'Prepare Gantt Chart'!AN97=0,0)</f>
        <v>0</v>
      </c>
      <c r="AB108" s="83">
        <f>_xlfn.IFS('Prepare Gantt Chart'!AO97=16,'Project types'!$O98,'Prepare Gantt Chart'!AO97=15,'Project types'!$Q98,'Prepare Gantt Chart'!AO97=0,0)</f>
        <v>0</v>
      </c>
      <c r="AC108" s="93">
        <f t="shared" si="2"/>
        <v>0</v>
      </c>
      <c r="AD108" s="86">
        <f>_xlfn.IFS('Prepare Gantt Chart'!P97=16,'Project types'!$L98,'Prepare Gantt Chart'!P97=15,'Project types'!$L98,'Prepare Gantt Chart'!P97=0,0)</f>
        <v>0</v>
      </c>
      <c r="AE108" s="83">
        <f>_xlfn.IFS('Prepare Gantt Chart'!Q97=16,'Project types'!$L98,'Prepare Gantt Chart'!Q97=15,'Project types'!$L98,'Prepare Gantt Chart'!Q97=0,0)</f>
        <v>0</v>
      </c>
      <c r="AF108" s="83">
        <f>_xlfn.IFS('Prepare Gantt Chart'!R97=16,'Project types'!$L98,'Prepare Gantt Chart'!R97=15,'Project types'!$L98,'Prepare Gantt Chart'!R97=0,0)</f>
        <v>0</v>
      </c>
      <c r="AG108" s="83">
        <f>_xlfn.IFS('Prepare Gantt Chart'!S97=16,'Project types'!$L98,'Prepare Gantt Chart'!S97=15,'Project types'!$L98,'Prepare Gantt Chart'!S97=0,0)</f>
        <v>0</v>
      </c>
      <c r="AH108" s="83">
        <f>_xlfn.IFS('Prepare Gantt Chart'!T97=16,'Project types'!$L98,'Prepare Gantt Chart'!T97=15,'Project types'!$L98,'Prepare Gantt Chart'!T97=0,0)</f>
        <v>0</v>
      </c>
      <c r="AI108" s="83">
        <f>_xlfn.IFS('Prepare Gantt Chart'!U97=16,'Project types'!$L98,'Prepare Gantt Chart'!U97=15,'Project types'!$L98,'Prepare Gantt Chart'!U97=0,0)</f>
        <v>0</v>
      </c>
      <c r="AJ108" s="83">
        <f>_xlfn.IFS('Prepare Gantt Chart'!V97=16,'Project types'!$L98,'Prepare Gantt Chart'!V97=15,'Project types'!$L98,'Prepare Gantt Chart'!V97=0,0)</f>
        <v>0</v>
      </c>
      <c r="AK108" s="83">
        <f>_xlfn.IFS('Prepare Gantt Chart'!W97=16,'Project types'!$L98,'Prepare Gantt Chart'!W97=15,'Project types'!$L98,'Prepare Gantt Chart'!W97=0,0)</f>
        <v>0</v>
      </c>
      <c r="AL108" s="83">
        <f>_xlfn.IFS('Prepare Gantt Chart'!X97=16,'Project types'!$L98,'Prepare Gantt Chart'!X97=15,'Project types'!$L98,'Prepare Gantt Chart'!X97=0,0)</f>
        <v>0</v>
      </c>
      <c r="AM108" s="83">
        <f>_xlfn.IFS('Prepare Gantt Chart'!Y97=16,'Project types'!$L98,'Prepare Gantt Chart'!Y97=15,'Project types'!$L98,'Prepare Gantt Chart'!Y97=0,0)</f>
        <v>0</v>
      </c>
      <c r="AN108" s="83">
        <f>_xlfn.IFS('Prepare Gantt Chart'!Z97=16,'Project types'!$L98,'Prepare Gantt Chart'!Z97=15,'Project types'!$L98,'Prepare Gantt Chart'!Z97=0,0)</f>
        <v>0</v>
      </c>
      <c r="AO108" s="83">
        <f>_xlfn.IFS('Prepare Gantt Chart'!AA97=16,'Project types'!$L98,'Prepare Gantt Chart'!AA97=15,'Project types'!$L98,'Prepare Gantt Chart'!AA97=0,0)</f>
        <v>0</v>
      </c>
      <c r="AP108" s="83">
        <f>_xlfn.IFS('Prepare Gantt Chart'!AB97=16,'Project types'!$L98,'Prepare Gantt Chart'!AB97=15,'Project types'!$L98,'Prepare Gantt Chart'!AB97=0,0)</f>
        <v>0</v>
      </c>
      <c r="AQ108" s="83">
        <f>_xlfn.IFS('Prepare Gantt Chart'!AC97=16,'Project types'!$L98,'Prepare Gantt Chart'!AC97=15,'Project types'!$L98,'Prepare Gantt Chart'!AC97=0,0)</f>
        <v>0</v>
      </c>
      <c r="AR108" s="83">
        <f>_xlfn.IFS('Prepare Gantt Chart'!AD97=16,'Project types'!$L98,'Prepare Gantt Chart'!AD97=15,'Project types'!$L98,'Prepare Gantt Chart'!AD97=0,0)</f>
        <v>0</v>
      </c>
      <c r="AS108" s="83">
        <f>_xlfn.IFS('Prepare Gantt Chart'!AE97=16,'Project types'!$L98,'Prepare Gantt Chart'!AE97=15,'Project types'!$L98,'Prepare Gantt Chart'!AE97=0,0)</f>
        <v>0</v>
      </c>
      <c r="AT108" s="83">
        <f>_xlfn.IFS('Prepare Gantt Chart'!AF97=16,'Project types'!$L98,'Prepare Gantt Chart'!AF97=15,'Project types'!$L98,'Prepare Gantt Chart'!AF97=0,0)</f>
        <v>0</v>
      </c>
      <c r="AU108" s="83">
        <f>_xlfn.IFS('Prepare Gantt Chart'!AG97=16,'Project types'!$L98,'Prepare Gantt Chart'!AG97=15,'Project types'!$L98,'Prepare Gantt Chart'!AG97=0,0)</f>
        <v>0</v>
      </c>
      <c r="AV108" s="83">
        <f>_xlfn.IFS('Prepare Gantt Chart'!AH97=16,'Project types'!$L98,'Prepare Gantt Chart'!AH97=15,'Project types'!$L98,'Prepare Gantt Chart'!AH97=0,0)</f>
        <v>0</v>
      </c>
      <c r="AW108" s="83">
        <f>_xlfn.IFS('Prepare Gantt Chart'!AI97=16,'Project types'!$L98,'Prepare Gantt Chart'!AI97=15,'Project types'!$L98,'Prepare Gantt Chart'!AI97=0,0)</f>
        <v>0</v>
      </c>
      <c r="AX108" s="83">
        <f>_xlfn.IFS('Prepare Gantt Chart'!AJ97=16,'Project types'!$L98,'Prepare Gantt Chart'!AJ97=15,'Project types'!$L98,'Prepare Gantt Chart'!AJ97=0,0)</f>
        <v>0</v>
      </c>
      <c r="AY108" s="83">
        <f>_xlfn.IFS('Prepare Gantt Chart'!AK97=16,'Project types'!$L98,'Prepare Gantt Chart'!AK97=15,'Project types'!$L98,'Prepare Gantt Chart'!AK97=0,0)</f>
        <v>0</v>
      </c>
      <c r="AZ108" s="83">
        <f>_xlfn.IFS('Prepare Gantt Chart'!AL97=16,'Project types'!$L98,'Prepare Gantt Chart'!AL97=15,'Project types'!$L98,'Prepare Gantt Chart'!AL97=0,0)</f>
        <v>0</v>
      </c>
      <c r="BA108" s="83">
        <f>_xlfn.IFS('Prepare Gantt Chart'!AM97=16,'Project types'!$L98,'Prepare Gantt Chart'!AM97=15,'Project types'!$L98,'Prepare Gantt Chart'!AM97=0,0)</f>
        <v>0</v>
      </c>
      <c r="BB108" s="83">
        <f>_xlfn.IFS('Prepare Gantt Chart'!AN97=16,'Project types'!$L98,'Prepare Gantt Chart'!AN97=15,'Project types'!$L98,'Prepare Gantt Chart'!AN97=0,0)</f>
        <v>0</v>
      </c>
      <c r="BC108" s="83">
        <f>_xlfn.IFS('Prepare Gantt Chart'!AO97=16,'Project types'!$L98,'Prepare Gantt Chart'!AO97=15,'Project types'!$L98,'Prepare Gantt Chart'!AO97=0,0)</f>
        <v>0</v>
      </c>
      <c r="BD108" s="91">
        <f t="shared" si="3"/>
        <v>0</v>
      </c>
    </row>
    <row r="109" spans="1:87" x14ac:dyDescent="0.2">
      <c r="A109" s="1" t="s">
        <v>124</v>
      </c>
      <c r="B109" s="39" t="s">
        <v>91</v>
      </c>
      <c r="C109" s="83">
        <f>_xlfn.IFS('Prepare Gantt Chart'!P98=16,'Project types'!$O99,'Prepare Gantt Chart'!P98=15,'Project types'!$Q99,'Prepare Gantt Chart'!P98=0,0)</f>
        <v>0</v>
      </c>
      <c r="D109" s="83">
        <f>_xlfn.IFS('Prepare Gantt Chart'!Q98=16,'Project types'!$O99,'Prepare Gantt Chart'!Q98=15,'Project types'!$Q99,'Prepare Gantt Chart'!Q98=0,0)</f>
        <v>0</v>
      </c>
      <c r="E109" s="83">
        <f>_xlfn.IFS('Prepare Gantt Chart'!R98=16,'Project types'!$O99,'Prepare Gantt Chart'!R98=15,'Project types'!$Q99,'Prepare Gantt Chart'!R98=0,0)</f>
        <v>0</v>
      </c>
      <c r="F109" s="83">
        <f>_xlfn.IFS('Prepare Gantt Chart'!S98=16,'Project types'!$O99,'Prepare Gantt Chart'!S98=15,'Project types'!$Q99,'Prepare Gantt Chart'!S98=0,0)</f>
        <v>0</v>
      </c>
      <c r="G109" s="83">
        <f>_xlfn.IFS('Prepare Gantt Chart'!T98=16,'Project types'!$O99,'Prepare Gantt Chart'!T98=15,'Project types'!$Q99,'Prepare Gantt Chart'!T98=0,0)</f>
        <v>0</v>
      </c>
      <c r="H109" s="83">
        <f>_xlfn.IFS('Prepare Gantt Chart'!U98=16,'Project types'!$O99,'Prepare Gantt Chart'!U98=15,'Project types'!$Q99,'Prepare Gantt Chart'!U98=0,0)</f>
        <v>0</v>
      </c>
      <c r="I109" s="83">
        <f>_xlfn.IFS('Prepare Gantt Chart'!V98=16,'Project types'!$O99,'Prepare Gantt Chart'!V98=15,'Project types'!$Q99,'Prepare Gantt Chart'!V98=0,0)</f>
        <v>0</v>
      </c>
      <c r="J109" s="83">
        <f>_xlfn.IFS('Prepare Gantt Chart'!W98=16,'Project types'!$O99,'Prepare Gantt Chart'!W98=15,'Project types'!$Q99,'Prepare Gantt Chart'!W98=0,0)</f>
        <v>0</v>
      </c>
      <c r="K109" s="83">
        <f>_xlfn.IFS('Prepare Gantt Chart'!X98=16,'Project types'!$O99,'Prepare Gantt Chart'!X98=15,'Project types'!$Q99,'Prepare Gantt Chart'!X98=0,0)</f>
        <v>0</v>
      </c>
      <c r="L109" s="83">
        <f>_xlfn.IFS('Prepare Gantt Chart'!Y98=16,'Project types'!$O99,'Prepare Gantt Chart'!Y98=15,'Project types'!$Q99,'Prepare Gantt Chart'!Y98=0,0)</f>
        <v>0</v>
      </c>
      <c r="M109" s="83">
        <f>_xlfn.IFS('Prepare Gantt Chart'!Z98=16,'Project types'!$O99,'Prepare Gantt Chart'!Z98=15,'Project types'!$Q99,'Prepare Gantt Chart'!Z98=0,0)</f>
        <v>0</v>
      </c>
      <c r="N109" s="83">
        <f>_xlfn.IFS('Prepare Gantt Chart'!AA98=16,'Project types'!$O99,'Prepare Gantt Chart'!AA98=15,'Project types'!$Q99,'Prepare Gantt Chart'!AA98=0,0)</f>
        <v>0</v>
      </c>
      <c r="O109" s="83">
        <f>_xlfn.IFS('Prepare Gantt Chart'!AB98=16,'Project types'!$O99,'Prepare Gantt Chart'!AB98=15,'Project types'!$Q99,'Prepare Gantt Chart'!AB98=0,0)</f>
        <v>0</v>
      </c>
      <c r="P109" s="83">
        <f>_xlfn.IFS('Prepare Gantt Chart'!AC98=16,'Project types'!$O99,'Prepare Gantt Chart'!AC98=15,'Project types'!$Q99,'Prepare Gantt Chart'!AC98=0,0)</f>
        <v>0</v>
      </c>
      <c r="Q109" s="83">
        <f>_xlfn.IFS('Prepare Gantt Chart'!AD98=16,'Project types'!$O99,'Prepare Gantt Chart'!AD98=15,'Project types'!$Q99,'Prepare Gantt Chart'!AD98=0,0)</f>
        <v>0</v>
      </c>
      <c r="R109" s="83">
        <f>_xlfn.IFS('Prepare Gantt Chart'!AE98=16,'Project types'!$O99,'Prepare Gantt Chart'!AE98=15,'Project types'!$Q99,'Prepare Gantt Chart'!AE98=0,0)</f>
        <v>0</v>
      </c>
      <c r="S109" s="83">
        <f>_xlfn.IFS('Prepare Gantt Chart'!AF98=16,'Project types'!$O99,'Prepare Gantt Chart'!AF98=15,'Project types'!$Q99,'Prepare Gantt Chart'!AF98=0,0)</f>
        <v>0</v>
      </c>
      <c r="T109" s="83">
        <f>_xlfn.IFS('Prepare Gantt Chart'!AG98=16,'Project types'!$O99,'Prepare Gantt Chart'!AG98=15,'Project types'!$Q99,'Prepare Gantt Chart'!AG98=0,0)</f>
        <v>0</v>
      </c>
      <c r="U109" s="83">
        <f>_xlfn.IFS('Prepare Gantt Chart'!AH98=16,'Project types'!$O99,'Prepare Gantt Chart'!AH98=15,'Project types'!$Q99,'Prepare Gantt Chart'!AH98=0,0)</f>
        <v>0</v>
      </c>
      <c r="V109" s="83">
        <f>_xlfn.IFS('Prepare Gantt Chart'!AI98=16,'Project types'!$O99,'Prepare Gantt Chart'!AI98=15,'Project types'!$Q99,'Prepare Gantt Chart'!AI98=0,0)</f>
        <v>0</v>
      </c>
      <c r="W109" s="83">
        <f>_xlfn.IFS('Prepare Gantt Chart'!AJ98=16,'Project types'!$O99,'Prepare Gantt Chart'!AJ98=15,'Project types'!$Q99,'Prepare Gantt Chart'!AJ98=0,0)</f>
        <v>0</v>
      </c>
      <c r="X109" s="83">
        <f>_xlfn.IFS('Prepare Gantt Chart'!AK98=16,'Project types'!$O99,'Prepare Gantt Chart'!AK98=15,'Project types'!$Q99,'Prepare Gantt Chart'!AK98=0,0)</f>
        <v>0</v>
      </c>
      <c r="Y109" s="83">
        <f>_xlfn.IFS('Prepare Gantt Chart'!AL98=16,'Project types'!$O99,'Prepare Gantt Chart'!AL98=15,'Project types'!$Q99,'Prepare Gantt Chart'!AL98=0,0)</f>
        <v>0</v>
      </c>
      <c r="Z109" s="83">
        <f>_xlfn.IFS('Prepare Gantt Chart'!AM98=16,'Project types'!$O99,'Prepare Gantt Chart'!AM98=15,'Project types'!$Q99,'Prepare Gantt Chart'!AM98=0,0)</f>
        <v>0</v>
      </c>
      <c r="AA109" s="83">
        <f>_xlfn.IFS('Prepare Gantt Chart'!AN98=16,'Project types'!$O99,'Prepare Gantt Chart'!AN98=15,'Project types'!$Q99,'Prepare Gantt Chart'!AN98=0,0)</f>
        <v>0</v>
      </c>
      <c r="AB109" s="83">
        <f>_xlfn.IFS('Prepare Gantt Chart'!AO98=16,'Project types'!$O99,'Prepare Gantt Chart'!AO98=15,'Project types'!$Q99,'Prepare Gantt Chart'!AO98=0,0)</f>
        <v>0</v>
      </c>
      <c r="AC109" s="93">
        <f t="shared" si="2"/>
        <v>0</v>
      </c>
      <c r="AD109" s="86">
        <f>_xlfn.IFS('Prepare Gantt Chart'!P98=16,'Project types'!$L99,'Prepare Gantt Chart'!P98=15,'Project types'!$L99,'Prepare Gantt Chart'!P98=0,0)</f>
        <v>0</v>
      </c>
      <c r="AE109" s="83">
        <f>_xlfn.IFS('Prepare Gantt Chart'!Q98=16,'Project types'!$L99,'Prepare Gantt Chart'!Q98=15,'Project types'!$L99,'Prepare Gantt Chart'!Q98=0,0)</f>
        <v>0</v>
      </c>
      <c r="AF109" s="83">
        <f>_xlfn.IFS('Prepare Gantt Chart'!R98=16,'Project types'!$L99,'Prepare Gantt Chart'!R98=15,'Project types'!$L99,'Prepare Gantt Chart'!R98=0,0)</f>
        <v>0</v>
      </c>
      <c r="AG109" s="83">
        <f>_xlfn.IFS('Prepare Gantt Chart'!S98=16,'Project types'!$L99,'Prepare Gantt Chart'!S98=15,'Project types'!$L99,'Prepare Gantt Chart'!S98=0,0)</f>
        <v>0</v>
      </c>
      <c r="AH109" s="83">
        <f>_xlfn.IFS('Prepare Gantt Chart'!T98=16,'Project types'!$L99,'Prepare Gantt Chart'!T98=15,'Project types'!$L99,'Prepare Gantt Chart'!T98=0,0)</f>
        <v>0</v>
      </c>
      <c r="AI109" s="83">
        <f>_xlfn.IFS('Prepare Gantt Chart'!U98=16,'Project types'!$L99,'Prepare Gantt Chart'!U98=15,'Project types'!$L99,'Prepare Gantt Chart'!U98=0,0)</f>
        <v>0</v>
      </c>
      <c r="AJ109" s="83">
        <f>_xlfn.IFS('Prepare Gantt Chart'!V98=16,'Project types'!$L99,'Prepare Gantt Chart'!V98=15,'Project types'!$L99,'Prepare Gantt Chart'!V98=0,0)</f>
        <v>0</v>
      </c>
      <c r="AK109" s="83">
        <f>_xlfn.IFS('Prepare Gantt Chart'!W98=16,'Project types'!$L99,'Prepare Gantt Chart'!W98=15,'Project types'!$L99,'Prepare Gantt Chart'!W98=0,0)</f>
        <v>0</v>
      </c>
      <c r="AL109" s="83">
        <f>_xlfn.IFS('Prepare Gantt Chart'!X98=16,'Project types'!$L99,'Prepare Gantt Chart'!X98=15,'Project types'!$L99,'Prepare Gantt Chart'!X98=0,0)</f>
        <v>0</v>
      </c>
      <c r="AM109" s="83">
        <f>_xlfn.IFS('Prepare Gantt Chart'!Y98=16,'Project types'!$L99,'Prepare Gantt Chart'!Y98=15,'Project types'!$L99,'Prepare Gantt Chart'!Y98=0,0)</f>
        <v>0</v>
      </c>
      <c r="AN109" s="83">
        <f>_xlfn.IFS('Prepare Gantt Chart'!Z98=16,'Project types'!$L99,'Prepare Gantt Chart'!Z98=15,'Project types'!$L99,'Prepare Gantt Chart'!Z98=0,0)</f>
        <v>0</v>
      </c>
      <c r="AO109" s="83">
        <f>_xlfn.IFS('Prepare Gantt Chart'!AA98=16,'Project types'!$L99,'Prepare Gantt Chart'!AA98=15,'Project types'!$L99,'Prepare Gantt Chart'!AA98=0,0)</f>
        <v>0</v>
      </c>
      <c r="AP109" s="83">
        <f>_xlfn.IFS('Prepare Gantt Chart'!AB98=16,'Project types'!$L99,'Prepare Gantt Chart'!AB98=15,'Project types'!$L99,'Prepare Gantt Chart'!AB98=0,0)</f>
        <v>0</v>
      </c>
      <c r="AQ109" s="83">
        <f>_xlfn.IFS('Prepare Gantt Chart'!AC98=16,'Project types'!$L99,'Prepare Gantt Chart'!AC98=15,'Project types'!$L99,'Prepare Gantt Chart'!AC98=0,0)</f>
        <v>0</v>
      </c>
      <c r="AR109" s="83">
        <f>_xlfn.IFS('Prepare Gantt Chart'!AD98=16,'Project types'!$L99,'Prepare Gantt Chart'!AD98=15,'Project types'!$L99,'Prepare Gantt Chart'!AD98=0,0)</f>
        <v>0</v>
      </c>
      <c r="AS109" s="83">
        <f>_xlfn.IFS('Prepare Gantt Chart'!AE98=16,'Project types'!$L99,'Prepare Gantt Chart'!AE98=15,'Project types'!$L99,'Prepare Gantt Chart'!AE98=0,0)</f>
        <v>0</v>
      </c>
      <c r="AT109" s="83">
        <f>_xlfn.IFS('Prepare Gantt Chart'!AF98=16,'Project types'!$L99,'Prepare Gantt Chart'!AF98=15,'Project types'!$L99,'Prepare Gantt Chart'!AF98=0,0)</f>
        <v>0</v>
      </c>
      <c r="AU109" s="83">
        <f>_xlfn.IFS('Prepare Gantt Chart'!AG98=16,'Project types'!$L99,'Prepare Gantt Chart'!AG98=15,'Project types'!$L99,'Prepare Gantt Chart'!AG98=0,0)</f>
        <v>0</v>
      </c>
      <c r="AV109" s="83">
        <f>_xlfn.IFS('Prepare Gantt Chart'!AH98=16,'Project types'!$L99,'Prepare Gantt Chart'!AH98=15,'Project types'!$L99,'Prepare Gantt Chart'!AH98=0,0)</f>
        <v>0</v>
      </c>
      <c r="AW109" s="83">
        <f>_xlfn.IFS('Prepare Gantt Chart'!AI98=16,'Project types'!$L99,'Prepare Gantt Chart'!AI98=15,'Project types'!$L99,'Prepare Gantt Chart'!AI98=0,0)</f>
        <v>0</v>
      </c>
      <c r="AX109" s="83">
        <f>_xlfn.IFS('Prepare Gantt Chart'!AJ98=16,'Project types'!$L99,'Prepare Gantt Chart'!AJ98=15,'Project types'!$L99,'Prepare Gantt Chart'!AJ98=0,0)</f>
        <v>0</v>
      </c>
      <c r="AY109" s="83">
        <f>_xlfn.IFS('Prepare Gantt Chart'!AK98=16,'Project types'!$L99,'Prepare Gantt Chart'!AK98=15,'Project types'!$L99,'Prepare Gantt Chart'!AK98=0,0)</f>
        <v>0</v>
      </c>
      <c r="AZ109" s="83">
        <f>_xlfn.IFS('Prepare Gantt Chart'!AL98=16,'Project types'!$L99,'Prepare Gantt Chart'!AL98=15,'Project types'!$L99,'Prepare Gantt Chart'!AL98=0,0)</f>
        <v>0</v>
      </c>
      <c r="BA109" s="83">
        <f>_xlfn.IFS('Prepare Gantt Chart'!AM98=16,'Project types'!$L99,'Prepare Gantt Chart'!AM98=15,'Project types'!$L99,'Prepare Gantt Chart'!AM98=0,0)</f>
        <v>0</v>
      </c>
      <c r="BB109" s="83">
        <f>_xlfn.IFS('Prepare Gantt Chart'!AN98=16,'Project types'!$L99,'Prepare Gantt Chart'!AN98=15,'Project types'!$L99,'Prepare Gantt Chart'!AN98=0,0)</f>
        <v>0</v>
      </c>
      <c r="BC109" s="83">
        <f>_xlfn.IFS('Prepare Gantt Chart'!AO98=16,'Project types'!$L99,'Prepare Gantt Chart'!AO98=15,'Project types'!$L99,'Prepare Gantt Chart'!AO98=0,0)</f>
        <v>0</v>
      </c>
      <c r="BD109" s="91">
        <f t="shared" si="3"/>
        <v>0</v>
      </c>
    </row>
    <row r="110" spans="1:87" x14ac:dyDescent="0.2">
      <c r="A110" s="1" t="s">
        <v>414</v>
      </c>
      <c r="B110" s="39" t="s">
        <v>92</v>
      </c>
      <c r="C110" s="83">
        <f>_xlfn.IFS('Prepare Gantt Chart'!P99=16,'Project types'!$O100,'Prepare Gantt Chart'!P99=15,'Project types'!$Q100,'Prepare Gantt Chart'!P99=0,0)</f>
        <v>0</v>
      </c>
      <c r="D110" s="83">
        <f>_xlfn.IFS('Prepare Gantt Chart'!Q99=16,'Project types'!$O100,'Prepare Gantt Chart'!Q99=15,'Project types'!$Q100,'Prepare Gantt Chart'!Q99=0,0)</f>
        <v>0</v>
      </c>
      <c r="E110" s="83">
        <f>_xlfn.IFS('Prepare Gantt Chart'!R99=16,'Project types'!$O100,'Prepare Gantt Chart'!R99=15,'Project types'!$Q100,'Prepare Gantt Chart'!R99=0,0)</f>
        <v>0</v>
      </c>
      <c r="F110" s="83">
        <f>_xlfn.IFS('Prepare Gantt Chart'!S99=16,'Project types'!$O100,'Prepare Gantt Chart'!S99=15,'Project types'!$Q100,'Prepare Gantt Chart'!S99=0,0)</f>
        <v>0</v>
      </c>
      <c r="G110" s="83">
        <f>_xlfn.IFS('Prepare Gantt Chart'!T99=16,'Project types'!$O100,'Prepare Gantt Chart'!T99=15,'Project types'!$Q100,'Prepare Gantt Chart'!T99=0,0)</f>
        <v>0</v>
      </c>
      <c r="H110" s="83">
        <f>_xlfn.IFS('Prepare Gantt Chart'!U99=16,'Project types'!$O100,'Prepare Gantt Chart'!U99=15,'Project types'!$Q100,'Prepare Gantt Chart'!U99=0,0)</f>
        <v>0</v>
      </c>
      <c r="I110" s="83">
        <f>_xlfn.IFS('Prepare Gantt Chart'!V99=16,'Project types'!$O100,'Prepare Gantt Chart'!V99=15,'Project types'!$Q100,'Prepare Gantt Chart'!V99=0,0)</f>
        <v>0</v>
      </c>
      <c r="J110" s="83">
        <f>_xlfn.IFS('Prepare Gantt Chart'!W99=16,'Project types'!$O100,'Prepare Gantt Chart'!W99=15,'Project types'!$Q100,'Prepare Gantt Chart'!W99=0,0)</f>
        <v>0</v>
      </c>
      <c r="K110" s="83">
        <f>_xlfn.IFS('Prepare Gantt Chart'!X99=16,'Project types'!$O100,'Prepare Gantt Chart'!X99=15,'Project types'!$Q100,'Prepare Gantt Chart'!X99=0,0)</f>
        <v>0</v>
      </c>
      <c r="L110" s="83">
        <f>_xlfn.IFS('Prepare Gantt Chart'!Y99=16,'Project types'!$O100,'Prepare Gantt Chart'!Y99=15,'Project types'!$Q100,'Prepare Gantt Chart'!Y99=0,0)</f>
        <v>0</v>
      </c>
      <c r="M110" s="83">
        <f>_xlfn.IFS('Prepare Gantt Chart'!Z99=16,'Project types'!$O100,'Prepare Gantt Chart'!Z99=15,'Project types'!$Q100,'Prepare Gantt Chart'!Z99=0,0)</f>
        <v>0</v>
      </c>
      <c r="N110" s="83">
        <f>_xlfn.IFS('Prepare Gantt Chart'!AA99=16,'Project types'!$O100,'Prepare Gantt Chart'!AA99=15,'Project types'!$Q100,'Prepare Gantt Chart'!AA99=0,0)</f>
        <v>0</v>
      </c>
      <c r="O110" s="83">
        <f>_xlfn.IFS('Prepare Gantt Chart'!AB99=16,'Project types'!$O100,'Prepare Gantt Chart'!AB99=15,'Project types'!$Q100,'Prepare Gantt Chart'!AB99=0,0)</f>
        <v>0</v>
      </c>
      <c r="P110" s="83">
        <f>_xlfn.IFS('Prepare Gantt Chart'!AC99=16,'Project types'!$O100,'Prepare Gantt Chart'!AC99=15,'Project types'!$Q100,'Prepare Gantt Chart'!AC99=0,0)</f>
        <v>0</v>
      </c>
      <c r="Q110" s="83">
        <f>_xlfn.IFS('Prepare Gantt Chart'!AD99=16,'Project types'!$O100,'Prepare Gantt Chart'!AD99=15,'Project types'!$Q100,'Prepare Gantt Chart'!AD99=0,0)</f>
        <v>0</v>
      </c>
      <c r="R110" s="83">
        <f>_xlfn.IFS('Prepare Gantt Chart'!AE99=16,'Project types'!$O100,'Prepare Gantt Chart'!AE99=15,'Project types'!$Q100,'Prepare Gantt Chart'!AE99=0,0)</f>
        <v>0</v>
      </c>
      <c r="S110" s="83">
        <f>_xlfn.IFS('Prepare Gantt Chart'!AF99=16,'Project types'!$O100,'Prepare Gantt Chart'!AF99=15,'Project types'!$Q100,'Prepare Gantt Chart'!AF99=0,0)</f>
        <v>0</v>
      </c>
      <c r="T110" s="83">
        <f>_xlfn.IFS('Prepare Gantt Chart'!AG99=16,'Project types'!$O100,'Prepare Gantt Chart'!AG99=15,'Project types'!$Q100,'Prepare Gantt Chart'!AG99=0,0)</f>
        <v>0</v>
      </c>
      <c r="U110" s="83">
        <f>_xlfn.IFS('Prepare Gantt Chart'!AH99=16,'Project types'!$O100,'Prepare Gantt Chart'!AH99=15,'Project types'!$Q100,'Prepare Gantt Chart'!AH99=0,0)</f>
        <v>0</v>
      </c>
      <c r="V110" s="83">
        <f>_xlfn.IFS('Prepare Gantt Chart'!AI99=16,'Project types'!$O100,'Prepare Gantt Chart'!AI99=15,'Project types'!$Q100,'Prepare Gantt Chart'!AI99=0,0)</f>
        <v>0</v>
      </c>
      <c r="W110" s="83">
        <f>_xlfn.IFS('Prepare Gantt Chart'!AJ99=16,'Project types'!$O100,'Prepare Gantt Chart'!AJ99=15,'Project types'!$Q100,'Prepare Gantt Chart'!AJ99=0,0)</f>
        <v>0</v>
      </c>
      <c r="X110" s="83">
        <f>_xlfn.IFS('Prepare Gantt Chart'!AK99=16,'Project types'!$O100,'Prepare Gantt Chart'!AK99=15,'Project types'!$Q100,'Prepare Gantt Chart'!AK99=0,0)</f>
        <v>0</v>
      </c>
      <c r="Y110" s="83">
        <f>_xlfn.IFS('Prepare Gantt Chart'!AL99=16,'Project types'!$O100,'Prepare Gantt Chart'!AL99=15,'Project types'!$Q100,'Prepare Gantt Chart'!AL99=0,0)</f>
        <v>0</v>
      </c>
      <c r="Z110" s="83">
        <f>_xlfn.IFS('Prepare Gantt Chart'!AM99=16,'Project types'!$O100,'Prepare Gantt Chart'!AM99=15,'Project types'!$Q100,'Prepare Gantt Chart'!AM99=0,0)</f>
        <v>0</v>
      </c>
      <c r="AA110" s="83">
        <f>_xlfn.IFS('Prepare Gantt Chart'!AN99=16,'Project types'!$O100,'Prepare Gantt Chart'!AN99=15,'Project types'!$Q100,'Prepare Gantt Chart'!AN99=0,0)</f>
        <v>0</v>
      </c>
      <c r="AB110" s="83">
        <f>_xlfn.IFS('Prepare Gantt Chart'!AO99=16,'Project types'!$O100,'Prepare Gantt Chart'!AO99=15,'Project types'!$Q100,'Prepare Gantt Chart'!AO99=0,0)</f>
        <v>0</v>
      </c>
      <c r="AC110" s="93">
        <f t="shared" si="2"/>
        <v>0</v>
      </c>
      <c r="AD110" s="86">
        <f>_xlfn.IFS('Prepare Gantt Chart'!P99=16,'Project types'!$L100,'Prepare Gantt Chart'!P99=15,'Project types'!$L100,'Prepare Gantt Chart'!P99=0,0)</f>
        <v>0</v>
      </c>
      <c r="AE110" s="83">
        <f>_xlfn.IFS('Prepare Gantt Chart'!Q99=16,'Project types'!$L100,'Prepare Gantt Chart'!Q99=15,'Project types'!$L100,'Prepare Gantt Chart'!Q99=0,0)</f>
        <v>0</v>
      </c>
      <c r="AF110" s="83">
        <f>_xlfn.IFS('Prepare Gantt Chart'!R99=16,'Project types'!$L100,'Prepare Gantt Chart'!R99=15,'Project types'!$L100,'Prepare Gantt Chart'!R99=0,0)</f>
        <v>0</v>
      </c>
      <c r="AG110" s="83">
        <f>_xlfn.IFS('Prepare Gantt Chart'!S99=16,'Project types'!$L100,'Prepare Gantt Chart'!S99=15,'Project types'!$L100,'Prepare Gantt Chart'!S99=0,0)</f>
        <v>0</v>
      </c>
      <c r="AH110" s="83">
        <f>_xlfn.IFS('Prepare Gantt Chart'!T99=16,'Project types'!$L100,'Prepare Gantt Chart'!T99=15,'Project types'!$L100,'Prepare Gantt Chart'!T99=0,0)</f>
        <v>0</v>
      </c>
      <c r="AI110" s="83">
        <f>_xlfn.IFS('Prepare Gantt Chart'!U99=16,'Project types'!$L100,'Prepare Gantt Chart'!U99=15,'Project types'!$L100,'Prepare Gantt Chart'!U99=0,0)</f>
        <v>0</v>
      </c>
      <c r="AJ110" s="83">
        <f>_xlfn.IFS('Prepare Gantt Chart'!V99=16,'Project types'!$L100,'Prepare Gantt Chart'!V99=15,'Project types'!$L100,'Prepare Gantt Chart'!V99=0,0)</f>
        <v>0</v>
      </c>
      <c r="AK110" s="83">
        <f>_xlfn.IFS('Prepare Gantt Chart'!W99=16,'Project types'!$L100,'Prepare Gantt Chart'!W99=15,'Project types'!$L100,'Prepare Gantt Chart'!W99=0,0)</f>
        <v>0</v>
      </c>
      <c r="AL110" s="83">
        <f>_xlfn.IFS('Prepare Gantt Chart'!X99=16,'Project types'!$L100,'Prepare Gantt Chart'!X99=15,'Project types'!$L100,'Prepare Gantt Chart'!X99=0,0)</f>
        <v>0</v>
      </c>
      <c r="AM110" s="83">
        <f>_xlfn.IFS('Prepare Gantt Chart'!Y99=16,'Project types'!$L100,'Prepare Gantt Chart'!Y99=15,'Project types'!$L100,'Prepare Gantt Chart'!Y99=0,0)</f>
        <v>0</v>
      </c>
      <c r="AN110" s="83">
        <f>_xlfn.IFS('Prepare Gantt Chart'!Z99=16,'Project types'!$L100,'Prepare Gantt Chart'!Z99=15,'Project types'!$L100,'Prepare Gantt Chart'!Z99=0,0)</f>
        <v>0</v>
      </c>
      <c r="AO110" s="83">
        <f>_xlfn.IFS('Prepare Gantt Chart'!AA99=16,'Project types'!$L100,'Prepare Gantt Chart'!AA99=15,'Project types'!$L100,'Prepare Gantt Chart'!AA99=0,0)</f>
        <v>0</v>
      </c>
      <c r="AP110" s="83">
        <f>_xlfn.IFS('Prepare Gantt Chart'!AB99=16,'Project types'!$L100,'Prepare Gantt Chart'!AB99=15,'Project types'!$L100,'Prepare Gantt Chart'!AB99=0,0)</f>
        <v>0</v>
      </c>
      <c r="AQ110" s="83">
        <f>_xlfn.IFS('Prepare Gantt Chart'!AC99=16,'Project types'!$L100,'Prepare Gantt Chart'!AC99=15,'Project types'!$L100,'Prepare Gantt Chart'!AC99=0,0)</f>
        <v>0</v>
      </c>
      <c r="AR110" s="83">
        <f>_xlfn.IFS('Prepare Gantt Chart'!AD99=16,'Project types'!$L100,'Prepare Gantt Chart'!AD99=15,'Project types'!$L100,'Prepare Gantt Chart'!AD99=0,0)</f>
        <v>0</v>
      </c>
      <c r="AS110" s="83">
        <f>_xlfn.IFS('Prepare Gantt Chart'!AE99=16,'Project types'!$L100,'Prepare Gantt Chart'!AE99=15,'Project types'!$L100,'Prepare Gantt Chart'!AE99=0,0)</f>
        <v>0</v>
      </c>
      <c r="AT110" s="83">
        <f>_xlfn.IFS('Prepare Gantt Chart'!AF99=16,'Project types'!$L100,'Prepare Gantt Chart'!AF99=15,'Project types'!$L100,'Prepare Gantt Chart'!AF99=0,0)</f>
        <v>0</v>
      </c>
      <c r="AU110" s="83">
        <f>_xlfn.IFS('Prepare Gantt Chart'!AG99=16,'Project types'!$L100,'Prepare Gantt Chart'!AG99=15,'Project types'!$L100,'Prepare Gantt Chart'!AG99=0,0)</f>
        <v>0</v>
      </c>
      <c r="AV110" s="83">
        <f>_xlfn.IFS('Prepare Gantt Chart'!AH99=16,'Project types'!$L100,'Prepare Gantt Chart'!AH99=15,'Project types'!$L100,'Prepare Gantt Chart'!AH99=0,0)</f>
        <v>0</v>
      </c>
      <c r="AW110" s="83">
        <f>_xlfn.IFS('Prepare Gantt Chart'!AI99=16,'Project types'!$L100,'Prepare Gantt Chart'!AI99=15,'Project types'!$L100,'Prepare Gantt Chart'!AI99=0,0)</f>
        <v>0</v>
      </c>
      <c r="AX110" s="83">
        <f>_xlfn.IFS('Prepare Gantt Chart'!AJ99=16,'Project types'!$L100,'Prepare Gantt Chart'!AJ99=15,'Project types'!$L100,'Prepare Gantt Chart'!AJ99=0,0)</f>
        <v>0</v>
      </c>
      <c r="AY110" s="83">
        <f>_xlfn.IFS('Prepare Gantt Chart'!AK99=16,'Project types'!$L100,'Prepare Gantt Chart'!AK99=15,'Project types'!$L100,'Prepare Gantt Chart'!AK99=0,0)</f>
        <v>0</v>
      </c>
      <c r="AZ110" s="83">
        <f>_xlfn.IFS('Prepare Gantt Chart'!AL99=16,'Project types'!$L100,'Prepare Gantt Chart'!AL99=15,'Project types'!$L100,'Prepare Gantt Chart'!AL99=0,0)</f>
        <v>0</v>
      </c>
      <c r="BA110" s="83">
        <f>_xlfn.IFS('Prepare Gantt Chart'!AM99=16,'Project types'!$L100,'Prepare Gantt Chart'!AM99=15,'Project types'!$L100,'Prepare Gantt Chart'!AM99=0,0)</f>
        <v>0</v>
      </c>
      <c r="BB110" s="83">
        <f>_xlfn.IFS('Prepare Gantt Chart'!AN99=16,'Project types'!$L100,'Prepare Gantt Chart'!AN99=15,'Project types'!$L100,'Prepare Gantt Chart'!AN99=0,0)</f>
        <v>0</v>
      </c>
      <c r="BC110" s="83">
        <f>_xlfn.IFS('Prepare Gantt Chart'!AO99=16,'Project types'!$L100,'Prepare Gantt Chart'!AO99=15,'Project types'!$L100,'Prepare Gantt Chart'!AO99=0,0)</f>
        <v>0</v>
      </c>
      <c r="BD110" s="91">
        <f t="shared" si="3"/>
        <v>0</v>
      </c>
    </row>
    <row r="111" spans="1:87" x14ac:dyDescent="0.2">
      <c r="A111" s="1" t="s">
        <v>159</v>
      </c>
      <c r="B111" s="39" t="s">
        <v>93</v>
      </c>
      <c r="C111" s="83">
        <f>_xlfn.IFS('Prepare Gantt Chart'!P100=16,'Project types'!$O101,'Prepare Gantt Chart'!P100=15,'Project types'!$Q101,'Prepare Gantt Chart'!P100=0,0)</f>
        <v>0</v>
      </c>
      <c r="D111" s="83">
        <f>_xlfn.IFS('Prepare Gantt Chart'!Q100=16,'Project types'!$O101,'Prepare Gantt Chart'!Q100=15,'Project types'!$Q101,'Prepare Gantt Chart'!Q100=0,0)</f>
        <v>0</v>
      </c>
      <c r="E111" s="83">
        <f>_xlfn.IFS('Prepare Gantt Chart'!R100=16,'Project types'!$O101,'Prepare Gantt Chart'!R100=15,'Project types'!$Q101,'Prepare Gantt Chart'!R100=0,0)</f>
        <v>0</v>
      </c>
      <c r="F111" s="83">
        <f>_xlfn.IFS('Prepare Gantt Chart'!S100=16,'Project types'!$O101,'Prepare Gantt Chart'!S100=15,'Project types'!$Q101,'Prepare Gantt Chart'!S100=0,0)</f>
        <v>0</v>
      </c>
      <c r="G111" s="83">
        <f>_xlfn.IFS('Prepare Gantt Chart'!T100=16,'Project types'!$O101,'Prepare Gantt Chart'!T100=15,'Project types'!$Q101,'Prepare Gantt Chart'!T100=0,0)</f>
        <v>0</v>
      </c>
      <c r="H111" s="83">
        <f>_xlfn.IFS('Prepare Gantt Chart'!U100=16,'Project types'!$O101,'Prepare Gantt Chart'!U100=15,'Project types'!$Q101,'Prepare Gantt Chart'!U100=0,0)</f>
        <v>0</v>
      </c>
      <c r="I111" s="83">
        <f>_xlfn.IFS('Prepare Gantt Chart'!V100=16,'Project types'!$O101,'Prepare Gantt Chart'!V100=15,'Project types'!$Q101,'Prepare Gantt Chart'!V100=0,0)</f>
        <v>0</v>
      </c>
      <c r="J111" s="83">
        <f>_xlfn.IFS('Prepare Gantt Chart'!W100=16,'Project types'!$O101,'Prepare Gantt Chart'!W100=15,'Project types'!$Q101,'Prepare Gantt Chart'!W100=0,0)</f>
        <v>0</v>
      </c>
      <c r="K111" s="83">
        <f>_xlfn.IFS('Prepare Gantt Chart'!X100=16,'Project types'!$O101,'Prepare Gantt Chart'!X100=15,'Project types'!$Q101,'Prepare Gantt Chart'!X100=0,0)</f>
        <v>0</v>
      </c>
      <c r="L111" s="83">
        <f>_xlfn.IFS('Prepare Gantt Chart'!Y100=16,'Project types'!$O101,'Prepare Gantt Chart'!Y100=15,'Project types'!$Q101,'Prepare Gantt Chart'!Y100=0,0)</f>
        <v>0</v>
      </c>
      <c r="M111" s="83">
        <f>_xlfn.IFS('Prepare Gantt Chart'!Z100=16,'Project types'!$O101,'Prepare Gantt Chart'!Z100=15,'Project types'!$Q101,'Prepare Gantt Chart'!Z100=0,0)</f>
        <v>0</v>
      </c>
      <c r="N111" s="83">
        <f>_xlfn.IFS('Prepare Gantt Chart'!AA100=16,'Project types'!$O101,'Prepare Gantt Chart'!AA100=15,'Project types'!$Q101,'Prepare Gantt Chart'!AA100=0,0)</f>
        <v>0</v>
      </c>
      <c r="O111" s="83">
        <f>_xlfn.IFS('Prepare Gantt Chart'!AB100=16,'Project types'!$O101,'Prepare Gantt Chart'!AB100=15,'Project types'!$Q101,'Prepare Gantt Chart'!AB100=0,0)</f>
        <v>0</v>
      </c>
      <c r="P111" s="83">
        <f>_xlfn.IFS('Prepare Gantt Chart'!AC100=16,'Project types'!$O101,'Prepare Gantt Chart'!AC100=15,'Project types'!$Q101,'Prepare Gantt Chart'!AC100=0,0)</f>
        <v>0</v>
      </c>
      <c r="Q111" s="83">
        <f>_xlfn.IFS('Prepare Gantt Chart'!AD100=16,'Project types'!$O101,'Prepare Gantt Chart'!AD100=15,'Project types'!$Q101,'Prepare Gantt Chart'!AD100=0,0)</f>
        <v>0</v>
      </c>
      <c r="R111" s="83">
        <f>_xlfn.IFS('Prepare Gantt Chart'!AE100=16,'Project types'!$O101,'Prepare Gantt Chart'!AE100=15,'Project types'!$Q101,'Prepare Gantt Chart'!AE100=0,0)</f>
        <v>0</v>
      </c>
      <c r="S111" s="83">
        <f>_xlfn.IFS('Prepare Gantt Chart'!AF100=16,'Project types'!$O101,'Prepare Gantt Chart'!AF100=15,'Project types'!$Q101,'Prepare Gantt Chart'!AF100=0,0)</f>
        <v>0</v>
      </c>
      <c r="T111" s="83">
        <f>_xlfn.IFS('Prepare Gantt Chart'!AG100=16,'Project types'!$O101,'Prepare Gantt Chart'!AG100=15,'Project types'!$Q101,'Prepare Gantt Chart'!AG100=0,0)</f>
        <v>0</v>
      </c>
      <c r="U111" s="83">
        <f>_xlfn.IFS('Prepare Gantt Chart'!AH100=16,'Project types'!$O101,'Prepare Gantt Chart'!AH100=15,'Project types'!$Q101,'Prepare Gantt Chart'!AH100=0,0)</f>
        <v>0</v>
      </c>
      <c r="V111" s="83">
        <f>_xlfn.IFS('Prepare Gantt Chart'!AI100=16,'Project types'!$O101,'Prepare Gantt Chart'!AI100=15,'Project types'!$Q101,'Prepare Gantt Chart'!AI100=0,0)</f>
        <v>0</v>
      </c>
      <c r="W111" s="83">
        <f>_xlfn.IFS('Prepare Gantt Chart'!AJ100=16,'Project types'!$O101,'Prepare Gantt Chart'!AJ100=15,'Project types'!$Q101,'Prepare Gantt Chart'!AJ100=0,0)</f>
        <v>0</v>
      </c>
      <c r="X111" s="83">
        <f>_xlfn.IFS('Prepare Gantt Chart'!AK100=16,'Project types'!$O101,'Prepare Gantt Chart'!AK100=15,'Project types'!$Q101,'Prepare Gantt Chart'!AK100=0,0)</f>
        <v>0</v>
      </c>
      <c r="Y111" s="83">
        <f>_xlfn.IFS('Prepare Gantt Chart'!AL100=16,'Project types'!$O101,'Prepare Gantt Chart'!AL100=15,'Project types'!$Q101,'Prepare Gantt Chart'!AL100=0,0)</f>
        <v>0</v>
      </c>
      <c r="Z111" s="83">
        <f>_xlfn.IFS('Prepare Gantt Chart'!AM100=16,'Project types'!$O101,'Prepare Gantt Chart'!AM100=15,'Project types'!$Q101,'Prepare Gantt Chart'!AM100=0,0)</f>
        <v>0</v>
      </c>
      <c r="AA111" s="83">
        <f>_xlfn.IFS('Prepare Gantt Chart'!AN100=16,'Project types'!$O101,'Prepare Gantt Chart'!AN100=15,'Project types'!$Q101,'Prepare Gantt Chart'!AN100=0,0)</f>
        <v>0</v>
      </c>
      <c r="AB111" s="83">
        <f>_xlfn.IFS('Prepare Gantt Chart'!AO100=16,'Project types'!$O101,'Prepare Gantt Chart'!AO100=15,'Project types'!$Q101,'Prepare Gantt Chart'!AO100=0,0)</f>
        <v>0</v>
      </c>
      <c r="AC111" s="93">
        <f t="shared" si="2"/>
        <v>0</v>
      </c>
      <c r="AD111" s="86">
        <f>_xlfn.IFS('Prepare Gantt Chart'!P100=16,'Project types'!$L101,'Prepare Gantt Chart'!P100=15,'Project types'!$L101,'Prepare Gantt Chart'!P100=0,0)</f>
        <v>0</v>
      </c>
      <c r="AE111" s="83">
        <f>_xlfn.IFS('Prepare Gantt Chart'!Q100=16,'Project types'!$L101,'Prepare Gantt Chart'!Q100=15,'Project types'!$L101,'Prepare Gantt Chart'!Q100=0,0)</f>
        <v>0</v>
      </c>
      <c r="AF111" s="83">
        <f>_xlfn.IFS('Prepare Gantt Chart'!R100=16,'Project types'!$L101,'Prepare Gantt Chart'!R100=15,'Project types'!$L101,'Prepare Gantt Chart'!R100=0,0)</f>
        <v>0</v>
      </c>
      <c r="AG111" s="83">
        <f>_xlfn.IFS('Prepare Gantt Chart'!S100=16,'Project types'!$L101,'Prepare Gantt Chart'!S100=15,'Project types'!$L101,'Prepare Gantt Chart'!S100=0,0)</f>
        <v>0</v>
      </c>
      <c r="AH111" s="83">
        <f>_xlfn.IFS('Prepare Gantt Chart'!T100=16,'Project types'!$L101,'Prepare Gantt Chart'!T100=15,'Project types'!$L101,'Prepare Gantt Chart'!T100=0,0)</f>
        <v>0</v>
      </c>
      <c r="AI111" s="83">
        <f>_xlfn.IFS('Prepare Gantt Chart'!U100=16,'Project types'!$L101,'Prepare Gantt Chart'!U100=15,'Project types'!$L101,'Prepare Gantt Chart'!U100=0,0)</f>
        <v>0</v>
      </c>
      <c r="AJ111" s="83">
        <f>_xlfn.IFS('Prepare Gantt Chart'!V100=16,'Project types'!$L101,'Prepare Gantt Chart'!V100=15,'Project types'!$L101,'Prepare Gantt Chart'!V100=0,0)</f>
        <v>0</v>
      </c>
      <c r="AK111" s="83">
        <f>_xlfn.IFS('Prepare Gantt Chart'!W100=16,'Project types'!$L101,'Prepare Gantt Chart'!W100=15,'Project types'!$L101,'Prepare Gantt Chart'!W100=0,0)</f>
        <v>0</v>
      </c>
      <c r="AL111" s="83">
        <f>_xlfn.IFS('Prepare Gantt Chart'!X100=16,'Project types'!$L101,'Prepare Gantt Chart'!X100=15,'Project types'!$L101,'Prepare Gantt Chart'!X100=0,0)</f>
        <v>0</v>
      </c>
      <c r="AM111" s="83">
        <f>_xlfn.IFS('Prepare Gantt Chart'!Y100=16,'Project types'!$L101,'Prepare Gantt Chart'!Y100=15,'Project types'!$L101,'Prepare Gantt Chart'!Y100=0,0)</f>
        <v>0</v>
      </c>
      <c r="AN111" s="83">
        <f>_xlfn.IFS('Prepare Gantt Chart'!Z100=16,'Project types'!$L101,'Prepare Gantt Chart'!Z100=15,'Project types'!$L101,'Prepare Gantt Chart'!Z100=0,0)</f>
        <v>0</v>
      </c>
      <c r="AO111" s="83">
        <f>_xlfn.IFS('Prepare Gantt Chart'!AA100=16,'Project types'!$L101,'Prepare Gantt Chart'!AA100=15,'Project types'!$L101,'Prepare Gantt Chart'!AA100=0,0)</f>
        <v>0</v>
      </c>
      <c r="AP111" s="83">
        <f>_xlfn.IFS('Prepare Gantt Chart'!AB100=16,'Project types'!$L101,'Prepare Gantt Chart'!AB100=15,'Project types'!$L101,'Prepare Gantt Chart'!AB100=0,0)</f>
        <v>0</v>
      </c>
      <c r="AQ111" s="83">
        <f>_xlfn.IFS('Prepare Gantt Chart'!AC100=16,'Project types'!$L101,'Prepare Gantt Chart'!AC100=15,'Project types'!$L101,'Prepare Gantt Chart'!AC100=0,0)</f>
        <v>0</v>
      </c>
      <c r="AR111" s="83">
        <f>_xlfn.IFS('Prepare Gantt Chart'!AD100=16,'Project types'!$L101,'Prepare Gantt Chart'!AD100=15,'Project types'!$L101,'Prepare Gantt Chart'!AD100=0,0)</f>
        <v>0</v>
      </c>
      <c r="AS111" s="83">
        <f>_xlfn.IFS('Prepare Gantt Chart'!AE100=16,'Project types'!$L101,'Prepare Gantt Chart'!AE100=15,'Project types'!$L101,'Prepare Gantt Chart'!AE100=0,0)</f>
        <v>0</v>
      </c>
      <c r="AT111" s="83">
        <f>_xlfn.IFS('Prepare Gantt Chart'!AF100=16,'Project types'!$L101,'Prepare Gantt Chart'!AF100=15,'Project types'!$L101,'Prepare Gantt Chart'!AF100=0,0)</f>
        <v>0</v>
      </c>
      <c r="AU111" s="83">
        <f>_xlfn.IFS('Prepare Gantt Chart'!AG100=16,'Project types'!$L101,'Prepare Gantt Chart'!AG100=15,'Project types'!$L101,'Prepare Gantt Chart'!AG100=0,0)</f>
        <v>0</v>
      </c>
      <c r="AV111" s="83">
        <f>_xlfn.IFS('Prepare Gantt Chart'!AH100=16,'Project types'!$L101,'Prepare Gantt Chart'!AH100=15,'Project types'!$L101,'Prepare Gantt Chart'!AH100=0,0)</f>
        <v>0</v>
      </c>
      <c r="AW111" s="83">
        <f>_xlfn.IFS('Prepare Gantt Chart'!AI100=16,'Project types'!$L101,'Prepare Gantt Chart'!AI100=15,'Project types'!$L101,'Prepare Gantt Chart'!AI100=0,0)</f>
        <v>0</v>
      </c>
      <c r="AX111" s="83">
        <f>_xlfn.IFS('Prepare Gantt Chart'!AJ100=16,'Project types'!$L101,'Prepare Gantt Chart'!AJ100=15,'Project types'!$L101,'Prepare Gantt Chart'!AJ100=0,0)</f>
        <v>0</v>
      </c>
      <c r="AY111" s="83">
        <f>_xlfn.IFS('Prepare Gantt Chart'!AK100=16,'Project types'!$L101,'Prepare Gantt Chart'!AK100=15,'Project types'!$L101,'Prepare Gantt Chart'!AK100=0,0)</f>
        <v>0</v>
      </c>
      <c r="AZ111" s="83">
        <f>_xlfn.IFS('Prepare Gantt Chart'!AL100=16,'Project types'!$L101,'Prepare Gantt Chart'!AL100=15,'Project types'!$L101,'Prepare Gantt Chart'!AL100=0,0)</f>
        <v>0</v>
      </c>
      <c r="BA111" s="83">
        <f>_xlfn.IFS('Prepare Gantt Chart'!AM100=16,'Project types'!$L101,'Prepare Gantt Chart'!AM100=15,'Project types'!$L101,'Prepare Gantt Chart'!AM100=0,0)</f>
        <v>0</v>
      </c>
      <c r="BB111" s="83">
        <f>_xlfn.IFS('Prepare Gantt Chart'!AN100=16,'Project types'!$L101,'Prepare Gantt Chart'!AN100=15,'Project types'!$L101,'Prepare Gantt Chart'!AN100=0,0)</f>
        <v>0</v>
      </c>
      <c r="BC111" s="83">
        <f>_xlfn.IFS('Prepare Gantt Chart'!AO100=16,'Project types'!$L101,'Prepare Gantt Chart'!AO100=15,'Project types'!$L101,'Prepare Gantt Chart'!AO100=0,0)</f>
        <v>0</v>
      </c>
      <c r="BD111" s="91">
        <f t="shared" si="3"/>
        <v>0</v>
      </c>
    </row>
    <row r="112" spans="1:87" ht="16" thickBot="1" x14ac:dyDescent="0.25">
      <c r="A112" s="8" t="s">
        <v>118</v>
      </c>
      <c r="B112" s="40" t="s">
        <v>415</v>
      </c>
      <c r="C112" s="89">
        <f>_xlfn.IFS('Prepare Gantt Chart'!P101=16,'Project types'!$O102,'Prepare Gantt Chart'!P101=15,'Project types'!$Q102,'Prepare Gantt Chart'!P101=0,0)</f>
        <v>0</v>
      </c>
      <c r="D112" s="89">
        <f>_xlfn.IFS('Prepare Gantt Chart'!Q101=16,'Project types'!$O102,'Prepare Gantt Chart'!Q101=15,'Project types'!$Q102,'Prepare Gantt Chart'!Q101=0,0)</f>
        <v>0</v>
      </c>
      <c r="E112" s="89">
        <f>_xlfn.IFS('Prepare Gantt Chart'!R101=16,'Project types'!$O102,'Prepare Gantt Chart'!R101=15,'Project types'!$Q102,'Prepare Gantt Chart'!R101=0,0)</f>
        <v>0</v>
      </c>
      <c r="F112" s="89">
        <f>_xlfn.IFS('Prepare Gantt Chart'!S101=16,'Project types'!$O102,'Prepare Gantt Chart'!S101=15,'Project types'!$Q102,'Prepare Gantt Chart'!S101=0,0)</f>
        <v>0</v>
      </c>
      <c r="G112" s="89">
        <f>_xlfn.IFS('Prepare Gantt Chart'!T101=16,'Project types'!$O102,'Prepare Gantt Chart'!T101=15,'Project types'!$Q102,'Prepare Gantt Chart'!T101=0,0)</f>
        <v>0</v>
      </c>
      <c r="H112" s="89">
        <f>_xlfn.IFS('Prepare Gantt Chart'!U101=16,'Project types'!$O102,'Prepare Gantt Chart'!U101=15,'Project types'!$Q102,'Prepare Gantt Chart'!U101=0,0)</f>
        <v>0</v>
      </c>
      <c r="I112" s="89">
        <f>_xlfn.IFS('Prepare Gantt Chart'!V101=16,'Project types'!$O102,'Prepare Gantt Chart'!V101=15,'Project types'!$Q102,'Prepare Gantt Chart'!V101=0,0)</f>
        <v>0</v>
      </c>
      <c r="J112" s="89">
        <f>_xlfn.IFS('Prepare Gantt Chart'!W101=16,'Project types'!$O102,'Prepare Gantt Chart'!W101=15,'Project types'!$Q102,'Prepare Gantt Chart'!W101=0,0)</f>
        <v>0</v>
      </c>
      <c r="K112" s="89">
        <f>_xlfn.IFS('Prepare Gantt Chart'!X101=16,'Project types'!$O102,'Prepare Gantt Chart'!X101=15,'Project types'!$Q102,'Prepare Gantt Chart'!X101=0,0)</f>
        <v>0</v>
      </c>
      <c r="L112" s="89">
        <f>_xlfn.IFS('Prepare Gantt Chart'!Y101=16,'Project types'!$O102,'Prepare Gantt Chart'!Y101=15,'Project types'!$Q102,'Prepare Gantt Chart'!Y101=0,0)</f>
        <v>0</v>
      </c>
      <c r="M112" s="89">
        <f>_xlfn.IFS('Prepare Gantt Chart'!Z101=16,'Project types'!$O102,'Prepare Gantt Chart'!Z101=15,'Project types'!$Q102,'Prepare Gantt Chart'!Z101=0,0)</f>
        <v>0</v>
      </c>
      <c r="N112" s="89">
        <f>_xlfn.IFS('Prepare Gantt Chart'!AA101=16,'Project types'!$O102,'Prepare Gantt Chart'!AA101=15,'Project types'!$Q102,'Prepare Gantt Chart'!AA101=0,0)</f>
        <v>0</v>
      </c>
      <c r="O112" s="89">
        <f>_xlfn.IFS('Prepare Gantt Chart'!AB101=16,'Project types'!$O102,'Prepare Gantt Chart'!AB101=15,'Project types'!$Q102,'Prepare Gantt Chart'!AB101=0,0)</f>
        <v>0</v>
      </c>
      <c r="P112" s="89">
        <f>_xlfn.IFS('Prepare Gantt Chart'!AC101=16,'Project types'!$O102,'Prepare Gantt Chart'!AC101=15,'Project types'!$Q102,'Prepare Gantt Chart'!AC101=0,0)</f>
        <v>0</v>
      </c>
      <c r="Q112" s="89">
        <f>_xlfn.IFS('Prepare Gantt Chart'!AD101=16,'Project types'!$O102,'Prepare Gantt Chart'!AD101=15,'Project types'!$Q102,'Prepare Gantt Chart'!AD101=0,0)</f>
        <v>0</v>
      </c>
      <c r="R112" s="89">
        <f>_xlfn.IFS('Prepare Gantt Chart'!AE101=16,'Project types'!$O102,'Prepare Gantt Chart'!AE101=15,'Project types'!$Q102,'Prepare Gantt Chart'!AE101=0,0)</f>
        <v>0</v>
      </c>
      <c r="S112" s="89">
        <f>_xlfn.IFS('Prepare Gantt Chart'!AF101=16,'Project types'!$O102,'Prepare Gantt Chart'!AF101=15,'Project types'!$Q102,'Prepare Gantt Chart'!AF101=0,0)</f>
        <v>0</v>
      </c>
      <c r="T112" s="89">
        <f>_xlfn.IFS('Prepare Gantt Chart'!AG101=16,'Project types'!$O102,'Prepare Gantt Chart'!AG101=15,'Project types'!$Q102,'Prepare Gantt Chart'!AG101=0,0)</f>
        <v>0</v>
      </c>
      <c r="U112" s="89">
        <f>_xlfn.IFS('Prepare Gantt Chart'!AH101=16,'Project types'!$O102,'Prepare Gantt Chart'!AH101=15,'Project types'!$Q102,'Prepare Gantt Chart'!AH101=0,0)</f>
        <v>0</v>
      </c>
      <c r="V112" s="89">
        <f>_xlfn.IFS('Prepare Gantt Chart'!AI101=16,'Project types'!$O102,'Prepare Gantt Chart'!AI101=15,'Project types'!$Q102,'Prepare Gantt Chart'!AI101=0,0)</f>
        <v>0</v>
      </c>
      <c r="W112" s="89">
        <f>_xlfn.IFS('Prepare Gantt Chart'!AJ101=16,'Project types'!$O102,'Prepare Gantt Chart'!AJ101=15,'Project types'!$Q102,'Prepare Gantt Chart'!AJ101=0,0)</f>
        <v>0</v>
      </c>
      <c r="X112" s="89">
        <f>_xlfn.IFS('Prepare Gantt Chart'!AK101=16,'Project types'!$O102,'Prepare Gantt Chart'!AK101=15,'Project types'!$Q102,'Prepare Gantt Chart'!AK101=0,0)</f>
        <v>0</v>
      </c>
      <c r="Y112" s="89">
        <f>_xlfn.IFS('Prepare Gantt Chart'!AL101=16,'Project types'!$O102,'Prepare Gantt Chart'!AL101=15,'Project types'!$Q102,'Prepare Gantt Chart'!AL101=0,0)</f>
        <v>0</v>
      </c>
      <c r="Z112" s="89">
        <f>_xlfn.IFS('Prepare Gantt Chart'!AM101=16,'Project types'!$O102,'Prepare Gantt Chart'!AM101=15,'Project types'!$Q102,'Prepare Gantt Chart'!AM101=0,0)</f>
        <v>0</v>
      </c>
      <c r="AA112" s="89">
        <f>_xlfn.IFS('Prepare Gantt Chart'!AN101=16,'Project types'!$O102,'Prepare Gantt Chart'!AN101=15,'Project types'!$Q102,'Prepare Gantt Chart'!AN101=0,0)</f>
        <v>0</v>
      </c>
      <c r="AB112" s="89">
        <f>_xlfn.IFS('Prepare Gantt Chart'!AO101=16,'Project types'!$O102,'Prepare Gantt Chart'!AO101=15,'Project types'!$Q102,'Prepare Gantt Chart'!AO101=0,0)</f>
        <v>0</v>
      </c>
      <c r="AC112" s="94">
        <f t="shared" si="2"/>
        <v>0</v>
      </c>
      <c r="AD112" s="90">
        <f>_xlfn.IFS('Prepare Gantt Chart'!P101=16,'Project types'!$L102,'Prepare Gantt Chart'!P101=15,'Project types'!$L102,'Prepare Gantt Chart'!P101=0,0)</f>
        <v>0</v>
      </c>
      <c r="AE112" s="89">
        <f>_xlfn.IFS('Prepare Gantt Chart'!Q101=16,'Project types'!$L102,'Prepare Gantt Chart'!Q101=15,'Project types'!$L102,'Prepare Gantt Chart'!Q101=0,0)</f>
        <v>0</v>
      </c>
      <c r="AF112" s="89">
        <f>_xlfn.IFS('Prepare Gantt Chart'!R101=16,'Project types'!$L102,'Prepare Gantt Chart'!R101=15,'Project types'!$L102,'Prepare Gantt Chart'!R101=0,0)</f>
        <v>0</v>
      </c>
      <c r="AG112" s="89">
        <f>_xlfn.IFS('Prepare Gantt Chart'!S101=16,'Project types'!$L102,'Prepare Gantt Chart'!S101=15,'Project types'!$L102,'Prepare Gantt Chart'!S101=0,0)</f>
        <v>0</v>
      </c>
      <c r="AH112" s="89">
        <f>_xlfn.IFS('Prepare Gantt Chart'!T101=16,'Project types'!$L102,'Prepare Gantt Chart'!T101=15,'Project types'!$L102,'Prepare Gantt Chart'!T101=0,0)</f>
        <v>0</v>
      </c>
      <c r="AI112" s="89">
        <f>_xlfn.IFS('Prepare Gantt Chart'!U101=16,'Project types'!$L102,'Prepare Gantt Chart'!U101=15,'Project types'!$L102,'Prepare Gantt Chart'!U101=0,0)</f>
        <v>0</v>
      </c>
      <c r="AJ112" s="89">
        <f>_xlfn.IFS('Prepare Gantt Chart'!V101=16,'Project types'!$L102,'Prepare Gantt Chart'!V101=15,'Project types'!$L102,'Prepare Gantt Chart'!V101=0,0)</f>
        <v>0</v>
      </c>
      <c r="AK112" s="89">
        <f>_xlfn.IFS('Prepare Gantt Chart'!W101=16,'Project types'!$L102,'Prepare Gantt Chart'!W101=15,'Project types'!$L102,'Prepare Gantt Chart'!W101=0,0)</f>
        <v>0</v>
      </c>
      <c r="AL112" s="89">
        <f>_xlfn.IFS('Prepare Gantt Chart'!X101=16,'Project types'!$L102,'Prepare Gantt Chart'!X101=15,'Project types'!$L102,'Prepare Gantt Chart'!X101=0,0)</f>
        <v>0</v>
      </c>
      <c r="AM112" s="89">
        <f>_xlfn.IFS('Prepare Gantt Chart'!Y101=16,'Project types'!$L102,'Prepare Gantt Chart'!Y101=15,'Project types'!$L102,'Prepare Gantt Chart'!Y101=0,0)</f>
        <v>0</v>
      </c>
      <c r="AN112" s="89">
        <f>_xlfn.IFS('Prepare Gantt Chart'!Z101=16,'Project types'!$L102,'Prepare Gantt Chart'!Z101=15,'Project types'!$L102,'Prepare Gantt Chart'!Z101=0,0)</f>
        <v>0</v>
      </c>
      <c r="AO112" s="89">
        <f>_xlfn.IFS('Prepare Gantt Chart'!AA101=16,'Project types'!$L102,'Prepare Gantt Chart'!AA101=15,'Project types'!$L102,'Prepare Gantt Chart'!AA101=0,0)</f>
        <v>0</v>
      </c>
      <c r="AP112" s="89">
        <f>_xlfn.IFS('Prepare Gantt Chart'!AB101=16,'Project types'!$L102,'Prepare Gantt Chart'!AB101=15,'Project types'!$L102,'Prepare Gantt Chart'!AB101=0,0)</f>
        <v>0</v>
      </c>
      <c r="AQ112" s="89">
        <f>_xlfn.IFS('Prepare Gantt Chart'!AC101=16,'Project types'!$L102,'Prepare Gantt Chart'!AC101=15,'Project types'!$L102,'Prepare Gantt Chart'!AC101=0,0)</f>
        <v>0</v>
      </c>
      <c r="AR112" s="89">
        <f>_xlfn.IFS('Prepare Gantt Chart'!AD101=16,'Project types'!$L102,'Prepare Gantt Chart'!AD101=15,'Project types'!$L102,'Prepare Gantt Chart'!AD101=0,0)</f>
        <v>0</v>
      </c>
      <c r="AS112" s="89">
        <f>_xlfn.IFS('Prepare Gantt Chart'!AE101=16,'Project types'!$L102,'Prepare Gantt Chart'!AE101=15,'Project types'!$L102,'Prepare Gantt Chart'!AE101=0,0)</f>
        <v>0</v>
      </c>
      <c r="AT112" s="89">
        <f>_xlfn.IFS('Prepare Gantt Chart'!AF101=16,'Project types'!$L102,'Prepare Gantt Chart'!AF101=15,'Project types'!$L102,'Prepare Gantt Chart'!AF101=0,0)</f>
        <v>0</v>
      </c>
      <c r="AU112" s="89">
        <f>_xlfn.IFS('Prepare Gantt Chart'!AG101=16,'Project types'!$L102,'Prepare Gantt Chart'!AG101=15,'Project types'!$L102,'Prepare Gantt Chart'!AG101=0,0)</f>
        <v>0</v>
      </c>
      <c r="AV112" s="89">
        <f>_xlfn.IFS('Prepare Gantt Chart'!AH101=16,'Project types'!$L102,'Prepare Gantt Chart'!AH101=15,'Project types'!$L102,'Prepare Gantt Chart'!AH101=0,0)</f>
        <v>0</v>
      </c>
      <c r="AW112" s="89">
        <f>_xlfn.IFS('Prepare Gantt Chart'!AI101=16,'Project types'!$L102,'Prepare Gantt Chart'!AI101=15,'Project types'!$L102,'Prepare Gantt Chart'!AI101=0,0)</f>
        <v>0</v>
      </c>
      <c r="AX112" s="89">
        <f>_xlfn.IFS('Prepare Gantt Chart'!AJ101=16,'Project types'!$L102,'Prepare Gantt Chart'!AJ101=15,'Project types'!$L102,'Prepare Gantt Chart'!AJ101=0,0)</f>
        <v>0</v>
      </c>
      <c r="AY112" s="89">
        <f>_xlfn.IFS('Prepare Gantt Chart'!AK101=16,'Project types'!$L102,'Prepare Gantt Chart'!AK101=15,'Project types'!$L102,'Prepare Gantt Chart'!AK101=0,0)</f>
        <v>0</v>
      </c>
      <c r="AZ112" s="89">
        <f>_xlfn.IFS('Prepare Gantt Chart'!AL101=16,'Project types'!$L102,'Prepare Gantt Chart'!AL101=15,'Project types'!$L102,'Prepare Gantt Chart'!AL101=0,0)</f>
        <v>0</v>
      </c>
      <c r="BA112" s="89">
        <f>_xlfn.IFS('Prepare Gantt Chart'!AM101=16,'Project types'!$L102,'Prepare Gantt Chart'!AM101=15,'Project types'!$L102,'Prepare Gantt Chart'!AM101=0,0)</f>
        <v>0</v>
      </c>
      <c r="BB112" s="89">
        <f>_xlfn.IFS('Prepare Gantt Chart'!AN101=16,'Project types'!$L102,'Prepare Gantt Chart'!AN101=15,'Project types'!$L102,'Prepare Gantt Chart'!AN101=0,0)</f>
        <v>0</v>
      </c>
      <c r="BC112" s="89">
        <f>_xlfn.IFS('Prepare Gantt Chart'!AO101=16,'Project types'!$L102,'Prepare Gantt Chart'!AO101=15,'Project types'!$L102,'Prepare Gantt Chart'!AO101=0,0)</f>
        <v>0</v>
      </c>
      <c r="BD112" s="92">
        <f t="shared" si="3"/>
        <v>0</v>
      </c>
    </row>
    <row r="113" spans="1:56" x14ac:dyDescent="0.2">
      <c r="A113" s="1" t="s">
        <v>160</v>
      </c>
      <c r="B113" s="41" t="s">
        <v>94</v>
      </c>
      <c r="C113" s="83">
        <f>_xlfn.IFS('Prepare Gantt Chart'!P102=18,'Project types'!$O103,'Prepare Gantt Chart'!P102=17,'Project types'!$Q103,'Prepare Gantt Chart'!P102=0,0)</f>
        <v>0</v>
      </c>
      <c r="D113" s="83">
        <f>_xlfn.IFS('Prepare Gantt Chart'!Q102=18,'Project types'!$O103,'Prepare Gantt Chart'!Q102=17,'Project types'!$Q103,'Prepare Gantt Chart'!Q102=0,0)</f>
        <v>0</v>
      </c>
      <c r="E113" s="83">
        <f>_xlfn.IFS('Prepare Gantt Chart'!R102=18,'Project types'!$O103,'Prepare Gantt Chart'!R102=17,'Project types'!$Q103,'Prepare Gantt Chart'!R102=0,0)</f>
        <v>0</v>
      </c>
      <c r="F113" s="83">
        <f>_xlfn.IFS('Prepare Gantt Chart'!S102=18,'Project types'!$O103,'Prepare Gantt Chart'!S102=17,'Project types'!$Q103,'Prepare Gantt Chart'!S102=0,0)</f>
        <v>0</v>
      </c>
      <c r="G113" s="83">
        <f>_xlfn.IFS('Prepare Gantt Chart'!T102=18,'Project types'!$O103,'Prepare Gantt Chart'!T102=17,'Project types'!$Q103,'Prepare Gantt Chart'!T102=0,0)</f>
        <v>0</v>
      </c>
      <c r="H113" s="83">
        <f>_xlfn.IFS('Prepare Gantt Chart'!U102=18,'Project types'!$O103,'Prepare Gantt Chart'!U102=17,'Project types'!$Q103,'Prepare Gantt Chart'!U102=0,0)</f>
        <v>0</v>
      </c>
      <c r="I113" s="83">
        <f>_xlfn.IFS('Prepare Gantt Chart'!V102=18,'Project types'!$O103,'Prepare Gantt Chart'!V102=17,'Project types'!$Q103,'Prepare Gantt Chart'!V102=0,0)</f>
        <v>0</v>
      </c>
      <c r="J113" s="83">
        <f>_xlfn.IFS('Prepare Gantt Chart'!W102=18,'Project types'!$O103,'Prepare Gantt Chart'!W102=17,'Project types'!$Q103,'Prepare Gantt Chart'!W102=0,0)</f>
        <v>0</v>
      </c>
      <c r="K113" s="83">
        <f>_xlfn.IFS('Prepare Gantt Chart'!X102=18,'Project types'!$O103,'Prepare Gantt Chart'!X102=17,'Project types'!$Q103,'Prepare Gantt Chart'!X102=0,0)</f>
        <v>0</v>
      </c>
      <c r="L113" s="83">
        <f>_xlfn.IFS('Prepare Gantt Chart'!Y102=18,'Project types'!$O103,'Prepare Gantt Chart'!Y102=17,'Project types'!$Q103,'Prepare Gantt Chart'!Y102=0,0)</f>
        <v>0</v>
      </c>
      <c r="M113" s="83">
        <f>_xlfn.IFS('Prepare Gantt Chart'!Z102=18,'Project types'!$O103,'Prepare Gantt Chart'!Z102=17,'Project types'!$Q103,'Prepare Gantt Chart'!Z102=0,0)</f>
        <v>0</v>
      </c>
      <c r="N113" s="83">
        <f>_xlfn.IFS('Prepare Gantt Chart'!AA102=18,'Project types'!$O103,'Prepare Gantt Chart'!AA102=17,'Project types'!$Q103,'Prepare Gantt Chart'!AA102=0,0)</f>
        <v>0</v>
      </c>
      <c r="O113" s="83">
        <f>_xlfn.IFS('Prepare Gantt Chart'!AB102=18,'Project types'!$O103,'Prepare Gantt Chart'!AB102=17,'Project types'!$Q103,'Prepare Gantt Chart'!AB102=0,0)</f>
        <v>0</v>
      </c>
      <c r="P113" s="83">
        <f>_xlfn.IFS('Prepare Gantt Chart'!AC102=18,'Project types'!$O103,'Prepare Gantt Chart'!AC102=17,'Project types'!$Q103,'Prepare Gantt Chart'!AC102=0,0)</f>
        <v>0</v>
      </c>
      <c r="Q113" s="83">
        <f>_xlfn.IFS('Prepare Gantt Chart'!AD102=18,'Project types'!$O103,'Prepare Gantt Chart'!AD102=17,'Project types'!$Q103,'Prepare Gantt Chart'!AD102=0,0)</f>
        <v>0</v>
      </c>
      <c r="R113" s="83">
        <f>_xlfn.IFS('Prepare Gantt Chart'!AE102=18,'Project types'!$O103,'Prepare Gantt Chart'!AE102=17,'Project types'!$Q103,'Prepare Gantt Chart'!AE102=0,0)</f>
        <v>0</v>
      </c>
      <c r="S113" s="83">
        <f>_xlfn.IFS('Prepare Gantt Chart'!AF102=18,'Project types'!$O103,'Prepare Gantt Chart'!AF102=17,'Project types'!$Q103,'Prepare Gantt Chart'!AF102=0,0)</f>
        <v>0</v>
      </c>
      <c r="T113" s="83">
        <f>_xlfn.IFS('Prepare Gantt Chart'!AG102=18,'Project types'!$O103,'Prepare Gantt Chart'!AG102=17,'Project types'!$Q103,'Prepare Gantt Chart'!AG102=0,0)</f>
        <v>0</v>
      </c>
      <c r="U113" s="83">
        <f>_xlfn.IFS('Prepare Gantt Chart'!AH102=18,'Project types'!$O103,'Prepare Gantt Chart'!AH102=17,'Project types'!$Q103,'Prepare Gantt Chart'!AH102=0,0)</f>
        <v>0</v>
      </c>
      <c r="V113" s="83">
        <f>_xlfn.IFS('Prepare Gantt Chart'!AI102=18,'Project types'!$O103,'Prepare Gantt Chart'!AI102=17,'Project types'!$Q103,'Prepare Gantt Chart'!AI102=0,0)</f>
        <v>0</v>
      </c>
      <c r="W113" s="83">
        <f>_xlfn.IFS('Prepare Gantt Chart'!AJ102=18,'Project types'!$O103,'Prepare Gantt Chart'!AJ102=17,'Project types'!$Q103,'Prepare Gantt Chart'!AJ102=0,0)</f>
        <v>0</v>
      </c>
      <c r="X113" s="83">
        <f>_xlfn.IFS('Prepare Gantt Chart'!AK102=18,'Project types'!$O103,'Prepare Gantt Chart'!AK102=17,'Project types'!$Q103,'Prepare Gantt Chart'!AK102=0,0)</f>
        <v>0</v>
      </c>
      <c r="Y113" s="83">
        <f>_xlfn.IFS('Prepare Gantt Chart'!AL102=18,'Project types'!$O103,'Prepare Gantt Chart'!AL102=17,'Project types'!$Q103,'Prepare Gantt Chart'!AL102=0,0)</f>
        <v>0</v>
      </c>
      <c r="Z113" s="83">
        <f>_xlfn.IFS('Prepare Gantt Chart'!AM102=18,'Project types'!$O103,'Prepare Gantt Chart'!AM102=17,'Project types'!$Q103,'Prepare Gantt Chart'!AM102=0,0)</f>
        <v>0</v>
      </c>
      <c r="AA113" s="83">
        <f>_xlfn.IFS('Prepare Gantt Chart'!AN102=18,'Project types'!$O103,'Prepare Gantt Chart'!AN102=17,'Project types'!$Q103,'Prepare Gantt Chart'!AN102=0,0)</f>
        <v>0</v>
      </c>
      <c r="AB113" s="83">
        <f>_xlfn.IFS('Prepare Gantt Chart'!AO102=18,'Project types'!$O103,'Prepare Gantt Chart'!AO102=17,'Project types'!$Q103,'Prepare Gantt Chart'!AO102=0,0)</f>
        <v>0</v>
      </c>
      <c r="AC113" s="93">
        <f t="shared" si="2"/>
        <v>0</v>
      </c>
      <c r="AD113" s="86">
        <f>_xlfn.IFS('Prepare Gantt Chart'!P102=18,'Project types'!$L103,'Prepare Gantt Chart'!P102=17,'Project types'!$L103,'Prepare Gantt Chart'!P102=0,0)</f>
        <v>0</v>
      </c>
      <c r="AE113" s="83">
        <f>_xlfn.IFS('Prepare Gantt Chart'!Q102=18,'Project types'!$L103,'Prepare Gantt Chart'!Q102=17,'Project types'!$L103,'Prepare Gantt Chart'!Q102=0,0)</f>
        <v>0</v>
      </c>
      <c r="AF113" s="83">
        <f>_xlfn.IFS('Prepare Gantt Chart'!R102=18,'Project types'!$L103,'Prepare Gantt Chart'!R102=17,'Project types'!$L103,'Prepare Gantt Chart'!R102=0,0)</f>
        <v>0</v>
      </c>
      <c r="AG113" s="83">
        <f>_xlfn.IFS('Prepare Gantt Chart'!S102=18,'Project types'!$L103,'Prepare Gantt Chart'!S102=17,'Project types'!$L103,'Prepare Gantt Chart'!S102=0,0)</f>
        <v>0</v>
      </c>
      <c r="AH113" s="83">
        <f>_xlfn.IFS('Prepare Gantt Chart'!T102=18,'Project types'!$L103,'Prepare Gantt Chart'!T102=17,'Project types'!$L103,'Prepare Gantt Chart'!T102=0,0)</f>
        <v>0</v>
      </c>
      <c r="AI113" s="83">
        <f>_xlfn.IFS('Prepare Gantt Chart'!U102=18,'Project types'!$L103,'Prepare Gantt Chart'!U102=17,'Project types'!$L103,'Prepare Gantt Chart'!U102=0,0)</f>
        <v>0</v>
      </c>
      <c r="AJ113" s="83">
        <f>_xlfn.IFS('Prepare Gantt Chart'!V102=18,'Project types'!$L103,'Prepare Gantt Chart'!V102=17,'Project types'!$L103,'Prepare Gantt Chart'!V102=0,0)</f>
        <v>0</v>
      </c>
      <c r="AK113" s="83">
        <f>_xlfn.IFS('Prepare Gantt Chart'!W102=18,'Project types'!$L103,'Prepare Gantt Chart'!W102=17,'Project types'!$L103,'Prepare Gantt Chart'!W102=0,0)</f>
        <v>0</v>
      </c>
      <c r="AL113" s="83">
        <f>_xlfn.IFS('Prepare Gantt Chart'!X102=18,'Project types'!$L103,'Prepare Gantt Chart'!X102=17,'Project types'!$L103,'Prepare Gantt Chart'!X102=0,0)</f>
        <v>0</v>
      </c>
      <c r="AM113" s="83">
        <f>_xlfn.IFS('Prepare Gantt Chart'!Y102=18,'Project types'!$L103,'Prepare Gantt Chart'!Y102=17,'Project types'!$L103,'Prepare Gantt Chart'!Y102=0,0)</f>
        <v>0</v>
      </c>
      <c r="AN113" s="83">
        <f>_xlfn.IFS('Prepare Gantt Chart'!Z102=18,'Project types'!$L103,'Prepare Gantt Chart'!Z102=17,'Project types'!$L103,'Prepare Gantt Chart'!Z102=0,0)</f>
        <v>0</v>
      </c>
      <c r="AO113" s="83">
        <f>_xlfn.IFS('Prepare Gantt Chart'!AA102=18,'Project types'!$L103,'Prepare Gantt Chart'!AA102=17,'Project types'!$L103,'Prepare Gantt Chart'!AA102=0,0)</f>
        <v>0</v>
      </c>
      <c r="AP113" s="83">
        <f>_xlfn.IFS('Prepare Gantt Chart'!AB102=18,'Project types'!$L103,'Prepare Gantt Chart'!AB102=17,'Project types'!$L103,'Prepare Gantt Chart'!AB102=0,0)</f>
        <v>0</v>
      </c>
      <c r="AQ113" s="83">
        <f>_xlfn.IFS('Prepare Gantt Chart'!AC102=18,'Project types'!$L103,'Prepare Gantt Chart'!AC102=17,'Project types'!$L103,'Prepare Gantt Chart'!AC102=0,0)</f>
        <v>0</v>
      </c>
      <c r="AR113" s="83">
        <f>_xlfn.IFS('Prepare Gantt Chart'!AD102=18,'Project types'!$L103,'Prepare Gantt Chart'!AD102=17,'Project types'!$L103,'Prepare Gantt Chart'!AD102=0,0)</f>
        <v>0</v>
      </c>
      <c r="AS113" s="83">
        <f>_xlfn.IFS('Prepare Gantt Chart'!AE102=18,'Project types'!$L103,'Prepare Gantt Chart'!AE102=17,'Project types'!$L103,'Prepare Gantt Chart'!AE102=0,0)</f>
        <v>0</v>
      </c>
      <c r="AT113" s="83">
        <f>_xlfn.IFS('Prepare Gantt Chart'!AF102=18,'Project types'!$L103,'Prepare Gantt Chart'!AF102=17,'Project types'!$L103,'Prepare Gantt Chart'!AF102=0,0)</f>
        <v>0</v>
      </c>
      <c r="AU113" s="83">
        <f>_xlfn.IFS('Prepare Gantt Chart'!AG102=18,'Project types'!$L103,'Prepare Gantt Chart'!AG102=17,'Project types'!$L103,'Prepare Gantt Chart'!AG102=0,0)</f>
        <v>0</v>
      </c>
      <c r="AV113" s="83">
        <f>_xlfn.IFS('Prepare Gantt Chart'!AH102=18,'Project types'!$L103,'Prepare Gantt Chart'!AH102=17,'Project types'!$L103,'Prepare Gantt Chart'!AH102=0,0)</f>
        <v>0</v>
      </c>
      <c r="AW113" s="83">
        <f>_xlfn.IFS('Prepare Gantt Chart'!AI102=18,'Project types'!$L103,'Prepare Gantt Chart'!AI102=17,'Project types'!$L103,'Prepare Gantt Chart'!AI102=0,0)</f>
        <v>0</v>
      </c>
      <c r="AX113" s="83">
        <f>_xlfn.IFS('Prepare Gantt Chart'!AJ102=18,'Project types'!$L103,'Prepare Gantt Chart'!AJ102=17,'Project types'!$L103,'Prepare Gantt Chart'!AJ102=0,0)</f>
        <v>0</v>
      </c>
      <c r="AY113" s="83">
        <f>_xlfn.IFS('Prepare Gantt Chart'!AK102=18,'Project types'!$L103,'Prepare Gantt Chart'!AK102=17,'Project types'!$L103,'Prepare Gantt Chart'!AK102=0,0)</f>
        <v>0</v>
      </c>
      <c r="AZ113" s="83">
        <f>_xlfn.IFS('Prepare Gantt Chart'!AL102=18,'Project types'!$L103,'Prepare Gantt Chart'!AL102=17,'Project types'!$L103,'Prepare Gantt Chart'!AL102=0,0)</f>
        <v>0</v>
      </c>
      <c r="BA113" s="83">
        <f>_xlfn.IFS('Prepare Gantt Chart'!AM102=18,'Project types'!$L103,'Prepare Gantt Chart'!AM102=17,'Project types'!$L103,'Prepare Gantt Chart'!AM102=0,0)</f>
        <v>0</v>
      </c>
      <c r="BB113" s="83">
        <f>_xlfn.IFS('Prepare Gantt Chart'!AN102=18,'Project types'!$L103,'Prepare Gantt Chart'!AN102=17,'Project types'!$L103,'Prepare Gantt Chart'!AN102=0,0)</f>
        <v>0</v>
      </c>
      <c r="BC113" s="83">
        <f>_xlfn.IFS('Prepare Gantt Chart'!AO102=18,'Project types'!$L103,'Prepare Gantt Chart'!AO102=17,'Project types'!$L103,'Prepare Gantt Chart'!AO102=0,0)</f>
        <v>0</v>
      </c>
      <c r="BD113" s="91">
        <f t="shared" si="3"/>
        <v>0</v>
      </c>
    </row>
    <row r="114" spans="1:56" x14ac:dyDescent="0.2">
      <c r="A114" s="1" t="s">
        <v>161</v>
      </c>
      <c r="B114" s="42" t="s">
        <v>95</v>
      </c>
      <c r="C114" s="83">
        <f>_xlfn.IFS('Prepare Gantt Chart'!P103=18,'Project types'!$O104,'Prepare Gantt Chart'!P103=17,'Project types'!$Q104,'Prepare Gantt Chart'!P103=0,0)</f>
        <v>0</v>
      </c>
      <c r="D114" s="83">
        <f>_xlfn.IFS('Prepare Gantt Chart'!Q103=18,'Project types'!$O104,'Prepare Gantt Chart'!Q103=17,'Project types'!$Q104,'Prepare Gantt Chart'!Q103=0,0)</f>
        <v>0</v>
      </c>
      <c r="E114" s="83">
        <f>_xlfn.IFS('Prepare Gantt Chart'!R103=18,'Project types'!$O104,'Prepare Gantt Chart'!R103=17,'Project types'!$Q104,'Prepare Gantt Chart'!R103=0,0)</f>
        <v>0</v>
      </c>
      <c r="F114" s="83">
        <f>_xlfn.IFS('Prepare Gantt Chart'!S103=18,'Project types'!$O104,'Prepare Gantt Chart'!S103=17,'Project types'!$Q104,'Prepare Gantt Chart'!S103=0,0)</f>
        <v>0</v>
      </c>
      <c r="G114" s="83">
        <f>_xlfn.IFS('Prepare Gantt Chart'!T103=18,'Project types'!$O104,'Prepare Gantt Chart'!T103=17,'Project types'!$Q104,'Prepare Gantt Chart'!T103=0,0)</f>
        <v>0</v>
      </c>
      <c r="H114" s="83">
        <f>_xlfn.IFS('Prepare Gantt Chart'!U103=18,'Project types'!$O104,'Prepare Gantt Chart'!U103=17,'Project types'!$Q104,'Prepare Gantt Chart'!U103=0,0)</f>
        <v>0</v>
      </c>
      <c r="I114" s="83">
        <f>_xlfn.IFS('Prepare Gantt Chart'!V103=18,'Project types'!$O104,'Prepare Gantt Chart'!V103=17,'Project types'!$Q104,'Prepare Gantt Chart'!V103=0,0)</f>
        <v>0</v>
      </c>
      <c r="J114" s="83">
        <f>_xlfn.IFS('Prepare Gantt Chart'!W103=18,'Project types'!$O104,'Prepare Gantt Chart'!W103=17,'Project types'!$Q104,'Prepare Gantt Chart'!W103=0,0)</f>
        <v>0</v>
      </c>
      <c r="K114" s="83">
        <f>_xlfn.IFS('Prepare Gantt Chart'!X103=18,'Project types'!$O104,'Prepare Gantt Chart'!X103=17,'Project types'!$Q104,'Prepare Gantt Chart'!X103=0,0)</f>
        <v>0</v>
      </c>
      <c r="L114" s="83">
        <f>_xlfn.IFS('Prepare Gantt Chart'!Y103=18,'Project types'!$O104,'Prepare Gantt Chart'!Y103=17,'Project types'!$Q104,'Prepare Gantt Chart'!Y103=0,0)</f>
        <v>0</v>
      </c>
      <c r="M114" s="83">
        <f>_xlfn.IFS('Prepare Gantt Chart'!Z103=18,'Project types'!$O104,'Prepare Gantt Chart'!Z103=17,'Project types'!$Q104,'Prepare Gantt Chart'!Z103=0,0)</f>
        <v>0</v>
      </c>
      <c r="N114" s="83">
        <f>_xlfn.IFS('Prepare Gantt Chart'!AA103=18,'Project types'!$O104,'Prepare Gantt Chart'!AA103=17,'Project types'!$Q104,'Prepare Gantt Chart'!AA103=0,0)</f>
        <v>0</v>
      </c>
      <c r="O114" s="83">
        <f>_xlfn.IFS('Prepare Gantt Chart'!AB103=18,'Project types'!$O104,'Prepare Gantt Chart'!AB103=17,'Project types'!$Q104,'Prepare Gantt Chart'!AB103=0,0)</f>
        <v>0</v>
      </c>
      <c r="P114" s="83">
        <f>_xlfn.IFS('Prepare Gantt Chart'!AC103=18,'Project types'!$O104,'Prepare Gantt Chart'!AC103=17,'Project types'!$Q104,'Prepare Gantt Chart'!AC103=0,0)</f>
        <v>0</v>
      </c>
      <c r="Q114" s="83">
        <f>_xlfn.IFS('Prepare Gantt Chart'!AD103=18,'Project types'!$O104,'Prepare Gantt Chart'!AD103=17,'Project types'!$Q104,'Prepare Gantt Chart'!AD103=0,0)</f>
        <v>0</v>
      </c>
      <c r="R114" s="83">
        <f>_xlfn.IFS('Prepare Gantt Chart'!AE103=18,'Project types'!$O104,'Prepare Gantt Chart'!AE103=17,'Project types'!$Q104,'Prepare Gantt Chart'!AE103=0,0)</f>
        <v>0</v>
      </c>
      <c r="S114" s="83">
        <f>_xlfn.IFS('Prepare Gantt Chart'!AF103=18,'Project types'!$O104,'Prepare Gantt Chart'!AF103=17,'Project types'!$Q104,'Prepare Gantt Chart'!AF103=0,0)</f>
        <v>0</v>
      </c>
      <c r="T114" s="83">
        <f>_xlfn.IFS('Prepare Gantt Chart'!AG103=18,'Project types'!$O104,'Prepare Gantt Chart'!AG103=17,'Project types'!$Q104,'Prepare Gantt Chart'!AG103=0,0)</f>
        <v>0</v>
      </c>
      <c r="U114" s="83">
        <f>_xlfn.IFS('Prepare Gantt Chart'!AH103=18,'Project types'!$O104,'Prepare Gantt Chart'!AH103=17,'Project types'!$Q104,'Prepare Gantt Chart'!AH103=0,0)</f>
        <v>0</v>
      </c>
      <c r="V114" s="83">
        <f>_xlfn.IFS('Prepare Gantt Chart'!AI103=18,'Project types'!$O104,'Prepare Gantt Chart'!AI103=17,'Project types'!$Q104,'Prepare Gantt Chart'!AI103=0,0)</f>
        <v>0</v>
      </c>
      <c r="W114" s="83">
        <f>_xlfn.IFS('Prepare Gantt Chart'!AJ103=18,'Project types'!$O104,'Prepare Gantt Chart'!AJ103=17,'Project types'!$Q104,'Prepare Gantt Chart'!AJ103=0,0)</f>
        <v>0</v>
      </c>
      <c r="X114" s="83">
        <f>_xlfn.IFS('Prepare Gantt Chart'!AK103=18,'Project types'!$O104,'Prepare Gantt Chart'!AK103=17,'Project types'!$Q104,'Prepare Gantt Chart'!AK103=0,0)</f>
        <v>0</v>
      </c>
      <c r="Y114" s="83">
        <f>_xlfn.IFS('Prepare Gantt Chart'!AL103=18,'Project types'!$O104,'Prepare Gantt Chart'!AL103=17,'Project types'!$Q104,'Prepare Gantt Chart'!AL103=0,0)</f>
        <v>0</v>
      </c>
      <c r="Z114" s="83">
        <f>_xlfn.IFS('Prepare Gantt Chart'!AM103=18,'Project types'!$O104,'Prepare Gantt Chart'!AM103=17,'Project types'!$Q104,'Prepare Gantt Chart'!AM103=0,0)</f>
        <v>0</v>
      </c>
      <c r="AA114" s="83">
        <f>_xlfn.IFS('Prepare Gantt Chart'!AN103=18,'Project types'!$O104,'Prepare Gantt Chart'!AN103=17,'Project types'!$Q104,'Prepare Gantt Chart'!AN103=0,0)</f>
        <v>0</v>
      </c>
      <c r="AB114" s="83">
        <f>_xlfn.IFS('Prepare Gantt Chart'!AO103=18,'Project types'!$O104,'Prepare Gantt Chart'!AO103=17,'Project types'!$Q104,'Prepare Gantt Chart'!AO103=0,0)</f>
        <v>0</v>
      </c>
      <c r="AC114" s="93">
        <f>SUM(C114:AB114)/COUNT(C114:AB114)</f>
        <v>0</v>
      </c>
      <c r="AD114" s="86">
        <f>_xlfn.IFS('Prepare Gantt Chart'!P103=18,'Project types'!$L104,'Prepare Gantt Chart'!P103=17,'Project types'!$L104,'Prepare Gantt Chart'!P103=0,0)</f>
        <v>0</v>
      </c>
      <c r="AE114" s="83">
        <f>_xlfn.IFS('Prepare Gantt Chart'!Q103=18,'Project types'!$L104,'Prepare Gantt Chart'!Q103=17,'Project types'!$L104,'Prepare Gantt Chart'!Q103=0,0)</f>
        <v>0</v>
      </c>
      <c r="AF114" s="83">
        <f>_xlfn.IFS('Prepare Gantt Chart'!R103=18,'Project types'!$L104,'Prepare Gantt Chart'!R103=17,'Project types'!$L104,'Prepare Gantt Chart'!R103=0,0)</f>
        <v>0</v>
      </c>
      <c r="AG114" s="83">
        <f>_xlfn.IFS('Prepare Gantt Chart'!S103=18,'Project types'!$L104,'Prepare Gantt Chart'!S103=17,'Project types'!$L104,'Prepare Gantt Chart'!S103=0,0)</f>
        <v>0</v>
      </c>
      <c r="AH114" s="83">
        <f>_xlfn.IFS('Prepare Gantt Chart'!T103=18,'Project types'!$L104,'Prepare Gantt Chart'!T103=17,'Project types'!$L104,'Prepare Gantt Chart'!T103=0,0)</f>
        <v>0</v>
      </c>
      <c r="AI114" s="83">
        <f>_xlfn.IFS('Prepare Gantt Chart'!U103=18,'Project types'!$L104,'Prepare Gantt Chart'!U103=17,'Project types'!$L104,'Prepare Gantt Chart'!U103=0,0)</f>
        <v>0</v>
      </c>
      <c r="AJ114" s="83">
        <f>_xlfn.IFS('Prepare Gantt Chart'!V103=18,'Project types'!$L104,'Prepare Gantt Chart'!V103=17,'Project types'!$L104,'Prepare Gantt Chart'!V103=0,0)</f>
        <v>0</v>
      </c>
      <c r="AK114" s="83">
        <f>_xlfn.IFS('Prepare Gantt Chart'!W103=18,'Project types'!$L104,'Prepare Gantt Chart'!W103=17,'Project types'!$L104,'Prepare Gantt Chart'!W103=0,0)</f>
        <v>0</v>
      </c>
      <c r="AL114" s="83">
        <f>_xlfn.IFS('Prepare Gantt Chart'!X103=18,'Project types'!$L104,'Prepare Gantt Chart'!X103=17,'Project types'!$L104,'Prepare Gantt Chart'!X103=0,0)</f>
        <v>0</v>
      </c>
      <c r="AM114" s="83">
        <f>_xlfn.IFS('Prepare Gantt Chart'!Y103=18,'Project types'!$L104,'Prepare Gantt Chart'!Y103=17,'Project types'!$L104,'Prepare Gantt Chart'!Y103=0,0)</f>
        <v>0</v>
      </c>
      <c r="AN114" s="83">
        <f>_xlfn.IFS('Prepare Gantt Chart'!Z103=18,'Project types'!$L104,'Prepare Gantt Chart'!Z103=17,'Project types'!$L104,'Prepare Gantt Chart'!Z103=0,0)</f>
        <v>0</v>
      </c>
      <c r="AO114" s="83">
        <f>_xlfn.IFS('Prepare Gantt Chart'!AA103=18,'Project types'!$L104,'Prepare Gantt Chart'!AA103=17,'Project types'!$L104,'Prepare Gantt Chart'!AA103=0,0)</f>
        <v>0</v>
      </c>
      <c r="AP114" s="83">
        <f>_xlfn.IFS('Prepare Gantt Chart'!AB103=18,'Project types'!$L104,'Prepare Gantt Chart'!AB103=17,'Project types'!$L104,'Prepare Gantt Chart'!AB103=0,0)</f>
        <v>0</v>
      </c>
      <c r="AQ114" s="83">
        <f>_xlfn.IFS('Prepare Gantt Chart'!AC103=18,'Project types'!$L104,'Prepare Gantt Chart'!AC103=17,'Project types'!$L104,'Prepare Gantt Chart'!AC103=0,0)</f>
        <v>0</v>
      </c>
      <c r="AR114" s="83">
        <f>_xlfn.IFS('Prepare Gantt Chart'!AD103=18,'Project types'!$L104,'Prepare Gantt Chart'!AD103=17,'Project types'!$L104,'Prepare Gantt Chart'!AD103=0,0)</f>
        <v>0</v>
      </c>
      <c r="AS114" s="83">
        <f>_xlfn.IFS('Prepare Gantt Chart'!AE103=18,'Project types'!$L104,'Prepare Gantt Chart'!AE103=17,'Project types'!$L104,'Prepare Gantt Chart'!AE103=0,0)</f>
        <v>0</v>
      </c>
      <c r="AT114" s="83">
        <f>_xlfn.IFS('Prepare Gantt Chart'!AF103=18,'Project types'!$L104,'Prepare Gantt Chart'!AF103=17,'Project types'!$L104,'Prepare Gantt Chart'!AF103=0,0)</f>
        <v>0</v>
      </c>
      <c r="AU114" s="83">
        <f>_xlfn.IFS('Prepare Gantt Chart'!AG103=18,'Project types'!$L104,'Prepare Gantt Chart'!AG103=17,'Project types'!$L104,'Prepare Gantt Chart'!AG103=0,0)</f>
        <v>0</v>
      </c>
      <c r="AV114" s="83">
        <f>_xlfn.IFS('Prepare Gantt Chart'!AH103=18,'Project types'!$L104,'Prepare Gantt Chart'!AH103=17,'Project types'!$L104,'Prepare Gantt Chart'!AH103=0,0)</f>
        <v>0</v>
      </c>
      <c r="AW114" s="83">
        <f>_xlfn.IFS('Prepare Gantt Chart'!AI103=18,'Project types'!$L104,'Prepare Gantt Chart'!AI103=17,'Project types'!$L104,'Prepare Gantt Chart'!AI103=0,0)</f>
        <v>0</v>
      </c>
      <c r="AX114" s="83">
        <f>_xlfn.IFS('Prepare Gantt Chart'!AJ103=18,'Project types'!$L104,'Prepare Gantt Chart'!AJ103=17,'Project types'!$L104,'Prepare Gantt Chart'!AJ103=0,0)</f>
        <v>0</v>
      </c>
      <c r="AY114" s="83">
        <f>_xlfn.IFS('Prepare Gantt Chart'!AK103=18,'Project types'!$L104,'Prepare Gantt Chart'!AK103=17,'Project types'!$L104,'Prepare Gantt Chart'!AK103=0,0)</f>
        <v>0</v>
      </c>
      <c r="AZ114" s="83">
        <f>_xlfn.IFS('Prepare Gantt Chart'!AL103=18,'Project types'!$L104,'Prepare Gantt Chart'!AL103=17,'Project types'!$L104,'Prepare Gantt Chart'!AL103=0,0)</f>
        <v>0</v>
      </c>
      <c r="BA114" s="83">
        <f>_xlfn.IFS('Prepare Gantt Chart'!AM103=18,'Project types'!$L104,'Prepare Gantt Chart'!AM103=17,'Project types'!$L104,'Prepare Gantt Chart'!AM103=0,0)</f>
        <v>0</v>
      </c>
      <c r="BB114" s="83">
        <f>_xlfn.IFS('Prepare Gantt Chart'!AN103=18,'Project types'!$L104,'Prepare Gantt Chart'!AN103=17,'Project types'!$L104,'Prepare Gantt Chart'!AN103=0,0)</f>
        <v>0</v>
      </c>
      <c r="BC114" s="83">
        <f>_xlfn.IFS('Prepare Gantt Chart'!AO103=18,'Project types'!$L104,'Prepare Gantt Chart'!AO103=17,'Project types'!$L104,'Prepare Gantt Chart'!AO103=0,0)</f>
        <v>0</v>
      </c>
      <c r="BD114" s="91">
        <f t="shared" si="3"/>
        <v>0</v>
      </c>
    </row>
    <row r="115" spans="1:56" x14ac:dyDescent="0.2">
      <c r="A115" s="1" t="s">
        <v>416</v>
      </c>
      <c r="B115" s="42" t="s">
        <v>96</v>
      </c>
      <c r="C115" s="83">
        <f>_xlfn.IFS('Prepare Gantt Chart'!P104=18,'Project types'!$O105,'Prepare Gantt Chart'!P104=17,'Project types'!$Q105,'Prepare Gantt Chart'!P104=0,0)</f>
        <v>0</v>
      </c>
      <c r="D115" s="83">
        <f>_xlfn.IFS('Prepare Gantt Chart'!Q104=18,'Project types'!$O105,'Prepare Gantt Chart'!Q104=17,'Project types'!$Q105,'Prepare Gantt Chart'!Q104=0,0)</f>
        <v>0</v>
      </c>
      <c r="E115" s="83">
        <f>_xlfn.IFS('Prepare Gantt Chart'!R104=18,'Project types'!$O105,'Prepare Gantt Chart'!R104=17,'Project types'!$Q105,'Prepare Gantt Chart'!R104=0,0)</f>
        <v>0</v>
      </c>
      <c r="F115" s="83">
        <f>_xlfn.IFS('Prepare Gantt Chart'!S104=18,'Project types'!$O105,'Prepare Gantt Chart'!S104=17,'Project types'!$Q105,'Prepare Gantt Chart'!S104=0,0)</f>
        <v>0</v>
      </c>
      <c r="G115" s="83">
        <f>_xlfn.IFS('Prepare Gantt Chart'!T104=18,'Project types'!$O105,'Prepare Gantt Chart'!T104=17,'Project types'!$Q105,'Prepare Gantt Chart'!T104=0,0)</f>
        <v>0</v>
      </c>
      <c r="H115" s="83">
        <f>_xlfn.IFS('Prepare Gantt Chart'!U104=18,'Project types'!$O105,'Prepare Gantt Chart'!U104=17,'Project types'!$Q105,'Prepare Gantt Chart'!U104=0,0)</f>
        <v>0</v>
      </c>
      <c r="I115" s="83">
        <f>_xlfn.IFS('Prepare Gantt Chart'!V104=18,'Project types'!$O105,'Prepare Gantt Chart'!V104=17,'Project types'!$Q105,'Prepare Gantt Chart'!V104=0,0)</f>
        <v>0</v>
      </c>
      <c r="J115" s="83">
        <f>_xlfn.IFS('Prepare Gantt Chart'!W104=18,'Project types'!$O105,'Prepare Gantt Chart'!W104=17,'Project types'!$Q105,'Prepare Gantt Chart'!W104=0,0)</f>
        <v>0</v>
      </c>
      <c r="K115" s="83">
        <f>_xlfn.IFS('Prepare Gantt Chart'!X104=18,'Project types'!$O105,'Prepare Gantt Chart'!X104=17,'Project types'!$Q105,'Prepare Gantt Chart'!X104=0,0)</f>
        <v>0</v>
      </c>
      <c r="L115" s="83">
        <f>_xlfn.IFS('Prepare Gantt Chart'!Y104=18,'Project types'!$O105,'Prepare Gantt Chart'!Y104=17,'Project types'!$Q105,'Prepare Gantt Chart'!Y104=0,0)</f>
        <v>0</v>
      </c>
      <c r="M115" s="83">
        <f>_xlfn.IFS('Prepare Gantt Chart'!Z104=18,'Project types'!$O105,'Prepare Gantt Chart'!Z104=17,'Project types'!$Q105,'Prepare Gantt Chart'!Z104=0,0)</f>
        <v>0</v>
      </c>
      <c r="N115" s="83">
        <f>_xlfn.IFS('Prepare Gantt Chart'!AA104=18,'Project types'!$O105,'Prepare Gantt Chart'!AA104=17,'Project types'!$Q105,'Prepare Gantt Chart'!AA104=0,0)</f>
        <v>0</v>
      </c>
      <c r="O115" s="83">
        <f>_xlfn.IFS('Prepare Gantt Chart'!AB104=18,'Project types'!$O105,'Prepare Gantt Chart'!AB104=17,'Project types'!$Q105,'Prepare Gantt Chart'!AB104=0,0)</f>
        <v>0</v>
      </c>
      <c r="P115" s="83">
        <f>_xlfn.IFS('Prepare Gantt Chart'!AC104=18,'Project types'!$O105,'Prepare Gantt Chart'!AC104=17,'Project types'!$Q105,'Prepare Gantt Chart'!AC104=0,0)</f>
        <v>0</v>
      </c>
      <c r="Q115" s="83">
        <f>_xlfn.IFS('Prepare Gantt Chart'!AD104=18,'Project types'!$O105,'Prepare Gantt Chart'!AD104=17,'Project types'!$Q105,'Prepare Gantt Chart'!AD104=0,0)</f>
        <v>0</v>
      </c>
      <c r="R115" s="83">
        <f>_xlfn.IFS('Prepare Gantt Chart'!AE104=18,'Project types'!$O105,'Prepare Gantt Chart'!AE104=17,'Project types'!$Q105,'Prepare Gantt Chart'!AE104=0,0)</f>
        <v>0</v>
      </c>
      <c r="S115" s="83">
        <f>_xlfn.IFS('Prepare Gantt Chart'!AF104=18,'Project types'!$O105,'Prepare Gantt Chart'!AF104=17,'Project types'!$Q105,'Prepare Gantt Chart'!AF104=0,0)</f>
        <v>0</v>
      </c>
      <c r="T115" s="83">
        <f>_xlfn.IFS('Prepare Gantt Chart'!AG104=18,'Project types'!$O105,'Prepare Gantt Chart'!AG104=17,'Project types'!$Q105,'Prepare Gantt Chart'!AG104=0,0)</f>
        <v>0</v>
      </c>
      <c r="U115" s="83">
        <f>_xlfn.IFS('Prepare Gantt Chart'!AH104=18,'Project types'!$O105,'Prepare Gantt Chart'!AH104=17,'Project types'!$Q105,'Prepare Gantt Chart'!AH104=0,0)</f>
        <v>0</v>
      </c>
      <c r="V115" s="83">
        <f>_xlfn.IFS('Prepare Gantt Chart'!AI104=18,'Project types'!$O105,'Prepare Gantt Chart'!AI104=17,'Project types'!$Q105,'Prepare Gantt Chart'!AI104=0,0)</f>
        <v>0</v>
      </c>
      <c r="W115" s="83">
        <f>_xlfn.IFS('Prepare Gantt Chart'!AJ104=18,'Project types'!$O105,'Prepare Gantt Chart'!AJ104=17,'Project types'!$Q105,'Prepare Gantt Chart'!AJ104=0,0)</f>
        <v>0</v>
      </c>
      <c r="X115" s="83">
        <f>_xlfn.IFS('Prepare Gantt Chart'!AK104=18,'Project types'!$O105,'Prepare Gantt Chart'!AK104=17,'Project types'!$Q105,'Prepare Gantt Chart'!AK104=0,0)</f>
        <v>0</v>
      </c>
      <c r="Y115" s="83">
        <f>_xlfn.IFS('Prepare Gantt Chart'!AL104=18,'Project types'!$O105,'Prepare Gantt Chart'!AL104=17,'Project types'!$Q105,'Prepare Gantt Chart'!AL104=0,0)</f>
        <v>0</v>
      </c>
      <c r="Z115" s="83">
        <f>_xlfn.IFS('Prepare Gantt Chart'!AM104=18,'Project types'!$O105,'Prepare Gantt Chart'!AM104=17,'Project types'!$Q105,'Prepare Gantt Chart'!AM104=0,0)</f>
        <v>0</v>
      </c>
      <c r="AA115" s="83">
        <f>_xlfn.IFS('Prepare Gantt Chart'!AN104=18,'Project types'!$O105,'Prepare Gantt Chart'!AN104=17,'Project types'!$Q105,'Prepare Gantt Chart'!AN104=0,0)</f>
        <v>0</v>
      </c>
      <c r="AB115" s="83">
        <f>_xlfn.IFS('Prepare Gantt Chart'!AO104=18,'Project types'!$O105,'Prepare Gantt Chart'!AO104=17,'Project types'!$Q105,'Prepare Gantt Chart'!AO104=0,0)</f>
        <v>0</v>
      </c>
      <c r="AC115" s="93">
        <f t="shared" si="2"/>
        <v>0</v>
      </c>
      <c r="AD115" s="86">
        <f>_xlfn.IFS('Prepare Gantt Chart'!P104=18,'Project types'!$L105,'Prepare Gantt Chart'!P104=17,'Project types'!$L105,'Prepare Gantt Chart'!P104=0,0)</f>
        <v>0</v>
      </c>
      <c r="AE115" s="83">
        <f>_xlfn.IFS('Prepare Gantt Chart'!Q104=18,'Project types'!$L105,'Prepare Gantt Chart'!Q104=17,'Project types'!$L105,'Prepare Gantt Chart'!Q104=0,0)</f>
        <v>0</v>
      </c>
      <c r="AF115" s="83">
        <f>_xlfn.IFS('Prepare Gantt Chart'!R104=18,'Project types'!$L105,'Prepare Gantt Chart'!R104=17,'Project types'!$L105,'Prepare Gantt Chart'!R104=0,0)</f>
        <v>0</v>
      </c>
      <c r="AG115" s="83">
        <f>_xlfn.IFS('Prepare Gantt Chart'!S104=18,'Project types'!$L105,'Prepare Gantt Chart'!S104=17,'Project types'!$L105,'Prepare Gantt Chart'!S104=0,0)</f>
        <v>0</v>
      </c>
      <c r="AH115" s="83">
        <f>_xlfn.IFS('Prepare Gantt Chart'!T104=18,'Project types'!$L105,'Prepare Gantt Chart'!T104=17,'Project types'!$L105,'Prepare Gantt Chart'!T104=0,0)</f>
        <v>0</v>
      </c>
      <c r="AI115" s="83">
        <f>_xlfn.IFS('Prepare Gantt Chart'!U104=18,'Project types'!$L105,'Prepare Gantt Chart'!U104=17,'Project types'!$L105,'Prepare Gantt Chart'!U104=0,0)</f>
        <v>0</v>
      </c>
      <c r="AJ115" s="83">
        <f>_xlfn.IFS('Prepare Gantt Chart'!V104=18,'Project types'!$L105,'Prepare Gantt Chart'!V104=17,'Project types'!$L105,'Prepare Gantt Chart'!V104=0,0)</f>
        <v>0</v>
      </c>
      <c r="AK115" s="83">
        <f>_xlfn.IFS('Prepare Gantt Chart'!W104=18,'Project types'!$L105,'Prepare Gantt Chart'!W104=17,'Project types'!$L105,'Prepare Gantt Chart'!W104=0,0)</f>
        <v>0</v>
      </c>
      <c r="AL115" s="83">
        <f>_xlfn.IFS('Prepare Gantt Chart'!X104=18,'Project types'!$L105,'Prepare Gantt Chart'!X104=17,'Project types'!$L105,'Prepare Gantt Chart'!X104=0,0)</f>
        <v>0</v>
      </c>
      <c r="AM115" s="83">
        <f>_xlfn.IFS('Prepare Gantt Chart'!Y104=18,'Project types'!$L105,'Prepare Gantt Chart'!Y104=17,'Project types'!$L105,'Prepare Gantt Chart'!Y104=0,0)</f>
        <v>0</v>
      </c>
      <c r="AN115" s="83">
        <f>_xlfn.IFS('Prepare Gantt Chart'!Z104=18,'Project types'!$L105,'Prepare Gantt Chart'!Z104=17,'Project types'!$L105,'Prepare Gantt Chart'!Z104=0,0)</f>
        <v>0</v>
      </c>
      <c r="AO115" s="83">
        <f>_xlfn.IFS('Prepare Gantt Chart'!AA104=18,'Project types'!$L105,'Prepare Gantt Chart'!AA104=17,'Project types'!$L105,'Prepare Gantt Chart'!AA104=0,0)</f>
        <v>0</v>
      </c>
      <c r="AP115" s="83">
        <f>_xlfn.IFS('Prepare Gantt Chart'!AB104=18,'Project types'!$L105,'Prepare Gantt Chart'!AB104=17,'Project types'!$L105,'Prepare Gantt Chart'!AB104=0,0)</f>
        <v>0</v>
      </c>
      <c r="AQ115" s="83">
        <f>_xlfn.IFS('Prepare Gantt Chart'!AC104=18,'Project types'!$L105,'Prepare Gantt Chart'!AC104=17,'Project types'!$L105,'Prepare Gantt Chart'!AC104=0,0)</f>
        <v>0</v>
      </c>
      <c r="AR115" s="83">
        <f>_xlfn.IFS('Prepare Gantt Chart'!AD104=18,'Project types'!$L105,'Prepare Gantt Chart'!AD104=17,'Project types'!$L105,'Prepare Gantt Chart'!AD104=0,0)</f>
        <v>0</v>
      </c>
      <c r="AS115" s="83">
        <f>_xlfn.IFS('Prepare Gantt Chart'!AE104=18,'Project types'!$L105,'Prepare Gantt Chart'!AE104=17,'Project types'!$L105,'Prepare Gantt Chart'!AE104=0,0)</f>
        <v>0</v>
      </c>
      <c r="AT115" s="83">
        <f>_xlfn.IFS('Prepare Gantt Chart'!AF104=18,'Project types'!$L105,'Prepare Gantt Chart'!AF104=17,'Project types'!$L105,'Prepare Gantt Chart'!AF104=0,0)</f>
        <v>0</v>
      </c>
      <c r="AU115" s="83">
        <f>_xlfn.IFS('Prepare Gantt Chart'!AG104=18,'Project types'!$L105,'Prepare Gantt Chart'!AG104=17,'Project types'!$L105,'Prepare Gantt Chart'!AG104=0,0)</f>
        <v>0</v>
      </c>
      <c r="AV115" s="83">
        <f>_xlfn.IFS('Prepare Gantt Chart'!AH104=18,'Project types'!$L105,'Prepare Gantt Chart'!AH104=17,'Project types'!$L105,'Prepare Gantt Chart'!AH104=0,0)</f>
        <v>0</v>
      </c>
      <c r="AW115" s="83">
        <f>_xlfn.IFS('Prepare Gantt Chart'!AI104=18,'Project types'!$L105,'Prepare Gantt Chart'!AI104=17,'Project types'!$L105,'Prepare Gantt Chart'!AI104=0,0)</f>
        <v>0</v>
      </c>
      <c r="AX115" s="83">
        <f>_xlfn.IFS('Prepare Gantt Chart'!AJ104=18,'Project types'!$L105,'Prepare Gantt Chart'!AJ104=17,'Project types'!$L105,'Prepare Gantt Chart'!AJ104=0,0)</f>
        <v>0</v>
      </c>
      <c r="AY115" s="83">
        <f>_xlfn.IFS('Prepare Gantt Chart'!AK104=18,'Project types'!$L105,'Prepare Gantt Chart'!AK104=17,'Project types'!$L105,'Prepare Gantt Chart'!AK104=0,0)</f>
        <v>0</v>
      </c>
      <c r="AZ115" s="83">
        <f>_xlfn.IFS('Prepare Gantt Chart'!AL104=18,'Project types'!$L105,'Prepare Gantt Chart'!AL104=17,'Project types'!$L105,'Prepare Gantt Chart'!AL104=0,0)</f>
        <v>0</v>
      </c>
      <c r="BA115" s="83">
        <f>_xlfn.IFS('Prepare Gantt Chart'!AM104=18,'Project types'!$L105,'Prepare Gantt Chart'!AM104=17,'Project types'!$L105,'Prepare Gantt Chart'!AM104=0,0)</f>
        <v>0</v>
      </c>
      <c r="BB115" s="83">
        <f>_xlfn.IFS('Prepare Gantt Chart'!AN104=18,'Project types'!$L105,'Prepare Gantt Chart'!AN104=17,'Project types'!$L105,'Prepare Gantt Chart'!AN104=0,0)</f>
        <v>0</v>
      </c>
      <c r="BC115" s="83">
        <f>_xlfn.IFS('Prepare Gantt Chart'!AO104=18,'Project types'!$L105,'Prepare Gantt Chart'!AO104=17,'Project types'!$L105,'Prepare Gantt Chart'!AO104=0,0)</f>
        <v>0</v>
      </c>
      <c r="BD115" s="91">
        <f t="shared" si="3"/>
        <v>0</v>
      </c>
    </row>
    <row r="116" spans="1:56" x14ac:dyDescent="0.2">
      <c r="A116" s="1" t="s">
        <v>162</v>
      </c>
      <c r="B116" s="42" t="s">
        <v>97</v>
      </c>
      <c r="C116" s="83">
        <f>_xlfn.IFS('Prepare Gantt Chart'!P105=18,'Project types'!$O106,'Prepare Gantt Chart'!P105=17,'Project types'!$Q106,'Prepare Gantt Chart'!P105=0,0)</f>
        <v>0</v>
      </c>
      <c r="D116" s="83">
        <f>_xlfn.IFS('Prepare Gantt Chart'!Q105=18,'Project types'!$O106,'Prepare Gantt Chart'!Q105=17,'Project types'!$Q106,'Prepare Gantt Chart'!Q105=0,0)</f>
        <v>0</v>
      </c>
      <c r="E116" s="83">
        <f>_xlfn.IFS('Prepare Gantt Chart'!R105=18,'Project types'!$O106,'Prepare Gantt Chart'!R105=17,'Project types'!$Q106,'Prepare Gantt Chart'!R105=0,0)</f>
        <v>0</v>
      </c>
      <c r="F116" s="83">
        <f>_xlfn.IFS('Prepare Gantt Chart'!S105=18,'Project types'!$O106,'Prepare Gantt Chart'!S105=17,'Project types'!$Q106,'Prepare Gantt Chart'!S105=0,0)</f>
        <v>0</v>
      </c>
      <c r="G116" s="83">
        <f>_xlfn.IFS('Prepare Gantt Chart'!T105=18,'Project types'!$O106,'Prepare Gantt Chart'!T105=17,'Project types'!$Q106,'Prepare Gantt Chart'!T105=0,0)</f>
        <v>0</v>
      </c>
      <c r="H116" s="83">
        <f>_xlfn.IFS('Prepare Gantt Chart'!U105=18,'Project types'!$O106,'Prepare Gantt Chart'!U105=17,'Project types'!$Q106,'Prepare Gantt Chart'!U105=0,0)</f>
        <v>0</v>
      </c>
      <c r="I116" s="83">
        <f>_xlfn.IFS('Prepare Gantt Chart'!V105=18,'Project types'!$O106,'Prepare Gantt Chart'!V105=17,'Project types'!$Q106,'Prepare Gantt Chart'!V105=0,0)</f>
        <v>0</v>
      </c>
      <c r="J116" s="83">
        <f>_xlfn.IFS('Prepare Gantt Chart'!W105=18,'Project types'!$O106,'Prepare Gantt Chart'!W105=17,'Project types'!$Q106,'Prepare Gantt Chart'!W105=0,0)</f>
        <v>0</v>
      </c>
      <c r="K116" s="83">
        <f>_xlfn.IFS('Prepare Gantt Chart'!X105=18,'Project types'!$O106,'Prepare Gantt Chart'!X105=17,'Project types'!$Q106,'Prepare Gantt Chart'!X105=0,0)</f>
        <v>0</v>
      </c>
      <c r="L116" s="83">
        <f>_xlfn.IFS('Prepare Gantt Chart'!Y105=18,'Project types'!$O106,'Prepare Gantt Chart'!Y105=17,'Project types'!$Q106,'Prepare Gantt Chart'!Y105=0,0)</f>
        <v>0</v>
      </c>
      <c r="M116" s="83">
        <f>_xlfn.IFS('Prepare Gantt Chart'!Z105=18,'Project types'!$O106,'Prepare Gantt Chart'!Z105=17,'Project types'!$Q106,'Prepare Gantt Chart'!Z105=0,0)</f>
        <v>0</v>
      </c>
      <c r="N116" s="83">
        <f>_xlfn.IFS('Prepare Gantt Chart'!AA105=18,'Project types'!$O106,'Prepare Gantt Chart'!AA105=17,'Project types'!$Q106,'Prepare Gantt Chart'!AA105=0,0)</f>
        <v>0</v>
      </c>
      <c r="O116" s="83">
        <f>_xlfn.IFS('Prepare Gantt Chart'!AB105=18,'Project types'!$O106,'Prepare Gantt Chart'!AB105=17,'Project types'!$Q106,'Prepare Gantt Chart'!AB105=0,0)</f>
        <v>0</v>
      </c>
      <c r="P116" s="83">
        <f>_xlfn.IFS('Prepare Gantt Chart'!AC105=18,'Project types'!$O106,'Prepare Gantt Chart'!AC105=17,'Project types'!$Q106,'Prepare Gantt Chart'!AC105=0,0)</f>
        <v>0</v>
      </c>
      <c r="Q116" s="83">
        <f>_xlfn.IFS('Prepare Gantt Chart'!AD105=18,'Project types'!$O106,'Prepare Gantt Chart'!AD105=17,'Project types'!$Q106,'Prepare Gantt Chart'!AD105=0,0)</f>
        <v>0</v>
      </c>
      <c r="R116" s="83">
        <f>_xlfn.IFS('Prepare Gantt Chart'!AE105=18,'Project types'!$O106,'Prepare Gantt Chart'!AE105=17,'Project types'!$Q106,'Prepare Gantt Chart'!AE105=0,0)</f>
        <v>0</v>
      </c>
      <c r="S116" s="83">
        <f>_xlfn.IFS('Prepare Gantt Chart'!AF105=18,'Project types'!$O106,'Prepare Gantt Chart'!AF105=17,'Project types'!$Q106,'Prepare Gantt Chart'!AF105=0,0)</f>
        <v>0</v>
      </c>
      <c r="T116" s="83">
        <f>_xlfn.IFS('Prepare Gantt Chart'!AG105=18,'Project types'!$O106,'Prepare Gantt Chart'!AG105=17,'Project types'!$Q106,'Prepare Gantt Chart'!AG105=0,0)</f>
        <v>0</v>
      </c>
      <c r="U116" s="83">
        <f>_xlfn.IFS('Prepare Gantt Chart'!AH105=18,'Project types'!$O106,'Prepare Gantt Chart'!AH105=17,'Project types'!$Q106,'Prepare Gantt Chart'!AH105=0,0)</f>
        <v>0</v>
      </c>
      <c r="V116" s="83">
        <f>_xlfn.IFS('Prepare Gantt Chart'!AI105=18,'Project types'!$O106,'Prepare Gantt Chart'!AI105=17,'Project types'!$Q106,'Prepare Gantt Chart'!AI105=0,0)</f>
        <v>0</v>
      </c>
      <c r="W116" s="83">
        <f>_xlfn.IFS('Prepare Gantt Chart'!AJ105=18,'Project types'!$O106,'Prepare Gantt Chart'!AJ105=17,'Project types'!$Q106,'Prepare Gantt Chart'!AJ105=0,0)</f>
        <v>0</v>
      </c>
      <c r="X116" s="83">
        <f>_xlfn.IFS('Prepare Gantt Chart'!AK105=18,'Project types'!$O106,'Prepare Gantt Chart'!AK105=17,'Project types'!$Q106,'Prepare Gantt Chart'!AK105=0,0)</f>
        <v>0</v>
      </c>
      <c r="Y116" s="83">
        <f>_xlfn.IFS('Prepare Gantt Chart'!AL105=18,'Project types'!$O106,'Prepare Gantt Chart'!AL105=17,'Project types'!$Q106,'Prepare Gantt Chart'!AL105=0,0)</f>
        <v>0</v>
      </c>
      <c r="Z116" s="83">
        <f>_xlfn.IFS('Prepare Gantt Chart'!AM105=18,'Project types'!$O106,'Prepare Gantt Chart'!AM105=17,'Project types'!$Q106,'Prepare Gantt Chart'!AM105=0,0)</f>
        <v>0</v>
      </c>
      <c r="AA116" s="83">
        <f>_xlfn.IFS('Prepare Gantt Chart'!AN105=18,'Project types'!$O106,'Prepare Gantt Chart'!AN105=17,'Project types'!$Q106,'Prepare Gantt Chart'!AN105=0,0)</f>
        <v>0</v>
      </c>
      <c r="AB116" s="83">
        <f>_xlfn.IFS('Prepare Gantt Chart'!AO105=18,'Project types'!$O106,'Prepare Gantt Chart'!AO105=17,'Project types'!$Q106,'Prepare Gantt Chart'!AO105=0,0)</f>
        <v>0</v>
      </c>
      <c r="AC116" s="93">
        <f t="shared" si="2"/>
        <v>0</v>
      </c>
      <c r="AD116" s="86">
        <f>_xlfn.IFS('Prepare Gantt Chart'!P105=18,'Project types'!$L106,'Prepare Gantt Chart'!P105=17,'Project types'!$L106,'Prepare Gantt Chart'!P105=0,0)</f>
        <v>0</v>
      </c>
      <c r="AE116" s="83">
        <f>_xlfn.IFS('Prepare Gantt Chart'!Q105=18,'Project types'!$L106,'Prepare Gantt Chart'!Q105=17,'Project types'!$L106,'Prepare Gantt Chart'!Q105=0,0)</f>
        <v>0</v>
      </c>
      <c r="AF116" s="83">
        <f>_xlfn.IFS('Prepare Gantt Chart'!R105=18,'Project types'!$L106,'Prepare Gantt Chart'!R105=17,'Project types'!$L106,'Prepare Gantt Chart'!R105=0,0)</f>
        <v>0</v>
      </c>
      <c r="AG116" s="83">
        <f>_xlfn.IFS('Prepare Gantt Chart'!S105=18,'Project types'!$L106,'Prepare Gantt Chart'!S105=17,'Project types'!$L106,'Prepare Gantt Chart'!S105=0,0)</f>
        <v>0</v>
      </c>
      <c r="AH116" s="83">
        <f>_xlfn.IFS('Prepare Gantt Chart'!T105=18,'Project types'!$L106,'Prepare Gantt Chart'!T105=17,'Project types'!$L106,'Prepare Gantt Chart'!T105=0,0)</f>
        <v>0</v>
      </c>
      <c r="AI116" s="83">
        <f>_xlfn.IFS('Prepare Gantt Chart'!U105=18,'Project types'!$L106,'Prepare Gantt Chart'!U105=17,'Project types'!$L106,'Prepare Gantt Chart'!U105=0,0)</f>
        <v>0</v>
      </c>
      <c r="AJ116" s="83">
        <f>_xlfn.IFS('Prepare Gantt Chart'!V105=18,'Project types'!$L106,'Prepare Gantt Chart'!V105=17,'Project types'!$L106,'Prepare Gantt Chart'!V105=0,0)</f>
        <v>0</v>
      </c>
      <c r="AK116" s="83">
        <f>_xlfn.IFS('Prepare Gantt Chart'!W105=18,'Project types'!$L106,'Prepare Gantt Chart'!W105=17,'Project types'!$L106,'Prepare Gantt Chart'!W105=0,0)</f>
        <v>0</v>
      </c>
      <c r="AL116" s="83">
        <f>_xlfn.IFS('Prepare Gantt Chart'!X105=18,'Project types'!$L106,'Prepare Gantt Chart'!X105=17,'Project types'!$L106,'Prepare Gantt Chart'!X105=0,0)</f>
        <v>0</v>
      </c>
      <c r="AM116" s="83">
        <f>_xlfn.IFS('Prepare Gantt Chart'!Y105=18,'Project types'!$L106,'Prepare Gantt Chart'!Y105=17,'Project types'!$L106,'Prepare Gantt Chart'!Y105=0,0)</f>
        <v>0</v>
      </c>
      <c r="AN116" s="83">
        <f>_xlfn.IFS('Prepare Gantt Chart'!Z105=18,'Project types'!$L106,'Prepare Gantt Chart'!Z105=17,'Project types'!$L106,'Prepare Gantt Chart'!Z105=0,0)</f>
        <v>0</v>
      </c>
      <c r="AO116" s="83">
        <f>_xlfn.IFS('Prepare Gantt Chart'!AA105=18,'Project types'!$L106,'Prepare Gantt Chart'!AA105=17,'Project types'!$L106,'Prepare Gantt Chart'!AA105=0,0)</f>
        <v>0</v>
      </c>
      <c r="AP116" s="83">
        <f>_xlfn.IFS('Prepare Gantt Chart'!AB105=18,'Project types'!$L106,'Prepare Gantt Chart'!AB105=17,'Project types'!$L106,'Prepare Gantt Chart'!AB105=0,0)</f>
        <v>0</v>
      </c>
      <c r="AQ116" s="83">
        <f>_xlfn.IFS('Prepare Gantt Chart'!AC105=18,'Project types'!$L106,'Prepare Gantt Chart'!AC105=17,'Project types'!$L106,'Prepare Gantt Chart'!AC105=0,0)</f>
        <v>0</v>
      </c>
      <c r="AR116" s="83">
        <f>_xlfn.IFS('Prepare Gantt Chart'!AD105=18,'Project types'!$L106,'Prepare Gantt Chart'!AD105=17,'Project types'!$L106,'Prepare Gantt Chart'!AD105=0,0)</f>
        <v>0</v>
      </c>
      <c r="AS116" s="83">
        <f>_xlfn.IFS('Prepare Gantt Chart'!AE105=18,'Project types'!$L106,'Prepare Gantt Chart'!AE105=17,'Project types'!$L106,'Prepare Gantt Chart'!AE105=0,0)</f>
        <v>0</v>
      </c>
      <c r="AT116" s="83">
        <f>_xlfn.IFS('Prepare Gantt Chart'!AF105=18,'Project types'!$L106,'Prepare Gantt Chart'!AF105=17,'Project types'!$L106,'Prepare Gantt Chart'!AF105=0,0)</f>
        <v>0</v>
      </c>
      <c r="AU116" s="83">
        <f>_xlfn.IFS('Prepare Gantt Chart'!AG105=18,'Project types'!$L106,'Prepare Gantt Chart'!AG105=17,'Project types'!$L106,'Prepare Gantt Chart'!AG105=0,0)</f>
        <v>0</v>
      </c>
      <c r="AV116" s="83">
        <f>_xlfn.IFS('Prepare Gantt Chart'!AH105=18,'Project types'!$L106,'Prepare Gantt Chart'!AH105=17,'Project types'!$L106,'Prepare Gantt Chart'!AH105=0,0)</f>
        <v>0</v>
      </c>
      <c r="AW116" s="83">
        <f>_xlfn.IFS('Prepare Gantt Chart'!AI105=18,'Project types'!$L106,'Prepare Gantt Chart'!AI105=17,'Project types'!$L106,'Prepare Gantt Chart'!AI105=0,0)</f>
        <v>0</v>
      </c>
      <c r="AX116" s="83">
        <f>_xlfn.IFS('Prepare Gantt Chart'!AJ105=18,'Project types'!$L106,'Prepare Gantt Chart'!AJ105=17,'Project types'!$L106,'Prepare Gantt Chart'!AJ105=0,0)</f>
        <v>0</v>
      </c>
      <c r="AY116" s="83">
        <f>_xlfn.IFS('Prepare Gantt Chart'!AK105=18,'Project types'!$L106,'Prepare Gantt Chart'!AK105=17,'Project types'!$L106,'Prepare Gantt Chart'!AK105=0,0)</f>
        <v>0</v>
      </c>
      <c r="AZ116" s="83">
        <f>_xlfn.IFS('Prepare Gantt Chart'!AL105=18,'Project types'!$L106,'Prepare Gantt Chart'!AL105=17,'Project types'!$L106,'Prepare Gantt Chart'!AL105=0,0)</f>
        <v>0</v>
      </c>
      <c r="BA116" s="83">
        <f>_xlfn.IFS('Prepare Gantt Chart'!AM105=18,'Project types'!$L106,'Prepare Gantt Chart'!AM105=17,'Project types'!$L106,'Prepare Gantt Chart'!AM105=0,0)</f>
        <v>0</v>
      </c>
      <c r="BB116" s="83">
        <f>_xlfn.IFS('Prepare Gantt Chart'!AN105=18,'Project types'!$L106,'Prepare Gantt Chart'!AN105=17,'Project types'!$L106,'Prepare Gantt Chart'!AN105=0,0)</f>
        <v>0</v>
      </c>
      <c r="BC116" s="83">
        <f>_xlfn.IFS('Prepare Gantt Chart'!AO105=18,'Project types'!$L106,'Prepare Gantt Chart'!AO105=17,'Project types'!$L106,'Prepare Gantt Chart'!AO105=0,0)</f>
        <v>0</v>
      </c>
      <c r="BD116" s="91">
        <f t="shared" si="3"/>
        <v>0</v>
      </c>
    </row>
    <row r="117" spans="1:56" x14ac:dyDescent="0.2">
      <c r="A117" s="1" t="s">
        <v>163</v>
      </c>
      <c r="B117" s="42" t="s">
        <v>98</v>
      </c>
      <c r="C117" s="83">
        <f>_xlfn.IFS('Prepare Gantt Chart'!P106=18,'Project types'!$O107,'Prepare Gantt Chart'!P106=17,'Project types'!$Q107,'Prepare Gantt Chart'!P106=0,0)</f>
        <v>0</v>
      </c>
      <c r="D117" s="83">
        <f>_xlfn.IFS('Prepare Gantt Chart'!Q106=18,'Project types'!$O107,'Prepare Gantt Chart'!Q106=17,'Project types'!$Q107,'Prepare Gantt Chart'!Q106=0,0)</f>
        <v>0</v>
      </c>
      <c r="E117" s="83">
        <f>_xlfn.IFS('Prepare Gantt Chart'!R106=18,'Project types'!$O107,'Prepare Gantt Chart'!R106=17,'Project types'!$Q107,'Prepare Gantt Chart'!R106=0,0)</f>
        <v>0</v>
      </c>
      <c r="F117" s="83">
        <f>_xlfn.IFS('Prepare Gantt Chart'!S106=18,'Project types'!$O107,'Prepare Gantt Chart'!S106=17,'Project types'!$Q107,'Prepare Gantt Chart'!S106=0,0)</f>
        <v>0</v>
      </c>
      <c r="G117" s="83">
        <f>_xlfn.IFS('Prepare Gantt Chart'!T106=18,'Project types'!$O107,'Prepare Gantt Chart'!T106=17,'Project types'!$Q107,'Prepare Gantt Chart'!T106=0,0)</f>
        <v>0</v>
      </c>
      <c r="H117" s="83">
        <f>_xlfn.IFS('Prepare Gantt Chart'!U106=18,'Project types'!$O107,'Prepare Gantt Chart'!U106=17,'Project types'!$Q107,'Prepare Gantt Chart'!U106=0,0)</f>
        <v>0</v>
      </c>
      <c r="I117" s="83">
        <f>_xlfn.IFS('Prepare Gantt Chart'!V106=18,'Project types'!$O107,'Prepare Gantt Chart'!V106=17,'Project types'!$Q107,'Prepare Gantt Chart'!V106=0,0)</f>
        <v>0</v>
      </c>
      <c r="J117" s="83">
        <f>_xlfn.IFS('Prepare Gantt Chart'!W106=18,'Project types'!$O107,'Prepare Gantt Chart'!W106=17,'Project types'!$Q107,'Prepare Gantt Chart'!W106=0,0)</f>
        <v>0</v>
      </c>
      <c r="K117" s="83">
        <f>_xlfn.IFS('Prepare Gantt Chart'!X106=18,'Project types'!$O107,'Prepare Gantt Chart'!X106=17,'Project types'!$Q107,'Prepare Gantt Chart'!X106=0,0)</f>
        <v>0</v>
      </c>
      <c r="L117" s="83">
        <f>_xlfn.IFS('Prepare Gantt Chart'!Y106=18,'Project types'!$O107,'Prepare Gantt Chart'!Y106=17,'Project types'!$Q107,'Prepare Gantt Chart'!Y106=0,0)</f>
        <v>0</v>
      </c>
      <c r="M117" s="83">
        <f>_xlfn.IFS('Prepare Gantt Chart'!Z106=18,'Project types'!$O107,'Prepare Gantt Chart'!Z106=17,'Project types'!$Q107,'Prepare Gantt Chart'!Z106=0,0)</f>
        <v>0</v>
      </c>
      <c r="N117" s="83">
        <f>_xlfn.IFS('Prepare Gantt Chart'!AA106=18,'Project types'!$O107,'Prepare Gantt Chart'!AA106=17,'Project types'!$Q107,'Prepare Gantt Chart'!AA106=0,0)</f>
        <v>0</v>
      </c>
      <c r="O117" s="83">
        <f>_xlfn.IFS('Prepare Gantt Chart'!AB106=18,'Project types'!$O107,'Prepare Gantt Chart'!AB106=17,'Project types'!$Q107,'Prepare Gantt Chart'!AB106=0,0)</f>
        <v>0</v>
      </c>
      <c r="P117" s="83">
        <f>_xlfn.IFS('Prepare Gantt Chart'!AC106=18,'Project types'!$O107,'Prepare Gantt Chart'!AC106=17,'Project types'!$Q107,'Prepare Gantt Chart'!AC106=0,0)</f>
        <v>0</v>
      </c>
      <c r="Q117" s="83">
        <f>_xlfn.IFS('Prepare Gantt Chart'!AD106=18,'Project types'!$O107,'Prepare Gantt Chart'!AD106=17,'Project types'!$Q107,'Prepare Gantt Chart'!AD106=0,0)</f>
        <v>0</v>
      </c>
      <c r="R117" s="83">
        <f>_xlfn.IFS('Prepare Gantt Chart'!AE106=18,'Project types'!$O107,'Prepare Gantt Chart'!AE106=17,'Project types'!$Q107,'Prepare Gantt Chart'!AE106=0,0)</f>
        <v>0</v>
      </c>
      <c r="S117" s="83">
        <f>_xlfn.IFS('Prepare Gantt Chart'!AF106=18,'Project types'!$O107,'Prepare Gantt Chart'!AF106=17,'Project types'!$Q107,'Prepare Gantt Chart'!AF106=0,0)</f>
        <v>0</v>
      </c>
      <c r="T117" s="83">
        <f>_xlfn.IFS('Prepare Gantt Chart'!AG106=18,'Project types'!$O107,'Prepare Gantt Chart'!AG106=17,'Project types'!$Q107,'Prepare Gantt Chart'!AG106=0,0)</f>
        <v>0</v>
      </c>
      <c r="U117" s="83">
        <f>_xlfn.IFS('Prepare Gantt Chart'!AH106=18,'Project types'!$O107,'Prepare Gantt Chart'!AH106=17,'Project types'!$Q107,'Prepare Gantt Chart'!AH106=0,0)</f>
        <v>0</v>
      </c>
      <c r="V117" s="83">
        <f>_xlfn.IFS('Prepare Gantt Chart'!AI106=18,'Project types'!$O107,'Prepare Gantt Chart'!AI106=17,'Project types'!$Q107,'Prepare Gantt Chart'!AI106=0,0)</f>
        <v>0</v>
      </c>
      <c r="W117" s="83">
        <f>_xlfn.IFS('Prepare Gantt Chart'!AJ106=18,'Project types'!$O107,'Prepare Gantt Chart'!AJ106=17,'Project types'!$Q107,'Prepare Gantt Chart'!AJ106=0,0)</f>
        <v>0</v>
      </c>
      <c r="X117" s="83">
        <f>_xlfn.IFS('Prepare Gantt Chart'!AK106=18,'Project types'!$O107,'Prepare Gantt Chart'!AK106=17,'Project types'!$Q107,'Prepare Gantt Chart'!AK106=0,0)</f>
        <v>0</v>
      </c>
      <c r="Y117" s="83">
        <f>_xlfn.IFS('Prepare Gantt Chart'!AL106=18,'Project types'!$O107,'Prepare Gantt Chart'!AL106=17,'Project types'!$Q107,'Prepare Gantt Chart'!AL106=0,0)</f>
        <v>0</v>
      </c>
      <c r="Z117" s="83">
        <f>_xlfn.IFS('Prepare Gantt Chart'!AM106=18,'Project types'!$O107,'Prepare Gantt Chart'!AM106=17,'Project types'!$Q107,'Prepare Gantt Chart'!AM106=0,0)</f>
        <v>0</v>
      </c>
      <c r="AA117" s="83">
        <f>_xlfn.IFS('Prepare Gantt Chart'!AN106=18,'Project types'!$O107,'Prepare Gantt Chart'!AN106=17,'Project types'!$Q107,'Prepare Gantt Chart'!AN106=0,0)</f>
        <v>0</v>
      </c>
      <c r="AB117" s="83">
        <f>_xlfn.IFS('Prepare Gantt Chart'!AO106=18,'Project types'!$O107,'Prepare Gantt Chart'!AO106=17,'Project types'!$Q107,'Prepare Gantt Chart'!AO106=0,0)</f>
        <v>0</v>
      </c>
      <c r="AC117" s="93">
        <f t="shared" si="2"/>
        <v>0</v>
      </c>
      <c r="AD117" s="86">
        <f>_xlfn.IFS('Prepare Gantt Chart'!P106=18,'Project types'!$L107,'Prepare Gantt Chart'!P106=17,'Project types'!$L107,'Prepare Gantt Chart'!P106=0,0)</f>
        <v>0</v>
      </c>
      <c r="AE117" s="83">
        <f>_xlfn.IFS('Prepare Gantt Chart'!Q106=18,'Project types'!$L107,'Prepare Gantt Chart'!Q106=17,'Project types'!$L107,'Prepare Gantt Chart'!Q106=0,0)</f>
        <v>0</v>
      </c>
      <c r="AF117" s="83">
        <f>_xlfn.IFS('Prepare Gantt Chart'!R106=18,'Project types'!$L107,'Prepare Gantt Chart'!R106=17,'Project types'!$L107,'Prepare Gantt Chart'!R106=0,0)</f>
        <v>0</v>
      </c>
      <c r="AG117" s="83">
        <f>_xlfn.IFS('Prepare Gantt Chart'!S106=18,'Project types'!$L107,'Prepare Gantt Chart'!S106=17,'Project types'!$L107,'Prepare Gantt Chart'!S106=0,0)</f>
        <v>0</v>
      </c>
      <c r="AH117" s="83">
        <f>_xlfn.IFS('Prepare Gantt Chart'!T106=18,'Project types'!$L107,'Prepare Gantt Chart'!T106=17,'Project types'!$L107,'Prepare Gantt Chart'!T106=0,0)</f>
        <v>0</v>
      </c>
      <c r="AI117" s="83">
        <f>_xlfn.IFS('Prepare Gantt Chart'!U106=18,'Project types'!$L107,'Prepare Gantt Chart'!U106=17,'Project types'!$L107,'Prepare Gantt Chart'!U106=0,0)</f>
        <v>0</v>
      </c>
      <c r="AJ117" s="83">
        <f>_xlfn.IFS('Prepare Gantt Chart'!V106=18,'Project types'!$L107,'Prepare Gantt Chart'!V106=17,'Project types'!$L107,'Prepare Gantt Chart'!V106=0,0)</f>
        <v>0</v>
      </c>
      <c r="AK117" s="83">
        <f>_xlfn.IFS('Prepare Gantt Chart'!W106=18,'Project types'!$L107,'Prepare Gantt Chart'!W106=17,'Project types'!$L107,'Prepare Gantt Chart'!W106=0,0)</f>
        <v>0</v>
      </c>
      <c r="AL117" s="83">
        <f>_xlfn.IFS('Prepare Gantt Chart'!X106=18,'Project types'!$L107,'Prepare Gantt Chart'!X106=17,'Project types'!$L107,'Prepare Gantt Chart'!X106=0,0)</f>
        <v>0</v>
      </c>
      <c r="AM117" s="83">
        <f>_xlfn.IFS('Prepare Gantt Chart'!Y106=18,'Project types'!$L107,'Prepare Gantt Chart'!Y106=17,'Project types'!$L107,'Prepare Gantt Chart'!Y106=0,0)</f>
        <v>0</v>
      </c>
      <c r="AN117" s="83">
        <f>_xlfn.IFS('Prepare Gantt Chart'!Z106=18,'Project types'!$L107,'Prepare Gantt Chart'!Z106=17,'Project types'!$L107,'Prepare Gantt Chart'!Z106=0,0)</f>
        <v>0</v>
      </c>
      <c r="AO117" s="83">
        <f>_xlfn.IFS('Prepare Gantt Chart'!AA106=18,'Project types'!$L107,'Prepare Gantt Chart'!AA106=17,'Project types'!$L107,'Prepare Gantt Chart'!AA106=0,0)</f>
        <v>0</v>
      </c>
      <c r="AP117" s="83">
        <f>_xlfn.IFS('Prepare Gantt Chart'!AB106=18,'Project types'!$L107,'Prepare Gantt Chart'!AB106=17,'Project types'!$L107,'Prepare Gantt Chart'!AB106=0,0)</f>
        <v>0</v>
      </c>
      <c r="AQ117" s="83">
        <f>_xlfn.IFS('Prepare Gantt Chart'!AC106=18,'Project types'!$L107,'Prepare Gantt Chart'!AC106=17,'Project types'!$L107,'Prepare Gantt Chart'!AC106=0,0)</f>
        <v>0</v>
      </c>
      <c r="AR117" s="83">
        <f>_xlfn.IFS('Prepare Gantt Chart'!AD106=18,'Project types'!$L107,'Prepare Gantt Chart'!AD106=17,'Project types'!$L107,'Prepare Gantt Chart'!AD106=0,0)</f>
        <v>0</v>
      </c>
      <c r="AS117" s="83">
        <f>_xlfn.IFS('Prepare Gantt Chart'!AE106=18,'Project types'!$L107,'Prepare Gantt Chart'!AE106=17,'Project types'!$L107,'Prepare Gantt Chart'!AE106=0,0)</f>
        <v>0</v>
      </c>
      <c r="AT117" s="83">
        <f>_xlfn.IFS('Prepare Gantt Chart'!AF106=18,'Project types'!$L107,'Prepare Gantt Chart'!AF106=17,'Project types'!$L107,'Prepare Gantt Chart'!AF106=0,0)</f>
        <v>0</v>
      </c>
      <c r="AU117" s="83">
        <f>_xlfn.IFS('Prepare Gantt Chart'!AG106=18,'Project types'!$L107,'Prepare Gantt Chart'!AG106=17,'Project types'!$L107,'Prepare Gantt Chart'!AG106=0,0)</f>
        <v>0</v>
      </c>
      <c r="AV117" s="83">
        <f>_xlfn.IFS('Prepare Gantt Chart'!AH106=18,'Project types'!$L107,'Prepare Gantt Chart'!AH106=17,'Project types'!$L107,'Prepare Gantt Chart'!AH106=0,0)</f>
        <v>0</v>
      </c>
      <c r="AW117" s="83">
        <f>_xlfn.IFS('Prepare Gantt Chart'!AI106=18,'Project types'!$L107,'Prepare Gantt Chart'!AI106=17,'Project types'!$L107,'Prepare Gantt Chart'!AI106=0,0)</f>
        <v>0</v>
      </c>
      <c r="AX117" s="83">
        <f>_xlfn.IFS('Prepare Gantt Chart'!AJ106=18,'Project types'!$L107,'Prepare Gantt Chart'!AJ106=17,'Project types'!$L107,'Prepare Gantt Chart'!AJ106=0,0)</f>
        <v>0</v>
      </c>
      <c r="AY117" s="83">
        <f>_xlfn.IFS('Prepare Gantt Chart'!AK106=18,'Project types'!$L107,'Prepare Gantt Chart'!AK106=17,'Project types'!$L107,'Prepare Gantt Chart'!AK106=0,0)</f>
        <v>0</v>
      </c>
      <c r="AZ117" s="83">
        <f>_xlfn.IFS('Prepare Gantt Chart'!AL106=18,'Project types'!$L107,'Prepare Gantt Chart'!AL106=17,'Project types'!$L107,'Prepare Gantt Chart'!AL106=0,0)</f>
        <v>0</v>
      </c>
      <c r="BA117" s="83">
        <f>_xlfn.IFS('Prepare Gantt Chart'!AM106=18,'Project types'!$L107,'Prepare Gantt Chart'!AM106=17,'Project types'!$L107,'Prepare Gantt Chart'!AM106=0,0)</f>
        <v>0</v>
      </c>
      <c r="BB117" s="83">
        <f>_xlfn.IFS('Prepare Gantt Chart'!AN106=18,'Project types'!$L107,'Prepare Gantt Chart'!AN106=17,'Project types'!$L107,'Prepare Gantt Chart'!AN106=0,0)</f>
        <v>0</v>
      </c>
      <c r="BC117" s="83">
        <f>_xlfn.IFS('Prepare Gantt Chart'!AO106=18,'Project types'!$L107,'Prepare Gantt Chart'!AO106=17,'Project types'!$L107,'Prepare Gantt Chart'!AO106=0,0)</f>
        <v>0</v>
      </c>
      <c r="BD117" s="91">
        <f t="shared" si="3"/>
        <v>0</v>
      </c>
    </row>
    <row r="118" spans="1:56" x14ac:dyDescent="0.2">
      <c r="A118" s="1" t="s">
        <v>164</v>
      </c>
      <c r="B118" s="42" t="s">
        <v>99</v>
      </c>
      <c r="C118" s="83">
        <f>_xlfn.IFS('Prepare Gantt Chart'!P107=18,'Project types'!$O108,'Prepare Gantt Chart'!P107=17,'Project types'!$Q108,'Prepare Gantt Chart'!P107=0,0)</f>
        <v>0</v>
      </c>
      <c r="D118" s="83">
        <f>_xlfn.IFS('Prepare Gantt Chart'!Q107=18,'Project types'!$O108,'Prepare Gantt Chart'!Q107=17,'Project types'!$Q108,'Prepare Gantt Chart'!Q107=0,0)</f>
        <v>0</v>
      </c>
      <c r="E118" s="83">
        <f>_xlfn.IFS('Prepare Gantt Chart'!R107=18,'Project types'!$O108,'Prepare Gantt Chart'!R107=17,'Project types'!$Q108,'Prepare Gantt Chart'!R107=0,0)</f>
        <v>0</v>
      </c>
      <c r="F118" s="83">
        <f>_xlfn.IFS('Prepare Gantt Chart'!S107=18,'Project types'!$O108,'Prepare Gantt Chart'!S107=17,'Project types'!$Q108,'Prepare Gantt Chart'!S107=0,0)</f>
        <v>0</v>
      </c>
      <c r="G118" s="83">
        <f>_xlfn.IFS('Prepare Gantt Chart'!T107=18,'Project types'!$O108,'Prepare Gantt Chart'!T107=17,'Project types'!$Q108,'Prepare Gantt Chart'!T107=0,0)</f>
        <v>0</v>
      </c>
      <c r="H118" s="83">
        <f>_xlfn.IFS('Prepare Gantt Chart'!U107=18,'Project types'!$O108,'Prepare Gantt Chart'!U107=17,'Project types'!$Q108,'Prepare Gantt Chart'!U107=0,0)</f>
        <v>0</v>
      </c>
      <c r="I118" s="83">
        <f>_xlfn.IFS('Prepare Gantt Chart'!V107=18,'Project types'!$O108,'Prepare Gantt Chart'!V107=17,'Project types'!$Q108,'Prepare Gantt Chart'!V107=0,0)</f>
        <v>0</v>
      </c>
      <c r="J118" s="83">
        <f>_xlfn.IFS('Prepare Gantt Chart'!W107=18,'Project types'!$O108,'Prepare Gantt Chart'!W107=17,'Project types'!$Q108,'Prepare Gantt Chart'!W107=0,0)</f>
        <v>0</v>
      </c>
      <c r="K118" s="83">
        <f>_xlfn.IFS('Prepare Gantt Chart'!X107=18,'Project types'!$O108,'Prepare Gantt Chart'!X107=17,'Project types'!$Q108,'Prepare Gantt Chart'!X107=0,0)</f>
        <v>0</v>
      </c>
      <c r="L118" s="83">
        <f>_xlfn.IFS('Prepare Gantt Chart'!Y107=18,'Project types'!$O108,'Prepare Gantt Chart'!Y107=17,'Project types'!$Q108,'Prepare Gantt Chart'!Y107=0,0)</f>
        <v>0</v>
      </c>
      <c r="M118" s="83">
        <f>_xlfn.IFS('Prepare Gantt Chart'!Z107=18,'Project types'!$O108,'Prepare Gantt Chart'!Z107=17,'Project types'!$Q108,'Prepare Gantt Chart'!Z107=0,0)</f>
        <v>0</v>
      </c>
      <c r="N118" s="83">
        <f>_xlfn.IFS('Prepare Gantt Chart'!AA107=18,'Project types'!$O108,'Prepare Gantt Chart'!AA107=17,'Project types'!$Q108,'Prepare Gantt Chart'!AA107=0,0)</f>
        <v>0</v>
      </c>
      <c r="O118" s="83">
        <f>_xlfn.IFS('Prepare Gantt Chart'!AB107=18,'Project types'!$O108,'Prepare Gantt Chart'!AB107=17,'Project types'!$Q108,'Prepare Gantt Chart'!AB107=0,0)</f>
        <v>0</v>
      </c>
      <c r="P118" s="83">
        <f>_xlfn.IFS('Prepare Gantt Chart'!AC107=18,'Project types'!$O108,'Prepare Gantt Chart'!AC107=17,'Project types'!$Q108,'Prepare Gantt Chart'!AC107=0,0)</f>
        <v>0</v>
      </c>
      <c r="Q118" s="83">
        <f>_xlfn.IFS('Prepare Gantt Chart'!AD107=18,'Project types'!$O108,'Prepare Gantt Chart'!AD107=17,'Project types'!$Q108,'Prepare Gantt Chart'!AD107=0,0)</f>
        <v>0</v>
      </c>
      <c r="R118" s="83">
        <f>_xlfn.IFS('Prepare Gantt Chart'!AE107=18,'Project types'!$O108,'Prepare Gantt Chart'!AE107=17,'Project types'!$Q108,'Prepare Gantt Chart'!AE107=0,0)</f>
        <v>0</v>
      </c>
      <c r="S118" s="83">
        <f>_xlfn.IFS('Prepare Gantt Chart'!AF107=18,'Project types'!$O108,'Prepare Gantt Chart'!AF107=17,'Project types'!$Q108,'Prepare Gantt Chart'!AF107=0,0)</f>
        <v>0</v>
      </c>
      <c r="T118" s="83">
        <f>_xlfn.IFS('Prepare Gantt Chart'!AG107=18,'Project types'!$O108,'Prepare Gantt Chart'!AG107=17,'Project types'!$Q108,'Prepare Gantt Chart'!AG107=0,0)</f>
        <v>0</v>
      </c>
      <c r="U118" s="83">
        <f>_xlfn.IFS('Prepare Gantt Chart'!AH107=18,'Project types'!$O108,'Prepare Gantt Chart'!AH107=17,'Project types'!$Q108,'Prepare Gantt Chart'!AH107=0,0)</f>
        <v>0</v>
      </c>
      <c r="V118" s="83">
        <f>_xlfn.IFS('Prepare Gantt Chart'!AI107=18,'Project types'!$O108,'Prepare Gantt Chart'!AI107=17,'Project types'!$Q108,'Prepare Gantt Chart'!AI107=0,0)</f>
        <v>0</v>
      </c>
      <c r="W118" s="83">
        <f>_xlfn.IFS('Prepare Gantt Chart'!AJ107=18,'Project types'!$O108,'Prepare Gantt Chart'!AJ107=17,'Project types'!$Q108,'Prepare Gantt Chart'!AJ107=0,0)</f>
        <v>0</v>
      </c>
      <c r="X118" s="83">
        <f>_xlfn.IFS('Prepare Gantt Chart'!AK107=18,'Project types'!$O108,'Prepare Gantt Chart'!AK107=17,'Project types'!$Q108,'Prepare Gantt Chart'!AK107=0,0)</f>
        <v>0</v>
      </c>
      <c r="Y118" s="83">
        <f>_xlfn.IFS('Prepare Gantt Chart'!AL107=18,'Project types'!$O108,'Prepare Gantt Chart'!AL107=17,'Project types'!$Q108,'Prepare Gantt Chart'!AL107=0,0)</f>
        <v>0</v>
      </c>
      <c r="Z118" s="83">
        <f>_xlfn.IFS('Prepare Gantt Chart'!AM107=18,'Project types'!$O108,'Prepare Gantt Chart'!AM107=17,'Project types'!$Q108,'Prepare Gantt Chart'!AM107=0,0)</f>
        <v>0</v>
      </c>
      <c r="AA118" s="83">
        <f>_xlfn.IFS('Prepare Gantt Chart'!AN107=18,'Project types'!$O108,'Prepare Gantt Chart'!AN107=17,'Project types'!$Q108,'Prepare Gantt Chart'!AN107=0,0)</f>
        <v>0</v>
      </c>
      <c r="AB118" s="83">
        <f>_xlfn.IFS('Prepare Gantt Chart'!AO107=18,'Project types'!$O108,'Prepare Gantt Chart'!AO107=17,'Project types'!$Q108,'Prepare Gantt Chart'!AO107=0,0)</f>
        <v>0</v>
      </c>
      <c r="AC118" s="93">
        <f t="shared" si="2"/>
        <v>0</v>
      </c>
      <c r="AD118" s="86">
        <f>_xlfn.IFS('Prepare Gantt Chart'!P107=18,'Project types'!$L108,'Prepare Gantt Chart'!P107=17,'Project types'!$L108,'Prepare Gantt Chart'!P107=0,0)</f>
        <v>0</v>
      </c>
      <c r="AE118" s="83">
        <f>_xlfn.IFS('Prepare Gantt Chart'!Q107=18,'Project types'!$L108,'Prepare Gantt Chart'!Q107=17,'Project types'!$L108,'Prepare Gantt Chart'!Q107=0,0)</f>
        <v>0</v>
      </c>
      <c r="AF118" s="83">
        <f>_xlfn.IFS('Prepare Gantt Chart'!R107=18,'Project types'!$L108,'Prepare Gantt Chart'!R107=17,'Project types'!$L108,'Prepare Gantt Chart'!R107=0,0)</f>
        <v>0</v>
      </c>
      <c r="AG118" s="83">
        <f>_xlfn.IFS('Prepare Gantt Chart'!S107=18,'Project types'!$L108,'Prepare Gantt Chart'!S107=17,'Project types'!$L108,'Prepare Gantt Chart'!S107=0,0)</f>
        <v>0</v>
      </c>
      <c r="AH118" s="83">
        <f>_xlfn.IFS('Prepare Gantt Chart'!T107=18,'Project types'!$L108,'Prepare Gantt Chart'!T107=17,'Project types'!$L108,'Prepare Gantt Chart'!T107=0,0)</f>
        <v>0</v>
      </c>
      <c r="AI118" s="83">
        <f>_xlfn.IFS('Prepare Gantt Chart'!U107=18,'Project types'!$L108,'Prepare Gantt Chart'!U107=17,'Project types'!$L108,'Prepare Gantt Chart'!U107=0,0)</f>
        <v>0</v>
      </c>
      <c r="AJ118" s="83">
        <f>_xlfn.IFS('Prepare Gantt Chart'!V107=18,'Project types'!$L108,'Prepare Gantt Chart'!V107=17,'Project types'!$L108,'Prepare Gantt Chart'!V107=0,0)</f>
        <v>0</v>
      </c>
      <c r="AK118" s="83">
        <f>_xlfn.IFS('Prepare Gantt Chart'!W107=18,'Project types'!$L108,'Prepare Gantt Chart'!W107=17,'Project types'!$L108,'Prepare Gantt Chart'!W107=0,0)</f>
        <v>0</v>
      </c>
      <c r="AL118" s="83">
        <f>_xlfn.IFS('Prepare Gantt Chart'!X107=18,'Project types'!$L108,'Prepare Gantt Chart'!X107=17,'Project types'!$L108,'Prepare Gantt Chart'!X107=0,0)</f>
        <v>0</v>
      </c>
      <c r="AM118" s="83">
        <f>_xlfn.IFS('Prepare Gantt Chart'!Y107=18,'Project types'!$L108,'Prepare Gantt Chart'!Y107=17,'Project types'!$L108,'Prepare Gantt Chart'!Y107=0,0)</f>
        <v>0</v>
      </c>
      <c r="AN118" s="83">
        <f>_xlfn.IFS('Prepare Gantt Chart'!Z107=18,'Project types'!$L108,'Prepare Gantt Chart'!Z107=17,'Project types'!$L108,'Prepare Gantt Chart'!Z107=0,0)</f>
        <v>0</v>
      </c>
      <c r="AO118" s="83">
        <f>_xlfn.IFS('Prepare Gantt Chart'!AA107=18,'Project types'!$L108,'Prepare Gantt Chart'!AA107=17,'Project types'!$L108,'Prepare Gantt Chart'!AA107=0,0)</f>
        <v>0</v>
      </c>
      <c r="AP118" s="83">
        <f>_xlfn.IFS('Prepare Gantt Chart'!AB107=18,'Project types'!$L108,'Prepare Gantt Chart'!AB107=17,'Project types'!$L108,'Prepare Gantt Chart'!AB107=0,0)</f>
        <v>0</v>
      </c>
      <c r="AQ118" s="83">
        <f>_xlfn.IFS('Prepare Gantt Chart'!AC107=18,'Project types'!$L108,'Prepare Gantt Chart'!AC107=17,'Project types'!$L108,'Prepare Gantt Chart'!AC107=0,0)</f>
        <v>0</v>
      </c>
      <c r="AR118" s="83">
        <f>_xlfn.IFS('Prepare Gantt Chart'!AD107=18,'Project types'!$L108,'Prepare Gantt Chart'!AD107=17,'Project types'!$L108,'Prepare Gantt Chart'!AD107=0,0)</f>
        <v>0</v>
      </c>
      <c r="AS118" s="83">
        <f>_xlfn.IFS('Prepare Gantt Chart'!AE107=18,'Project types'!$L108,'Prepare Gantt Chart'!AE107=17,'Project types'!$L108,'Prepare Gantt Chart'!AE107=0,0)</f>
        <v>0</v>
      </c>
      <c r="AT118" s="83">
        <f>_xlfn.IFS('Prepare Gantt Chart'!AF107=18,'Project types'!$L108,'Prepare Gantt Chart'!AF107=17,'Project types'!$L108,'Prepare Gantt Chart'!AF107=0,0)</f>
        <v>0</v>
      </c>
      <c r="AU118" s="83">
        <f>_xlfn.IFS('Prepare Gantt Chart'!AG107=18,'Project types'!$L108,'Prepare Gantt Chart'!AG107=17,'Project types'!$L108,'Prepare Gantt Chart'!AG107=0,0)</f>
        <v>0</v>
      </c>
      <c r="AV118" s="83">
        <f>_xlfn.IFS('Prepare Gantt Chart'!AH107=18,'Project types'!$L108,'Prepare Gantt Chart'!AH107=17,'Project types'!$L108,'Prepare Gantt Chart'!AH107=0,0)</f>
        <v>0</v>
      </c>
      <c r="AW118" s="83">
        <f>_xlfn.IFS('Prepare Gantt Chart'!AI107=18,'Project types'!$L108,'Prepare Gantt Chart'!AI107=17,'Project types'!$L108,'Prepare Gantt Chart'!AI107=0,0)</f>
        <v>0</v>
      </c>
      <c r="AX118" s="83">
        <f>_xlfn.IFS('Prepare Gantt Chart'!AJ107=18,'Project types'!$L108,'Prepare Gantt Chart'!AJ107=17,'Project types'!$L108,'Prepare Gantt Chart'!AJ107=0,0)</f>
        <v>0</v>
      </c>
      <c r="AY118" s="83">
        <f>_xlfn.IFS('Prepare Gantt Chart'!AK107=18,'Project types'!$L108,'Prepare Gantt Chart'!AK107=17,'Project types'!$L108,'Prepare Gantt Chart'!AK107=0,0)</f>
        <v>0</v>
      </c>
      <c r="AZ118" s="83">
        <f>_xlfn.IFS('Prepare Gantt Chart'!AL107=18,'Project types'!$L108,'Prepare Gantt Chart'!AL107=17,'Project types'!$L108,'Prepare Gantt Chart'!AL107=0,0)</f>
        <v>0</v>
      </c>
      <c r="BA118" s="83">
        <f>_xlfn.IFS('Prepare Gantt Chart'!AM107=18,'Project types'!$L108,'Prepare Gantt Chart'!AM107=17,'Project types'!$L108,'Prepare Gantt Chart'!AM107=0,0)</f>
        <v>0</v>
      </c>
      <c r="BB118" s="83">
        <f>_xlfn.IFS('Prepare Gantt Chart'!AN107=18,'Project types'!$L108,'Prepare Gantt Chart'!AN107=17,'Project types'!$L108,'Prepare Gantt Chart'!AN107=0,0)</f>
        <v>0</v>
      </c>
      <c r="BC118" s="83">
        <f>_xlfn.IFS('Prepare Gantt Chart'!AO107=18,'Project types'!$L108,'Prepare Gantt Chart'!AO107=17,'Project types'!$L108,'Prepare Gantt Chart'!AO107=0,0)</f>
        <v>0</v>
      </c>
      <c r="BD118" s="91">
        <f t="shared" si="3"/>
        <v>0</v>
      </c>
    </row>
    <row r="119" spans="1:56" x14ac:dyDescent="0.2">
      <c r="A119" s="1" t="s">
        <v>165</v>
      </c>
      <c r="B119" s="42" t="s">
        <v>100</v>
      </c>
      <c r="C119" s="83">
        <f>_xlfn.IFS('Prepare Gantt Chart'!P108=18,'Project types'!$O109,'Prepare Gantt Chart'!P108=17,'Project types'!$Q109,'Prepare Gantt Chart'!P108=0,0)</f>
        <v>0</v>
      </c>
      <c r="D119" s="83">
        <f>_xlfn.IFS('Prepare Gantt Chart'!Q108=18,'Project types'!$O109,'Prepare Gantt Chart'!Q108=17,'Project types'!$Q109,'Prepare Gantt Chart'!Q108=0,0)</f>
        <v>0</v>
      </c>
      <c r="E119" s="83">
        <f>_xlfn.IFS('Prepare Gantt Chart'!R108=18,'Project types'!$O109,'Prepare Gantt Chart'!R108=17,'Project types'!$Q109,'Prepare Gantt Chart'!R108=0,0)</f>
        <v>0</v>
      </c>
      <c r="F119" s="83">
        <f>_xlfn.IFS('Prepare Gantt Chart'!S108=18,'Project types'!$O109,'Prepare Gantt Chart'!S108=17,'Project types'!$Q109,'Prepare Gantt Chart'!S108=0,0)</f>
        <v>0</v>
      </c>
      <c r="G119" s="83">
        <f>_xlfn.IFS('Prepare Gantt Chart'!T108=18,'Project types'!$O109,'Prepare Gantt Chart'!T108=17,'Project types'!$Q109,'Prepare Gantt Chart'!T108=0,0)</f>
        <v>0</v>
      </c>
      <c r="H119" s="83">
        <f>_xlfn.IFS('Prepare Gantt Chart'!U108=18,'Project types'!$O109,'Prepare Gantt Chart'!U108=17,'Project types'!$Q109,'Prepare Gantt Chart'!U108=0,0)</f>
        <v>0</v>
      </c>
      <c r="I119" s="83">
        <f>_xlfn.IFS('Prepare Gantt Chart'!V108=18,'Project types'!$O109,'Prepare Gantt Chart'!V108=17,'Project types'!$Q109,'Prepare Gantt Chart'!V108=0,0)</f>
        <v>0</v>
      </c>
      <c r="J119" s="83">
        <f>_xlfn.IFS('Prepare Gantt Chart'!W108=18,'Project types'!$O109,'Prepare Gantt Chart'!W108=17,'Project types'!$Q109,'Prepare Gantt Chart'!W108=0,0)</f>
        <v>0</v>
      </c>
      <c r="K119" s="83">
        <f>_xlfn.IFS('Prepare Gantt Chart'!X108=18,'Project types'!$O109,'Prepare Gantt Chart'!X108=17,'Project types'!$Q109,'Prepare Gantt Chart'!X108=0,0)</f>
        <v>0</v>
      </c>
      <c r="L119" s="83">
        <f>_xlfn.IFS('Prepare Gantt Chart'!Y108=18,'Project types'!$O109,'Prepare Gantt Chart'!Y108=17,'Project types'!$Q109,'Prepare Gantt Chart'!Y108=0,0)</f>
        <v>0</v>
      </c>
      <c r="M119" s="83">
        <f>_xlfn.IFS('Prepare Gantt Chart'!Z108=18,'Project types'!$O109,'Prepare Gantt Chart'!Z108=17,'Project types'!$Q109,'Prepare Gantt Chart'!Z108=0,0)</f>
        <v>0</v>
      </c>
      <c r="N119" s="83">
        <f>_xlfn.IFS('Prepare Gantt Chart'!AA108=18,'Project types'!$O109,'Prepare Gantt Chart'!AA108=17,'Project types'!$Q109,'Prepare Gantt Chart'!AA108=0,0)</f>
        <v>0</v>
      </c>
      <c r="O119" s="83">
        <f>_xlfn.IFS('Prepare Gantt Chart'!AB108=18,'Project types'!$O109,'Prepare Gantt Chart'!AB108=17,'Project types'!$Q109,'Prepare Gantt Chart'!AB108=0,0)</f>
        <v>0</v>
      </c>
      <c r="P119" s="83">
        <f>_xlfn.IFS('Prepare Gantt Chart'!AC108=18,'Project types'!$O109,'Prepare Gantt Chart'!AC108=17,'Project types'!$Q109,'Prepare Gantt Chart'!AC108=0,0)</f>
        <v>0</v>
      </c>
      <c r="Q119" s="83">
        <f>_xlfn.IFS('Prepare Gantt Chart'!AD108=18,'Project types'!$O109,'Prepare Gantt Chart'!AD108=17,'Project types'!$Q109,'Prepare Gantt Chart'!AD108=0,0)</f>
        <v>0</v>
      </c>
      <c r="R119" s="83">
        <f>_xlfn.IFS('Prepare Gantt Chart'!AE108=18,'Project types'!$O109,'Prepare Gantt Chart'!AE108=17,'Project types'!$Q109,'Prepare Gantt Chart'!AE108=0,0)</f>
        <v>0</v>
      </c>
      <c r="S119" s="83">
        <f>_xlfn.IFS('Prepare Gantt Chart'!AF108=18,'Project types'!$O109,'Prepare Gantt Chart'!AF108=17,'Project types'!$Q109,'Prepare Gantt Chart'!AF108=0,0)</f>
        <v>0</v>
      </c>
      <c r="T119" s="83">
        <f>_xlfn.IFS('Prepare Gantt Chart'!AG108=18,'Project types'!$O109,'Prepare Gantt Chart'!AG108=17,'Project types'!$Q109,'Prepare Gantt Chart'!AG108=0,0)</f>
        <v>0</v>
      </c>
      <c r="U119" s="83">
        <f>_xlfn.IFS('Prepare Gantt Chart'!AH108=18,'Project types'!$O109,'Prepare Gantt Chart'!AH108=17,'Project types'!$Q109,'Prepare Gantt Chart'!AH108=0,0)</f>
        <v>0</v>
      </c>
      <c r="V119" s="83">
        <f>_xlfn.IFS('Prepare Gantt Chart'!AI108=18,'Project types'!$O109,'Prepare Gantt Chart'!AI108=17,'Project types'!$Q109,'Prepare Gantt Chart'!AI108=0,0)</f>
        <v>0</v>
      </c>
      <c r="W119" s="83">
        <f>_xlfn.IFS('Prepare Gantt Chart'!AJ108=18,'Project types'!$O109,'Prepare Gantt Chart'!AJ108=17,'Project types'!$Q109,'Prepare Gantt Chart'!AJ108=0,0)</f>
        <v>0</v>
      </c>
      <c r="X119" s="83">
        <f>_xlfn.IFS('Prepare Gantt Chart'!AK108=18,'Project types'!$O109,'Prepare Gantt Chart'!AK108=17,'Project types'!$Q109,'Prepare Gantt Chart'!AK108=0,0)</f>
        <v>0</v>
      </c>
      <c r="Y119" s="83">
        <f>_xlfn.IFS('Prepare Gantt Chart'!AL108=18,'Project types'!$O109,'Prepare Gantt Chart'!AL108=17,'Project types'!$Q109,'Prepare Gantt Chart'!AL108=0,0)</f>
        <v>0</v>
      </c>
      <c r="Z119" s="83">
        <f>_xlfn.IFS('Prepare Gantt Chart'!AM108=18,'Project types'!$O109,'Prepare Gantt Chart'!AM108=17,'Project types'!$Q109,'Prepare Gantt Chart'!AM108=0,0)</f>
        <v>0</v>
      </c>
      <c r="AA119" s="83">
        <f>_xlfn.IFS('Prepare Gantt Chart'!AN108=18,'Project types'!$O109,'Prepare Gantt Chart'!AN108=17,'Project types'!$Q109,'Prepare Gantt Chart'!AN108=0,0)</f>
        <v>0</v>
      </c>
      <c r="AB119" s="83">
        <f>_xlfn.IFS('Prepare Gantt Chart'!AO108=18,'Project types'!$O109,'Prepare Gantt Chart'!AO108=17,'Project types'!$Q109,'Prepare Gantt Chart'!AO108=0,0)</f>
        <v>0</v>
      </c>
      <c r="AC119" s="93">
        <f t="shared" si="2"/>
        <v>0</v>
      </c>
      <c r="AD119" s="86">
        <f>_xlfn.IFS('Prepare Gantt Chart'!P108=18,'Project types'!$L109,'Prepare Gantt Chart'!P108=17,'Project types'!$L109,'Prepare Gantt Chart'!P108=0,0)</f>
        <v>0</v>
      </c>
      <c r="AE119" s="83">
        <f>_xlfn.IFS('Prepare Gantt Chart'!Q108=18,'Project types'!$L109,'Prepare Gantt Chart'!Q108=17,'Project types'!$L109,'Prepare Gantt Chart'!Q108=0,0)</f>
        <v>0</v>
      </c>
      <c r="AF119" s="83">
        <f>_xlfn.IFS('Prepare Gantt Chart'!R108=18,'Project types'!$L109,'Prepare Gantt Chart'!R108=17,'Project types'!$L109,'Prepare Gantt Chart'!R108=0,0)</f>
        <v>0</v>
      </c>
      <c r="AG119" s="83">
        <f>_xlfn.IFS('Prepare Gantt Chart'!S108=18,'Project types'!$L109,'Prepare Gantt Chart'!S108=17,'Project types'!$L109,'Prepare Gantt Chart'!S108=0,0)</f>
        <v>0</v>
      </c>
      <c r="AH119" s="83">
        <f>_xlfn.IFS('Prepare Gantt Chart'!T108=18,'Project types'!$L109,'Prepare Gantt Chart'!T108=17,'Project types'!$L109,'Prepare Gantt Chart'!T108=0,0)</f>
        <v>0</v>
      </c>
      <c r="AI119" s="83">
        <f>_xlfn.IFS('Prepare Gantt Chart'!U108=18,'Project types'!$L109,'Prepare Gantt Chart'!U108=17,'Project types'!$L109,'Prepare Gantt Chart'!U108=0,0)</f>
        <v>0</v>
      </c>
      <c r="AJ119" s="83">
        <f>_xlfn.IFS('Prepare Gantt Chart'!V108=18,'Project types'!$L109,'Prepare Gantt Chart'!V108=17,'Project types'!$L109,'Prepare Gantt Chart'!V108=0,0)</f>
        <v>0</v>
      </c>
      <c r="AK119" s="83">
        <f>_xlfn.IFS('Prepare Gantt Chart'!W108=18,'Project types'!$L109,'Prepare Gantt Chart'!W108=17,'Project types'!$L109,'Prepare Gantt Chart'!W108=0,0)</f>
        <v>0</v>
      </c>
      <c r="AL119" s="83">
        <f>_xlfn.IFS('Prepare Gantt Chart'!X108=18,'Project types'!$L109,'Prepare Gantt Chart'!X108=17,'Project types'!$L109,'Prepare Gantt Chart'!X108=0,0)</f>
        <v>0</v>
      </c>
      <c r="AM119" s="83">
        <f>_xlfn.IFS('Prepare Gantt Chart'!Y108=18,'Project types'!$L109,'Prepare Gantt Chart'!Y108=17,'Project types'!$L109,'Prepare Gantt Chart'!Y108=0,0)</f>
        <v>0</v>
      </c>
      <c r="AN119" s="83">
        <f>_xlfn.IFS('Prepare Gantt Chart'!Z108=18,'Project types'!$L109,'Prepare Gantt Chart'!Z108=17,'Project types'!$L109,'Prepare Gantt Chart'!Z108=0,0)</f>
        <v>0</v>
      </c>
      <c r="AO119" s="83">
        <f>_xlfn.IFS('Prepare Gantt Chart'!AA108=18,'Project types'!$L109,'Prepare Gantt Chart'!AA108=17,'Project types'!$L109,'Prepare Gantt Chart'!AA108=0,0)</f>
        <v>0</v>
      </c>
      <c r="AP119" s="83">
        <f>_xlfn.IFS('Prepare Gantt Chart'!AB108=18,'Project types'!$L109,'Prepare Gantt Chart'!AB108=17,'Project types'!$L109,'Prepare Gantt Chart'!AB108=0,0)</f>
        <v>0</v>
      </c>
      <c r="AQ119" s="83">
        <f>_xlfn.IFS('Prepare Gantt Chart'!AC108=18,'Project types'!$L109,'Prepare Gantt Chart'!AC108=17,'Project types'!$L109,'Prepare Gantt Chart'!AC108=0,0)</f>
        <v>0</v>
      </c>
      <c r="AR119" s="83">
        <f>_xlfn.IFS('Prepare Gantt Chart'!AD108=18,'Project types'!$L109,'Prepare Gantt Chart'!AD108=17,'Project types'!$L109,'Prepare Gantt Chart'!AD108=0,0)</f>
        <v>0</v>
      </c>
      <c r="AS119" s="83">
        <f>_xlfn.IFS('Prepare Gantt Chart'!AE108=18,'Project types'!$L109,'Prepare Gantt Chart'!AE108=17,'Project types'!$L109,'Prepare Gantt Chart'!AE108=0,0)</f>
        <v>0</v>
      </c>
      <c r="AT119" s="83">
        <f>_xlfn.IFS('Prepare Gantt Chart'!AF108=18,'Project types'!$L109,'Prepare Gantt Chart'!AF108=17,'Project types'!$L109,'Prepare Gantt Chart'!AF108=0,0)</f>
        <v>0</v>
      </c>
      <c r="AU119" s="83">
        <f>_xlfn.IFS('Prepare Gantt Chart'!AG108=18,'Project types'!$L109,'Prepare Gantt Chart'!AG108=17,'Project types'!$L109,'Prepare Gantt Chart'!AG108=0,0)</f>
        <v>0</v>
      </c>
      <c r="AV119" s="83">
        <f>_xlfn.IFS('Prepare Gantt Chart'!AH108=18,'Project types'!$L109,'Prepare Gantt Chart'!AH108=17,'Project types'!$L109,'Prepare Gantt Chart'!AH108=0,0)</f>
        <v>0</v>
      </c>
      <c r="AW119" s="83">
        <f>_xlfn.IFS('Prepare Gantt Chart'!AI108=18,'Project types'!$L109,'Prepare Gantt Chart'!AI108=17,'Project types'!$L109,'Prepare Gantt Chart'!AI108=0,0)</f>
        <v>0</v>
      </c>
      <c r="AX119" s="83">
        <f>_xlfn.IFS('Prepare Gantt Chart'!AJ108=18,'Project types'!$L109,'Prepare Gantt Chart'!AJ108=17,'Project types'!$L109,'Prepare Gantt Chart'!AJ108=0,0)</f>
        <v>0</v>
      </c>
      <c r="AY119" s="83">
        <f>_xlfn.IFS('Prepare Gantt Chart'!AK108=18,'Project types'!$L109,'Prepare Gantt Chart'!AK108=17,'Project types'!$L109,'Prepare Gantt Chart'!AK108=0,0)</f>
        <v>0</v>
      </c>
      <c r="AZ119" s="83">
        <f>_xlfn.IFS('Prepare Gantt Chart'!AL108=18,'Project types'!$L109,'Prepare Gantt Chart'!AL108=17,'Project types'!$L109,'Prepare Gantt Chart'!AL108=0,0)</f>
        <v>0</v>
      </c>
      <c r="BA119" s="83">
        <f>_xlfn.IFS('Prepare Gantt Chart'!AM108=18,'Project types'!$L109,'Prepare Gantt Chart'!AM108=17,'Project types'!$L109,'Prepare Gantt Chart'!AM108=0,0)</f>
        <v>0</v>
      </c>
      <c r="BB119" s="83">
        <f>_xlfn.IFS('Prepare Gantt Chart'!AN108=18,'Project types'!$L109,'Prepare Gantt Chart'!AN108=17,'Project types'!$L109,'Prepare Gantt Chart'!AN108=0,0)</f>
        <v>0</v>
      </c>
      <c r="BC119" s="83">
        <f>_xlfn.IFS('Prepare Gantt Chart'!AO108=18,'Project types'!$L109,'Prepare Gantt Chart'!AO108=17,'Project types'!$L109,'Prepare Gantt Chart'!AO108=0,0)</f>
        <v>0</v>
      </c>
      <c r="BD119" s="91">
        <f t="shared" si="3"/>
        <v>0</v>
      </c>
    </row>
    <row r="120" spans="1:56" x14ac:dyDescent="0.2">
      <c r="A120" s="1" t="s">
        <v>417</v>
      </c>
      <c r="B120" s="42" t="s">
        <v>101</v>
      </c>
      <c r="C120" s="83">
        <f>_xlfn.IFS('Prepare Gantt Chart'!P109=18,'Project types'!$O110,'Prepare Gantt Chart'!P109=17,'Project types'!$Q110,'Prepare Gantt Chart'!P109=0,0)</f>
        <v>0</v>
      </c>
      <c r="D120" s="83">
        <f>_xlfn.IFS('Prepare Gantt Chart'!Q109=18,'Project types'!$O110,'Prepare Gantt Chart'!Q109=17,'Project types'!$Q110,'Prepare Gantt Chart'!Q109=0,0)</f>
        <v>0</v>
      </c>
      <c r="E120" s="83">
        <f>_xlfn.IFS('Prepare Gantt Chart'!R109=18,'Project types'!$O110,'Prepare Gantt Chart'!R109=17,'Project types'!$Q110,'Prepare Gantt Chart'!R109=0,0)</f>
        <v>0</v>
      </c>
      <c r="F120" s="83">
        <f>_xlfn.IFS('Prepare Gantt Chart'!S109=18,'Project types'!$O110,'Prepare Gantt Chart'!S109=17,'Project types'!$Q110,'Prepare Gantt Chart'!S109=0,0)</f>
        <v>0</v>
      </c>
      <c r="G120" s="83">
        <f>_xlfn.IFS('Prepare Gantt Chart'!T109=18,'Project types'!$O110,'Prepare Gantt Chart'!T109=17,'Project types'!$Q110,'Prepare Gantt Chart'!T109=0,0)</f>
        <v>0</v>
      </c>
      <c r="H120" s="83">
        <f>_xlfn.IFS('Prepare Gantt Chart'!U109=18,'Project types'!$O110,'Prepare Gantt Chart'!U109=17,'Project types'!$Q110,'Prepare Gantt Chart'!U109=0,0)</f>
        <v>0</v>
      </c>
      <c r="I120" s="83">
        <f>_xlfn.IFS('Prepare Gantt Chart'!V109=18,'Project types'!$O110,'Prepare Gantt Chart'!V109=17,'Project types'!$Q110,'Prepare Gantt Chart'!V109=0,0)</f>
        <v>0</v>
      </c>
      <c r="J120" s="83">
        <f>_xlfn.IFS('Prepare Gantt Chart'!W109=18,'Project types'!$O110,'Prepare Gantt Chart'!W109=17,'Project types'!$Q110,'Prepare Gantt Chart'!W109=0,0)</f>
        <v>0</v>
      </c>
      <c r="K120" s="83">
        <f>_xlfn.IFS('Prepare Gantt Chart'!X109=18,'Project types'!$O110,'Prepare Gantt Chart'!X109=17,'Project types'!$Q110,'Prepare Gantt Chart'!X109=0,0)</f>
        <v>0</v>
      </c>
      <c r="L120" s="83">
        <f>_xlfn.IFS('Prepare Gantt Chart'!Y109=18,'Project types'!$O110,'Prepare Gantt Chart'!Y109=17,'Project types'!$Q110,'Prepare Gantt Chart'!Y109=0,0)</f>
        <v>0</v>
      </c>
      <c r="M120" s="83">
        <f>_xlfn.IFS('Prepare Gantt Chart'!Z109=18,'Project types'!$O110,'Prepare Gantt Chart'!Z109=17,'Project types'!$Q110,'Prepare Gantt Chart'!Z109=0,0)</f>
        <v>0</v>
      </c>
      <c r="N120" s="83">
        <f>_xlfn.IFS('Prepare Gantt Chart'!AA109=18,'Project types'!$O110,'Prepare Gantt Chart'!AA109=17,'Project types'!$Q110,'Prepare Gantt Chart'!AA109=0,0)</f>
        <v>0</v>
      </c>
      <c r="O120" s="83">
        <f>_xlfn.IFS('Prepare Gantt Chart'!AB109=18,'Project types'!$O110,'Prepare Gantt Chart'!AB109=17,'Project types'!$Q110,'Prepare Gantt Chart'!AB109=0,0)</f>
        <v>0</v>
      </c>
      <c r="P120" s="83">
        <f>_xlfn.IFS('Prepare Gantt Chart'!AC109=18,'Project types'!$O110,'Prepare Gantt Chart'!AC109=17,'Project types'!$Q110,'Prepare Gantt Chart'!AC109=0,0)</f>
        <v>0</v>
      </c>
      <c r="Q120" s="83">
        <f>_xlfn.IFS('Prepare Gantt Chart'!AD109=18,'Project types'!$O110,'Prepare Gantt Chart'!AD109=17,'Project types'!$Q110,'Prepare Gantt Chart'!AD109=0,0)</f>
        <v>0</v>
      </c>
      <c r="R120" s="83">
        <f>_xlfn.IFS('Prepare Gantt Chart'!AE109=18,'Project types'!$O110,'Prepare Gantt Chart'!AE109=17,'Project types'!$Q110,'Prepare Gantt Chart'!AE109=0,0)</f>
        <v>0</v>
      </c>
      <c r="S120" s="83">
        <f>_xlfn.IFS('Prepare Gantt Chart'!AF109=18,'Project types'!$O110,'Prepare Gantt Chart'!AF109=17,'Project types'!$Q110,'Prepare Gantt Chart'!AF109=0,0)</f>
        <v>0</v>
      </c>
      <c r="T120" s="83">
        <f>_xlfn.IFS('Prepare Gantt Chart'!AG109=18,'Project types'!$O110,'Prepare Gantt Chart'!AG109=17,'Project types'!$Q110,'Prepare Gantt Chart'!AG109=0,0)</f>
        <v>0</v>
      </c>
      <c r="U120" s="83">
        <f>_xlfn.IFS('Prepare Gantt Chart'!AH109=18,'Project types'!$O110,'Prepare Gantt Chart'!AH109=17,'Project types'!$Q110,'Prepare Gantt Chart'!AH109=0,0)</f>
        <v>0</v>
      </c>
      <c r="V120" s="83">
        <f>_xlfn.IFS('Prepare Gantt Chart'!AI109=18,'Project types'!$O110,'Prepare Gantt Chart'!AI109=17,'Project types'!$Q110,'Prepare Gantt Chart'!AI109=0,0)</f>
        <v>0</v>
      </c>
      <c r="W120" s="83">
        <f>_xlfn.IFS('Prepare Gantt Chart'!AJ109=18,'Project types'!$O110,'Prepare Gantt Chart'!AJ109=17,'Project types'!$Q110,'Prepare Gantt Chart'!AJ109=0,0)</f>
        <v>0</v>
      </c>
      <c r="X120" s="83">
        <f>_xlfn.IFS('Prepare Gantt Chart'!AK109=18,'Project types'!$O110,'Prepare Gantt Chart'!AK109=17,'Project types'!$Q110,'Prepare Gantt Chart'!AK109=0,0)</f>
        <v>0</v>
      </c>
      <c r="Y120" s="83">
        <f>_xlfn.IFS('Prepare Gantt Chart'!AL109=18,'Project types'!$O110,'Prepare Gantt Chart'!AL109=17,'Project types'!$Q110,'Prepare Gantt Chart'!AL109=0,0)</f>
        <v>0</v>
      </c>
      <c r="Z120" s="83">
        <f>_xlfn.IFS('Prepare Gantt Chart'!AM109=18,'Project types'!$O110,'Prepare Gantt Chart'!AM109=17,'Project types'!$Q110,'Prepare Gantt Chart'!AM109=0,0)</f>
        <v>0</v>
      </c>
      <c r="AA120" s="83">
        <f>_xlfn.IFS('Prepare Gantt Chart'!AN109=18,'Project types'!$O110,'Prepare Gantt Chart'!AN109=17,'Project types'!$Q110,'Prepare Gantt Chart'!AN109=0,0)</f>
        <v>0</v>
      </c>
      <c r="AB120" s="83">
        <f>_xlfn.IFS('Prepare Gantt Chart'!AO109=18,'Project types'!$O110,'Prepare Gantt Chart'!AO109=17,'Project types'!$Q110,'Prepare Gantt Chart'!AO109=0,0)</f>
        <v>0</v>
      </c>
      <c r="AC120" s="93">
        <f t="shared" si="2"/>
        <v>0</v>
      </c>
      <c r="AD120" s="86">
        <f>_xlfn.IFS('Prepare Gantt Chart'!P109=18,'Project types'!$L110,'Prepare Gantt Chart'!P109=17,'Project types'!$L110,'Prepare Gantt Chart'!P109=0,0)</f>
        <v>0</v>
      </c>
      <c r="AE120" s="83">
        <f>_xlfn.IFS('Prepare Gantt Chart'!Q109=18,'Project types'!$L110,'Prepare Gantt Chart'!Q109=17,'Project types'!$L110,'Prepare Gantt Chart'!Q109=0,0)</f>
        <v>0</v>
      </c>
      <c r="AF120" s="83">
        <f>_xlfn.IFS('Prepare Gantt Chart'!R109=18,'Project types'!$L110,'Prepare Gantt Chart'!R109=17,'Project types'!$L110,'Prepare Gantt Chart'!R109=0,0)</f>
        <v>0</v>
      </c>
      <c r="AG120" s="83">
        <f>_xlfn.IFS('Prepare Gantt Chart'!S109=18,'Project types'!$L110,'Prepare Gantt Chart'!S109=17,'Project types'!$L110,'Prepare Gantt Chart'!S109=0,0)</f>
        <v>0</v>
      </c>
      <c r="AH120" s="83">
        <f>_xlfn.IFS('Prepare Gantt Chart'!T109=18,'Project types'!$L110,'Prepare Gantt Chart'!T109=17,'Project types'!$L110,'Prepare Gantt Chart'!T109=0,0)</f>
        <v>0</v>
      </c>
      <c r="AI120" s="83">
        <f>_xlfn.IFS('Prepare Gantt Chart'!U109=18,'Project types'!$L110,'Prepare Gantt Chart'!U109=17,'Project types'!$L110,'Prepare Gantt Chart'!U109=0,0)</f>
        <v>0</v>
      </c>
      <c r="AJ120" s="83">
        <f>_xlfn.IFS('Prepare Gantt Chart'!V109=18,'Project types'!$L110,'Prepare Gantt Chart'!V109=17,'Project types'!$L110,'Prepare Gantt Chart'!V109=0,0)</f>
        <v>0</v>
      </c>
      <c r="AK120" s="83">
        <f>_xlfn.IFS('Prepare Gantt Chart'!W109=18,'Project types'!$L110,'Prepare Gantt Chart'!W109=17,'Project types'!$L110,'Prepare Gantt Chart'!W109=0,0)</f>
        <v>0</v>
      </c>
      <c r="AL120" s="83">
        <f>_xlfn.IFS('Prepare Gantt Chart'!X109=18,'Project types'!$L110,'Prepare Gantt Chart'!X109=17,'Project types'!$L110,'Prepare Gantt Chart'!X109=0,0)</f>
        <v>0</v>
      </c>
      <c r="AM120" s="83">
        <f>_xlfn.IFS('Prepare Gantt Chart'!Y109=18,'Project types'!$L110,'Prepare Gantt Chart'!Y109=17,'Project types'!$L110,'Prepare Gantt Chart'!Y109=0,0)</f>
        <v>0</v>
      </c>
      <c r="AN120" s="83">
        <f>_xlfn.IFS('Prepare Gantt Chart'!Z109=18,'Project types'!$L110,'Prepare Gantt Chart'!Z109=17,'Project types'!$L110,'Prepare Gantt Chart'!Z109=0,0)</f>
        <v>0</v>
      </c>
      <c r="AO120" s="83">
        <f>_xlfn.IFS('Prepare Gantt Chart'!AA109=18,'Project types'!$L110,'Prepare Gantt Chart'!AA109=17,'Project types'!$L110,'Prepare Gantt Chart'!AA109=0,0)</f>
        <v>0</v>
      </c>
      <c r="AP120" s="83">
        <f>_xlfn.IFS('Prepare Gantt Chart'!AB109=18,'Project types'!$L110,'Prepare Gantt Chart'!AB109=17,'Project types'!$L110,'Prepare Gantt Chart'!AB109=0,0)</f>
        <v>0</v>
      </c>
      <c r="AQ120" s="83">
        <f>_xlfn.IFS('Prepare Gantt Chart'!AC109=18,'Project types'!$L110,'Prepare Gantt Chart'!AC109=17,'Project types'!$L110,'Prepare Gantt Chart'!AC109=0,0)</f>
        <v>0</v>
      </c>
      <c r="AR120" s="83">
        <f>_xlfn.IFS('Prepare Gantt Chart'!AD109=18,'Project types'!$L110,'Prepare Gantt Chart'!AD109=17,'Project types'!$L110,'Prepare Gantt Chart'!AD109=0,0)</f>
        <v>0</v>
      </c>
      <c r="AS120" s="83">
        <f>_xlfn.IFS('Prepare Gantt Chart'!AE109=18,'Project types'!$L110,'Prepare Gantt Chart'!AE109=17,'Project types'!$L110,'Prepare Gantt Chart'!AE109=0,0)</f>
        <v>0</v>
      </c>
      <c r="AT120" s="83">
        <f>_xlfn.IFS('Prepare Gantt Chart'!AF109=18,'Project types'!$L110,'Prepare Gantt Chart'!AF109=17,'Project types'!$L110,'Prepare Gantt Chart'!AF109=0,0)</f>
        <v>0</v>
      </c>
      <c r="AU120" s="83">
        <f>_xlfn.IFS('Prepare Gantt Chart'!AG109=18,'Project types'!$L110,'Prepare Gantt Chart'!AG109=17,'Project types'!$L110,'Prepare Gantt Chart'!AG109=0,0)</f>
        <v>0</v>
      </c>
      <c r="AV120" s="83">
        <f>_xlfn.IFS('Prepare Gantt Chart'!AH109=18,'Project types'!$L110,'Prepare Gantt Chart'!AH109=17,'Project types'!$L110,'Prepare Gantt Chart'!AH109=0,0)</f>
        <v>0</v>
      </c>
      <c r="AW120" s="83">
        <f>_xlfn.IFS('Prepare Gantt Chart'!AI109=18,'Project types'!$L110,'Prepare Gantt Chart'!AI109=17,'Project types'!$L110,'Prepare Gantt Chart'!AI109=0,0)</f>
        <v>0</v>
      </c>
      <c r="AX120" s="83">
        <f>_xlfn.IFS('Prepare Gantt Chart'!AJ109=18,'Project types'!$L110,'Prepare Gantt Chart'!AJ109=17,'Project types'!$L110,'Prepare Gantt Chart'!AJ109=0,0)</f>
        <v>0</v>
      </c>
      <c r="AY120" s="83">
        <f>_xlfn.IFS('Prepare Gantt Chart'!AK109=18,'Project types'!$L110,'Prepare Gantt Chart'!AK109=17,'Project types'!$L110,'Prepare Gantt Chart'!AK109=0,0)</f>
        <v>0</v>
      </c>
      <c r="AZ120" s="83">
        <f>_xlfn.IFS('Prepare Gantt Chart'!AL109=18,'Project types'!$L110,'Prepare Gantt Chart'!AL109=17,'Project types'!$L110,'Prepare Gantt Chart'!AL109=0,0)</f>
        <v>0</v>
      </c>
      <c r="BA120" s="83">
        <f>_xlfn.IFS('Prepare Gantt Chart'!AM109=18,'Project types'!$L110,'Prepare Gantt Chart'!AM109=17,'Project types'!$L110,'Prepare Gantt Chart'!AM109=0,0)</f>
        <v>0</v>
      </c>
      <c r="BB120" s="83">
        <f>_xlfn.IFS('Prepare Gantt Chart'!AN109=18,'Project types'!$L110,'Prepare Gantt Chart'!AN109=17,'Project types'!$L110,'Prepare Gantt Chart'!AN109=0,0)</f>
        <v>0</v>
      </c>
      <c r="BC120" s="83">
        <f>_xlfn.IFS('Prepare Gantt Chart'!AO109=18,'Project types'!$L110,'Prepare Gantt Chart'!AO109=17,'Project types'!$L110,'Prepare Gantt Chart'!AO109=0,0)</f>
        <v>0</v>
      </c>
      <c r="BD120" s="91">
        <f t="shared" si="3"/>
        <v>0</v>
      </c>
    </row>
    <row r="121" spans="1:56" x14ac:dyDescent="0.2">
      <c r="A121" s="1" t="s">
        <v>166</v>
      </c>
      <c r="B121" s="42" t="s">
        <v>102</v>
      </c>
      <c r="C121" s="83">
        <f>_xlfn.IFS('Prepare Gantt Chart'!P110=18,'Project types'!$O111,'Prepare Gantt Chart'!P110=17,'Project types'!$Q111,'Prepare Gantt Chart'!P110=0,0)</f>
        <v>0</v>
      </c>
      <c r="D121" s="83">
        <f>_xlfn.IFS('Prepare Gantt Chart'!Q110=18,'Project types'!$O111,'Prepare Gantt Chart'!Q110=17,'Project types'!$Q111,'Prepare Gantt Chart'!Q110=0,0)</f>
        <v>0</v>
      </c>
      <c r="E121" s="83">
        <f>_xlfn.IFS('Prepare Gantt Chart'!R110=18,'Project types'!$O111,'Prepare Gantt Chart'!R110=17,'Project types'!$Q111,'Prepare Gantt Chart'!R110=0,0)</f>
        <v>0</v>
      </c>
      <c r="F121" s="83">
        <f>_xlfn.IFS('Prepare Gantt Chart'!S110=18,'Project types'!$O111,'Prepare Gantt Chart'!S110=17,'Project types'!$Q111,'Prepare Gantt Chart'!S110=0,0)</f>
        <v>0</v>
      </c>
      <c r="G121" s="83">
        <f>_xlfn.IFS('Prepare Gantt Chart'!T110=18,'Project types'!$O111,'Prepare Gantt Chart'!T110=17,'Project types'!$Q111,'Prepare Gantt Chart'!T110=0,0)</f>
        <v>0</v>
      </c>
      <c r="H121" s="83">
        <f>_xlfn.IFS('Prepare Gantt Chart'!U110=18,'Project types'!$O111,'Prepare Gantt Chart'!U110=17,'Project types'!$Q111,'Prepare Gantt Chart'!U110=0,0)</f>
        <v>0</v>
      </c>
      <c r="I121" s="83">
        <f>_xlfn.IFS('Prepare Gantt Chart'!V110=18,'Project types'!$O111,'Prepare Gantt Chart'!V110=17,'Project types'!$Q111,'Prepare Gantt Chart'!V110=0,0)</f>
        <v>0</v>
      </c>
      <c r="J121" s="83">
        <f>_xlfn.IFS('Prepare Gantt Chart'!W110=18,'Project types'!$O111,'Prepare Gantt Chart'!W110=17,'Project types'!$Q111,'Prepare Gantt Chart'!W110=0,0)</f>
        <v>0</v>
      </c>
      <c r="K121" s="83">
        <f>_xlfn.IFS('Prepare Gantt Chart'!X110=18,'Project types'!$O111,'Prepare Gantt Chart'!X110=17,'Project types'!$Q111,'Prepare Gantt Chart'!X110=0,0)</f>
        <v>0</v>
      </c>
      <c r="L121" s="83">
        <f>_xlfn.IFS('Prepare Gantt Chart'!Y110=18,'Project types'!$O111,'Prepare Gantt Chart'!Y110=17,'Project types'!$Q111,'Prepare Gantt Chart'!Y110=0,0)</f>
        <v>0</v>
      </c>
      <c r="M121" s="83">
        <f>_xlfn.IFS('Prepare Gantt Chart'!Z110=18,'Project types'!$O111,'Prepare Gantt Chart'!Z110=17,'Project types'!$Q111,'Prepare Gantt Chart'!Z110=0,0)</f>
        <v>0</v>
      </c>
      <c r="N121" s="83">
        <f>_xlfn.IFS('Prepare Gantt Chart'!AA110=18,'Project types'!$O111,'Prepare Gantt Chart'!AA110=17,'Project types'!$Q111,'Prepare Gantt Chart'!AA110=0,0)</f>
        <v>0</v>
      </c>
      <c r="O121" s="83">
        <f>_xlfn.IFS('Prepare Gantt Chart'!AB110=18,'Project types'!$O111,'Prepare Gantt Chart'!AB110=17,'Project types'!$Q111,'Prepare Gantt Chart'!AB110=0,0)</f>
        <v>0</v>
      </c>
      <c r="P121" s="83">
        <f>_xlfn.IFS('Prepare Gantt Chart'!AC110=18,'Project types'!$O111,'Prepare Gantt Chart'!AC110=17,'Project types'!$Q111,'Prepare Gantt Chart'!AC110=0,0)</f>
        <v>0</v>
      </c>
      <c r="Q121" s="83">
        <f>_xlfn.IFS('Prepare Gantt Chart'!AD110=18,'Project types'!$O111,'Prepare Gantt Chart'!AD110=17,'Project types'!$Q111,'Prepare Gantt Chart'!AD110=0,0)</f>
        <v>0</v>
      </c>
      <c r="R121" s="83">
        <f>_xlfn.IFS('Prepare Gantt Chart'!AE110=18,'Project types'!$O111,'Prepare Gantt Chart'!AE110=17,'Project types'!$Q111,'Prepare Gantt Chart'!AE110=0,0)</f>
        <v>0</v>
      </c>
      <c r="S121" s="83">
        <f>_xlfn.IFS('Prepare Gantt Chart'!AF110=18,'Project types'!$O111,'Prepare Gantt Chart'!AF110=17,'Project types'!$Q111,'Prepare Gantt Chart'!AF110=0,0)</f>
        <v>0</v>
      </c>
      <c r="T121" s="83">
        <f>_xlfn.IFS('Prepare Gantt Chart'!AG110=18,'Project types'!$O111,'Prepare Gantt Chart'!AG110=17,'Project types'!$Q111,'Prepare Gantt Chart'!AG110=0,0)</f>
        <v>0</v>
      </c>
      <c r="U121" s="83">
        <f>_xlfn.IFS('Prepare Gantt Chart'!AH110=18,'Project types'!$O111,'Prepare Gantt Chart'!AH110=17,'Project types'!$Q111,'Prepare Gantt Chart'!AH110=0,0)</f>
        <v>0</v>
      </c>
      <c r="V121" s="83">
        <f>_xlfn.IFS('Prepare Gantt Chart'!AI110=18,'Project types'!$O111,'Prepare Gantt Chart'!AI110=17,'Project types'!$Q111,'Prepare Gantt Chart'!AI110=0,0)</f>
        <v>0</v>
      </c>
      <c r="W121" s="83">
        <f>_xlfn.IFS('Prepare Gantt Chart'!AJ110=18,'Project types'!$O111,'Prepare Gantt Chart'!AJ110=17,'Project types'!$Q111,'Prepare Gantt Chart'!AJ110=0,0)</f>
        <v>0</v>
      </c>
      <c r="X121" s="83">
        <f>_xlfn.IFS('Prepare Gantt Chart'!AK110=18,'Project types'!$O111,'Prepare Gantt Chart'!AK110=17,'Project types'!$Q111,'Prepare Gantt Chart'!AK110=0,0)</f>
        <v>0</v>
      </c>
      <c r="Y121" s="83">
        <f>_xlfn.IFS('Prepare Gantt Chart'!AL110=18,'Project types'!$O111,'Prepare Gantt Chart'!AL110=17,'Project types'!$Q111,'Prepare Gantt Chart'!AL110=0,0)</f>
        <v>0</v>
      </c>
      <c r="Z121" s="83">
        <f>_xlfn.IFS('Prepare Gantt Chart'!AM110=18,'Project types'!$O111,'Prepare Gantt Chart'!AM110=17,'Project types'!$Q111,'Prepare Gantt Chart'!AM110=0,0)</f>
        <v>0</v>
      </c>
      <c r="AA121" s="83">
        <f>_xlfn.IFS('Prepare Gantt Chart'!AN110=18,'Project types'!$O111,'Prepare Gantt Chart'!AN110=17,'Project types'!$Q111,'Prepare Gantt Chart'!AN110=0,0)</f>
        <v>0</v>
      </c>
      <c r="AB121" s="83">
        <f>_xlfn.IFS('Prepare Gantt Chart'!AO110=18,'Project types'!$O111,'Prepare Gantt Chart'!AO110=17,'Project types'!$Q111,'Prepare Gantt Chart'!AO110=0,0)</f>
        <v>0</v>
      </c>
      <c r="AC121" s="93">
        <f t="shared" si="2"/>
        <v>0</v>
      </c>
      <c r="AD121" s="86">
        <f>_xlfn.IFS('Prepare Gantt Chart'!P110=18,'Project types'!$L111,'Prepare Gantt Chart'!P110=17,'Project types'!$L111,'Prepare Gantt Chart'!P110=0,0)</f>
        <v>0</v>
      </c>
      <c r="AE121" s="83">
        <f>_xlfn.IFS('Prepare Gantt Chart'!Q110=18,'Project types'!$L111,'Prepare Gantt Chart'!Q110=17,'Project types'!$L111,'Prepare Gantt Chart'!Q110=0,0)</f>
        <v>0</v>
      </c>
      <c r="AF121" s="83">
        <f>_xlfn.IFS('Prepare Gantt Chart'!R110=18,'Project types'!$L111,'Prepare Gantt Chart'!R110=17,'Project types'!$L111,'Prepare Gantt Chart'!R110=0,0)</f>
        <v>0</v>
      </c>
      <c r="AG121" s="83">
        <f>_xlfn.IFS('Prepare Gantt Chart'!S110=18,'Project types'!$L111,'Prepare Gantt Chart'!S110=17,'Project types'!$L111,'Prepare Gantt Chart'!S110=0,0)</f>
        <v>0</v>
      </c>
      <c r="AH121" s="83">
        <f>_xlfn.IFS('Prepare Gantt Chart'!T110=18,'Project types'!$L111,'Prepare Gantt Chart'!T110=17,'Project types'!$L111,'Prepare Gantt Chart'!T110=0,0)</f>
        <v>0</v>
      </c>
      <c r="AI121" s="83">
        <f>_xlfn.IFS('Prepare Gantt Chart'!U110=18,'Project types'!$L111,'Prepare Gantt Chart'!U110=17,'Project types'!$L111,'Prepare Gantt Chart'!U110=0,0)</f>
        <v>0</v>
      </c>
      <c r="AJ121" s="83">
        <f>_xlfn.IFS('Prepare Gantt Chart'!V110=18,'Project types'!$L111,'Prepare Gantt Chart'!V110=17,'Project types'!$L111,'Prepare Gantt Chart'!V110=0,0)</f>
        <v>0</v>
      </c>
      <c r="AK121" s="83">
        <f>_xlfn.IFS('Prepare Gantt Chart'!W110=18,'Project types'!$L111,'Prepare Gantt Chart'!W110=17,'Project types'!$L111,'Prepare Gantt Chart'!W110=0,0)</f>
        <v>0</v>
      </c>
      <c r="AL121" s="83">
        <f>_xlfn.IFS('Prepare Gantt Chart'!X110=18,'Project types'!$L111,'Prepare Gantt Chart'!X110=17,'Project types'!$L111,'Prepare Gantt Chart'!X110=0,0)</f>
        <v>0</v>
      </c>
      <c r="AM121" s="83">
        <f>_xlfn.IFS('Prepare Gantt Chart'!Y110=18,'Project types'!$L111,'Prepare Gantt Chart'!Y110=17,'Project types'!$L111,'Prepare Gantt Chart'!Y110=0,0)</f>
        <v>0</v>
      </c>
      <c r="AN121" s="83">
        <f>_xlfn.IFS('Prepare Gantt Chart'!Z110=18,'Project types'!$L111,'Prepare Gantt Chart'!Z110=17,'Project types'!$L111,'Prepare Gantt Chart'!Z110=0,0)</f>
        <v>0</v>
      </c>
      <c r="AO121" s="83">
        <f>_xlfn.IFS('Prepare Gantt Chart'!AA110=18,'Project types'!$L111,'Prepare Gantt Chart'!AA110=17,'Project types'!$L111,'Prepare Gantt Chart'!AA110=0,0)</f>
        <v>0</v>
      </c>
      <c r="AP121" s="83">
        <f>_xlfn.IFS('Prepare Gantt Chart'!AB110=18,'Project types'!$L111,'Prepare Gantt Chart'!AB110=17,'Project types'!$L111,'Prepare Gantt Chart'!AB110=0,0)</f>
        <v>0</v>
      </c>
      <c r="AQ121" s="83">
        <f>_xlfn.IFS('Prepare Gantt Chart'!AC110=18,'Project types'!$L111,'Prepare Gantt Chart'!AC110=17,'Project types'!$L111,'Prepare Gantt Chart'!AC110=0,0)</f>
        <v>0</v>
      </c>
      <c r="AR121" s="83">
        <f>_xlfn.IFS('Prepare Gantt Chart'!AD110=18,'Project types'!$L111,'Prepare Gantt Chart'!AD110=17,'Project types'!$L111,'Prepare Gantt Chart'!AD110=0,0)</f>
        <v>0</v>
      </c>
      <c r="AS121" s="83">
        <f>_xlfn.IFS('Prepare Gantt Chart'!AE110=18,'Project types'!$L111,'Prepare Gantt Chart'!AE110=17,'Project types'!$L111,'Prepare Gantt Chart'!AE110=0,0)</f>
        <v>0</v>
      </c>
      <c r="AT121" s="83">
        <f>_xlfn.IFS('Prepare Gantt Chart'!AF110=18,'Project types'!$L111,'Prepare Gantt Chart'!AF110=17,'Project types'!$L111,'Prepare Gantt Chart'!AF110=0,0)</f>
        <v>0</v>
      </c>
      <c r="AU121" s="83">
        <f>_xlfn.IFS('Prepare Gantt Chart'!AG110=18,'Project types'!$L111,'Prepare Gantt Chart'!AG110=17,'Project types'!$L111,'Prepare Gantt Chart'!AG110=0,0)</f>
        <v>0</v>
      </c>
      <c r="AV121" s="83">
        <f>_xlfn.IFS('Prepare Gantt Chart'!AH110=18,'Project types'!$L111,'Prepare Gantt Chart'!AH110=17,'Project types'!$L111,'Prepare Gantt Chart'!AH110=0,0)</f>
        <v>0</v>
      </c>
      <c r="AW121" s="83">
        <f>_xlfn.IFS('Prepare Gantt Chart'!AI110=18,'Project types'!$L111,'Prepare Gantt Chart'!AI110=17,'Project types'!$L111,'Prepare Gantt Chart'!AI110=0,0)</f>
        <v>0</v>
      </c>
      <c r="AX121" s="83">
        <f>_xlfn.IFS('Prepare Gantt Chart'!AJ110=18,'Project types'!$L111,'Prepare Gantt Chart'!AJ110=17,'Project types'!$L111,'Prepare Gantt Chart'!AJ110=0,0)</f>
        <v>0</v>
      </c>
      <c r="AY121" s="83">
        <f>_xlfn.IFS('Prepare Gantt Chart'!AK110=18,'Project types'!$L111,'Prepare Gantt Chart'!AK110=17,'Project types'!$L111,'Prepare Gantt Chart'!AK110=0,0)</f>
        <v>0</v>
      </c>
      <c r="AZ121" s="83">
        <f>_xlfn.IFS('Prepare Gantt Chart'!AL110=18,'Project types'!$L111,'Prepare Gantt Chart'!AL110=17,'Project types'!$L111,'Prepare Gantt Chart'!AL110=0,0)</f>
        <v>0</v>
      </c>
      <c r="BA121" s="83">
        <f>_xlfn.IFS('Prepare Gantt Chart'!AM110=18,'Project types'!$L111,'Prepare Gantt Chart'!AM110=17,'Project types'!$L111,'Prepare Gantt Chart'!AM110=0,0)</f>
        <v>0</v>
      </c>
      <c r="BB121" s="83">
        <f>_xlfn.IFS('Prepare Gantt Chart'!AN110=18,'Project types'!$L111,'Prepare Gantt Chart'!AN110=17,'Project types'!$L111,'Prepare Gantt Chart'!AN110=0,0)</f>
        <v>0</v>
      </c>
      <c r="BC121" s="83">
        <f>_xlfn.IFS('Prepare Gantt Chart'!AO110=18,'Project types'!$L111,'Prepare Gantt Chart'!AO110=17,'Project types'!$L111,'Prepare Gantt Chart'!AO110=0,0)</f>
        <v>0</v>
      </c>
      <c r="BD121" s="91">
        <f t="shared" si="3"/>
        <v>0</v>
      </c>
    </row>
    <row r="122" spans="1:56" x14ac:dyDescent="0.2">
      <c r="A122" s="1" t="s">
        <v>167</v>
      </c>
      <c r="B122" s="42" t="s">
        <v>103</v>
      </c>
      <c r="C122" s="83">
        <f>_xlfn.IFS('Prepare Gantt Chart'!P111=18,'Project types'!$O112,'Prepare Gantt Chart'!P111=17,'Project types'!$Q112,'Prepare Gantt Chart'!P111=0,0)</f>
        <v>0</v>
      </c>
      <c r="D122" s="83">
        <f>_xlfn.IFS('Prepare Gantt Chart'!Q111=18,'Project types'!$O112,'Prepare Gantt Chart'!Q111=17,'Project types'!$Q112,'Prepare Gantt Chart'!Q111=0,0)</f>
        <v>0</v>
      </c>
      <c r="E122" s="83">
        <f>_xlfn.IFS('Prepare Gantt Chart'!R111=18,'Project types'!$O112,'Prepare Gantt Chart'!R111=17,'Project types'!$Q112,'Prepare Gantt Chart'!R111=0,0)</f>
        <v>0</v>
      </c>
      <c r="F122" s="83">
        <f>_xlfn.IFS('Prepare Gantt Chart'!S111=18,'Project types'!$O112,'Prepare Gantt Chart'!S111=17,'Project types'!$Q112,'Prepare Gantt Chart'!S111=0,0)</f>
        <v>0</v>
      </c>
      <c r="G122" s="83">
        <f>_xlfn.IFS('Prepare Gantt Chart'!T111=18,'Project types'!$O112,'Prepare Gantt Chart'!T111=17,'Project types'!$Q112,'Prepare Gantt Chart'!T111=0,0)</f>
        <v>0</v>
      </c>
      <c r="H122" s="83">
        <f>_xlfn.IFS('Prepare Gantt Chart'!U111=18,'Project types'!$O112,'Prepare Gantt Chart'!U111=17,'Project types'!$Q112,'Prepare Gantt Chart'!U111=0,0)</f>
        <v>0</v>
      </c>
      <c r="I122" s="83">
        <f>_xlfn.IFS('Prepare Gantt Chart'!V111=18,'Project types'!$O112,'Prepare Gantt Chart'!V111=17,'Project types'!$Q112,'Prepare Gantt Chart'!V111=0,0)</f>
        <v>0</v>
      </c>
      <c r="J122" s="83">
        <f>_xlfn.IFS('Prepare Gantt Chart'!W111=18,'Project types'!$O112,'Prepare Gantt Chart'!W111=17,'Project types'!$Q112,'Prepare Gantt Chart'!W111=0,0)</f>
        <v>0</v>
      </c>
      <c r="K122" s="83">
        <f>_xlfn.IFS('Prepare Gantt Chart'!X111=18,'Project types'!$O112,'Prepare Gantt Chart'!X111=17,'Project types'!$Q112,'Prepare Gantt Chart'!X111=0,0)</f>
        <v>0</v>
      </c>
      <c r="L122" s="83">
        <f>_xlfn.IFS('Prepare Gantt Chart'!Y111=18,'Project types'!$O112,'Prepare Gantt Chart'!Y111=17,'Project types'!$Q112,'Prepare Gantt Chart'!Y111=0,0)</f>
        <v>0</v>
      </c>
      <c r="M122" s="83">
        <f>_xlfn.IFS('Prepare Gantt Chart'!Z111=18,'Project types'!$O112,'Prepare Gantt Chart'!Z111=17,'Project types'!$Q112,'Prepare Gantt Chart'!Z111=0,0)</f>
        <v>0</v>
      </c>
      <c r="N122" s="83">
        <f>_xlfn.IFS('Prepare Gantt Chart'!AA111=18,'Project types'!$O112,'Prepare Gantt Chart'!AA111=17,'Project types'!$Q112,'Prepare Gantt Chart'!AA111=0,0)</f>
        <v>0</v>
      </c>
      <c r="O122" s="83">
        <f>_xlfn.IFS('Prepare Gantt Chart'!AB111=18,'Project types'!$O112,'Prepare Gantt Chart'!AB111=17,'Project types'!$Q112,'Prepare Gantt Chart'!AB111=0,0)</f>
        <v>0</v>
      </c>
      <c r="P122" s="83">
        <f>_xlfn.IFS('Prepare Gantt Chart'!AC111=18,'Project types'!$O112,'Prepare Gantt Chart'!AC111=17,'Project types'!$Q112,'Prepare Gantt Chart'!AC111=0,0)</f>
        <v>0</v>
      </c>
      <c r="Q122" s="83">
        <f>_xlfn.IFS('Prepare Gantt Chart'!AD111=18,'Project types'!$O112,'Prepare Gantt Chart'!AD111=17,'Project types'!$Q112,'Prepare Gantt Chart'!AD111=0,0)</f>
        <v>0</v>
      </c>
      <c r="R122" s="83">
        <f>_xlfn.IFS('Prepare Gantt Chart'!AE111=18,'Project types'!$O112,'Prepare Gantt Chart'!AE111=17,'Project types'!$Q112,'Prepare Gantt Chart'!AE111=0,0)</f>
        <v>0</v>
      </c>
      <c r="S122" s="83">
        <f>_xlfn.IFS('Prepare Gantt Chart'!AF111=18,'Project types'!$O112,'Prepare Gantt Chart'!AF111=17,'Project types'!$Q112,'Prepare Gantt Chart'!AF111=0,0)</f>
        <v>0</v>
      </c>
      <c r="T122" s="83">
        <f>_xlfn.IFS('Prepare Gantt Chart'!AG111=18,'Project types'!$O112,'Prepare Gantt Chart'!AG111=17,'Project types'!$Q112,'Prepare Gantt Chart'!AG111=0,0)</f>
        <v>0</v>
      </c>
      <c r="U122" s="83">
        <f>_xlfn.IFS('Prepare Gantt Chart'!AH111=18,'Project types'!$O112,'Prepare Gantt Chart'!AH111=17,'Project types'!$Q112,'Prepare Gantt Chart'!AH111=0,0)</f>
        <v>0</v>
      </c>
      <c r="V122" s="83">
        <f>_xlfn.IFS('Prepare Gantt Chart'!AI111=18,'Project types'!$O112,'Prepare Gantt Chart'!AI111=17,'Project types'!$Q112,'Prepare Gantt Chart'!AI111=0,0)</f>
        <v>0</v>
      </c>
      <c r="W122" s="83">
        <f>_xlfn.IFS('Prepare Gantt Chart'!AJ111=18,'Project types'!$O112,'Prepare Gantt Chart'!AJ111=17,'Project types'!$Q112,'Prepare Gantt Chart'!AJ111=0,0)</f>
        <v>0</v>
      </c>
      <c r="X122" s="83">
        <f>_xlfn.IFS('Prepare Gantt Chart'!AK111=18,'Project types'!$O112,'Prepare Gantt Chart'!AK111=17,'Project types'!$Q112,'Prepare Gantt Chart'!AK111=0,0)</f>
        <v>0</v>
      </c>
      <c r="Y122" s="83">
        <f>_xlfn.IFS('Prepare Gantt Chart'!AL111=18,'Project types'!$O112,'Prepare Gantt Chart'!AL111=17,'Project types'!$Q112,'Prepare Gantt Chart'!AL111=0,0)</f>
        <v>0</v>
      </c>
      <c r="Z122" s="83">
        <f>_xlfn.IFS('Prepare Gantt Chart'!AM111=18,'Project types'!$O112,'Prepare Gantt Chart'!AM111=17,'Project types'!$Q112,'Prepare Gantt Chart'!AM111=0,0)</f>
        <v>0</v>
      </c>
      <c r="AA122" s="83">
        <f>_xlfn.IFS('Prepare Gantt Chart'!AN111=18,'Project types'!$O112,'Prepare Gantt Chart'!AN111=17,'Project types'!$Q112,'Prepare Gantt Chart'!AN111=0,0)</f>
        <v>0</v>
      </c>
      <c r="AB122" s="83">
        <f>_xlfn.IFS('Prepare Gantt Chart'!AO111=18,'Project types'!$O112,'Prepare Gantt Chart'!AO111=17,'Project types'!$Q112,'Prepare Gantt Chart'!AO111=0,0)</f>
        <v>0</v>
      </c>
      <c r="AC122" s="93">
        <f t="shared" si="2"/>
        <v>0</v>
      </c>
      <c r="AD122" s="86">
        <f>_xlfn.IFS('Prepare Gantt Chart'!P111=18,'Project types'!$L112,'Prepare Gantt Chart'!P111=17,'Project types'!$L112,'Prepare Gantt Chart'!P111=0,0)</f>
        <v>0</v>
      </c>
      <c r="AE122" s="83">
        <f>_xlfn.IFS('Prepare Gantt Chart'!Q111=18,'Project types'!$L112,'Prepare Gantt Chart'!Q111=17,'Project types'!$L112,'Prepare Gantt Chart'!Q111=0,0)</f>
        <v>0</v>
      </c>
      <c r="AF122" s="83">
        <f>_xlfn.IFS('Prepare Gantt Chart'!R111=18,'Project types'!$L112,'Prepare Gantt Chart'!R111=17,'Project types'!$L112,'Prepare Gantt Chart'!R111=0,0)</f>
        <v>0</v>
      </c>
      <c r="AG122" s="83">
        <f>_xlfn.IFS('Prepare Gantt Chart'!S111=18,'Project types'!$L112,'Prepare Gantt Chart'!S111=17,'Project types'!$L112,'Prepare Gantt Chart'!S111=0,0)</f>
        <v>0</v>
      </c>
      <c r="AH122" s="83">
        <f>_xlfn.IFS('Prepare Gantt Chart'!T111=18,'Project types'!$L112,'Prepare Gantt Chart'!T111=17,'Project types'!$L112,'Prepare Gantt Chart'!T111=0,0)</f>
        <v>0</v>
      </c>
      <c r="AI122" s="83">
        <f>_xlfn.IFS('Prepare Gantt Chart'!U111=18,'Project types'!$L112,'Prepare Gantt Chart'!U111=17,'Project types'!$L112,'Prepare Gantt Chart'!U111=0,0)</f>
        <v>0</v>
      </c>
      <c r="AJ122" s="83">
        <f>_xlfn.IFS('Prepare Gantt Chart'!V111=18,'Project types'!$L112,'Prepare Gantt Chart'!V111=17,'Project types'!$L112,'Prepare Gantt Chart'!V111=0,0)</f>
        <v>0</v>
      </c>
      <c r="AK122" s="83">
        <f>_xlfn.IFS('Prepare Gantt Chart'!W111=18,'Project types'!$L112,'Prepare Gantt Chart'!W111=17,'Project types'!$L112,'Prepare Gantt Chart'!W111=0,0)</f>
        <v>0</v>
      </c>
      <c r="AL122" s="83">
        <f>_xlfn.IFS('Prepare Gantt Chart'!X111=18,'Project types'!$L112,'Prepare Gantt Chart'!X111=17,'Project types'!$L112,'Prepare Gantt Chart'!X111=0,0)</f>
        <v>0</v>
      </c>
      <c r="AM122" s="83">
        <f>_xlfn.IFS('Prepare Gantt Chart'!Y111=18,'Project types'!$L112,'Prepare Gantt Chart'!Y111=17,'Project types'!$L112,'Prepare Gantt Chart'!Y111=0,0)</f>
        <v>0</v>
      </c>
      <c r="AN122" s="83">
        <f>_xlfn.IFS('Prepare Gantt Chart'!Z111=18,'Project types'!$L112,'Prepare Gantt Chart'!Z111=17,'Project types'!$L112,'Prepare Gantt Chart'!Z111=0,0)</f>
        <v>0</v>
      </c>
      <c r="AO122" s="83">
        <f>_xlfn.IFS('Prepare Gantt Chart'!AA111=18,'Project types'!$L112,'Prepare Gantt Chart'!AA111=17,'Project types'!$L112,'Prepare Gantt Chart'!AA111=0,0)</f>
        <v>0</v>
      </c>
      <c r="AP122" s="83">
        <f>_xlfn.IFS('Prepare Gantt Chart'!AB111=18,'Project types'!$L112,'Prepare Gantt Chart'!AB111=17,'Project types'!$L112,'Prepare Gantt Chart'!AB111=0,0)</f>
        <v>0</v>
      </c>
      <c r="AQ122" s="83">
        <f>_xlfn.IFS('Prepare Gantt Chart'!AC111=18,'Project types'!$L112,'Prepare Gantt Chart'!AC111=17,'Project types'!$L112,'Prepare Gantt Chart'!AC111=0,0)</f>
        <v>0</v>
      </c>
      <c r="AR122" s="83">
        <f>_xlfn.IFS('Prepare Gantt Chart'!AD111=18,'Project types'!$L112,'Prepare Gantt Chart'!AD111=17,'Project types'!$L112,'Prepare Gantt Chart'!AD111=0,0)</f>
        <v>0</v>
      </c>
      <c r="AS122" s="83">
        <f>_xlfn.IFS('Prepare Gantt Chart'!AE111=18,'Project types'!$L112,'Prepare Gantt Chart'!AE111=17,'Project types'!$L112,'Prepare Gantt Chart'!AE111=0,0)</f>
        <v>0</v>
      </c>
      <c r="AT122" s="83">
        <f>_xlfn.IFS('Prepare Gantt Chart'!AF111=18,'Project types'!$L112,'Prepare Gantt Chart'!AF111=17,'Project types'!$L112,'Prepare Gantt Chart'!AF111=0,0)</f>
        <v>0</v>
      </c>
      <c r="AU122" s="83">
        <f>_xlfn.IFS('Prepare Gantt Chart'!AG111=18,'Project types'!$L112,'Prepare Gantt Chart'!AG111=17,'Project types'!$L112,'Prepare Gantt Chart'!AG111=0,0)</f>
        <v>0</v>
      </c>
      <c r="AV122" s="83">
        <f>_xlfn.IFS('Prepare Gantt Chart'!AH111=18,'Project types'!$L112,'Prepare Gantt Chart'!AH111=17,'Project types'!$L112,'Prepare Gantt Chart'!AH111=0,0)</f>
        <v>0</v>
      </c>
      <c r="AW122" s="83">
        <f>_xlfn.IFS('Prepare Gantt Chart'!AI111=18,'Project types'!$L112,'Prepare Gantt Chart'!AI111=17,'Project types'!$L112,'Prepare Gantt Chart'!AI111=0,0)</f>
        <v>0</v>
      </c>
      <c r="AX122" s="83">
        <f>_xlfn.IFS('Prepare Gantt Chart'!AJ111=18,'Project types'!$L112,'Prepare Gantt Chart'!AJ111=17,'Project types'!$L112,'Prepare Gantt Chart'!AJ111=0,0)</f>
        <v>0</v>
      </c>
      <c r="AY122" s="83">
        <f>_xlfn.IFS('Prepare Gantt Chart'!AK111=18,'Project types'!$L112,'Prepare Gantt Chart'!AK111=17,'Project types'!$L112,'Prepare Gantt Chart'!AK111=0,0)</f>
        <v>0</v>
      </c>
      <c r="AZ122" s="83">
        <f>_xlfn.IFS('Prepare Gantt Chart'!AL111=18,'Project types'!$L112,'Prepare Gantt Chart'!AL111=17,'Project types'!$L112,'Prepare Gantt Chart'!AL111=0,0)</f>
        <v>0</v>
      </c>
      <c r="BA122" s="83">
        <f>_xlfn.IFS('Prepare Gantt Chart'!AM111=18,'Project types'!$L112,'Prepare Gantt Chart'!AM111=17,'Project types'!$L112,'Prepare Gantt Chart'!AM111=0,0)</f>
        <v>0</v>
      </c>
      <c r="BB122" s="83">
        <f>_xlfn.IFS('Prepare Gantt Chart'!AN111=18,'Project types'!$L112,'Prepare Gantt Chart'!AN111=17,'Project types'!$L112,'Prepare Gantt Chart'!AN111=0,0)</f>
        <v>0</v>
      </c>
      <c r="BC122" s="83">
        <f>_xlfn.IFS('Prepare Gantt Chart'!AO111=18,'Project types'!$L112,'Prepare Gantt Chart'!AO111=17,'Project types'!$L112,'Prepare Gantt Chart'!AO111=0,0)</f>
        <v>0</v>
      </c>
      <c r="BD122" s="91">
        <f t="shared" si="3"/>
        <v>0</v>
      </c>
    </row>
    <row r="123" spans="1:56" x14ac:dyDescent="0.2">
      <c r="A123" s="1" t="s">
        <v>168</v>
      </c>
      <c r="B123" s="42" t="s">
        <v>104</v>
      </c>
      <c r="C123" s="83">
        <f>_xlfn.IFS('Prepare Gantt Chart'!P112=18,'Project types'!$O113,'Prepare Gantt Chart'!P112=17,'Project types'!$Q113,'Prepare Gantt Chart'!P112=0,0)</f>
        <v>0</v>
      </c>
      <c r="D123" s="83">
        <f>_xlfn.IFS('Prepare Gantt Chart'!Q112=18,'Project types'!$O113,'Prepare Gantt Chart'!Q112=17,'Project types'!$Q113,'Prepare Gantt Chart'!Q112=0,0)</f>
        <v>0</v>
      </c>
      <c r="E123" s="83">
        <f>_xlfn.IFS('Prepare Gantt Chart'!R112=18,'Project types'!$O113,'Prepare Gantt Chart'!R112=17,'Project types'!$Q113,'Prepare Gantt Chart'!R112=0,0)</f>
        <v>0</v>
      </c>
      <c r="F123" s="83">
        <f>_xlfn.IFS('Prepare Gantt Chart'!S112=18,'Project types'!$O113,'Prepare Gantt Chart'!S112=17,'Project types'!$Q113,'Prepare Gantt Chart'!S112=0,0)</f>
        <v>0</v>
      </c>
      <c r="G123" s="83">
        <f>_xlfn.IFS('Prepare Gantt Chart'!T112=18,'Project types'!$O113,'Prepare Gantt Chart'!T112=17,'Project types'!$Q113,'Prepare Gantt Chart'!T112=0,0)</f>
        <v>0</v>
      </c>
      <c r="H123" s="83">
        <f>_xlfn.IFS('Prepare Gantt Chart'!U112=18,'Project types'!$O113,'Prepare Gantt Chart'!U112=17,'Project types'!$Q113,'Prepare Gantt Chart'!U112=0,0)</f>
        <v>0</v>
      </c>
      <c r="I123" s="83">
        <f>_xlfn.IFS('Prepare Gantt Chart'!V112=18,'Project types'!$O113,'Prepare Gantt Chart'!V112=17,'Project types'!$Q113,'Prepare Gantt Chart'!V112=0,0)</f>
        <v>0</v>
      </c>
      <c r="J123" s="83">
        <f>_xlfn.IFS('Prepare Gantt Chart'!W112=18,'Project types'!$O113,'Prepare Gantt Chart'!W112=17,'Project types'!$Q113,'Prepare Gantt Chart'!W112=0,0)</f>
        <v>0</v>
      </c>
      <c r="K123" s="83">
        <f>_xlfn.IFS('Prepare Gantt Chart'!X112=18,'Project types'!$O113,'Prepare Gantt Chart'!X112=17,'Project types'!$Q113,'Prepare Gantt Chart'!X112=0,0)</f>
        <v>0</v>
      </c>
      <c r="L123" s="83">
        <f>_xlfn.IFS('Prepare Gantt Chart'!Y112=18,'Project types'!$O113,'Prepare Gantt Chart'!Y112=17,'Project types'!$Q113,'Prepare Gantt Chart'!Y112=0,0)</f>
        <v>0</v>
      </c>
      <c r="M123" s="83">
        <f>_xlfn.IFS('Prepare Gantt Chart'!Z112=18,'Project types'!$O113,'Prepare Gantt Chart'!Z112=17,'Project types'!$Q113,'Prepare Gantt Chart'!Z112=0,0)</f>
        <v>0</v>
      </c>
      <c r="N123" s="83">
        <f>_xlfn.IFS('Prepare Gantt Chart'!AA112=18,'Project types'!$O113,'Prepare Gantt Chart'!AA112=17,'Project types'!$Q113,'Prepare Gantt Chart'!AA112=0,0)</f>
        <v>0</v>
      </c>
      <c r="O123" s="83">
        <f>_xlfn.IFS('Prepare Gantt Chart'!AB112=18,'Project types'!$O113,'Prepare Gantt Chart'!AB112=17,'Project types'!$Q113,'Prepare Gantt Chart'!AB112=0,0)</f>
        <v>0</v>
      </c>
      <c r="P123" s="83">
        <f>_xlfn.IFS('Prepare Gantt Chart'!AC112=18,'Project types'!$O113,'Prepare Gantt Chart'!AC112=17,'Project types'!$Q113,'Prepare Gantt Chart'!AC112=0,0)</f>
        <v>0</v>
      </c>
      <c r="Q123" s="83">
        <f>_xlfn.IFS('Prepare Gantt Chart'!AD112=18,'Project types'!$O113,'Prepare Gantt Chart'!AD112=17,'Project types'!$Q113,'Prepare Gantt Chart'!AD112=0,0)</f>
        <v>0</v>
      </c>
      <c r="R123" s="83">
        <f>_xlfn.IFS('Prepare Gantt Chart'!AE112=18,'Project types'!$O113,'Prepare Gantt Chart'!AE112=17,'Project types'!$Q113,'Prepare Gantt Chart'!AE112=0,0)</f>
        <v>0</v>
      </c>
      <c r="S123" s="83">
        <f>_xlfn.IFS('Prepare Gantt Chart'!AF112=18,'Project types'!$O113,'Prepare Gantt Chart'!AF112=17,'Project types'!$Q113,'Prepare Gantt Chart'!AF112=0,0)</f>
        <v>0</v>
      </c>
      <c r="T123" s="83">
        <f>_xlfn.IFS('Prepare Gantt Chart'!AG112=18,'Project types'!$O113,'Prepare Gantt Chart'!AG112=17,'Project types'!$Q113,'Prepare Gantt Chart'!AG112=0,0)</f>
        <v>0</v>
      </c>
      <c r="U123" s="83">
        <f>_xlfn.IFS('Prepare Gantt Chart'!AH112=18,'Project types'!$O113,'Prepare Gantt Chart'!AH112=17,'Project types'!$Q113,'Prepare Gantt Chart'!AH112=0,0)</f>
        <v>0</v>
      </c>
      <c r="V123" s="83">
        <f>_xlfn.IFS('Prepare Gantt Chart'!AI112=18,'Project types'!$O113,'Prepare Gantt Chart'!AI112=17,'Project types'!$Q113,'Prepare Gantt Chart'!AI112=0,0)</f>
        <v>0</v>
      </c>
      <c r="W123" s="83">
        <f>_xlfn.IFS('Prepare Gantt Chart'!AJ112=18,'Project types'!$O113,'Prepare Gantt Chart'!AJ112=17,'Project types'!$Q113,'Prepare Gantt Chart'!AJ112=0,0)</f>
        <v>0</v>
      </c>
      <c r="X123" s="83">
        <f>_xlfn.IFS('Prepare Gantt Chart'!AK112=18,'Project types'!$O113,'Prepare Gantt Chart'!AK112=17,'Project types'!$Q113,'Prepare Gantt Chart'!AK112=0,0)</f>
        <v>0</v>
      </c>
      <c r="Y123" s="83">
        <f>_xlfn.IFS('Prepare Gantt Chart'!AL112=18,'Project types'!$O113,'Prepare Gantt Chart'!AL112=17,'Project types'!$Q113,'Prepare Gantt Chart'!AL112=0,0)</f>
        <v>0</v>
      </c>
      <c r="Z123" s="83">
        <f>_xlfn.IFS('Prepare Gantt Chart'!AM112=18,'Project types'!$O113,'Prepare Gantt Chart'!AM112=17,'Project types'!$Q113,'Prepare Gantt Chart'!AM112=0,0)</f>
        <v>0</v>
      </c>
      <c r="AA123" s="83">
        <f>_xlfn.IFS('Prepare Gantt Chart'!AN112=18,'Project types'!$O113,'Prepare Gantt Chart'!AN112=17,'Project types'!$Q113,'Prepare Gantt Chart'!AN112=0,0)</f>
        <v>0</v>
      </c>
      <c r="AB123" s="83">
        <f>_xlfn.IFS('Prepare Gantt Chart'!AO112=18,'Project types'!$O113,'Prepare Gantt Chart'!AO112=17,'Project types'!$Q113,'Prepare Gantt Chart'!AO112=0,0)</f>
        <v>0</v>
      </c>
      <c r="AC123" s="93">
        <f t="shared" si="2"/>
        <v>0</v>
      </c>
      <c r="AD123" s="86">
        <f>_xlfn.IFS('Prepare Gantt Chart'!P112=18,'Project types'!$L113,'Prepare Gantt Chart'!P112=17,'Project types'!$L113,'Prepare Gantt Chart'!P112=0,0)</f>
        <v>0</v>
      </c>
      <c r="AE123" s="83">
        <f>_xlfn.IFS('Prepare Gantt Chart'!Q112=18,'Project types'!$L113,'Prepare Gantt Chart'!Q112=17,'Project types'!$L113,'Prepare Gantt Chart'!Q112=0,0)</f>
        <v>0</v>
      </c>
      <c r="AF123" s="83">
        <f>_xlfn.IFS('Prepare Gantt Chart'!R112=18,'Project types'!$L113,'Prepare Gantt Chart'!R112=17,'Project types'!$L113,'Prepare Gantt Chart'!R112=0,0)</f>
        <v>0</v>
      </c>
      <c r="AG123" s="83">
        <f>_xlfn.IFS('Prepare Gantt Chart'!S112=18,'Project types'!$L113,'Prepare Gantt Chart'!S112=17,'Project types'!$L113,'Prepare Gantt Chart'!S112=0,0)</f>
        <v>0</v>
      </c>
      <c r="AH123" s="83">
        <f>_xlfn.IFS('Prepare Gantt Chart'!T112=18,'Project types'!$L113,'Prepare Gantt Chart'!T112=17,'Project types'!$L113,'Prepare Gantt Chart'!T112=0,0)</f>
        <v>0</v>
      </c>
      <c r="AI123" s="83">
        <f>_xlfn.IFS('Prepare Gantt Chart'!U112=18,'Project types'!$L113,'Prepare Gantt Chart'!U112=17,'Project types'!$L113,'Prepare Gantt Chart'!U112=0,0)</f>
        <v>0</v>
      </c>
      <c r="AJ123" s="83">
        <f>_xlfn.IFS('Prepare Gantt Chart'!V112=18,'Project types'!$L113,'Prepare Gantt Chart'!V112=17,'Project types'!$L113,'Prepare Gantt Chart'!V112=0,0)</f>
        <v>0</v>
      </c>
      <c r="AK123" s="83">
        <f>_xlfn.IFS('Prepare Gantt Chart'!W112=18,'Project types'!$L113,'Prepare Gantt Chart'!W112=17,'Project types'!$L113,'Prepare Gantt Chart'!W112=0,0)</f>
        <v>0</v>
      </c>
      <c r="AL123" s="83">
        <f>_xlfn.IFS('Prepare Gantt Chart'!X112=18,'Project types'!$L113,'Prepare Gantt Chart'!X112=17,'Project types'!$L113,'Prepare Gantt Chart'!X112=0,0)</f>
        <v>0</v>
      </c>
      <c r="AM123" s="83">
        <f>_xlfn.IFS('Prepare Gantt Chart'!Y112=18,'Project types'!$L113,'Prepare Gantt Chart'!Y112=17,'Project types'!$L113,'Prepare Gantt Chart'!Y112=0,0)</f>
        <v>0</v>
      </c>
      <c r="AN123" s="83">
        <f>_xlfn.IFS('Prepare Gantt Chart'!Z112=18,'Project types'!$L113,'Prepare Gantt Chart'!Z112=17,'Project types'!$L113,'Prepare Gantt Chart'!Z112=0,0)</f>
        <v>0</v>
      </c>
      <c r="AO123" s="83">
        <f>_xlfn.IFS('Prepare Gantt Chart'!AA112=18,'Project types'!$L113,'Prepare Gantt Chart'!AA112=17,'Project types'!$L113,'Prepare Gantt Chart'!AA112=0,0)</f>
        <v>0</v>
      </c>
      <c r="AP123" s="83">
        <f>_xlfn.IFS('Prepare Gantt Chart'!AB112=18,'Project types'!$L113,'Prepare Gantt Chart'!AB112=17,'Project types'!$L113,'Prepare Gantt Chart'!AB112=0,0)</f>
        <v>0</v>
      </c>
      <c r="AQ123" s="83">
        <f>_xlfn.IFS('Prepare Gantt Chart'!AC112=18,'Project types'!$L113,'Prepare Gantt Chart'!AC112=17,'Project types'!$L113,'Prepare Gantt Chart'!AC112=0,0)</f>
        <v>0</v>
      </c>
      <c r="AR123" s="83">
        <f>_xlfn.IFS('Prepare Gantt Chart'!AD112=18,'Project types'!$L113,'Prepare Gantt Chart'!AD112=17,'Project types'!$L113,'Prepare Gantt Chart'!AD112=0,0)</f>
        <v>0</v>
      </c>
      <c r="AS123" s="83">
        <f>_xlfn.IFS('Prepare Gantt Chart'!AE112=18,'Project types'!$L113,'Prepare Gantt Chart'!AE112=17,'Project types'!$L113,'Prepare Gantt Chart'!AE112=0,0)</f>
        <v>0</v>
      </c>
      <c r="AT123" s="83">
        <f>_xlfn.IFS('Prepare Gantt Chart'!AF112=18,'Project types'!$L113,'Prepare Gantt Chart'!AF112=17,'Project types'!$L113,'Prepare Gantt Chart'!AF112=0,0)</f>
        <v>0</v>
      </c>
      <c r="AU123" s="83">
        <f>_xlfn.IFS('Prepare Gantt Chart'!AG112=18,'Project types'!$L113,'Prepare Gantt Chart'!AG112=17,'Project types'!$L113,'Prepare Gantt Chart'!AG112=0,0)</f>
        <v>0</v>
      </c>
      <c r="AV123" s="83">
        <f>_xlfn.IFS('Prepare Gantt Chart'!AH112=18,'Project types'!$L113,'Prepare Gantt Chart'!AH112=17,'Project types'!$L113,'Prepare Gantt Chart'!AH112=0,0)</f>
        <v>0</v>
      </c>
      <c r="AW123" s="83">
        <f>_xlfn.IFS('Prepare Gantt Chart'!AI112=18,'Project types'!$L113,'Prepare Gantt Chart'!AI112=17,'Project types'!$L113,'Prepare Gantt Chart'!AI112=0,0)</f>
        <v>0</v>
      </c>
      <c r="AX123" s="83">
        <f>_xlfn.IFS('Prepare Gantt Chart'!AJ112=18,'Project types'!$L113,'Prepare Gantt Chart'!AJ112=17,'Project types'!$L113,'Prepare Gantt Chart'!AJ112=0,0)</f>
        <v>0</v>
      </c>
      <c r="AY123" s="83">
        <f>_xlfn.IFS('Prepare Gantt Chart'!AK112=18,'Project types'!$L113,'Prepare Gantt Chart'!AK112=17,'Project types'!$L113,'Prepare Gantt Chart'!AK112=0,0)</f>
        <v>0</v>
      </c>
      <c r="AZ123" s="83">
        <f>_xlfn.IFS('Prepare Gantt Chart'!AL112=18,'Project types'!$L113,'Prepare Gantt Chart'!AL112=17,'Project types'!$L113,'Prepare Gantt Chart'!AL112=0,0)</f>
        <v>0</v>
      </c>
      <c r="BA123" s="83">
        <f>_xlfn.IFS('Prepare Gantt Chart'!AM112=18,'Project types'!$L113,'Prepare Gantt Chart'!AM112=17,'Project types'!$L113,'Prepare Gantt Chart'!AM112=0,0)</f>
        <v>0</v>
      </c>
      <c r="BB123" s="83">
        <f>_xlfn.IFS('Prepare Gantt Chart'!AN112=18,'Project types'!$L113,'Prepare Gantt Chart'!AN112=17,'Project types'!$L113,'Prepare Gantt Chart'!AN112=0,0)</f>
        <v>0</v>
      </c>
      <c r="BC123" s="83">
        <f>_xlfn.IFS('Prepare Gantt Chart'!AO112=18,'Project types'!$L113,'Prepare Gantt Chart'!AO112=17,'Project types'!$L113,'Prepare Gantt Chart'!AO112=0,0)</f>
        <v>0</v>
      </c>
      <c r="BD123" s="91">
        <f t="shared" si="3"/>
        <v>0</v>
      </c>
    </row>
    <row r="124" spans="1:56" x14ac:dyDescent="0.2">
      <c r="A124" s="1" t="s">
        <v>169</v>
      </c>
      <c r="B124" s="42" t="s">
        <v>105</v>
      </c>
      <c r="C124" s="83">
        <f>_xlfn.IFS('Prepare Gantt Chart'!P113=18,'Project types'!$O114,'Prepare Gantt Chart'!P113=17,'Project types'!$Q114,'Prepare Gantt Chart'!P113=0,0)</f>
        <v>0</v>
      </c>
      <c r="D124" s="83">
        <f>_xlfn.IFS('Prepare Gantt Chart'!Q113=18,'Project types'!$O114,'Prepare Gantt Chart'!Q113=17,'Project types'!$Q114,'Prepare Gantt Chart'!Q113=0,0)</f>
        <v>0</v>
      </c>
      <c r="E124" s="83">
        <f>_xlfn.IFS('Prepare Gantt Chart'!R113=18,'Project types'!$O114,'Prepare Gantt Chart'!R113=17,'Project types'!$Q114,'Prepare Gantt Chart'!R113=0,0)</f>
        <v>0</v>
      </c>
      <c r="F124" s="83">
        <f>_xlfn.IFS('Prepare Gantt Chart'!S113=18,'Project types'!$O114,'Prepare Gantt Chart'!S113=17,'Project types'!$Q114,'Prepare Gantt Chart'!S113=0,0)</f>
        <v>0</v>
      </c>
      <c r="G124" s="83">
        <f>_xlfn.IFS('Prepare Gantt Chart'!T113=18,'Project types'!$O114,'Prepare Gantt Chart'!T113=17,'Project types'!$Q114,'Prepare Gantt Chart'!T113=0,0)</f>
        <v>0</v>
      </c>
      <c r="H124" s="83">
        <f>_xlfn.IFS('Prepare Gantt Chart'!U113=18,'Project types'!$O114,'Prepare Gantt Chart'!U113=17,'Project types'!$Q114,'Prepare Gantt Chart'!U113=0,0)</f>
        <v>0</v>
      </c>
      <c r="I124" s="83">
        <f>_xlfn.IFS('Prepare Gantt Chart'!V113=18,'Project types'!$O114,'Prepare Gantt Chart'!V113=17,'Project types'!$Q114,'Prepare Gantt Chart'!V113=0,0)</f>
        <v>0</v>
      </c>
      <c r="J124" s="83">
        <f>_xlfn.IFS('Prepare Gantt Chart'!W113=18,'Project types'!$O114,'Prepare Gantt Chart'!W113=17,'Project types'!$Q114,'Prepare Gantt Chart'!W113=0,0)</f>
        <v>0</v>
      </c>
      <c r="K124" s="83">
        <f>_xlfn.IFS('Prepare Gantt Chart'!X113=18,'Project types'!$O114,'Prepare Gantt Chart'!X113=17,'Project types'!$Q114,'Prepare Gantt Chart'!X113=0,0)</f>
        <v>0</v>
      </c>
      <c r="L124" s="83">
        <f>_xlfn.IFS('Prepare Gantt Chart'!Y113=18,'Project types'!$O114,'Prepare Gantt Chart'!Y113=17,'Project types'!$Q114,'Prepare Gantt Chart'!Y113=0,0)</f>
        <v>0</v>
      </c>
      <c r="M124" s="83">
        <f>_xlfn.IFS('Prepare Gantt Chart'!Z113=18,'Project types'!$O114,'Prepare Gantt Chart'!Z113=17,'Project types'!$Q114,'Prepare Gantt Chart'!Z113=0,0)</f>
        <v>0</v>
      </c>
      <c r="N124" s="83">
        <f>_xlfn.IFS('Prepare Gantt Chart'!AA113=18,'Project types'!$O114,'Prepare Gantt Chart'!AA113=17,'Project types'!$Q114,'Prepare Gantt Chart'!AA113=0,0)</f>
        <v>0</v>
      </c>
      <c r="O124" s="83">
        <f>_xlfn.IFS('Prepare Gantt Chart'!AB113=18,'Project types'!$O114,'Prepare Gantt Chart'!AB113=17,'Project types'!$Q114,'Prepare Gantt Chart'!AB113=0,0)</f>
        <v>0</v>
      </c>
      <c r="P124" s="83">
        <f>_xlfn.IFS('Prepare Gantt Chart'!AC113=18,'Project types'!$O114,'Prepare Gantt Chart'!AC113=17,'Project types'!$Q114,'Prepare Gantt Chart'!AC113=0,0)</f>
        <v>0</v>
      </c>
      <c r="Q124" s="83">
        <f>_xlfn.IFS('Prepare Gantt Chart'!AD113=18,'Project types'!$O114,'Prepare Gantt Chart'!AD113=17,'Project types'!$Q114,'Prepare Gantt Chart'!AD113=0,0)</f>
        <v>0</v>
      </c>
      <c r="R124" s="83">
        <f>_xlfn.IFS('Prepare Gantt Chart'!AE113=18,'Project types'!$O114,'Prepare Gantt Chart'!AE113=17,'Project types'!$Q114,'Prepare Gantt Chart'!AE113=0,0)</f>
        <v>0</v>
      </c>
      <c r="S124" s="83">
        <f>_xlfn.IFS('Prepare Gantt Chart'!AF113=18,'Project types'!$O114,'Prepare Gantt Chart'!AF113=17,'Project types'!$Q114,'Prepare Gantt Chart'!AF113=0,0)</f>
        <v>0</v>
      </c>
      <c r="T124" s="83">
        <f>_xlfn.IFS('Prepare Gantt Chart'!AG113=18,'Project types'!$O114,'Prepare Gantt Chart'!AG113=17,'Project types'!$Q114,'Prepare Gantt Chart'!AG113=0,0)</f>
        <v>0</v>
      </c>
      <c r="U124" s="83">
        <f>_xlfn.IFS('Prepare Gantt Chart'!AH113=18,'Project types'!$O114,'Prepare Gantt Chart'!AH113=17,'Project types'!$Q114,'Prepare Gantt Chart'!AH113=0,0)</f>
        <v>0</v>
      </c>
      <c r="V124" s="83">
        <f>_xlfn.IFS('Prepare Gantt Chart'!AI113=18,'Project types'!$O114,'Prepare Gantt Chart'!AI113=17,'Project types'!$Q114,'Prepare Gantt Chart'!AI113=0,0)</f>
        <v>0</v>
      </c>
      <c r="W124" s="83">
        <f>_xlfn.IFS('Prepare Gantt Chart'!AJ113=18,'Project types'!$O114,'Prepare Gantt Chart'!AJ113=17,'Project types'!$Q114,'Prepare Gantt Chart'!AJ113=0,0)</f>
        <v>0</v>
      </c>
      <c r="X124" s="83">
        <f>_xlfn.IFS('Prepare Gantt Chart'!AK113=18,'Project types'!$O114,'Prepare Gantt Chart'!AK113=17,'Project types'!$Q114,'Prepare Gantt Chart'!AK113=0,0)</f>
        <v>0</v>
      </c>
      <c r="Y124" s="83">
        <f>_xlfn.IFS('Prepare Gantt Chart'!AL113=18,'Project types'!$O114,'Prepare Gantt Chart'!AL113=17,'Project types'!$Q114,'Prepare Gantt Chart'!AL113=0,0)</f>
        <v>0</v>
      </c>
      <c r="Z124" s="83">
        <f>_xlfn.IFS('Prepare Gantt Chart'!AM113=18,'Project types'!$O114,'Prepare Gantt Chart'!AM113=17,'Project types'!$Q114,'Prepare Gantt Chart'!AM113=0,0)</f>
        <v>0</v>
      </c>
      <c r="AA124" s="83">
        <f>_xlfn.IFS('Prepare Gantt Chart'!AN113=18,'Project types'!$O114,'Prepare Gantt Chart'!AN113=17,'Project types'!$Q114,'Prepare Gantt Chart'!AN113=0,0)</f>
        <v>0</v>
      </c>
      <c r="AB124" s="83">
        <f>_xlfn.IFS('Prepare Gantt Chart'!AO113=18,'Project types'!$O114,'Prepare Gantt Chart'!AO113=17,'Project types'!$Q114,'Prepare Gantt Chart'!AO113=0,0)</f>
        <v>0</v>
      </c>
      <c r="AC124" s="93">
        <f t="shared" si="2"/>
        <v>0</v>
      </c>
      <c r="AD124" s="86">
        <f>_xlfn.IFS('Prepare Gantt Chart'!P113=18,'Project types'!$L114,'Prepare Gantt Chart'!P113=17,'Project types'!$L114,'Prepare Gantt Chart'!P113=0,0)</f>
        <v>0</v>
      </c>
      <c r="AE124" s="83">
        <f>_xlfn.IFS('Prepare Gantt Chart'!Q113=18,'Project types'!$L114,'Prepare Gantt Chart'!Q113=17,'Project types'!$L114,'Prepare Gantt Chart'!Q113=0,0)</f>
        <v>0</v>
      </c>
      <c r="AF124" s="83">
        <f>_xlfn.IFS('Prepare Gantt Chart'!R113=18,'Project types'!$L114,'Prepare Gantt Chart'!R113=17,'Project types'!$L114,'Prepare Gantt Chart'!R113=0,0)</f>
        <v>0</v>
      </c>
      <c r="AG124" s="83">
        <f>_xlfn.IFS('Prepare Gantt Chart'!S113=18,'Project types'!$L114,'Prepare Gantt Chart'!S113=17,'Project types'!$L114,'Prepare Gantt Chart'!S113=0,0)</f>
        <v>0</v>
      </c>
      <c r="AH124" s="83">
        <f>_xlfn.IFS('Prepare Gantt Chart'!T113=18,'Project types'!$L114,'Prepare Gantt Chart'!T113=17,'Project types'!$L114,'Prepare Gantt Chart'!T113=0,0)</f>
        <v>0</v>
      </c>
      <c r="AI124" s="83">
        <f>_xlfn.IFS('Prepare Gantt Chart'!U113=18,'Project types'!$L114,'Prepare Gantt Chart'!U113=17,'Project types'!$L114,'Prepare Gantt Chart'!U113=0,0)</f>
        <v>0</v>
      </c>
      <c r="AJ124" s="83">
        <f>_xlfn.IFS('Prepare Gantt Chart'!V113=18,'Project types'!$L114,'Prepare Gantt Chart'!V113=17,'Project types'!$L114,'Prepare Gantt Chart'!V113=0,0)</f>
        <v>0</v>
      </c>
      <c r="AK124" s="83">
        <f>_xlfn.IFS('Prepare Gantt Chart'!W113=18,'Project types'!$L114,'Prepare Gantt Chart'!W113=17,'Project types'!$L114,'Prepare Gantt Chart'!W113=0,0)</f>
        <v>0</v>
      </c>
      <c r="AL124" s="83">
        <f>_xlfn.IFS('Prepare Gantt Chart'!X113=18,'Project types'!$L114,'Prepare Gantt Chart'!X113=17,'Project types'!$L114,'Prepare Gantt Chart'!X113=0,0)</f>
        <v>0</v>
      </c>
      <c r="AM124" s="83">
        <f>_xlfn.IFS('Prepare Gantt Chart'!Y113=18,'Project types'!$L114,'Prepare Gantt Chart'!Y113=17,'Project types'!$L114,'Prepare Gantt Chart'!Y113=0,0)</f>
        <v>0</v>
      </c>
      <c r="AN124" s="83">
        <f>_xlfn.IFS('Prepare Gantt Chart'!Z113=18,'Project types'!$L114,'Prepare Gantt Chart'!Z113=17,'Project types'!$L114,'Prepare Gantt Chart'!Z113=0,0)</f>
        <v>0</v>
      </c>
      <c r="AO124" s="83">
        <f>_xlfn.IFS('Prepare Gantt Chart'!AA113=18,'Project types'!$L114,'Prepare Gantt Chart'!AA113=17,'Project types'!$L114,'Prepare Gantt Chart'!AA113=0,0)</f>
        <v>0</v>
      </c>
      <c r="AP124" s="83">
        <f>_xlfn.IFS('Prepare Gantt Chart'!AB113=18,'Project types'!$L114,'Prepare Gantt Chart'!AB113=17,'Project types'!$L114,'Prepare Gantt Chart'!AB113=0,0)</f>
        <v>0</v>
      </c>
      <c r="AQ124" s="83">
        <f>_xlfn.IFS('Prepare Gantt Chart'!AC113=18,'Project types'!$L114,'Prepare Gantt Chart'!AC113=17,'Project types'!$L114,'Prepare Gantt Chart'!AC113=0,0)</f>
        <v>0</v>
      </c>
      <c r="AR124" s="83">
        <f>_xlfn.IFS('Prepare Gantt Chart'!AD113=18,'Project types'!$L114,'Prepare Gantt Chart'!AD113=17,'Project types'!$L114,'Prepare Gantt Chart'!AD113=0,0)</f>
        <v>0</v>
      </c>
      <c r="AS124" s="83">
        <f>_xlfn.IFS('Prepare Gantt Chart'!AE113=18,'Project types'!$L114,'Prepare Gantt Chart'!AE113=17,'Project types'!$L114,'Prepare Gantt Chart'!AE113=0,0)</f>
        <v>0</v>
      </c>
      <c r="AT124" s="83">
        <f>_xlfn.IFS('Prepare Gantt Chart'!AF113=18,'Project types'!$L114,'Prepare Gantt Chart'!AF113=17,'Project types'!$L114,'Prepare Gantt Chart'!AF113=0,0)</f>
        <v>0</v>
      </c>
      <c r="AU124" s="83">
        <f>_xlfn.IFS('Prepare Gantt Chart'!AG113=18,'Project types'!$L114,'Prepare Gantt Chart'!AG113=17,'Project types'!$L114,'Prepare Gantt Chart'!AG113=0,0)</f>
        <v>0</v>
      </c>
      <c r="AV124" s="83">
        <f>_xlfn.IFS('Prepare Gantt Chart'!AH113=18,'Project types'!$L114,'Prepare Gantt Chart'!AH113=17,'Project types'!$L114,'Prepare Gantt Chart'!AH113=0,0)</f>
        <v>0</v>
      </c>
      <c r="AW124" s="83">
        <f>_xlfn.IFS('Prepare Gantt Chart'!AI113=18,'Project types'!$L114,'Prepare Gantt Chart'!AI113=17,'Project types'!$L114,'Prepare Gantt Chart'!AI113=0,0)</f>
        <v>0</v>
      </c>
      <c r="AX124" s="83">
        <f>_xlfn.IFS('Prepare Gantt Chart'!AJ113=18,'Project types'!$L114,'Prepare Gantt Chart'!AJ113=17,'Project types'!$L114,'Prepare Gantt Chart'!AJ113=0,0)</f>
        <v>0</v>
      </c>
      <c r="AY124" s="83">
        <f>_xlfn.IFS('Prepare Gantt Chart'!AK113=18,'Project types'!$L114,'Prepare Gantt Chart'!AK113=17,'Project types'!$L114,'Prepare Gantt Chart'!AK113=0,0)</f>
        <v>0</v>
      </c>
      <c r="AZ124" s="83">
        <f>_xlfn.IFS('Prepare Gantt Chart'!AL113=18,'Project types'!$L114,'Prepare Gantt Chart'!AL113=17,'Project types'!$L114,'Prepare Gantt Chart'!AL113=0,0)</f>
        <v>0</v>
      </c>
      <c r="BA124" s="83">
        <f>_xlfn.IFS('Prepare Gantt Chart'!AM113=18,'Project types'!$L114,'Prepare Gantt Chart'!AM113=17,'Project types'!$L114,'Prepare Gantt Chart'!AM113=0,0)</f>
        <v>0</v>
      </c>
      <c r="BB124" s="83">
        <f>_xlfn.IFS('Prepare Gantt Chart'!AN113=18,'Project types'!$L114,'Prepare Gantt Chart'!AN113=17,'Project types'!$L114,'Prepare Gantt Chart'!AN113=0,0)</f>
        <v>0</v>
      </c>
      <c r="BC124" s="83">
        <f>_xlfn.IFS('Prepare Gantt Chart'!AO113=18,'Project types'!$L114,'Prepare Gantt Chart'!AO113=17,'Project types'!$L114,'Prepare Gantt Chart'!AO113=0,0)</f>
        <v>0</v>
      </c>
      <c r="BD124" s="91">
        <f t="shared" si="3"/>
        <v>0</v>
      </c>
    </row>
    <row r="125" spans="1:56" x14ac:dyDescent="0.2">
      <c r="A125" s="1" t="s">
        <v>170</v>
      </c>
      <c r="B125" s="42" t="s">
        <v>106</v>
      </c>
      <c r="C125" s="83">
        <f>_xlfn.IFS('Prepare Gantt Chart'!P114=18,'Project types'!$O115,'Prepare Gantt Chart'!P114=17,'Project types'!$Q115,'Prepare Gantt Chart'!P114=0,0)</f>
        <v>0</v>
      </c>
      <c r="D125" s="83">
        <f>_xlfn.IFS('Prepare Gantt Chart'!Q114=18,'Project types'!$O115,'Prepare Gantt Chart'!Q114=17,'Project types'!$Q115,'Prepare Gantt Chart'!Q114=0,0)</f>
        <v>0</v>
      </c>
      <c r="E125" s="83">
        <f>_xlfn.IFS('Prepare Gantt Chart'!R114=18,'Project types'!$O115,'Prepare Gantt Chart'!R114=17,'Project types'!$Q115,'Prepare Gantt Chart'!R114=0,0)</f>
        <v>0</v>
      </c>
      <c r="F125" s="83">
        <f>_xlfn.IFS('Prepare Gantt Chart'!S114=18,'Project types'!$O115,'Prepare Gantt Chart'!S114=17,'Project types'!$Q115,'Prepare Gantt Chart'!S114=0,0)</f>
        <v>0</v>
      </c>
      <c r="G125" s="83">
        <f>_xlfn.IFS('Prepare Gantt Chart'!T114=18,'Project types'!$O115,'Prepare Gantt Chart'!T114=17,'Project types'!$Q115,'Prepare Gantt Chart'!T114=0,0)</f>
        <v>0</v>
      </c>
      <c r="H125" s="83">
        <f>_xlfn.IFS('Prepare Gantt Chart'!U114=18,'Project types'!$O115,'Prepare Gantt Chart'!U114=17,'Project types'!$Q115,'Prepare Gantt Chart'!U114=0,0)</f>
        <v>0</v>
      </c>
      <c r="I125" s="83">
        <f>_xlfn.IFS('Prepare Gantt Chart'!V114=18,'Project types'!$O115,'Prepare Gantt Chart'!V114=17,'Project types'!$Q115,'Prepare Gantt Chart'!V114=0,0)</f>
        <v>0</v>
      </c>
      <c r="J125" s="83">
        <f>_xlfn.IFS('Prepare Gantt Chart'!W114=18,'Project types'!$O115,'Prepare Gantt Chart'!W114=17,'Project types'!$Q115,'Prepare Gantt Chart'!W114=0,0)</f>
        <v>0</v>
      </c>
      <c r="K125" s="83">
        <f>_xlfn.IFS('Prepare Gantt Chart'!X114=18,'Project types'!$O115,'Prepare Gantt Chart'!X114=17,'Project types'!$Q115,'Prepare Gantt Chart'!X114=0,0)</f>
        <v>0</v>
      </c>
      <c r="L125" s="83">
        <f>_xlfn.IFS('Prepare Gantt Chart'!Y114=18,'Project types'!$O115,'Prepare Gantt Chart'!Y114=17,'Project types'!$Q115,'Prepare Gantt Chart'!Y114=0,0)</f>
        <v>0</v>
      </c>
      <c r="M125" s="83">
        <f>_xlfn.IFS('Prepare Gantt Chart'!Z114=18,'Project types'!$O115,'Prepare Gantt Chart'!Z114=17,'Project types'!$Q115,'Prepare Gantt Chart'!Z114=0,0)</f>
        <v>0</v>
      </c>
      <c r="N125" s="83">
        <f>_xlfn.IFS('Prepare Gantt Chart'!AA114=18,'Project types'!$O115,'Prepare Gantt Chart'!AA114=17,'Project types'!$Q115,'Prepare Gantt Chart'!AA114=0,0)</f>
        <v>0</v>
      </c>
      <c r="O125" s="83">
        <f>_xlfn.IFS('Prepare Gantt Chart'!AB114=18,'Project types'!$O115,'Prepare Gantt Chart'!AB114=17,'Project types'!$Q115,'Prepare Gantt Chart'!AB114=0,0)</f>
        <v>0</v>
      </c>
      <c r="P125" s="83">
        <f>_xlfn.IFS('Prepare Gantt Chart'!AC114=18,'Project types'!$O115,'Prepare Gantt Chart'!AC114=17,'Project types'!$Q115,'Prepare Gantt Chart'!AC114=0,0)</f>
        <v>0</v>
      </c>
      <c r="Q125" s="83">
        <f>_xlfn.IFS('Prepare Gantt Chart'!AD114=18,'Project types'!$O115,'Prepare Gantt Chart'!AD114=17,'Project types'!$Q115,'Prepare Gantt Chart'!AD114=0,0)</f>
        <v>0</v>
      </c>
      <c r="R125" s="83">
        <f>_xlfn.IFS('Prepare Gantt Chart'!AE114=18,'Project types'!$O115,'Prepare Gantt Chart'!AE114=17,'Project types'!$Q115,'Prepare Gantt Chart'!AE114=0,0)</f>
        <v>0</v>
      </c>
      <c r="S125" s="83">
        <f>_xlfn.IFS('Prepare Gantt Chart'!AF114=18,'Project types'!$O115,'Prepare Gantt Chart'!AF114=17,'Project types'!$Q115,'Prepare Gantt Chart'!AF114=0,0)</f>
        <v>0</v>
      </c>
      <c r="T125" s="83">
        <f>_xlfn.IFS('Prepare Gantt Chart'!AG114=18,'Project types'!$O115,'Prepare Gantt Chart'!AG114=17,'Project types'!$Q115,'Prepare Gantt Chart'!AG114=0,0)</f>
        <v>0</v>
      </c>
      <c r="U125" s="83">
        <f>_xlfn.IFS('Prepare Gantt Chart'!AH114=18,'Project types'!$O115,'Prepare Gantt Chart'!AH114=17,'Project types'!$Q115,'Prepare Gantt Chart'!AH114=0,0)</f>
        <v>0</v>
      </c>
      <c r="V125" s="83">
        <f>_xlfn.IFS('Prepare Gantt Chart'!AI114=18,'Project types'!$O115,'Prepare Gantt Chart'!AI114=17,'Project types'!$Q115,'Prepare Gantt Chart'!AI114=0,0)</f>
        <v>0</v>
      </c>
      <c r="W125" s="83">
        <f>_xlfn.IFS('Prepare Gantt Chart'!AJ114=18,'Project types'!$O115,'Prepare Gantt Chart'!AJ114=17,'Project types'!$Q115,'Prepare Gantt Chart'!AJ114=0,0)</f>
        <v>0</v>
      </c>
      <c r="X125" s="83">
        <f>_xlfn.IFS('Prepare Gantt Chart'!AK114=18,'Project types'!$O115,'Prepare Gantt Chart'!AK114=17,'Project types'!$Q115,'Prepare Gantt Chart'!AK114=0,0)</f>
        <v>0</v>
      </c>
      <c r="Y125" s="83">
        <f>_xlfn.IFS('Prepare Gantt Chart'!AL114=18,'Project types'!$O115,'Prepare Gantt Chart'!AL114=17,'Project types'!$Q115,'Prepare Gantt Chart'!AL114=0,0)</f>
        <v>0</v>
      </c>
      <c r="Z125" s="83">
        <f>_xlfn.IFS('Prepare Gantt Chart'!AM114=18,'Project types'!$O115,'Prepare Gantt Chart'!AM114=17,'Project types'!$Q115,'Prepare Gantt Chart'!AM114=0,0)</f>
        <v>0</v>
      </c>
      <c r="AA125" s="83">
        <f>_xlfn.IFS('Prepare Gantt Chart'!AN114=18,'Project types'!$O115,'Prepare Gantt Chart'!AN114=17,'Project types'!$Q115,'Prepare Gantt Chart'!AN114=0,0)</f>
        <v>0</v>
      </c>
      <c r="AB125" s="83">
        <f>_xlfn.IFS('Prepare Gantt Chart'!AO114=18,'Project types'!$O115,'Prepare Gantt Chart'!AO114=17,'Project types'!$Q115,'Prepare Gantt Chart'!AO114=0,0)</f>
        <v>0</v>
      </c>
      <c r="AC125" s="93">
        <f t="shared" si="2"/>
        <v>0</v>
      </c>
      <c r="AD125" s="86">
        <f>_xlfn.IFS('Prepare Gantt Chart'!P114=18,'Project types'!$L115,'Prepare Gantt Chart'!P114=17,'Project types'!$L115,'Prepare Gantt Chart'!P114=0,0)</f>
        <v>0</v>
      </c>
      <c r="AE125" s="83">
        <f>_xlfn.IFS('Prepare Gantt Chart'!Q114=18,'Project types'!$L115,'Prepare Gantt Chart'!Q114=17,'Project types'!$L115,'Prepare Gantt Chart'!Q114=0,0)</f>
        <v>0</v>
      </c>
      <c r="AF125" s="83">
        <f>_xlfn.IFS('Prepare Gantt Chart'!R114=18,'Project types'!$L115,'Prepare Gantt Chart'!R114=17,'Project types'!$L115,'Prepare Gantt Chart'!R114=0,0)</f>
        <v>0</v>
      </c>
      <c r="AG125" s="83">
        <f>_xlfn.IFS('Prepare Gantt Chart'!S114=18,'Project types'!$L115,'Prepare Gantt Chart'!S114=17,'Project types'!$L115,'Prepare Gantt Chart'!S114=0,0)</f>
        <v>0</v>
      </c>
      <c r="AH125" s="83">
        <f>_xlfn.IFS('Prepare Gantt Chart'!T114=18,'Project types'!$L115,'Prepare Gantt Chart'!T114=17,'Project types'!$L115,'Prepare Gantt Chart'!T114=0,0)</f>
        <v>0</v>
      </c>
      <c r="AI125" s="83">
        <f>_xlfn.IFS('Prepare Gantt Chart'!U114=18,'Project types'!$L115,'Prepare Gantt Chart'!U114=17,'Project types'!$L115,'Prepare Gantt Chart'!U114=0,0)</f>
        <v>0</v>
      </c>
      <c r="AJ125" s="83">
        <f>_xlfn.IFS('Prepare Gantt Chart'!V114=18,'Project types'!$L115,'Prepare Gantt Chart'!V114=17,'Project types'!$L115,'Prepare Gantt Chart'!V114=0,0)</f>
        <v>0</v>
      </c>
      <c r="AK125" s="83">
        <f>_xlfn.IFS('Prepare Gantt Chart'!W114=18,'Project types'!$L115,'Prepare Gantt Chart'!W114=17,'Project types'!$L115,'Prepare Gantt Chart'!W114=0,0)</f>
        <v>0</v>
      </c>
      <c r="AL125" s="83">
        <f>_xlfn.IFS('Prepare Gantt Chart'!X114=18,'Project types'!$L115,'Prepare Gantt Chart'!X114=17,'Project types'!$L115,'Prepare Gantt Chart'!X114=0,0)</f>
        <v>0</v>
      </c>
      <c r="AM125" s="83">
        <f>_xlfn.IFS('Prepare Gantt Chart'!Y114=18,'Project types'!$L115,'Prepare Gantt Chart'!Y114=17,'Project types'!$L115,'Prepare Gantt Chart'!Y114=0,0)</f>
        <v>0</v>
      </c>
      <c r="AN125" s="83">
        <f>_xlfn.IFS('Prepare Gantt Chart'!Z114=18,'Project types'!$L115,'Prepare Gantt Chart'!Z114=17,'Project types'!$L115,'Prepare Gantt Chart'!Z114=0,0)</f>
        <v>0</v>
      </c>
      <c r="AO125" s="83">
        <f>_xlfn.IFS('Prepare Gantt Chart'!AA114=18,'Project types'!$L115,'Prepare Gantt Chart'!AA114=17,'Project types'!$L115,'Prepare Gantt Chart'!AA114=0,0)</f>
        <v>0</v>
      </c>
      <c r="AP125" s="83">
        <f>_xlfn.IFS('Prepare Gantt Chart'!AB114=18,'Project types'!$L115,'Prepare Gantt Chart'!AB114=17,'Project types'!$L115,'Prepare Gantt Chart'!AB114=0,0)</f>
        <v>0</v>
      </c>
      <c r="AQ125" s="83">
        <f>_xlfn.IFS('Prepare Gantt Chart'!AC114=18,'Project types'!$L115,'Prepare Gantt Chart'!AC114=17,'Project types'!$L115,'Prepare Gantt Chart'!AC114=0,0)</f>
        <v>0</v>
      </c>
      <c r="AR125" s="83">
        <f>_xlfn.IFS('Prepare Gantt Chart'!AD114=18,'Project types'!$L115,'Prepare Gantt Chart'!AD114=17,'Project types'!$L115,'Prepare Gantt Chart'!AD114=0,0)</f>
        <v>0</v>
      </c>
      <c r="AS125" s="83">
        <f>_xlfn.IFS('Prepare Gantt Chart'!AE114=18,'Project types'!$L115,'Prepare Gantt Chart'!AE114=17,'Project types'!$L115,'Prepare Gantt Chart'!AE114=0,0)</f>
        <v>0</v>
      </c>
      <c r="AT125" s="83">
        <f>_xlfn.IFS('Prepare Gantt Chart'!AF114=18,'Project types'!$L115,'Prepare Gantt Chart'!AF114=17,'Project types'!$L115,'Prepare Gantt Chart'!AF114=0,0)</f>
        <v>0</v>
      </c>
      <c r="AU125" s="83">
        <f>_xlfn.IFS('Prepare Gantt Chart'!AG114=18,'Project types'!$L115,'Prepare Gantt Chart'!AG114=17,'Project types'!$L115,'Prepare Gantt Chart'!AG114=0,0)</f>
        <v>0</v>
      </c>
      <c r="AV125" s="83">
        <f>_xlfn.IFS('Prepare Gantt Chart'!AH114=18,'Project types'!$L115,'Prepare Gantt Chart'!AH114=17,'Project types'!$L115,'Prepare Gantt Chart'!AH114=0,0)</f>
        <v>0</v>
      </c>
      <c r="AW125" s="83">
        <f>_xlfn.IFS('Prepare Gantt Chart'!AI114=18,'Project types'!$L115,'Prepare Gantt Chart'!AI114=17,'Project types'!$L115,'Prepare Gantt Chart'!AI114=0,0)</f>
        <v>0</v>
      </c>
      <c r="AX125" s="83">
        <f>_xlfn.IFS('Prepare Gantt Chart'!AJ114=18,'Project types'!$L115,'Prepare Gantt Chart'!AJ114=17,'Project types'!$L115,'Prepare Gantt Chart'!AJ114=0,0)</f>
        <v>0</v>
      </c>
      <c r="AY125" s="83">
        <f>_xlfn.IFS('Prepare Gantt Chart'!AK114=18,'Project types'!$L115,'Prepare Gantt Chart'!AK114=17,'Project types'!$L115,'Prepare Gantt Chart'!AK114=0,0)</f>
        <v>0</v>
      </c>
      <c r="AZ125" s="83">
        <f>_xlfn.IFS('Prepare Gantt Chart'!AL114=18,'Project types'!$L115,'Prepare Gantt Chart'!AL114=17,'Project types'!$L115,'Prepare Gantt Chart'!AL114=0,0)</f>
        <v>0</v>
      </c>
      <c r="BA125" s="83">
        <f>_xlfn.IFS('Prepare Gantt Chart'!AM114=18,'Project types'!$L115,'Prepare Gantt Chart'!AM114=17,'Project types'!$L115,'Prepare Gantt Chart'!AM114=0,0)</f>
        <v>0</v>
      </c>
      <c r="BB125" s="83">
        <f>_xlfn.IFS('Prepare Gantt Chart'!AN114=18,'Project types'!$L115,'Prepare Gantt Chart'!AN114=17,'Project types'!$L115,'Prepare Gantt Chart'!AN114=0,0)</f>
        <v>0</v>
      </c>
      <c r="BC125" s="83">
        <f>_xlfn.IFS('Prepare Gantt Chart'!AO114=18,'Project types'!$L115,'Prepare Gantt Chart'!AO114=17,'Project types'!$L115,'Prepare Gantt Chart'!AO114=0,0)</f>
        <v>0</v>
      </c>
      <c r="BD125" s="91">
        <f t="shared" si="3"/>
        <v>0</v>
      </c>
    </row>
    <row r="126" spans="1:56" x14ac:dyDescent="0.2">
      <c r="A126" s="1" t="s">
        <v>171</v>
      </c>
      <c r="B126" s="42" t="s">
        <v>107</v>
      </c>
      <c r="C126" s="83">
        <f>_xlfn.IFS('Prepare Gantt Chart'!P115=18,'Project types'!$O116,'Prepare Gantt Chart'!P115=17,'Project types'!$Q116,'Prepare Gantt Chart'!P115=0,0)</f>
        <v>0</v>
      </c>
      <c r="D126" s="83">
        <f>_xlfn.IFS('Prepare Gantt Chart'!Q115=18,'Project types'!$O116,'Prepare Gantt Chart'!Q115=17,'Project types'!$Q116,'Prepare Gantt Chart'!Q115=0,0)</f>
        <v>0</v>
      </c>
      <c r="E126" s="83">
        <f>_xlfn.IFS('Prepare Gantt Chart'!R115=18,'Project types'!$O116,'Prepare Gantt Chart'!R115=17,'Project types'!$Q116,'Prepare Gantt Chart'!R115=0,0)</f>
        <v>0</v>
      </c>
      <c r="F126" s="83">
        <f>_xlfn.IFS('Prepare Gantt Chart'!S115=18,'Project types'!$O116,'Prepare Gantt Chart'!S115=17,'Project types'!$Q116,'Prepare Gantt Chart'!S115=0,0)</f>
        <v>0</v>
      </c>
      <c r="G126" s="83">
        <f>_xlfn.IFS('Prepare Gantt Chart'!T115=18,'Project types'!$O116,'Prepare Gantt Chart'!T115=17,'Project types'!$Q116,'Prepare Gantt Chart'!T115=0,0)</f>
        <v>0</v>
      </c>
      <c r="H126" s="83">
        <f>_xlfn.IFS('Prepare Gantt Chart'!U115=18,'Project types'!$O116,'Prepare Gantt Chart'!U115=17,'Project types'!$Q116,'Prepare Gantt Chart'!U115=0,0)</f>
        <v>0</v>
      </c>
      <c r="I126" s="83">
        <f>_xlfn.IFS('Prepare Gantt Chart'!V115=18,'Project types'!$O116,'Prepare Gantt Chart'!V115=17,'Project types'!$Q116,'Prepare Gantt Chart'!V115=0,0)</f>
        <v>0</v>
      </c>
      <c r="J126" s="83">
        <f>_xlfn.IFS('Prepare Gantt Chart'!W115=18,'Project types'!$O116,'Prepare Gantt Chart'!W115=17,'Project types'!$Q116,'Prepare Gantt Chart'!W115=0,0)</f>
        <v>0</v>
      </c>
      <c r="K126" s="83">
        <f>_xlfn.IFS('Prepare Gantt Chart'!X115=18,'Project types'!$O116,'Prepare Gantt Chart'!X115=17,'Project types'!$Q116,'Prepare Gantt Chart'!X115=0,0)</f>
        <v>0</v>
      </c>
      <c r="L126" s="83">
        <f>_xlfn.IFS('Prepare Gantt Chart'!Y115=18,'Project types'!$O116,'Prepare Gantt Chart'!Y115=17,'Project types'!$Q116,'Prepare Gantt Chart'!Y115=0,0)</f>
        <v>0</v>
      </c>
      <c r="M126" s="83">
        <f>_xlfn.IFS('Prepare Gantt Chart'!Z115=18,'Project types'!$O116,'Prepare Gantt Chart'!Z115=17,'Project types'!$Q116,'Prepare Gantt Chart'!Z115=0,0)</f>
        <v>0</v>
      </c>
      <c r="N126" s="83">
        <f>_xlfn.IFS('Prepare Gantt Chart'!AA115=18,'Project types'!$O116,'Prepare Gantt Chart'!AA115=17,'Project types'!$Q116,'Prepare Gantt Chart'!AA115=0,0)</f>
        <v>0</v>
      </c>
      <c r="O126" s="83">
        <f>_xlfn.IFS('Prepare Gantt Chart'!AB115=18,'Project types'!$O116,'Prepare Gantt Chart'!AB115=17,'Project types'!$Q116,'Prepare Gantt Chart'!AB115=0,0)</f>
        <v>0</v>
      </c>
      <c r="P126" s="83">
        <f>_xlfn.IFS('Prepare Gantt Chart'!AC115=18,'Project types'!$O116,'Prepare Gantt Chart'!AC115=17,'Project types'!$Q116,'Prepare Gantt Chart'!AC115=0,0)</f>
        <v>0</v>
      </c>
      <c r="Q126" s="83">
        <f>_xlfn.IFS('Prepare Gantt Chart'!AD115=18,'Project types'!$O116,'Prepare Gantt Chart'!AD115=17,'Project types'!$Q116,'Prepare Gantt Chart'!AD115=0,0)</f>
        <v>0</v>
      </c>
      <c r="R126" s="83">
        <f>_xlfn.IFS('Prepare Gantt Chart'!AE115=18,'Project types'!$O116,'Prepare Gantt Chart'!AE115=17,'Project types'!$Q116,'Prepare Gantt Chart'!AE115=0,0)</f>
        <v>0</v>
      </c>
      <c r="S126" s="83">
        <f>_xlfn.IFS('Prepare Gantt Chart'!AF115=18,'Project types'!$O116,'Prepare Gantt Chart'!AF115=17,'Project types'!$Q116,'Prepare Gantt Chart'!AF115=0,0)</f>
        <v>0</v>
      </c>
      <c r="T126" s="83">
        <f>_xlfn.IFS('Prepare Gantt Chart'!AG115=18,'Project types'!$O116,'Prepare Gantt Chart'!AG115=17,'Project types'!$Q116,'Prepare Gantt Chart'!AG115=0,0)</f>
        <v>0</v>
      </c>
      <c r="U126" s="83">
        <f>_xlfn.IFS('Prepare Gantt Chart'!AH115=18,'Project types'!$O116,'Prepare Gantt Chart'!AH115=17,'Project types'!$Q116,'Prepare Gantt Chart'!AH115=0,0)</f>
        <v>0</v>
      </c>
      <c r="V126" s="83">
        <f>_xlfn.IFS('Prepare Gantt Chart'!AI115=18,'Project types'!$O116,'Prepare Gantt Chart'!AI115=17,'Project types'!$Q116,'Prepare Gantt Chart'!AI115=0,0)</f>
        <v>0</v>
      </c>
      <c r="W126" s="83">
        <f>_xlfn.IFS('Prepare Gantt Chart'!AJ115=18,'Project types'!$O116,'Prepare Gantt Chart'!AJ115=17,'Project types'!$Q116,'Prepare Gantt Chart'!AJ115=0,0)</f>
        <v>0</v>
      </c>
      <c r="X126" s="83">
        <f>_xlfn.IFS('Prepare Gantt Chart'!AK115=18,'Project types'!$O116,'Prepare Gantt Chart'!AK115=17,'Project types'!$Q116,'Prepare Gantt Chart'!AK115=0,0)</f>
        <v>0</v>
      </c>
      <c r="Y126" s="83">
        <f>_xlfn.IFS('Prepare Gantt Chart'!AL115=18,'Project types'!$O116,'Prepare Gantt Chart'!AL115=17,'Project types'!$Q116,'Prepare Gantt Chart'!AL115=0,0)</f>
        <v>0</v>
      </c>
      <c r="Z126" s="83">
        <f>_xlfn.IFS('Prepare Gantt Chart'!AM115=18,'Project types'!$O116,'Prepare Gantt Chart'!AM115=17,'Project types'!$Q116,'Prepare Gantt Chart'!AM115=0,0)</f>
        <v>0</v>
      </c>
      <c r="AA126" s="83">
        <f>_xlfn.IFS('Prepare Gantt Chart'!AN115=18,'Project types'!$O116,'Prepare Gantt Chart'!AN115=17,'Project types'!$Q116,'Prepare Gantt Chart'!AN115=0,0)</f>
        <v>0</v>
      </c>
      <c r="AB126" s="83">
        <f>_xlfn.IFS('Prepare Gantt Chart'!AO115=18,'Project types'!$O116,'Prepare Gantt Chart'!AO115=17,'Project types'!$Q116,'Prepare Gantt Chart'!AO115=0,0)</f>
        <v>0</v>
      </c>
      <c r="AC126" s="93">
        <f t="shared" si="2"/>
        <v>0</v>
      </c>
      <c r="AD126" s="86">
        <f>_xlfn.IFS('Prepare Gantt Chart'!P115=18,'Project types'!$L116,'Prepare Gantt Chart'!P115=17,'Project types'!$L116,'Prepare Gantt Chart'!P115=0,0)</f>
        <v>0</v>
      </c>
      <c r="AE126" s="83">
        <f>_xlfn.IFS('Prepare Gantt Chart'!Q115=18,'Project types'!$L116,'Prepare Gantt Chart'!Q115=17,'Project types'!$L116,'Prepare Gantt Chart'!Q115=0,0)</f>
        <v>0</v>
      </c>
      <c r="AF126" s="83">
        <f>_xlfn.IFS('Prepare Gantt Chart'!R115=18,'Project types'!$L116,'Prepare Gantt Chart'!R115=17,'Project types'!$L116,'Prepare Gantt Chart'!R115=0,0)</f>
        <v>0</v>
      </c>
      <c r="AG126" s="83">
        <f>_xlfn.IFS('Prepare Gantt Chart'!S115=18,'Project types'!$L116,'Prepare Gantt Chart'!S115=17,'Project types'!$L116,'Prepare Gantt Chart'!S115=0,0)</f>
        <v>0</v>
      </c>
      <c r="AH126" s="83">
        <f>_xlfn.IFS('Prepare Gantt Chart'!T115=18,'Project types'!$L116,'Prepare Gantt Chart'!T115=17,'Project types'!$L116,'Prepare Gantt Chart'!T115=0,0)</f>
        <v>0</v>
      </c>
      <c r="AI126" s="83">
        <f>_xlfn.IFS('Prepare Gantt Chart'!U115=18,'Project types'!$L116,'Prepare Gantt Chart'!U115=17,'Project types'!$L116,'Prepare Gantt Chart'!U115=0,0)</f>
        <v>0</v>
      </c>
      <c r="AJ126" s="83">
        <f>_xlfn.IFS('Prepare Gantt Chart'!V115=18,'Project types'!$L116,'Prepare Gantt Chart'!V115=17,'Project types'!$L116,'Prepare Gantt Chart'!V115=0,0)</f>
        <v>0</v>
      </c>
      <c r="AK126" s="83">
        <f>_xlfn.IFS('Prepare Gantt Chart'!W115=18,'Project types'!$L116,'Prepare Gantt Chart'!W115=17,'Project types'!$L116,'Prepare Gantt Chart'!W115=0,0)</f>
        <v>0</v>
      </c>
      <c r="AL126" s="83">
        <f>_xlfn.IFS('Prepare Gantt Chart'!X115=18,'Project types'!$L116,'Prepare Gantt Chart'!X115=17,'Project types'!$L116,'Prepare Gantt Chart'!X115=0,0)</f>
        <v>0</v>
      </c>
      <c r="AM126" s="83">
        <f>_xlfn.IFS('Prepare Gantt Chart'!Y115=18,'Project types'!$L116,'Prepare Gantt Chart'!Y115=17,'Project types'!$L116,'Prepare Gantt Chart'!Y115=0,0)</f>
        <v>0</v>
      </c>
      <c r="AN126" s="83">
        <f>_xlfn.IFS('Prepare Gantt Chart'!Z115=18,'Project types'!$L116,'Prepare Gantt Chart'!Z115=17,'Project types'!$L116,'Prepare Gantt Chart'!Z115=0,0)</f>
        <v>0</v>
      </c>
      <c r="AO126" s="83">
        <f>_xlfn.IFS('Prepare Gantt Chart'!AA115=18,'Project types'!$L116,'Prepare Gantt Chart'!AA115=17,'Project types'!$L116,'Prepare Gantt Chart'!AA115=0,0)</f>
        <v>0</v>
      </c>
      <c r="AP126" s="83">
        <f>_xlfn.IFS('Prepare Gantt Chart'!AB115=18,'Project types'!$L116,'Prepare Gantt Chart'!AB115=17,'Project types'!$L116,'Prepare Gantt Chart'!AB115=0,0)</f>
        <v>0</v>
      </c>
      <c r="AQ126" s="83">
        <f>_xlfn.IFS('Prepare Gantt Chart'!AC115=18,'Project types'!$L116,'Prepare Gantt Chart'!AC115=17,'Project types'!$L116,'Prepare Gantt Chart'!AC115=0,0)</f>
        <v>0</v>
      </c>
      <c r="AR126" s="83">
        <f>_xlfn.IFS('Prepare Gantt Chart'!AD115=18,'Project types'!$L116,'Prepare Gantt Chart'!AD115=17,'Project types'!$L116,'Prepare Gantt Chart'!AD115=0,0)</f>
        <v>0</v>
      </c>
      <c r="AS126" s="83">
        <f>_xlfn.IFS('Prepare Gantt Chart'!AE115=18,'Project types'!$L116,'Prepare Gantt Chart'!AE115=17,'Project types'!$L116,'Prepare Gantt Chart'!AE115=0,0)</f>
        <v>0</v>
      </c>
      <c r="AT126" s="83">
        <f>_xlfn.IFS('Prepare Gantt Chart'!AF115=18,'Project types'!$L116,'Prepare Gantt Chart'!AF115=17,'Project types'!$L116,'Prepare Gantt Chart'!AF115=0,0)</f>
        <v>0</v>
      </c>
      <c r="AU126" s="83">
        <f>_xlfn.IFS('Prepare Gantt Chart'!AG115=18,'Project types'!$L116,'Prepare Gantt Chart'!AG115=17,'Project types'!$L116,'Prepare Gantt Chart'!AG115=0,0)</f>
        <v>0</v>
      </c>
      <c r="AV126" s="83">
        <f>_xlfn.IFS('Prepare Gantt Chart'!AH115=18,'Project types'!$L116,'Prepare Gantt Chart'!AH115=17,'Project types'!$L116,'Prepare Gantt Chart'!AH115=0,0)</f>
        <v>0</v>
      </c>
      <c r="AW126" s="83">
        <f>_xlfn.IFS('Prepare Gantt Chart'!AI115=18,'Project types'!$L116,'Prepare Gantt Chart'!AI115=17,'Project types'!$L116,'Prepare Gantt Chart'!AI115=0,0)</f>
        <v>0</v>
      </c>
      <c r="AX126" s="83">
        <f>_xlfn.IFS('Prepare Gantt Chart'!AJ115=18,'Project types'!$L116,'Prepare Gantt Chart'!AJ115=17,'Project types'!$L116,'Prepare Gantt Chart'!AJ115=0,0)</f>
        <v>0</v>
      </c>
      <c r="AY126" s="83">
        <f>_xlfn.IFS('Prepare Gantt Chart'!AK115=18,'Project types'!$L116,'Prepare Gantt Chart'!AK115=17,'Project types'!$L116,'Prepare Gantt Chart'!AK115=0,0)</f>
        <v>0</v>
      </c>
      <c r="AZ126" s="83">
        <f>_xlfn.IFS('Prepare Gantt Chart'!AL115=18,'Project types'!$L116,'Prepare Gantt Chart'!AL115=17,'Project types'!$L116,'Prepare Gantt Chart'!AL115=0,0)</f>
        <v>0</v>
      </c>
      <c r="BA126" s="83">
        <f>_xlfn.IFS('Prepare Gantt Chart'!AM115=18,'Project types'!$L116,'Prepare Gantt Chart'!AM115=17,'Project types'!$L116,'Prepare Gantt Chart'!AM115=0,0)</f>
        <v>0</v>
      </c>
      <c r="BB126" s="83">
        <f>_xlfn.IFS('Prepare Gantt Chart'!AN115=18,'Project types'!$L116,'Prepare Gantt Chart'!AN115=17,'Project types'!$L116,'Prepare Gantt Chart'!AN115=0,0)</f>
        <v>0</v>
      </c>
      <c r="BC126" s="83">
        <f>_xlfn.IFS('Prepare Gantt Chart'!AO115=18,'Project types'!$L116,'Prepare Gantt Chart'!AO115=17,'Project types'!$L116,'Prepare Gantt Chart'!AO115=0,0)</f>
        <v>0</v>
      </c>
      <c r="BD126" s="91">
        <f t="shared" si="3"/>
        <v>0</v>
      </c>
    </row>
    <row r="127" spans="1:56" x14ac:dyDescent="0.2">
      <c r="A127" s="1" t="s">
        <v>172</v>
      </c>
      <c r="B127" s="42" t="s">
        <v>108</v>
      </c>
      <c r="C127" s="83">
        <f>_xlfn.IFS('Prepare Gantt Chart'!P116=18,'Project types'!$O117,'Prepare Gantt Chart'!P116=17,'Project types'!$Q117,'Prepare Gantt Chart'!P116=0,0)</f>
        <v>0</v>
      </c>
      <c r="D127" s="83">
        <f>_xlfn.IFS('Prepare Gantt Chart'!Q116=18,'Project types'!$O117,'Prepare Gantt Chart'!Q116=17,'Project types'!$Q117,'Prepare Gantt Chart'!Q116=0,0)</f>
        <v>0</v>
      </c>
      <c r="E127" s="83">
        <f>_xlfn.IFS('Prepare Gantt Chart'!R116=18,'Project types'!$O117,'Prepare Gantt Chart'!R116=17,'Project types'!$Q117,'Prepare Gantt Chart'!R116=0,0)</f>
        <v>0</v>
      </c>
      <c r="F127" s="83">
        <f>_xlfn.IFS('Prepare Gantt Chart'!S116=18,'Project types'!$O117,'Prepare Gantt Chart'!S116=17,'Project types'!$Q117,'Prepare Gantt Chart'!S116=0,0)</f>
        <v>0</v>
      </c>
      <c r="G127" s="83">
        <f>_xlfn.IFS('Prepare Gantt Chart'!T116=18,'Project types'!$O117,'Prepare Gantt Chart'!T116=17,'Project types'!$Q117,'Prepare Gantt Chart'!T116=0,0)</f>
        <v>0</v>
      </c>
      <c r="H127" s="83">
        <f>_xlfn.IFS('Prepare Gantt Chart'!U116=18,'Project types'!$O117,'Prepare Gantt Chart'!U116=17,'Project types'!$Q117,'Prepare Gantt Chart'!U116=0,0)</f>
        <v>0</v>
      </c>
      <c r="I127" s="83">
        <f>_xlfn.IFS('Prepare Gantt Chart'!V116=18,'Project types'!$O117,'Prepare Gantt Chart'!V116=17,'Project types'!$Q117,'Prepare Gantt Chart'!V116=0,0)</f>
        <v>0</v>
      </c>
      <c r="J127" s="83">
        <f>_xlfn.IFS('Prepare Gantt Chart'!W116=18,'Project types'!$O117,'Prepare Gantt Chart'!W116=17,'Project types'!$Q117,'Prepare Gantt Chart'!W116=0,0)</f>
        <v>0</v>
      </c>
      <c r="K127" s="83">
        <f>_xlfn.IFS('Prepare Gantt Chart'!X116=18,'Project types'!$O117,'Prepare Gantt Chart'!X116=17,'Project types'!$Q117,'Prepare Gantt Chart'!X116=0,0)</f>
        <v>0</v>
      </c>
      <c r="L127" s="83">
        <f>_xlfn.IFS('Prepare Gantt Chart'!Y116=18,'Project types'!$O117,'Prepare Gantt Chart'!Y116=17,'Project types'!$Q117,'Prepare Gantt Chart'!Y116=0,0)</f>
        <v>0</v>
      </c>
      <c r="M127" s="83">
        <f>_xlfn.IFS('Prepare Gantt Chart'!Z116=18,'Project types'!$O117,'Prepare Gantt Chart'!Z116=17,'Project types'!$Q117,'Prepare Gantt Chart'!Z116=0,0)</f>
        <v>0</v>
      </c>
      <c r="N127" s="83">
        <f>_xlfn.IFS('Prepare Gantt Chart'!AA116=18,'Project types'!$O117,'Prepare Gantt Chart'!AA116=17,'Project types'!$Q117,'Prepare Gantt Chart'!AA116=0,0)</f>
        <v>0</v>
      </c>
      <c r="O127" s="83">
        <f>_xlfn.IFS('Prepare Gantt Chart'!AB116=18,'Project types'!$O117,'Prepare Gantt Chart'!AB116=17,'Project types'!$Q117,'Prepare Gantt Chart'!AB116=0,0)</f>
        <v>0</v>
      </c>
      <c r="P127" s="83">
        <f>_xlfn.IFS('Prepare Gantt Chart'!AC116=18,'Project types'!$O117,'Prepare Gantt Chart'!AC116=17,'Project types'!$Q117,'Prepare Gantt Chart'!AC116=0,0)</f>
        <v>0</v>
      </c>
      <c r="Q127" s="83">
        <f>_xlfn.IFS('Prepare Gantt Chart'!AD116=18,'Project types'!$O117,'Prepare Gantt Chart'!AD116=17,'Project types'!$Q117,'Prepare Gantt Chart'!AD116=0,0)</f>
        <v>0</v>
      </c>
      <c r="R127" s="83">
        <f>_xlfn.IFS('Prepare Gantt Chart'!AE116=18,'Project types'!$O117,'Prepare Gantt Chart'!AE116=17,'Project types'!$Q117,'Prepare Gantt Chart'!AE116=0,0)</f>
        <v>0</v>
      </c>
      <c r="S127" s="83">
        <f>_xlfn.IFS('Prepare Gantt Chart'!AF116=18,'Project types'!$O117,'Prepare Gantt Chart'!AF116=17,'Project types'!$Q117,'Prepare Gantt Chart'!AF116=0,0)</f>
        <v>0</v>
      </c>
      <c r="T127" s="83">
        <f>_xlfn.IFS('Prepare Gantt Chart'!AG116=18,'Project types'!$O117,'Prepare Gantt Chart'!AG116=17,'Project types'!$Q117,'Prepare Gantt Chart'!AG116=0,0)</f>
        <v>0</v>
      </c>
      <c r="U127" s="83">
        <f>_xlfn.IFS('Prepare Gantt Chart'!AH116=18,'Project types'!$O117,'Prepare Gantt Chart'!AH116=17,'Project types'!$Q117,'Prepare Gantt Chart'!AH116=0,0)</f>
        <v>0</v>
      </c>
      <c r="V127" s="83">
        <f>_xlfn.IFS('Prepare Gantt Chart'!AI116=18,'Project types'!$O117,'Prepare Gantt Chart'!AI116=17,'Project types'!$Q117,'Prepare Gantt Chart'!AI116=0,0)</f>
        <v>0</v>
      </c>
      <c r="W127" s="83">
        <f>_xlfn.IFS('Prepare Gantt Chart'!AJ116=18,'Project types'!$O117,'Prepare Gantt Chart'!AJ116=17,'Project types'!$Q117,'Prepare Gantt Chart'!AJ116=0,0)</f>
        <v>0</v>
      </c>
      <c r="X127" s="83">
        <f>_xlfn.IFS('Prepare Gantt Chart'!AK116=18,'Project types'!$O117,'Prepare Gantt Chart'!AK116=17,'Project types'!$Q117,'Prepare Gantt Chart'!AK116=0,0)</f>
        <v>0</v>
      </c>
      <c r="Y127" s="83">
        <f>_xlfn.IFS('Prepare Gantt Chart'!AL116=18,'Project types'!$O117,'Prepare Gantt Chart'!AL116=17,'Project types'!$Q117,'Prepare Gantt Chart'!AL116=0,0)</f>
        <v>0</v>
      </c>
      <c r="Z127" s="83">
        <f>_xlfn.IFS('Prepare Gantt Chart'!AM116=18,'Project types'!$O117,'Prepare Gantt Chart'!AM116=17,'Project types'!$Q117,'Prepare Gantt Chart'!AM116=0,0)</f>
        <v>0</v>
      </c>
      <c r="AA127" s="83">
        <f>_xlfn.IFS('Prepare Gantt Chart'!AN116=18,'Project types'!$O117,'Prepare Gantt Chart'!AN116=17,'Project types'!$Q117,'Prepare Gantt Chart'!AN116=0,0)</f>
        <v>0</v>
      </c>
      <c r="AB127" s="83">
        <f>_xlfn.IFS('Prepare Gantt Chart'!AO116=18,'Project types'!$O117,'Prepare Gantt Chart'!AO116=17,'Project types'!$Q117,'Prepare Gantt Chart'!AO116=0,0)</f>
        <v>0</v>
      </c>
      <c r="AC127" s="93">
        <f t="shared" si="2"/>
        <v>0</v>
      </c>
      <c r="AD127" s="86">
        <f>_xlfn.IFS('Prepare Gantt Chart'!P116=18,'Project types'!$L117,'Prepare Gantt Chart'!P116=17,'Project types'!$L117,'Prepare Gantt Chart'!P116=0,0)</f>
        <v>0</v>
      </c>
      <c r="AE127" s="83">
        <f>_xlfn.IFS('Prepare Gantt Chart'!Q116=18,'Project types'!$L117,'Prepare Gantt Chart'!Q116=17,'Project types'!$L117,'Prepare Gantt Chart'!Q116=0,0)</f>
        <v>0</v>
      </c>
      <c r="AF127" s="83">
        <f>_xlfn.IFS('Prepare Gantt Chart'!R116=18,'Project types'!$L117,'Prepare Gantt Chart'!R116=17,'Project types'!$L117,'Prepare Gantt Chart'!R116=0,0)</f>
        <v>0</v>
      </c>
      <c r="AG127" s="83">
        <f>_xlfn.IFS('Prepare Gantt Chart'!S116=18,'Project types'!$L117,'Prepare Gantt Chart'!S116=17,'Project types'!$L117,'Prepare Gantt Chart'!S116=0,0)</f>
        <v>0</v>
      </c>
      <c r="AH127" s="83">
        <f>_xlfn.IFS('Prepare Gantt Chart'!T116=18,'Project types'!$L117,'Prepare Gantt Chart'!T116=17,'Project types'!$L117,'Prepare Gantt Chart'!T116=0,0)</f>
        <v>0</v>
      </c>
      <c r="AI127" s="83">
        <f>_xlfn.IFS('Prepare Gantt Chart'!U116=18,'Project types'!$L117,'Prepare Gantt Chart'!U116=17,'Project types'!$L117,'Prepare Gantt Chart'!U116=0,0)</f>
        <v>0</v>
      </c>
      <c r="AJ127" s="83">
        <f>_xlfn.IFS('Prepare Gantt Chart'!V116=18,'Project types'!$L117,'Prepare Gantt Chart'!V116=17,'Project types'!$L117,'Prepare Gantt Chart'!V116=0,0)</f>
        <v>0</v>
      </c>
      <c r="AK127" s="83">
        <f>_xlfn.IFS('Prepare Gantt Chart'!W116=18,'Project types'!$L117,'Prepare Gantt Chart'!W116=17,'Project types'!$L117,'Prepare Gantt Chart'!W116=0,0)</f>
        <v>0</v>
      </c>
      <c r="AL127" s="83">
        <f>_xlfn.IFS('Prepare Gantt Chart'!X116=18,'Project types'!$L117,'Prepare Gantt Chart'!X116=17,'Project types'!$L117,'Prepare Gantt Chart'!X116=0,0)</f>
        <v>0</v>
      </c>
      <c r="AM127" s="83">
        <f>_xlfn.IFS('Prepare Gantt Chart'!Y116=18,'Project types'!$L117,'Prepare Gantt Chart'!Y116=17,'Project types'!$L117,'Prepare Gantt Chart'!Y116=0,0)</f>
        <v>0</v>
      </c>
      <c r="AN127" s="83">
        <f>_xlfn.IFS('Prepare Gantt Chart'!Z116=18,'Project types'!$L117,'Prepare Gantt Chart'!Z116=17,'Project types'!$L117,'Prepare Gantt Chart'!Z116=0,0)</f>
        <v>0</v>
      </c>
      <c r="AO127" s="83">
        <f>_xlfn.IFS('Prepare Gantt Chart'!AA116=18,'Project types'!$L117,'Prepare Gantt Chart'!AA116=17,'Project types'!$L117,'Prepare Gantt Chart'!AA116=0,0)</f>
        <v>0</v>
      </c>
      <c r="AP127" s="83">
        <f>_xlfn.IFS('Prepare Gantt Chart'!AB116=18,'Project types'!$L117,'Prepare Gantt Chart'!AB116=17,'Project types'!$L117,'Prepare Gantt Chart'!AB116=0,0)</f>
        <v>0</v>
      </c>
      <c r="AQ127" s="83">
        <f>_xlfn.IFS('Prepare Gantt Chart'!AC116=18,'Project types'!$L117,'Prepare Gantt Chart'!AC116=17,'Project types'!$L117,'Prepare Gantt Chart'!AC116=0,0)</f>
        <v>0</v>
      </c>
      <c r="AR127" s="83">
        <f>_xlfn.IFS('Prepare Gantt Chart'!AD116=18,'Project types'!$L117,'Prepare Gantt Chart'!AD116=17,'Project types'!$L117,'Prepare Gantt Chart'!AD116=0,0)</f>
        <v>0</v>
      </c>
      <c r="AS127" s="83">
        <f>_xlfn.IFS('Prepare Gantt Chart'!AE116=18,'Project types'!$L117,'Prepare Gantt Chart'!AE116=17,'Project types'!$L117,'Prepare Gantt Chart'!AE116=0,0)</f>
        <v>0</v>
      </c>
      <c r="AT127" s="83">
        <f>_xlfn.IFS('Prepare Gantt Chart'!AF116=18,'Project types'!$L117,'Prepare Gantt Chart'!AF116=17,'Project types'!$L117,'Prepare Gantt Chart'!AF116=0,0)</f>
        <v>0</v>
      </c>
      <c r="AU127" s="83">
        <f>_xlfn.IFS('Prepare Gantt Chart'!AG116=18,'Project types'!$L117,'Prepare Gantt Chart'!AG116=17,'Project types'!$L117,'Prepare Gantt Chart'!AG116=0,0)</f>
        <v>0</v>
      </c>
      <c r="AV127" s="83">
        <f>_xlfn.IFS('Prepare Gantt Chart'!AH116=18,'Project types'!$L117,'Prepare Gantt Chart'!AH116=17,'Project types'!$L117,'Prepare Gantt Chart'!AH116=0,0)</f>
        <v>0</v>
      </c>
      <c r="AW127" s="83">
        <f>_xlfn.IFS('Prepare Gantt Chart'!AI116=18,'Project types'!$L117,'Prepare Gantt Chart'!AI116=17,'Project types'!$L117,'Prepare Gantt Chart'!AI116=0,0)</f>
        <v>0</v>
      </c>
      <c r="AX127" s="83">
        <f>_xlfn.IFS('Prepare Gantt Chart'!AJ116=18,'Project types'!$L117,'Prepare Gantt Chart'!AJ116=17,'Project types'!$L117,'Prepare Gantt Chart'!AJ116=0,0)</f>
        <v>0</v>
      </c>
      <c r="AY127" s="83">
        <f>_xlfn.IFS('Prepare Gantt Chart'!AK116=18,'Project types'!$L117,'Prepare Gantt Chart'!AK116=17,'Project types'!$L117,'Prepare Gantt Chart'!AK116=0,0)</f>
        <v>0</v>
      </c>
      <c r="AZ127" s="83">
        <f>_xlfn.IFS('Prepare Gantt Chart'!AL116=18,'Project types'!$L117,'Prepare Gantt Chart'!AL116=17,'Project types'!$L117,'Prepare Gantt Chart'!AL116=0,0)</f>
        <v>0</v>
      </c>
      <c r="BA127" s="83">
        <f>_xlfn.IFS('Prepare Gantt Chart'!AM116=18,'Project types'!$L117,'Prepare Gantt Chart'!AM116=17,'Project types'!$L117,'Prepare Gantt Chart'!AM116=0,0)</f>
        <v>0</v>
      </c>
      <c r="BB127" s="83">
        <f>_xlfn.IFS('Prepare Gantt Chart'!AN116=18,'Project types'!$L117,'Prepare Gantt Chart'!AN116=17,'Project types'!$L117,'Prepare Gantt Chart'!AN116=0,0)</f>
        <v>0</v>
      </c>
      <c r="BC127" s="83">
        <f>_xlfn.IFS('Prepare Gantt Chart'!AO116=18,'Project types'!$L117,'Prepare Gantt Chart'!AO116=17,'Project types'!$L117,'Prepare Gantt Chart'!AO116=0,0)</f>
        <v>0</v>
      </c>
      <c r="BD127" s="91">
        <f t="shared" si="3"/>
        <v>0</v>
      </c>
    </row>
    <row r="128" spans="1:56" x14ac:dyDescent="0.2">
      <c r="A128" s="1" t="s">
        <v>407</v>
      </c>
      <c r="B128" s="42" t="s">
        <v>109</v>
      </c>
      <c r="C128" s="83">
        <f>_xlfn.IFS('Prepare Gantt Chart'!P117=18,'Project types'!$O118,'Prepare Gantt Chart'!P117=17,'Project types'!$Q118,'Prepare Gantt Chart'!P117=0,0)</f>
        <v>0</v>
      </c>
      <c r="D128" s="83">
        <f>_xlfn.IFS('Prepare Gantt Chart'!Q117=18,'Project types'!$O118,'Prepare Gantt Chart'!Q117=17,'Project types'!$Q118,'Prepare Gantt Chart'!Q117=0,0)</f>
        <v>0</v>
      </c>
      <c r="E128" s="83">
        <f>_xlfn.IFS('Prepare Gantt Chart'!R117=18,'Project types'!$O118,'Prepare Gantt Chart'!R117=17,'Project types'!$Q118,'Prepare Gantt Chart'!R117=0,0)</f>
        <v>0</v>
      </c>
      <c r="F128" s="83">
        <f>_xlfn.IFS('Prepare Gantt Chart'!S117=18,'Project types'!$O118,'Prepare Gantt Chart'!S117=17,'Project types'!$Q118,'Prepare Gantt Chart'!S117=0,0)</f>
        <v>0</v>
      </c>
      <c r="G128" s="83">
        <f>_xlfn.IFS('Prepare Gantt Chart'!T117=18,'Project types'!$O118,'Prepare Gantt Chart'!T117=17,'Project types'!$Q118,'Prepare Gantt Chart'!T117=0,0)</f>
        <v>0</v>
      </c>
      <c r="H128" s="83">
        <f>_xlfn.IFS('Prepare Gantt Chart'!U117=18,'Project types'!$O118,'Prepare Gantt Chart'!U117=17,'Project types'!$Q118,'Prepare Gantt Chart'!U117=0,0)</f>
        <v>0</v>
      </c>
      <c r="I128" s="83">
        <f>_xlfn.IFS('Prepare Gantt Chart'!V117=18,'Project types'!$O118,'Prepare Gantt Chart'!V117=17,'Project types'!$Q118,'Prepare Gantt Chart'!V117=0,0)</f>
        <v>0</v>
      </c>
      <c r="J128" s="83">
        <f>_xlfn.IFS('Prepare Gantt Chart'!W117=18,'Project types'!$O118,'Prepare Gantt Chart'!W117=17,'Project types'!$Q118,'Prepare Gantt Chart'!W117=0,0)</f>
        <v>0</v>
      </c>
      <c r="K128" s="83">
        <f>_xlfn.IFS('Prepare Gantt Chart'!X117=18,'Project types'!$O118,'Prepare Gantt Chart'!X117=17,'Project types'!$Q118,'Prepare Gantt Chart'!X117=0,0)</f>
        <v>0</v>
      </c>
      <c r="L128" s="83">
        <f>_xlfn.IFS('Prepare Gantt Chart'!Y117=18,'Project types'!$O118,'Prepare Gantt Chart'!Y117=17,'Project types'!$Q118,'Prepare Gantt Chart'!Y117=0,0)</f>
        <v>0</v>
      </c>
      <c r="M128" s="83">
        <f>_xlfn.IFS('Prepare Gantt Chart'!Z117=18,'Project types'!$O118,'Prepare Gantt Chart'!Z117=17,'Project types'!$Q118,'Prepare Gantt Chart'!Z117=0,0)</f>
        <v>0</v>
      </c>
      <c r="N128" s="83">
        <f>_xlfn.IFS('Prepare Gantt Chart'!AA117=18,'Project types'!$O118,'Prepare Gantt Chart'!AA117=17,'Project types'!$Q118,'Prepare Gantt Chart'!AA117=0,0)</f>
        <v>0</v>
      </c>
      <c r="O128" s="83">
        <f>_xlfn.IFS('Prepare Gantt Chart'!AB117=18,'Project types'!$O118,'Prepare Gantt Chart'!AB117=17,'Project types'!$Q118,'Prepare Gantt Chart'!AB117=0,0)</f>
        <v>0</v>
      </c>
      <c r="P128" s="83">
        <f>_xlfn.IFS('Prepare Gantt Chart'!AC117=18,'Project types'!$O118,'Prepare Gantt Chart'!AC117=17,'Project types'!$Q118,'Prepare Gantt Chart'!AC117=0,0)</f>
        <v>0</v>
      </c>
      <c r="Q128" s="83">
        <f>_xlfn.IFS('Prepare Gantt Chart'!AD117=18,'Project types'!$O118,'Prepare Gantt Chart'!AD117=17,'Project types'!$Q118,'Prepare Gantt Chart'!AD117=0,0)</f>
        <v>0</v>
      </c>
      <c r="R128" s="83">
        <f>_xlfn.IFS('Prepare Gantt Chart'!AE117=18,'Project types'!$O118,'Prepare Gantt Chart'!AE117=17,'Project types'!$Q118,'Prepare Gantt Chart'!AE117=0,0)</f>
        <v>0</v>
      </c>
      <c r="S128" s="83">
        <f>_xlfn.IFS('Prepare Gantt Chart'!AF117=18,'Project types'!$O118,'Prepare Gantt Chart'!AF117=17,'Project types'!$Q118,'Prepare Gantt Chart'!AF117=0,0)</f>
        <v>0</v>
      </c>
      <c r="T128" s="83">
        <f>_xlfn.IFS('Prepare Gantt Chart'!AG117=18,'Project types'!$O118,'Prepare Gantt Chart'!AG117=17,'Project types'!$Q118,'Prepare Gantt Chart'!AG117=0,0)</f>
        <v>0</v>
      </c>
      <c r="U128" s="83">
        <f>_xlfn.IFS('Prepare Gantt Chart'!AH117=18,'Project types'!$O118,'Prepare Gantt Chart'!AH117=17,'Project types'!$Q118,'Prepare Gantt Chart'!AH117=0,0)</f>
        <v>0</v>
      </c>
      <c r="V128" s="83">
        <f>_xlfn.IFS('Prepare Gantt Chart'!AI117=18,'Project types'!$O118,'Prepare Gantt Chart'!AI117=17,'Project types'!$Q118,'Prepare Gantt Chart'!AI117=0,0)</f>
        <v>0</v>
      </c>
      <c r="W128" s="83">
        <f>_xlfn.IFS('Prepare Gantt Chart'!AJ117=18,'Project types'!$O118,'Prepare Gantt Chart'!AJ117=17,'Project types'!$Q118,'Prepare Gantt Chart'!AJ117=0,0)</f>
        <v>0</v>
      </c>
      <c r="X128" s="83">
        <f>_xlfn.IFS('Prepare Gantt Chart'!AK117=18,'Project types'!$O118,'Prepare Gantt Chart'!AK117=17,'Project types'!$Q118,'Prepare Gantt Chart'!AK117=0,0)</f>
        <v>0</v>
      </c>
      <c r="Y128" s="83">
        <f>_xlfn.IFS('Prepare Gantt Chart'!AL117=18,'Project types'!$O118,'Prepare Gantt Chart'!AL117=17,'Project types'!$Q118,'Prepare Gantt Chart'!AL117=0,0)</f>
        <v>0</v>
      </c>
      <c r="Z128" s="83">
        <f>_xlfn.IFS('Prepare Gantt Chart'!AM117=18,'Project types'!$O118,'Prepare Gantt Chart'!AM117=17,'Project types'!$Q118,'Prepare Gantt Chart'!AM117=0,0)</f>
        <v>0</v>
      </c>
      <c r="AA128" s="83">
        <f>_xlfn.IFS('Prepare Gantt Chart'!AN117=18,'Project types'!$O118,'Prepare Gantt Chart'!AN117=17,'Project types'!$Q118,'Prepare Gantt Chart'!AN117=0,0)</f>
        <v>0</v>
      </c>
      <c r="AB128" s="83">
        <f>_xlfn.IFS('Prepare Gantt Chart'!AO117=18,'Project types'!$O118,'Prepare Gantt Chart'!AO117=17,'Project types'!$Q118,'Prepare Gantt Chart'!AO117=0,0)</f>
        <v>0</v>
      </c>
      <c r="AC128" s="93">
        <f t="shared" si="2"/>
        <v>0</v>
      </c>
      <c r="AD128" s="86">
        <f>_xlfn.IFS('Prepare Gantt Chart'!P117=18,'Project types'!$L118,'Prepare Gantt Chart'!P117=17,'Project types'!$L118,'Prepare Gantt Chart'!P117=0,0)</f>
        <v>0</v>
      </c>
      <c r="AE128" s="83">
        <f>_xlfn.IFS('Prepare Gantt Chart'!Q117=18,'Project types'!$L118,'Prepare Gantt Chart'!Q117=17,'Project types'!$L118,'Prepare Gantt Chart'!Q117=0,0)</f>
        <v>0</v>
      </c>
      <c r="AF128" s="83">
        <f>_xlfn.IFS('Prepare Gantt Chart'!R117=18,'Project types'!$L118,'Prepare Gantt Chart'!R117=17,'Project types'!$L118,'Prepare Gantt Chart'!R117=0,0)</f>
        <v>0</v>
      </c>
      <c r="AG128" s="83">
        <f>_xlfn.IFS('Prepare Gantt Chart'!S117=18,'Project types'!$L118,'Prepare Gantt Chart'!S117=17,'Project types'!$L118,'Prepare Gantt Chart'!S117=0,0)</f>
        <v>0</v>
      </c>
      <c r="AH128" s="83">
        <f>_xlfn.IFS('Prepare Gantt Chart'!T117=18,'Project types'!$L118,'Prepare Gantt Chart'!T117=17,'Project types'!$L118,'Prepare Gantt Chart'!T117=0,0)</f>
        <v>0</v>
      </c>
      <c r="AI128" s="83">
        <f>_xlfn.IFS('Prepare Gantt Chart'!U117=18,'Project types'!$L118,'Prepare Gantt Chart'!U117=17,'Project types'!$L118,'Prepare Gantt Chart'!U117=0,0)</f>
        <v>0</v>
      </c>
      <c r="AJ128" s="83">
        <f>_xlfn.IFS('Prepare Gantt Chart'!V117=18,'Project types'!$L118,'Prepare Gantt Chart'!V117=17,'Project types'!$L118,'Prepare Gantt Chart'!V117=0,0)</f>
        <v>0</v>
      </c>
      <c r="AK128" s="83">
        <f>_xlfn.IFS('Prepare Gantt Chart'!W117=18,'Project types'!$L118,'Prepare Gantt Chart'!W117=17,'Project types'!$L118,'Prepare Gantt Chart'!W117=0,0)</f>
        <v>0</v>
      </c>
      <c r="AL128" s="83">
        <f>_xlfn.IFS('Prepare Gantt Chart'!X117=18,'Project types'!$L118,'Prepare Gantt Chart'!X117=17,'Project types'!$L118,'Prepare Gantt Chart'!X117=0,0)</f>
        <v>0</v>
      </c>
      <c r="AM128" s="83">
        <f>_xlfn.IFS('Prepare Gantt Chart'!Y117=18,'Project types'!$L118,'Prepare Gantt Chart'!Y117=17,'Project types'!$L118,'Prepare Gantt Chart'!Y117=0,0)</f>
        <v>0</v>
      </c>
      <c r="AN128" s="83">
        <f>_xlfn.IFS('Prepare Gantt Chart'!Z117=18,'Project types'!$L118,'Prepare Gantt Chart'!Z117=17,'Project types'!$L118,'Prepare Gantt Chart'!Z117=0,0)</f>
        <v>0</v>
      </c>
      <c r="AO128" s="83">
        <f>_xlfn.IFS('Prepare Gantt Chart'!AA117=18,'Project types'!$L118,'Prepare Gantt Chart'!AA117=17,'Project types'!$L118,'Prepare Gantt Chart'!AA117=0,0)</f>
        <v>0</v>
      </c>
      <c r="AP128" s="83">
        <f>_xlfn.IFS('Prepare Gantt Chart'!AB117=18,'Project types'!$L118,'Prepare Gantt Chart'!AB117=17,'Project types'!$L118,'Prepare Gantt Chart'!AB117=0,0)</f>
        <v>0</v>
      </c>
      <c r="AQ128" s="83">
        <f>_xlfn.IFS('Prepare Gantt Chart'!AC117=18,'Project types'!$L118,'Prepare Gantt Chart'!AC117=17,'Project types'!$L118,'Prepare Gantt Chart'!AC117=0,0)</f>
        <v>0</v>
      </c>
      <c r="AR128" s="83">
        <f>_xlfn.IFS('Prepare Gantt Chart'!AD117=18,'Project types'!$L118,'Prepare Gantt Chart'!AD117=17,'Project types'!$L118,'Prepare Gantt Chart'!AD117=0,0)</f>
        <v>0</v>
      </c>
      <c r="AS128" s="83">
        <f>_xlfn.IFS('Prepare Gantt Chart'!AE117=18,'Project types'!$L118,'Prepare Gantt Chart'!AE117=17,'Project types'!$L118,'Prepare Gantt Chart'!AE117=0,0)</f>
        <v>0</v>
      </c>
      <c r="AT128" s="83">
        <f>_xlfn.IFS('Prepare Gantt Chart'!AF117=18,'Project types'!$L118,'Prepare Gantt Chart'!AF117=17,'Project types'!$L118,'Prepare Gantt Chart'!AF117=0,0)</f>
        <v>0</v>
      </c>
      <c r="AU128" s="83">
        <f>_xlfn.IFS('Prepare Gantt Chart'!AG117=18,'Project types'!$L118,'Prepare Gantt Chart'!AG117=17,'Project types'!$L118,'Prepare Gantt Chart'!AG117=0,0)</f>
        <v>0</v>
      </c>
      <c r="AV128" s="83">
        <f>_xlfn.IFS('Prepare Gantt Chart'!AH117=18,'Project types'!$L118,'Prepare Gantt Chart'!AH117=17,'Project types'!$L118,'Prepare Gantt Chart'!AH117=0,0)</f>
        <v>0</v>
      </c>
      <c r="AW128" s="83">
        <f>_xlfn.IFS('Prepare Gantt Chart'!AI117=18,'Project types'!$L118,'Prepare Gantt Chart'!AI117=17,'Project types'!$L118,'Prepare Gantt Chart'!AI117=0,0)</f>
        <v>0</v>
      </c>
      <c r="AX128" s="83">
        <f>_xlfn.IFS('Prepare Gantt Chart'!AJ117=18,'Project types'!$L118,'Prepare Gantt Chart'!AJ117=17,'Project types'!$L118,'Prepare Gantt Chart'!AJ117=0,0)</f>
        <v>0</v>
      </c>
      <c r="AY128" s="83">
        <f>_xlfn.IFS('Prepare Gantt Chart'!AK117=18,'Project types'!$L118,'Prepare Gantt Chart'!AK117=17,'Project types'!$L118,'Prepare Gantt Chart'!AK117=0,0)</f>
        <v>0</v>
      </c>
      <c r="AZ128" s="83">
        <f>_xlfn.IFS('Prepare Gantt Chart'!AL117=18,'Project types'!$L118,'Prepare Gantt Chart'!AL117=17,'Project types'!$L118,'Prepare Gantt Chart'!AL117=0,0)</f>
        <v>0</v>
      </c>
      <c r="BA128" s="83">
        <f>_xlfn.IFS('Prepare Gantt Chart'!AM117=18,'Project types'!$L118,'Prepare Gantt Chart'!AM117=17,'Project types'!$L118,'Prepare Gantt Chart'!AM117=0,0)</f>
        <v>0</v>
      </c>
      <c r="BB128" s="83">
        <f>_xlfn.IFS('Prepare Gantt Chart'!AN117=18,'Project types'!$L118,'Prepare Gantt Chart'!AN117=17,'Project types'!$L118,'Prepare Gantt Chart'!AN117=0,0)</f>
        <v>0</v>
      </c>
      <c r="BC128" s="83">
        <f>_xlfn.IFS('Prepare Gantt Chart'!AO117=18,'Project types'!$L118,'Prepare Gantt Chart'!AO117=17,'Project types'!$L118,'Prepare Gantt Chart'!AO117=0,0)</f>
        <v>0</v>
      </c>
      <c r="BD128" s="91">
        <f t="shared" si="3"/>
        <v>0</v>
      </c>
    </row>
    <row r="129" spans="1:56" x14ac:dyDescent="0.2">
      <c r="A129" s="1" t="s">
        <v>405</v>
      </c>
      <c r="B129" s="42" t="s">
        <v>418</v>
      </c>
      <c r="C129" s="83">
        <f>_xlfn.IFS('Prepare Gantt Chart'!P118=18,'Project types'!$O119,'Prepare Gantt Chart'!P118=17,'Project types'!$Q119,'Prepare Gantt Chart'!P118=0,0)</f>
        <v>0</v>
      </c>
      <c r="D129" s="83">
        <f>_xlfn.IFS('Prepare Gantt Chart'!Q118=18,'Project types'!$O119,'Prepare Gantt Chart'!Q118=17,'Project types'!$Q119,'Prepare Gantt Chart'!Q118=0,0)</f>
        <v>0</v>
      </c>
      <c r="E129" s="83">
        <f>_xlfn.IFS('Prepare Gantt Chart'!R118=18,'Project types'!$O119,'Prepare Gantt Chart'!R118=17,'Project types'!$Q119,'Prepare Gantt Chart'!R118=0,0)</f>
        <v>0</v>
      </c>
      <c r="F129" s="83">
        <f>_xlfn.IFS('Prepare Gantt Chart'!S118=18,'Project types'!$O119,'Prepare Gantt Chart'!S118=17,'Project types'!$Q119,'Prepare Gantt Chart'!S118=0,0)</f>
        <v>0</v>
      </c>
      <c r="G129" s="83">
        <f>_xlfn.IFS('Prepare Gantt Chart'!T118=18,'Project types'!$O119,'Prepare Gantt Chart'!T118=17,'Project types'!$Q119,'Prepare Gantt Chart'!T118=0,0)</f>
        <v>0</v>
      </c>
      <c r="H129" s="83">
        <f>_xlfn.IFS('Prepare Gantt Chart'!U118=18,'Project types'!$O119,'Prepare Gantt Chart'!U118=17,'Project types'!$Q119,'Prepare Gantt Chart'!U118=0,0)</f>
        <v>0</v>
      </c>
      <c r="I129" s="83">
        <f>_xlfn.IFS('Prepare Gantt Chart'!V118=18,'Project types'!$O119,'Prepare Gantt Chart'!V118=17,'Project types'!$Q119,'Prepare Gantt Chart'!V118=0,0)</f>
        <v>0</v>
      </c>
      <c r="J129" s="83">
        <f>_xlfn.IFS('Prepare Gantt Chart'!W118=18,'Project types'!$O119,'Prepare Gantt Chart'!W118=17,'Project types'!$Q119,'Prepare Gantt Chart'!W118=0,0)</f>
        <v>0</v>
      </c>
      <c r="K129" s="83">
        <f>_xlfn.IFS('Prepare Gantt Chart'!X118=18,'Project types'!$O119,'Prepare Gantt Chart'!X118=17,'Project types'!$Q119,'Prepare Gantt Chart'!X118=0,0)</f>
        <v>0</v>
      </c>
      <c r="L129" s="83">
        <f>_xlfn.IFS('Prepare Gantt Chart'!Y118=18,'Project types'!$O119,'Prepare Gantt Chart'!Y118=17,'Project types'!$Q119,'Prepare Gantt Chart'!Y118=0,0)</f>
        <v>0</v>
      </c>
      <c r="M129" s="83">
        <f>_xlfn.IFS('Prepare Gantt Chart'!Z118=18,'Project types'!$O119,'Prepare Gantt Chart'!Z118=17,'Project types'!$Q119,'Prepare Gantt Chart'!Z118=0,0)</f>
        <v>0</v>
      </c>
      <c r="N129" s="83">
        <f>_xlfn.IFS('Prepare Gantt Chart'!AA118=18,'Project types'!$O119,'Prepare Gantt Chart'!AA118=17,'Project types'!$Q119,'Prepare Gantt Chart'!AA118=0,0)</f>
        <v>0</v>
      </c>
      <c r="O129" s="83">
        <f>_xlfn.IFS('Prepare Gantt Chart'!AB118=18,'Project types'!$O119,'Prepare Gantt Chart'!AB118=17,'Project types'!$Q119,'Prepare Gantt Chart'!AB118=0,0)</f>
        <v>0</v>
      </c>
      <c r="P129" s="83">
        <f>_xlfn.IFS('Prepare Gantt Chart'!AC118=18,'Project types'!$O119,'Prepare Gantt Chart'!AC118=17,'Project types'!$Q119,'Prepare Gantt Chart'!AC118=0,0)</f>
        <v>0</v>
      </c>
      <c r="Q129" s="83">
        <f>_xlfn.IFS('Prepare Gantt Chart'!AD118=18,'Project types'!$O119,'Prepare Gantt Chart'!AD118=17,'Project types'!$Q119,'Prepare Gantt Chart'!AD118=0,0)</f>
        <v>0</v>
      </c>
      <c r="R129" s="83">
        <f>_xlfn.IFS('Prepare Gantt Chart'!AE118=18,'Project types'!$O119,'Prepare Gantt Chart'!AE118=17,'Project types'!$Q119,'Prepare Gantt Chart'!AE118=0,0)</f>
        <v>0</v>
      </c>
      <c r="S129" s="83">
        <f>_xlfn.IFS('Prepare Gantt Chart'!AF118=18,'Project types'!$O119,'Prepare Gantt Chart'!AF118=17,'Project types'!$Q119,'Prepare Gantt Chart'!AF118=0,0)</f>
        <v>0</v>
      </c>
      <c r="T129" s="83">
        <f>_xlfn.IFS('Prepare Gantt Chart'!AG118=18,'Project types'!$O119,'Prepare Gantt Chart'!AG118=17,'Project types'!$Q119,'Prepare Gantt Chart'!AG118=0,0)</f>
        <v>0</v>
      </c>
      <c r="U129" s="83">
        <f>_xlfn.IFS('Prepare Gantt Chart'!AH118=18,'Project types'!$O119,'Prepare Gantt Chart'!AH118=17,'Project types'!$Q119,'Prepare Gantt Chart'!AH118=0,0)</f>
        <v>0</v>
      </c>
      <c r="V129" s="83">
        <f>_xlfn.IFS('Prepare Gantt Chart'!AI118=18,'Project types'!$O119,'Prepare Gantt Chart'!AI118=17,'Project types'!$Q119,'Prepare Gantt Chart'!AI118=0,0)</f>
        <v>0</v>
      </c>
      <c r="W129" s="83">
        <f>_xlfn.IFS('Prepare Gantt Chart'!AJ118=18,'Project types'!$O119,'Prepare Gantt Chart'!AJ118=17,'Project types'!$Q119,'Prepare Gantt Chart'!AJ118=0,0)</f>
        <v>0</v>
      </c>
      <c r="X129" s="83">
        <f>_xlfn.IFS('Prepare Gantt Chart'!AK118=18,'Project types'!$O119,'Prepare Gantt Chart'!AK118=17,'Project types'!$Q119,'Prepare Gantt Chart'!AK118=0,0)</f>
        <v>0</v>
      </c>
      <c r="Y129" s="83">
        <f>_xlfn.IFS('Prepare Gantt Chart'!AL118=18,'Project types'!$O119,'Prepare Gantt Chart'!AL118=17,'Project types'!$Q119,'Prepare Gantt Chart'!AL118=0,0)</f>
        <v>0</v>
      </c>
      <c r="Z129" s="83">
        <f>_xlfn.IFS('Prepare Gantt Chart'!AM118=18,'Project types'!$O119,'Prepare Gantt Chart'!AM118=17,'Project types'!$Q119,'Prepare Gantt Chart'!AM118=0,0)</f>
        <v>0</v>
      </c>
      <c r="AA129" s="83">
        <f>_xlfn.IFS('Prepare Gantt Chart'!AN118=18,'Project types'!$O119,'Prepare Gantt Chart'!AN118=17,'Project types'!$Q119,'Prepare Gantt Chart'!AN118=0,0)</f>
        <v>0</v>
      </c>
      <c r="AB129" s="83">
        <f>_xlfn.IFS('Prepare Gantt Chart'!AO118=18,'Project types'!$O119,'Prepare Gantt Chart'!AO118=17,'Project types'!$Q119,'Prepare Gantt Chart'!AO118=0,0)</f>
        <v>0</v>
      </c>
      <c r="AC129" s="93">
        <f t="shared" si="2"/>
        <v>0</v>
      </c>
      <c r="AD129" s="86">
        <f>_xlfn.IFS('Prepare Gantt Chart'!P118=18,'Project types'!$L119,'Prepare Gantt Chart'!P118=17,'Project types'!$L119,'Prepare Gantt Chart'!P118=0,0)</f>
        <v>0</v>
      </c>
      <c r="AE129" s="83">
        <f>_xlfn.IFS('Prepare Gantt Chart'!Q118=18,'Project types'!$L119,'Prepare Gantt Chart'!Q118=17,'Project types'!$L119,'Prepare Gantt Chart'!Q118=0,0)</f>
        <v>0</v>
      </c>
      <c r="AF129" s="83">
        <f>_xlfn.IFS('Prepare Gantt Chart'!R118=18,'Project types'!$L119,'Prepare Gantt Chart'!R118=17,'Project types'!$L119,'Prepare Gantt Chart'!R118=0,0)</f>
        <v>0</v>
      </c>
      <c r="AG129" s="83">
        <f>_xlfn.IFS('Prepare Gantt Chart'!S118=18,'Project types'!$L119,'Prepare Gantt Chart'!S118=17,'Project types'!$L119,'Prepare Gantt Chart'!S118=0,0)</f>
        <v>0</v>
      </c>
      <c r="AH129" s="83">
        <f>_xlfn.IFS('Prepare Gantt Chart'!T118=18,'Project types'!$L119,'Prepare Gantt Chart'!T118=17,'Project types'!$L119,'Prepare Gantt Chart'!T118=0,0)</f>
        <v>0</v>
      </c>
      <c r="AI129" s="83">
        <f>_xlfn.IFS('Prepare Gantt Chart'!U118=18,'Project types'!$L119,'Prepare Gantt Chart'!U118=17,'Project types'!$L119,'Prepare Gantt Chart'!U118=0,0)</f>
        <v>0</v>
      </c>
      <c r="AJ129" s="83">
        <f>_xlfn.IFS('Prepare Gantt Chart'!V118=18,'Project types'!$L119,'Prepare Gantt Chart'!V118=17,'Project types'!$L119,'Prepare Gantt Chart'!V118=0,0)</f>
        <v>0</v>
      </c>
      <c r="AK129" s="83">
        <f>_xlfn.IFS('Prepare Gantt Chart'!W118=18,'Project types'!$L119,'Prepare Gantt Chart'!W118=17,'Project types'!$L119,'Prepare Gantt Chart'!W118=0,0)</f>
        <v>0</v>
      </c>
      <c r="AL129" s="83">
        <f>_xlfn.IFS('Prepare Gantt Chart'!X118=18,'Project types'!$L119,'Prepare Gantt Chart'!X118=17,'Project types'!$L119,'Prepare Gantt Chart'!X118=0,0)</f>
        <v>0</v>
      </c>
      <c r="AM129" s="83">
        <f>_xlfn.IFS('Prepare Gantt Chart'!Y118=18,'Project types'!$L119,'Prepare Gantt Chart'!Y118=17,'Project types'!$L119,'Prepare Gantt Chart'!Y118=0,0)</f>
        <v>0</v>
      </c>
      <c r="AN129" s="83">
        <f>_xlfn.IFS('Prepare Gantt Chart'!Z118=18,'Project types'!$L119,'Prepare Gantt Chart'!Z118=17,'Project types'!$L119,'Prepare Gantt Chart'!Z118=0,0)</f>
        <v>0</v>
      </c>
      <c r="AO129" s="83">
        <f>_xlfn.IFS('Prepare Gantt Chart'!AA118=18,'Project types'!$L119,'Prepare Gantt Chart'!AA118=17,'Project types'!$L119,'Prepare Gantt Chart'!AA118=0,0)</f>
        <v>0</v>
      </c>
      <c r="AP129" s="83">
        <f>_xlfn.IFS('Prepare Gantt Chart'!AB118=18,'Project types'!$L119,'Prepare Gantt Chart'!AB118=17,'Project types'!$L119,'Prepare Gantt Chart'!AB118=0,0)</f>
        <v>0</v>
      </c>
      <c r="AQ129" s="83">
        <f>_xlfn.IFS('Prepare Gantt Chart'!AC118=18,'Project types'!$L119,'Prepare Gantt Chart'!AC118=17,'Project types'!$L119,'Prepare Gantt Chart'!AC118=0,0)</f>
        <v>0</v>
      </c>
      <c r="AR129" s="83">
        <f>_xlfn.IFS('Prepare Gantt Chart'!AD118=18,'Project types'!$L119,'Prepare Gantt Chart'!AD118=17,'Project types'!$L119,'Prepare Gantt Chart'!AD118=0,0)</f>
        <v>0</v>
      </c>
      <c r="AS129" s="83">
        <f>_xlfn.IFS('Prepare Gantt Chart'!AE118=18,'Project types'!$L119,'Prepare Gantt Chart'!AE118=17,'Project types'!$L119,'Prepare Gantt Chart'!AE118=0,0)</f>
        <v>0</v>
      </c>
      <c r="AT129" s="83">
        <f>_xlfn.IFS('Prepare Gantt Chart'!AF118=18,'Project types'!$L119,'Prepare Gantt Chart'!AF118=17,'Project types'!$L119,'Prepare Gantt Chart'!AF118=0,0)</f>
        <v>0</v>
      </c>
      <c r="AU129" s="83">
        <f>_xlfn.IFS('Prepare Gantt Chart'!AG118=18,'Project types'!$L119,'Prepare Gantt Chart'!AG118=17,'Project types'!$L119,'Prepare Gantt Chart'!AG118=0,0)</f>
        <v>0</v>
      </c>
      <c r="AV129" s="83">
        <f>_xlfn.IFS('Prepare Gantt Chart'!AH118=18,'Project types'!$L119,'Prepare Gantt Chart'!AH118=17,'Project types'!$L119,'Prepare Gantt Chart'!AH118=0,0)</f>
        <v>0</v>
      </c>
      <c r="AW129" s="83">
        <f>_xlfn.IFS('Prepare Gantt Chart'!AI118=18,'Project types'!$L119,'Prepare Gantt Chart'!AI118=17,'Project types'!$L119,'Prepare Gantt Chart'!AI118=0,0)</f>
        <v>0</v>
      </c>
      <c r="AX129" s="83">
        <f>_xlfn.IFS('Prepare Gantt Chart'!AJ118=18,'Project types'!$L119,'Prepare Gantt Chart'!AJ118=17,'Project types'!$L119,'Prepare Gantt Chart'!AJ118=0,0)</f>
        <v>0</v>
      </c>
      <c r="AY129" s="83">
        <f>_xlfn.IFS('Prepare Gantt Chart'!AK118=18,'Project types'!$L119,'Prepare Gantt Chart'!AK118=17,'Project types'!$L119,'Prepare Gantt Chart'!AK118=0,0)</f>
        <v>0</v>
      </c>
      <c r="AZ129" s="83">
        <f>_xlfn.IFS('Prepare Gantt Chart'!AL118=18,'Project types'!$L119,'Prepare Gantt Chart'!AL118=17,'Project types'!$L119,'Prepare Gantt Chart'!AL118=0,0)</f>
        <v>0</v>
      </c>
      <c r="BA129" s="83">
        <f>_xlfn.IFS('Prepare Gantt Chart'!AM118=18,'Project types'!$L119,'Prepare Gantt Chart'!AM118=17,'Project types'!$L119,'Prepare Gantt Chart'!AM118=0,0)</f>
        <v>0</v>
      </c>
      <c r="BB129" s="83">
        <f>_xlfn.IFS('Prepare Gantt Chart'!AN118=18,'Project types'!$L119,'Prepare Gantt Chart'!AN118=17,'Project types'!$L119,'Prepare Gantt Chart'!AN118=0,0)</f>
        <v>0</v>
      </c>
      <c r="BC129" s="83">
        <f>_xlfn.IFS('Prepare Gantt Chart'!AO118=18,'Project types'!$L119,'Prepare Gantt Chart'!AO118=17,'Project types'!$L119,'Prepare Gantt Chart'!AO118=0,0)</f>
        <v>0</v>
      </c>
      <c r="BD129" s="91">
        <f t="shared" si="3"/>
        <v>0</v>
      </c>
    </row>
    <row r="130" spans="1:56" x14ac:dyDescent="0.2">
      <c r="A130" s="1" t="s">
        <v>406</v>
      </c>
      <c r="B130" s="42" t="s">
        <v>419</v>
      </c>
      <c r="C130" s="83">
        <f>_xlfn.IFS('Prepare Gantt Chart'!P119=18,'Project types'!$O120,'Prepare Gantt Chart'!P119=17,'Project types'!$Q120,'Prepare Gantt Chart'!P119=0,0)</f>
        <v>0</v>
      </c>
      <c r="D130" s="83">
        <f>_xlfn.IFS('Prepare Gantt Chart'!Q119=18,'Project types'!$O120,'Prepare Gantt Chart'!Q119=17,'Project types'!$Q120,'Prepare Gantt Chart'!Q119=0,0)</f>
        <v>0</v>
      </c>
      <c r="E130" s="83">
        <f>_xlfn.IFS('Prepare Gantt Chart'!R119=18,'Project types'!$O120,'Prepare Gantt Chart'!R119=17,'Project types'!$Q120,'Prepare Gantt Chart'!R119=0,0)</f>
        <v>0</v>
      </c>
      <c r="F130" s="83">
        <f>_xlfn.IFS('Prepare Gantt Chart'!S119=18,'Project types'!$O120,'Prepare Gantt Chart'!S119=17,'Project types'!$Q120,'Prepare Gantt Chart'!S119=0,0)</f>
        <v>0</v>
      </c>
      <c r="G130" s="83">
        <f>_xlfn.IFS('Prepare Gantt Chart'!T119=18,'Project types'!$O120,'Prepare Gantt Chart'!T119=17,'Project types'!$Q120,'Prepare Gantt Chart'!T119=0,0)</f>
        <v>0</v>
      </c>
      <c r="H130" s="83">
        <f>_xlfn.IFS('Prepare Gantt Chart'!U119=18,'Project types'!$O120,'Prepare Gantt Chart'!U119=17,'Project types'!$Q120,'Prepare Gantt Chart'!U119=0,0)</f>
        <v>0</v>
      </c>
      <c r="I130" s="83">
        <f>_xlfn.IFS('Prepare Gantt Chart'!V119=18,'Project types'!$O120,'Prepare Gantt Chart'!V119=17,'Project types'!$Q120,'Prepare Gantt Chart'!V119=0,0)</f>
        <v>0</v>
      </c>
      <c r="J130" s="83">
        <f>_xlfn.IFS('Prepare Gantt Chart'!W119=18,'Project types'!$O120,'Prepare Gantt Chart'!W119=17,'Project types'!$Q120,'Prepare Gantt Chart'!W119=0,0)</f>
        <v>0</v>
      </c>
      <c r="K130" s="83">
        <f>_xlfn.IFS('Prepare Gantt Chart'!X119=18,'Project types'!$O120,'Prepare Gantt Chart'!X119=17,'Project types'!$Q120,'Prepare Gantt Chart'!X119=0,0)</f>
        <v>0</v>
      </c>
      <c r="L130" s="83">
        <f>_xlfn.IFS('Prepare Gantt Chart'!Y119=18,'Project types'!$O120,'Prepare Gantt Chart'!Y119=17,'Project types'!$Q120,'Prepare Gantt Chart'!Y119=0,0)</f>
        <v>0</v>
      </c>
      <c r="M130" s="83">
        <f>_xlfn.IFS('Prepare Gantt Chart'!Z119=18,'Project types'!$O120,'Prepare Gantt Chart'!Z119=17,'Project types'!$Q120,'Prepare Gantt Chart'!Z119=0,0)</f>
        <v>0</v>
      </c>
      <c r="N130" s="83">
        <f>_xlfn.IFS('Prepare Gantt Chart'!AA119=18,'Project types'!$O120,'Prepare Gantt Chart'!AA119=17,'Project types'!$Q120,'Prepare Gantt Chart'!AA119=0,0)</f>
        <v>0</v>
      </c>
      <c r="O130" s="83">
        <f>_xlfn.IFS('Prepare Gantt Chart'!AB119=18,'Project types'!$O120,'Prepare Gantt Chart'!AB119=17,'Project types'!$Q120,'Prepare Gantt Chart'!AB119=0,0)</f>
        <v>0</v>
      </c>
      <c r="P130" s="83">
        <f>_xlfn.IFS('Prepare Gantt Chart'!AC119=18,'Project types'!$O120,'Prepare Gantt Chart'!AC119=17,'Project types'!$Q120,'Prepare Gantt Chart'!AC119=0,0)</f>
        <v>0</v>
      </c>
      <c r="Q130" s="83">
        <f>_xlfn.IFS('Prepare Gantt Chart'!AD119=18,'Project types'!$O120,'Prepare Gantt Chart'!AD119=17,'Project types'!$Q120,'Prepare Gantt Chart'!AD119=0,0)</f>
        <v>0</v>
      </c>
      <c r="R130" s="83">
        <f>_xlfn.IFS('Prepare Gantt Chart'!AE119=18,'Project types'!$O120,'Prepare Gantt Chart'!AE119=17,'Project types'!$Q120,'Prepare Gantt Chart'!AE119=0,0)</f>
        <v>0</v>
      </c>
      <c r="S130" s="83">
        <f>_xlfn.IFS('Prepare Gantt Chart'!AF119=18,'Project types'!$O120,'Prepare Gantt Chart'!AF119=17,'Project types'!$Q120,'Prepare Gantt Chart'!AF119=0,0)</f>
        <v>0</v>
      </c>
      <c r="T130" s="83">
        <f>_xlfn.IFS('Prepare Gantt Chart'!AG119=18,'Project types'!$O120,'Prepare Gantt Chart'!AG119=17,'Project types'!$Q120,'Prepare Gantt Chart'!AG119=0,0)</f>
        <v>0</v>
      </c>
      <c r="U130" s="83">
        <f>_xlfn.IFS('Prepare Gantt Chart'!AH119=18,'Project types'!$O120,'Prepare Gantt Chart'!AH119=17,'Project types'!$Q120,'Prepare Gantt Chart'!AH119=0,0)</f>
        <v>0</v>
      </c>
      <c r="V130" s="83">
        <f>_xlfn.IFS('Prepare Gantt Chart'!AI119=18,'Project types'!$O120,'Prepare Gantt Chart'!AI119=17,'Project types'!$Q120,'Prepare Gantt Chart'!AI119=0,0)</f>
        <v>0</v>
      </c>
      <c r="W130" s="83">
        <f>_xlfn.IFS('Prepare Gantt Chart'!AJ119=18,'Project types'!$O120,'Prepare Gantt Chart'!AJ119=17,'Project types'!$Q120,'Prepare Gantt Chart'!AJ119=0,0)</f>
        <v>0</v>
      </c>
      <c r="X130" s="83">
        <f>_xlfn.IFS('Prepare Gantt Chart'!AK119=18,'Project types'!$O120,'Prepare Gantt Chart'!AK119=17,'Project types'!$Q120,'Prepare Gantt Chart'!AK119=0,0)</f>
        <v>0</v>
      </c>
      <c r="Y130" s="83">
        <f>_xlfn.IFS('Prepare Gantt Chart'!AL119=18,'Project types'!$O120,'Prepare Gantt Chart'!AL119=17,'Project types'!$Q120,'Prepare Gantt Chart'!AL119=0,0)</f>
        <v>0</v>
      </c>
      <c r="Z130" s="83">
        <f>_xlfn.IFS('Prepare Gantt Chart'!AM119=18,'Project types'!$O120,'Prepare Gantt Chart'!AM119=17,'Project types'!$Q120,'Prepare Gantt Chart'!AM119=0,0)</f>
        <v>0</v>
      </c>
      <c r="AA130" s="83">
        <f>_xlfn.IFS('Prepare Gantt Chart'!AN119=18,'Project types'!$O120,'Prepare Gantt Chart'!AN119=17,'Project types'!$Q120,'Prepare Gantt Chart'!AN119=0,0)</f>
        <v>0</v>
      </c>
      <c r="AB130" s="83">
        <f>_xlfn.IFS('Prepare Gantt Chart'!AO119=18,'Project types'!$O120,'Prepare Gantt Chart'!AO119=17,'Project types'!$Q120,'Prepare Gantt Chart'!AO119=0,0)</f>
        <v>0</v>
      </c>
      <c r="AC130" s="93">
        <f t="shared" si="2"/>
        <v>0</v>
      </c>
      <c r="AD130" s="86">
        <f>_xlfn.IFS('Prepare Gantt Chart'!P119=18,'Project types'!$L120,'Prepare Gantt Chart'!P119=17,'Project types'!$L120,'Prepare Gantt Chart'!P119=0,0)</f>
        <v>0</v>
      </c>
      <c r="AE130" s="83">
        <f>_xlfn.IFS('Prepare Gantt Chart'!Q119=18,'Project types'!$L120,'Prepare Gantt Chart'!Q119=17,'Project types'!$L120,'Prepare Gantt Chart'!Q119=0,0)</f>
        <v>0</v>
      </c>
      <c r="AF130" s="83">
        <f>_xlfn.IFS('Prepare Gantt Chart'!R119=18,'Project types'!$L120,'Prepare Gantt Chart'!R119=17,'Project types'!$L120,'Prepare Gantt Chart'!R119=0,0)</f>
        <v>0</v>
      </c>
      <c r="AG130" s="83">
        <f>_xlfn.IFS('Prepare Gantt Chart'!S119=18,'Project types'!$L120,'Prepare Gantt Chart'!S119=17,'Project types'!$L120,'Prepare Gantt Chart'!S119=0,0)</f>
        <v>0</v>
      </c>
      <c r="AH130" s="83">
        <f>_xlfn.IFS('Prepare Gantt Chart'!T119=18,'Project types'!$L120,'Prepare Gantt Chart'!T119=17,'Project types'!$L120,'Prepare Gantt Chart'!T119=0,0)</f>
        <v>0</v>
      </c>
      <c r="AI130" s="83">
        <f>_xlfn.IFS('Prepare Gantt Chart'!U119=18,'Project types'!$L120,'Prepare Gantt Chart'!U119=17,'Project types'!$L120,'Prepare Gantt Chart'!U119=0,0)</f>
        <v>0</v>
      </c>
      <c r="AJ130" s="83">
        <f>_xlfn.IFS('Prepare Gantt Chart'!V119=18,'Project types'!$L120,'Prepare Gantt Chart'!V119=17,'Project types'!$L120,'Prepare Gantt Chart'!V119=0,0)</f>
        <v>0</v>
      </c>
      <c r="AK130" s="83">
        <f>_xlfn.IFS('Prepare Gantt Chart'!W119=18,'Project types'!$L120,'Prepare Gantt Chart'!W119=17,'Project types'!$L120,'Prepare Gantt Chart'!W119=0,0)</f>
        <v>0</v>
      </c>
      <c r="AL130" s="83">
        <f>_xlfn.IFS('Prepare Gantt Chart'!X119=18,'Project types'!$L120,'Prepare Gantt Chart'!X119=17,'Project types'!$L120,'Prepare Gantt Chart'!X119=0,0)</f>
        <v>0</v>
      </c>
      <c r="AM130" s="83">
        <f>_xlfn.IFS('Prepare Gantt Chart'!Y119=18,'Project types'!$L120,'Prepare Gantt Chart'!Y119=17,'Project types'!$L120,'Prepare Gantt Chart'!Y119=0,0)</f>
        <v>0</v>
      </c>
      <c r="AN130" s="83">
        <f>_xlfn.IFS('Prepare Gantt Chart'!Z119=18,'Project types'!$L120,'Prepare Gantt Chart'!Z119=17,'Project types'!$L120,'Prepare Gantt Chart'!Z119=0,0)</f>
        <v>0</v>
      </c>
      <c r="AO130" s="83">
        <f>_xlfn.IFS('Prepare Gantt Chart'!AA119=18,'Project types'!$L120,'Prepare Gantt Chart'!AA119=17,'Project types'!$L120,'Prepare Gantt Chart'!AA119=0,0)</f>
        <v>0</v>
      </c>
      <c r="AP130" s="83">
        <f>_xlfn.IFS('Prepare Gantt Chart'!AB119=18,'Project types'!$L120,'Prepare Gantt Chart'!AB119=17,'Project types'!$L120,'Prepare Gantt Chart'!AB119=0,0)</f>
        <v>0</v>
      </c>
      <c r="AQ130" s="83">
        <f>_xlfn.IFS('Prepare Gantt Chart'!AC119=18,'Project types'!$L120,'Prepare Gantt Chart'!AC119=17,'Project types'!$L120,'Prepare Gantt Chart'!AC119=0,0)</f>
        <v>0</v>
      </c>
      <c r="AR130" s="83">
        <f>_xlfn.IFS('Prepare Gantt Chart'!AD119=18,'Project types'!$L120,'Prepare Gantt Chart'!AD119=17,'Project types'!$L120,'Prepare Gantt Chart'!AD119=0,0)</f>
        <v>0</v>
      </c>
      <c r="AS130" s="83">
        <f>_xlfn.IFS('Prepare Gantt Chart'!AE119=18,'Project types'!$L120,'Prepare Gantt Chart'!AE119=17,'Project types'!$L120,'Prepare Gantt Chart'!AE119=0,0)</f>
        <v>0</v>
      </c>
      <c r="AT130" s="83">
        <f>_xlfn.IFS('Prepare Gantt Chart'!AF119=18,'Project types'!$L120,'Prepare Gantt Chart'!AF119=17,'Project types'!$L120,'Prepare Gantt Chart'!AF119=0,0)</f>
        <v>0</v>
      </c>
      <c r="AU130" s="83">
        <f>_xlfn.IFS('Prepare Gantt Chart'!AG119=18,'Project types'!$L120,'Prepare Gantt Chart'!AG119=17,'Project types'!$L120,'Prepare Gantt Chart'!AG119=0,0)</f>
        <v>0</v>
      </c>
      <c r="AV130" s="83">
        <f>_xlfn.IFS('Prepare Gantt Chart'!AH119=18,'Project types'!$L120,'Prepare Gantt Chart'!AH119=17,'Project types'!$L120,'Prepare Gantt Chart'!AH119=0,0)</f>
        <v>0</v>
      </c>
      <c r="AW130" s="83">
        <f>_xlfn.IFS('Prepare Gantt Chart'!AI119=18,'Project types'!$L120,'Prepare Gantt Chart'!AI119=17,'Project types'!$L120,'Prepare Gantt Chart'!AI119=0,0)</f>
        <v>0</v>
      </c>
      <c r="AX130" s="83">
        <f>_xlfn.IFS('Prepare Gantt Chart'!AJ119=18,'Project types'!$L120,'Prepare Gantt Chart'!AJ119=17,'Project types'!$L120,'Prepare Gantt Chart'!AJ119=0,0)</f>
        <v>0</v>
      </c>
      <c r="AY130" s="83">
        <f>_xlfn.IFS('Prepare Gantt Chart'!AK119=18,'Project types'!$L120,'Prepare Gantt Chart'!AK119=17,'Project types'!$L120,'Prepare Gantt Chart'!AK119=0,0)</f>
        <v>0</v>
      </c>
      <c r="AZ130" s="83">
        <f>_xlfn.IFS('Prepare Gantt Chart'!AL119=18,'Project types'!$L120,'Prepare Gantt Chart'!AL119=17,'Project types'!$L120,'Prepare Gantt Chart'!AL119=0,0)</f>
        <v>0</v>
      </c>
      <c r="BA130" s="83">
        <f>_xlfn.IFS('Prepare Gantt Chart'!AM119=18,'Project types'!$L120,'Prepare Gantt Chart'!AM119=17,'Project types'!$L120,'Prepare Gantt Chart'!AM119=0,0)</f>
        <v>0</v>
      </c>
      <c r="BB130" s="83">
        <f>_xlfn.IFS('Prepare Gantt Chart'!AN119=18,'Project types'!$L120,'Prepare Gantt Chart'!AN119=17,'Project types'!$L120,'Prepare Gantt Chart'!AN119=0,0)</f>
        <v>0</v>
      </c>
      <c r="BC130" s="83">
        <f>_xlfn.IFS('Prepare Gantt Chart'!AO119=18,'Project types'!$L120,'Prepare Gantt Chart'!AO119=17,'Project types'!$L120,'Prepare Gantt Chart'!AO119=0,0)</f>
        <v>0</v>
      </c>
      <c r="BD130" s="91">
        <f t="shared" si="3"/>
        <v>0</v>
      </c>
    </row>
    <row r="131" spans="1:56" x14ac:dyDescent="0.2">
      <c r="A131" s="1" t="s">
        <v>173</v>
      </c>
      <c r="B131" s="42" t="s">
        <v>420</v>
      </c>
      <c r="C131" s="83">
        <f>_xlfn.IFS('Prepare Gantt Chart'!P120=18,'Project types'!$O121,'Prepare Gantt Chart'!P120=17,'Project types'!$Q121,'Prepare Gantt Chart'!P120=0,0)</f>
        <v>0</v>
      </c>
      <c r="D131" s="83">
        <f>_xlfn.IFS('Prepare Gantt Chart'!Q120=18,'Project types'!$O121,'Prepare Gantt Chart'!Q120=17,'Project types'!$Q121,'Prepare Gantt Chart'!Q120=0,0)</f>
        <v>0</v>
      </c>
      <c r="E131" s="83">
        <f>_xlfn.IFS('Prepare Gantt Chart'!R120=18,'Project types'!$O121,'Prepare Gantt Chart'!R120=17,'Project types'!$Q121,'Prepare Gantt Chart'!R120=0,0)</f>
        <v>0</v>
      </c>
      <c r="F131" s="83">
        <f>_xlfn.IFS('Prepare Gantt Chart'!S120=18,'Project types'!$O121,'Prepare Gantt Chart'!S120=17,'Project types'!$Q121,'Prepare Gantt Chart'!S120=0,0)</f>
        <v>0</v>
      </c>
      <c r="G131" s="83">
        <f>_xlfn.IFS('Prepare Gantt Chart'!T120=18,'Project types'!$O121,'Prepare Gantt Chart'!T120=17,'Project types'!$Q121,'Prepare Gantt Chart'!T120=0,0)</f>
        <v>0</v>
      </c>
      <c r="H131" s="83">
        <f>_xlfn.IFS('Prepare Gantt Chart'!U120=18,'Project types'!$O121,'Prepare Gantt Chart'!U120=17,'Project types'!$Q121,'Prepare Gantt Chart'!U120=0,0)</f>
        <v>0</v>
      </c>
      <c r="I131" s="83">
        <f>_xlfn.IFS('Prepare Gantt Chart'!V120=18,'Project types'!$O121,'Prepare Gantt Chart'!V120=17,'Project types'!$Q121,'Prepare Gantt Chart'!V120=0,0)</f>
        <v>0</v>
      </c>
      <c r="J131" s="83">
        <f>_xlfn.IFS('Prepare Gantt Chart'!W120=18,'Project types'!$O121,'Prepare Gantt Chart'!W120=17,'Project types'!$Q121,'Prepare Gantt Chart'!W120=0,0)</f>
        <v>0</v>
      </c>
      <c r="K131" s="83">
        <f>_xlfn.IFS('Prepare Gantt Chart'!X120=18,'Project types'!$O121,'Prepare Gantt Chart'!X120=17,'Project types'!$Q121,'Prepare Gantt Chart'!X120=0,0)</f>
        <v>0</v>
      </c>
      <c r="L131" s="83">
        <f>_xlfn.IFS('Prepare Gantt Chart'!Y120=18,'Project types'!$O121,'Prepare Gantt Chart'!Y120=17,'Project types'!$Q121,'Prepare Gantt Chart'!Y120=0,0)</f>
        <v>0</v>
      </c>
      <c r="M131" s="83">
        <f>_xlfn.IFS('Prepare Gantt Chart'!Z120=18,'Project types'!$O121,'Prepare Gantt Chart'!Z120=17,'Project types'!$Q121,'Prepare Gantt Chart'!Z120=0,0)</f>
        <v>0</v>
      </c>
      <c r="N131" s="83">
        <f>_xlfn.IFS('Prepare Gantt Chart'!AA120=18,'Project types'!$O121,'Prepare Gantt Chart'!AA120=17,'Project types'!$Q121,'Prepare Gantt Chart'!AA120=0,0)</f>
        <v>0</v>
      </c>
      <c r="O131" s="83">
        <f>_xlfn.IFS('Prepare Gantt Chart'!AB120=18,'Project types'!$O121,'Prepare Gantt Chart'!AB120=17,'Project types'!$Q121,'Prepare Gantt Chart'!AB120=0,0)</f>
        <v>0</v>
      </c>
      <c r="P131" s="83">
        <f>_xlfn.IFS('Prepare Gantt Chart'!AC120=18,'Project types'!$O121,'Prepare Gantt Chart'!AC120=17,'Project types'!$Q121,'Prepare Gantt Chart'!AC120=0,0)</f>
        <v>0</v>
      </c>
      <c r="Q131" s="83">
        <f>_xlfn.IFS('Prepare Gantt Chart'!AD120=18,'Project types'!$O121,'Prepare Gantt Chart'!AD120=17,'Project types'!$Q121,'Prepare Gantt Chart'!AD120=0,0)</f>
        <v>0</v>
      </c>
      <c r="R131" s="83">
        <f>_xlfn.IFS('Prepare Gantt Chart'!AE120=18,'Project types'!$O121,'Prepare Gantt Chart'!AE120=17,'Project types'!$Q121,'Prepare Gantt Chart'!AE120=0,0)</f>
        <v>0</v>
      </c>
      <c r="S131" s="83">
        <f>_xlfn.IFS('Prepare Gantt Chart'!AF120=18,'Project types'!$O121,'Prepare Gantt Chart'!AF120=17,'Project types'!$Q121,'Prepare Gantt Chart'!AF120=0,0)</f>
        <v>0</v>
      </c>
      <c r="T131" s="83">
        <f>_xlfn.IFS('Prepare Gantt Chart'!AG120=18,'Project types'!$O121,'Prepare Gantt Chart'!AG120=17,'Project types'!$Q121,'Prepare Gantt Chart'!AG120=0,0)</f>
        <v>0</v>
      </c>
      <c r="U131" s="83">
        <f>_xlfn.IFS('Prepare Gantt Chart'!AH120=18,'Project types'!$O121,'Prepare Gantt Chart'!AH120=17,'Project types'!$Q121,'Prepare Gantt Chart'!AH120=0,0)</f>
        <v>0</v>
      </c>
      <c r="V131" s="83">
        <f>_xlfn.IFS('Prepare Gantt Chart'!AI120=18,'Project types'!$O121,'Prepare Gantt Chart'!AI120=17,'Project types'!$Q121,'Prepare Gantt Chart'!AI120=0,0)</f>
        <v>0</v>
      </c>
      <c r="W131" s="83">
        <f>_xlfn.IFS('Prepare Gantt Chart'!AJ120=18,'Project types'!$O121,'Prepare Gantt Chart'!AJ120=17,'Project types'!$Q121,'Prepare Gantt Chart'!AJ120=0,0)</f>
        <v>0</v>
      </c>
      <c r="X131" s="83">
        <f>_xlfn.IFS('Prepare Gantt Chart'!AK120=18,'Project types'!$O121,'Prepare Gantt Chart'!AK120=17,'Project types'!$Q121,'Prepare Gantt Chart'!AK120=0,0)</f>
        <v>0</v>
      </c>
      <c r="Y131" s="83">
        <f>_xlfn.IFS('Prepare Gantt Chart'!AL120=18,'Project types'!$O121,'Prepare Gantt Chart'!AL120=17,'Project types'!$Q121,'Prepare Gantt Chart'!AL120=0,0)</f>
        <v>0</v>
      </c>
      <c r="Z131" s="83">
        <f>_xlfn.IFS('Prepare Gantt Chart'!AM120=18,'Project types'!$O121,'Prepare Gantt Chart'!AM120=17,'Project types'!$Q121,'Prepare Gantt Chart'!AM120=0,0)</f>
        <v>0</v>
      </c>
      <c r="AA131" s="83">
        <f>_xlfn.IFS('Prepare Gantt Chart'!AN120=18,'Project types'!$O121,'Prepare Gantt Chart'!AN120=17,'Project types'!$Q121,'Prepare Gantt Chart'!AN120=0,0)</f>
        <v>0</v>
      </c>
      <c r="AB131" s="83">
        <f>_xlfn.IFS('Prepare Gantt Chart'!AO120=18,'Project types'!$O121,'Prepare Gantt Chart'!AO120=17,'Project types'!$Q121,'Prepare Gantt Chart'!AO120=0,0)</f>
        <v>0</v>
      </c>
      <c r="AC131" s="93">
        <f t="shared" si="2"/>
        <v>0</v>
      </c>
      <c r="AD131" s="86">
        <f>_xlfn.IFS('Prepare Gantt Chart'!P120=18,'Project types'!$L121,'Prepare Gantt Chart'!P120=17,'Project types'!$L121,'Prepare Gantt Chart'!P120=0,0)</f>
        <v>0</v>
      </c>
      <c r="AE131" s="83">
        <f>_xlfn.IFS('Prepare Gantt Chart'!Q120=18,'Project types'!$L121,'Prepare Gantt Chart'!Q120=17,'Project types'!$L121,'Prepare Gantt Chart'!Q120=0,0)</f>
        <v>0</v>
      </c>
      <c r="AF131" s="83">
        <f>_xlfn.IFS('Prepare Gantt Chart'!R120=18,'Project types'!$L121,'Prepare Gantt Chart'!R120=17,'Project types'!$L121,'Prepare Gantt Chart'!R120=0,0)</f>
        <v>0</v>
      </c>
      <c r="AG131" s="83">
        <f>_xlfn.IFS('Prepare Gantt Chart'!S120=18,'Project types'!$L121,'Prepare Gantt Chart'!S120=17,'Project types'!$L121,'Prepare Gantt Chart'!S120=0,0)</f>
        <v>0</v>
      </c>
      <c r="AH131" s="83">
        <f>_xlfn.IFS('Prepare Gantt Chart'!T120=18,'Project types'!$L121,'Prepare Gantt Chart'!T120=17,'Project types'!$L121,'Prepare Gantt Chart'!T120=0,0)</f>
        <v>0</v>
      </c>
      <c r="AI131" s="83">
        <f>_xlfn.IFS('Prepare Gantt Chart'!U120=18,'Project types'!$L121,'Prepare Gantt Chart'!U120=17,'Project types'!$L121,'Prepare Gantt Chart'!U120=0,0)</f>
        <v>0</v>
      </c>
      <c r="AJ131" s="83">
        <f>_xlfn.IFS('Prepare Gantt Chart'!V120=18,'Project types'!$L121,'Prepare Gantt Chart'!V120=17,'Project types'!$L121,'Prepare Gantt Chart'!V120=0,0)</f>
        <v>0</v>
      </c>
      <c r="AK131" s="83">
        <f>_xlfn.IFS('Prepare Gantt Chart'!W120=18,'Project types'!$L121,'Prepare Gantt Chart'!W120=17,'Project types'!$L121,'Prepare Gantt Chart'!W120=0,0)</f>
        <v>0</v>
      </c>
      <c r="AL131" s="83">
        <f>_xlfn.IFS('Prepare Gantt Chart'!X120=18,'Project types'!$L121,'Prepare Gantt Chart'!X120=17,'Project types'!$L121,'Prepare Gantt Chart'!X120=0,0)</f>
        <v>0</v>
      </c>
      <c r="AM131" s="83">
        <f>_xlfn.IFS('Prepare Gantt Chart'!Y120=18,'Project types'!$L121,'Prepare Gantt Chart'!Y120=17,'Project types'!$L121,'Prepare Gantt Chart'!Y120=0,0)</f>
        <v>0</v>
      </c>
      <c r="AN131" s="83">
        <f>_xlfn.IFS('Prepare Gantt Chart'!Z120=18,'Project types'!$L121,'Prepare Gantt Chart'!Z120=17,'Project types'!$L121,'Prepare Gantt Chart'!Z120=0,0)</f>
        <v>0</v>
      </c>
      <c r="AO131" s="83">
        <f>_xlfn.IFS('Prepare Gantt Chart'!AA120=18,'Project types'!$L121,'Prepare Gantt Chart'!AA120=17,'Project types'!$L121,'Prepare Gantt Chart'!AA120=0,0)</f>
        <v>0</v>
      </c>
      <c r="AP131" s="83">
        <f>_xlfn.IFS('Prepare Gantt Chart'!AB120=18,'Project types'!$L121,'Prepare Gantt Chart'!AB120=17,'Project types'!$L121,'Prepare Gantt Chart'!AB120=0,0)</f>
        <v>0</v>
      </c>
      <c r="AQ131" s="83">
        <f>_xlfn.IFS('Prepare Gantt Chart'!AC120=18,'Project types'!$L121,'Prepare Gantt Chart'!AC120=17,'Project types'!$L121,'Prepare Gantt Chart'!AC120=0,0)</f>
        <v>0</v>
      </c>
      <c r="AR131" s="83">
        <f>_xlfn.IFS('Prepare Gantt Chart'!AD120=18,'Project types'!$L121,'Prepare Gantt Chart'!AD120=17,'Project types'!$L121,'Prepare Gantt Chart'!AD120=0,0)</f>
        <v>0</v>
      </c>
      <c r="AS131" s="83">
        <f>_xlfn.IFS('Prepare Gantt Chart'!AE120=18,'Project types'!$L121,'Prepare Gantt Chart'!AE120=17,'Project types'!$L121,'Prepare Gantt Chart'!AE120=0,0)</f>
        <v>0</v>
      </c>
      <c r="AT131" s="83">
        <f>_xlfn.IFS('Prepare Gantt Chart'!AF120=18,'Project types'!$L121,'Prepare Gantt Chart'!AF120=17,'Project types'!$L121,'Prepare Gantt Chart'!AF120=0,0)</f>
        <v>0</v>
      </c>
      <c r="AU131" s="83">
        <f>_xlfn.IFS('Prepare Gantt Chart'!AG120=18,'Project types'!$L121,'Prepare Gantt Chart'!AG120=17,'Project types'!$L121,'Prepare Gantt Chart'!AG120=0,0)</f>
        <v>0</v>
      </c>
      <c r="AV131" s="83">
        <f>_xlfn.IFS('Prepare Gantt Chart'!AH120=18,'Project types'!$L121,'Prepare Gantt Chart'!AH120=17,'Project types'!$L121,'Prepare Gantt Chart'!AH120=0,0)</f>
        <v>0</v>
      </c>
      <c r="AW131" s="83">
        <f>_xlfn.IFS('Prepare Gantt Chart'!AI120=18,'Project types'!$L121,'Prepare Gantt Chart'!AI120=17,'Project types'!$L121,'Prepare Gantt Chart'!AI120=0,0)</f>
        <v>0</v>
      </c>
      <c r="AX131" s="83">
        <f>_xlfn.IFS('Prepare Gantt Chart'!AJ120=18,'Project types'!$L121,'Prepare Gantt Chart'!AJ120=17,'Project types'!$L121,'Prepare Gantt Chart'!AJ120=0,0)</f>
        <v>0</v>
      </c>
      <c r="AY131" s="83">
        <f>_xlfn.IFS('Prepare Gantt Chart'!AK120=18,'Project types'!$L121,'Prepare Gantt Chart'!AK120=17,'Project types'!$L121,'Prepare Gantt Chart'!AK120=0,0)</f>
        <v>0</v>
      </c>
      <c r="AZ131" s="83">
        <f>_xlfn.IFS('Prepare Gantt Chart'!AL120=18,'Project types'!$L121,'Prepare Gantt Chart'!AL120=17,'Project types'!$L121,'Prepare Gantt Chart'!AL120=0,0)</f>
        <v>0</v>
      </c>
      <c r="BA131" s="83">
        <f>_xlfn.IFS('Prepare Gantt Chart'!AM120=18,'Project types'!$L121,'Prepare Gantt Chart'!AM120=17,'Project types'!$L121,'Prepare Gantt Chart'!AM120=0,0)</f>
        <v>0</v>
      </c>
      <c r="BB131" s="83">
        <f>_xlfn.IFS('Prepare Gantt Chart'!AN120=18,'Project types'!$L121,'Prepare Gantt Chart'!AN120=17,'Project types'!$L121,'Prepare Gantt Chart'!AN120=0,0)</f>
        <v>0</v>
      </c>
      <c r="BC131" s="83">
        <f>_xlfn.IFS('Prepare Gantt Chart'!AO120=18,'Project types'!$L121,'Prepare Gantt Chart'!AO120=17,'Project types'!$L121,'Prepare Gantt Chart'!AO120=0,0)</f>
        <v>0</v>
      </c>
      <c r="BD131" s="91">
        <f t="shared" si="3"/>
        <v>0</v>
      </c>
    </row>
    <row r="132" spans="1:56" ht="16" thickBot="1" x14ac:dyDescent="0.25">
      <c r="A132" s="8" t="s">
        <v>118</v>
      </c>
      <c r="B132" s="43" t="s">
        <v>421</v>
      </c>
      <c r="C132" s="89">
        <f>_xlfn.IFS('Prepare Gantt Chart'!P121=18,'Project types'!$O122,'Prepare Gantt Chart'!P121=17,'Project types'!$Q122,'Prepare Gantt Chart'!P121=0,0)</f>
        <v>0</v>
      </c>
      <c r="D132" s="89">
        <f>_xlfn.IFS('Prepare Gantt Chart'!Q121=18,'Project types'!$O122,'Prepare Gantt Chart'!Q121=17,'Project types'!$Q122,'Prepare Gantt Chart'!Q121=0,0)</f>
        <v>0</v>
      </c>
      <c r="E132" s="89">
        <f>_xlfn.IFS('Prepare Gantt Chart'!R121=18,'Project types'!$O122,'Prepare Gantt Chart'!R121=17,'Project types'!$Q122,'Prepare Gantt Chart'!R121=0,0)</f>
        <v>0</v>
      </c>
      <c r="F132" s="89">
        <f>_xlfn.IFS('Prepare Gantt Chart'!S121=18,'Project types'!$O122,'Prepare Gantt Chart'!S121=17,'Project types'!$Q122,'Prepare Gantt Chart'!S121=0,0)</f>
        <v>0</v>
      </c>
      <c r="G132" s="89">
        <f>_xlfn.IFS('Prepare Gantt Chart'!T121=18,'Project types'!$O122,'Prepare Gantt Chart'!T121=17,'Project types'!$Q122,'Prepare Gantt Chart'!T121=0,0)</f>
        <v>0</v>
      </c>
      <c r="H132" s="89">
        <f>_xlfn.IFS('Prepare Gantt Chart'!U121=18,'Project types'!$O122,'Prepare Gantt Chart'!U121=17,'Project types'!$Q122,'Prepare Gantt Chart'!U121=0,0)</f>
        <v>0</v>
      </c>
      <c r="I132" s="89">
        <f>_xlfn.IFS('Prepare Gantt Chart'!V121=18,'Project types'!$O122,'Prepare Gantt Chart'!V121=17,'Project types'!$Q122,'Prepare Gantt Chart'!V121=0,0)</f>
        <v>0</v>
      </c>
      <c r="J132" s="89">
        <f>_xlfn.IFS('Prepare Gantt Chart'!W121=18,'Project types'!$O122,'Prepare Gantt Chart'!W121=17,'Project types'!$Q122,'Prepare Gantt Chart'!W121=0,0)</f>
        <v>0</v>
      </c>
      <c r="K132" s="89">
        <f>_xlfn.IFS('Prepare Gantt Chart'!X121=18,'Project types'!$O122,'Prepare Gantt Chart'!X121=17,'Project types'!$Q122,'Prepare Gantt Chart'!X121=0,0)</f>
        <v>0</v>
      </c>
      <c r="L132" s="89">
        <f>_xlfn.IFS('Prepare Gantt Chart'!Y121=18,'Project types'!$O122,'Prepare Gantt Chart'!Y121=17,'Project types'!$Q122,'Prepare Gantt Chart'!Y121=0,0)</f>
        <v>0</v>
      </c>
      <c r="M132" s="89">
        <f>_xlfn.IFS('Prepare Gantt Chart'!Z121=18,'Project types'!$O122,'Prepare Gantt Chart'!Z121=17,'Project types'!$Q122,'Prepare Gantt Chart'!Z121=0,0)</f>
        <v>0</v>
      </c>
      <c r="N132" s="89">
        <f>_xlfn.IFS('Prepare Gantt Chart'!AA121=18,'Project types'!$O122,'Prepare Gantt Chart'!AA121=17,'Project types'!$Q122,'Prepare Gantt Chart'!AA121=0,0)</f>
        <v>0</v>
      </c>
      <c r="O132" s="89">
        <f>_xlfn.IFS('Prepare Gantt Chart'!AB121=18,'Project types'!$O122,'Prepare Gantt Chart'!AB121=17,'Project types'!$Q122,'Prepare Gantt Chart'!AB121=0,0)</f>
        <v>0</v>
      </c>
      <c r="P132" s="89">
        <f>_xlfn.IFS('Prepare Gantt Chart'!AC121=18,'Project types'!$O122,'Prepare Gantt Chart'!AC121=17,'Project types'!$Q122,'Prepare Gantt Chart'!AC121=0,0)</f>
        <v>0</v>
      </c>
      <c r="Q132" s="89">
        <f>_xlfn.IFS('Prepare Gantt Chart'!AD121=18,'Project types'!$O122,'Prepare Gantt Chart'!AD121=17,'Project types'!$Q122,'Prepare Gantt Chart'!AD121=0,0)</f>
        <v>0</v>
      </c>
      <c r="R132" s="89">
        <f>_xlfn.IFS('Prepare Gantt Chart'!AE121=18,'Project types'!$O122,'Prepare Gantt Chart'!AE121=17,'Project types'!$Q122,'Prepare Gantt Chart'!AE121=0,0)</f>
        <v>0</v>
      </c>
      <c r="S132" s="89">
        <f>_xlfn.IFS('Prepare Gantt Chart'!AF121=18,'Project types'!$O122,'Prepare Gantt Chart'!AF121=17,'Project types'!$Q122,'Prepare Gantt Chart'!AF121=0,0)</f>
        <v>0</v>
      </c>
      <c r="T132" s="89">
        <f>_xlfn.IFS('Prepare Gantt Chart'!AG121=18,'Project types'!$O122,'Prepare Gantt Chart'!AG121=17,'Project types'!$Q122,'Prepare Gantt Chart'!AG121=0,0)</f>
        <v>0</v>
      </c>
      <c r="U132" s="89">
        <f>_xlfn.IFS('Prepare Gantt Chart'!AH121=18,'Project types'!$O122,'Prepare Gantt Chart'!AH121=17,'Project types'!$Q122,'Prepare Gantt Chart'!AH121=0,0)</f>
        <v>0</v>
      </c>
      <c r="V132" s="89">
        <f>_xlfn.IFS('Prepare Gantt Chart'!AI121=18,'Project types'!$O122,'Prepare Gantt Chart'!AI121=17,'Project types'!$Q122,'Prepare Gantt Chart'!AI121=0,0)</f>
        <v>0</v>
      </c>
      <c r="W132" s="89">
        <f>_xlfn.IFS('Prepare Gantt Chart'!AJ121=18,'Project types'!$O122,'Prepare Gantt Chart'!AJ121=17,'Project types'!$Q122,'Prepare Gantt Chart'!AJ121=0,0)</f>
        <v>0</v>
      </c>
      <c r="X132" s="89">
        <f>_xlfn.IFS('Prepare Gantt Chart'!AK121=18,'Project types'!$O122,'Prepare Gantt Chart'!AK121=17,'Project types'!$Q122,'Prepare Gantt Chart'!AK121=0,0)</f>
        <v>0</v>
      </c>
      <c r="Y132" s="89">
        <f>_xlfn.IFS('Prepare Gantt Chart'!AL121=18,'Project types'!$O122,'Prepare Gantt Chart'!AL121=17,'Project types'!$Q122,'Prepare Gantt Chart'!AL121=0,0)</f>
        <v>0</v>
      </c>
      <c r="Z132" s="89">
        <f>_xlfn.IFS('Prepare Gantt Chart'!AM121=18,'Project types'!$O122,'Prepare Gantt Chart'!AM121=17,'Project types'!$Q122,'Prepare Gantt Chart'!AM121=0,0)</f>
        <v>0</v>
      </c>
      <c r="AA132" s="89">
        <f>_xlfn.IFS('Prepare Gantt Chart'!AN121=18,'Project types'!$O122,'Prepare Gantt Chart'!AN121=17,'Project types'!$Q122,'Prepare Gantt Chart'!AN121=0,0)</f>
        <v>0</v>
      </c>
      <c r="AB132" s="89">
        <f>_xlfn.IFS('Prepare Gantt Chart'!AO121=18,'Project types'!$O122,'Prepare Gantt Chart'!AO121=17,'Project types'!$Q122,'Prepare Gantt Chart'!AO121=0,0)</f>
        <v>0</v>
      </c>
      <c r="AC132" s="94">
        <f t="shared" si="2"/>
        <v>0</v>
      </c>
      <c r="AD132" s="90">
        <f>_xlfn.IFS('Prepare Gantt Chart'!P121=18,'Project types'!$L122,'Prepare Gantt Chart'!P121=17,'Project types'!$L122,'Prepare Gantt Chart'!P121=0,0)</f>
        <v>0</v>
      </c>
      <c r="AE132" s="89">
        <f>_xlfn.IFS('Prepare Gantt Chart'!Q121=18,'Project types'!$L122,'Prepare Gantt Chart'!Q121=17,'Project types'!$L122,'Prepare Gantt Chart'!Q121=0,0)</f>
        <v>0</v>
      </c>
      <c r="AF132" s="89">
        <f>_xlfn.IFS('Prepare Gantt Chart'!R121=18,'Project types'!$L122,'Prepare Gantt Chart'!R121=17,'Project types'!$L122,'Prepare Gantt Chart'!R121=0,0)</f>
        <v>0</v>
      </c>
      <c r="AG132" s="89">
        <f>_xlfn.IFS('Prepare Gantt Chart'!S121=18,'Project types'!$L122,'Prepare Gantt Chart'!S121=17,'Project types'!$L122,'Prepare Gantt Chart'!S121=0,0)</f>
        <v>0</v>
      </c>
      <c r="AH132" s="89">
        <f>_xlfn.IFS('Prepare Gantt Chart'!T121=18,'Project types'!$L122,'Prepare Gantt Chart'!T121=17,'Project types'!$L122,'Prepare Gantt Chart'!T121=0,0)</f>
        <v>0</v>
      </c>
      <c r="AI132" s="89">
        <f>_xlfn.IFS('Prepare Gantt Chart'!U121=18,'Project types'!$L122,'Prepare Gantt Chart'!U121=17,'Project types'!$L122,'Prepare Gantt Chart'!U121=0,0)</f>
        <v>0</v>
      </c>
      <c r="AJ132" s="89">
        <f>_xlfn.IFS('Prepare Gantt Chart'!V121=18,'Project types'!$L122,'Prepare Gantt Chart'!V121=17,'Project types'!$L122,'Prepare Gantt Chart'!V121=0,0)</f>
        <v>0</v>
      </c>
      <c r="AK132" s="89">
        <f>_xlfn.IFS('Prepare Gantt Chart'!W121=18,'Project types'!$L122,'Prepare Gantt Chart'!W121=17,'Project types'!$L122,'Prepare Gantt Chart'!W121=0,0)</f>
        <v>0</v>
      </c>
      <c r="AL132" s="89">
        <f>_xlfn.IFS('Prepare Gantt Chart'!X121=18,'Project types'!$L122,'Prepare Gantt Chart'!X121=17,'Project types'!$L122,'Prepare Gantt Chart'!X121=0,0)</f>
        <v>0</v>
      </c>
      <c r="AM132" s="89">
        <f>_xlfn.IFS('Prepare Gantt Chart'!Y121=18,'Project types'!$L122,'Prepare Gantt Chart'!Y121=17,'Project types'!$L122,'Prepare Gantt Chart'!Y121=0,0)</f>
        <v>0</v>
      </c>
      <c r="AN132" s="89">
        <f>_xlfn.IFS('Prepare Gantt Chart'!Z121=18,'Project types'!$L122,'Prepare Gantt Chart'!Z121=17,'Project types'!$L122,'Prepare Gantt Chart'!Z121=0,0)</f>
        <v>0</v>
      </c>
      <c r="AO132" s="89">
        <f>_xlfn.IFS('Prepare Gantt Chart'!AA121=18,'Project types'!$L122,'Prepare Gantt Chart'!AA121=17,'Project types'!$L122,'Prepare Gantt Chart'!AA121=0,0)</f>
        <v>0</v>
      </c>
      <c r="AP132" s="89">
        <f>_xlfn.IFS('Prepare Gantt Chart'!AB121=18,'Project types'!$L122,'Prepare Gantt Chart'!AB121=17,'Project types'!$L122,'Prepare Gantt Chart'!AB121=0,0)</f>
        <v>0</v>
      </c>
      <c r="AQ132" s="89">
        <f>_xlfn.IFS('Prepare Gantt Chart'!AC121=18,'Project types'!$L122,'Prepare Gantt Chart'!AC121=17,'Project types'!$L122,'Prepare Gantt Chart'!AC121=0,0)</f>
        <v>0</v>
      </c>
      <c r="AR132" s="89">
        <f>_xlfn.IFS('Prepare Gantt Chart'!AD121=18,'Project types'!$L122,'Prepare Gantt Chart'!AD121=17,'Project types'!$L122,'Prepare Gantt Chart'!AD121=0,0)</f>
        <v>0</v>
      </c>
      <c r="AS132" s="89">
        <f>_xlfn.IFS('Prepare Gantt Chart'!AE121=18,'Project types'!$L122,'Prepare Gantt Chart'!AE121=17,'Project types'!$L122,'Prepare Gantt Chart'!AE121=0,0)</f>
        <v>0</v>
      </c>
      <c r="AT132" s="89">
        <f>_xlfn.IFS('Prepare Gantt Chart'!AF121=18,'Project types'!$L122,'Prepare Gantt Chart'!AF121=17,'Project types'!$L122,'Prepare Gantt Chart'!AF121=0,0)</f>
        <v>0</v>
      </c>
      <c r="AU132" s="89">
        <f>_xlfn.IFS('Prepare Gantt Chart'!AG121=18,'Project types'!$L122,'Prepare Gantt Chart'!AG121=17,'Project types'!$L122,'Prepare Gantt Chart'!AG121=0,0)</f>
        <v>0</v>
      </c>
      <c r="AV132" s="89">
        <f>_xlfn.IFS('Prepare Gantt Chart'!AH121=18,'Project types'!$L122,'Prepare Gantt Chart'!AH121=17,'Project types'!$L122,'Prepare Gantt Chart'!AH121=0,0)</f>
        <v>0</v>
      </c>
      <c r="AW132" s="89">
        <f>_xlfn.IFS('Prepare Gantt Chart'!AI121=18,'Project types'!$L122,'Prepare Gantt Chart'!AI121=17,'Project types'!$L122,'Prepare Gantt Chart'!AI121=0,0)</f>
        <v>0</v>
      </c>
      <c r="AX132" s="89">
        <f>_xlfn.IFS('Prepare Gantt Chart'!AJ121=18,'Project types'!$L122,'Prepare Gantt Chart'!AJ121=17,'Project types'!$L122,'Prepare Gantt Chart'!AJ121=0,0)</f>
        <v>0</v>
      </c>
      <c r="AY132" s="89">
        <f>_xlfn.IFS('Prepare Gantt Chart'!AK121=18,'Project types'!$L122,'Prepare Gantt Chart'!AK121=17,'Project types'!$L122,'Prepare Gantt Chart'!AK121=0,0)</f>
        <v>0</v>
      </c>
      <c r="AZ132" s="89">
        <f>_xlfn.IFS('Prepare Gantt Chart'!AL121=18,'Project types'!$L122,'Prepare Gantt Chart'!AL121=17,'Project types'!$L122,'Prepare Gantt Chart'!AL121=0,0)</f>
        <v>0</v>
      </c>
      <c r="BA132" s="89">
        <f>_xlfn.IFS('Prepare Gantt Chart'!AM121=18,'Project types'!$L122,'Prepare Gantt Chart'!AM121=17,'Project types'!$L122,'Prepare Gantt Chart'!AM121=0,0)</f>
        <v>0</v>
      </c>
      <c r="BB132" s="89">
        <f>_xlfn.IFS('Prepare Gantt Chart'!AN121=18,'Project types'!$L122,'Prepare Gantt Chart'!AN121=17,'Project types'!$L122,'Prepare Gantt Chart'!AN121=0,0)</f>
        <v>0</v>
      </c>
      <c r="BC132" s="89">
        <f>_xlfn.IFS('Prepare Gantt Chart'!AO121=18,'Project types'!$L122,'Prepare Gantt Chart'!AO121=17,'Project types'!$L122,'Prepare Gantt Chart'!AO121=0,0)</f>
        <v>0</v>
      </c>
      <c r="BD132" s="92">
        <f t="shared" si="3"/>
        <v>0</v>
      </c>
    </row>
    <row r="133" spans="1:56" x14ac:dyDescent="0.2">
      <c r="A133" s="82"/>
      <c r="B133" s="82"/>
      <c r="C133" s="82"/>
    </row>
    <row r="134" spans="1:56" x14ac:dyDescent="0.2">
      <c r="A134" s="82"/>
      <c r="B134" s="82"/>
      <c r="C134" s="82"/>
    </row>
    <row r="135" spans="1:56" x14ac:dyDescent="0.2">
      <c r="A135" s="82"/>
      <c r="B135" s="82"/>
      <c r="C135" s="82"/>
    </row>
    <row r="136" spans="1:56" x14ac:dyDescent="0.2">
      <c r="A136" s="82"/>
      <c r="B136" s="82"/>
      <c r="C136" s="82"/>
    </row>
    <row r="137" spans="1:56" x14ac:dyDescent="0.2">
      <c r="A137" s="82"/>
      <c r="B137" s="82"/>
      <c r="C137" s="82"/>
    </row>
    <row r="138" spans="1:56" x14ac:dyDescent="0.2">
      <c r="A138" s="82"/>
      <c r="B138" s="82"/>
      <c r="C138" s="82"/>
    </row>
    <row r="139" spans="1:56" x14ac:dyDescent="0.2">
      <c r="A139" s="82"/>
      <c r="B139" s="82"/>
      <c r="C139" s="82"/>
    </row>
    <row r="140" spans="1:56" x14ac:dyDescent="0.2">
      <c r="A140" s="82"/>
      <c r="B140" s="82"/>
      <c r="C140" s="82"/>
    </row>
    <row r="141" spans="1:56" x14ac:dyDescent="0.2">
      <c r="A141" s="82"/>
      <c r="B141" s="82"/>
      <c r="C141" s="82"/>
    </row>
    <row r="142" spans="1:56" x14ac:dyDescent="0.2">
      <c r="A142" s="82"/>
      <c r="B142" s="82"/>
      <c r="C142" s="82"/>
    </row>
    <row r="143" spans="1:56" x14ac:dyDescent="0.2">
      <c r="A143" s="82"/>
      <c r="B143" s="82"/>
      <c r="C143" s="82"/>
    </row>
    <row r="144" spans="1:56" x14ac:dyDescent="0.2">
      <c r="A144" s="82"/>
      <c r="B144" s="82"/>
      <c r="C144" s="82"/>
    </row>
    <row r="145" spans="1:3" x14ac:dyDescent="0.2">
      <c r="A145" s="82"/>
      <c r="B145" s="82"/>
      <c r="C145" s="82"/>
    </row>
    <row r="146" spans="1:3" x14ac:dyDescent="0.2">
      <c r="A146" s="82"/>
      <c r="B146" s="82"/>
      <c r="C146" s="82"/>
    </row>
    <row r="147" spans="1:3" x14ac:dyDescent="0.2">
      <c r="A147" s="82"/>
      <c r="B147" s="82"/>
      <c r="C147" s="82"/>
    </row>
    <row r="148" spans="1:3" x14ac:dyDescent="0.2">
      <c r="A148" s="82"/>
      <c r="B148" s="82"/>
      <c r="C148" s="82"/>
    </row>
    <row r="149" spans="1:3" x14ac:dyDescent="0.2">
      <c r="A149" s="82"/>
      <c r="B149" s="82"/>
      <c r="C149" s="82"/>
    </row>
    <row r="150" spans="1:3" x14ac:dyDescent="0.2">
      <c r="A150" s="82"/>
      <c r="B150" s="82"/>
      <c r="C150" s="82"/>
    </row>
    <row r="151" spans="1:3" x14ac:dyDescent="0.2">
      <c r="A151" s="82"/>
      <c r="B151" s="82"/>
      <c r="C151" s="82"/>
    </row>
    <row r="152" spans="1:3" x14ac:dyDescent="0.2">
      <c r="A152" s="82"/>
      <c r="B152" s="82"/>
      <c r="C152" s="82"/>
    </row>
    <row r="153" spans="1:3" x14ac:dyDescent="0.2">
      <c r="A153" s="82"/>
      <c r="B153" s="82"/>
      <c r="C153" s="82"/>
    </row>
    <row r="154" spans="1:3" x14ac:dyDescent="0.2">
      <c r="A154" s="82"/>
      <c r="B154" s="82"/>
      <c r="C154" s="82"/>
    </row>
    <row r="155" spans="1:3" x14ac:dyDescent="0.2">
      <c r="A155" s="82"/>
      <c r="B155" s="82"/>
      <c r="C155" s="82"/>
    </row>
    <row r="156" spans="1:3" x14ac:dyDescent="0.2">
      <c r="A156" s="82"/>
      <c r="B156" s="82"/>
      <c r="C156" s="82"/>
    </row>
    <row r="157" spans="1:3" x14ac:dyDescent="0.2">
      <c r="A157" s="82"/>
      <c r="B157" s="82"/>
      <c r="C157" s="82"/>
    </row>
    <row r="158" spans="1:3" x14ac:dyDescent="0.2">
      <c r="A158" s="82"/>
      <c r="B158" s="82"/>
      <c r="C158" s="82"/>
    </row>
    <row r="159" spans="1:3" x14ac:dyDescent="0.2">
      <c r="A159" s="82"/>
      <c r="B159" s="82"/>
      <c r="C159" s="82"/>
    </row>
    <row r="160" spans="1:3" x14ac:dyDescent="0.2">
      <c r="A160" s="82"/>
      <c r="B160" s="82"/>
      <c r="C160" s="82"/>
    </row>
    <row r="161" spans="1:3" x14ac:dyDescent="0.2">
      <c r="A161" s="82"/>
      <c r="B161" s="82"/>
      <c r="C161" s="82"/>
    </row>
    <row r="162" spans="1:3" x14ac:dyDescent="0.2">
      <c r="A162" s="82"/>
      <c r="B162" s="82"/>
      <c r="C162" s="82"/>
    </row>
    <row r="163" spans="1:3" x14ac:dyDescent="0.2">
      <c r="A163" s="82"/>
      <c r="B163" s="82"/>
      <c r="C163" s="82"/>
    </row>
    <row r="164" spans="1:3" x14ac:dyDescent="0.2">
      <c r="A164" s="82"/>
      <c r="B164" s="82"/>
      <c r="C164" s="82"/>
    </row>
    <row r="165" spans="1:3" x14ac:dyDescent="0.2">
      <c r="A165" s="82"/>
      <c r="B165" s="82"/>
      <c r="C165" s="82"/>
    </row>
    <row r="166" spans="1:3" x14ac:dyDescent="0.2">
      <c r="A166" s="82"/>
      <c r="B166" s="82"/>
      <c r="C166" s="82"/>
    </row>
    <row r="167" spans="1:3" x14ac:dyDescent="0.2">
      <c r="A167" s="82"/>
      <c r="B167" s="82"/>
      <c r="C167" s="82"/>
    </row>
    <row r="168" spans="1:3" x14ac:dyDescent="0.2">
      <c r="A168" s="82"/>
      <c r="B168" s="82"/>
      <c r="C168" s="82"/>
    </row>
    <row r="169" spans="1:3" x14ac:dyDescent="0.2">
      <c r="A169" s="82"/>
      <c r="B169" s="82"/>
      <c r="C169" s="82"/>
    </row>
    <row r="170" spans="1:3" x14ac:dyDescent="0.2">
      <c r="A170" s="82"/>
      <c r="B170" s="82"/>
      <c r="C170" s="82"/>
    </row>
    <row r="171" spans="1:3" x14ac:dyDescent="0.2">
      <c r="A171" s="82"/>
      <c r="B171" s="82"/>
      <c r="C171" s="82"/>
    </row>
    <row r="172" spans="1:3" x14ac:dyDescent="0.2">
      <c r="A172" s="82"/>
      <c r="B172" s="82"/>
      <c r="C172" s="82"/>
    </row>
    <row r="173" spans="1:3" x14ac:dyDescent="0.2">
      <c r="A173" s="82"/>
      <c r="B173" s="82"/>
      <c r="C173" s="82"/>
    </row>
    <row r="174" spans="1:3" x14ac:dyDescent="0.2">
      <c r="A174" s="82"/>
      <c r="B174" s="82"/>
      <c r="C174" s="82"/>
    </row>
    <row r="175" spans="1:3" x14ac:dyDescent="0.2">
      <c r="A175" s="82"/>
      <c r="B175" s="82"/>
      <c r="C175" s="82"/>
    </row>
    <row r="176" spans="1:3" x14ac:dyDescent="0.2">
      <c r="A176" s="82"/>
      <c r="B176" s="82"/>
      <c r="C176" s="82"/>
    </row>
    <row r="177" spans="1:3" x14ac:dyDescent="0.2">
      <c r="A177" s="82"/>
      <c r="B177" s="82"/>
      <c r="C177" s="82"/>
    </row>
    <row r="178" spans="1:3" x14ac:dyDescent="0.2">
      <c r="A178" s="82"/>
      <c r="B178" s="82"/>
      <c r="C178" s="82"/>
    </row>
    <row r="179" spans="1:3" x14ac:dyDescent="0.2">
      <c r="A179" s="82"/>
      <c r="B179" s="82"/>
      <c r="C179" s="82"/>
    </row>
    <row r="180" spans="1:3" x14ac:dyDescent="0.2">
      <c r="A180" s="82"/>
      <c r="B180" s="82"/>
      <c r="C180" s="82"/>
    </row>
    <row r="181" spans="1:3" x14ac:dyDescent="0.2">
      <c r="A181" s="82"/>
      <c r="B181" s="82"/>
      <c r="C181" s="82"/>
    </row>
    <row r="182" spans="1:3" x14ac:dyDescent="0.2">
      <c r="A182" s="82"/>
      <c r="B182" s="82"/>
      <c r="C182" s="82"/>
    </row>
    <row r="183" spans="1:3" x14ac:dyDescent="0.2">
      <c r="A183" s="82"/>
      <c r="B183" s="82"/>
      <c r="C183" s="82"/>
    </row>
    <row r="184" spans="1:3" x14ac:dyDescent="0.2">
      <c r="A184" s="82"/>
      <c r="B184" s="82"/>
      <c r="C184" s="82"/>
    </row>
    <row r="185" spans="1:3" x14ac:dyDescent="0.2">
      <c r="A185" s="82"/>
      <c r="B185" s="82"/>
      <c r="C185" s="82"/>
    </row>
    <row r="186" spans="1:3" x14ac:dyDescent="0.2">
      <c r="A186" s="82"/>
      <c r="B186" s="82"/>
      <c r="C186" s="82"/>
    </row>
    <row r="187" spans="1:3" x14ac:dyDescent="0.2">
      <c r="A187" s="82"/>
      <c r="B187" s="82"/>
      <c r="C187" s="82"/>
    </row>
    <row r="188" spans="1:3" x14ac:dyDescent="0.2">
      <c r="A188" s="82"/>
      <c r="B188" s="82"/>
      <c r="C188" s="82"/>
    </row>
    <row r="189" spans="1:3" x14ac:dyDescent="0.2">
      <c r="A189" s="82"/>
      <c r="B189" s="82"/>
      <c r="C189" s="82"/>
    </row>
    <row r="190" spans="1:3" x14ac:dyDescent="0.2">
      <c r="A190" s="82"/>
      <c r="B190" s="82"/>
      <c r="C190" s="82"/>
    </row>
    <row r="191" spans="1:3" x14ac:dyDescent="0.2">
      <c r="A191" s="82"/>
      <c r="B191" s="82"/>
      <c r="C191" s="82"/>
    </row>
    <row r="192" spans="1:3" x14ac:dyDescent="0.2">
      <c r="A192" s="82"/>
      <c r="B192" s="82"/>
      <c r="C192" s="82"/>
    </row>
    <row r="193" spans="1:3" x14ac:dyDescent="0.2">
      <c r="A193" s="82"/>
      <c r="B193" s="82"/>
      <c r="C193" s="82"/>
    </row>
    <row r="194" spans="1:3" x14ac:dyDescent="0.2">
      <c r="A194" s="82"/>
      <c r="B194" s="82"/>
      <c r="C194" s="82"/>
    </row>
    <row r="195" spans="1:3" x14ac:dyDescent="0.2">
      <c r="A195" s="82"/>
      <c r="B195" s="82"/>
      <c r="C195" s="82"/>
    </row>
    <row r="196" spans="1:3" x14ac:dyDescent="0.2">
      <c r="A196" s="82"/>
      <c r="B196" s="82"/>
      <c r="C196" s="82"/>
    </row>
    <row r="197" spans="1:3" x14ac:dyDescent="0.2">
      <c r="A197" s="82"/>
      <c r="B197" s="82"/>
      <c r="C197" s="82"/>
    </row>
    <row r="198" spans="1:3" x14ac:dyDescent="0.2">
      <c r="A198" s="82"/>
      <c r="B198" s="82"/>
      <c r="C198" s="82"/>
    </row>
    <row r="199" spans="1:3" x14ac:dyDescent="0.2">
      <c r="A199" s="82"/>
      <c r="B199" s="82"/>
      <c r="C199" s="82"/>
    </row>
    <row r="200" spans="1:3" x14ac:dyDescent="0.2">
      <c r="A200" s="82"/>
      <c r="B200" s="82"/>
      <c r="C200" s="82"/>
    </row>
    <row r="201" spans="1:3" x14ac:dyDescent="0.2">
      <c r="A201" s="82"/>
      <c r="B201" s="82"/>
      <c r="C201" s="82"/>
    </row>
    <row r="202" spans="1:3" x14ac:dyDescent="0.2">
      <c r="A202" s="82"/>
      <c r="B202" s="82"/>
      <c r="C202" s="82"/>
    </row>
    <row r="203" spans="1:3" x14ac:dyDescent="0.2">
      <c r="A203" s="82"/>
      <c r="B203" s="82"/>
      <c r="C203" s="82"/>
    </row>
    <row r="204" spans="1:3" x14ac:dyDescent="0.2">
      <c r="A204" s="82"/>
      <c r="B204" s="82"/>
      <c r="C204" s="82"/>
    </row>
    <row r="205" spans="1:3" x14ac:dyDescent="0.2">
      <c r="A205" s="82"/>
      <c r="B205" s="82"/>
      <c r="C205" s="82"/>
    </row>
    <row r="206" spans="1:3" x14ac:dyDescent="0.2">
      <c r="A206" s="82"/>
      <c r="B206" s="82"/>
      <c r="C206" s="82"/>
    </row>
    <row r="207" spans="1:3" x14ac:dyDescent="0.2">
      <c r="A207" s="82"/>
      <c r="B207" s="82"/>
      <c r="C207" s="82"/>
    </row>
    <row r="208" spans="1:3" x14ac:dyDescent="0.2">
      <c r="A208" s="82"/>
      <c r="B208" s="82"/>
      <c r="C208" s="82"/>
    </row>
    <row r="209" spans="1:3" x14ac:dyDescent="0.2">
      <c r="A209" s="82"/>
      <c r="B209" s="82"/>
      <c r="C209" s="82"/>
    </row>
    <row r="210" spans="1:3" x14ac:dyDescent="0.2">
      <c r="A210" s="82"/>
      <c r="B210" s="82"/>
      <c r="C210" s="82"/>
    </row>
    <row r="211" spans="1:3" x14ac:dyDescent="0.2">
      <c r="A211" s="82"/>
      <c r="B211" s="82"/>
      <c r="C211" s="82"/>
    </row>
    <row r="212" spans="1:3" x14ac:dyDescent="0.2">
      <c r="A212" s="82"/>
      <c r="B212" s="82"/>
      <c r="C212" s="82"/>
    </row>
    <row r="213" spans="1:3" x14ac:dyDescent="0.2">
      <c r="A213" s="82"/>
      <c r="B213" s="82"/>
      <c r="C213" s="82"/>
    </row>
    <row r="214" spans="1:3" x14ac:dyDescent="0.2">
      <c r="A214" s="82"/>
      <c r="B214" s="82"/>
      <c r="C214" s="82"/>
    </row>
    <row r="215" spans="1:3" x14ac:dyDescent="0.2">
      <c r="A215" s="82"/>
      <c r="B215" s="82"/>
      <c r="C215" s="82"/>
    </row>
    <row r="216" spans="1:3" x14ac:dyDescent="0.2">
      <c r="A216" s="82"/>
      <c r="B216" s="82"/>
      <c r="C216" s="82"/>
    </row>
    <row r="217" spans="1:3" x14ac:dyDescent="0.2">
      <c r="A217" s="82"/>
      <c r="B217" s="82"/>
      <c r="C217" s="82"/>
    </row>
    <row r="218" spans="1:3" x14ac:dyDescent="0.2">
      <c r="A218" s="82"/>
      <c r="B218" s="82"/>
      <c r="C218" s="82"/>
    </row>
    <row r="219" spans="1:3" x14ac:dyDescent="0.2">
      <c r="A219" s="82"/>
      <c r="B219" s="82"/>
      <c r="C219" s="82"/>
    </row>
    <row r="220" spans="1:3" x14ac:dyDescent="0.2">
      <c r="A220" s="82"/>
      <c r="B220" s="82"/>
      <c r="C220" s="82"/>
    </row>
    <row r="221" spans="1:3" x14ac:dyDescent="0.2">
      <c r="A221" s="82"/>
      <c r="B221" s="82"/>
      <c r="C221" s="82"/>
    </row>
    <row r="222" spans="1:3" x14ac:dyDescent="0.2">
      <c r="A222" s="82"/>
      <c r="B222" s="82"/>
      <c r="C222" s="82"/>
    </row>
    <row r="223" spans="1:3" x14ac:dyDescent="0.2">
      <c r="A223" s="82"/>
      <c r="B223" s="82"/>
      <c r="C223" s="82"/>
    </row>
    <row r="224" spans="1:3" x14ac:dyDescent="0.2">
      <c r="A224" s="82"/>
      <c r="B224" s="82"/>
      <c r="C224" s="82"/>
    </row>
    <row r="225" spans="1:3" x14ac:dyDescent="0.2">
      <c r="A225" s="82"/>
      <c r="B225" s="82"/>
      <c r="C225" s="82"/>
    </row>
    <row r="226" spans="1:3" x14ac:dyDescent="0.2">
      <c r="A226" s="82"/>
      <c r="B226" s="82"/>
      <c r="C226" s="82"/>
    </row>
    <row r="227" spans="1:3" x14ac:dyDescent="0.2">
      <c r="A227" s="82"/>
      <c r="B227" s="82"/>
      <c r="C227" s="82"/>
    </row>
    <row r="228" spans="1:3" x14ac:dyDescent="0.2">
      <c r="A228" s="82"/>
      <c r="B228" s="82"/>
      <c r="C228" s="82"/>
    </row>
    <row r="229" spans="1:3" x14ac:dyDescent="0.2">
      <c r="A229" s="82"/>
      <c r="B229" s="82"/>
      <c r="C229" s="82"/>
    </row>
    <row r="230" spans="1:3" x14ac:dyDescent="0.2">
      <c r="A230" s="82"/>
      <c r="B230" s="82"/>
      <c r="C230" s="82"/>
    </row>
    <row r="231" spans="1:3" x14ac:dyDescent="0.2">
      <c r="A231" s="82"/>
      <c r="B231" s="82"/>
      <c r="C231" s="82"/>
    </row>
    <row r="232" spans="1:3" x14ac:dyDescent="0.2">
      <c r="A232" s="82"/>
      <c r="B232" s="82"/>
      <c r="C232" s="82"/>
    </row>
    <row r="233" spans="1:3" x14ac:dyDescent="0.2">
      <c r="A233" s="82"/>
      <c r="B233" s="82"/>
      <c r="C233" s="82"/>
    </row>
    <row r="234" spans="1:3" x14ac:dyDescent="0.2">
      <c r="A234" s="82"/>
      <c r="B234" s="82"/>
      <c r="C234" s="82"/>
    </row>
    <row r="235" spans="1:3" x14ac:dyDescent="0.2">
      <c r="A235" s="82"/>
      <c r="B235" s="82"/>
      <c r="C235" s="82"/>
    </row>
    <row r="236" spans="1:3" x14ac:dyDescent="0.2">
      <c r="A236" s="82"/>
      <c r="B236" s="82"/>
      <c r="C236" s="82"/>
    </row>
    <row r="237" spans="1:3" x14ac:dyDescent="0.2">
      <c r="A237" s="82"/>
      <c r="B237" s="82"/>
      <c r="C237" s="82"/>
    </row>
    <row r="238" spans="1:3" x14ac:dyDescent="0.2">
      <c r="A238" s="82"/>
      <c r="B238" s="82"/>
      <c r="C238" s="82"/>
    </row>
    <row r="239" spans="1:3" x14ac:dyDescent="0.2">
      <c r="A239" s="82"/>
      <c r="B239" s="82"/>
      <c r="C239" s="82"/>
    </row>
    <row r="240" spans="1:3" x14ac:dyDescent="0.2">
      <c r="A240" s="82"/>
      <c r="B240" s="82"/>
      <c r="C240" s="82"/>
    </row>
    <row r="241" spans="1:3" x14ac:dyDescent="0.2">
      <c r="A241" s="82"/>
      <c r="B241" s="82"/>
      <c r="C241" s="82"/>
    </row>
    <row r="242" spans="1:3" x14ac:dyDescent="0.2">
      <c r="A242" s="82"/>
      <c r="B242" s="82"/>
      <c r="C242" s="82"/>
    </row>
    <row r="243" spans="1:3" x14ac:dyDescent="0.2">
      <c r="A243" s="82"/>
      <c r="B243" s="82"/>
      <c r="C243" s="82"/>
    </row>
    <row r="244" spans="1:3" x14ac:dyDescent="0.2">
      <c r="A244" s="82"/>
      <c r="B244" s="82"/>
      <c r="C244" s="82"/>
    </row>
    <row r="245" spans="1:3" x14ac:dyDescent="0.2">
      <c r="A245" s="82"/>
      <c r="B245" s="82"/>
      <c r="C245" s="82"/>
    </row>
    <row r="246" spans="1:3" x14ac:dyDescent="0.2">
      <c r="A246" s="82"/>
      <c r="B246" s="82"/>
      <c r="C246" s="82"/>
    </row>
    <row r="247" spans="1:3" x14ac:dyDescent="0.2">
      <c r="A247" s="82"/>
      <c r="B247" s="82"/>
      <c r="C247" s="82"/>
    </row>
    <row r="248" spans="1:3" x14ac:dyDescent="0.2">
      <c r="A248" s="82"/>
      <c r="B248" s="82"/>
      <c r="C248" s="82"/>
    </row>
    <row r="249" spans="1:3" x14ac:dyDescent="0.2">
      <c r="A249" s="82"/>
      <c r="B249" s="82"/>
      <c r="C249" s="82"/>
    </row>
    <row r="250" spans="1:3" x14ac:dyDescent="0.2">
      <c r="A250" s="82"/>
      <c r="B250" s="82"/>
      <c r="C250" s="82"/>
    </row>
    <row r="251" spans="1:3" x14ac:dyDescent="0.2">
      <c r="A251" s="82"/>
      <c r="B251" s="82"/>
      <c r="C251" s="82"/>
    </row>
    <row r="252" spans="1:3" x14ac:dyDescent="0.2">
      <c r="A252" s="82"/>
      <c r="B252" s="82"/>
      <c r="C252" s="82"/>
    </row>
    <row r="253" spans="1:3" x14ac:dyDescent="0.2">
      <c r="A253" s="82"/>
      <c r="B253" s="82"/>
      <c r="C253" s="82"/>
    </row>
    <row r="254" spans="1:3" x14ac:dyDescent="0.2">
      <c r="A254" s="82"/>
      <c r="B254" s="82"/>
      <c r="C254" s="82"/>
    </row>
    <row r="255" spans="1:3" x14ac:dyDescent="0.2">
      <c r="A255" s="82"/>
      <c r="B255" s="82"/>
      <c r="C255" s="82"/>
    </row>
    <row r="256" spans="1:3" x14ac:dyDescent="0.2">
      <c r="A256" s="82"/>
      <c r="B256" s="82"/>
      <c r="C256" s="82"/>
    </row>
    <row r="257" spans="1:3" x14ac:dyDescent="0.2">
      <c r="A257" s="82"/>
      <c r="B257" s="82"/>
      <c r="C257" s="82"/>
    </row>
    <row r="258" spans="1:3" x14ac:dyDescent="0.2">
      <c r="A258" s="82"/>
      <c r="B258" s="82"/>
      <c r="C258" s="82"/>
    </row>
    <row r="259" spans="1:3" x14ac:dyDescent="0.2">
      <c r="A259" s="82"/>
      <c r="B259" s="82"/>
      <c r="C259" s="82"/>
    </row>
    <row r="260" spans="1:3" x14ac:dyDescent="0.2">
      <c r="A260" s="82"/>
      <c r="B260" s="82"/>
      <c r="C260" s="82"/>
    </row>
    <row r="261" spans="1:3" x14ac:dyDescent="0.2">
      <c r="A261" s="82"/>
      <c r="B261" s="82"/>
      <c r="C261" s="82"/>
    </row>
    <row r="262" spans="1:3" x14ac:dyDescent="0.2">
      <c r="A262" s="82"/>
      <c r="B262" s="82"/>
      <c r="C262" s="82"/>
    </row>
    <row r="263" spans="1:3" x14ac:dyDescent="0.2">
      <c r="A263" s="82"/>
      <c r="B263" s="82"/>
      <c r="C263" s="82"/>
    </row>
    <row r="264" spans="1:3" x14ac:dyDescent="0.2">
      <c r="A264" s="82"/>
      <c r="B264" s="82"/>
      <c r="C264" s="82"/>
    </row>
    <row r="265" spans="1:3" x14ac:dyDescent="0.2">
      <c r="A265" s="82"/>
      <c r="B265" s="82"/>
      <c r="C265" s="82"/>
    </row>
    <row r="266" spans="1:3" x14ac:dyDescent="0.2">
      <c r="A266" s="82"/>
      <c r="B266" s="82"/>
      <c r="C266" s="82"/>
    </row>
    <row r="267" spans="1:3" x14ac:dyDescent="0.2">
      <c r="A267" s="82"/>
      <c r="B267" s="82"/>
      <c r="C267" s="82"/>
    </row>
    <row r="268" spans="1:3" x14ac:dyDescent="0.2">
      <c r="A268" s="82"/>
      <c r="B268" s="82"/>
      <c r="C268" s="82"/>
    </row>
    <row r="269" spans="1:3" x14ac:dyDescent="0.2">
      <c r="A269" s="82"/>
      <c r="B269" s="82"/>
      <c r="C269" s="82"/>
    </row>
    <row r="270" spans="1:3" x14ac:dyDescent="0.2">
      <c r="A270" s="82"/>
      <c r="B270" s="82"/>
      <c r="C270" s="82"/>
    </row>
    <row r="271" spans="1:3" x14ac:dyDescent="0.2">
      <c r="A271" s="82"/>
      <c r="B271" s="82"/>
      <c r="C271" s="82"/>
    </row>
    <row r="272" spans="1:3" x14ac:dyDescent="0.2">
      <c r="A272" s="82"/>
      <c r="B272" s="82"/>
      <c r="C272" s="82"/>
    </row>
    <row r="273" spans="1:3" x14ac:dyDescent="0.2">
      <c r="A273" s="82"/>
      <c r="B273" s="82"/>
      <c r="C273" s="82"/>
    </row>
    <row r="274" spans="1:3" x14ac:dyDescent="0.2">
      <c r="A274" s="82"/>
      <c r="B274" s="82"/>
      <c r="C274" s="82"/>
    </row>
    <row r="275" spans="1:3" x14ac:dyDescent="0.2">
      <c r="A275" s="82"/>
      <c r="B275" s="82"/>
      <c r="C275" s="82"/>
    </row>
    <row r="276" spans="1:3" x14ac:dyDescent="0.2">
      <c r="A276" s="82"/>
      <c r="B276" s="82"/>
      <c r="C276" s="82"/>
    </row>
    <row r="277" spans="1:3" x14ac:dyDescent="0.2">
      <c r="A277" s="82"/>
      <c r="B277" s="82"/>
      <c r="C277" s="82"/>
    </row>
    <row r="278" spans="1:3" x14ac:dyDescent="0.2">
      <c r="A278" s="82"/>
      <c r="B278" s="82"/>
      <c r="C278" s="82"/>
    </row>
    <row r="279" spans="1:3" x14ac:dyDescent="0.2">
      <c r="A279" s="82"/>
      <c r="B279" s="82"/>
      <c r="C279" s="82"/>
    </row>
    <row r="280" spans="1:3" x14ac:dyDescent="0.2">
      <c r="A280" s="82"/>
      <c r="B280" s="82"/>
      <c r="C280" s="82"/>
    </row>
    <row r="281" spans="1:3" x14ac:dyDescent="0.2">
      <c r="A281" s="82"/>
      <c r="B281" s="82"/>
      <c r="C281" s="82"/>
    </row>
    <row r="282" spans="1:3" x14ac:dyDescent="0.2">
      <c r="A282" s="82"/>
      <c r="B282" s="82"/>
      <c r="C282" s="82"/>
    </row>
    <row r="283" spans="1:3" x14ac:dyDescent="0.2">
      <c r="A283" s="82"/>
      <c r="B283" s="82"/>
      <c r="C283" s="82"/>
    </row>
    <row r="284" spans="1:3" x14ac:dyDescent="0.2">
      <c r="A284" s="82"/>
      <c r="B284" s="82"/>
      <c r="C284" s="82"/>
    </row>
    <row r="285" spans="1:3" x14ac:dyDescent="0.2">
      <c r="A285" s="82"/>
      <c r="B285" s="82"/>
      <c r="C285" s="82"/>
    </row>
    <row r="286" spans="1:3" x14ac:dyDescent="0.2">
      <c r="A286" s="82"/>
      <c r="B286" s="82"/>
      <c r="C286" s="82"/>
    </row>
    <row r="287" spans="1:3" x14ac:dyDescent="0.2">
      <c r="A287" s="82"/>
      <c r="B287" s="82"/>
      <c r="C287" s="82"/>
    </row>
    <row r="288" spans="1:3" x14ac:dyDescent="0.2">
      <c r="A288" s="82"/>
      <c r="B288" s="82"/>
      <c r="C288" s="82"/>
    </row>
    <row r="289" spans="1:3" x14ac:dyDescent="0.2">
      <c r="A289" s="82"/>
      <c r="B289" s="82"/>
      <c r="C289" s="82"/>
    </row>
    <row r="290" spans="1:3" x14ac:dyDescent="0.2">
      <c r="A290" s="82"/>
      <c r="B290" s="82"/>
      <c r="C290" s="82"/>
    </row>
    <row r="291" spans="1:3" x14ac:dyDescent="0.2">
      <c r="A291" s="82"/>
      <c r="B291" s="82"/>
      <c r="C291" s="82"/>
    </row>
    <row r="292" spans="1:3" x14ac:dyDescent="0.2">
      <c r="A292" s="82"/>
      <c r="B292" s="82"/>
      <c r="C292" s="82"/>
    </row>
    <row r="293" spans="1:3" x14ac:dyDescent="0.2">
      <c r="A293" s="82"/>
      <c r="B293" s="82"/>
      <c r="C293" s="82"/>
    </row>
    <row r="294" spans="1:3" x14ac:dyDescent="0.2">
      <c r="A294" s="82"/>
      <c r="B294" s="82"/>
      <c r="C294" s="82"/>
    </row>
    <row r="295" spans="1:3" x14ac:dyDescent="0.2">
      <c r="A295" s="82"/>
      <c r="B295" s="82"/>
      <c r="C295" s="82"/>
    </row>
    <row r="296" spans="1:3" x14ac:dyDescent="0.2">
      <c r="A296" s="82"/>
      <c r="B296" s="82"/>
      <c r="C296" s="82"/>
    </row>
    <row r="297" spans="1:3" x14ac:dyDescent="0.2">
      <c r="A297" s="82"/>
      <c r="B297" s="82"/>
      <c r="C297" s="82"/>
    </row>
    <row r="298" spans="1:3" x14ac:dyDescent="0.2">
      <c r="A298" s="82"/>
      <c r="B298" s="82"/>
      <c r="C298" s="82"/>
    </row>
    <row r="299" spans="1:3" x14ac:dyDescent="0.2">
      <c r="A299" s="82"/>
      <c r="B299" s="82"/>
      <c r="C299" s="82"/>
    </row>
    <row r="300" spans="1:3" x14ac:dyDescent="0.2">
      <c r="A300" s="82"/>
      <c r="B300" s="82"/>
      <c r="C300" s="82"/>
    </row>
    <row r="301" spans="1:3" x14ac:dyDescent="0.2">
      <c r="A301" s="82"/>
      <c r="B301" s="82"/>
      <c r="C301" s="82"/>
    </row>
    <row r="302" spans="1:3" x14ac:dyDescent="0.2">
      <c r="A302" s="82"/>
      <c r="B302" s="82"/>
      <c r="C302" s="82"/>
    </row>
    <row r="303" spans="1:3" x14ac:dyDescent="0.2">
      <c r="A303" s="82"/>
      <c r="B303" s="82"/>
      <c r="C303" s="82"/>
    </row>
    <row r="304" spans="1:3" x14ac:dyDescent="0.2">
      <c r="A304" s="82"/>
      <c r="B304" s="82"/>
      <c r="C304" s="82"/>
    </row>
    <row r="305" spans="1:3" x14ac:dyDescent="0.2">
      <c r="A305" s="82"/>
      <c r="B305" s="82"/>
      <c r="C305" s="82"/>
    </row>
    <row r="306" spans="1:3" x14ac:dyDescent="0.2">
      <c r="A306" s="82"/>
      <c r="B306" s="82"/>
      <c r="C306" s="82"/>
    </row>
    <row r="307" spans="1:3" x14ac:dyDescent="0.2">
      <c r="A307" s="82"/>
      <c r="B307" s="82"/>
      <c r="C307" s="82"/>
    </row>
    <row r="308" spans="1:3" x14ac:dyDescent="0.2">
      <c r="A308" s="82"/>
      <c r="B308" s="82"/>
      <c r="C308" s="82"/>
    </row>
    <row r="309" spans="1:3" x14ac:dyDescent="0.2">
      <c r="A309" s="82"/>
      <c r="B309" s="82"/>
      <c r="C309" s="82"/>
    </row>
    <row r="310" spans="1:3" x14ac:dyDescent="0.2">
      <c r="A310" s="82"/>
      <c r="B310" s="82"/>
      <c r="C310" s="82"/>
    </row>
    <row r="311" spans="1:3" x14ac:dyDescent="0.2">
      <c r="A311" s="82"/>
      <c r="B311" s="82"/>
      <c r="C311" s="82"/>
    </row>
    <row r="312" spans="1:3" x14ac:dyDescent="0.2">
      <c r="A312" s="82"/>
      <c r="B312" s="82"/>
      <c r="C312" s="82"/>
    </row>
    <row r="313" spans="1:3" x14ac:dyDescent="0.2">
      <c r="A313" s="82"/>
      <c r="B313" s="82"/>
      <c r="C313" s="82"/>
    </row>
    <row r="314" spans="1:3" x14ac:dyDescent="0.2">
      <c r="A314" s="82"/>
      <c r="B314" s="82"/>
      <c r="C314" s="82"/>
    </row>
    <row r="315" spans="1:3" x14ac:dyDescent="0.2">
      <c r="A315" s="82"/>
      <c r="B315" s="82"/>
      <c r="C315" s="82"/>
    </row>
    <row r="316" spans="1:3" x14ac:dyDescent="0.2">
      <c r="A316" s="82"/>
      <c r="B316" s="82"/>
      <c r="C316" s="82"/>
    </row>
    <row r="317" spans="1:3" x14ac:dyDescent="0.2">
      <c r="A317" s="82"/>
      <c r="B317" s="82"/>
      <c r="C317" s="82"/>
    </row>
    <row r="318" spans="1:3" x14ac:dyDescent="0.2">
      <c r="A318" s="82"/>
      <c r="B318" s="82"/>
      <c r="C318" s="82"/>
    </row>
    <row r="319" spans="1:3" x14ac:dyDescent="0.2">
      <c r="A319" s="82"/>
      <c r="B319" s="82"/>
      <c r="C319" s="82"/>
    </row>
    <row r="320" spans="1:3" x14ac:dyDescent="0.2">
      <c r="A320" s="82"/>
      <c r="B320" s="82"/>
      <c r="C320" s="82"/>
    </row>
    <row r="321" spans="1:3" x14ac:dyDescent="0.2">
      <c r="A321" s="82"/>
      <c r="B321" s="82"/>
      <c r="C321" s="82"/>
    </row>
    <row r="322" spans="1:3" x14ac:dyDescent="0.2">
      <c r="A322" s="82"/>
      <c r="B322" s="82"/>
      <c r="C322" s="82"/>
    </row>
    <row r="323" spans="1:3" x14ac:dyDescent="0.2">
      <c r="A323" s="82"/>
      <c r="B323" s="82"/>
      <c r="C323" s="82"/>
    </row>
    <row r="324" spans="1:3" x14ac:dyDescent="0.2">
      <c r="A324" s="82"/>
      <c r="B324" s="82"/>
      <c r="C324" s="82"/>
    </row>
    <row r="325" spans="1:3" x14ac:dyDescent="0.2">
      <c r="A325" s="82"/>
      <c r="B325" s="82"/>
      <c r="C325" s="82"/>
    </row>
    <row r="326" spans="1:3" x14ac:dyDescent="0.2">
      <c r="A326" s="82"/>
      <c r="B326" s="82"/>
      <c r="C326" s="82"/>
    </row>
    <row r="327" spans="1:3" x14ac:dyDescent="0.2">
      <c r="A327" s="82"/>
      <c r="B327" s="82"/>
      <c r="C327" s="82"/>
    </row>
    <row r="328" spans="1:3" x14ac:dyDescent="0.2">
      <c r="A328" s="82"/>
      <c r="B328" s="82"/>
      <c r="C328" s="82"/>
    </row>
    <row r="329" spans="1:3" x14ac:dyDescent="0.2">
      <c r="A329" s="82"/>
      <c r="B329" s="82"/>
      <c r="C329" s="82"/>
    </row>
    <row r="330" spans="1:3" x14ac:dyDescent="0.2">
      <c r="A330" s="82"/>
      <c r="B330" s="82"/>
      <c r="C330" s="82"/>
    </row>
    <row r="331" spans="1:3" x14ac:dyDescent="0.2">
      <c r="A331" s="82"/>
      <c r="B331" s="82"/>
      <c r="C331" s="82"/>
    </row>
    <row r="332" spans="1:3" x14ac:dyDescent="0.2">
      <c r="A332" s="82"/>
      <c r="B332" s="82"/>
      <c r="C332" s="82"/>
    </row>
    <row r="333" spans="1:3" x14ac:dyDescent="0.2">
      <c r="A333" s="82"/>
      <c r="B333" s="82"/>
      <c r="C333" s="82"/>
    </row>
    <row r="334" spans="1:3" x14ac:dyDescent="0.2">
      <c r="A334" s="82"/>
      <c r="B334" s="82"/>
      <c r="C334" s="82"/>
    </row>
    <row r="335" spans="1:3" x14ac:dyDescent="0.2">
      <c r="A335" s="82"/>
      <c r="B335" s="82"/>
      <c r="C335" s="82"/>
    </row>
    <row r="336" spans="1:3" x14ac:dyDescent="0.2">
      <c r="A336" s="82"/>
      <c r="B336" s="82"/>
      <c r="C336" s="82"/>
    </row>
    <row r="337" spans="1:3" x14ac:dyDescent="0.2">
      <c r="A337" s="82"/>
      <c r="B337" s="82"/>
      <c r="C337" s="82"/>
    </row>
    <row r="338" spans="1:3" x14ac:dyDescent="0.2">
      <c r="A338" s="82"/>
      <c r="B338" s="82"/>
      <c r="C338" s="82"/>
    </row>
    <row r="339" spans="1:3" x14ac:dyDescent="0.2">
      <c r="A339" s="82"/>
      <c r="B339" s="82"/>
      <c r="C339" s="82"/>
    </row>
    <row r="340" spans="1:3" x14ac:dyDescent="0.2">
      <c r="A340" s="82"/>
      <c r="B340" s="82"/>
      <c r="C340" s="82"/>
    </row>
    <row r="341" spans="1:3" x14ac:dyDescent="0.2">
      <c r="A341" s="82"/>
      <c r="B341" s="82"/>
      <c r="C341" s="82"/>
    </row>
    <row r="342" spans="1:3" x14ac:dyDescent="0.2">
      <c r="A342" s="82"/>
      <c r="B342" s="82"/>
      <c r="C342" s="82"/>
    </row>
    <row r="343" spans="1:3" x14ac:dyDescent="0.2">
      <c r="A343" s="82"/>
      <c r="B343" s="82"/>
      <c r="C343" s="82"/>
    </row>
    <row r="344" spans="1:3" x14ac:dyDescent="0.2">
      <c r="A344" s="82"/>
      <c r="B344" s="82"/>
      <c r="C344" s="82"/>
    </row>
    <row r="345" spans="1:3" x14ac:dyDescent="0.2">
      <c r="A345" s="82"/>
      <c r="B345" s="82"/>
      <c r="C345" s="82"/>
    </row>
    <row r="346" spans="1:3" x14ac:dyDescent="0.2">
      <c r="A346" s="82"/>
      <c r="B346" s="82"/>
      <c r="C346" s="82"/>
    </row>
    <row r="347" spans="1:3" x14ac:dyDescent="0.2">
      <c r="A347" s="82"/>
      <c r="B347" s="82"/>
      <c r="C347" s="82"/>
    </row>
    <row r="348" spans="1:3" x14ac:dyDescent="0.2">
      <c r="A348" s="82"/>
      <c r="B348" s="82"/>
      <c r="C348" s="82"/>
    </row>
    <row r="349" spans="1:3" x14ac:dyDescent="0.2">
      <c r="A349" s="82"/>
      <c r="B349" s="82"/>
      <c r="C349" s="82"/>
    </row>
    <row r="350" spans="1:3" x14ac:dyDescent="0.2">
      <c r="A350" s="82"/>
      <c r="B350" s="82"/>
      <c r="C350" s="82"/>
    </row>
    <row r="351" spans="1:3" x14ac:dyDescent="0.2">
      <c r="A351" s="82"/>
      <c r="B351" s="82"/>
      <c r="C351" s="82"/>
    </row>
    <row r="352" spans="1:3" x14ac:dyDescent="0.2">
      <c r="A352" s="82"/>
      <c r="B352" s="82"/>
      <c r="C352" s="82"/>
    </row>
    <row r="353" spans="1:3" x14ac:dyDescent="0.2">
      <c r="A353" s="82"/>
      <c r="B353" s="82"/>
      <c r="C353" s="82"/>
    </row>
    <row r="354" spans="1:3" x14ac:dyDescent="0.2">
      <c r="A354" s="82"/>
      <c r="B354" s="82"/>
      <c r="C354" s="82"/>
    </row>
    <row r="355" spans="1:3" x14ac:dyDescent="0.2">
      <c r="A355" s="82"/>
      <c r="B355" s="82"/>
      <c r="C355" s="82"/>
    </row>
    <row r="356" spans="1:3" x14ac:dyDescent="0.2">
      <c r="A356" s="82"/>
      <c r="B356" s="82"/>
      <c r="C356" s="82"/>
    </row>
    <row r="357" spans="1:3" x14ac:dyDescent="0.2">
      <c r="A357" s="82"/>
      <c r="B357" s="82"/>
      <c r="C357" s="82"/>
    </row>
    <row r="358" spans="1:3" x14ac:dyDescent="0.2">
      <c r="A358" s="82"/>
      <c r="B358" s="82"/>
      <c r="C358" s="82"/>
    </row>
    <row r="359" spans="1:3" x14ac:dyDescent="0.2">
      <c r="A359" s="82"/>
      <c r="B359" s="82"/>
      <c r="C359" s="82"/>
    </row>
    <row r="360" spans="1:3" x14ac:dyDescent="0.2">
      <c r="A360" s="82"/>
      <c r="B360" s="82"/>
      <c r="C360" s="82"/>
    </row>
    <row r="361" spans="1:3" x14ac:dyDescent="0.2">
      <c r="A361" s="82"/>
      <c r="B361" s="82"/>
      <c r="C361" s="82"/>
    </row>
    <row r="362" spans="1:3" x14ac:dyDescent="0.2">
      <c r="A362" s="82"/>
      <c r="B362" s="82"/>
      <c r="C362" s="82"/>
    </row>
    <row r="363" spans="1:3" x14ac:dyDescent="0.2">
      <c r="A363" s="82"/>
      <c r="B363" s="82"/>
      <c r="C363" s="82"/>
    </row>
    <row r="364" spans="1:3" x14ac:dyDescent="0.2">
      <c r="A364" s="82"/>
      <c r="B364" s="82"/>
      <c r="C364" s="82"/>
    </row>
    <row r="365" spans="1:3" x14ac:dyDescent="0.2">
      <c r="A365" s="82"/>
      <c r="B365" s="82"/>
      <c r="C365" s="82"/>
    </row>
    <row r="366" spans="1:3" x14ac:dyDescent="0.2">
      <c r="A366" s="82"/>
      <c r="B366" s="82"/>
      <c r="C366" s="82"/>
    </row>
    <row r="367" spans="1:3" x14ac:dyDescent="0.2">
      <c r="A367" s="82"/>
      <c r="B367" s="82"/>
      <c r="C367" s="82"/>
    </row>
    <row r="368" spans="1:3" x14ac:dyDescent="0.2">
      <c r="A368" s="82"/>
      <c r="B368" s="82"/>
      <c r="C368" s="82"/>
    </row>
    <row r="369" spans="1:3" x14ac:dyDescent="0.2">
      <c r="A369" s="82"/>
      <c r="B369" s="82"/>
      <c r="C369" s="82"/>
    </row>
    <row r="370" spans="1:3" x14ac:dyDescent="0.2">
      <c r="A370" s="82"/>
      <c r="B370" s="82"/>
      <c r="C370" s="82"/>
    </row>
    <row r="371" spans="1:3" x14ac:dyDescent="0.2">
      <c r="A371" s="82"/>
      <c r="B371" s="82"/>
      <c r="C371" s="82"/>
    </row>
    <row r="372" spans="1:3" x14ac:dyDescent="0.2">
      <c r="A372" s="82"/>
      <c r="B372" s="82"/>
      <c r="C372" s="82"/>
    </row>
    <row r="373" spans="1:3" x14ac:dyDescent="0.2">
      <c r="A373" s="82"/>
      <c r="B373" s="82"/>
      <c r="C373" s="82"/>
    </row>
    <row r="374" spans="1:3" x14ac:dyDescent="0.2">
      <c r="A374" s="82"/>
      <c r="B374" s="82"/>
      <c r="C374" s="82"/>
    </row>
    <row r="375" spans="1:3" x14ac:dyDescent="0.2">
      <c r="A375" s="82"/>
      <c r="B375" s="82"/>
      <c r="C375" s="82"/>
    </row>
    <row r="376" spans="1:3" x14ac:dyDescent="0.2">
      <c r="A376" s="82"/>
      <c r="B376" s="82"/>
      <c r="C376" s="82"/>
    </row>
    <row r="377" spans="1:3" x14ac:dyDescent="0.2">
      <c r="A377" s="82"/>
      <c r="B377" s="82"/>
      <c r="C377" s="82"/>
    </row>
    <row r="378" spans="1:3" x14ac:dyDescent="0.2">
      <c r="A378" s="82"/>
      <c r="B378" s="82"/>
      <c r="C378" s="82"/>
    </row>
    <row r="379" spans="1:3" x14ac:dyDescent="0.2">
      <c r="A379" s="82"/>
      <c r="B379" s="82"/>
      <c r="C379" s="82"/>
    </row>
    <row r="380" spans="1:3" x14ac:dyDescent="0.2">
      <c r="A380" s="82"/>
      <c r="B380" s="82"/>
      <c r="C380" s="82"/>
    </row>
    <row r="381" spans="1:3" x14ac:dyDescent="0.2">
      <c r="A381" s="82"/>
      <c r="B381" s="82"/>
      <c r="C381" s="82"/>
    </row>
    <row r="382" spans="1:3" x14ac:dyDescent="0.2">
      <c r="A382" s="82"/>
      <c r="B382" s="82"/>
      <c r="C382" s="82"/>
    </row>
    <row r="383" spans="1:3" x14ac:dyDescent="0.2">
      <c r="A383" s="82"/>
      <c r="B383" s="82"/>
      <c r="C383" s="82"/>
    </row>
    <row r="384" spans="1:3" x14ac:dyDescent="0.2">
      <c r="A384" s="82"/>
      <c r="B384" s="82"/>
      <c r="C384" s="82"/>
    </row>
    <row r="385" spans="1:3" x14ac:dyDescent="0.2">
      <c r="A385" s="82"/>
      <c r="B385" s="82"/>
      <c r="C385" s="82"/>
    </row>
    <row r="386" spans="1:3" x14ac:dyDescent="0.2">
      <c r="A386" s="82"/>
      <c r="B386" s="82"/>
      <c r="C386" s="82"/>
    </row>
    <row r="387" spans="1:3" x14ac:dyDescent="0.2">
      <c r="A387" s="82"/>
      <c r="B387" s="82"/>
      <c r="C387" s="82"/>
    </row>
    <row r="388" spans="1:3" x14ac:dyDescent="0.2">
      <c r="A388" s="82"/>
      <c r="B388" s="82"/>
      <c r="C388" s="82"/>
    </row>
    <row r="389" spans="1:3" x14ac:dyDescent="0.2">
      <c r="A389" s="82"/>
      <c r="B389" s="82"/>
      <c r="C389" s="82"/>
    </row>
    <row r="390" spans="1:3" x14ac:dyDescent="0.2">
      <c r="A390" s="82"/>
      <c r="B390" s="82"/>
      <c r="C390" s="82"/>
    </row>
    <row r="391" spans="1:3" x14ac:dyDescent="0.2">
      <c r="A391" s="82"/>
      <c r="B391" s="82"/>
      <c r="C391" s="82"/>
    </row>
    <row r="392" spans="1:3" x14ac:dyDescent="0.2">
      <c r="A392" s="82"/>
      <c r="B392" s="82"/>
      <c r="C392" s="82"/>
    </row>
    <row r="393" spans="1:3" x14ac:dyDescent="0.2">
      <c r="A393" s="82"/>
      <c r="B393" s="82"/>
      <c r="C393" s="82"/>
    </row>
    <row r="394" spans="1:3" x14ac:dyDescent="0.2">
      <c r="A394" s="82"/>
      <c r="B394" s="82"/>
      <c r="C394" s="82"/>
    </row>
    <row r="395" spans="1:3" x14ac:dyDescent="0.2">
      <c r="A395" s="82"/>
      <c r="B395" s="82"/>
      <c r="C395" s="82"/>
    </row>
    <row r="396" spans="1:3" x14ac:dyDescent="0.2">
      <c r="A396" s="82"/>
      <c r="B396" s="82"/>
      <c r="C396" s="82"/>
    </row>
    <row r="397" spans="1:3" x14ac:dyDescent="0.2">
      <c r="A397" s="82"/>
      <c r="B397" s="82"/>
      <c r="C397" s="82"/>
    </row>
    <row r="398" spans="1:3" x14ac:dyDescent="0.2">
      <c r="A398" s="82"/>
      <c r="B398" s="82"/>
      <c r="C398" s="82"/>
    </row>
    <row r="399" spans="1:3" x14ac:dyDescent="0.2">
      <c r="A399" s="82"/>
      <c r="B399" s="82"/>
      <c r="C399" s="82"/>
    </row>
    <row r="400" spans="1:3" x14ac:dyDescent="0.2">
      <c r="A400" s="82"/>
      <c r="B400" s="82"/>
      <c r="C400" s="82"/>
    </row>
    <row r="401" spans="1:3" x14ac:dyDescent="0.2">
      <c r="A401" s="82"/>
      <c r="B401" s="82"/>
      <c r="C401" s="82"/>
    </row>
    <row r="402" spans="1:3" x14ac:dyDescent="0.2">
      <c r="A402" s="82"/>
      <c r="B402" s="82"/>
      <c r="C402" s="82"/>
    </row>
    <row r="403" spans="1:3" x14ac:dyDescent="0.2">
      <c r="A403" s="82"/>
      <c r="B403" s="82"/>
      <c r="C403" s="82"/>
    </row>
    <row r="404" spans="1:3" x14ac:dyDescent="0.2">
      <c r="A404" s="82"/>
      <c r="B404" s="82"/>
      <c r="C404" s="82"/>
    </row>
    <row r="405" spans="1:3" x14ac:dyDescent="0.2">
      <c r="A405" s="82"/>
      <c r="B405" s="82"/>
      <c r="C405" s="82"/>
    </row>
    <row r="406" spans="1:3" x14ac:dyDescent="0.2">
      <c r="A406" s="82"/>
      <c r="B406" s="82"/>
      <c r="C406" s="82"/>
    </row>
    <row r="407" spans="1:3" x14ac:dyDescent="0.2">
      <c r="A407" s="82"/>
      <c r="B407" s="82"/>
      <c r="C407" s="82"/>
    </row>
    <row r="408" spans="1:3" x14ac:dyDescent="0.2">
      <c r="A408" s="82"/>
      <c r="B408" s="82"/>
      <c r="C408" s="82"/>
    </row>
    <row r="409" spans="1:3" x14ac:dyDescent="0.2">
      <c r="A409" s="82"/>
      <c r="B409" s="82"/>
      <c r="C409" s="82"/>
    </row>
    <row r="410" spans="1:3" x14ac:dyDescent="0.2">
      <c r="A410" s="82"/>
      <c r="B410" s="82"/>
      <c r="C410" s="82"/>
    </row>
    <row r="411" spans="1:3" x14ac:dyDescent="0.2">
      <c r="A411" s="82"/>
      <c r="B411" s="82"/>
      <c r="C411" s="82"/>
    </row>
    <row r="412" spans="1:3" x14ac:dyDescent="0.2">
      <c r="A412" s="82"/>
      <c r="B412" s="82"/>
      <c r="C412" s="82"/>
    </row>
    <row r="413" spans="1:3" x14ac:dyDescent="0.2">
      <c r="A413" s="82"/>
      <c r="B413" s="82"/>
      <c r="C413" s="82"/>
    </row>
    <row r="414" spans="1:3" x14ac:dyDescent="0.2">
      <c r="A414" s="82"/>
      <c r="B414" s="82"/>
      <c r="C414" s="82"/>
    </row>
    <row r="415" spans="1:3" x14ac:dyDescent="0.2">
      <c r="A415" s="82"/>
      <c r="B415" s="82"/>
      <c r="C415" s="82"/>
    </row>
    <row r="416" spans="1:3" x14ac:dyDescent="0.2">
      <c r="A416" s="82"/>
      <c r="B416" s="82"/>
      <c r="C416" s="82"/>
    </row>
    <row r="417" spans="1:3" x14ac:dyDescent="0.2">
      <c r="A417" s="82"/>
      <c r="B417" s="82"/>
      <c r="C417" s="82"/>
    </row>
    <row r="418" spans="1:3" x14ac:dyDescent="0.2">
      <c r="A418" s="82"/>
      <c r="B418" s="82"/>
      <c r="C418" s="82"/>
    </row>
    <row r="419" spans="1:3" x14ac:dyDescent="0.2">
      <c r="A419" s="82"/>
      <c r="B419" s="82"/>
      <c r="C419" s="82"/>
    </row>
    <row r="420" spans="1:3" x14ac:dyDescent="0.2">
      <c r="A420" s="82"/>
      <c r="B420" s="82"/>
      <c r="C420" s="82"/>
    </row>
    <row r="421" spans="1:3" x14ac:dyDescent="0.2">
      <c r="A421" s="82"/>
      <c r="B421" s="82"/>
      <c r="C421" s="82"/>
    </row>
    <row r="422" spans="1:3" x14ac:dyDescent="0.2">
      <c r="A422" s="82"/>
      <c r="B422" s="82"/>
      <c r="C422" s="82"/>
    </row>
    <row r="423" spans="1:3" x14ac:dyDescent="0.2">
      <c r="A423" s="82"/>
      <c r="B423" s="82"/>
      <c r="C423" s="82"/>
    </row>
    <row r="424" spans="1:3" x14ac:dyDescent="0.2">
      <c r="A424" s="82"/>
      <c r="B424" s="82"/>
      <c r="C424" s="82"/>
    </row>
    <row r="425" spans="1:3" x14ac:dyDescent="0.2">
      <c r="A425" s="82"/>
      <c r="B425" s="82"/>
      <c r="C425" s="82"/>
    </row>
    <row r="426" spans="1:3" x14ac:dyDescent="0.2">
      <c r="A426" s="82"/>
      <c r="B426" s="82"/>
      <c r="C426" s="82"/>
    </row>
    <row r="427" spans="1:3" x14ac:dyDescent="0.2">
      <c r="A427" s="82"/>
      <c r="B427" s="82"/>
      <c r="C427" s="82"/>
    </row>
    <row r="428" spans="1:3" x14ac:dyDescent="0.2">
      <c r="A428" s="82"/>
      <c r="B428" s="82"/>
      <c r="C428" s="82"/>
    </row>
    <row r="429" spans="1:3" x14ac:dyDescent="0.2">
      <c r="A429" s="82"/>
      <c r="B429" s="82"/>
      <c r="C429" s="82"/>
    </row>
    <row r="430" spans="1:3" x14ac:dyDescent="0.2">
      <c r="A430" s="82"/>
      <c r="B430" s="82"/>
      <c r="C430" s="82"/>
    </row>
    <row r="431" spans="1:3" x14ac:dyDescent="0.2">
      <c r="A431" s="82"/>
      <c r="B431" s="82"/>
      <c r="C431" s="82"/>
    </row>
    <row r="432" spans="1:3" x14ac:dyDescent="0.2">
      <c r="A432" s="82"/>
      <c r="B432" s="82"/>
      <c r="C432" s="82"/>
    </row>
    <row r="433" spans="1:3" x14ac:dyDescent="0.2">
      <c r="A433" s="82"/>
      <c r="B433" s="82"/>
      <c r="C433" s="82"/>
    </row>
    <row r="434" spans="1:3" x14ac:dyDescent="0.2">
      <c r="A434" s="82"/>
      <c r="B434" s="82"/>
      <c r="C434" s="82"/>
    </row>
    <row r="435" spans="1:3" x14ac:dyDescent="0.2">
      <c r="A435" s="82"/>
      <c r="B435" s="82"/>
      <c r="C435" s="82"/>
    </row>
    <row r="436" spans="1:3" x14ac:dyDescent="0.2">
      <c r="A436" s="82"/>
      <c r="B436" s="82"/>
      <c r="C436" s="82"/>
    </row>
    <row r="437" spans="1:3" x14ac:dyDescent="0.2">
      <c r="A437" s="82"/>
      <c r="B437" s="82"/>
      <c r="C437" s="82"/>
    </row>
    <row r="438" spans="1:3" x14ac:dyDescent="0.2">
      <c r="A438" s="82"/>
      <c r="B438" s="82"/>
      <c r="C438" s="82"/>
    </row>
    <row r="439" spans="1:3" x14ac:dyDescent="0.2">
      <c r="A439" s="82"/>
      <c r="B439" s="82"/>
      <c r="C439" s="82"/>
    </row>
    <row r="440" spans="1:3" x14ac:dyDescent="0.2">
      <c r="A440" s="82"/>
      <c r="B440" s="82"/>
      <c r="C440" s="82"/>
    </row>
    <row r="441" spans="1:3" x14ac:dyDescent="0.2">
      <c r="A441" s="82"/>
      <c r="B441" s="82"/>
      <c r="C441" s="82"/>
    </row>
    <row r="442" spans="1:3" x14ac:dyDescent="0.2">
      <c r="A442" s="82"/>
      <c r="B442" s="82"/>
      <c r="C442" s="82"/>
    </row>
    <row r="443" spans="1:3" x14ac:dyDescent="0.2">
      <c r="A443" s="82"/>
      <c r="B443" s="82"/>
      <c r="C443" s="82"/>
    </row>
    <row r="444" spans="1:3" x14ac:dyDescent="0.2">
      <c r="A444" s="82"/>
      <c r="B444" s="82"/>
      <c r="C444" s="82"/>
    </row>
    <row r="445" spans="1:3" x14ac:dyDescent="0.2">
      <c r="A445" s="82"/>
      <c r="B445" s="82"/>
      <c r="C445" s="82"/>
    </row>
    <row r="446" spans="1:3" x14ac:dyDescent="0.2">
      <c r="A446" s="82"/>
      <c r="B446" s="82"/>
      <c r="C446" s="82"/>
    </row>
    <row r="447" spans="1:3" x14ac:dyDescent="0.2">
      <c r="A447" s="82"/>
      <c r="B447" s="82"/>
      <c r="C447" s="82"/>
    </row>
    <row r="448" spans="1:3" x14ac:dyDescent="0.2">
      <c r="A448" s="82"/>
      <c r="B448" s="82"/>
      <c r="C448" s="82"/>
    </row>
    <row r="449" spans="1:3" x14ac:dyDescent="0.2">
      <c r="A449" s="82"/>
      <c r="B449" s="82"/>
      <c r="C449" s="82"/>
    </row>
    <row r="450" spans="1:3" x14ac:dyDescent="0.2">
      <c r="A450" s="82"/>
      <c r="B450" s="82"/>
      <c r="C450" s="82"/>
    </row>
    <row r="451" spans="1:3" x14ac:dyDescent="0.2">
      <c r="A451" s="82"/>
      <c r="B451" s="82"/>
      <c r="C451" s="82"/>
    </row>
    <row r="452" spans="1:3" x14ac:dyDescent="0.2">
      <c r="A452" s="82"/>
      <c r="B452" s="82"/>
      <c r="C452" s="82"/>
    </row>
    <row r="453" spans="1:3" x14ac:dyDescent="0.2">
      <c r="A453" s="82"/>
      <c r="B453" s="82"/>
      <c r="C453" s="82"/>
    </row>
    <row r="454" spans="1:3" x14ac:dyDescent="0.2">
      <c r="A454" s="82"/>
      <c r="B454" s="82"/>
      <c r="C454" s="82"/>
    </row>
    <row r="455" spans="1:3" x14ac:dyDescent="0.2">
      <c r="A455" s="82"/>
      <c r="B455" s="82"/>
      <c r="C455" s="82"/>
    </row>
    <row r="456" spans="1:3" x14ac:dyDescent="0.2">
      <c r="A456" s="82"/>
      <c r="B456" s="82"/>
      <c r="C456" s="82"/>
    </row>
    <row r="457" spans="1:3" x14ac:dyDescent="0.2">
      <c r="A457" s="82"/>
      <c r="B457" s="82"/>
      <c r="C457" s="82"/>
    </row>
    <row r="458" spans="1:3" x14ac:dyDescent="0.2">
      <c r="A458" s="82"/>
      <c r="B458" s="82"/>
      <c r="C458" s="82"/>
    </row>
    <row r="459" spans="1:3" x14ac:dyDescent="0.2">
      <c r="A459" s="82"/>
      <c r="B459" s="82"/>
      <c r="C459" s="82"/>
    </row>
    <row r="460" spans="1:3" x14ac:dyDescent="0.2">
      <c r="A460" s="82"/>
      <c r="B460" s="82"/>
      <c r="C460" s="82"/>
    </row>
    <row r="461" spans="1:3" x14ac:dyDescent="0.2">
      <c r="A461" s="82"/>
      <c r="B461" s="82"/>
      <c r="C461" s="82"/>
    </row>
    <row r="462" spans="1:3" x14ac:dyDescent="0.2">
      <c r="A462" s="82"/>
      <c r="B462" s="82"/>
      <c r="C462" s="82"/>
    </row>
    <row r="463" spans="1:3" x14ac:dyDescent="0.2">
      <c r="A463" s="82"/>
      <c r="B463" s="82"/>
      <c r="C463" s="82"/>
    </row>
    <row r="464" spans="1:3" x14ac:dyDescent="0.2">
      <c r="A464" s="82"/>
      <c r="B464" s="82"/>
      <c r="C464" s="82"/>
    </row>
    <row r="465" spans="1:3" x14ac:dyDescent="0.2">
      <c r="A465" s="82"/>
      <c r="B465" s="82"/>
      <c r="C465" s="82"/>
    </row>
    <row r="466" spans="1:3" x14ac:dyDescent="0.2">
      <c r="A466" s="82"/>
      <c r="B466" s="82"/>
      <c r="C466" s="82"/>
    </row>
    <row r="467" spans="1:3" x14ac:dyDescent="0.2">
      <c r="A467" s="82"/>
      <c r="B467" s="82"/>
      <c r="C467" s="82"/>
    </row>
    <row r="468" spans="1:3" x14ac:dyDescent="0.2">
      <c r="A468" s="82"/>
      <c r="B468" s="82"/>
      <c r="C468" s="82"/>
    </row>
    <row r="469" spans="1:3" x14ac:dyDescent="0.2">
      <c r="A469" s="82"/>
      <c r="B469" s="82"/>
      <c r="C469" s="82"/>
    </row>
    <row r="470" spans="1:3" x14ac:dyDescent="0.2">
      <c r="A470" s="82"/>
      <c r="B470" s="82"/>
      <c r="C470" s="82"/>
    </row>
    <row r="471" spans="1:3" x14ac:dyDescent="0.2">
      <c r="A471" s="82"/>
      <c r="B471" s="82"/>
      <c r="C471" s="82"/>
    </row>
    <row r="472" spans="1:3" x14ac:dyDescent="0.2">
      <c r="A472" s="82"/>
      <c r="B472" s="82"/>
      <c r="C472" s="82"/>
    </row>
    <row r="473" spans="1:3" x14ac:dyDescent="0.2">
      <c r="A473" s="82"/>
      <c r="B473" s="82"/>
      <c r="C473" s="82"/>
    </row>
    <row r="474" spans="1:3" x14ac:dyDescent="0.2">
      <c r="A474" s="82"/>
      <c r="B474" s="82"/>
      <c r="C474" s="82"/>
    </row>
    <row r="475" spans="1:3" x14ac:dyDescent="0.2">
      <c r="A475" s="82"/>
      <c r="B475" s="82"/>
      <c r="C475" s="82"/>
    </row>
    <row r="476" spans="1:3" x14ac:dyDescent="0.2">
      <c r="A476" s="82"/>
      <c r="B476" s="82"/>
      <c r="C476" s="82"/>
    </row>
    <row r="477" spans="1:3" x14ac:dyDescent="0.2">
      <c r="A477" s="82"/>
      <c r="B477" s="82"/>
      <c r="C477" s="82"/>
    </row>
    <row r="478" spans="1:3" x14ac:dyDescent="0.2">
      <c r="A478" s="82"/>
      <c r="B478" s="82"/>
      <c r="C478" s="82"/>
    </row>
    <row r="479" spans="1:3" x14ac:dyDescent="0.2">
      <c r="A479" s="82"/>
      <c r="B479" s="82"/>
      <c r="C479" s="82"/>
    </row>
    <row r="480" spans="1:3" x14ac:dyDescent="0.2">
      <c r="A480" s="82"/>
      <c r="B480" s="82"/>
      <c r="C480" s="82"/>
    </row>
    <row r="481" spans="1:3" x14ac:dyDescent="0.2">
      <c r="A481" s="82"/>
      <c r="B481" s="82"/>
      <c r="C481" s="82"/>
    </row>
    <row r="482" spans="1:3" x14ac:dyDescent="0.2">
      <c r="A482" s="82"/>
      <c r="B482" s="82"/>
      <c r="C482" s="82"/>
    </row>
    <row r="483" spans="1:3" x14ac:dyDescent="0.2">
      <c r="A483" s="82"/>
      <c r="B483" s="82"/>
      <c r="C483" s="82"/>
    </row>
    <row r="484" spans="1:3" x14ac:dyDescent="0.2">
      <c r="A484" s="82"/>
      <c r="B484" s="82"/>
      <c r="C484" s="82"/>
    </row>
    <row r="485" spans="1:3" x14ac:dyDescent="0.2">
      <c r="A485" s="82"/>
      <c r="B485" s="82"/>
      <c r="C485" s="82"/>
    </row>
    <row r="486" spans="1:3" x14ac:dyDescent="0.2">
      <c r="A486" s="82"/>
      <c r="B486" s="82"/>
      <c r="C486" s="82"/>
    </row>
    <row r="487" spans="1:3" x14ac:dyDescent="0.2">
      <c r="A487" s="82"/>
      <c r="B487" s="82"/>
      <c r="C487" s="82"/>
    </row>
    <row r="488" spans="1:3" x14ac:dyDescent="0.2">
      <c r="A488" s="82"/>
      <c r="B488" s="82"/>
      <c r="C488" s="82"/>
    </row>
    <row r="489" spans="1:3" x14ac:dyDescent="0.2">
      <c r="A489" s="82"/>
      <c r="B489" s="82"/>
      <c r="C489" s="82"/>
    </row>
    <row r="490" spans="1:3" x14ac:dyDescent="0.2">
      <c r="A490" s="82"/>
      <c r="B490" s="82"/>
      <c r="C490" s="82"/>
    </row>
    <row r="491" spans="1:3" x14ac:dyDescent="0.2">
      <c r="A491" s="82"/>
      <c r="B491" s="82"/>
      <c r="C491" s="82"/>
    </row>
    <row r="492" spans="1:3" x14ac:dyDescent="0.2">
      <c r="A492" s="82"/>
      <c r="B492" s="82"/>
      <c r="C492" s="82"/>
    </row>
    <row r="493" spans="1:3" x14ac:dyDescent="0.2">
      <c r="A493" s="82"/>
      <c r="B493" s="82"/>
      <c r="C493" s="82"/>
    </row>
    <row r="494" spans="1:3" x14ac:dyDescent="0.2">
      <c r="A494" s="82"/>
      <c r="B494" s="82"/>
      <c r="C494" s="82"/>
    </row>
    <row r="495" spans="1:3" x14ac:dyDescent="0.2">
      <c r="A495" s="82"/>
      <c r="B495" s="82"/>
      <c r="C495" s="82"/>
    </row>
    <row r="496" spans="1:3" x14ac:dyDescent="0.2">
      <c r="A496" s="82"/>
      <c r="B496" s="82"/>
      <c r="C496" s="82"/>
    </row>
    <row r="497" spans="1:3" x14ac:dyDescent="0.2">
      <c r="A497" s="82"/>
      <c r="B497" s="82"/>
      <c r="C497" s="82"/>
    </row>
    <row r="498" spans="1:3" x14ac:dyDescent="0.2">
      <c r="A498" s="82"/>
      <c r="B498" s="82"/>
      <c r="C498" s="82"/>
    </row>
    <row r="499" spans="1:3" x14ac:dyDescent="0.2">
      <c r="A499" s="82"/>
      <c r="B499" s="82"/>
      <c r="C499" s="82"/>
    </row>
    <row r="500" spans="1:3" x14ac:dyDescent="0.2">
      <c r="A500" s="82"/>
      <c r="B500" s="82"/>
      <c r="C500" s="82"/>
    </row>
    <row r="501" spans="1:3" x14ac:dyDescent="0.2">
      <c r="A501" s="82"/>
      <c r="B501" s="82"/>
      <c r="C501" s="82"/>
    </row>
    <row r="502" spans="1:3" x14ac:dyDescent="0.2">
      <c r="A502" s="82"/>
      <c r="B502" s="82"/>
      <c r="C502" s="82"/>
    </row>
    <row r="503" spans="1:3" x14ac:dyDescent="0.2">
      <c r="A503" s="82"/>
      <c r="B503" s="82"/>
      <c r="C503" s="82"/>
    </row>
    <row r="504" spans="1:3" x14ac:dyDescent="0.2">
      <c r="A504" s="82"/>
      <c r="B504" s="82"/>
      <c r="C504" s="82"/>
    </row>
    <row r="505" spans="1:3" x14ac:dyDescent="0.2">
      <c r="A505" s="82"/>
      <c r="B505" s="82"/>
      <c r="C505" s="82"/>
    </row>
    <row r="506" spans="1:3" x14ac:dyDescent="0.2">
      <c r="A506" s="82"/>
      <c r="B506" s="82"/>
      <c r="C506" s="82"/>
    </row>
    <row r="507" spans="1:3" x14ac:dyDescent="0.2">
      <c r="A507" s="82"/>
      <c r="B507" s="82"/>
      <c r="C507" s="82"/>
    </row>
    <row r="508" spans="1:3" x14ac:dyDescent="0.2">
      <c r="A508" s="82"/>
      <c r="B508" s="82"/>
      <c r="C508" s="82"/>
    </row>
    <row r="509" spans="1:3" x14ac:dyDescent="0.2">
      <c r="A509" s="82"/>
      <c r="B509" s="82"/>
      <c r="C509" s="82"/>
    </row>
    <row r="510" spans="1:3" x14ac:dyDescent="0.2">
      <c r="A510" s="82"/>
      <c r="B510" s="82"/>
      <c r="C510" s="82"/>
    </row>
    <row r="511" spans="1:3" x14ac:dyDescent="0.2">
      <c r="A511" s="82"/>
      <c r="B511" s="82"/>
      <c r="C511" s="82"/>
    </row>
    <row r="512" spans="1:3" x14ac:dyDescent="0.2">
      <c r="A512" s="82"/>
      <c r="B512" s="82"/>
      <c r="C512" s="82"/>
    </row>
    <row r="513" spans="1:3" x14ac:dyDescent="0.2">
      <c r="A513" s="82"/>
      <c r="B513" s="82"/>
      <c r="C513" s="82"/>
    </row>
    <row r="514" spans="1:3" x14ac:dyDescent="0.2">
      <c r="A514" s="82"/>
      <c r="B514" s="82"/>
      <c r="C514" s="82"/>
    </row>
    <row r="515" spans="1:3" x14ac:dyDescent="0.2">
      <c r="A515" s="82"/>
      <c r="B515" s="82"/>
      <c r="C515" s="82"/>
    </row>
    <row r="516" spans="1:3" x14ac:dyDescent="0.2">
      <c r="A516" s="82"/>
      <c r="B516" s="82"/>
      <c r="C516" s="82"/>
    </row>
    <row r="517" spans="1:3" x14ac:dyDescent="0.2">
      <c r="A517" s="82"/>
      <c r="B517" s="82"/>
      <c r="C517" s="82"/>
    </row>
    <row r="518" spans="1:3" x14ac:dyDescent="0.2">
      <c r="A518" s="82"/>
      <c r="B518" s="82"/>
      <c r="C518" s="82"/>
    </row>
    <row r="519" spans="1:3" x14ac:dyDescent="0.2">
      <c r="A519" s="82"/>
      <c r="B519" s="82"/>
      <c r="C519" s="82"/>
    </row>
    <row r="520" spans="1:3" x14ac:dyDescent="0.2">
      <c r="A520" s="82"/>
      <c r="B520" s="82"/>
      <c r="C520" s="82"/>
    </row>
    <row r="521" spans="1:3" x14ac:dyDescent="0.2">
      <c r="A521" s="82"/>
      <c r="B521" s="82"/>
      <c r="C521" s="82"/>
    </row>
    <row r="522" spans="1:3" x14ac:dyDescent="0.2">
      <c r="A522" s="82"/>
      <c r="B522" s="82"/>
      <c r="C522" s="82"/>
    </row>
    <row r="523" spans="1:3" x14ac:dyDescent="0.2">
      <c r="A523" s="82"/>
      <c r="B523" s="82"/>
      <c r="C523" s="82"/>
    </row>
    <row r="524" spans="1:3" x14ac:dyDescent="0.2">
      <c r="A524" s="82"/>
      <c r="B524" s="82"/>
      <c r="C524" s="82"/>
    </row>
    <row r="525" spans="1:3" x14ac:dyDescent="0.2">
      <c r="A525" s="82"/>
      <c r="B525" s="82"/>
      <c r="C525" s="82"/>
    </row>
    <row r="526" spans="1:3" x14ac:dyDescent="0.2">
      <c r="A526" s="82"/>
      <c r="B526" s="82"/>
      <c r="C526" s="82"/>
    </row>
    <row r="527" spans="1:3" x14ac:dyDescent="0.2">
      <c r="A527" s="82"/>
      <c r="B527" s="82"/>
      <c r="C527" s="82"/>
    </row>
    <row r="528" spans="1:3" x14ac:dyDescent="0.2">
      <c r="A528" s="82"/>
      <c r="B528" s="82"/>
      <c r="C528" s="82"/>
    </row>
    <row r="529" spans="1:3" x14ac:dyDescent="0.2">
      <c r="A529" s="82"/>
      <c r="B529" s="82"/>
      <c r="C529" s="82"/>
    </row>
    <row r="530" spans="1:3" x14ac:dyDescent="0.2">
      <c r="A530" s="82"/>
      <c r="B530" s="82"/>
      <c r="C530" s="82"/>
    </row>
    <row r="531" spans="1:3" x14ac:dyDescent="0.2">
      <c r="A531" s="82"/>
      <c r="B531" s="82"/>
      <c r="C531" s="82"/>
    </row>
    <row r="532" spans="1:3" x14ac:dyDescent="0.2">
      <c r="A532" s="82"/>
      <c r="B532" s="82"/>
      <c r="C532" s="82"/>
    </row>
    <row r="533" spans="1:3" x14ac:dyDescent="0.2">
      <c r="A533" s="82"/>
      <c r="B533" s="82"/>
      <c r="C533" s="82"/>
    </row>
    <row r="534" spans="1:3" x14ac:dyDescent="0.2">
      <c r="A534" s="82"/>
      <c r="B534" s="82"/>
      <c r="C534" s="82"/>
    </row>
    <row r="535" spans="1:3" x14ac:dyDescent="0.2">
      <c r="A535" s="82"/>
      <c r="B535" s="82"/>
      <c r="C535" s="82"/>
    </row>
    <row r="536" spans="1:3" x14ac:dyDescent="0.2">
      <c r="A536" s="82"/>
      <c r="B536" s="82"/>
      <c r="C536" s="82"/>
    </row>
    <row r="537" spans="1:3" x14ac:dyDescent="0.2">
      <c r="A537" s="82"/>
      <c r="B537" s="82"/>
      <c r="C537" s="82"/>
    </row>
    <row r="538" spans="1:3" x14ac:dyDescent="0.2">
      <c r="A538" s="82"/>
      <c r="B538" s="82"/>
      <c r="C538" s="82"/>
    </row>
    <row r="539" spans="1:3" x14ac:dyDescent="0.2">
      <c r="A539" s="82"/>
      <c r="B539" s="82"/>
      <c r="C539" s="82"/>
    </row>
    <row r="540" spans="1:3" x14ac:dyDescent="0.2">
      <c r="A540" s="82"/>
      <c r="B540" s="82"/>
      <c r="C540" s="82"/>
    </row>
    <row r="541" spans="1:3" x14ac:dyDescent="0.2">
      <c r="A541" s="82"/>
      <c r="B541" s="82"/>
      <c r="C541" s="82"/>
    </row>
    <row r="542" spans="1:3" x14ac:dyDescent="0.2">
      <c r="A542" s="82"/>
      <c r="B542" s="82"/>
      <c r="C542" s="82"/>
    </row>
    <row r="543" spans="1:3" x14ac:dyDescent="0.2">
      <c r="A543" s="82"/>
      <c r="B543" s="82"/>
      <c r="C543" s="82"/>
    </row>
    <row r="544" spans="1:3" x14ac:dyDescent="0.2">
      <c r="A544" s="82"/>
      <c r="B544" s="82"/>
      <c r="C544" s="82"/>
    </row>
    <row r="545" spans="1:3" x14ac:dyDescent="0.2">
      <c r="A545" s="82"/>
      <c r="B545" s="82"/>
      <c r="C545" s="82"/>
    </row>
    <row r="546" spans="1:3" x14ac:dyDescent="0.2">
      <c r="A546" s="82"/>
      <c r="B546" s="82"/>
      <c r="C546" s="82"/>
    </row>
    <row r="547" spans="1:3" x14ac:dyDescent="0.2">
      <c r="A547" s="82"/>
      <c r="B547" s="82"/>
      <c r="C547" s="82"/>
    </row>
    <row r="548" spans="1:3" x14ac:dyDescent="0.2">
      <c r="A548" s="82"/>
      <c r="B548" s="82"/>
      <c r="C548" s="82"/>
    </row>
    <row r="549" spans="1:3" x14ac:dyDescent="0.2">
      <c r="A549" s="82"/>
      <c r="B549" s="82"/>
      <c r="C549" s="82"/>
    </row>
    <row r="550" spans="1:3" x14ac:dyDescent="0.2">
      <c r="A550" s="82"/>
      <c r="B550" s="82"/>
      <c r="C550" s="82"/>
    </row>
    <row r="551" spans="1:3" x14ac:dyDescent="0.2">
      <c r="A551" s="82"/>
      <c r="B551" s="82"/>
      <c r="C551" s="82"/>
    </row>
    <row r="552" spans="1:3" x14ac:dyDescent="0.2">
      <c r="A552" s="82"/>
      <c r="B552" s="82"/>
      <c r="C552" s="82"/>
    </row>
    <row r="553" spans="1:3" x14ac:dyDescent="0.2">
      <c r="A553" s="82"/>
      <c r="B553" s="82"/>
      <c r="C553" s="82"/>
    </row>
    <row r="554" spans="1:3" x14ac:dyDescent="0.2">
      <c r="A554" s="82"/>
      <c r="B554" s="82"/>
      <c r="C554" s="82"/>
    </row>
    <row r="555" spans="1:3" x14ac:dyDescent="0.2">
      <c r="A555" s="82"/>
      <c r="B555" s="82"/>
      <c r="C555" s="82"/>
    </row>
    <row r="556" spans="1:3" x14ac:dyDescent="0.2">
      <c r="A556" s="82"/>
      <c r="B556" s="82"/>
      <c r="C556" s="82"/>
    </row>
    <row r="557" spans="1:3" x14ac:dyDescent="0.2">
      <c r="A557" s="82"/>
      <c r="B557" s="82"/>
      <c r="C557" s="82"/>
    </row>
    <row r="558" spans="1:3" x14ac:dyDescent="0.2">
      <c r="A558" s="82"/>
      <c r="B558" s="82"/>
      <c r="C558" s="82"/>
    </row>
    <row r="559" spans="1:3" x14ac:dyDescent="0.2">
      <c r="A559" s="82"/>
      <c r="B559" s="82"/>
      <c r="C559" s="82"/>
    </row>
    <row r="560" spans="1:3" x14ac:dyDescent="0.2">
      <c r="A560" s="82"/>
      <c r="B560" s="82"/>
      <c r="C560" s="82"/>
    </row>
    <row r="561" spans="1:3" x14ac:dyDescent="0.2">
      <c r="A561" s="82"/>
      <c r="B561" s="82"/>
      <c r="C561" s="82"/>
    </row>
    <row r="562" spans="1:3" x14ac:dyDescent="0.2">
      <c r="A562" s="82"/>
      <c r="B562" s="82"/>
      <c r="C562" s="82"/>
    </row>
    <row r="563" spans="1:3" x14ac:dyDescent="0.2">
      <c r="A563" s="82"/>
      <c r="B563" s="82"/>
      <c r="C563" s="82"/>
    </row>
    <row r="564" spans="1:3" x14ac:dyDescent="0.2">
      <c r="A564" s="82"/>
      <c r="B564" s="82"/>
      <c r="C564" s="82"/>
    </row>
    <row r="565" spans="1:3" x14ac:dyDescent="0.2">
      <c r="A565" s="82"/>
      <c r="B565" s="82"/>
      <c r="C565" s="82"/>
    </row>
    <row r="566" spans="1:3" x14ac:dyDescent="0.2">
      <c r="A566" s="82"/>
      <c r="B566" s="82"/>
      <c r="C566" s="82"/>
    </row>
    <row r="567" spans="1:3" x14ac:dyDescent="0.2">
      <c r="A567" s="82"/>
      <c r="B567" s="82"/>
      <c r="C567" s="82"/>
    </row>
    <row r="568" spans="1:3" x14ac:dyDescent="0.2">
      <c r="A568" s="82"/>
      <c r="B568" s="82"/>
      <c r="C568" s="82"/>
    </row>
    <row r="569" spans="1:3" x14ac:dyDescent="0.2">
      <c r="A569" s="82"/>
      <c r="B569" s="82"/>
      <c r="C569" s="82"/>
    </row>
    <row r="570" spans="1:3" x14ac:dyDescent="0.2">
      <c r="A570" s="82"/>
      <c r="B570" s="82"/>
      <c r="C570" s="82"/>
    </row>
    <row r="571" spans="1:3" x14ac:dyDescent="0.2">
      <c r="A571" s="82"/>
      <c r="B571" s="82"/>
      <c r="C571" s="82"/>
    </row>
    <row r="572" spans="1:3" x14ac:dyDescent="0.2">
      <c r="A572" s="82"/>
      <c r="B572" s="82"/>
      <c r="C572" s="82"/>
    </row>
    <row r="573" spans="1:3" x14ac:dyDescent="0.2">
      <c r="A573" s="82"/>
      <c r="B573" s="82"/>
      <c r="C573" s="82"/>
    </row>
    <row r="574" spans="1:3" x14ac:dyDescent="0.2">
      <c r="A574" s="82"/>
      <c r="B574" s="82"/>
      <c r="C574" s="82"/>
    </row>
    <row r="575" spans="1:3" x14ac:dyDescent="0.2">
      <c r="A575" s="82"/>
      <c r="B575" s="82"/>
      <c r="C575" s="82"/>
    </row>
    <row r="576" spans="1:3" x14ac:dyDescent="0.2">
      <c r="A576" s="82"/>
      <c r="B576" s="82"/>
      <c r="C576" s="82"/>
    </row>
    <row r="577" spans="1:3" x14ac:dyDescent="0.2">
      <c r="A577" s="82"/>
      <c r="B577" s="82"/>
      <c r="C577" s="82"/>
    </row>
    <row r="578" spans="1:3" x14ac:dyDescent="0.2">
      <c r="A578" s="82"/>
      <c r="B578" s="82"/>
      <c r="C578" s="82"/>
    </row>
    <row r="579" spans="1:3" x14ac:dyDescent="0.2">
      <c r="A579" s="82"/>
      <c r="B579" s="82"/>
      <c r="C579" s="82"/>
    </row>
    <row r="580" spans="1:3" x14ac:dyDescent="0.2">
      <c r="A580" s="82"/>
      <c r="B580" s="82"/>
      <c r="C580" s="82"/>
    </row>
    <row r="581" spans="1:3" x14ac:dyDescent="0.2">
      <c r="A581" s="82"/>
      <c r="B581" s="82"/>
      <c r="C581" s="82"/>
    </row>
    <row r="582" spans="1:3" x14ac:dyDescent="0.2">
      <c r="A582" s="82"/>
      <c r="B582" s="82"/>
      <c r="C582" s="82"/>
    </row>
    <row r="583" spans="1:3" x14ac:dyDescent="0.2">
      <c r="A583" s="82"/>
      <c r="B583" s="82"/>
      <c r="C583" s="82"/>
    </row>
    <row r="584" spans="1:3" x14ac:dyDescent="0.2">
      <c r="A584" s="82"/>
      <c r="B584" s="82"/>
      <c r="C584" s="82"/>
    </row>
    <row r="585" spans="1:3" x14ac:dyDescent="0.2">
      <c r="A585" s="82"/>
      <c r="B585" s="82"/>
      <c r="C585" s="82"/>
    </row>
    <row r="586" spans="1:3" x14ac:dyDescent="0.2">
      <c r="A586" s="82"/>
      <c r="B586" s="82"/>
      <c r="C586" s="82"/>
    </row>
    <row r="587" spans="1:3" x14ac:dyDescent="0.2">
      <c r="A587" s="82"/>
      <c r="B587" s="82"/>
      <c r="C587" s="82"/>
    </row>
    <row r="588" spans="1:3" x14ac:dyDescent="0.2">
      <c r="A588" s="82"/>
      <c r="B588" s="82"/>
      <c r="C588" s="82"/>
    </row>
    <row r="589" spans="1:3" x14ac:dyDescent="0.2">
      <c r="A589" s="82"/>
      <c r="B589" s="82"/>
      <c r="C589" s="82"/>
    </row>
    <row r="590" spans="1:3" x14ac:dyDescent="0.2">
      <c r="A590" s="82"/>
      <c r="B590" s="82"/>
      <c r="C590" s="82"/>
    </row>
    <row r="591" spans="1:3" x14ac:dyDescent="0.2">
      <c r="A591" s="82"/>
      <c r="B591" s="82"/>
      <c r="C591" s="82"/>
    </row>
    <row r="592" spans="1:3" x14ac:dyDescent="0.2">
      <c r="A592" s="82"/>
      <c r="B592" s="82"/>
      <c r="C592" s="82"/>
    </row>
    <row r="593" spans="1:3" x14ac:dyDescent="0.2">
      <c r="A593" s="82"/>
      <c r="B593" s="82"/>
      <c r="C593" s="82"/>
    </row>
    <row r="594" spans="1:3" x14ac:dyDescent="0.2">
      <c r="A594" s="82"/>
      <c r="B594" s="82"/>
      <c r="C594" s="82"/>
    </row>
    <row r="595" spans="1:3" x14ac:dyDescent="0.2">
      <c r="A595" s="82"/>
      <c r="B595" s="82"/>
      <c r="C595" s="82"/>
    </row>
    <row r="596" spans="1:3" x14ac:dyDescent="0.2">
      <c r="A596" s="82"/>
      <c r="B596" s="82"/>
      <c r="C596" s="82"/>
    </row>
    <row r="597" spans="1:3" x14ac:dyDescent="0.2">
      <c r="A597" s="82"/>
      <c r="B597" s="82"/>
      <c r="C597" s="82"/>
    </row>
    <row r="598" spans="1:3" x14ac:dyDescent="0.2">
      <c r="A598" s="82"/>
      <c r="B598" s="82"/>
      <c r="C598" s="82"/>
    </row>
    <row r="599" spans="1:3" x14ac:dyDescent="0.2">
      <c r="A599" s="82"/>
      <c r="B599" s="82"/>
      <c r="C599" s="82"/>
    </row>
    <row r="600" spans="1:3" x14ac:dyDescent="0.2">
      <c r="A600" s="82"/>
      <c r="B600" s="82"/>
      <c r="C600" s="82"/>
    </row>
    <row r="601" spans="1:3" x14ac:dyDescent="0.2">
      <c r="A601" s="82"/>
      <c r="B601" s="82"/>
      <c r="C601" s="82"/>
    </row>
    <row r="602" spans="1:3" x14ac:dyDescent="0.2">
      <c r="A602" s="82"/>
      <c r="B602" s="82"/>
      <c r="C602" s="82"/>
    </row>
    <row r="603" spans="1:3" x14ac:dyDescent="0.2">
      <c r="A603" s="82"/>
      <c r="B603" s="82"/>
      <c r="C603" s="82"/>
    </row>
    <row r="604" spans="1:3" x14ac:dyDescent="0.2">
      <c r="A604" s="82"/>
      <c r="B604" s="82"/>
      <c r="C604" s="82"/>
    </row>
    <row r="605" spans="1:3" x14ac:dyDescent="0.2">
      <c r="A605" s="82"/>
      <c r="B605" s="82"/>
      <c r="C605" s="82"/>
    </row>
    <row r="606" spans="1:3" x14ac:dyDescent="0.2">
      <c r="A606" s="82"/>
      <c r="B606" s="82"/>
      <c r="C606" s="82"/>
    </row>
    <row r="607" spans="1:3" x14ac:dyDescent="0.2">
      <c r="A607" s="82"/>
      <c r="B607" s="82"/>
      <c r="C607" s="82"/>
    </row>
    <row r="608" spans="1:3" x14ac:dyDescent="0.2">
      <c r="A608" s="82"/>
      <c r="B608" s="82"/>
      <c r="C608" s="82"/>
    </row>
    <row r="609" spans="1:3" x14ac:dyDescent="0.2">
      <c r="A609" s="82"/>
      <c r="B609" s="82"/>
      <c r="C609" s="82"/>
    </row>
    <row r="610" spans="1:3" x14ac:dyDescent="0.2">
      <c r="A610" s="82"/>
      <c r="B610" s="82"/>
      <c r="C610" s="82"/>
    </row>
    <row r="611" spans="1:3" x14ac:dyDescent="0.2">
      <c r="A611" s="82"/>
      <c r="B611" s="82"/>
      <c r="C611" s="82"/>
    </row>
    <row r="612" spans="1:3" x14ac:dyDescent="0.2">
      <c r="A612" s="82"/>
      <c r="B612" s="82"/>
      <c r="C612" s="82"/>
    </row>
    <row r="613" spans="1:3" x14ac:dyDescent="0.2">
      <c r="A613" s="82"/>
      <c r="B613" s="82"/>
      <c r="C613" s="82"/>
    </row>
    <row r="614" spans="1:3" x14ac:dyDescent="0.2">
      <c r="A614" s="82"/>
      <c r="B614" s="82"/>
      <c r="C614" s="82"/>
    </row>
    <row r="615" spans="1:3" x14ac:dyDescent="0.2">
      <c r="A615" s="82"/>
      <c r="B615" s="82"/>
      <c r="C615" s="82"/>
    </row>
    <row r="616" spans="1:3" x14ac:dyDescent="0.2">
      <c r="A616" s="82"/>
      <c r="B616" s="82"/>
      <c r="C616" s="82"/>
    </row>
    <row r="617" spans="1:3" x14ac:dyDescent="0.2">
      <c r="A617" s="82"/>
      <c r="B617" s="82"/>
      <c r="C617" s="82"/>
    </row>
    <row r="618" spans="1:3" x14ac:dyDescent="0.2">
      <c r="A618" s="82"/>
      <c r="B618" s="82"/>
      <c r="C618" s="82"/>
    </row>
    <row r="619" spans="1:3" x14ac:dyDescent="0.2">
      <c r="A619" s="82"/>
      <c r="B619" s="82"/>
      <c r="C619" s="82"/>
    </row>
    <row r="620" spans="1:3" x14ac:dyDescent="0.2">
      <c r="A620" s="82"/>
      <c r="B620" s="82"/>
      <c r="C620" s="82"/>
    </row>
    <row r="621" spans="1:3" x14ac:dyDescent="0.2">
      <c r="A621" s="82"/>
      <c r="B621" s="82"/>
      <c r="C621" s="82"/>
    </row>
    <row r="622" spans="1:3" x14ac:dyDescent="0.2">
      <c r="A622" s="82"/>
      <c r="B622" s="82"/>
      <c r="C622" s="82"/>
    </row>
    <row r="623" spans="1:3" x14ac:dyDescent="0.2">
      <c r="A623" s="82"/>
      <c r="B623" s="82"/>
      <c r="C623" s="82"/>
    </row>
    <row r="624" spans="1:3" x14ac:dyDescent="0.2">
      <c r="A624" s="82"/>
      <c r="B624" s="82"/>
      <c r="C624" s="82"/>
    </row>
    <row r="625" spans="1:3" x14ac:dyDescent="0.2">
      <c r="A625" s="82"/>
      <c r="B625" s="82"/>
      <c r="C625" s="82"/>
    </row>
    <row r="626" spans="1:3" x14ac:dyDescent="0.2">
      <c r="A626" s="82"/>
      <c r="B626" s="82"/>
      <c r="C626" s="82"/>
    </row>
    <row r="627" spans="1:3" x14ac:dyDescent="0.2">
      <c r="A627" s="82"/>
      <c r="B627" s="82"/>
      <c r="C627" s="82"/>
    </row>
    <row r="628" spans="1:3" x14ac:dyDescent="0.2">
      <c r="A628" s="82"/>
      <c r="B628" s="82"/>
      <c r="C628" s="82"/>
    </row>
    <row r="629" spans="1:3" x14ac:dyDescent="0.2">
      <c r="A629" s="82"/>
      <c r="B629" s="82"/>
      <c r="C629" s="82"/>
    </row>
    <row r="630" spans="1:3" x14ac:dyDescent="0.2">
      <c r="A630" s="82"/>
      <c r="B630" s="82"/>
      <c r="C630" s="82"/>
    </row>
    <row r="631" spans="1:3" x14ac:dyDescent="0.2">
      <c r="A631" s="82"/>
      <c r="B631" s="82"/>
      <c r="C631" s="82"/>
    </row>
    <row r="632" spans="1:3" x14ac:dyDescent="0.2">
      <c r="A632" s="82"/>
      <c r="B632" s="82"/>
      <c r="C632" s="82"/>
    </row>
    <row r="633" spans="1:3" x14ac:dyDescent="0.2">
      <c r="A633" s="82"/>
      <c r="B633" s="82"/>
      <c r="C633" s="82"/>
    </row>
    <row r="634" spans="1:3" x14ac:dyDescent="0.2">
      <c r="A634" s="82"/>
      <c r="B634" s="82"/>
      <c r="C634" s="82"/>
    </row>
    <row r="635" spans="1:3" x14ac:dyDescent="0.2">
      <c r="A635" s="82"/>
      <c r="B635" s="82"/>
      <c r="C635" s="82"/>
    </row>
    <row r="636" spans="1:3" x14ac:dyDescent="0.2">
      <c r="A636" s="82"/>
      <c r="B636" s="82"/>
      <c r="C636" s="82"/>
    </row>
    <row r="637" spans="1:3" x14ac:dyDescent="0.2">
      <c r="A637" s="82"/>
      <c r="B637" s="82"/>
      <c r="C637" s="82"/>
    </row>
    <row r="638" spans="1:3" x14ac:dyDescent="0.2">
      <c r="A638" s="82"/>
      <c r="B638" s="82"/>
      <c r="C638" s="82"/>
    </row>
    <row r="639" spans="1:3" x14ac:dyDescent="0.2">
      <c r="A639" s="82"/>
      <c r="B639" s="82"/>
      <c r="C639" s="82"/>
    </row>
    <row r="640" spans="1:3" x14ac:dyDescent="0.2">
      <c r="A640" s="82"/>
      <c r="B640" s="82"/>
      <c r="C640" s="82"/>
    </row>
    <row r="641" spans="1:3" x14ac:dyDescent="0.2">
      <c r="A641" s="82"/>
      <c r="B641" s="82"/>
      <c r="C641" s="82"/>
    </row>
    <row r="642" spans="1:3" x14ac:dyDescent="0.2">
      <c r="A642" s="82"/>
      <c r="B642" s="82"/>
      <c r="C642" s="82"/>
    </row>
    <row r="643" spans="1:3" x14ac:dyDescent="0.2">
      <c r="A643" s="82"/>
      <c r="B643" s="82"/>
      <c r="C643" s="82"/>
    </row>
    <row r="644" spans="1:3" x14ac:dyDescent="0.2">
      <c r="A644" s="82"/>
      <c r="B644" s="82"/>
      <c r="C644" s="82"/>
    </row>
    <row r="645" spans="1:3" x14ac:dyDescent="0.2">
      <c r="A645" s="82"/>
      <c r="B645" s="82"/>
      <c r="C645" s="82"/>
    </row>
    <row r="646" spans="1:3" x14ac:dyDescent="0.2">
      <c r="A646" s="82"/>
      <c r="B646" s="82"/>
      <c r="C646" s="82"/>
    </row>
    <row r="647" spans="1:3" x14ac:dyDescent="0.2">
      <c r="A647" s="82"/>
      <c r="B647" s="82"/>
      <c r="C647" s="82"/>
    </row>
    <row r="648" spans="1:3" x14ac:dyDescent="0.2">
      <c r="A648" s="82"/>
      <c r="B648" s="82"/>
      <c r="C648" s="82"/>
    </row>
    <row r="649" spans="1:3" x14ac:dyDescent="0.2">
      <c r="A649" s="82"/>
      <c r="B649" s="82"/>
      <c r="C649" s="82"/>
    </row>
    <row r="650" spans="1:3" x14ac:dyDescent="0.2">
      <c r="A650" s="82"/>
      <c r="B650" s="82"/>
      <c r="C650" s="82"/>
    </row>
    <row r="651" spans="1:3" x14ac:dyDescent="0.2">
      <c r="A651" s="82"/>
      <c r="B651" s="82"/>
      <c r="C651" s="82"/>
    </row>
    <row r="652" spans="1:3" x14ac:dyDescent="0.2">
      <c r="A652" s="82"/>
      <c r="B652" s="82"/>
      <c r="C652" s="82"/>
    </row>
    <row r="653" spans="1:3" x14ac:dyDescent="0.2">
      <c r="A653" s="82"/>
      <c r="B653" s="82"/>
      <c r="C653" s="82"/>
    </row>
    <row r="654" spans="1:3" x14ac:dyDescent="0.2">
      <c r="A654" s="82"/>
      <c r="B654" s="82"/>
      <c r="C654" s="82"/>
    </row>
    <row r="655" spans="1:3" x14ac:dyDescent="0.2">
      <c r="A655" s="82"/>
      <c r="B655" s="82"/>
      <c r="C655" s="82"/>
    </row>
    <row r="656" spans="1:3" x14ac:dyDescent="0.2">
      <c r="A656" s="82"/>
      <c r="B656" s="82"/>
      <c r="C656" s="82"/>
    </row>
    <row r="657" spans="1:3" x14ac:dyDescent="0.2">
      <c r="A657" s="82"/>
      <c r="B657" s="82"/>
      <c r="C657" s="82"/>
    </row>
    <row r="658" spans="1:3" x14ac:dyDescent="0.2">
      <c r="A658" s="82"/>
      <c r="B658" s="82"/>
      <c r="C658" s="82"/>
    </row>
    <row r="659" spans="1:3" x14ac:dyDescent="0.2">
      <c r="A659" s="82"/>
      <c r="B659" s="82"/>
      <c r="C659" s="82"/>
    </row>
    <row r="660" spans="1:3" x14ac:dyDescent="0.2">
      <c r="A660" s="82"/>
      <c r="B660" s="82"/>
      <c r="C660" s="82"/>
    </row>
    <row r="661" spans="1:3" x14ac:dyDescent="0.2">
      <c r="A661" s="82"/>
      <c r="B661" s="82"/>
      <c r="C661" s="82"/>
    </row>
    <row r="662" spans="1:3" x14ac:dyDescent="0.2">
      <c r="A662" s="82"/>
      <c r="B662" s="82"/>
      <c r="C662" s="82"/>
    </row>
    <row r="663" spans="1:3" x14ac:dyDescent="0.2">
      <c r="A663" s="82"/>
      <c r="B663" s="82"/>
      <c r="C663" s="82"/>
    </row>
    <row r="664" spans="1:3" x14ac:dyDescent="0.2">
      <c r="A664" s="82"/>
      <c r="B664" s="82"/>
      <c r="C664" s="82"/>
    </row>
    <row r="665" spans="1:3" x14ac:dyDescent="0.2">
      <c r="A665" s="82"/>
      <c r="B665" s="82"/>
      <c r="C665" s="82"/>
    </row>
    <row r="666" spans="1:3" x14ac:dyDescent="0.2">
      <c r="A666" s="82"/>
      <c r="B666" s="82"/>
      <c r="C666" s="82"/>
    </row>
    <row r="667" spans="1:3" x14ac:dyDescent="0.2">
      <c r="A667" s="82"/>
      <c r="B667" s="82"/>
      <c r="C667" s="82"/>
    </row>
    <row r="668" spans="1:3" x14ac:dyDescent="0.2">
      <c r="A668" s="82"/>
      <c r="B668" s="82"/>
      <c r="C668" s="82"/>
    </row>
    <row r="669" spans="1:3" x14ac:dyDescent="0.2">
      <c r="A669" s="82"/>
      <c r="B669" s="82"/>
      <c r="C669" s="82"/>
    </row>
    <row r="670" spans="1:3" x14ac:dyDescent="0.2">
      <c r="A670" s="82"/>
      <c r="B670" s="82"/>
      <c r="C670" s="82"/>
    </row>
    <row r="671" spans="1:3" x14ac:dyDescent="0.2">
      <c r="A671" s="82"/>
      <c r="B671" s="82"/>
      <c r="C671" s="82"/>
    </row>
    <row r="672" spans="1:3" x14ac:dyDescent="0.2">
      <c r="A672" s="82"/>
      <c r="B672" s="82"/>
      <c r="C672" s="82"/>
    </row>
    <row r="673" spans="1:3" x14ac:dyDescent="0.2">
      <c r="A673" s="82"/>
      <c r="B673" s="82"/>
      <c r="C673" s="82"/>
    </row>
    <row r="674" spans="1:3" x14ac:dyDescent="0.2">
      <c r="A674" s="82"/>
      <c r="B674" s="82"/>
      <c r="C674" s="82"/>
    </row>
    <row r="675" spans="1:3" x14ac:dyDescent="0.2">
      <c r="A675" s="82"/>
      <c r="B675" s="82"/>
      <c r="C675" s="82"/>
    </row>
    <row r="676" spans="1:3" x14ac:dyDescent="0.2">
      <c r="A676" s="82"/>
      <c r="B676" s="82"/>
      <c r="C676" s="82"/>
    </row>
    <row r="677" spans="1:3" x14ac:dyDescent="0.2">
      <c r="A677" s="82"/>
      <c r="B677" s="82"/>
      <c r="C677" s="82"/>
    </row>
    <row r="678" spans="1:3" x14ac:dyDescent="0.2">
      <c r="A678" s="82"/>
      <c r="B678" s="82"/>
      <c r="C678" s="82"/>
    </row>
    <row r="679" spans="1:3" x14ac:dyDescent="0.2">
      <c r="A679" s="82"/>
      <c r="B679" s="82"/>
      <c r="C679" s="82"/>
    </row>
    <row r="680" spans="1:3" x14ac:dyDescent="0.2">
      <c r="A680" s="82"/>
      <c r="B680" s="82"/>
      <c r="C680" s="82"/>
    </row>
    <row r="681" spans="1:3" x14ac:dyDescent="0.2">
      <c r="A681" s="82"/>
      <c r="B681" s="82"/>
      <c r="C681" s="82"/>
    </row>
    <row r="682" spans="1:3" x14ac:dyDescent="0.2">
      <c r="A682" s="82"/>
      <c r="B682" s="82"/>
      <c r="C682" s="82"/>
    </row>
    <row r="683" spans="1:3" x14ac:dyDescent="0.2">
      <c r="A683" s="82"/>
      <c r="B683" s="82"/>
      <c r="C683" s="82"/>
    </row>
    <row r="684" spans="1:3" x14ac:dyDescent="0.2">
      <c r="A684" s="82"/>
      <c r="B684" s="82"/>
      <c r="C684" s="82"/>
    </row>
    <row r="685" spans="1:3" x14ac:dyDescent="0.2">
      <c r="A685" s="82"/>
      <c r="B685" s="82"/>
      <c r="C685" s="82"/>
    </row>
    <row r="686" spans="1:3" x14ac:dyDescent="0.2">
      <c r="A686" s="82"/>
      <c r="B686" s="82"/>
      <c r="C686" s="82"/>
    </row>
    <row r="687" spans="1:3" x14ac:dyDescent="0.2">
      <c r="A687" s="82"/>
      <c r="B687" s="82"/>
      <c r="C687" s="82"/>
    </row>
    <row r="688" spans="1:3" x14ac:dyDescent="0.2">
      <c r="A688" s="82"/>
      <c r="B688" s="82"/>
      <c r="C688" s="82"/>
    </row>
    <row r="689" spans="1:3" x14ac:dyDescent="0.2">
      <c r="A689" s="82"/>
      <c r="B689" s="82"/>
      <c r="C689" s="82"/>
    </row>
    <row r="690" spans="1:3" x14ac:dyDescent="0.2">
      <c r="A690" s="82"/>
      <c r="B690" s="82"/>
      <c r="C690" s="82"/>
    </row>
    <row r="691" spans="1:3" x14ac:dyDescent="0.2">
      <c r="A691" s="82"/>
      <c r="B691" s="82"/>
      <c r="C691" s="82"/>
    </row>
    <row r="692" spans="1:3" x14ac:dyDescent="0.2">
      <c r="A692" s="82"/>
      <c r="B692" s="82"/>
      <c r="C692" s="82"/>
    </row>
    <row r="693" spans="1:3" x14ac:dyDescent="0.2">
      <c r="A693" s="82"/>
      <c r="B693" s="82"/>
      <c r="C693" s="82"/>
    </row>
    <row r="694" spans="1:3" x14ac:dyDescent="0.2">
      <c r="A694" s="82"/>
      <c r="B694" s="82"/>
      <c r="C694" s="82"/>
    </row>
    <row r="695" spans="1:3" x14ac:dyDescent="0.2">
      <c r="A695" s="82"/>
      <c r="B695" s="82"/>
      <c r="C695" s="82"/>
    </row>
    <row r="696" spans="1:3" x14ac:dyDescent="0.2">
      <c r="A696" s="82"/>
      <c r="B696" s="82"/>
      <c r="C696" s="82"/>
    </row>
    <row r="697" spans="1:3" x14ac:dyDescent="0.2">
      <c r="A697" s="82"/>
      <c r="B697" s="82"/>
      <c r="C697" s="82"/>
    </row>
    <row r="698" spans="1:3" x14ac:dyDescent="0.2">
      <c r="A698" s="82"/>
      <c r="B698" s="82"/>
      <c r="C698" s="82"/>
    </row>
    <row r="699" spans="1:3" x14ac:dyDescent="0.2">
      <c r="A699" s="82"/>
      <c r="B699" s="82"/>
      <c r="C699" s="82"/>
    </row>
    <row r="700" spans="1:3" x14ac:dyDescent="0.2">
      <c r="A700" s="82"/>
      <c r="B700" s="82"/>
      <c r="C700" s="82"/>
    </row>
    <row r="701" spans="1:3" x14ac:dyDescent="0.2">
      <c r="A701" s="82"/>
      <c r="B701" s="82"/>
      <c r="C701" s="82"/>
    </row>
    <row r="702" spans="1:3" x14ac:dyDescent="0.2">
      <c r="A702" s="82"/>
      <c r="B702" s="82"/>
      <c r="C702" s="82"/>
    </row>
    <row r="703" spans="1:3" x14ac:dyDescent="0.2">
      <c r="A703" s="82"/>
      <c r="B703" s="82"/>
      <c r="C703" s="82"/>
    </row>
    <row r="704" spans="1:3" x14ac:dyDescent="0.2">
      <c r="A704" s="82"/>
      <c r="B704" s="82"/>
      <c r="C704" s="82"/>
    </row>
    <row r="705" spans="1:3" x14ac:dyDescent="0.2">
      <c r="A705" s="82"/>
      <c r="B705" s="82"/>
      <c r="C705" s="82"/>
    </row>
    <row r="706" spans="1:3" x14ac:dyDescent="0.2">
      <c r="A706" s="82"/>
      <c r="B706" s="82"/>
      <c r="C706" s="82"/>
    </row>
    <row r="707" spans="1:3" x14ac:dyDescent="0.2">
      <c r="A707" s="82"/>
      <c r="B707" s="82"/>
      <c r="C707" s="82"/>
    </row>
    <row r="708" spans="1:3" x14ac:dyDescent="0.2">
      <c r="A708" s="82"/>
      <c r="B708" s="82"/>
      <c r="C708" s="82"/>
    </row>
    <row r="709" spans="1:3" x14ac:dyDescent="0.2">
      <c r="A709" s="82"/>
      <c r="B709" s="82"/>
      <c r="C709" s="82"/>
    </row>
    <row r="710" spans="1:3" x14ac:dyDescent="0.2">
      <c r="A710" s="82"/>
      <c r="B710" s="82"/>
      <c r="C710" s="82"/>
    </row>
    <row r="711" spans="1:3" x14ac:dyDescent="0.2">
      <c r="A711" s="82"/>
      <c r="B711" s="82"/>
      <c r="C711" s="82"/>
    </row>
    <row r="712" spans="1:3" x14ac:dyDescent="0.2">
      <c r="A712" s="82"/>
      <c r="B712" s="82"/>
      <c r="C712" s="82"/>
    </row>
    <row r="713" spans="1:3" x14ac:dyDescent="0.2">
      <c r="A713" s="82"/>
      <c r="B713" s="82"/>
      <c r="C713" s="82"/>
    </row>
    <row r="714" spans="1:3" x14ac:dyDescent="0.2">
      <c r="A714" s="82"/>
      <c r="B714" s="82"/>
      <c r="C714" s="82"/>
    </row>
    <row r="715" spans="1:3" x14ac:dyDescent="0.2">
      <c r="A715" s="82"/>
      <c r="B715" s="82"/>
      <c r="C715" s="82"/>
    </row>
    <row r="716" spans="1:3" x14ac:dyDescent="0.2">
      <c r="A716" s="82"/>
      <c r="B716" s="82"/>
      <c r="C716" s="82"/>
    </row>
    <row r="717" spans="1:3" x14ac:dyDescent="0.2">
      <c r="A717" s="82"/>
      <c r="B717" s="82"/>
      <c r="C717" s="82"/>
    </row>
    <row r="718" spans="1:3" x14ac:dyDescent="0.2">
      <c r="A718" s="82"/>
      <c r="B718" s="82"/>
      <c r="C718" s="82"/>
    </row>
    <row r="719" spans="1:3" x14ac:dyDescent="0.2">
      <c r="A719" s="82"/>
      <c r="B719" s="82"/>
      <c r="C719" s="82"/>
    </row>
    <row r="720" spans="1:3" x14ac:dyDescent="0.2">
      <c r="A720" s="82"/>
      <c r="B720" s="82"/>
      <c r="C720" s="82"/>
    </row>
    <row r="721" spans="1:3" x14ac:dyDescent="0.2">
      <c r="A721" s="82"/>
      <c r="B721" s="82"/>
      <c r="C721" s="82"/>
    </row>
    <row r="722" spans="1:3" x14ac:dyDescent="0.2">
      <c r="A722" s="82"/>
      <c r="B722" s="82"/>
      <c r="C722" s="82"/>
    </row>
    <row r="723" spans="1:3" x14ac:dyDescent="0.2">
      <c r="A723" s="82"/>
      <c r="B723" s="82"/>
      <c r="C723" s="82"/>
    </row>
    <row r="724" spans="1:3" x14ac:dyDescent="0.2">
      <c r="A724" s="82"/>
      <c r="B724" s="82"/>
      <c r="C724" s="82"/>
    </row>
    <row r="725" spans="1:3" x14ac:dyDescent="0.2">
      <c r="A725" s="82"/>
      <c r="B725" s="82"/>
      <c r="C725" s="82"/>
    </row>
    <row r="726" spans="1:3" x14ac:dyDescent="0.2">
      <c r="A726" s="82"/>
      <c r="B726" s="82"/>
      <c r="C726" s="82"/>
    </row>
    <row r="727" spans="1:3" x14ac:dyDescent="0.2">
      <c r="A727" s="82"/>
      <c r="B727" s="82"/>
      <c r="C727" s="82"/>
    </row>
    <row r="728" spans="1:3" x14ac:dyDescent="0.2">
      <c r="A728" s="82"/>
      <c r="B728" s="82"/>
      <c r="C728" s="82"/>
    </row>
    <row r="729" spans="1:3" x14ac:dyDescent="0.2">
      <c r="A729" s="82"/>
      <c r="B729" s="82"/>
      <c r="C729" s="82"/>
    </row>
    <row r="730" spans="1:3" x14ac:dyDescent="0.2">
      <c r="A730" s="82"/>
      <c r="B730" s="82"/>
      <c r="C730" s="82"/>
    </row>
    <row r="731" spans="1:3" x14ac:dyDescent="0.2">
      <c r="A731" s="82"/>
      <c r="B731" s="82"/>
      <c r="C731" s="82"/>
    </row>
    <row r="732" spans="1:3" x14ac:dyDescent="0.2">
      <c r="A732" s="82"/>
      <c r="B732" s="82"/>
      <c r="C732" s="82"/>
    </row>
    <row r="733" spans="1:3" x14ac:dyDescent="0.2">
      <c r="A733" s="82"/>
      <c r="B733" s="82"/>
      <c r="C733" s="82"/>
    </row>
    <row r="734" spans="1:3" x14ac:dyDescent="0.2">
      <c r="A734" s="82"/>
      <c r="B734" s="82"/>
      <c r="C734" s="82"/>
    </row>
    <row r="735" spans="1:3" x14ac:dyDescent="0.2">
      <c r="A735" s="82"/>
      <c r="B735" s="82"/>
      <c r="C735" s="82"/>
    </row>
    <row r="736" spans="1:3" x14ac:dyDescent="0.2">
      <c r="A736" s="82"/>
      <c r="B736" s="82"/>
      <c r="C736" s="82"/>
    </row>
    <row r="737" spans="1:3" x14ac:dyDescent="0.2">
      <c r="A737" s="82"/>
      <c r="B737" s="82"/>
      <c r="C737" s="82"/>
    </row>
    <row r="738" spans="1:3" x14ac:dyDescent="0.2">
      <c r="A738" s="82"/>
      <c r="B738" s="82"/>
      <c r="C738" s="82"/>
    </row>
    <row r="739" spans="1:3" x14ac:dyDescent="0.2">
      <c r="A739" s="82"/>
      <c r="B739" s="82"/>
      <c r="C739" s="82"/>
    </row>
    <row r="740" spans="1:3" x14ac:dyDescent="0.2">
      <c r="A740" s="82"/>
      <c r="B740" s="82"/>
      <c r="C740" s="82"/>
    </row>
    <row r="741" spans="1:3" x14ac:dyDescent="0.2">
      <c r="A741" s="82"/>
      <c r="B741" s="82"/>
      <c r="C741" s="82"/>
    </row>
    <row r="742" spans="1:3" x14ac:dyDescent="0.2">
      <c r="A742" s="82"/>
      <c r="B742" s="82"/>
      <c r="C742" s="82"/>
    </row>
    <row r="743" spans="1:3" x14ac:dyDescent="0.2">
      <c r="A743" s="82"/>
      <c r="B743" s="82"/>
      <c r="C743" s="82"/>
    </row>
    <row r="744" spans="1:3" x14ac:dyDescent="0.2">
      <c r="A744" s="82"/>
      <c r="B744" s="82"/>
      <c r="C744" s="82"/>
    </row>
    <row r="745" spans="1:3" x14ac:dyDescent="0.2">
      <c r="A745" s="82"/>
      <c r="B745" s="82"/>
      <c r="C745" s="82"/>
    </row>
    <row r="746" spans="1:3" x14ac:dyDescent="0.2">
      <c r="A746" s="82"/>
      <c r="B746" s="82"/>
      <c r="C746" s="82"/>
    </row>
    <row r="747" spans="1:3" x14ac:dyDescent="0.2">
      <c r="A747" s="82"/>
      <c r="B747" s="82"/>
      <c r="C747" s="82"/>
    </row>
    <row r="748" spans="1:3" x14ac:dyDescent="0.2">
      <c r="A748" s="82"/>
      <c r="B748" s="82"/>
      <c r="C748" s="82"/>
    </row>
    <row r="749" spans="1:3" x14ac:dyDescent="0.2">
      <c r="A749" s="82"/>
      <c r="B749" s="82"/>
      <c r="C749" s="82"/>
    </row>
    <row r="750" spans="1:3" x14ac:dyDescent="0.2">
      <c r="A750" s="82"/>
      <c r="B750" s="82"/>
      <c r="C750" s="82"/>
    </row>
    <row r="751" spans="1:3" x14ac:dyDescent="0.2">
      <c r="A751" s="82"/>
      <c r="B751" s="82"/>
      <c r="C751" s="82"/>
    </row>
    <row r="752" spans="1:3" x14ac:dyDescent="0.2">
      <c r="A752" s="82"/>
      <c r="B752" s="82"/>
      <c r="C752" s="82"/>
    </row>
    <row r="753" spans="1:3" x14ac:dyDescent="0.2">
      <c r="A753" s="82"/>
      <c r="B753" s="82"/>
      <c r="C753" s="82"/>
    </row>
    <row r="754" spans="1:3" x14ac:dyDescent="0.2">
      <c r="A754" s="82"/>
      <c r="B754" s="82"/>
      <c r="C754" s="82"/>
    </row>
    <row r="755" spans="1:3" x14ac:dyDescent="0.2">
      <c r="A755" s="82"/>
      <c r="B755" s="82"/>
      <c r="C755" s="82"/>
    </row>
    <row r="756" spans="1:3" x14ac:dyDescent="0.2">
      <c r="A756" s="82"/>
      <c r="B756" s="82"/>
      <c r="C756" s="82"/>
    </row>
    <row r="757" spans="1:3" x14ac:dyDescent="0.2">
      <c r="A757" s="82"/>
      <c r="B757" s="82"/>
      <c r="C757" s="82"/>
    </row>
    <row r="758" spans="1:3" x14ac:dyDescent="0.2">
      <c r="A758" s="82"/>
      <c r="B758" s="82"/>
      <c r="C758" s="82"/>
    </row>
    <row r="759" spans="1:3" x14ac:dyDescent="0.2">
      <c r="A759" s="82"/>
      <c r="B759" s="82"/>
      <c r="C759" s="82"/>
    </row>
    <row r="760" spans="1:3" x14ac:dyDescent="0.2">
      <c r="A760" s="82"/>
      <c r="B760" s="82"/>
      <c r="C760" s="82"/>
    </row>
    <row r="761" spans="1:3" x14ac:dyDescent="0.2">
      <c r="A761" s="82"/>
      <c r="B761" s="82"/>
      <c r="C761" s="82"/>
    </row>
    <row r="762" spans="1:3" x14ac:dyDescent="0.2">
      <c r="A762" s="82"/>
      <c r="B762" s="82"/>
      <c r="C762" s="82"/>
    </row>
    <row r="763" spans="1:3" x14ac:dyDescent="0.2">
      <c r="A763" s="82"/>
      <c r="B763" s="82"/>
      <c r="C763" s="82"/>
    </row>
    <row r="764" spans="1:3" x14ac:dyDescent="0.2">
      <c r="A764" s="82"/>
      <c r="B764" s="82"/>
      <c r="C764" s="82"/>
    </row>
    <row r="765" spans="1:3" x14ac:dyDescent="0.2">
      <c r="A765" s="82"/>
      <c r="B765" s="82"/>
      <c r="C765" s="82"/>
    </row>
    <row r="766" spans="1:3" x14ac:dyDescent="0.2">
      <c r="A766" s="82"/>
      <c r="B766" s="82"/>
      <c r="C766" s="82"/>
    </row>
    <row r="767" spans="1:3" x14ac:dyDescent="0.2">
      <c r="A767" s="82"/>
      <c r="B767" s="82"/>
      <c r="C767" s="82"/>
    </row>
    <row r="768" spans="1:3" x14ac:dyDescent="0.2">
      <c r="A768" s="82"/>
      <c r="B768" s="82"/>
      <c r="C768" s="82"/>
    </row>
    <row r="769" spans="1:3" x14ac:dyDescent="0.2">
      <c r="A769" s="82"/>
      <c r="B769" s="82"/>
      <c r="C769" s="82"/>
    </row>
    <row r="770" spans="1:3" x14ac:dyDescent="0.2">
      <c r="A770" s="82"/>
      <c r="B770" s="82"/>
      <c r="C770" s="82"/>
    </row>
    <row r="771" spans="1:3" x14ac:dyDescent="0.2">
      <c r="A771" s="82"/>
      <c r="B771" s="82"/>
      <c r="C771" s="82"/>
    </row>
    <row r="772" spans="1:3" x14ac:dyDescent="0.2">
      <c r="A772" s="82"/>
      <c r="B772" s="82"/>
      <c r="C772" s="82"/>
    </row>
    <row r="773" spans="1:3" x14ac:dyDescent="0.2">
      <c r="A773" s="82"/>
      <c r="B773" s="82"/>
      <c r="C773" s="82"/>
    </row>
    <row r="774" spans="1:3" x14ac:dyDescent="0.2">
      <c r="A774" s="82"/>
      <c r="B774" s="82"/>
      <c r="C774" s="82"/>
    </row>
    <row r="775" spans="1:3" x14ac:dyDescent="0.2">
      <c r="A775" s="82"/>
      <c r="B775" s="82"/>
      <c r="C775" s="82"/>
    </row>
    <row r="776" spans="1:3" x14ac:dyDescent="0.2">
      <c r="A776" s="82"/>
      <c r="B776" s="82"/>
      <c r="C776" s="82"/>
    </row>
    <row r="777" spans="1:3" x14ac:dyDescent="0.2">
      <c r="A777" s="82"/>
      <c r="B777" s="82"/>
      <c r="C777" s="82"/>
    </row>
    <row r="778" spans="1:3" x14ac:dyDescent="0.2">
      <c r="A778" s="82"/>
      <c r="B778" s="82"/>
      <c r="C778" s="82"/>
    </row>
    <row r="779" spans="1:3" x14ac:dyDescent="0.2">
      <c r="A779" s="82"/>
      <c r="B779" s="82"/>
      <c r="C779" s="82"/>
    </row>
    <row r="780" spans="1:3" x14ac:dyDescent="0.2">
      <c r="A780" s="82"/>
      <c r="B780" s="82"/>
      <c r="C780" s="82"/>
    </row>
    <row r="781" spans="1:3" x14ac:dyDescent="0.2">
      <c r="A781" s="82"/>
      <c r="B781" s="82"/>
      <c r="C781" s="82"/>
    </row>
    <row r="782" spans="1:3" x14ac:dyDescent="0.2">
      <c r="A782" s="82"/>
      <c r="B782" s="82"/>
      <c r="C782" s="82"/>
    </row>
    <row r="783" spans="1:3" x14ac:dyDescent="0.2">
      <c r="A783" s="82"/>
      <c r="B783" s="82"/>
      <c r="C783" s="82"/>
    </row>
    <row r="784" spans="1:3" x14ac:dyDescent="0.2">
      <c r="A784" s="82"/>
      <c r="B784" s="82"/>
      <c r="C784" s="82"/>
    </row>
    <row r="785" spans="1:3" x14ac:dyDescent="0.2">
      <c r="A785" s="82"/>
      <c r="B785" s="82"/>
      <c r="C785" s="82"/>
    </row>
    <row r="786" spans="1:3" x14ac:dyDescent="0.2">
      <c r="A786" s="82"/>
      <c r="B786" s="82"/>
      <c r="C786" s="82"/>
    </row>
    <row r="787" spans="1:3" x14ac:dyDescent="0.2">
      <c r="A787" s="82"/>
      <c r="B787" s="82"/>
      <c r="C787" s="82"/>
    </row>
    <row r="788" spans="1:3" x14ac:dyDescent="0.2">
      <c r="A788" s="82"/>
      <c r="B788" s="82"/>
      <c r="C788" s="82"/>
    </row>
    <row r="789" spans="1:3" x14ac:dyDescent="0.2">
      <c r="A789" s="82"/>
      <c r="B789" s="82"/>
      <c r="C789" s="82"/>
    </row>
    <row r="790" spans="1:3" x14ac:dyDescent="0.2">
      <c r="A790" s="82"/>
      <c r="B790" s="82"/>
      <c r="C790" s="82"/>
    </row>
    <row r="791" spans="1:3" x14ac:dyDescent="0.2">
      <c r="A791" s="82"/>
      <c r="B791" s="82"/>
      <c r="C791" s="82"/>
    </row>
    <row r="792" spans="1:3" x14ac:dyDescent="0.2">
      <c r="A792" s="82"/>
      <c r="B792" s="82"/>
      <c r="C792" s="82"/>
    </row>
    <row r="793" spans="1:3" x14ac:dyDescent="0.2">
      <c r="A793" s="82"/>
      <c r="B793" s="82"/>
      <c r="C793" s="82"/>
    </row>
    <row r="794" spans="1:3" x14ac:dyDescent="0.2">
      <c r="A794" s="82"/>
      <c r="B794" s="82"/>
      <c r="C794" s="82"/>
    </row>
    <row r="795" spans="1:3" x14ac:dyDescent="0.2">
      <c r="A795" s="82"/>
      <c r="B795" s="82"/>
      <c r="C795" s="82"/>
    </row>
    <row r="796" spans="1:3" x14ac:dyDescent="0.2">
      <c r="A796" s="82"/>
      <c r="B796" s="82"/>
      <c r="C796" s="82"/>
    </row>
    <row r="797" spans="1:3" x14ac:dyDescent="0.2">
      <c r="A797" s="82"/>
      <c r="B797" s="82"/>
      <c r="C797" s="82"/>
    </row>
    <row r="798" spans="1:3" x14ac:dyDescent="0.2">
      <c r="A798" s="82"/>
      <c r="B798" s="82"/>
      <c r="C798" s="82"/>
    </row>
    <row r="799" spans="1:3" x14ac:dyDescent="0.2">
      <c r="A799" s="82"/>
      <c r="B799" s="82"/>
      <c r="C799" s="82"/>
    </row>
    <row r="800" spans="1:3" x14ac:dyDescent="0.2">
      <c r="A800" s="82"/>
      <c r="B800" s="82"/>
      <c r="C800" s="82"/>
    </row>
    <row r="801" spans="1:3" x14ac:dyDescent="0.2">
      <c r="A801" s="82"/>
      <c r="B801" s="82"/>
      <c r="C801" s="82"/>
    </row>
    <row r="802" spans="1:3" x14ac:dyDescent="0.2">
      <c r="A802" s="82"/>
      <c r="B802" s="82"/>
      <c r="C802" s="82"/>
    </row>
    <row r="803" spans="1:3" x14ac:dyDescent="0.2">
      <c r="A803" s="82"/>
      <c r="B803" s="82"/>
      <c r="C803" s="82"/>
    </row>
    <row r="804" spans="1:3" x14ac:dyDescent="0.2">
      <c r="A804" s="82"/>
      <c r="B804" s="82"/>
      <c r="C804" s="82"/>
    </row>
    <row r="805" spans="1:3" x14ac:dyDescent="0.2">
      <c r="A805" s="82"/>
      <c r="B805" s="82"/>
      <c r="C805" s="82"/>
    </row>
    <row r="806" spans="1:3" x14ac:dyDescent="0.2">
      <c r="A806" s="82"/>
      <c r="B806" s="82"/>
      <c r="C806" s="82"/>
    </row>
    <row r="807" spans="1:3" x14ac:dyDescent="0.2">
      <c r="A807" s="82"/>
      <c r="B807" s="82"/>
      <c r="C807" s="82"/>
    </row>
    <row r="808" spans="1:3" x14ac:dyDescent="0.2">
      <c r="A808" s="82"/>
      <c r="B808" s="82"/>
      <c r="C808" s="82"/>
    </row>
    <row r="809" spans="1:3" x14ac:dyDescent="0.2">
      <c r="A809" s="82"/>
      <c r="B809" s="82"/>
      <c r="C809" s="82"/>
    </row>
    <row r="810" spans="1:3" x14ac:dyDescent="0.2">
      <c r="A810" s="82"/>
      <c r="B810" s="82"/>
      <c r="C810" s="82"/>
    </row>
    <row r="811" spans="1:3" x14ac:dyDescent="0.2">
      <c r="A811" s="82"/>
      <c r="B811" s="82"/>
      <c r="C811" s="82"/>
    </row>
    <row r="812" spans="1:3" x14ac:dyDescent="0.2">
      <c r="A812" s="82"/>
      <c r="B812" s="82"/>
      <c r="C812" s="82"/>
    </row>
    <row r="813" spans="1:3" x14ac:dyDescent="0.2">
      <c r="A813" s="82"/>
      <c r="B813" s="82"/>
      <c r="C813" s="82"/>
    </row>
    <row r="814" spans="1:3" x14ac:dyDescent="0.2">
      <c r="A814" s="82"/>
      <c r="B814" s="82"/>
      <c r="C814" s="82"/>
    </row>
    <row r="815" spans="1:3" x14ac:dyDescent="0.2">
      <c r="A815" s="82"/>
      <c r="B815" s="82"/>
      <c r="C815" s="82"/>
    </row>
    <row r="816" spans="1:3" x14ac:dyDescent="0.2">
      <c r="A816" s="82"/>
      <c r="B816" s="82"/>
      <c r="C816" s="82"/>
    </row>
    <row r="817" spans="1:3" x14ac:dyDescent="0.2">
      <c r="A817" s="82"/>
      <c r="B817" s="82"/>
      <c r="C817" s="82"/>
    </row>
    <row r="818" spans="1:3" x14ac:dyDescent="0.2">
      <c r="A818" s="82"/>
      <c r="B818" s="82"/>
      <c r="C818" s="82"/>
    </row>
    <row r="819" spans="1:3" x14ac:dyDescent="0.2">
      <c r="A819" s="82"/>
      <c r="B819" s="82"/>
      <c r="C819" s="82"/>
    </row>
    <row r="820" spans="1:3" x14ac:dyDescent="0.2">
      <c r="A820" s="82"/>
      <c r="B820" s="82"/>
      <c r="C820" s="82"/>
    </row>
    <row r="821" spans="1:3" x14ac:dyDescent="0.2">
      <c r="A821" s="82"/>
      <c r="B821" s="82"/>
      <c r="C821" s="82"/>
    </row>
    <row r="822" spans="1:3" x14ac:dyDescent="0.2">
      <c r="A822" s="82"/>
      <c r="B822" s="82"/>
      <c r="C822" s="82"/>
    </row>
    <row r="823" spans="1:3" x14ac:dyDescent="0.2">
      <c r="A823" s="82"/>
      <c r="B823" s="82"/>
      <c r="C823" s="82"/>
    </row>
    <row r="824" spans="1:3" x14ac:dyDescent="0.2">
      <c r="A824" s="82"/>
      <c r="B824" s="82"/>
      <c r="C824" s="82"/>
    </row>
    <row r="825" spans="1:3" x14ac:dyDescent="0.2">
      <c r="A825" s="82"/>
      <c r="B825" s="82"/>
      <c r="C825" s="82"/>
    </row>
    <row r="826" spans="1:3" x14ac:dyDescent="0.2">
      <c r="A826" s="82"/>
      <c r="B826" s="82"/>
      <c r="C826" s="82"/>
    </row>
    <row r="827" spans="1:3" x14ac:dyDescent="0.2">
      <c r="A827" s="82"/>
      <c r="B827" s="82"/>
      <c r="C827" s="82"/>
    </row>
    <row r="828" spans="1:3" x14ac:dyDescent="0.2">
      <c r="A828" s="82"/>
      <c r="B828" s="82"/>
      <c r="C828" s="82"/>
    </row>
    <row r="829" spans="1:3" x14ac:dyDescent="0.2">
      <c r="A829" s="82"/>
      <c r="B829" s="82"/>
      <c r="C829" s="82"/>
    </row>
    <row r="830" spans="1:3" x14ac:dyDescent="0.2">
      <c r="A830" s="82"/>
      <c r="B830" s="82"/>
      <c r="C830" s="82"/>
    </row>
    <row r="831" spans="1:3" x14ac:dyDescent="0.2">
      <c r="A831" s="82"/>
      <c r="B831" s="82"/>
      <c r="C831" s="82"/>
    </row>
    <row r="832" spans="1:3" x14ac:dyDescent="0.2">
      <c r="A832" s="82"/>
      <c r="B832" s="82"/>
      <c r="C832" s="82"/>
    </row>
    <row r="833" spans="1:3" x14ac:dyDescent="0.2">
      <c r="A833" s="82"/>
      <c r="B833" s="82"/>
      <c r="C833" s="82"/>
    </row>
    <row r="834" spans="1:3" x14ac:dyDescent="0.2">
      <c r="A834" s="82"/>
      <c r="B834" s="82"/>
      <c r="C834" s="82"/>
    </row>
    <row r="835" spans="1:3" x14ac:dyDescent="0.2">
      <c r="A835" s="82"/>
      <c r="B835" s="82"/>
      <c r="C835" s="82"/>
    </row>
    <row r="836" spans="1:3" x14ac:dyDescent="0.2">
      <c r="A836" s="82"/>
      <c r="B836" s="82"/>
      <c r="C836" s="82"/>
    </row>
    <row r="837" spans="1:3" x14ac:dyDescent="0.2">
      <c r="A837" s="82"/>
      <c r="B837" s="82"/>
      <c r="C837" s="82"/>
    </row>
    <row r="838" spans="1:3" x14ac:dyDescent="0.2">
      <c r="A838" s="82"/>
      <c r="B838" s="82"/>
      <c r="C838" s="82"/>
    </row>
    <row r="839" spans="1:3" x14ac:dyDescent="0.2">
      <c r="A839" s="82"/>
      <c r="B839" s="82"/>
      <c r="C839" s="82"/>
    </row>
    <row r="840" spans="1:3" x14ac:dyDescent="0.2">
      <c r="A840" s="82"/>
      <c r="B840" s="82"/>
      <c r="C840" s="82"/>
    </row>
    <row r="841" spans="1:3" x14ac:dyDescent="0.2">
      <c r="A841" s="82"/>
      <c r="B841" s="82"/>
      <c r="C841" s="82"/>
    </row>
    <row r="842" spans="1:3" x14ac:dyDescent="0.2">
      <c r="A842" s="82"/>
      <c r="B842" s="82"/>
      <c r="C842" s="82"/>
    </row>
    <row r="843" spans="1:3" x14ac:dyDescent="0.2">
      <c r="A843" s="82"/>
      <c r="B843" s="82"/>
      <c r="C843" s="82"/>
    </row>
    <row r="844" spans="1:3" x14ac:dyDescent="0.2">
      <c r="A844" s="82"/>
      <c r="B844" s="82"/>
      <c r="C844" s="82"/>
    </row>
    <row r="845" spans="1:3" x14ac:dyDescent="0.2">
      <c r="A845" s="82"/>
      <c r="B845" s="82"/>
      <c r="C845" s="82"/>
    </row>
    <row r="846" spans="1:3" x14ac:dyDescent="0.2">
      <c r="A846" s="82"/>
      <c r="B846" s="82"/>
      <c r="C846" s="82"/>
    </row>
    <row r="847" spans="1:3" x14ac:dyDescent="0.2">
      <c r="A847" s="82"/>
      <c r="B847" s="82"/>
      <c r="C847" s="82"/>
    </row>
    <row r="848" spans="1:3" x14ac:dyDescent="0.2">
      <c r="A848" s="82"/>
      <c r="B848" s="82"/>
      <c r="C848" s="82"/>
    </row>
    <row r="849" spans="1:3" x14ac:dyDescent="0.2">
      <c r="A849" s="82"/>
      <c r="B849" s="82"/>
      <c r="C849" s="82"/>
    </row>
    <row r="850" spans="1:3" x14ac:dyDescent="0.2">
      <c r="A850" s="82"/>
      <c r="B850" s="82"/>
      <c r="C850" s="82"/>
    </row>
    <row r="851" spans="1:3" x14ac:dyDescent="0.2">
      <c r="A851" s="82"/>
      <c r="B851" s="82"/>
      <c r="C851" s="82"/>
    </row>
    <row r="852" spans="1:3" x14ac:dyDescent="0.2">
      <c r="A852" s="82"/>
      <c r="B852" s="82"/>
      <c r="C852" s="82"/>
    </row>
    <row r="853" spans="1:3" x14ac:dyDescent="0.2">
      <c r="A853" s="82"/>
      <c r="B853" s="82"/>
      <c r="C853" s="82"/>
    </row>
    <row r="854" spans="1:3" x14ac:dyDescent="0.2">
      <c r="A854" s="82"/>
      <c r="B854" s="82"/>
      <c r="C854" s="82"/>
    </row>
    <row r="855" spans="1:3" x14ac:dyDescent="0.2">
      <c r="A855" s="82"/>
      <c r="B855" s="82"/>
      <c r="C855" s="82"/>
    </row>
    <row r="856" spans="1:3" x14ac:dyDescent="0.2">
      <c r="A856" s="82"/>
      <c r="B856" s="82"/>
      <c r="C856" s="82"/>
    </row>
    <row r="857" spans="1:3" x14ac:dyDescent="0.2">
      <c r="A857" s="82"/>
      <c r="B857" s="82"/>
      <c r="C857" s="82"/>
    </row>
    <row r="858" spans="1:3" x14ac:dyDescent="0.2">
      <c r="A858" s="82"/>
      <c r="B858" s="82"/>
      <c r="C858" s="82"/>
    </row>
    <row r="859" spans="1:3" x14ac:dyDescent="0.2">
      <c r="A859" s="82"/>
      <c r="B859" s="82"/>
      <c r="C859" s="82"/>
    </row>
    <row r="860" spans="1:3" x14ac:dyDescent="0.2">
      <c r="A860" s="82"/>
      <c r="B860" s="82"/>
      <c r="C860" s="82"/>
    </row>
    <row r="861" spans="1:3" x14ac:dyDescent="0.2">
      <c r="A861" s="82"/>
      <c r="B861" s="82"/>
      <c r="C861" s="82"/>
    </row>
    <row r="862" spans="1:3" x14ac:dyDescent="0.2">
      <c r="A862" s="82"/>
      <c r="B862" s="82"/>
      <c r="C862" s="82"/>
    </row>
    <row r="863" spans="1:3" x14ac:dyDescent="0.2">
      <c r="A863" s="82"/>
      <c r="B863" s="82"/>
      <c r="C863" s="82"/>
    </row>
    <row r="864" spans="1:3" x14ac:dyDescent="0.2">
      <c r="A864" s="82"/>
      <c r="B864" s="82"/>
      <c r="C864" s="82"/>
    </row>
    <row r="865" spans="1:3" x14ac:dyDescent="0.2">
      <c r="A865" s="82"/>
      <c r="B865" s="82"/>
      <c r="C865" s="82"/>
    </row>
    <row r="866" spans="1:3" x14ac:dyDescent="0.2">
      <c r="A866" s="82"/>
      <c r="B866" s="82"/>
      <c r="C866" s="82"/>
    </row>
    <row r="867" spans="1:3" x14ac:dyDescent="0.2">
      <c r="A867" s="82"/>
      <c r="B867" s="82"/>
      <c r="C867" s="82"/>
    </row>
    <row r="868" spans="1:3" x14ac:dyDescent="0.2">
      <c r="A868" s="82"/>
      <c r="B868" s="82"/>
      <c r="C868" s="82"/>
    </row>
    <row r="869" spans="1:3" x14ac:dyDescent="0.2">
      <c r="A869" s="82"/>
      <c r="B869" s="82"/>
      <c r="C869" s="82"/>
    </row>
    <row r="870" spans="1:3" x14ac:dyDescent="0.2">
      <c r="A870" s="82"/>
      <c r="B870" s="82"/>
      <c r="C870" s="82"/>
    </row>
    <row r="871" spans="1:3" x14ac:dyDescent="0.2">
      <c r="A871" s="82"/>
      <c r="B871" s="82"/>
      <c r="C871" s="82"/>
    </row>
    <row r="872" spans="1:3" x14ac:dyDescent="0.2">
      <c r="A872" s="82"/>
      <c r="B872" s="82"/>
      <c r="C872" s="82"/>
    </row>
    <row r="873" spans="1:3" x14ac:dyDescent="0.2">
      <c r="A873" s="82"/>
      <c r="B873" s="82"/>
      <c r="C873" s="82"/>
    </row>
    <row r="874" spans="1:3" x14ac:dyDescent="0.2">
      <c r="A874" s="82"/>
      <c r="B874" s="82"/>
      <c r="C874" s="82"/>
    </row>
    <row r="875" spans="1:3" x14ac:dyDescent="0.2">
      <c r="A875" s="82"/>
      <c r="B875" s="82"/>
      <c r="C875" s="82"/>
    </row>
    <row r="876" spans="1:3" x14ac:dyDescent="0.2">
      <c r="A876" s="82"/>
      <c r="B876" s="82"/>
      <c r="C876" s="82"/>
    </row>
    <row r="877" spans="1:3" x14ac:dyDescent="0.2">
      <c r="A877" s="82"/>
      <c r="B877" s="82"/>
      <c r="C877" s="82"/>
    </row>
    <row r="878" spans="1:3" x14ac:dyDescent="0.2">
      <c r="A878" s="82"/>
      <c r="B878" s="82"/>
      <c r="C878" s="82"/>
    </row>
    <row r="879" spans="1:3" x14ac:dyDescent="0.2">
      <c r="A879" s="82"/>
      <c r="B879" s="82"/>
      <c r="C879" s="82"/>
    </row>
    <row r="880" spans="1:3" x14ac:dyDescent="0.2">
      <c r="A880" s="82"/>
      <c r="B880" s="82"/>
      <c r="C880" s="82"/>
    </row>
    <row r="881" spans="1:3" x14ac:dyDescent="0.2">
      <c r="A881" s="82"/>
      <c r="B881" s="82"/>
      <c r="C881" s="82"/>
    </row>
    <row r="882" spans="1:3" x14ac:dyDescent="0.2">
      <c r="A882" s="82"/>
      <c r="B882" s="82"/>
      <c r="C882" s="82"/>
    </row>
    <row r="883" spans="1:3" x14ac:dyDescent="0.2">
      <c r="A883" s="82"/>
      <c r="B883" s="82"/>
      <c r="C883" s="82"/>
    </row>
    <row r="884" spans="1:3" x14ac:dyDescent="0.2">
      <c r="A884" s="82"/>
      <c r="B884" s="82"/>
      <c r="C884" s="82"/>
    </row>
    <row r="885" spans="1:3" x14ac:dyDescent="0.2">
      <c r="A885" s="82"/>
      <c r="B885" s="82"/>
      <c r="C885" s="82"/>
    </row>
    <row r="886" spans="1:3" x14ac:dyDescent="0.2">
      <c r="A886" s="82"/>
      <c r="B886" s="82"/>
      <c r="C886" s="82"/>
    </row>
    <row r="887" spans="1:3" x14ac:dyDescent="0.2">
      <c r="A887" s="82"/>
      <c r="B887" s="82"/>
      <c r="C887" s="82"/>
    </row>
    <row r="888" spans="1:3" x14ac:dyDescent="0.2">
      <c r="A888" s="82"/>
      <c r="B888" s="82"/>
      <c r="C888" s="82"/>
    </row>
    <row r="889" spans="1:3" x14ac:dyDescent="0.2">
      <c r="A889" s="82"/>
      <c r="B889" s="82"/>
      <c r="C889" s="82"/>
    </row>
    <row r="890" spans="1:3" x14ac:dyDescent="0.2">
      <c r="A890" s="82"/>
      <c r="B890" s="82"/>
      <c r="C890" s="82"/>
    </row>
    <row r="891" spans="1:3" x14ac:dyDescent="0.2">
      <c r="A891" s="82"/>
      <c r="B891" s="82"/>
      <c r="C891" s="82"/>
    </row>
    <row r="892" spans="1:3" x14ac:dyDescent="0.2">
      <c r="A892" s="82"/>
      <c r="B892" s="82"/>
      <c r="C892" s="82"/>
    </row>
    <row r="893" spans="1:3" x14ac:dyDescent="0.2">
      <c r="A893" s="82"/>
      <c r="B893" s="82"/>
      <c r="C893" s="82"/>
    </row>
    <row r="894" spans="1:3" x14ac:dyDescent="0.2">
      <c r="A894" s="82"/>
      <c r="B894" s="82"/>
      <c r="C894" s="82"/>
    </row>
    <row r="895" spans="1:3" x14ac:dyDescent="0.2">
      <c r="A895" s="82"/>
      <c r="B895" s="82"/>
      <c r="C895" s="82"/>
    </row>
    <row r="896" spans="1:3" x14ac:dyDescent="0.2">
      <c r="A896" s="82"/>
      <c r="B896" s="82"/>
      <c r="C896" s="82"/>
    </row>
    <row r="897" spans="1:3" x14ac:dyDescent="0.2">
      <c r="A897" s="82"/>
      <c r="B897" s="82"/>
      <c r="C897" s="82"/>
    </row>
    <row r="898" spans="1:3" x14ac:dyDescent="0.2">
      <c r="A898" s="82"/>
      <c r="B898" s="82"/>
      <c r="C898" s="82"/>
    </row>
    <row r="899" spans="1:3" x14ac:dyDescent="0.2">
      <c r="A899" s="82"/>
      <c r="B899" s="82"/>
      <c r="C899" s="82"/>
    </row>
    <row r="900" spans="1:3" x14ac:dyDescent="0.2">
      <c r="A900" s="82"/>
      <c r="B900" s="82"/>
      <c r="C900" s="82"/>
    </row>
    <row r="901" spans="1:3" x14ac:dyDescent="0.2">
      <c r="A901" s="82"/>
      <c r="B901" s="82"/>
      <c r="C901" s="82"/>
    </row>
    <row r="902" spans="1:3" x14ac:dyDescent="0.2">
      <c r="A902" s="82"/>
      <c r="B902" s="82"/>
      <c r="C902" s="82"/>
    </row>
    <row r="903" spans="1:3" x14ac:dyDescent="0.2">
      <c r="A903" s="82"/>
      <c r="B903" s="82"/>
      <c r="C903" s="82"/>
    </row>
    <row r="904" spans="1:3" x14ac:dyDescent="0.2">
      <c r="A904" s="82"/>
      <c r="B904" s="82"/>
      <c r="C904" s="82"/>
    </row>
    <row r="905" spans="1:3" x14ac:dyDescent="0.2">
      <c r="A905" s="82"/>
      <c r="B905" s="82"/>
      <c r="C905" s="82"/>
    </row>
    <row r="906" spans="1:3" x14ac:dyDescent="0.2">
      <c r="A906" s="82"/>
      <c r="B906" s="82"/>
      <c r="C906" s="82"/>
    </row>
    <row r="907" spans="1:3" x14ac:dyDescent="0.2">
      <c r="A907" s="82"/>
      <c r="B907" s="82"/>
      <c r="C907" s="82"/>
    </row>
    <row r="908" spans="1:3" x14ac:dyDescent="0.2">
      <c r="A908" s="82"/>
      <c r="B908" s="82"/>
      <c r="C908" s="82"/>
    </row>
    <row r="909" spans="1:3" x14ac:dyDescent="0.2">
      <c r="A909" s="82"/>
      <c r="B909" s="82"/>
      <c r="C909" s="82"/>
    </row>
    <row r="910" spans="1:3" x14ac:dyDescent="0.2">
      <c r="A910" s="82"/>
      <c r="B910" s="82"/>
      <c r="C910" s="82"/>
    </row>
    <row r="911" spans="1:3" x14ac:dyDescent="0.2">
      <c r="A911" s="82"/>
      <c r="B911" s="82"/>
      <c r="C911" s="82"/>
    </row>
    <row r="912" spans="1:3" x14ac:dyDescent="0.2">
      <c r="A912" s="82"/>
      <c r="B912" s="82"/>
      <c r="C912" s="82"/>
    </row>
    <row r="913" spans="1:3" x14ac:dyDescent="0.2">
      <c r="A913" s="82"/>
      <c r="B913" s="82"/>
      <c r="C913" s="82"/>
    </row>
    <row r="914" spans="1:3" x14ac:dyDescent="0.2">
      <c r="A914" s="82"/>
      <c r="B914" s="82"/>
      <c r="C914" s="82"/>
    </row>
    <row r="915" spans="1:3" x14ac:dyDescent="0.2">
      <c r="A915" s="82"/>
      <c r="B915" s="82"/>
      <c r="C915" s="82"/>
    </row>
    <row r="916" spans="1:3" x14ac:dyDescent="0.2">
      <c r="A916" s="82"/>
      <c r="B916" s="82"/>
      <c r="C916" s="82"/>
    </row>
    <row r="917" spans="1:3" x14ac:dyDescent="0.2">
      <c r="A917" s="82"/>
      <c r="B917" s="82"/>
      <c r="C917" s="82"/>
    </row>
    <row r="918" spans="1:3" x14ac:dyDescent="0.2">
      <c r="A918" s="82"/>
      <c r="B918" s="82"/>
      <c r="C918" s="82"/>
    </row>
    <row r="919" spans="1:3" x14ac:dyDescent="0.2">
      <c r="A919" s="82"/>
      <c r="B919" s="82"/>
      <c r="C919" s="82"/>
    </row>
    <row r="920" spans="1:3" x14ac:dyDescent="0.2">
      <c r="A920" s="82"/>
      <c r="B920" s="82"/>
      <c r="C920" s="82"/>
    </row>
    <row r="921" spans="1:3" x14ac:dyDescent="0.2">
      <c r="A921" s="82"/>
      <c r="B921" s="82"/>
      <c r="C921" s="82"/>
    </row>
    <row r="922" spans="1:3" x14ac:dyDescent="0.2">
      <c r="A922" s="82"/>
      <c r="B922" s="82"/>
      <c r="C922" s="82"/>
    </row>
    <row r="923" spans="1:3" x14ac:dyDescent="0.2">
      <c r="A923" s="82"/>
      <c r="B923" s="82"/>
      <c r="C923" s="82"/>
    </row>
    <row r="924" spans="1:3" x14ac:dyDescent="0.2">
      <c r="A924" s="82"/>
      <c r="B924" s="82"/>
      <c r="C924" s="82"/>
    </row>
    <row r="925" spans="1:3" x14ac:dyDescent="0.2">
      <c r="A925" s="82"/>
      <c r="B925" s="82"/>
      <c r="C925" s="82"/>
    </row>
    <row r="926" spans="1:3" x14ac:dyDescent="0.2">
      <c r="A926" s="82"/>
      <c r="B926" s="82"/>
      <c r="C926" s="82"/>
    </row>
    <row r="927" spans="1:3" x14ac:dyDescent="0.2">
      <c r="A927" s="82"/>
      <c r="B927" s="82"/>
      <c r="C927" s="82"/>
    </row>
    <row r="928" spans="1:3" x14ac:dyDescent="0.2">
      <c r="A928" s="82"/>
      <c r="B928" s="82"/>
      <c r="C928" s="82"/>
    </row>
    <row r="929" spans="1:3" x14ac:dyDescent="0.2">
      <c r="A929" s="82"/>
      <c r="B929" s="82"/>
      <c r="C929" s="82"/>
    </row>
    <row r="930" spans="1:3" x14ac:dyDescent="0.2">
      <c r="A930" s="82"/>
      <c r="B930" s="82"/>
      <c r="C930" s="82"/>
    </row>
    <row r="931" spans="1:3" x14ac:dyDescent="0.2">
      <c r="A931" s="82"/>
      <c r="B931" s="82"/>
      <c r="C931" s="82"/>
    </row>
    <row r="932" spans="1:3" x14ac:dyDescent="0.2">
      <c r="A932" s="82"/>
      <c r="B932" s="82"/>
      <c r="C932" s="82"/>
    </row>
    <row r="933" spans="1:3" x14ac:dyDescent="0.2">
      <c r="A933" s="82"/>
      <c r="B933" s="82"/>
      <c r="C933" s="82"/>
    </row>
    <row r="934" spans="1:3" x14ac:dyDescent="0.2">
      <c r="A934" s="82"/>
      <c r="B934" s="82"/>
      <c r="C934" s="82"/>
    </row>
    <row r="935" spans="1:3" x14ac:dyDescent="0.2">
      <c r="A935" s="82"/>
      <c r="B935" s="82"/>
      <c r="C935" s="82"/>
    </row>
    <row r="936" spans="1:3" x14ac:dyDescent="0.2">
      <c r="A936" s="82"/>
      <c r="B936" s="82"/>
      <c r="C936" s="82"/>
    </row>
    <row r="937" spans="1:3" x14ac:dyDescent="0.2">
      <c r="A937" s="82"/>
      <c r="B937" s="82"/>
      <c r="C937" s="82"/>
    </row>
    <row r="938" spans="1:3" x14ac:dyDescent="0.2">
      <c r="A938" s="82"/>
      <c r="B938" s="82"/>
      <c r="C938" s="82"/>
    </row>
    <row r="939" spans="1:3" x14ac:dyDescent="0.2">
      <c r="A939" s="82"/>
      <c r="B939" s="82"/>
      <c r="C939" s="82"/>
    </row>
    <row r="940" spans="1:3" x14ac:dyDescent="0.2">
      <c r="A940" s="82"/>
      <c r="B940" s="82"/>
      <c r="C940" s="82"/>
    </row>
    <row r="941" spans="1:3" x14ac:dyDescent="0.2">
      <c r="A941" s="82"/>
      <c r="B941" s="82"/>
      <c r="C941" s="82"/>
    </row>
    <row r="942" spans="1:3" x14ac:dyDescent="0.2">
      <c r="A942" s="82"/>
      <c r="B942" s="82"/>
      <c r="C942" s="82"/>
    </row>
    <row r="943" spans="1:3" x14ac:dyDescent="0.2">
      <c r="A943" s="82"/>
      <c r="B943" s="82"/>
      <c r="C943" s="82"/>
    </row>
    <row r="944" spans="1:3" x14ac:dyDescent="0.2">
      <c r="A944" s="82"/>
      <c r="B944" s="82"/>
      <c r="C944" s="82"/>
    </row>
    <row r="945" spans="1:3" x14ac:dyDescent="0.2">
      <c r="A945" s="82"/>
      <c r="B945" s="82"/>
      <c r="C945" s="82"/>
    </row>
    <row r="946" spans="1:3" x14ac:dyDescent="0.2">
      <c r="A946" s="82"/>
      <c r="B946" s="82"/>
      <c r="C946" s="82"/>
    </row>
    <row r="947" spans="1:3" x14ac:dyDescent="0.2">
      <c r="A947" s="82"/>
      <c r="B947" s="82"/>
      <c r="C947" s="82"/>
    </row>
    <row r="948" spans="1:3" x14ac:dyDescent="0.2">
      <c r="A948" s="82"/>
      <c r="B948" s="82"/>
      <c r="C948" s="82"/>
    </row>
    <row r="949" spans="1:3" x14ac:dyDescent="0.2">
      <c r="A949" s="82"/>
      <c r="B949" s="82"/>
      <c r="C949" s="82"/>
    </row>
    <row r="950" spans="1:3" x14ac:dyDescent="0.2">
      <c r="A950" s="82"/>
      <c r="B950" s="82"/>
      <c r="C950" s="82"/>
    </row>
    <row r="951" spans="1:3" x14ac:dyDescent="0.2">
      <c r="A951" s="82"/>
      <c r="B951" s="82"/>
      <c r="C951" s="82"/>
    </row>
    <row r="952" spans="1:3" x14ac:dyDescent="0.2">
      <c r="A952" s="82"/>
      <c r="B952" s="82"/>
      <c r="C952" s="82"/>
    </row>
    <row r="953" spans="1:3" x14ac:dyDescent="0.2">
      <c r="A953" s="82"/>
      <c r="B953" s="82"/>
      <c r="C953" s="82"/>
    </row>
    <row r="954" spans="1:3" x14ac:dyDescent="0.2">
      <c r="A954" s="82"/>
      <c r="B954" s="82"/>
      <c r="C954" s="82"/>
    </row>
    <row r="955" spans="1:3" x14ac:dyDescent="0.2">
      <c r="A955" s="82"/>
      <c r="B955" s="82"/>
      <c r="C955" s="82"/>
    </row>
    <row r="956" spans="1:3" x14ac:dyDescent="0.2">
      <c r="A956" s="82"/>
      <c r="B956" s="82"/>
      <c r="C956" s="82"/>
    </row>
    <row r="957" spans="1:3" x14ac:dyDescent="0.2">
      <c r="A957" s="82"/>
      <c r="B957" s="82"/>
      <c r="C957" s="82"/>
    </row>
    <row r="958" spans="1:3" x14ac:dyDescent="0.2">
      <c r="A958" s="82"/>
      <c r="B958" s="82"/>
      <c r="C958" s="82"/>
    </row>
    <row r="959" spans="1:3" x14ac:dyDescent="0.2">
      <c r="A959" s="82"/>
      <c r="B959" s="82"/>
      <c r="C959" s="82"/>
    </row>
    <row r="960" spans="1:3" x14ac:dyDescent="0.2">
      <c r="A960" s="82"/>
      <c r="B960" s="82"/>
      <c r="C960" s="82"/>
    </row>
    <row r="961" spans="1:3" x14ac:dyDescent="0.2">
      <c r="A961" s="82"/>
      <c r="B961" s="82"/>
      <c r="C961" s="82"/>
    </row>
    <row r="962" spans="1:3" x14ac:dyDescent="0.2">
      <c r="A962" s="82"/>
      <c r="B962" s="82"/>
      <c r="C962" s="82"/>
    </row>
    <row r="963" spans="1:3" x14ac:dyDescent="0.2">
      <c r="A963" s="82"/>
      <c r="B963" s="82"/>
      <c r="C963" s="82"/>
    </row>
    <row r="964" spans="1:3" x14ac:dyDescent="0.2">
      <c r="A964" s="82"/>
      <c r="B964" s="82"/>
      <c r="C964" s="82"/>
    </row>
    <row r="965" spans="1:3" x14ac:dyDescent="0.2">
      <c r="A965" s="82"/>
      <c r="B965" s="82"/>
      <c r="C965" s="82"/>
    </row>
    <row r="966" spans="1:3" x14ac:dyDescent="0.2">
      <c r="A966" s="82"/>
      <c r="B966" s="82"/>
      <c r="C966" s="82"/>
    </row>
    <row r="967" spans="1:3" x14ac:dyDescent="0.2">
      <c r="A967" s="82"/>
      <c r="B967" s="82"/>
      <c r="C967" s="82"/>
    </row>
    <row r="968" spans="1:3" x14ac:dyDescent="0.2">
      <c r="A968" s="82"/>
      <c r="B968" s="82"/>
      <c r="C968" s="82"/>
    </row>
    <row r="969" spans="1:3" x14ac:dyDescent="0.2">
      <c r="A969" s="82"/>
      <c r="B969" s="82"/>
      <c r="C969" s="82"/>
    </row>
    <row r="970" spans="1:3" x14ac:dyDescent="0.2">
      <c r="A970" s="82"/>
      <c r="B970" s="82"/>
      <c r="C970" s="82"/>
    </row>
    <row r="971" spans="1:3" x14ac:dyDescent="0.2">
      <c r="A971" s="82"/>
      <c r="B971" s="82"/>
      <c r="C971" s="82"/>
    </row>
    <row r="972" spans="1:3" x14ac:dyDescent="0.2">
      <c r="A972" s="82"/>
      <c r="B972" s="82"/>
      <c r="C972" s="82"/>
    </row>
    <row r="973" spans="1:3" x14ac:dyDescent="0.2">
      <c r="A973" s="82"/>
      <c r="B973" s="82"/>
      <c r="C973" s="82"/>
    </row>
    <row r="974" spans="1:3" x14ac:dyDescent="0.2">
      <c r="A974" s="82"/>
      <c r="B974" s="82"/>
      <c r="C974" s="82"/>
    </row>
    <row r="975" spans="1:3" x14ac:dyDescent="0.2">
      <c r="A975" s="82"/>
      <c r="B975" s="82"/>
      <c r="C975" s="82"/>
    </row>
    <row r="976" spans="1:3" x14ac:dyDescent="0.2">
      <c r="A976" s="82"/>
      <c r="B976" s="82"/>
      <c r="C976" s="82"/>
    </row>
    <row r="977" spans="1:3" x14ac:dyDescent="0.2">
      <c r="A977" s="82"/>
      <c r="B977" s="82"/>
      <c r="C977" s="82"/>
    </row>
    <row r="978" spans="1:3" x14ac:dyDescent="0.2">
      <c r="A978" s="82"/>
      <c r="B978" s="82"/>
      <c r="C978" s="82"/>
    </row>
    <row r="979" spans="1:3" x14ac:dyDescent="0.2">
      <c r="A979" s="82"/>
      <c r="B979" s="82"/>
      <c r="C979" s="82"/>
    </row>
    <row r="980" spans="1:3" x14ac:dyDescent="0.2">
      <c r="A980" s="82"/>
      <c r="B980" s="82"/>
      <c r="C980" s="82"/>
    </row>
    <row r="981" spans="1:3" x14ac:dyDescent="0.2">
      <c r="A981" s="82"/>
      <c r="B981" s="82"/>
      <c r="C981" s="82"/>
    </row>
    <row r="982" spans="1:3" x14ac:dyDescent="0.2">
      <c r="A982" s="82"/>
      <c r="B982" s="82"/>
      <c r="C982" s="82"/>
    </row>
    <row r="983" spans="1:3" x14ac:dyDescent="0.2">
      <c r="A983" s="82"/>
      <c r="B983" s="82"/>
      <c r="C983" s="82"/>
    </row>
    <row r="984" spans="1:3" x14ac:dyDescent="0.2">
      <c r="A984" s="82"/>
      <c r="B984" s="82"/>
      <c r="C984" s="82"/>
    </row>
    <row r="985" spans="1:3" x14ac:dyDescent="0.2">
      <c r="A985" s="82"/>
      <c r="B985" s="82"/>
      <c r="C985" s="82"/>
    </row>
    <row r="986" spans="1:3" x14ac:dyDescent="0.2">
      <c r="A986" s="82"/>
      <c r="B986" s="82"/>
      <c r="C986" s="82"/>
    </row>
    <row r="987" spans="1:3" x14ac:dyDescent="0.2">
      <c r="A987" s="82"/>
      <c r="B987" s="82"/>
      <c r="C987" s="82"/>
    </row>
    <row r="988" spans="1:3" x14ac:dyDescent="0.2">
      <c r="A988" s="82"/>
      <c r="B988" s="82"/>
      <c r="C988" s="82"/>
    </row>
    <row r="989" spans="1:3" x14ac:dyDescent="0.2">
      <c r="A989" s="82"/>
      <c r="B989" s="82"/>
      <c r="C989" s="82"/>
    </row>
    <row r="990" spans="1:3" x14ac:dyDescent="0.2">
      <c r="A990" s="82"/>
      <c r="B990" s="82"/>
      <c r="C990" s="82"/>
    </row>
    <row r="991" spans="1:3" x14ac:dyDescent="0.2">
      <c r="A991" s="82"/>
      <c r="B991" s="82"/>
      <c r="C991" s="82"/>
    </row>
    <row r="992" spans="1:3" x14ac:dyDescent="0.2">
      <c r="A992" s="82"/>
      <c r="B992" s="82"/>
      <c r="C992" s="82"/>
    </row>
    <row r="993" spans="1:3" x14ac:dyDescent="0.2">
      <c r="A993" s="82"/>
      <c r="B993" s="82"/>
      <c r="C993" s="82"/>
    </row>
    <row r="994" spans="1:3" x14ac:dyDescent="0.2">
      <c r="A994" s="82"/>
      <c r="B994" s="82"/>
      <c r="C994" s="82"/>
    </row>
    <row r="995" spans="1:3" x14ac:dyDescent="0.2">
      <c r="A995" s="82"/>
      <c r="B995" s="82"/>
      <c r="C995" s="82"/>
    </row>
    <row r="996" spans="1:3" x14ac:dyDescent="0.2">
      <c r="A996" s="82"/>
      <c r="B996" s="82"/>
      <c r="C996" s="82"/>
    </row>
    <row r="997" spans="1:3" x14ac:dyDescent="0.2">
      <c r="A997" s="82"/>
      <c r="B997" s="82"/>
      <c r="C997" s="82"/>
    </row>
    <row r="998" spans="1:3" x14ac:dyDescent="0.2">
      <c r="A998" s="82"/>
      <c r="B998" s="82"/>
      <c r="C998" s="82"/>
    </row>
    <row r="999" spans="1:3" x14ac:dyDescent="0.2">
      <c r="A999" s="82"/>
      <c r="B999" s="82"/>
      <c r="C999" s="82"/>
    </row>
    <row r="1000" spans="1:3" x14ac:dyDescent="0.2">
      <c r="A1000" s="82"/>
      <c r="B1000" s="82"/>
      <c r="C1000" s="82"/>
    </row>
    <row r="1001" spans="1:3" x14ac:dyDescent="0.2">
      <c r="A1001" s="82"/>
      <c r="B1001" s="82"/>
      <c r="C1001" s="82"/>
    </row>
    <row r="1002" spans="1:3" x14ac:dyDescent="0.2">
      <c r="A1002" s="82"/>
      <c r="B1002" s="82"/>
      <c r="C1002" s="82"/>
    </row>
    <row r="1003" spans="1:3" x14ac:dyDescent="0.2">
      <c r="A1003" s="82"/>
      <c r="B1003" s="82"/>
      <c r="C1003" s="82"/>
    </row>
    <row r="1004" spans="1:3" x14ac:dyDescent="0.2">
      <c r="A1004" s="82"/>
      <c r="B1004" s="82"/>
      <c r="C1004" s="82"/>
    </row>
    <row r="1005" spans="1:3" x14ac:dyDescent="0.2">
      <c r="A1005" s="82"/>
      <c r="B1005" s="82"/>
      <c r="C1005" s="82"/>
    </row>
    <row r="1006" spans="1:3" x14ac:dyDescent="0.2">
      <c r="A1006" s="82"/>
      <c r="B1006" s="82"/>
      <c r="C1006" s="82"/>
    </row>
    <row r="1007" spans="1:3" x14ac:dyDescent="0.2">
      <c r="A1007" s="82"/>
      <c r="B1007" s="82"/>
      <c r="C1007" s="82"/>
    </row>
    <row r="1008" spans="1:3" x14ac:dyDescent="0.2">
      <c r="A1008" s="82"/>
      <c r="B1008" s="82"/>
      <c r="C1008" s="82"/>
    </row>
    <row r="1009" spans="1:3" x14ac:dyDescent="0.2">
      <c r="A1009" s="82"/>
      <c r="B1009" s="82"/>
      <c r="C1009" s="82"/>
    </row>
    <row r="1010" spans="1:3" x14ac:dyDescent="0.2">
      <c r="A1010" s="82"/>
      <c r="B1010" s="82"/>
      <c r="C1010" s="82"/>
    </row>
    <row r="1011" spans="1:3" x14ac:dyDescent="0.2">
      <c r="A1011" s="82"/>
      <c r="B1011" s="82"/>
      <c r="C1011" s="82"/>
    </row>
    <row r="1012" spans="1:3" x14ac:dyDescent="0.2">
      <c r="A1012" s="82"/>
      <c r="B1012" s="82"/>
      <c r="C1012" s="82"/>
    </row>
    <row r="1013" spans="1:3" x14ac:dyDescent="0.2">
      <c r="A1013" s="82"/>
      <c r="B1013" s="82"/>
      <c r="C1013" s="82"/>
    </row>
    <row r="1014" spans="1:3" x14ac:dyDescent="0.2">
      <c r="A1014" s="82"/>
      <c r="B1014" s="82"/>
      <c r="C1014" s="82"/>
    </row>
    <row r="1015" spans="1:3" x14ac:dyDescent="0.2">
      <c r="A1015" s="82"/>
      <c r="B1015" s="82"/>
      <c r="C1015" s="82"/>
    </row>
    <row r="1016" spans="1:3" x14ac:dyDescent="0.2">
      <c r="A1016" s="82"/>
      <c r="B1016" s="82"/>
      <c r="C1016" s="82"/>
    </row>
    <row r="1017" spans="1:3" x14ac:dyDescent="0.2">
      <c r="A1017" s="82"/>
      <c r="B1017" s="82"/>
      <c r="C1017" s="82"/>
    </row>
    <row r="1018" spans="1:3" x14ac:dyDescent="0.2">
      <c r="A1018" s="82"/>
      <c r="B1018" s="82"/>
      <c r="C1018" s="82"/>
    </row>
    <row r="1019" spans="1:3" x14ac:dyDescent="0.2">
      <c r="A1019" s="82"/>
      <c r="B1019" s="82"/>
      <c r="C1019" s="82"/>
    </row>
    <row r="1020" spans="1:3" x14ac:dyDescent="0.2">
      <c r="A1020" s="82"/>
      <c r="B1020" s="82"/>
      <c r="C1020" s="82"/>
    </row>
    <row r="1021" spans="1:3" x14ac:dyDescent="0.2">
      <c r="A1021" s="82"/>
      <c r="B1021" s="82"/>
      <c r="C1021" s="82"/>
    </row>
    <row r="1022" spans="1:3" x14ac:dyDescent="0.2">
      <c r="A1022" s="82"/>
      <c r="B1022" s="82"/>
      <c r="C1022" s="82"/>
    </row>
    <row r="1023" spans="1:3" x14ac:dyDescent="0.2">
      <c r="A1023" s="82"/>
      <c r="B1023" s="82"/>
      <c r="C1023" s="82"/>
    </row>
    <row r="1024" spans="1:3" x14ac:dyDescent="0.2">
      <c r="A1024" s="82"/>
      <c r="B1024" s="82"/>
      <c r="C1024" s="82"/>
    </row>
    <row r="1025" spans="1:3" x14ac:dyDescent="0.2">
      <c r="A1025" s="82"/>
      <c r="B1025" s="82"/>
      <c r="C1025" s="82"/>
    </row>
    <row r="1026" spans="1:3" x14ac:dyDescent="0.2">
      <c r="A1026" s="82"/>
      <c r="B1026" s="82"/>
      <c r="C1026" s="82"/>
    </row>
    <row r="1027" spans="1:3" x14ac:dyDescent="0.2">
      <c r="A1027" s="82"/>
      <c r="B1027" s="82"/>
      <c r="C1027" s="82"/>
    </row>
    <row r="1028" spans="1:3" x14ac:dyDescent="0.2">
      <c r="A1028" s="82"/>
      <c r="B1028" s="82"/>
      <c r="C1028" s="82"/>
    </row>
    <row r="1029" spans="1:3" x14ac:dyDescent="0.2">
      <c r="A1029" s="82"/>
      <c r="B1029" s="82"/>
      <c r="C1029" s="82"/>
    </row>
    <row r="1030" spans="1:3" x14ac:dyDescent="0.2">
      <c r="A1030" s="82"/>
      <c r="B1030" s="82"/>
      <c r="C1030" s="82"/>
    </row>
    <row r="1031" spans="1:3" x14ac:dyDescent="0.2">
      <c r="A1031" s="82"/>
      <c r="B1031" s="82"/>
      <c r="C1031" s="82"/>
    </row>
    <row r="1032" spans="1:3" x14ac:dyDescent="0.2">
      <c r="A1032" s="82"/>
      <c r="B1032" s="82"/>
      <c r="C1032" s="82"/>
    </row>
    <row r="1033" spans="1:3" x14ac:dyDescent="0.2">
      <c r="A1033" s="82"/>
      <c r="B1033" s="82"/>
      <c r="C1033" s="82"/>
    </row>
    <row r="1034" spans="1:3" x14ac:dyDescent="0.2">
      <c r="A1034" s="82"/>
      <c r="B1034" s="82"/>
      <c r="C1034" s="82"/>
    </row>
    <row r="1035" spans="1:3" x14ac:dyDescent="0.2">
      <c r="A1035" s="82"/>
      <c r="B1035" s="82"/>
      <c r="C1035" s="82"/>
    </row>
    <row r="1036" spans="1:3" x14ac:dyDescent="0.2">
      <c r="A1036" s="82"/>
      <c r="B1036" s="82"/>
      <c r="C1036" s="82"/>
    </row>
    <row r="1037" spans="1:3" x14ac:dyDescent="0.2">
      <c r="A1037" s="82"/>
      <c r="B1037" s="82"/>
      <c r="C1037" s="82"/>
    </row>
    <row r="1038" spans="1:3" x14ac:dyDescent="0.2">
      <c r="A1038" s="82"/>
      <c r="B1038" s="82"/>
      <c r="C1038" s="82"/>
    </row>
    <row r="1039" spans="1:3" x14ac:dyDescent="0.2">
      <c r="A1039" s="82"/>
      <c r="B1039" s="82"/>
      <c r="C1039" s="82"/>
    </row>
    <row r="1040" spans="1:3" x14ac:dyDescent="0.2">
      <c r="A1040" s="82"/>
      <c r="B1040" s="82"/>
      <c r="C1040" s="82"/>
    </row>
    <row r="1041" spans="1:3" x14ac:dyDescent="0.2">
      <c r="A1041" s="82"/>
      <c r="B1041" s="82"/>
      <c r="C1041" s="82"/>
    </row>
    <row r="1042" spans="1:3" x14ac:dyDescent="0.2">
      <c r="A1042" s="82"/>
      <c r="B1042" s="82"/>
      <c r="C1042" s="82"/>
    </row>
    <row r="1043" spans="1:3" x14ac:dyDescent="0.2">
      <c r="A1043" s="82"/>
      <c r="B1043" s="82"/>
      <c r="C1043" s="82"/>
    </row>
    <row r="1044" spans="1:3" x14ac:dyDescent="0.2">
      <c r="A1044" s="82"/>
      <c r="B1044" s="82"/>
      <c r="C1044" s="82"/>
    </row>
    <row r="1045" spans="1:3" x14ac:dyDescent="0.2">
      <c r="A1045" s="82"/>
      <c r="B1045" s="82"/>
      <c r="C1045" s="82"/>
    </row>
    <row r="1046" spans="1:3" x14ac:dyDescent="0.2">
      <c r="A1046" s="82"/>
      <c r="B1046" s="82"/>
      <c r="C1046" s="82"/>
    </row>
    <row r="1047" spans="1:3" x14ac:dyDescent="0.2">
      <c r="A1047" s="82"/>
      <c r="B1047" s="82"/>
      <c r="C1047" s="82"/>
    </row>
    <row r="1048" spans="1:3" x14ac:dyDescent="0.2">
      <c r="A1048" s="82"/>
      <c r="B1048" s="82"/>
      <c r="C1048" s="82"/>
    </row>
    <row r="1049" spans="1:3" x14ac:dyDescent="0.2">
      <c r="A1049" s="82"/>
      <c r="B1049" s="82"/>
      <c r="C1049" s="82"/>
    </row>
    <row r="1050" spans="1:3" x14ac:dyDescent="0.2">
      <c r="A1050" s="82"/>
      <c r="B1050" s="82"/>
      <c r="C1050" s="82"/>
    </row>
    <row r="1051" spans="1:3" x14ac:dyDescent="0.2">
      <c r="A1051" s="82"/>
      <c r="B1051" s="82"/>
      <c r="C1051" s="82"/>
    </row>
    <row r="1052" spans="1:3" x14ac:dyDescent="0.2">
      <c r="A1052" s="82"/>
      <c r="B1052" s="82"/>
      <c r="C1052" s="82"/>
    </row>
    <row r="1053" spans="1:3" x14ac:dyDescent="0.2">
      <c r="A1053" s="82"/>
      <c r="B1053" s="82"/>
      <c r="C1053" s="82"/>
    </row>
    <row r="1054" spans="1:3" x14ac:dyDescent="0.2">
      <c r="A1054" s="82"/>
      <c r="B1054" s="82"/>
      <c r="C1054" s="82"/>
    </row>
    <row r="1055" spans="1:3" x14ac:dyDescent="0.2">
      <c r="A1055" s="82"/>
      <c r="B1055" s="82"/>
      <c r="C1055" s="82"/>
    </row>
    <row r="1056" spans="1:3" x14ac:dyDescent="0.2">
      <c r="A1056" s="82"/>
      <c r="B1056" s="82"/>
      <c r="C1056" s="82"/>
    </row>
    <row r="1057" spans="1:3" x14ac:dyDescent="0.2">
      <c r="A1057" s="82"/>
      <c r="B1057" s="82"/>
      <c r="C1057" s="82"/>
    </row>
    <row r="1058" spans="1:3" x14ac:dyDescent="0.2">
      <c r="A1058" s="82"/>
      <c r="B1058" s="82"/>
      <c r="C1058" s="82"/>
    </row>
    <row r="1059" spans="1:3" x14ac:dyDescent="0.2">
      <c r="A1059" s="82"/>
      <c r="B1059" s="82"/>
      <c r="C1059" s="82"/>
    </row>
    <row r="1060" spans="1:3" x14ac:dyDescent="0.2">
      <c r="A1060" s="82"/>
      <c r="B1060" s="82"/>
      <c r="C1060" s="82"/>
    </row>
    <row r="1061" spans="1:3" x14ac:dyDescent="0.2">
      <c r="A1061" s="82"/>
      <c r="B1061" s="82"/>
      <c r="C1061" s="82"/>
    </row>
    <row r="1062" spans="1:3" x14ac:dyDescent="0.2">
      <c r="A1062" s="82"/>
      <c r="B1062" s="82"/>
      <c r="C1062" s="82"/>
    </row>
    <row r="1063" spans="1:3" x14ac:dyDescent="0.2">
      <c r="A1063" s="82"/>
      <c r="B1063" s="82"/>
      <c r="C1063" s="82"/>
    </row>
    <row r="1064" spans="1:3" x14ac:dyDescent="0.2">
      <c r="A1064" s="82"/>
      <c r="B1064" s="82"/>
      <c r="C1064" s="82"/>
    </row>
    <row r="1065" spans="1:3" x14ac:dyDescent="0.2">
      <c r="A1065" s="82"/>
      <c r="B1065" s="82"/>
      <c r="C1065" s="82"/>
    </row>
    <row r="1066" spans="1:3" x14ac:dyDescent="0.2">
      <c r="A1066" s="82"/>
      <c r="B1066" s="82"/>
      <c r="C1066" s="82"/>
    </row>
    <row r="1067" spans="1:3" x14ac:dyDescent="0.2">
      <c r="A1067" s="82"/>
      <c r="B1067" s="82"/>
      <c r="C1067" s="82"/>
    </row>
    <row r="1068" spans="1:3" x14ac:dyDescent="0.2">
      <c r="A1068" s="82"/>
      <c r="B1068" s="82"/>
      <c r="C1068" s="82"/>
    </row>
    <row r="1069" spans="1:3" x14ac:dyDescent="0.2">
      <c r="A1069" s="82"/>
      <c r="B1069" s="82"/>
      <c r="C1069" s="82"/>
    </row>
    <row r="1070" spans="1:3" x14ac:dyDescent="0.2">
      <c r="A1070" s="82"/>
      <c r="B1070" s="82"/>
      <c r="C1070" s="82"/>
    </row>
    <row r="1071" spans="1:3" x14ac:dyDescent="0.2">
      <c r="A1071" s="82"/>
      <c r="B1071" s="82"/>
      <c r="C1071" s="82"/>
    </row>
    <row r="1072" spans="1:3" x14ac:dyDescent="0.2">
      <c r="A1072" s="82"/>
      <c r="B1072" s="82"/>
      <c r="C1072" s="82"/>
    </row>
    <row r="1073" spans="1:3" x14ac:dyDescent="0.2">
      <c r="A1073" s="82"/>
      <c r="B1073" s="82"/>
      <c r="C1073" s="82"/>
    </row>
    <row r="1074" spans="1:3" x14ac:dyDescent="0.2">
      <c r="A1074" s="82"/>
      <c r="B1074" s="82"/>
      <c r="C1074" s="82"/>
    </row>
    <row r="1075" spans="1:3" x14ac:dyDescent="0.2">
      <c r="A1075" s="82"/>
      <c r="B1075" s="82"/>
      <c r="C1075" s="82"/>
    </row>
    <row r="1076" spans="1:3" x14ac:dyDescent="0.2">
      <c r="A1076" s="82"/>
      <c r="B1076" s="82"/>
      <c r="C1076" s="82"/>
    </row>
    <row r="1077" spans="1:3" x14ac:dyDescent="0.2">
      <c r="A1077" s="82"/>
      <c r="B1077" s="82"/>
      <c r="C1077" s="82"/>
    </row>
    <row r="1078" spans="1:3" x14ac:dyDescent="0.2">
      <c r="A1078" s="82"/>
      <c r="B1078" s="82"/>
      <c r="C1078" s="82"/>
    </row>
    <row r="1079" spans="1:3" x14ac:dyDescent="0.2">
      <c r="A1079" s="82"/>
      <c r="B1079" s="82"/>
      <c r="C1079" s="82"/>
    </row>
    <row r="1080" spans="1:3" x14ac:dyDescent="0.2">
      <c r="A1080" s="82"/>
      <c r="B1080" s="82"/>
      <c r="C1080" s="82"/>
    </row>
    <row r="1081" spans="1:3" x14ac:dyDescent="0.2">
      <c r="A1081" s="82"/>
      <c r="B1081" s="82"/>
      <c r="C1081" s="82"/>
    </row>
    <row r="1082" spans="1:3" x14ac:dyDescent="0.2">
      <c r="A1082" s="82"/>
      <c r="B1082" s="82"/>
      <c r="C1082" s="82"/>
    </row>
    <row r="1083" spans="1:3" x14ac:dyDescent="0.2">
      <c r="A1083" s="82"/>
      <c r="B1083" s="82"/>
      <c r="C1083" s="82"/>
    </row>
    <row r="1084" spans="1:3" x14ac:dyDescent="0.2">
      <c r="A1084" s="82"/>
      <c r="B1084" s="82"/>
      <c r="C1084" s="82"/>
    </row>
    <row r="1085" spans="1:3" x14ac:dyDescent="0.2">
      <c r="A1085" s="82"/>
      <c r="B1085" s="82"/>
      <c r="C1085" s="82"/>
    </row>
    <row r="1086" spans="1:3" x14ac:dyDescent="0.2">
      <c r="A1086" s="82"/>
      <c r="B1086" s="82"/>
      <c r="C1086" s="82"/>
    </row>
    <row r="1087" spans="1:3" x14ac:dyDescent="0.2">
      <c r="A1087" s="82"/>
      <c r="B1087" s="82"/>
      <c r="C1087" s="82"/>
    </row>
    <row r="1088" spans="1:3" x14ac:dyDescent="0.2">
      <c r="A1088" s="82"/>
      <c r="B1088" s="82"/>
      <c r="C1088" s="82"/>
    </row>
    <row r="1089" spans="1:3" x14ac:dyDescent="0.2">
      <c r="A1089" s="82"/>
      <c r="B1089" s="82"/>
      <c r="C1089" s="82"/>
    </row>
    <row r="1090" spans="1:3" x14ac:dyDescent="0.2">
      <c r="A1090" s="82"/>
      <c r="B1090" s="82"/>
      <c r="C1090" s="82"/>
    </row>
    <row r="1091" spans="1:3" x14ac:dyDescent="0.2">
      <c r="A1091" s="82"/>
      <c r="B1091" s="82"/>
      <c r="C1091" s="82"/>
    </row>
    <row r="1092" spans="1:3" x14ac:dyDescent="0.2">
      <c r="A1092" s="82"/>
      <c r="B1092" s="82"/>
      <c r="C1092" s="82"/>
    </row>
    <row r="1093" spans="1:3" x14ac:dyDescent="0.2">
      <c r="A1093" s="82"/>
      <c r="B1093" s="82"/>
      <c r="C1093" s="82"/>
    </row>
    <row r="1094" spans="1:3" x14ac:dyDescent="0.2">
      <c r="A1094" s="82"/>
      <c r="B1094" s="82"/>
      <c r="C1094" s="82"/>
    </row>
    <row r="1095" spans="1:3" x14ac:dyDescent="0.2">
      <c r="A1095" s="82"/>
      <c r="B1095" s="82"/>
      <c r="C1095" s="82"/>
    </row>
    <row r="1096" spans="1:3" x14ac:dyDescent="0.2">
      <c r="A1096" s="82"/>
      <c r="B1096" s="82"/>
      <c r="C1096" s="82"/>
    </row>
    <row r="1097" spans="1:3" x14ac:dyDescent="0.2">
      <c r="A1097" s="82"/>
      <c r="B1097" s="82"/>
      <c r="C1097" s="82"/>
    </row>
    <row r="1098" spans="1:3" x14ac:dyDescent="0.2">
      <c r="A1098" s="82"/>
      <c r="B1098" s="82"/>
      <c r="C1098" s="82"/>
    </row>
    <row r="1099" spans="1:3" x14ac:dyDescent="0.2">
      <c r="A1099" s="82"/>
      <c r="B1099" s="82"/>
      <c r="C1099" s="82"/>
    </row>
    <row r="1100" spans="1:3" x14ac:dyDescent="0.2">
      <c r="A1100" s="82"/>
      <c r="B1100" s="82"/>
      <c r="C1100" s="82"/>
    </row>
    <row r="1101" spans="1:3" x14ac:dyDescent="0.2">
      <c r="A1101" s="82"/>
      <c r="B1101" s="82"/>
      <c r="C1101" s="82"/>
    </row>
    <row r="1102" spans="1:3" x14ac:dyDescent="0.2">
      <c r="A1102" s="82"/>
      <c r="B1102" s="82"/>
      <c r="C1102" s="82"/>
    </row>
    <row r="1103" spans="1:3" x14ac:dyDescent="0.2">
      <c r="A1103" s="82"/>
      <c r="B1103" s="82"/>
      <c r="C1103" s="82"/>
    </row>
    <row r="1104" spans="1:3" x14ac:dyDescent="0.2">
      <c r="A1104" s="82"/>
      <c r="B1104" s="82"/>
      <c r="C1104" s="82"/>
    </row>
    <row r="1105" spans="1:3" x14ac:dyDescent="0.2">
      <c r="A1105" s="82"/>
      <c r="B1105" s="82"/>
      <c r="C1105" s="82"/>
    </row>
    <row r="1106" spans="1:3" x14ac:dyDescent="0.2">
      <c r="A1106" s="82"/>
      <c r="B1106" s="82"/>
      <c r="C1106" s="82"/>
    </row>
    <row r="1107" spans="1:3" x14ac:dyDescent="0.2">
      <c r="A1107" s="82"/>
      <c r="B1107" s="82"/>
      <c r="C1107" s="82"/>
    </row>
    <row r="1108" spans="1:3" x14ac:dyDescent="0.2">
      <c r="A1108" s="82"/>
      <c r="B1108" s="82"/>
      <c r="C1108" s="82"/>
    </row>
    <row r="1109" spans="1:3" x14ac:dyDescent="0.2">
      <c r="A1109" s="82"/>
      <c r="B1109" s="82"/>
      <c r="C1109" s="82"/>
    </row>
    <row r="1110" spans="1:3" x14ac:dyDescent="0.2">
      <c r="A1110" s="82"/>
      <c r="B1110" s="82"/>
      <c r="C1110" s="82"/>
    </row>
    <row r="1111" spans="1:3" x14ac:dyDescent="0.2">
      <c r="A1111" s="82"/>
      <c r="B1111" s="82"/>
      <c r="C1111" s="82"/>
    </row>
    <row r="1112" spans="1:3" x14ac:dyDescent="0.2">
      <c r="A1112" s="82"/>
      <c r="B1112" s="82"/>
      <c r="C1112" s="82"/>
    </row>
    <row r="1113" spans="1:3" x14ac:dyDescent="0.2">
      <c r="A1113" s="82"/>
      <c r="B1113" s="82"/>
      <c r="C1113" s="82"/>
    </row>
    <row r="1114" spans="1:3" x14ac:dyDescent="0.2">
      <c r="A1114" s="82"/>
      <c r="B1114" s="82"/>
      <c r="C1114" s="82"/>
    </row>
    <row r="1115" spans="1:3" x14ac:dyDescent="0.2">
      <c r="A1115" s="82"/>
      <c r="B1115" s="82"/>
      <c r="C1115" s="82"/>
    </row>
    <row r="1116" spans="1:3" x14ac:dyDescent="0.2">
      <c r="A1116" s="82"/>
      <c r="B1116" s="82"/>
      <c r="C1116" s="82"/>
    </row>
    <row r="1117" spans="1:3" x14ac:dyDescent="0.2">
      <c r="A1117" s="82"/>
      <c r="B1117" s="82"/>
      <c r="C1117" s="82"/>
    </row>
    <row r="1118" spans="1:3" x14ac:dyDescent="0.2">
      <c r="A1118" s="82"/>
      <c r="B1118" s="82"/>
      <c r="C1118" s="82"/>
    </row>
    <row r="1119" spans="1:3" x14ac:dyDescent="0.2">
      <c r="A1119" s="82"/>
      <c r="B1119" s="82"/>
      <c r="C1119" s="82"/>
    </row>
    <row r="1120" spans="1:3" x14ac:dyDescent="0.2">
      <c r="A1120" s="82"/>
      <c r="B1120" s="82"/>
      <c r="C1120" s="82"/>
    </row>
    <row r="1121" spans="1:3" x14ac:dyDescent="0.2">
      <c r="A1121" s="82"/>
      <c r="B1121" s="82"/>
      <c r="C1121" s="82"/>
    </row>
    <row r="1122" spans="1:3" x14ac:dyDescent="0.2">
      <c r="A1122" s="82"/>
      <c r="B1122" s="82"/>
      <c r="C1122" s="82"/>
    </row>
    <row r="1123" spans="1:3" x14ac:dyDescent="0.2">
      <c r="A1123" s="82"/>
      <c r="B1123" s="82"/>
      <c r="C1123" s="82"/>
    </row>
    <row r="1124" spans="1:3" x14ac:dyDescent="0.2">
      <c r="A1124" s="82"/>
      <c r="B1124" s="82"/>
      <c r="C1124" s="82"/>
    </row>
    <row r="1125" spans="1:3" x14ac:dyDescent="0.2">
      <c r="A1125" s="82"/>
      <c r="B1125" s="82"/>
      <c r="C1125" s="82"/>
    </row>
    <row r="1126" spans="1:3" x14ac:dyDescent="0.2">
      <c r="A1126" s="82"/>
      <c r="B1126" s="82"/>
      <c r="C1126" s="82"/>
    </row>
    <row r="1127" spans="1:3" x14ac:dyDescent="0.2">
      <c r="A1127" s="82"/>
      <c r="B1127" s="82"/>
      <c r="C1127" s="82"/>
    </row>
    <row r="1128" spans="1:3" x14ac:dyDescent="0.2">
      <c r="A1128" s="82"/>
      <c r="B1128" s="82"/>
      <c r="C1128" s="82"/>
    </row>
    <row r="1129" spans="1:3" x14ac:dyDescent="0.2">
      <c r="A1129" s="82"/>
      <c r="B1129" s="82"/>
      <c r="C1129" s="82"/>
    </row>
    <row r="1130" spans="1:3" x14ac:dyDescent="0.2">
      <c r="A1130" s="82"/>
      <c r="B1130" s="82"/>
      <c r="C1130" s="82"/>
    </row>
    <row r="1131" spans="1:3" x14ac:dyDescent="0.2">
      <c r="A1131" s="82"/>
      <c r="B1131" s="82"/>
      <c r="C1131" s="82"/>
    </row>
    <row r="1132" spans="1:3" x14ac:dyDescent="0.2">
      <c r="A1132" s="82"/>
      <c r="B1132" s="82"/>
      <c r="C1132" s="82"/>
    </row>
    <row r="1133" spans="1:3" x14ac:dyDescent="0.2">
      <c r="A1133" s="82"/>
      <c r="B1133" s="82"/>
      <c r="C1133" s="82"/>
    </row>
    <row r="1134" spans="1:3" x14ac:dyDescent="0.2">
      <c r="A1134" s="82"/>
      <c r="B1134" s="82"/>
      <c r="C1134" s="82"/>
    </row>
    <row r="1135" spans="1:3" x14ac:dyDescent="0.2">
      <c r="A1135" s="82"/>
      <c r="B1135" s="82"/>
      <c r="C1135" s="82"/>
    </row>
    <row r="1136" spans="1:3" x14ac:dyDescent="0.2">
      <c r="A1136" s="82"/>
      <c r="B1136" s="82"/>
      <c r="C1136" s="82"/>
    </row>
    <row r="1137" spans="1:3" x14ac:dyDescent="0.2">
      <c r="A1137" s="82"/>
      <c r="B1137" s="82"/>
      <c r="C1137" s="82"/>
    </row>
    <row r="1138" spans="1:3" x14ac:dyDescent="0.2">
      <c r="A1138" s="82"/>
      <c r="B1138" s="82"/>
      <c r="C1138" s="82"/>
    </row>
    <row r="1139" spans="1:3" x14ac:dyDescent="0.2">
      <c r="A1139" s="82"/>
      <c r="B1139" s="82"/>
      <c r="C1139" s="82"/>
    </row>
    <row r="1140" spans="1:3" x14ac:dyDescent="0.2">
      <c r="A1140" s="82"/>
      <c r="B1140" s="82"/>
      <c r="C1140" s="82"/>
    </row>
    <row r="1141" spans="1:3" x14ac:dyDescent="0.2">
      <c r="A1141" s="82"/>
      <c r="B1141" s="82"/>
      <c r="C1141" s="82"/>
    </row>
    <row r="1142" spans="1:3" x14ac:dyDescent="0.2">
      <c r="A1142" s="82"/>
      <c r="B1142" s="82"/>
      <c r="C1142" s="82"/>
    </row>
    <row r="1143" spans="1:3" x14ac:dyDescent="0.2">
      <c r="A1143" s="82"/>
      <c r="B1143" s="82"/>
      <c r="C1143" s="82"/>
    </row>
    <row r="1144" spans="1:3" x14ac:dyDescent="0.2">
      <c r="A1144" s="82"/>
      <c r="B1144" s="82"/>
      <c r="C1144" s="82"/>
    </row>
    <row r="1145" spans="1:3" x14ac:dyDescent="0.2">
      <c r="A1145" s="82"/>
      <c r="B1145" s="82"/>
      <c r="C1145" s="82"/>
    </row>
    <row r="1146" spans="1:3" x14ac:dyDescent="0.2">
      <c r="A1146" s="82"/>
      <c r="B1146" s="82"/>
      <c r="C1146" s="82"/>
    </row>
    <row r="1147" spans="1:3" x14ac:dyDescent="0.2">
      <c r="A1147" s="82"/>
      <c r="B1147" s="82"/>
      <c r="C1147" s="82"/>
    </row>
    <row r="1148" spans="1:3" x14ac:dyDescent="0.2">
      <c r="A1148" s="82"/>
      <c r="B1148" s="82"/>
      <c r="C1148" s="82"/>
    </row>
    <row r="1149" spans="1:3" x14ac:dyDescent="0.2">
      <c r="A1149" s="82"/>
      <c r="B1149" s="82"/>
      <c r="C1149" s="82"/>
    </row>
    <row r="1150" spans="1:3" x14ac:dyDescent="0.2">
      <c r="A1150" s="82"/>
      <c r="B1150" s="82"/>
      <c r="C1150" s="82"/>
    </row>
    <row r="1151" spans="1:3" x14ac:dyDescent="0.2">
      <c r="A1151" s="82"/>
      <c r="B1151" s="82"/>
      <c r="C1151" s="82"/>
    </row>
    <row r="1152" spans="1:3" x14ac:dyDescent="0.2">
      <c r="A1152" s="82"/>
      <c r="B1152" s="82"/>
      <c r="C1152" s="82"/>
    </row>
    <row r="1153" spans="1:3" x14ac:dyDescent="0.2">
      <c r="A1153" s="82"/>
      <c r="B1153" s="82"/>
      <c r="C1153" s="82"/>
    </row>
    <row r="1154" spans="1:3" x14ac:dyDescent="0.2">
      <c r="A1154" s="82"/>
      <c r="B1154" s="82"/>
      <c r="C1154" s="82"/>
    </row>
    <row r="1155" spans="1:3" x14ac:dyDescent="0.2">
      <c r="A1155" s="82"/>
      <c r="B1155" s="82"/>
      <c r="C1155" s="82"/>
    </row>
    <row r="1156" spans="1:3" x14ac:dyDescent="0.2">
      <c r="A1156" s="82"/>
      <c r="B1156" s="82"/>
      <c r="C1156" s="82"/>
    </row>
    <row r="1157" spans="1:3" x14ac:dyDescent="0.2">
      <c r="A1157" s="82"/>
      <c r="B1157" s="82"/>
      <c r="C1157" s="82"/>
    </row>
    <row r="1158" spans="1:3" x14ac:dyDescent="0.2">
      <c r="A1158" s="82"/>
      <c r="B1158" s="82"/>
      <c r="C1158" s="82"/>
    </row>
    <row r="1159" spans="1:3" x14ac:dyDescent="0.2">
      <c r="A1159" s="82"/>
      <c r="B1159" s="82"/>
      <c r="C1159" s="82"/>
    </row>
    <row r="1160" spans="1:3" x14ac:dyDescent="0.2">
      <c r="A1160" s="82"/>
      <c r="B1160" s="82"/>
      <c r="C1160" s="82"/>
    </row>
    <row r="1161" spans="1:3" x14ac:dyDescent="0.2">
      <c r="A1161" s="82"/>
      <c r="B1161" s="82"/>
      <c r="C1161" s="82"/>
    </row>
    <row r="1162" spans="1:3" x14ac:dyDescent="0.2">
      <c r="A1162" s="82"/>
      <c r="B1162" s="82"/>
      <c r="C1162" s="82"/>
    </row>
    <row r="1163" spans="1:3" x14ac:dyDescent="0.2">
      <c r="A1163" s="82"/>
      <c r="B1163" s="82"/>
      <c r="C1163" s="82"/>
    </row>
    <row r="1164" spans="1:3" x14ac:dyDescent="0.2">
      <c r="A1164" s="82"/>
      <c r="B1164" s="82"/>
      <c r="C1164" s="82"/>
    </row>
    <row r="1165" spans="1:3" x14ac:dyDescent="0.2">
      <c r="A1165" s="82"/>
      <c r="B1165" s="82"/>
      <c r="C1165" s="82"/>
    </row>
    <row r="1166" spans="1:3" x14ac:dyDescent="0.2">
      <c r="A1166" s="82"/>
      <c r="B1166" s="82"/>
      <c r="C1166" s="82"/>
    </row>
    <row r="1167" spans="1:3" x14ac:dyDescent="0.2">
      <c r="A1167" s="82"/>
      <c r="B1167" s="82"/>
      <c r="C1167" s="82"/>
    </row>
    <row r="1168" spans="1:3" x14ac:dyDescent="0.2">
      <c r="A1168" s="82"/>
      <c r="B1168" s="82"/>
      <c r="C1168" s="82"/>
    </row>
    <row r="1169" spans="1:3" x14ac:dyDescent="0.2">
      <c r="A1169" s="82"/>
      <c r="B1169" s="82"/>
      <c r="C1169" s="82"/>
    </row>
    <row r="1170" spans="1:3" x14ac:dyDescent="0.2">
      <c r="A1170" s="82"/>
      <c r="B1170" s="82"/>
      <c r="C1170" s="82"/>
    </row>
    <row r="1171" spans="1:3" x14ac:dyDescent="0.2">
      <c r="A1171" s="82"/>
      <c r="B1171" s="82"/>
      <c r="C1171" s="82"/>
    </row>
    <row r="1172" spans="1:3" x14ac:dyDescent="0.2">
      <c r="A1172" s="82"/>
      <c r="B1172" s="82"/>
      <c r="C1172" s="82"/>
    </row>
    <row r="1173" spans="1:3" x14ac:dyDescent="0.2">
      <c r="A1173" s="82"/>
      <c r="B1173" s="82"/>
      <c r="C1173" s="82"/>
    </row>
    <row r="1174" spans="1:3" x14ac:dyDescent="0.2">
      <c r="A1174" s="82"/>
      <c r="B1174" s="82"/>
      <c r="C1174" s="82"/>
    </row>
    <row r="1175" spans="1:3" x14ac:dyDescent="0.2">
      <c r="A1175" s="82"/>
      <c r="B1175" s="82"/>
      <c r="C1175" s="82"/>
    </row>
    <row r="1176" spans="1:3" x14ac:dyDescent="0.2">
      <c r="A1176" s="82"/>
      <c r="B1176" s="82"/>
      <c r="C1176" s="82"/>
    </row>
    <row r="1177" spans="1:3" x14ac:dyDescent="0.2">
      <c r="A1177" s="82"/>
      <c r="B1177" s="82"/>
      <c r="C1177" s="82"/>
    </row>
    <row r="1178" spans="1:3" x14ac:dyDescent="0.2">
      <c r="A1178" s="82"/>
      <c r="B1178" s="82"/>
      <c r="C1178" s="82"/>
    </row>
    <row r="1179" spans="1:3" x14ac:dyDescent="0.2">
      <c r="A1179" s="82"/>
      <c r="B1179" s="82"/>
      <c r="C1179" s="82"/>
    </row>
    <row r="1180" spans="1:3" x14ac:dyDescent="0.2">
      <c r="A1180" s="82"/>
      <c r="B1180" s="82"/>
      <c r="C1180" s="82"/>
    </row>
    <row r="1181" spans="1:3" x14ac:dyDescent="0.2">
      <c r="A1181" s="82"/>
      <c r="B1181" s="82"/>
      <c r="C1181" s="82"/>
    </row>
    <row r="1182" spans="1:3" x14ac:dyDescent="0.2">
      <c r="A1182" s="82"/>
      <c r="B1182" s="82"/>
      <c r="C1182" s="82"/>
    </row>
    <row r="1183" spans="1:3" x14ac:dyDescent="0.2">
      <c r="A1183" s="82"/>
      <c r="B1183" s="82"/>
      <c r="C1183" s="82"/>
    </row>
    <row r="1184" spans="1:3" x14ac:dyDescent="0.2">
      <c r="A1184" s="82"/>
      <c r="B1184" s="82"/>
      <c r="C1184" s="82"/>
    </row>
    <row r="1185" spans="1:3" x14ac:dyDescent="0.2">
      <c r="A1185" s="82"/>
      <c r="B1185" s="82"/>
      <c r="C1185" s="82"/>
    </row>
    <row r="1186" spans="1:3" x14ac:dyDescent="0.2">
      <c r="A1186" s="82"/>
      <c r="B1186" s="82"/>
      <c r="C1186" s="82"/>
    </row>
    <row r="1187" spans="1:3" x14ac:dyDescent="0.2">
      <c r="A1187" s="82"/>
      <c r="B1187" s="82"/>
      <c r="C1187" s="82"/>
    </row>
    <row r="1188" spans="1:3" x14ac:dyDescent="0.2">
      <c r="A1188" s="82"/>
      <c r="B1188" s="82"/>
      <c r="C1188" s="82"/>
    </row>
    <row r="1189" spans="1:3" x14ac:dyDescent="0.2">
      <c r="A1189" s="82"/>
      <c r="B1189" s="82"/>
      <c r="C1189" s="82"/>
    </row>
    <row r="1190" spans="1:3" x14ac:dyDescent="0.2">
      <c r="A1190" s="82"/>
      <c r="B1190" s="82"/>
      <c r="C1190" s="82"/>
    </row>
    <row r="1191" spans="1:3" x14ac:dyDescent="0.2">
      <c r="A1191" s="82"/>
      <c r="B1191" s="82"/>
      <c r="C1191" s="82"/>
    </row>
    <row r="1192" spans="1:3" x14ac:dyDescent="0.2">
      <c r="A1192" s="82"/>
      <c r="B1192" s="82"/>
      <c r="C1192" s="82"/>
    </row>
    <row r="1193" spans="1:3" x14ac:dyDescent="0.2">
      <c r="A1193" s="82"/>
      <c r="B1193" s="82"/>
      <c r="C1193" s="82"/>
    </row>
    <row r="1194" spans="1:3" x14ac:dyDescent="0.2">
      <c r="A1194" s="82"/>
      <c r="B1194" s="82"/>
      <c r="C1194" s="82"/>
    </row>
    <row r="1195" spans="1:3" x14ac:dyDescent="0.2">
      <c r="A1195" s="82"/>
      <c r="B1195" s="82"/>
      <c r="C1195" s="82"/>
    </row>
    <row r="1196" spans="1:3" x14ac:dyDescent="0.2">
      <c r="A1196" s="82"/>
      <c r="B1196" s="82"/>
      <c r="C1196" s="82"/>
    </row>
    <row r="1197" spans="1:3" x14ac:dyDescent="0.2">
      <c r="A1197" s="82"/>
      <c r="B1197" s="82"/>
      <c r="C1197" s="82"/>
    </row>
    <row r="1198" spans="1:3" x14ac:dyDescent="0.2">
      <c r="A1198" s="82"/>
      <c r="B1198" s="82"/>
      <c r="C1198" s="82"/>
    </row>
    <row r="1199" spans="1:3" x14ac:dyDescent="0.2">
      <c r="A1199" s="82"/>
      <c r="B1199" s="82"/>
      <c r="C1199" s="82"/>
    </row>
    <row r="1200" spans="1:3" x14ac:dyDescent="0.2">
      <c r="A1200" s="82"/>
      <c r="B1200" s="82"/>
      <c r="C1200" s="82"/>
    </row>
    <row r="1201" spans="1:3" x14ac:dyDescent="0.2">
      <c r="A1201" s="82"/>
      <c r="B1201" s="82"/>
      <c r="C1201" s="82"/>
    </row>
    <row r="1202" spans="1:3" x14ac:dyDescent="0.2">
      <c r="A1202" s="82"/>
      <c r="B1202" s="82"/>
      <c r="C1202" s="82"/>
    </row>
    <row r="1203" spans="1:3" x14ac:dyDescent="0.2">
      <c r="A1203" s="82"/>
      <c r="B1203" s="82"/>
      <c r="C1203" s="82"/>
    </row>
    <row r="1204" spans="1:3" x14ac:dyDescent="0.2">
      <c r="A1204" s="82"/>
      <c r="B1204" s="82"/>
      <c r="C1204" s="82"/>
    </row>
    <row r="1205" spans="1:3" x14ac:dyDescent="0.2">
      <c r="A1205" s="82"/>
      <c r="B1205" s="82"/>
      <c r="C1205" s="82"/>
    </row>
    <row r="1206" spans="1:3" x14ac:dyDescent="0.2">
      <c r="A1206" s="82"/>
      <c r="B1206" s="82"/>
      <c r="C1206" s="82"/>
    </row>
    <row r="1207" spans="1:3" x14ac:dyDescent="0.2">
      <c r="A1207" s="82"/>
      <c r="B1207" s="82"/>
      <c r="C1207" s="82"/>
    </row>
    <row r="1208" spans="1:3" x14ac:dyDescent="0.2">
      <c r="A1208" s="82"/>
      <c r="B1208" s="82"/>
      <c r="C1208" s="82"/>
    </row>
    <row r="1209" spans="1:3" x14ac:dyDescent="0.2">
      <c r="A1209" s="82"/>
      <c r="B1209" s="82"/>
      <c r="C1209" s="82"/>
    </row>
    <row r="1210" spans="1:3" x14ac:dyDescent="0.2">
      <c r="A1210" s="82"/>
      <c r="B1210" s="82"/>
      <c r="C1210" s="82"/>
    </row>
    <row r="1211" spans="1:3" x14ac:dyDescent="0.2">
      <c r="A1211" s="82"/>
      <c r="B1211" s="82"/>
      <c r="C1211" s="82"/>
    </row>
    <row r="1212" spans="1:3" x14ac:dyDescent="0.2">
      <c r="A1212" s="82"/>
      <c r="B1212" s="82"/>
      <c r="C1212" s="82"/>
    </row>
    <row r="1213" spans="1:3" x14ac:dyDescent="0.2">
      <c r="A1213" s="82"/>
      <c r="B1213" s="82"/>
      <c r="C1213" s="82"/>
    </row>
    <row r="1214" spans="1:3" x14ac:dyDescent="0.2">
      <c r="A1214" s="82"/>
      <c r="B1214" s="82"/>
      <c r="C1214" s="82"/>
    </row>
    <row r="1215" spans="1:3" x14ac:dyDescent="0.2">
      <c r="A1215" s="82"/>
      <c r="B1215" s="82"/>
      <c r="C1215" s="82"/>
    </row>
    <row r="1216" spans="1:3" x14ac:dyDescent="0.2">
      <c r="A1216" s="82"/>
      <c r="B1216" s="82"/>
      <c r="C1216" s="82"/>
    </row>
    <row r="1217" spans="1:3" x14ac:dyDescent="0.2">
      <c r="A1217" s="82"/>
      <c r="B1217" s="82"/>
      <c r="C1217" s="82"/>
    </row>
    <row r="1218" spans="1:3" x14ac:dyDescent="0.2">
      <c r="A1218" s="82"/>
      <c r="B1218" s="82"/>
      <c r="C1218" s="82"/>
    </row>
    <row r="1219" spans="1:3" x14ac:dyDescent="0.2">
      <c r="A1219" s="82"/>
      <c r="B1219" s="82"/>
      <c r="C1219" s="82"/>
    </row>
    <row r="1220" spans="1:3" x14ac:dyDescent="0.2">
      <c r="A1220" s="82"/>
      <c r="B1220" s="82"/>
      <c r="C1220" s="82"/>
    </row>
    <row r="1221" spans="1:3" x14ac:dyDescent="0.2">
      <c r="A1221" s="82"/>
      <c r="B1221" s="82"/>
      <c r="C1221" s="82"/>
    </row>
    <row r="1222" spans="1:3" x14ac:dyDescent="0.2">
      <c r="A1222" s="82"/>
      <c r="B1222" s="82"/>
      <c r="C1222" s="82"/>
    </row>
    <row r="1223" spans="1:3" x14ac:dyDescent="0.2">
      <c r="A1223" s="82"/>
      <c r="B1223" s="82"/>
      <c r="C1223" s="82"/>
    </row>
    <row r="1224" spans="1:3" x14ac:dyDescent="0.2">
      <c r="A1224" s="82"/>
      <c r="B1224" s="82"/>
      <c r="C1224" s="82"/>
    </row>
    <row r="1225" spans="1:3" x14ac:dyDescent="0.2">
      <c r="A1225" s="82"/>
      <c r="B1225" s="82"/>
      <c r="C1225" s="82"/>
    </row>
    <row r="1226" spans="1:3" x14ac:dyDescent="0.2">
      <c r="A1226" s="82"/>
      <c r="B1226" s="82"/>
      <c r="C1226" s="82"/>
    </row>
    <row r="1227" spans="1:3" x14ac:dyDescent="0.2">
      <c r="A1227" s="82"/>
      <c r="B1227" s="82"/>
      <c r="C1227" s="82"/>
    </row>
    <row r="1228" spans="1:3" x14ac:dyDescent="0.2">
      <c r="A1228" s="82"/>
      <c r="B1228" s="82"/>
      <c r="C1228" s="82"/>
    </row>
    <row r="1229" spans="1:3" x14ac:dyDescent="0.2">
      <c r="A1229" s="82"/>
      <c r="B1229" s="82"/>
      <c r="C1229" s="82"/>
    </row>
    <row r="1230" spans="1:3" x14ac:dyDescent="0.2">
      <c r="A1230" s="82"/>
      <c r="B1230" s="82"/>
      <c r="C1230" s="82"/>
    </row>
    <row r="1231" spans="1:3" x14ac:dyDescent="0.2">
      <c r="A1231" s="82"/>
      <c r="B1231" s="82"/>
      <c r="C1231" s="82"/>
    </row>
    <row r="1232" spans="1:3" x14ac:dyDescent="0.2">
      <c r="A1232" s="82"/>
      <c r="B1232" s="82"/>
      <c r="C1232" s="82"/>
    </row>
    <row r="1233" spans="1:3" x14ac:dyDescent="0.2">
      <c r="A1233" s="82"/>
      <c r="B1233" s="82"/>
      <c r="C1233" s="82"/>
    </row>
    <row r="1234" spans="1:3" x14ac:dyDescent="0.2">
      <c r="A1234" s="82"/>
      <c r="B1234" s="82"/>
      <c r="C1234" s="82"/>
    </row>
    <row r="1235" spans="1:3" x14ac:dyDescent="0.2">
      <c r="A1235" s="82"/>
      <c r="B1235" s="82"/>
      <c r="C1235" s="82"/>
    </row>
    <row r="1236" spans="1:3" x14ac:dyDescent="0.2">
      <c r="A1236" s="82"/>
      <c r="B1236" s="82"/>
      <c r="C1236" s="82"/>
    </row>
    <row r="1237" spans="1:3" x14ac:dyDescent="0.2">
      <c r="A1237" s="82"/>
      <c r="B1237" s="82"/>
      <c r="C1237" s="82"/>
    </row>
    <row r="1238" spans="1:3" x14ac:dyDescent="0.2">
      <c r="A1238" s="82"/>
      <c r="B1238" s="82"/>
      <c r="C1238" s="82"/>
    </row>
    <row r="1239" spans="1:3" x14ac:dyDescent="0.2">
      <c r="A1239" s="82"/>
      <c r="B1239" s="82"/>
      <c r="C1239" s="82"/>
    </row>
    <row r="1240" spans="1:3" x14ac:dyDescent="0.2">
      <c r="A1240" s="82"/>
      <c r="B1240" s="82"/>
      <c r="C1240" s="82"/>
    </row>
    <row r="1241" spans="1:3" x14ac:dyDescent="0.2">
      <c r="A1241" s="82"/>
      <c r="B1241" s="82"/>
      <c r="C1241" s="82"/>
    </row>
    <row r="1242" spans="1:3" x14ac:dyDescent="0.2">
      <c r="A1242" s="82"/>
      <c r="B1242" s="82"/>
      <c r="C1242" s="82"/>
    </row>
    <row r="1243" spans="1:3" x14ac:dyDescent="0.2">
      <c r="A1243" s="82"/>
      <c r="B1243" s="82"/>
      <c r="C1243" s="82"/>
    </row>
    <row r="1244" spans="1:3" x14ac:dyDescent="0.2">
      <c r="A1244" s="82"/>
      <c r="B1244" s="82"/>
      <c r="C1244" s="82"/>
    </row>
    <row r="1245" spans="1:3" x14ac:dyDescent="0.2">
      <c r="A1245" s="82"/>
      <c r="B1245" s="82"/>
      <c r="C1245" s="82"/>
    </row>
    <row r="1246" spans="1:3" x14ac:dyDescent="0.2">
      <c r="A1246" s="82"/>
      <c r="B1246" s="82"/>
      <c r="C1246" s="82"/>
    </row>
    <row r="1247" spans="1:3" x14ac:dyDescent="0.2">
      <c r="A1247" s="82"/>
      <c r="B1247" s="82"/>
      <c r="C1247" s="82"/>
    </row>
    <row r="1248" spans="1:3" x14ac:dyDescent="0.2">
      <c r="A1248" s="82"/>
      <c r="B1248" s="82"/>
      <c r="C1248" s="82"/>
    </row>
    <row r="1249" spans="1:3" x14ac:dyDescent="0.2">
      <c r="A1249" s="82"/>
      <c r="B1249" s="82"/>
      <c r="C1249" s="82"/>
    </row>
    <row r="1250" spans="1:3" x14ac:dyDescent="0.2">
      <c r="A1250" s="82"/>
      <c r="B1250" s="82"/>
      <c r="C1250" s="82"/>
    </row>
    <row r="1251" spans="1:3" x14ac:dyDescent="0.2">
      <c r="A1251" s="82"/>
      <c r="B1251" s="82"/>
      <c r="C1251" s="82"/>
    </row>
    <row r="1252" spans="1:3" x14ac:dyDescent="0.2">
      <c r="A1252" s="82"/>
      <c r="B1252" s="82"/>
      <c r="C1252" s="82"/>
    </row>
    <row r="1253" spans="1:3" x14ac:dyDescent="0.2">
      <c r="A1253" s="82"/>
      <c r="B1253" s="82"/>
      <c r="C1253" s="82"/>
    </row>
    <row r="1254" spans="1:3" x14ac:dyDescent="0.2">
      <c r="A1254" s="82"/>
      <c r="B1254" s="82"/>
      <c r="C1254" s="82"/>
    </row>
    <row r="1255" spans="1:3" x14ac:dyDescent="0.2">
      <c r="A1255" s="82"/>
      <c r="B1255" s="82"/>
      <c r="C1255" s="82"/>
    </row>
    <row r="1256" spans="1:3" x14ac:dyDescent="0.2">
      <c r="A1256" s="82"/>
      <c r="B1256" s="82"/>
      <c r="C1256" s="82"/>
    </row>
    <row r="1257" spans="1:3" x14ac:dyDescent="0.2">
      <c r="A1257" s="82"/>
      <c r="B1257" s="82"/>
      <c r="C1257" s="82"/>
    </row>
    <row r="1258" spans="1:3" x14ac:dyDescent="0.2">
      <c r="A1258" s="82"/>
      <c r="B1258" s="82"/>
      <c r="C1258" s="82"/>
    </row>
    <row r="1259" spans="1:3" x14ac:dyDescent="0.2">
      <c r="A1259" s="82"/>
      <c r="B1259" s="82"/>
      <c r="C1259" s="82"/>
    </row>
    <row r="1260" spans="1:3" x14ac:dyDescent="0.2">
      <c r="A1260" s="82"/>
      <c r="B1260" s="82"/>
      <c r="C1260" s="82"/>
    </row>
    <row r="1261" spans="1:3" x14ac:dyDescent="0.2">
      <c r="A1261" s="82"/>
      <c r="B1261" s="82"/>
      <c r="C1261" s="82"/>
    </row>
    <row r="1262" spans="1:3" x14ac:dyDescent="0.2">
      <c r="A1262" s="82"/>
      <c r="B1262" s="82"/>
      <c r="C1262" s="82"/>
    </row>
    <row r="1263" spans="1:3" x14ac:dyDescent="0.2">
      <c r="A1263" s="82"/>
      <c r="B1263" s="82"/>
      <c r="C1263" s="82"/>
    </row>
    <row r="1264" spans="1:3" x14ac:dyDescent="0.2">
      <c r="A1264" s="82"/>
      <c r="B1264" s="82"/>
      <c r="C1264" s="82"/>
    </row>
    <row r="1265" spans="1:3" x14ac:dyDescent="0.2">
      <c r="A1265" s="82"/>
      <c r="B1265" s="82"/>
      <c r="C1265" s="82"/>
    </row>
    <row r="1266" spans="1:3" x14ac:dyDescent="0.2">
      <c r="A1266" s="82"/>
      <c r="B1266" s="82"/>
      <c r="C1266" s="82"/>
    </row>
    <row r="1267" spans="1:3" x14ac:dyDescent="0.2">
      <c r="A1267" s="82"/>
      <c r="B1267" s="82"/>
      <c r="C1267" s="82"/>
    </row>
    <row r="1268" spans="1:3" x14ac:dyDescent="0.2">
      <c r="A1268" s="82"/>
      <c r="B1268" s="82"/>
      <c r="C1268" s="82"/>
    </row>
    <row r="1269" spans="1:3" x14ac:dyDescent="0.2">
      <c r="A1269" s="82"/>
      <c r="B1269" s="82"/>
      <c r="C1269" s="82"/>
    </row>
    <row r="1270" spans="1:3" x14ac:dyDescent="0.2">
      <c r="A1270" s="82"/>
      <c r="B1270" s="82"/>
      <c r="C1270" s="82"/>
    </row>
    <row r="1271" spans="1:3" x14ac:dyDescent="0.2">
      <c r="A1271" s="82"/>
      <c r="B1271" s="82"/>
      <c r="C1271" s="82"/>
    </row>
    <row r="1272" spans="1:3" x14ac:dyDescent="0.2">
      <c r="A1272" s="82"/>
      <c r="B1272" s="82"/>
      <c r="C1272" s="82"/>
    </row>
    <row r="1273" spans="1:3" x14ac:dyDescent="0.2">
      <c r="A1273" s="82"/>
      <c r="B1273" s="82"/>
      <c r="C1273" s="82"/>
    </row>
    <row r="1274" spans="1:3" x14ac:dyDescent="0.2">
      <c r="A1274" s="82"/>
      <c r="B1274" s="82"/>
      <c r="C1274" s="82"/>
    </row>
    <row r="1275" spans="1:3" x14ac:dyDescent="0.2">
      <c r="A1275" s="82"/>
      <c r="B1275" s="82"/>
      <c r="C1275" s="82"/>
    </row>
    <row r="1276" spans="1:3" x14ac:dyDescent="0.2">
      <c r="A1276" s="82"/>
      <c r="B1276" s="82"/>
      <c r="C1276" s="82"/>
    </row>
    <row r="1277" spans="1:3" x14ac:dyDescent="0.2">
      <c r="A1277" s="82"/>
      <c r="B1277" s="82"/>
      <c r="C1277" s="82"/>
    </row>
    <row r="1278" spans="1:3" x14ac:dyDescent="0.2">
      <c r="A1278" s="82"/>
      <c r="B1278" s="82"/>
      <c r="C1278" s="82"/>
    </row>
    <row r="1279" spans="1:3" x14ac:dyDescent="0.2">
      <c r="A1279" s="82"/>
      <c r="B1279" s="82"/>
      <c r="C1279" s="82"/>
    </row>
    <row r="1280" spans="1:3" x14ac:dyDescent="0.2">
      <c r="A1280" s="82"/>
      <c r="B1280" s="82"/>
      <c r="C1280" s="82"/>
    </row>
    <row r="1281" spans="1:3" x14ac:dyDescent="0.2">
      <c r="A1281" s="82"/>
      <c r="B1281" s="82"/>
      <c r="C1281" s="82"/>
    </row>
    <row r="1282" spans="1:3" x14ac:dyDescent="0.2">
      <c r="A1282" s="82"/>
      <c r="B1282" s="82"/>
      <c r="C1282" s="82"/>
    </row>
    <row r="1283" spans="1:3" x14ac:dyDescent="0.2">
      <c r="A1283" s="82"/>
      <c r="B1283" s="82"/>
      <c r="C1283" s="82"/>
    </row>
    <row r="1284" spans="1:3" x14ac:dyDescent="0.2">
      <c r="A1284" s="82"/>
      <c r="B1284" s="82"/>
      <c r="C1284" s="82"/>
    </row>
    <row r="1285" spans="1:3" x14ac:dyDescent="0.2">
      <c r="A1285" s="82"/>
      <c r="B1285" s="82"/>
      <c r="C1285" s="82"/>
    </row>
    <row r="1286" spans="1:3" x14ac:dyDescent="0.2">
      <c r="A1286" s="82"/>
      <c r="B1286" s="82"/>
      <c r="C1286" s="82"/>
    </row>
    <row r="1287" spans="1:3" x14ac:dyDescent="0.2">
      <c r="A1287" s="82"/>
      <c r="B1287" s="82"/>
      <c r="C1287" s="82"/>
    </row>
    <row r="1288" spans="1:3" x14ac:dyDescent="0.2">
      <c r="A1288" s="82"/>
      <c r="B1288" s="82"/>
      <c r="C1288" s="82"/>
    </row>
    <row r="1289" spans="1:3" x14ac:dyDescent="0.2">
      <c r="A1289" s="82"/>
      <c r="B1289" s="82"/>
      <c r="C1289" s="82"/>
    </row>
    <row r="1290" spans="1:3" x14ac:dyDescent="0.2">
      <c r="A1290" s="82"/>
      <c r="B1290" s="82"/>
      <c r="C1290" s="82"/>
    </row>
    <row r="1291" spans="1:3" x14ac:dyDescent="0.2">
      <c r="A1291" s="82"/>
      <c r="B1291" s="82"/>
      <c r="C1291" s="82"/>
    </row>
    <row r="1292" spans="1:3" x14ac:dyDescent="0.2">
      <c r="A1292" s="82"/>
      <c r="B1292" s="82"/>
      <c r="C1292" s="82"/>
    </row>
    <row r="1293" spans="1:3" x14ac:dyDescent="0.2">
      <c r="A1293" s="82"/>
      <c r="B1293" s="82"/>
      <c r="C1293" s="82"/>
    </row>
    <row r="1294" spans="1:3" x14ac:dyDescent="0.2">
      <c r="A1294" s="82"/>
      <c r="B1294" s="82"/>
      <c r="C1294" s="82"/>
    </row>
    <row r="1295" spans="1:3" x14ac:dyDescent="0.2">
      <c r="A1295" s="82"/>
      <c r="B1295" s="82"/>
      <c r="C1295" s="82"/>
    </row>
    <row r="1296" spans="1:3" x14ac:dyDescent="0.2">
      <c r="A1296" s="82"/>
      <c r="B1296" s="82"/>
      <c r="C1296" s="82"/>
    </row>
    <row r="1297" spans="1:3" x14ac:dyDescent="0.2">
      <c r="A1297" s="82"/>
      <c r="B1297" s="82"/>
      <c r="C1297" s="82"/>
    </row>
    <row r="1298" spans="1:3" x14ac:dyDescent="0.2">
      <c r="A1298" s="82"/>
      <c r="B1298" s="82"/>
      <c r="C1298" s="82"/>
    </row>
    <row r="1299" spans="1:3" x14ac:dyDescent="0.2">
      <c r="A1299" s="82"/>
      <c r="B1299" s="82"/>
      <c r="C1299" s="82"/>
    </row>
    <row r="1300" spans="1:3" x14ac:dyDescent="0.2">
      <c r="A1300" s="82"/>
      <c r="B1300" s="82"/>
      <c r="C1300" s="82"/>
    </row>
    <row r="1301" spans="1:3" x14ac:dyDescent="0.2">
      <c r="A1301" s="82"/>
      <c r="B1301" s="82"/>
      <c r="C1301" s="82"/>
    </row>
    <row r="1302" spans="1:3" x14ac:dyDescent="0.2">
      <c r="A1302" s="82"/>
      <c r="B1302" s="82"/>
      <c r="C1302" s="82"/>
    </row>
    <row r="1303" spans="1:3" x14ac:dyDescent="0.2">
      <c r="A1303" s="82"/>
      <c r="B1303" s="82"/>
      <c r="C1303" s="82"/>
    </row>
    <row r="1304" spans="1:3" x14ac:dyDescent="0.2">
      <c r="A1304" s="82"/>
      <c r="B1304" s="82"/>
      <c r="C1304" s="82"/>
    </row>
    <row r="1305" spans="1:3" x14ac:dyDescent="0.2">
      <c r="A1305" s="82"/>
      <c r="B1305" s="82"/>
      <c r="C1305" s="82"/>
    </row>
    <row r="1306" spans="1:3" x14ac:dyDescent="0.2">
      <c r="A1306" s="82"/>
      <c r="B1306" s="82"/>
      <c r="C1306" s="82"/>
    </row>
    <row r="1307" spans="1:3" x14ac:dyDescent="0.2">
      <c r="A1307" s="82"/>
      <c r="B1307" s="82"/>
      <c r="C1307" s="82"/>
    </row>
    <row r="1308" spans="1:3" x14ac:dyDescent="0.2">
      <c r="A1308" s="82"/>
      <c r="B1308" s="82"/>
      <c r="C1308" s="82"/>
    </row>
    <row r="1309" spans="1:3" x14ac:dyDescent="0.2">
      <c r="A1309" s="82"/>
      <c r="B1309" s="82"/>
      <c r="C1309" s="82"/>
    </row>
    <row r="1310" spans="1:3" x14ac:dyDescent="0.2">
      <c r="A1310" s="82"/>
      <c r="B1310" s="82"/>
      <c r="C1310" s="82"/>
    </row>
    <row r="1311" spans="1:3" x14ac:dyDescent="0.2">
      <c r="A1311" s="82"/>
      <c r="B1311" s="82"/>
      <c r="C1311" s="82"/>
    </row>
    <row r="1312" spans="1:3" x14ac:dyDescent="0.2">
      <c r="A1312" s="82"/>
      <c r="B1312" s="82"/>
      <c r="C1312" s="82"/>
    </row>
    <row r="1313" spans="1:3" x14ac:dyDescent="0.2">
      <c r="A1313" s="82"/>
      <c r="B1313" s="82"/>
      <c r="C1313" s="82"/>
    </row>
    <row r="1314" spans="1:3" x14ac:dyDescent="0.2">
      <c r="A1314" s="82"/>
      <c r="B1314" s="82"/>
      <c r="C1314" s="82"/>
    </row>
    <row r="1315" spans="1:3" x14ac:dyDescent="0.2">
      <c r="A1315" s="82"/>
      <c r="B1315" s="82"/>
      <c r="C1315" s="82"/>
    </row>
    <row r="1316" spans="1:3" x14ac:dyDescent="0.2">
      <c r="A1316" s="82"/>
      <c r="B1316" s="82"/>
      <c r="C1316" s="82"/>
    </row>
    <row r="1317" spans="1:3" x14ac:dyDescent="0.2">
      <c r="A1317" s="82"/>
      <c r="B1317" s="82"/>
      <c r="C1317" s="82"/>
    </row>
    <row r="1318" spans="1:3" x14ac:dyDescent="0.2">
      <c r="A1318" s="82"/>
      <c r="B1318" s="82"/>
      <c r="C1318" s="82"/>
    </row>
    <row r="1319" spans="1:3" x14ac:dyDescent="0.2">
      <c r="A1319" s="82"/>
      <c r="B1319" s="82"/>
      <c r="C1319" s="82"/>
    </row>
    <row r="1320" spans="1:3" x14ac:dyDescent="0.2">
      <c r="A1320" s="82"/>
      <c r="B1320" s="82"/>
      <c r="C1320" s="82"/>
    </row>
    <row r="1321" spans="1:3" x14ac:dyDescent="0.2">
      <c r="A1321" s="82"/>
      <c r="B1321" s="82"/>
      <c r="C1321" s="82"/>
    </row>
    <row r="1322" spans="1:3" x14ac:dyDescent="0.2">
      <c r="A1322" s="82"/>
      <c r="B1322" s="82"/>
      <c r="C1322" s="82"/>
    </row>
    <row r="1323" spans="1:3" x14ac:dyDescent="0.2">
      <c r="A1323" s="82"/>
      <c r="B1323" s="82"/>
      <c r="C1323" s="82"/>
    </row>
    <row r="1324" spans="1:3" x14ac:dyDescent="0.2">
      <c r="A1324" s="82"/>
      <c r="B1324" s="82"/>
      <c r="C1324" s="82"/>
    </row>
    <row r="1325" spans="1:3" x14ac:dyDescent="0.2">
      <c r="A1325" s="82"/>
      <c r="B1325" s="82"/>
      <c r="C1325" s="82"/>
    </row>
    <row r="1326" spans="1:3" x14ac:dyDescent="0.2">
      <c r="A1326" s="82"/>
      <c r="B1326" s="82"/>
      <c r="C1326" s="82"/>
    </row>
    <row r="1327" spans="1:3" x14ac:dyDescent="0.2">
      <c r="A1327" s="82"/>
      <c r="B1327" s="82"/>
      <c r="C1327" s="82"/>
    </row>
    <row r="1328" spans="1:3" x14ac:dyDescent="0.2">
      <c r="A1328" s="82"/>
      <c r="B1328" s="82"/>
      <c r="C1328" s="82"/>
    </row>
    <row r="1329" spans="1:3" x14ac:dyDescent="0.2">
      <c r="A1329" s="82"/>
      <c r="B1329" s="82"/>
      <c r="C1329" s="82"/>
    </row>
    <row r="1330" spans="1:3" x14ac:dyDescent="0.2">
      <c r="A1330" s="82"/>
      <c r="B1330" s="82"/>
      <c r="C1330" s="82"/>
    </row>
    <row r="1331" spans="1:3" x14ac:dyDescent="0.2">
      <c r="A1331" s="82"/>
      <c r="B1331" s="82"/>
      <c r="C1331" s="82"/>
    </row>
    <row r="1332" spans="1:3" x14ac:dyDescent="0.2">
      <c r="A1332" s="82"/>
      <c r="B1332" s="82"/>
      <c r="C1332" s="82"/>
    </row>
    <row r="1333" spans="1:3" x14ac:dyDescent="0.2">
      <c r="A1333" s="82"/>
      <c r="B1333" s="82"/>
      <c r="C1333" s="82"/>
    </row>
    <row r="1334" spans="1:3" x14ac:dyDescent="0.2">
      <c r="A1334" s="82"/>
      <c r="B1334" s="82"/>
      <c r="C1334" s="82"/>
    </row>
    <row r="1335" spans="1:3" x14ac:dyDescent="0.2">
      <c r="A1335" s="82"/>
      <c r="B1335" s="82"/>
      <c r="C1335" s="82"/>
    </row>
    <row r="1336" spans="1:3" x14ac:dyDescent="0.2">
      <c r="A1336" s="82"/>
      <c r="B1336" s="82"/>
      <c r="C1336" s="82"/>
    </row>
    <row r="1337" spans="1:3" x14ac:dyDescent="0.2">
      <c r="A1337" s="82"/>
      <c r="B1337" s="82"/>
      <c r="C1337" s="82"/>
    </row>
    <row r="1338" spans="1:3" x14ac:dyDescent="0.2">
      <c r="A1338" s="82"/>
      <c r="B1338" s="82"/>
      <c r="C1338" s="82"/>
    </row>
    <row r="1339" spans="1:3" x14ac:dyDescent="0.2">
      <c r="A1339" s="82"/>
      <c r="B1339" s="82"/>
      <c r="C1339" s="82"/>
    </row>
    <row r="1340" spans="1:3" x14ac:dyDescent="0.2">
      <c r="A1340" s="82"/>
      <c r="B1340" s="82"/>
      <c r="C1340" s="82"/>
    </row>
    <row r="1341" spans="1:3" x14ac:dyDescent="0.2">
      <c r="A1341" s="82"/>
      <c r="B1341" s="82"/>
      <c r="C1341" s="82"/>
    </row>
    <row r="1342" spans="1:3" x14ac:dyDescent="0.2">
      <c r="A1342" s="82"/>
      <c r="B1342" s="82"/>
      <c r="C1342" s="82"/>
    </row>
    <row r="1343" spans="1:3" x14ac:dyDescent="0.2">
      <c r="A1343" s="82"/>
      <c r="B1343" s="82"/>
      <c r="C1343" s="82"/>
    </row>
    <row r="1344" spans="1:3" x14ac:dyDescent="0.2">
      <c r="A1344" s="82"/>
      <c r="B1344" s="82"/>
      <c r="C1344" s="82"/>
    </row>
    <row r="1345" spans="1:3" x14ac:dyDescent="0.2">
      <c r="A1345" s="82"/>
      <c r="B1345" s="82"/>
      <c r="C1345" s="82"/>
    </row>
    <row r="1346" spans="1:3" x14ac:dyDescent="0.2">
      <c r="A1346" s="82"/>
      <c r="B1346" s="82"/>
      <c r="C1346" s="82"/>
    </row>
    <row r="1347" spans="1:3" x14ac:dyDescent="0.2">
      <c r="A1347" s="82"/>
      <c r="B1347" s="82"/>
      <c r="C1347" s="82"/>
    </row>
    <row r="1348" spans="1:3" x14ac:dyDescent="0.2">
      <c r="A1348" s="82"/>
      <c r="B1348" s="82"/>
      <c r="C1348" s="82"/>
    </row>
    <row r="1349" spans="1:3" x14ac:dyDescent="0.2">
      <c r="A1349" s="82"/>
      <c r="B1349" s="82"/>
      <c r="C1349" s="82"/>
    </row>
    <row r="1350" spans="1:3" x14ac:dyDescent="0.2">
      <c r="A1350" s="82"/>
      <c r="B1350" s="82"/>
      <c r="C1350" s="82"/>
    </row>
    <row r="1351" spans="1:3" x14ac:dyDescent="0.2">
      <c r="A1351" s="82"/>
      <c r="B1351" s="82"/>
      <c r="C1351" s="82"/>
    </row>
    <row r="1352" spans="1:3" x14ac:dyDescent="0.2">
      <c r="A1352" s="82"/>
      <c r="B1352" s="82"/>
      <c r="C1352" s="82"/>
    </row>
    <row r="1353" spans="1:3" x14ac:dyDescent="0.2">
      <c r="A1353" s="82"/>
      <c r="B1353" s="82"/>
      <c r="C1353" s="82"/>
    </row>
    <row r="1354" spans="1:3" x14ac:dyDescent="0.2">
      <c r="A1354" s="82"/>
      <c r="B1354" s="82"/>
      <c r="C1354" s="82"/>
    </row>
    <row r="1355" spans="1:3" x14ac:dyDescent="0.2">
      <c r="A1355" s="82"/>
      <c r="B1355" s="82"/>
      <c r="C1355" s="82"/>
    </row>
    <row r="1356" spans="1:3" x14ac:dyDescent="0.2">
      <c r="A1356" s="82"/>
      <c r="B1356" s="82"/>
      <c r="C1356" s="82"/>
    </row>
    <row r="1357" spans="1:3" x14ac:dyDescent="0.2">
      <c r="A1357" s="82"/>
      <c r="B1357" s="82"/>
      <c r="C1357" s="82"/>
    </row>
    <row r="1358" spans="1:3" x14ac:dyDescent="0.2">
      <c r="A1358" s="82"/>
      <c r="B1358" s="82"/>
      <c r="C1358" s="82"/>
    </row>
    <row r="1359" spans="1:3" x14ac:dyDescent="0.2">
      <c r="A1359" s="82"/>
      <c r="B1359" s="82"/>
      <c r="C1359" s="82"/>
    </row>
    <row r="1360" spans="1:3" x14ac:dyDescent="0.2">
      <c r="A1360" s="82"/>
      <c r="B1360" s="82"/>
      <c r="C1360" s="82"/>
    </row>
    <row r="1361" spans="1:3" x14ac:dyDescent="0.2">
      <c r="A1361" s="82"/>
      <c r="B1361" s="82"/>
      <c r="C1361" s="82"/>
    </row>
    <row r="1362" spans="1:3" x14ac:dyDescent="0.2">
      <c r="A1362" s="82"/>
      <c r="B1362" s="82"/>
      <c r="C1362" s="82"/>
    </row>
    <row r="1363" spans="1:3" x14ac:dyDescent="0.2">
      <c r="A1363" s="82"/>
      <c r="B1363" s="82"/>
      <c r="C1363" s="82"/>
    </row>
    <row r="1364" spans="1:3" x14ac:dyDescent="0.2">
      <c r="A1364" s="82"/>
      <c r="B1364" s="82"/>
      <c r="C1364" s="82"/>
    </row>
    <row r="1365" spans="1:3" x14ac:dyDescent="0.2">
      <c r="A1365" s="82"/>
      <c r="B1365" s="82"/>
      <c r="C1365" s="82"/>
    </row>
    <row r="1366" spans="1:3" x14ac:dyDescent="0.2">
      <c r="A1366" s="82"/>
      <c r="B1366" s="82"/>
      <c r="C1366" s="82"/>
    </row>
    <row r="1367" spans="1:3" x14ac:dyDescent="0.2">
      <c r="A1367" s="82"/>
      <c r="B1367" s="82"/>
      <c r="C1367" s="82"/>
    </row>
    <row r="1368" spans="1:3" x14ac:dyDescent="0.2">
      <c r="A1368" s="82"/>
      <c r="B1368" s="82"/>
      <c r="C1368" s="82"/>
    </row>
    <row r="1369" spans="1:3" x14ac:dyDescent="0.2">
      <c r="A1369" s="82"/>
      <c r="B1369" s="82"/>
      <c r="C1369" s="82"/>
    </row>
    <row r="1370" spans="1:3" x14ac:dyDescent="0.2">
      <c r="A1370" s="82"/>
      <c r="B1370" s="82"/>
      <c r="C1370" s="82"/>
    </row>
    <row r="1371" spans="1:3" x14ac:dyDescent="0.2">
      <c r="A1371" s="82"/>
      <c r="B1371" s="82"/>
      <c r="C1371" s="82"/>
    </row>
    <row r="1372" spans="1:3" x14ac:dyDescent="0.2">
      <c r="A1372" s="82"/>
      <c r="B1372" s="82"/>
      <c r="C1372" s="82"/>
    </row>
    <row r="1373" spans="1:3" x14ac:dyDescent="0.2">
      <c r="A1373" s="82"/>
      <c r="B1373" s="82"/>
      <c r="C1373" s="82"/>
    </row>
    <row r="1374" spans="1:3" x14ac:dyDescent="0.2">
      <c r="A1374" s="82"/>
      <c r="B1374" s="82"/>
      <c r="C1374" s="82"/>
    </row>
    <row r="1375" spans="1:3" x14ac:dyDescent="0.2">
      <c r="A1375" s="82"/>
      <c r="B1375" s="82"/>
      <c r="C1375" s="82"/>
    </row>
    <row r="1376" spans="1:3" x14ac:dyDescent="0.2">
      <c r="A1376" s="82"/>
      <c r="B1376" s="82"/>
      <c r="C1376" s="82"/>
    </row>
    <row r="1377" spans="1:3" x14ac:dyDescent="0.2">
      <c r="A1377" s="82"/>
      <c r="B1377" s="82"/>
      <c r="C1377" s="82"/>
    </row>
    <row r="1378" spans="1:3" x14ac:dyDescent="0.2">
      <c r="A1378" s="82"/>
      <c r="B1378" s="82"/>
      <c r="C1378" s="82"/>
    </row>
    <row r="1379" spans="1:3" x14ac:dyDescent="0.2">
      <c r="A1379" s="82"/>
      <c r="B1379" s="82"/>
      <c r="C1379" s="82"/>
    </row>
    <row r="1380" spans="1:3" x14ac:dyDescent="0.2">
      <c r="A1380" s="82"/>
      <c r="B1380" s="82"/>
      <c r="C1380" s="82"/>
    </row>
    <row r="1381" spans="1:3" x14ac:dyDescent="0.2">
      <c r="A1381" s="82"/>
      <c r="B1381" s="82"/>
      <c r="C1381" s="82"/>
    </row>
    <row r="1382" spans="1:3" x14ac:dyDescent="0.2">
      <c r="A1382" s="82"/>
      <c r="B1382" s="82"/>
      <c r="C1382" s="82"/>
    </row>
    <row r="1383" spans="1:3" x14ac:dyDescent="0.2">
      <c r="A1383" s="82"/>
      <c r="B1383" s="82"/>
      <c r="C1383" s="82"/>
    </row>
    <row r="1384" spans="1:3" x14ac:dyDescent="0.2">
      <c r="A1384" s="82"/>
      <c r="B1384" s="82"/>
      <c r="C1384" s="82"/>
    </row>
    <row r="1385" spans="1:3" x14ac:dyDescent="0.2">
      <c r="A1385" s="82"/>
      <c r="B1385" s="82"/>
      <c r="C1385" s="82"/>
    </row>
    <row r="1386" spans="1:3" x14ac:dyDescent="0.2">
      <c r="A1386" s="82"/>
      <c r="B1386" s="82"/>
      <c r="C1386" s="82"/>
    </row>
    <row r="1387" spans="1:3" x14ac:dyDescent="0.2">
      <c r="A1387" s="82"/>
      <c r="B1387" s="82"/>
      <c r="C1387" s="82"/>
    </row>
    <row r="1388" spans="1:3" x14ac:dyDescent="0.2">
      <c r="A1388" s="82"/>
      <c r="B1388" s="82"/>
      <c r="C1388" s="82"/>
    </row>
    <row r="1389" spans="1:3" x14ac:dyDescent="0.2">
      <c r="A1389" s="82"/>
      <c r="B1389" s="82"/>
      <c r="C1389" s="82"/>
    </row>
    <row r="1390" spans="1:3" x14ac:dyDescent="0.2">
      <c r="A1390" s="82"/>
      <c r="B1390" s="82"/>
      <c r="C1390" s="82"/>
    </row>
    <row r="1391" spans="1:3" x14ac:dyDescent="0.2">
      <c r="A1391" s="82"/>
      <c r="B1391" s="82"/>
      <c r="C1391" s="82"/>
    </row>
    <row r="1392" spans="1:3" x14ac:dyDescent="0.2">
      <c r="A1392" s="82"/>
      <c r="B1392" s="82"/>
      <c r="C1392" s="82"/>
    </row>
    <row r="1393" spans="1:3" x14ac:dyDescent="0.2">
      <c r="A1393" s="82"/>
      <c r="B1393" s="82"/>
      <c r="C1393" s="82"/>
    </row>
    <row r="1394" spans="1:3" x14ac:dyDescent="0.2">
      <c r="A1394" s="82"/>
      <c r="B1394" s="82"/>
      <c r="C1394" s="82"/>
    </row>
    <row r="1395" spans="1:3" x14ac:dyDescent="0.2">
      <c r="A1395" s="82"/>
      <c r="B1395" s="82"/>
      <c r="C1395" s="82"/>
    </row>
    <row r="1396" spans="1:3" x14ac:dyDescent="0.2">
      <c r="A1396" s="82"/>
      <c r="B1396" s="82"/>
      <c r="C1396" s="82"/>
    </row>
    <row r="1397" spans="1:3" x14ac:dyDescent="0.2">
      <c r="A1397" s="82"/>
      <c r="B1397" s="82"/>
      <c r="C1397" s="82"/>
    </row>
    <row r="1398" spans="1:3" x14ac:dyDescent="0.2">
      <c r="A1398" s="82"/>
      <c r="B1398" s="82"/>
      <c r="C1398" s="82"/>
    </row>
    <row r="1399" spans="1:3" x14ac:dyDescent="0.2">
      <c r="A1399" s="82"/>
      <c r="B1399" s="82"/>
      <c r="C1399" s="82"/>
    </row>
    <row r="1400" spans="1:3" x14ac:dyDescent="0.2">
      <c r="A1400" s="82"/>
      <c r="B1400" s="82"/>
      <c r="C1400" s="82"/>
    </row>
    <row r="1401" spans="1:3" x14ac:dyDescent="0.2">
      <c r="A1401" s="82"/>
      <c r="B1401" s="82"/>
      <c r="C1401" s="82"/>
    </row>
    <row r="1402" spans="1:3" x14ac:dyDescent="0.2">
      <c r="A1402" s="82"/>
      <c r="B1402" s="82"/>
      <c r="C1402" s="82"/>
    </row>
    <row r="1403" spans="1:3" x14ac:dyDescent="0.2">
      <c r="A1403" s="82"/>
      <c r="B1403" s="82"/>
      <c r="C1403" s="82"/>
    </row>
    <row r="1404" spans="1:3" x14ac:dyDescent="0.2">
      <c r="A1404" s="82"/>
      <c r="B1404" s="82"/>
      <c r="C1404" s="82"/>
    </row>
    <row r="1405" spans="1:3" x14ac:dyDescent="0.2">
      <c r="A1405" s="82"/>
      <c r="B1405" s="82"/>
      <c r="C1405" s="82"/>
    </row>
    <row r="1406" spans="1:3" x14ac:dyDescent="0.2">
      <c r="A1406" s="82"/>
      <c r="B1406" s="82"/>
      <c r="C1406" s="82"/>
    </row>
    <row r="1407" spans="1:3" x14ac:dyDescent="0.2">
      <c r="A1407" s="82"/>
      <c r="B1407" s="82"/>
      <c r="C1407" s="82"/>
    </row>
    <row r="1408" spans="1:3" x14ac:dyDescent="0.2">
      <c r="A1408" s="82"/>
      <c r="B1408" s="82"/>
      <c r="C1408" s="82"/>
    </row>
    <row r="1409" spans="1:3" x14ac:dyDescent="0.2">
      <c r="A1409" s="82"/>
      <c r="B1409" s="82"/>
      <c r="C1409" s="82"/>
    </row>
    <row r="1410" spans="1:3" x14ac:dyDescent="0.2">
      <c r="A1410" s="82"/>
      <c r="B1410" s="82"/>
      <c r="C1410" s="82"/>
    </row>
    <row r="1411" spans="1:3" x14ac:dyDescent="0.2">
      <c r="A1411" s="82"/>
      <c r="B1411" s="82"/>
      <c r="C1411" s="82"/>
    </row>
    <row r="1412" spans="1:3" x14ac:dyDescent="0.2">
      <c r="A1412" s="82"/>
      <c r="B1412" s="82"/>
      <c r="C1412" s="82"/>
    </row>
    <row r="1413" spans="1:3" x14ac:dyDescent="0.2">
      <c r="A1413" s="82"/>
      <c r="B1413" s="82"/>
      <c r="C1413" s="82"/>
    </row>
    <row r="1414" spans="1:3" x14ac:dyDescent="0.2">
      <c r="A1414" s="82"/>
      <c r="B1414" s="82"/>
      <c r="C1414" s="82"/>
    </row>
    <row r="1415" spans="1:3" x14ac:dyDescent="0.2">
      <c r="A1415" s="82"/>
      <c r="B1415" s="82"/>
      <c r="C1415" s="82"/>
    </row>
    <row r="1416" spans="1:3" x14ac:dyDescent="0.2">
      <c r="A1416" s="82"/>
      <c r="B1416" s="82"/>
      <c r="C1416" s="82"/>
    </row>
    <row r="1417" spans="1:3" x14ac:dyDescent="0.2">
      <c r="A1417" s="82"/>
      <c r="B1417" s="82"/>
      <c r="C1417" s="82"/>
    </row>
    <row r="1418" spans="1:3" x14ac:dyDescent="0.2">
      <c r="A1418" s="82"/>
      <c r="B1418" s="82"/>
      <c r="C1418" s="82"/>
    </row>
    <row r="1419" spans="1:3" x14ac:dyDescent="0.2">
      <c r="A1419" s="82"/>
      <c r="B1419" s="82"/>
      <c r="C1419" s="82"/>
    </row>
    <row r="1420" spans="1:3" x14ac:dyDescent="0.2">
      <c r="A1420" s="82"/>
      <c r="B1420" s="82"/>
      <c r="C1420" s="82"/>
    </row>
    <row r="1421" spans="1:3" x14ac:dyDescent="0.2">
      <c r="A1421" s="82"/>
      <c r="B1421" s="82"/>
      <c r="C1421" s="82"/>
    </row>
    <row r="1422" spans="1:3" x14ac:dyDescent="0.2">
      <c r="A1422" s="82"/>
      <c r="B1422" s="82"/>
      <c r="C1422" s="82"/>
    </row>
    <row r="1423" spans="1:3" x14ac:dyDescent="0.2">
      <c r="A1423" s="82"/>
      <c r="B1423" s="82"/>
      <c r="C1423" s="82"/>
    </row>
    <row r="1424" spans="1:3" x14ac:dyDescent="0.2">
      <c r="A1424" s="82"/>
      <c r="B1424" s="82"/>
      <c r="C1424" s="82"/>
    </row>
    <row r="1425" spans="1:3" x14ac:dyDescent="0.2">
      <c r="A1425" s="82"/>
      <c r="B1425" s="82"/>
      <c r="C1425" s="82"/>
    </row>
    <row r="1426" spans="1:3" x14ac:dyDescent="0.2">
      <c r="A1426" s="82"/>
      <c r="B1426" s="82"/>
      <c r="C1426" s="82"/>
    </row>
    <row r="1427" spans="1:3" x14ac:dyDescent="0.2">
      <c r="A1427" s="82"/>
      <c r="B1427" s="82"/>
      <c r="C1427" s="82"/>
    </row>
    <row r="1428" spans="1:3" x14ac:dyDescent="0.2">
      <c r="A1428" s="82"/>
      <c r="B1428" s="82"/>
      <c r="C1428" s="82"/>
    </row>
    <row r="1429" spans="1:3" x14ac:dyDescent="0.2">
      <c r="A1429" s="82"/>
      <c r="B1429" s="82"/>
      <c r="C1429" s="82"/>
    </row>
    <row r="1430" spans="1:3" x14ac:dyDescent="0.2">
      <c r="A1430" s="82"/>
      <c r="B1430" s="82"/>
      <c r="C1430" s="82"/>
    </row>
    <row r="1431" spans="1:3" x14ac:dyDescent="0.2">
      <c r="A1431" s="82"/>
      <c r="B1431" s="82"/>
      <c r="C1431" s="82"/>
    </row>
    <row r="1432" spans="1:3" x14ac:dyDescent="0.2">
      <c r="A1432" s="82"/>
      <c r="B1432" s="82"/>
      <c r="C1432" s="82"/>
    </row>
    <row r="1433" spans="1:3" x14ac:dyDescent="0.2">
      <c r="A1433" s="82"/>
      <c r="B1433" s="82"/>
      <c r="C1433" s="82"/>
    </row>
    <row r="1434" spans="1:3" x14ac:dyDescent="0.2">
      <c r="A1434" s="82"/>
      <c r="B1434" s="82"/>
      <c r="C1434" s="82"/>
    </row>
    <row r="1435" spans="1:3" x14ac:dyDescent="0.2">
      <c r="A1435" s="82"/>
      <c r="B1435" s="82"/>
      <c r="C1435" s="82"/>
    </row>
    <row r="1436" spans="1:3" x14ac:dyDescent="0.2">
      <c r="A1436" s="82"/>
      <c r="B1436" s="82"/>
      <c r="C1436" s="82"/>
    </row>
    <row r="1437" spans="1:3" x14ac:dyDescent="0.2">
      <c r="A1437" s="82"/>
      <c r="B1437" s="82"/>
      <c r="C1437" s="82"/>
    </row>
    <row r="1438" spans="1:3" x14ac:dyDescent="0.2">
      <c r="A1438" s="82"/>
      <c r="B1438" s="82"/>
      <c r="C1438" s="82"/>
    </row>
    <row r="1439" spans="1:3" x14ac:dyDescent="0.2">
      <c r="A1439" s="82"/>
      <c r="B1439" s="82"/>
      <c r="C1439" s="82"/>
    </row>
    <row r="1440" spans="1:3" x14ac:dyDescent="0.2">
      <c r="A1440" s="82"/>
      <c r="B1440" s="82"/>
      <c r="C1440" s="82"/>
    </row>
    <row r="1441" spans="1:3" x14ac:dyDescent="0.2">
      <c r="A1441" s="82"/>
      <c r="B1441" s="82"/>
      <c r="C1441" s="82"/>
    </row>
    <row r="1442" spans="1:3" x14ac:dyDescent="0.2">
      <c r="A1442" s="82"/>
      <c r="B1442" s="82"/>
      <c r="C1442" s="82"/>
    </row>
    <row r="1443" spans="1:3" x14ac:dyDescent="0.2">
      <c r="A1443" s="82"/>
      <c r="B1443" s="82"/>
      <c r="C1443" s="82"/>
    </row>
    <row r="1444" spans="1:3" x14ac:dyDescent="0.2">
      <c r="A1444" s="82"/>
      <c r="B1444" s="82"/>
      <c r="C1444" s="82"/>
    </row>
    <row r="1445" spans="1:3" x14ac:dyDescent="0.2">
      <c r="A1445" s="82"/>
      <c r="B1445" s="82"/>
      <c r="C1445" s="82"/>
    </row>
    <row r="1446" spans="1:3" x14ac:dyDescent="0.2">
      <c r="A1446" s="82"/>
      <c r="B1446" s="82"/>
      <c r="C1446" s="82"/>
    </row>
    <row r="1447" spans="1:3" x14ac:dyDescent="0.2">
      <c r="A1447" s="82"/>
      <c r="B1447" s="82"/>
      <c r="C1447" s="82"/>
    </row>
    <row r="1448" spans="1:3" x14ac:dyDescent="0.2">
      <c r="A1448" s="82"/>
      <c r="B1448" s="82"/>
      <c r="C1448" s="82"/>
    </row>
    <row r="1449" spans="1:3" x14ac:dyDescent="0.2">
      <c r="A1449" s="82"/>
      <c r="B1449" s="82"/>
      <c r="C1449" s="82"/>
    </row>
    <row r="1450" spans="1:3" x14ac:dyDescent="0.2">
      <c r="A1450" s="82"/>
      <c r="B1450" s="82"/>
      <c r="C1450" s="82"/>
    </row>
    <row r="1451" spans="1:3" x14ac:dyDescent="0.2">
      <c r="A1451" s="82"/>
      <c r="B1451" s="82"/>
      <c r="C1451" s="82"/>
    </row>
    <row r="1452" spans="1:3" x14ac:dyDescent="0.2">
      <c r="A1452" s="82"/>
      <c r="B1452" s="82"/>
      <c r="C1452" s="82"/>
    </row>
    <row r="1453" spans="1:3" x14ac:dyDescent="0.2">
      <c r="A1453" s="82"/>
      <c r="B1453" s="82"/>
      <c r="C1453" s="82"/>
    </row>
    <row r="1454" spans="1:3" x14ac:dyDescent="0.2">
      <c r="A1454" s="82"/>
      <c r="B1454" s="82"/>
      <c r="C1454" s="82"/>
    </row>
    <row r="1455" spans="1:3" x14ac:dyDescent="0.2">
      <c r="A1455" s="82"/>
      <c r="B1455" s="82"/>
      <c r="C1455" s="82"/>
    </row>
    <row r="1456" spans="1:3" x14ac:dyDescent="0.2">
      <c r="A1456" s="82"/>
      <c r="B1456" s="82"/>
      <c r="C1456" s="82"/>
    </row>
    <row r="1457" spans="1:3" x14ac:dyDescent="0.2">
      <c r="A1457" s="82"/>
      <c r="B1457" s="82"/>
      <c r="C1457" s="82"/>
    </row>
    <row r="1458" spans="1:3" x14ac:dyDescent="0.2">
      <c r="A1458" s="82"/>
      <c r="B1458" s="82"/>
      <c r="C1458" s="82"/>
    </row>
    <row r="1459" spans="1:3" x14ac:dyDescent="0.2">
      <c r="A1459" s="82"/>
      <c r="B1459" s="82"/>
      <c r="C1459" s="82"/>
    </row>
    <row r="1460" spans="1:3" x14ac:dyDescent="0.2">
      <c r="A1460" s="82"/>
      <c r="B1460" s="82"/>
      <c r="C1460" s="82"/>
    </row>
    <row r="1461" spans="1:3" x14ac:dyDescent="0.2">
      <c r="A1461" s="82"/>
      <c r="B1461" s="82"/>
      <c r="C1461" s="82"/>
    </row>
    <row r="1462" spans="1:3" x14ac:dyDescent="0.2">
      <c r="A1462" s="82"/>
      <c r="B1462" s="82"/>
      <c r="C1462" s="82"/>
    </row>
    <row r="1463" spans="1:3" x14ac:dyDescent="0.2">
      <c r="A1463" s="82"/>
      <c r="B1463" s="82"/>
      <c r="C1463" s="82"/>
    </row>
    <row r="1464" spans="1:3" x14ac:dyDescent="0.2">
      <c r="A1464" s="82"/>
      <c r="B1464" s="82"/>
      <c r="C1464" s="82"/>
    </row>
    <row r="1465" spans="1:3" x14ac:dyDescent="0.2">
      <c r="A1465" s="82"/>
      <c r="B1465" s="82"/>
      <c r="C1465" s="82"/>
    </row>
    <row r="1466" spans="1:3" x14ac:dyDescent="0.2">
      <c r="A1466" s="82"/>
      <c r="B1466" s="82"/>
      <c r="C1466" s="82"/>
    </row>
    <row r="1467" spans="1:3" x14ac:dyDescent="0.2">
      <c r="A1467" s="82"/>
      <c r="B1467" s="82"/>
      <c r="C1467" s="82"/>
    </row>
    <row r="1468" spans="1:3" x14ac:dyDescent="0.2">
      <c r="A1468" s="82"/>
      <c r="B1468" s="82"/>
      <c r="C1468" s="82"/>
    </row>
    <row r="1469" spans="1:3" x14ac:dyDescent="0.2">
      <c r="A1469" s="82"/>
      <c r="B1469" s="82"/>
      <c r="C1469" s="82"/>
    </row>
    <row r="1470" spans="1:3" x14ac:dyDescent="0.2">
      <c r="A1470" s="82"/>
      <c r="B1470" s="82"/>
      <c r="C1470" s="82"/>
    </row>
    <row r="1471" spans="1:3" x14ac:dyDescent="0.2">
      <c r="A1471" s="82"/>
      <c r="B1471" s="82"/>
      <c r="C1471" s="82"/>
    </row>
    <row r="1472" spans="1:3" x14ac:dyDescent="0.2">
      <c r="A1472" s="82"/>
      <c r="B1472" s="82"/>
      <c r="C1472" s="82"/>
    </row>
    <row r="1473" spans="1:3" x14ac:dyDescent="0.2">
      <c r="A1473" s="82"/>
      <c r="B1473" s="82"/>
      <c r="C1473" s="82"/>
    </row>
    <row r="1474" spans="1:3" x14ac:dyDescent="0.2">
      <c r="A1474" s="82"/>
      <c r="B1474" s="82"/>
      <c r="C1474" s="82"/>
    </row>
    <row r="1475" spans="1:3" x14ac:dyDescent="0.2">
      <c r="A1475" s="82"/>
      <c r="B1475" s="82"/>
      <c r="C1475" s="82"/>
    </row>
    <row r="1476" spans="1:3" x14ac:dyDescent="0.2">
      <c r="A1476" s="82"/>
      <c r="B1476" s="82"/>
      <c r="C1476" s="82"/>
    </row>
    <row r="1477" spans="1:3" x14ac:dyDescent="0.2">
      <c r="A1477" s="82"/>
      <c r="B1477" s="82"/>
      <c r="C1477" s="82"/>
    </row>
    <row r="1478" spans="1:3" x14ac:dyDescent="0.2">
      <c r="A1478" s="82"/>
      <c r="B1478" s="82"/>
      <c r="C1478" s="82"/>
    </row>
    <row r="1479" spans="1:3" x14ac:dyDescent="0.2">
      <c r="A1479" s="82"/>
      <c r="B1479" s="82"/>
      <c r="C1479" s="82"/>
    </row>
    <row r="1480" spans="1:3" x14ac:dyDescent="0.2">
      <c r="A1480" s="82"/>
      <c r="B1480" s="82"/>
      <c r="C1480" s="82"/>
    </row>
    <row r="1481" spans="1:3" x14ac:dyDescent="0.2">
      <c r="A1481" s="82"/>
      <c r="B1481" s="82"/>
      <c r="C1481" s="82"/>
    </row>
    <row r="1482" spans="1:3" x14ac:dyDescent="0.2">
      <c r="A1482" s="82"/>
      <c r="B1482" s="82"/>
      <c r="C1482" s="82"/>
    </row>
    <row r="1483" spans="1:3" x14ac:dyDescent="0.2">
      <c r="A1483" s="82"/>
      <c r="B1483" s="82"/>
      <c r="C1483" s="82"/>
    </row>
    <row r="1484" spans="1:3" x14ac:dyDescent="0.2">
      <c r="A1484" s="82"/>
      <c r="B1484" s="82"/>
      <c r="C1484" s="82"/>
    </row>
    <row r="1485" spans="1:3" x14ac:dyDescent="0.2">
      <c r="A1485" s="82"/>
      <c r="B1485" s="82"/>
      <c r="C1485" s="82"/>
    </row>
    <row r="1486" spans="1:3" x14ac:dyDescent="0.2">
      <c r="A1486" s="82"/>
      <c r="B1486" s="82"/>
      <c r="C1486" s="82"/>
    </row>
    <row r="1487" spans="1:3" x14ac:dyDescent="0.2">
      <c r="A1487" s="82"/>
      <c r="B1487" s="82"/>
      <c r="C1487" s="82"/>
    </row>
    <row r="1488" spans="1:3" x14ac:dyDescent="0.2">
      <c r="A1488" s="82"/>
      <c r="B1488" s="82"/>
      <c r="C1488" s="82"/>
    </row>
    <row r="1489" spans="1:3" x14ac:dyDescent="0.2">
      <c r="A1489" s="82"/>
      <c r="B1489" s="82"/>
      <c r="C1489" s="82"/>
    </row>
    <row r="1490" spans="1:3" x14ac:dyDescent="0.2">
      <c r="A1490" s="82"/>
      <c r="B1490" s="82"/>
      <c r="C1490" s="82"/>
    </row>
    <row r="1491" spans="1:3" x14ac:dyDescent="0.2">
      <c r="A1491" s="82"/>
      <c r="B1491" s="82"/>
      <c r="C1491" s="82"/>
    </row>
    <row r="1492" spans="1:3" x14ac:dyDescent="0.2">
      <c r="A1492" s="82"/>
      <c r="B1492" s="82"/>
      <c r="C1492" s="82"/>
    </row>
    <row r="1493" spans="1:3" x14ac:dyDescent="0.2">
      <c r="A1493" s="82"/>
      <c r="B1493" s="82"/>
      <c r="C1493" s="82"/>
    </row>
    <row r="1494" spans="1:3" x14ac:dyDescent="0.2">
      <c r="A1494" s="82"/>
      <c r="B1494" s="82"/>
      <c r="C1494" s="82"/>
    </row>
    <row r="1495" spans="1:3" x14ac:dyDescent="0.2">
      <c r="A1495" s="82"/>
      <c r="B1495" s="82"/>
      <c r="C1495" s="82"/>
    </row>
    <row r="1496" spans="1:3" x14ac:dyDescent="0.2">
      <c r="A1496" s="82"/>
      <c r="B1496" s="82"/>
      <c r="C1496" s="82"/>
    </row>
    <row r="1497" spans="1:3" x14ac:dyDescent="0.2">
      <c r="A1497" s="82"/>
      <c r="B1497" s="82"/>
      <c r="C1497" s="82"/>
    </row>
    <row r="1498" spans="1:3" x14ac:dyDescent="0.2">
      <c r="A1498" s="82"/>
      <c r="B1498" s="82"/>
      <c r="C1498" s="82"/>
    </row>
    <row r="1499" spans="1:3" x14ac:dyDescent="0.2">
      <c r="A1499" s="82"/>
      <c r="B1499" s="82"/>
      <c r="C1499" s="82"/>
    </row>
    <row r="1500" spans="1:3" x14ac:dyDescent="0.2">
      <c r="A1500" s="82"/>
      <c r="B1500" s="82"/>
      <c r="C1500" s="82"/>
    </row>
    <row r="1501" spans="1:3" x14ac:dyDescent="0.2">
      <c r="A1501" s="82"/>
      <c r="B1501" s="82"/>
      <c r="C1501" s="82"/>
    </row>
    <row r="1502" spans="1:3" x14ac:dyDescent="0.2">
      <c r="A1502" s="82"/>
      <c r="B1502" s="82"/>
      <c r="C1502" s="82"/>
    </row>
    <row r="1503" spans="1:3" x14ac:dyDescent="0.2">
      <c r="A1503" s="82"/>
      <c r="B1503" s="82"/>
      <c r="C1503" s="82"/>
    </row>
    <row r="1504" spans="1:3" x14ac:dyDescent="0.2">
      <c r="A1504" s="82"/>
      <c r="B1504" s="82"/>
      <c r="C1504" s="82"/>
    </row>
    <row r="1505" spans="1:3" x14ac:dyDescent="0.2">
      <c r="A1505" s="82"/>
      <c r="B1505" s="82"/>
      <c r="C1505" s="82"/>
    </row>
    <row r="1506" spans="1:3" x14ac:dyDescent="0.2">
      <c r="A1506" s="82"/>
      <c r="B1506" s="82"/>
      <c r="C1506" s="82"/>
    </row>
    <row r="1507" spans="1:3" x14ac:dyDescent="0.2">
      <c r="A1507" s="82"/>
      <c r="B1507" s="82"/>
      <c r="C1507" s="82"/>
    </row>
    <row r="1508" spans="1:3" x14ac:dyDescent="0.2">
      <c r="A1508" s="82"/>
      <c r="B1508" s="82"/>
      <c r="C1508" s="82"/>
    </row>
    <row r="1509" spans="1:3" x14ac:dyDescent="0.2">
      <c r="A1509" s="82"/>
      <c r="B1509" s="82"/>
      <c r="C1509" s="82"/>
    </row>
    <row r="1510" spans="1:3" x14ac:dyDescent="0.2">
      <c r="A1510" s="82"/>
      <c r="B1510" s="82"/>
      <c r="C1510" s="82"/>
    </row>
    <row r="1511" spans="1:3" x14ac:dyDescent="0.2">
      <c r="A1511" s="82"/>
      <c r="B1511" s="82"/>
      <c r="C1511" s="82"/>
    </row>
    <row r="1512" spans="1:3" x14ac:dyDescent="0.2">
      <c r="A1512" s="82"/>
      <c r="B1512" s="82"/>
      <c r="C1512" s="82"/>
    </row>
    <row r="1513" spans="1:3" x14ac:dyDescent="0.2">
      <c r="A1513" s="82"/>
      <c r="B1513" s="82"/>
      <c r="C1513" s="82"/>
    </row>
    <row r="1514" spans="1:3" x14ac:dyDescent="0.2">
      <c r="A1514" s="82"/>
      <c r="B1514" s="82"/>
      <c r="C1514" s="82"/>
    </row>
    <row r="1515" spans="1:3" x14ac:dyDescent="0.2">
      <c r="A1515" s="82"/>
      <c r="B1515" s="82"/>
      <c r="C1515" s="82"/>
    </row>
    <row r="1516" spans="1:3" x14ac:dyDescent="0.2">
      <c r="A1516" s="82"/>
      <c r="B1516" s="82"/>
      <c r="C1516" s="82"/>
    </row>
    <row r="1517" spans="1:3" x14ac:dyDescent="0.2">
      <c r="A1517" s="82"/>
      <c r="B1517" s="82"/>
      <c r="C1517" s="82"/>
    </row>
    <row r="1518" spans="1:3" x14ac:dyDescent="0.2">
      <c r="A1518" s="82"/>
      <c r="B1518" s="82"/>
      <c r="C1518" s="82"/>
    </row>
    <row r="1519" spans="1:3" x14ac:dyDescent="0.2">
      <c r="A1519" s="82"/>
      <c r="B1519" s="82"/>
      <c r="C1519" s="82"/>
    </row>
    <row r="1520" spans="1:3" x14ac:dyDescent="0.2">
      <c r="A1520" s="82"/>
      <c r="B1520" s="82"/>
      <c r="C1520" s="82"/>
    </row>
    <row r="1521" spans="1:3" x14ac:dyDescent="0.2">
      <c r="A1521" s="82"/>
      <c r="B1521" s="82"/>
      <c r="C1521" s="82"/>
    </row>
    <row r="1522" spans="1:3" x14ac:dyDescent="0.2">
      <c r="A1522" s="82"/>
      <c r="B1522" s="82"/>
      <c r="C1522" s="82"/>
    </row>
    <row r="1523" spans="1:3" x14ac:dyDescent="0.2">
      <c r="A1523" s="82"/>
      <c r="B1523" s="82"/>
      <c r="C1523" s="82"/>
    </row>
    <row r="1524" spans="1:3" x14ac:dyDescent="0.2">
      <c r="A1524" s="82"/>
      <c r="B1524" s="82"/>
      <c r="C1524" s="82"/>
    </row>
    <row r="1525" spans="1:3" x14ac:dyDescent="0.2">
      <c r="A1525" s="82"/>
      <c r="B1525" s="82"/>
      <c r="C1525" s="82"/>
    </row>
    <row r="1526" spans="1:3" x14ac:dyDescent="0.2">
      <c r="A1526" s="82"/>
      <c r="B1526" s="82"/>
      <c r="C1526" s="82"/>
    </row>
    <row r="1527" spans="1:3" x14ac:dyDescent="0.2">
      <c r="A1527" s="82"/>
      <c r="B1527" s="82"/>
      <c r="C1527" s="82"/>
    </row>
    <row r="1528" spans="1:3" x14ac:dyDescent="0.2">
      <c r="A1528" s="82"/>
      <c r="B1528" s="82"/>
      <c r="C1528" s="82"/>
    </row>
    <row r="1529" spans="1:3" x14ac:dyDescent="0.2">
      <c r="A1529" s="82"/>
      <c r="B1529" s="82"/>
      <c r="C1529" s="82"/>
    </row>
    <row r="1530" spans="1:3" x14ac:dyDescent="0.2">
      <c r="A1530" s="82"/>
      <c r="B1530" s="82"/>
      <c r="C1530" s="82"/>
    </row>
    <row r="1531" spans="1:3" x14ac:dyDescent="0.2">
      <c r="A1531" s="82"/>
      <c r="B1531" s="82"/>
      <c r="C1531" s="82"/>
    </row>
    <row r="1532" spans="1:3" x14ac:dyDescent="0.2">
      <c r="A1532" s="82"/>
      <c r="B1532" s="82"/>
      <c r="C1532" s="82"/>
    </row>
    <row r="1533" spans="1:3" x14ac:dyDescent="0.2">
      <c r="A1533" s="82"/>
      <c r="B1533" s="82"/>
      <c r="C1533" s="82"/>
    </row>
    <row r="1534" spans="1:3" x14ac:dyDescent="0.2">
      <c r="A1534" s="82"/>
      <c r="B1534" s="82"/>
      <c r="C1534" s="82"/>
    </row>
    <row r="1535" spans="1:3" x14ac:dyDescent="0.2">
      <c r="A1535" s="82"/>
      <c r="B1535" s="82"/>
      <c r="C1535" s="82"/>
    </row>
    <row r="1536" spans="1:3" x14ac:dyDescent="0.2">
      <c r="A1536" s="82"/>
      <c r="B1536" s="82"/>
      <c r="C1536" s="82"/>
    </row>
    <row r="1537" spans="1:3" x14ac:dyDescent="0.2">
      <c r="A1537" s="82"/>
      <c r="B1537" s="82"/>
      <c r="C1537" s="82"/>
    </row>
    <row r="1538" spans="1:3" x14ac:dyDescent="0.2">
      <c r="A1538" s="82"/>
      <c r="B1538" s="82"/>
      <c r="C1538" s="82"/>
    </row>
    <row r="1539" spans="1:3" x14ac:dyDescent="0.2">
      <c r="A1539" s="82"/>
      <c r="B1539" s="82"/>
      <c r="C1539" s="82"/>
    </row>
    <row r="1540" spans="1:3" x14ac:dyDescent="0.2">
      <c r="A1540" s="82"/>
      <c r="B1540" s="82"/>
      <c r="C1540" s="82"/>
    </row>
    <row r="1541" spans="1:3" x14ac:dyDescent="0.2">
      <c r="A1541" s="82"/>
      <c r="B1541" s="82"/>
      <c r="C1541" s="82"/>
    </row>
    <row r="1542" spans="1:3" x14ac:dyDescent="0.2">
      <c r="A1542" s="82"/>
      <c r="B1542" s="82"/>
      <c r="C1542" s="82"/>
    </row>
    <row r="1543" spans="1:3" x14ac:dyDescent="0.2">
      <c r="A1543" s="82"/>
      <c r="B1543" s="82"/>
      <c r="C1543" s="82"/>
    </row>
    <row r="1544" spans="1:3" x14ac:dyDescent="0.2">
      <c r="A1544" s="82"/>
      <c r="B1544" s="82"/>
      <c r="C1544" s="82"/>
    </row>
    <row r="1545" spans="1:3" x14ac:dyDescent="0.2">
      <c r="A1545" s="82"/>
      <c r="B1545" s="82"/>
      <c r="C1545" s="82"/>
    </row>
    <row r="1546" spans="1:3" x14ac:dyDescent="0.2">
      <c r="A1546" s="82"/>
      <c r="B1546" s="82"/>
      <c r="C1546" s="82"/>
    </row>
    <row r="1547" spans="1:3" x14ac:dyDescent="0.2">
      <c r="A1547" s="82"/>
      <c r="B1547" s="82"/>
      <c r="C1547" s="82"/>
    </row>
    <row r="1548" spans="1:3" x14ac:dyDescent="0.2">
      <c r="A1548" s="82"/>
      <c r="B1548" s="82"/>
      <c r="C1548" s="82"/>
    </row>
    <row r="1549" spans="1:3" x14ac:dyDescent="0.2">
      <c r="A1549" s="82"/>
      <c r="B1549" s="82"/>
      <c r="C1549" s="82"/>
    </row>
    <row r="1550" spans="1:3" x14ac:dyDescent="0.2">
      <c r="A1550" s="82"/>
      <c r="B1550" s="82"/>
      <c r="C1550" s="82"/>
    </row>
    <row r="1551" spans="1:3" x14ac:dyDescent="0.2">
      <c r="A1551" s="82"/>
      <c r="B1551" s="82"/>
      <c r="C1551" s="82"/>
    </row>
    <row r="1552" spans="1:3" x14ac:dyDescent="0.2">
      <c r="A1552" s="82"/>
      <c r="B1552" s="82"/>
      <c r="C1552" s="82"/>
    </row>
    <row r="1553" spans="1:3" x14ac:dyDescent="0.2">
      <c r="A1553" s="82"/>
      <c r="B1553" s="82"/>
      <c r="C1553" s="82"/>
    </row>
    <row r="1554" spans="1:3" x14ac:dyDescent="0.2">
      <c r="A1554" s="82"/>
      <c r="B1554" s="82"/>
      <c r="C1554" s="82"/>
    </row>
    <row r="1555" spans="1:3" x14ac:dyDescent="0.2">
      <c r="A1555" s="82"/>
      <c r="B1555" s="82"/>
      <c r="C1555" s="82"/>
    </row>
    <row r="1556" spans="1:3" x14ac:dyDescent="0.2">
      <c r="A1556" s="82"/>
      <c r="B1556" s="82"/>
      <c r="C1556" s="82"/>
    </row>
    <row r="1557" spans="1:3" x14ac:dyDescent="0.2">
      <c r="A1557" s="82"/>
      <c r="B1557" s="82"/>
      <c r="C1557" s="82"/>
    </row>
    <row r="1558" spans="1:3" x14ac:dyDescent="0.2">
      <c r="A1558" s="82"/>
      <c r="B1558" s="82"/>
      <c r="C1558" s="82"/>
    </row>
    <row r="1559" spans="1:3" x14ac:dyDescent="0.2">
      <c r="A1559" s="82"/>
      <c r="B1559" s="82"/>
      <c r="C1559" s="82"/>
    </row>
    <row r="1560" spans="1:3" x14ac:dyDescent="0.2">
      <c r="A1560" s="82"/>
      <c r="B1560" s="82"/>
      <c r="C1560" s="82"/>
    </row>
    <row r="1561" spans="1:3" x14ac:dyDescent="0.2">
      <c r="A1561" s="82"/>
      <c r="B1561" s="82"/>
      <c r="C1561" s="82"/>
    </row>
    <row r="1562" spans="1:3" x14ac:dyDescent="0.2">
      <c r="A1562" s="82"/>
      <c r="B1562" s="82"/>
      <c r="C1562" s="82"/>
    </row>
    <row r="1563" spans="1:3" x14ac:dyDescent="0.2">
      <c r="A1563" s="82"/>
      <c r="B1563" s="82"/>
      <c r="C1563" s="82"/>
    </row>
    <row r="1564" spans="1:3" x14ac:dyDescent="0.2">
      <c r="A1564" s="82"/>
      <c r="B1564" s="82"/>
      <c r="C1564" s="82"/>
    </row>
    <row r="1565" spans="1:3" x14ac:dyDescent="0.2">
      <c r="A1565" s="82"/>
      <c r="B1565" s="82"/>
      <c r="C1565" s="82"/>
    </row>
    <row r="1566" spans="1:3" x14ac:dyDescent="0.2">
      <c r="A1566" s="82"/>
      <c r="B1566" s="82"/>
      <c r="C1566" s="82"/>
    </row>
    <row r="1567" spans="1:3" x14ac:dyDescent="0.2">
      <c r="A1567" s="82"/>
      <c r="B1567" s="82"/>
      <c r="C1567" s="82"/>
    </row>
    <row r="1568" spans="1:3" x14ac:dyDescent="0.2">
      <c r="A1568" s="82"/>
      <c r="B1568" s="82"/>
      <c r="C1568" s="82"/>
    </row>
    <row r="1569" spans="1:3" x14ac:dyDescent="0.2">
      <c r="A1569" s="82"/>
      <c r="B1569" s="82"/>
      <c r="C1569" s="82"/>
    </row>
    <row r="1570" spans="1:3" x14ac:dyDescent="0.2">
      <c r="A1570" s="82"/>
      <c r="B1570" s="82"/>
      <c r="C1570" s="82"/>
    </row>
    <row r="1571" spans="1:3" x14ac:dyDescent="0.2">
      <c r="A1571" s="82"/>
      <c r="B1571" s="82"/>
      <c r="C1571" s="82"/>
    </row>
    <row r="1572" spans="1:3" x14ac:dyDescent="0.2">
      <c r="A1572" s="82"/>
      <c r="B1572" s="82"/>
      <c r="C1572" s="82"/>
    </row>
    <row r="1573" spans="1:3" x14ac:dyDescent="0.2">
      <c r="A1573" s="82"/>
      <c r="B1573" s="82"/>
      <c r="C1573" s="82"/>
    </row>
    <row r="1574" spans="1:3" x14ac:dyDescent="0.2">
      <c r="A1574" s="82"/>
      <c r="B1574" s="82"/>
      <c r="C1574" s="82"/>
    </row>
    <row r="1575" spans="1:3" x14ac:dyDescent="0.2">
      <c r="A1575" s="82"/>
      <c r="B1575" s="82"/>
      <c r="C1575" s="82"/>
    </row>
    <row r="1576" spans="1:3" x14ac:dyDescent="0.2">
      <c r="A1576" s="82"/>
      <c r="B1576" s="82"/>
      <c r="C1576" s="82"/>
    </row>
    <row r="1577" spans="1:3" x14ac:dyDescent="0.2">
      <c r="A1577" s="82"/>
      <c r="B1577" s="82"/>
      <c r="C1577" s="82"/>
    </row>
    <row r="1578" spans="1:3" x14ac:dyDescent="0.2">
      <c r="A1578" s="82"/>
      <c r="B1578" s="82"/>
      <c r="C1578" s="82"/>
    </row>
    <row r="1579" spans="1:3" x14ac:dyDescent="0.2">
      <c r="A1579" s="82"/>
      <c r="B1579" s="82"/>
      <c r="C1579" s="82"/>
    </row>
    <row r="1580" spans="1:3" x14ac:dyDescent="0.2">
      <c r="A1580" s="82"/>
      <c r="B1580" s="82"/>
      <c r="C1580" s="82"/>
    </row>
    <row r="1581" spans="1:3" x14ac:dyDescent="0.2">
      <c r="A1581" s="82"/>
      <c r="B1581" s="82"/>
      <c r="C1581" s="82"/>
    </row>
    <row r="1582" spans="1:3" x14ac:dyDescent="0.2">
      <c r="A1582" s="82"/>
      <c r="B1582" s="82"/>
      <c r="C1582" s="82"/>
    </row>
    <row r="1583" spans="1:3" x14ac:dyDescent="0.2">
      <c r="A1583" s="82"/>
      <c r="B1583" s="82"/>
      <c r="C1583" s="82"/>
    </row>
    <row r="1584" spans="1:3" x14ac:dyDescent="0.2">
      <c r="A1584" s="82"/>
      <c r="B1584" s="82"/>
      <c r="C1584" s="82"/>
    </row>
    <row r="1585" spans="1:3" x14ac:dyDescent="0.2">
      <c r="A1585" s="82"/>
      <c r="B1585" s="82"/>
      <c r="C1585" s="82"/>
    </row>
    <row r="1586" spans="1:3" x14ac:dyDescent="0.2">
      <c r="A1586" s="82"/>
      <c r="B1586" s="82"/>
      <c r="C1586" s="82"/>
    </row>
    <row r="1587" spans="1:3" x14ac:dyDescent="0.2">
      <c r="A1587" s="82"/>
      <c r="B1587" s="82"/>
      <c r="C1587" s="82"/>
    </row>
    <row r="1588" spans="1:3" x14ac:dyDescent="0.2">
      <c r="A1588" s="82"/>
      <c r="B1588" s="82"/>
      <c r="C1588" s="82"/>
    </row>
    <row r="1589" spans="1:3" x14ac:dyDescent="0.2">
      <c r="A1589" s="82"/>
      <c r="B1589" s="82"/>
      <c r="C1589" s="82"/>
    </row>
    <row r="1590" spans="1:3" x14ac:dyDescent="0.2">
      <c r="A1590" s="82"/>
      <c r="B1590" s="82"/>
      <c r="C1590" s="82"/>
    </row>
    <row r="1591" spans="1:3" x14ac:dyDescent="0.2">
      <c r="A1591" s="82"/>
      <c r="B1591" s="82"/>
      <c r="C1591" s="82"/>
    </row>
    <row r="1592" spans="1:3" x14ac:dyDescent="0.2">
      <c r="A1592" s="82"/>
      <c r="B1592" s="82"/>
      <c r="C1592" s="82"/>
    </row>
    <row r="1593" spans="1:3" x14ac:dyDescent="0.2">
      <c r="A1593" s="82"/>
      <c r="B1593" s="82"/>
      <c r="C1593" s="82"/>
    </row>
    <row r="1594" spans="1:3" x14ac:dyDescent="0.2">
      <c r="A1594" s="82"/>
      <c r="B1594" s="82"/>
      <c r="C1594" s="82"/>
    </row>
    <row r="1595" spans="1:3" x14ac:dyDescent="0.2">
      <c r="A1595" s="82"/>
      <c r="B1595" s="82"/>
      <c r="C1595" s="82"/>
    </row>
    <row r="1596" spans="1:3" x14ac:dyDescent="0.2">
      <c r="A1596" s="82"/>
      <c r="B1596" s="82"/>
      <c r="C1596" s="82"/>
    </row>
    <row r="1597" spans="1:3" x14ac:dyDescent="0.2">
      <c r="A1597" s="82"/>
      <c r="B1597" s="82"/>
      <c r="C1597" s="82"/>
    </row>
    <row r="1598" spans="1:3" x14ac:dyDescent="0.2">
      <c r="A1598" s="82"/>
      <c r="B1598" s="82"/>
      <c r="C1598" s="82"/>
    </row>
    <row r="1599" spans="1:3" x14ac:dyDescent="0.2">
      <c r="A1599" s="82"/>
      <c r="B1599" s="82"/>
      <c r="C1599" s="82"/>
    </row>
    <row r="1600" spans="1:3" x14ac:dyDescent="0.2">
      <c r="A1600" s="82"/>
      <c r="B1600" s="82"/>
      <c r="C1600" s="82"/>
    </row>
    <row r="1601" spans="1:3" x14ac:dyDescent="0.2">
      <c r="A1601" s="82"/>
      <c r="B1601" s="82"/>
      <c r="C1601" s="82"/>
    </row>
    <row r="1602" spans="1:3" x14ac:dyDescent="0.2">
      <c r="A1602" s="82"/>
      <c r="B1602" s="82"/>
      <c r="C1602" s="82"/>
    </row>
    <row r="1603" spans="1:3" x14ac:dyDescent="0.2">
      <c r="A1603" s="82"/>
      <c r="B1603" s="82"/>
      <c r="C1603" s="82"/>
    </row>
    <row r="1604" spans="1:3" x14ac:dyDescent="0.2">
      <c r="A1604" s="82"/>
      <c r="B1604" s="82"/>
      <c r="C1604" s="82"/>
    </row>
    <row r="1605" spans="1:3" x14ac:dyDescent="0.2">
      <c r="A1605" s="82"/>
      <c r="B1605" s="82"/>
      <c r="C1605" s="82"/>
    </row>
    <row r="1606" spans="1:3" x14ac:dyDescent="0.2">
      <c r="A1606" s="82"/>
      <c r="B1606" s="82"/>
      <c r="C1606" s="82"/>
    </row>
    <row r="1607" spans="1:3" x14ac:dyDescent="0.2">
      <c r="A1607" s="82"/>
      <c r="B1607" s="82"/>
      <c r="C1607" s="82"/>
    </row>
    <row r="1608" spans="1:3" x14ac:dyDescent="0.2">
      <c r="A1608" s="82"/>
      <c r="B1608" s="82"/>
      <c r="C1608" s="82"/>
    </row>
    <row r="1609" spans="1:3" x14ac:dyDescent="0.2">
      <c r="A1609" s="82"/>
      <c r="B1609" s="82"/>
      <c r="C1609" s="82"/>
    </row>
    <row r="1610" spans="1:3" x14ac:dyDescent="0.2">
      <c r="A1610" s="82"/>
      <c r="B1610" s="82"/>
      <c r="C1610" s="82"/>
    </row>
    <row r="1611" spans="1:3" x14ac:dyDescent="0.2">
      <c r="A1611" s="82"/>
      <c r="B1611" s="82"/>
      <c r="C1611" s="82"/>
    </row>
    <row r="1612" spans="1:3" x14ac:dyDescent="0.2">
      <c r="A1612" s="82"/>
      <c r="B1612" s="82"/>
      <c r="C1612" s="82"/>
    </row>
    <row r="1613" spans="1:3" x14ac:dyDescent="0.2">
      <c r="A1613" s="82"/>
      <c r="B1613" s="82"/>
      <c r="C1613" s="82"/>
    </row>
    <row r="1614" spans="1:3" x14ac:dyDescent="0.2">
      <c r="A1614" s="82"/>
      <c r="B1614" s="82"/>
      <c r="C1614" s="82"/>
    </row>
    <row r="1615" spans="1:3" x14ac:dyDescent="0.2">
      <c r="A1615" s="82"/>
      <c r="B1615" s="82"/>
      <c r="C1615" s="82"/>
    </row>
    <row r="1616" spans="1:3" x14ac:dyDescent="0.2">
      <c r="A1616" s="82"/>
      <c r="B1616" s="82"/>
      <c r="C1616" s="82"/>
    </row>
    <row r="1617" spans="1:3" x14ac:dyDescent="0.2">
      <c r="A1617" s="82"/>
      <c r="B1617" s="82"/>
      <c r="C1617" s="82"/>
    </row>
    <row r="1618" spans="1:3" x14ac:dyDescent="0.2">
      <c r="A1618" s="82"/>
      <c r="B1618" s="82"/>
      <c r="C1618" s="82"/>
    </row>
    <row r="1619" spans="1:3" x14ac:dyDescent="0.2">
      <c r="A1619" s="82"/>
      <c r="B1619" s="82"/>
      <c r="C1619" s="82"/>
    </row>
    <row r="1620" spans="1:3" x14ac:dyDescent="0.2">
      <c r="A1620" s="82"/>
      <c r="B1620" s="82"/>
      <c r="C1620" s="82"/>
    </row>
    <row r="1621" spans="1:3" x14ac:dyDescent="0.2">
      <c r="A1621" s="82"/>
      <c r="B1621" s="82"/>
      <c r="C1621" s="82"/>
    </row>
    <row r="1622" spans="1:3" x14ac:dyDescent="0.2">
      <c r="A1622" s="82"/>
      <c r="B1622" s="82"/>
      <c r="C1622" s="82"/>
    </row>
    <row r="1623" spans="1:3" x14ac:dyDescent="0.2">
      <c r="A1623" s="82"/>
      <c r="B1623" s="82"/>
      <c r="C1623" s="82"/>
    </row>
    <row r="1624" spans="1:3" x14ac:dyDescent="0.2">
      <c r="A1624" s="82"/>
      <c r="B1624" s="82"/>
      <c r="C1624" s="82"/>
    </row>
    <row r="1625" spans="1:3" x14ac:dyDescent="0.2">
      <c r="A1625" s="82"/>
      <c r="B1625" s="82"/>
      <c r="C1625" s="82"/>
    </row>
    <row r="1626" spans="1:3" x14ac:dyDescent="0.2">
      <c r="A1626" s="82"/>
      <c r="B1626" s="82"/>
      <c r="C1626" s="82"/>
    </row>
    <row r="1627" spans="1:3" x14ac:dyDescent="0.2">
      <c r="A1627" s="82"/>
      <c r="B1627" s="82"/>
      <c r="C1627" s="82"/>
    </row>
    <row r="1628" spans="1:3" x14ac:dyDescent="0.2">
      <c r="A1628" s="82"/>
      <c r="B1628" s="82"/>
      <c r="C1628" s="82"/>
    </row>
    <row r="1629" spans="1:3" x14ac:dyDescent="0.2">
      <c r="A1629" s="82"/>
      <c r="B1629" s="82"/>
      <c r="C1629" s="82"/>
    </row>
    <row r="1630" spans="1:3" x14ac:dyDescent="0.2">
      <c r="A1630" s="82"/>
      <c r="B1630" s="82"/>
      <c r="C1630" s="82"/>
    </row>
    <row r="1631" spans="1:3" x14ac:dyDescent="0.2">
      <c r="A1631" s="82"/>
      <c r="B1631" s="82"/>
      <c r="C1631" s="82"/>
    </row>
    <row r="1632" spans="1:3" x14ac:dyDescent="0.2">
      <c r="A1632" s="82"/>
      <c r="B1632" s="82"/>
      <c r="C1632" s="82"/>
    </row>
    <row r="1633" spans="1:3" x14ac:dyDescent="0.2">
      <c r="A1633" s="82"/>
      <c r="B1633" s="82"/>
      <c r="C1633" s="82"/>
    </row>
    <row r="1634" spans="1:3" x14ac:dyDescent="0.2">
      <c r="A1634" s="82"/>
      <c r="B1634" s="82"/>
      <c r="C1634" s="82"/>
    </row>
    <row r="1635" spans="1:3" x14ac:dyDescent="0.2">
      <c r="A1635" s="82"/>
      <c r="B1635" s="82"/>
      <c r="C1635" s="82"/>
    </row>
    <row r="1636" spans="1:3" x14ac:dyDescent="0.2">
      <c r="A1636" s="82"/>
      <c r="B1636" s="82"/>
      <c r="C1636" s="82"/>
    </row>
    <row r="1637" spans="1:3" x14ac:dyDescent="0.2">
      <c r="A1637" s="82"/>
      <c r="B1637" s="82"/>
      <c r="C1637" s="82"/>
    </row>
    <row r="1638" spans="1:3" x14ac:dyDescent="0.2">
      <c r="A1638" s="82"/>
      <c r="B1638" s="82"/>
      <c r="C1638" s="82"/>
    </row>
    <row r="1639" spans="1:3" x14ac:dyDescent="0.2">
      <c r="A1639" s="82"/>
      <c r="B1639" s="82"/>
      <c r="C1639" s="82"/>
    </row>
    <row r="1640" spans="1:3" x14ac:dyDescent="0.2">
      <c r="A1640" s="82"/>
      <c r="B1640" s="82"/>
      <c r="C1640" s="82"/>
    </row>
    <row r="1641" spans="1:3" x14ac:dyDescent="0.2">
      <c r="A1641" s="82"/>
      <c r="B1641" s="82"/>
      <c r="C1641" s="82"/>
    </row>
    <row r="1642" spans="1:3" x14ac:dyDescent="0.2">
      <c r="A1642" s="82"/>
      <c r="B1642" s="82"/>
      <c r="C1642" s="82"/>
    </row>
    <row r="1643" spans="1:3" x14ac:dyDescent="0.2">
      <c r="A1643" s="82"/>
      <c r="B1643" s="82"/>
      <c r="C1643" s="82"/>
    </row>
    <row r="1644" spans="1:3" x14ac:dyDescent="0.2">
      <c r="A1644" s="82"/>
      <c r="B1644" s="82"/>
      <c r="C1644" s="82"/>
    </row>
    <row r="1645" spans="1:3" x14ac:dyDescent="0.2">
      <c r="A1645" s="82"/>
      <c r="B1645" s="82"/>
      <c r="C1645" s="82"/>
    </row>
    <row r="1646" spans="1:3" x14ac:dyDescent="0.2">
      <c r="A1646" s="82"/>
      <c r="B1646" s="82"/>
      <c r="C1646" s="82"/>
    </row>
    <row r="1647" spans="1:3" x14ac:dyDescent="0.2">
      <c r="A1647" s="82"/>
      <c r="B1647" s="82"/>
      <c r="C1647" s="82"/>
    </row>
    <row r="1648" spans="1:3" x14ac:dyDescent="0.2">
      <c r="A1648" s="82"/>
      <c r="B1648" s="82"/>
      <c r="C1648" s="82"/>
    </row>
    <row r="1649" spans="1:3" x14ac:dyDescent="0.2">
      <c r="A1649" s="82"/>
      <c r="B1649" s="82"/>
      <c r="C1649" s="82"/>
    </row>
    <row r="1650" spans="1:3" x14ac:dyDescent="0.2">
      <c r="A1650" s="82"/>
      <c r="B1650" s="82"/>
      <c r="C1650" s="82"/>
    </row>
    <row r="1651" spans="1:3" x14ac:dyDescent="0.2">
      <c r="A1651" s="82"/>
      <c r="B1651" s="82"/>
      <c r="C1651" s="82"/>
    </row>
    <row r="1652" spans="1:3" x14ac:dyDescent="0.2">
      <c r="A1652" s="82"/>
      <c r="B1652" s="82"/>
      <c r="C1652" s="82"/>
    </row>
    <row r="1653" spans="1:3" x14ac:dyDescent="0.2">
      <c r="A1653" s="82"/>
      <c r="B1653" s="82"/>
      <c r="C1653" s="82"/>
    </row>
    <row r="1654" spans="1:3" x14ac:dyDescent="0.2">
      <c r="A1654" s="82"/>
      <c r="B1654" s="82"/>
      <c r="C1654" s="82"/>
    </row>
    <row r="1655" spans="1:3" x14ac:dyDescent="0.2">
      <c r="A1655" s="82"/>
      <c r="B1655" s="82"/>
      <c r="C1655" s="82"/>
    </row>
    <row r="1656" spans="1:3" x14ac:dyDescent="0.2">
      <c r="A1656" s="82"/>
      <c r="B1656" s="82"/>
      <c r="C1656" s="82"/>
    </row>
    <row r="1657" spans="1:3" x14ac:dyDescent="0.2">
      <c r="A1657" s="82"/>
      <c r="B1657" s="82"/>
      <c r="C1657" s="82"/>
    </row>
    <row r="1658" spans="1:3" x14ac:dyDescent="0.2">
      <c r="A1658" s="82"/>
      <c r="B1658" s="82"/>
      <c r="C1658" s="82"/>
    </row>
    <row r="1659" spans="1:3" x14ac:dyDescent="0.2">
      <c r="A1659" s="82"/>
      <c r="B1659" s="82"/>
      <c r="C1659" s="82"/>
    </row>
    <row r="1660" spans="1:3" x14ac:dyDescent="0.2">
      <c r="A1660" s="82"/>
      <c r="B1660" s="82"/>
      <c r="C1660" s="82"/>
    </row>
    <row r="1661" spans="1:3" x14ac:dyDescent="0.2">
      <c r="A1661" s="82"/>
      <c r="B1661" s="82"/>
      <c r="C1661" s="82"/>
    </row>
    <row r="1662" spans="1:3" x14ac:dyDescent="0.2">
      <c r="A1662" s="82"/>
      <c r="B1662" s="82"/>
      <c r="C1662" s="82"/>
    </row>
    <row r="1663" spans="1:3" x14ac:dyDescent="0.2">
      <c r="A1663" s="82"/>
      <c r="B1663" s="82"/>
      <c r="C1663" s="82"/>
    </row>
    <row r="1664" spans="1:3" x14ac:dyDescent="0.2">
      <c r="A1664" s="82"/>
      <c r="B1664" s="82"/>
      <c r="C1664" s="82"/>
    </row>
    <row r="1665" spans="1:3" x14ac:dyDescent="0.2">
      <c r="A1665" s="82"/>
      <c r="B1665" s="82"/>
      <c r="C1665" s="82"/>
    </row>
    <row r="1666" spans="1:3" x14ac:dyDescent="0.2">
      <c r="A1666" s="82"/>
      <c r="B1666" s="82"/>
      <c r="C1666" s="82"/>
    </row>
    <row r="1667" spans="1:3" x14ac:dyDescent="0.2">
      <c r="A1667" s="82"/>
      <c r="B1667" s="82"/>
      <c r="C1667" s="82"/>
    </row>
    <row r="1668" spans="1:3" x14ac:dyDescent="0.2">
      <c r="A1668" s="82"/>
      <c r="B1668" s="82"/>
      <c r="C1668" s="82"/>
    </row>
    <row r="1669" spans="1:3" x14ac:dyDescent="0.2">
      <c r="A1669" s="82"/>
      <c r="B1669" s="82"/>
      <c r="C1669" s="82"/>
    </row>
    <row r="1670" spans="1:3" x14ac:dyDescent="0.2">
      <c r="A1670" s="82"/>
      <c r="B1670" s="82"/>
      <c r="C1670" s="82"/>
    </row>
    <row r="1671" spans="1:3" x14ac:dyDescent="0.2">
      <c r="A1671" s="82"/>
      <c r="B1671" s="82"/>
      <c r="C1671" s="82"/>
    </row>
    <row r="1672" spans="1:3" x14ac:dyDescent="0.2">
      <c r="A1672" s="82"/>
      <c r="B1672" s="82"/>
      <c r="C1672" s="82"/>
    </row>
    <row r="1673" spans="1:3" x14ac:dyDescent="0.2">
      <c r="A1673" s="82"/>
      <c r="B1673" s="82"/>
      <c r="C1673" s="82"/>
    </row>
    <row r="1674" spans="1:3" x14ac:dyDescent="0.2">
      <c r="A1674" s="82"/>
      <c r="B1674" s="82"/>
      <c r="C1674" s="82"/>
    </row>
    <row r="1675" spans="1:3" x14ac:dyDescent="0.2">
      <c r="A1675" s="82"/>
      <c r="B1675" s="82"/>
      <c r="C1675" s="82"/>
    </row>
    <row r="1676" spans="1:3" x14ac:dyDescent="0.2">
      <c r="A1676" s="82"/>
      <c r="B1676" s="82"/>
      <c r="C1676" s="82"/>
    </row>
    <row r="1677" spans="1:3" x14ac:dyDescent="0.2">
      <c r="A1677" s="82"/>
      <c r="B1677" s="82"/>
      <c r="C1677" s="82"/>
    </row>
    <row r="1678" spans="1:3" x14ac:dyDescent="0.2">
      <c r="A1678" s="82"/>
      <c r="B1678" s="82"/>
      <c r="C1678" s="82"/>
    </row>
    <row r="1679" spans="1:3" x14ac:dyDescent="0.2">
      <c r="A1679" s="82"/>
      <c r="B1679" s="82"/>
      <c r="C1679" s="82"/>
    </row>
    <row r="1680" spans="1:3" x14ac:dyDescent="0.2">
      <c r="A1680" s="82"/>
      <c r="B1680" s="82"/>
      <c r="C1680" s="82"/>
    </row>
    <row r="1681" spans="1:3" x14ac:dyDescent="0.2">
      <c r="A1681" s="82"/>
      <c r="B1681" s="82"/>
      <c r="C1681" s="82"/>
    </row>
    <row r="1682" spans="1:3" x14ac:dyDescent="0.2">
      <c r="A1682" s="82"/>
      <c r="B1682" s="82"/>
      <c r="C1682" s="82"/>
    </row>
    <row r="1683" spans="1:3" x14ac:dyDescent="0.2">
      <c r="A1683" s="82"/>
      <c r="B1683" s="82"/>
      <c r="C1683" s="82"/>
    </row>
    <row r="1684" spans="1:3" x14ac:dyDescent="0.2">
      <c r="A1684" s="82"/>
      <c r="B1684" s="82"/>
      <c r="C1684" s="82"/>
    </row>
    <row r="1685" spans="1:3" x14ac:dyDescent="0.2">
      <c r="A1685" s="82"/>
      <c r="B1685" s="82"/>
      <c r="C1685" s="82"/>
    </row>
    <row r="1686" spans="1:3" x14ac:dyDescent="0.2">
      <c r="A1686" s="82"/>
      <c r="B1686" s="82"/>
      <c r="C1686" s="82"/>
    </row>
    <row r="1687" spans="1:3" x14ac:dyDescent="0.2">
      <c r="A1687" s="82"/>
      <c r="B1687" s="82"/>
      <c r="C1687" s="82"/>
    </row>
    <row r="1688" spans="1:3" x14ac:dyDescent="0.2">
      <c r="A1688" s="82"/>
      <c r="B1688" s="82"/>
      <c r="C1688" s="82"/>
    </row>
    <row r="1689" spans="1:3" x14ac:dyDescent="0.2">
      <c r="A1689" s="82"/>
      <c r="B1689" s="82"/>
      <c r="C1689" s="82"/>
    </row>
    <row r="1690" spans="1:3" x14ac:dyDescent="0.2">
      <c r="A1690" s="82"/>
      <c r="B1690" s="82"/>
      <c r="C1690" s="82"/>
    </row>
    <row r="1691" spans="1:3" x14ac:dyDescent="0.2">
      <c r="A1691" s="82"/>
      <c r="B1691" s="82"/>
      <c r="C1691" s="82"/>
    </row>
    <row r="1692" spans="1:3" x14ac:dyDescent="0.2">
      <c r="A1692" s="82"/>
      <c r="B1692" s="82"/>
      <c r="C1692" s="82"/>
    </row>
    <row r="1693" spans="1:3" x14ac:dyDescent="0.2">
      <c r="A1693" s="82"/>
      <c r="B1693" s="82"/>
      <c r="C1693" s="82"/>
    </row>
    <row r="1694" spans="1:3" x14ac:dyDescent="0.2">
      <c r="A1694" s="82"/>
      <c r="B1694" s="82"/>
      <c r="C1694" s="82"/>
    </row>
    <row r="1695" spans="1:3" x14ac:dyDescent="0.2">
      <c r="A1695" s="82"/>
      <c r="B1695" s="82"/>
      <c r="C1695" s="82"/>
    </row>
    <row r="1696" spans="1:3" x14ac:dyDescent="0.2">
      <c r="A1696" s="82"/>
      <c r="B1696" s="82"/>
      <c r="C1696" s="82"/>
    </row>
    <row r="1697" spans="1:3" x14ac:dyDescent="0.2">
      <c r="A1697" s="82"/>
      <c r="B1697" s="82"/>
      <c r="C1697" s="82"/>
    </row>
    <row r="1698" spans="1:3" x14ac:dyDescent="0.2">
      <c r="A1698" s="82"/>
      <c r="B1698" s="82"/>
      <c r="C1698" s="82"/>
    </row>
    <row r="1699" spans="1:3" x14ac:dyDescent="0.2">
      <c r="A1699" s="82"/>
      <c r="B1699" s="82"/>
      <c r="C1699" s="82"/>
    </row>
    <row r="1700" spans="1:3" x14ac:dyDescent="0.2">
      <c r="A1700" s="82"/>
      <c r="B1700" s="82"/>
      <c r="C1700" s="82"/>
    </row>
    <row r="1701" spans="1:3" x14ac:dyDescent="0.2">
      <c r="A1701" s="82"/>
      <c r="B1701" s="82"/>
      <c r="C1701" s="82"/>
    </row>
    <row r="1702" spans="1:3" x14ac:dyDescent="0.2">
      <c r="A1702" s="82"/>
      <c r="B1702" s="82"/>
      <c r="C1702" s="82"/>
    </row>
    <row r="1703" spans="1:3" x14ac:dyDescent="0.2">
      <c r="A1703" s="82"/>
      <c r="B1703" s="82"/>
      <c r="C1703" s="82"/>
    </row>
    <row r="1704" spans="1:3" x14ac:dyDescent="0.2">
      <c r="A1704" s="82"/>
      <c r="B1704" s="82"/>
      <c r="C1704" s="82"/>
    </row>
    <row r="1705" spans="1:3" x14ac:dyDescent="0.2">
      <c r="A1705" s="82"/>
      <c r="B1705" s="82"/>
      <c r="C1705" s="82"/>
    </row>
    <row r="1706" spans="1:3" x14ac:dyDescent="0.2">
      <c r="A1706" s="82"/>
      <c r="B1706" s="82"/>
      <c r="C1706" s="82"/>
    </row>
    <row r="1707" spans="1:3" x14ac:dyDescent="0.2">
      <c r="A1707" s="82"/>
      <c r="B1707" s="82"/>
      <c r="C1707" s="82"/>
    </row>
    <row r="1708" spans="1:3" x14ac:dyDescent="0.2">
      <c r="A1708" s="82"/>
      <c r="B1708" s="82"/>
      <c r="C1708" s="82"/>
    </row>
    <row r="1709" spans="1:3" x14ac:dyDescent="0.2">
      <c r="A1709" s="82"/>
      <c r="B1709" s="82"/>
      <c r="C1709" s="82"/>
    </row>
    <row r="1710" spans="1:3" x14ac:dyDescent="0.2">
      <c r="A1710" s="82"/>
      <c r="B1710" s="82"/>
      <c r="C1710" s="82"/>
    </row>
    <row r="1711" spans="1:3" x14ac:dyDescent="0.2">
      <c r="A1711" s="82"/>
      <c r="B1711" s="82"/>
      <c r="C1711" s="82"/>
    </row>
    <row r="1712" spans="1:3" x14ac:dyDescent="0.2">
      <c r="A1712" s="82"/>
      <c r="B1712" s="82"/>
      <c r="C1712" s="82"/>
    </row>
    <row r="1713" spans="1:3" x14ac:dyDescent="0.2">
      <c r="A1713" s="82"/>
      <c r="B1713" s="82"/>
      <c r="C1713" s="82"/>
    </row>
    <row r="1714" spans="1:3" x14ac:dyDescent="0.2">
      <c r="A1714" s="82"/>
      <c r="B1714" s="82"/>
      <c r="C1714" s="82"/>
    </row>
    <row r="1715" spans="1:3" x14ac:dyDescent="0.2">
      <c r="A1715" s="82"/>
      <c r="B1715" s="82"/>
      <c r="C1715" s="82"/>
    </row>
    <row r="1716" spans="1:3" x14ac:dyDescent="0.2">
      <c r="A1716" s="82"/>
      <c r="B1716" s="82"/>
      <c r="C1716" s="82"/>
    </row>
    <row r="1717" spans="1:3" x14ac:dyDescent="0.2">
      <c r="A1717" s="82"/>
      <c r="B1717" s="82"/>
      <c r="C1717" s="82"/>
    </row>
    <row r="1718" spans="1:3" x14ac:dyDescent="0.2">
      <c r="A1718" s="82"/>
      <c r="B1718" s="82"/>
      <c r="C1718" s="82"/>
    </row>
    <row r="1719" spans="1:3" x14ac:dyDescent="0.2">
      <c r="A1719" s="82"/>
      <c r="B1719" s="82"/>
      <c r="C1719" s="82"/>
    </row>
    <row r="1720" spans="1:3" x14ac:dyDescent="0.2">
      <c r="A1720" s="82"/>
      <c r="B1720" s="82"/>
      <c r="C1720" s="82"/>
    </row>
    <row r="1721" spans="1:3" x14ac:dyDescent="0.2">
      <c r="A1721" s="82"/>
      <c r="B1721" s="82"/>
      <c r="C1721" s="82"/>
    </row>
    <row r="1722" spans="1:3" x14ac:dyDescent="0.2">
      <c r="A1722" s="82"/>
      <c r="B1722" s="82"/>
      <c r="C1722" s="82"/>
    </row>
    <row r="1723" spans="1:3" x14ac:dyDescent="0.2">
      <c r="A1723" s="82"/>
      <c r="B1723" s="82"/>
      <c r="C1723" s="82"/>
    </row>
    <row r="1724" spans="1:3" x14ac:dyDescent="0.2">
      <c r="A1724" s="82"/>
      <c r="B1724" s="82"/>
      <c r="C1724" s="82"/>
    </row>
    <row r="1725" spans="1:3" x14ac:dyDescent="0.2">
      <c r="A1725" s="82"/>
      <c r="B1725" s="82"/>
      <c r="C1725" s="82"/>
    </row>
    <row r="1726" spans="1:3" x14ac:dyDescent="0.2">
      <c r="A1726" s="82"/>
      <c r="B1726" s="82"/>
      <c r="C1726" s="82"/>
    </row>
    <row r="1727" spans="1:3" x14ac:dyDescent="0.2">
      <c r="A1727" s="82"/>
      <c r="B1727" s="82"/>
      <c r="C1727" s="82"/>
    </row>
    <row r="1728" spans="1:3" x14ac:dyDescent="0.2">
      <c r="A1728" s="82"/>
      <c r="B1728" s="82"/>
      <c r="C1728" s="82"/>
    </row>
    <row r="1729" spans="1:3" x14ac:dyDescent="0.2">
      <c r="A1729" s="82"/>
      <c r="B1729" s="82"/>
      <c r="C1729" s="82"/>
    </row>
    <row r="1730" spans="1:3" x14ac:dyDescent="0.2">
      <c r="A1730" s="82"/>
      <c r="B1730" s="82"/>
      <c r="C1730" s="82"/>
    </row>
    <row r="1731" spans="1:3" x14ac:dyDescent="0.2">
      <c r="A1731" s="82"/>
      <c r="B1731" s="82"/>
      <c r="C1731" s="82"/>
    </row>
    <row r="1732" spans="1:3" x14ac:dyDescent="0.2">
      <c r="A1732" s="82"/>
      <c r="B1732" s="82"/>
      <c r="C1732" s="82"/>
    </row>
    <row r="1733" spans="1:3" x14ac:dyDescent="0.2">
      <c r="A1733" s="82"/>
      <c r="B1733" s="82"/>
      <c r="C1733" s="82"/>
    </row>
    <row r="1734" spans="1:3" x14ac:dyDescent="0.2">
      <c r="A1734" s="82"/>
      <c r="B1734" s="82"/>
      <c r="C1734" s="82"/>
    </row>
    <row r="1735" spans="1:3" x14ac:dyDescent="0.2">
      <c r="A1735" s="82"/>
      <c r="B1735" s="82"/>
      <c r="C1735" s="82"/>
    </row>
    <row r="1736" spans="1:3" x14ac:dyDescent="0.2">
      <c r="A1736" s="82"/>
      <c r="B1736" s="82"/>
      <c r="C1736" s="82"/>
    </row>
    <row r="1737" spans="1:3" x14ac:dyDescent="0.2">
      <c r="A1737" s="82"/>
      <c r="B1737" s="82"/>
      <c r="C1737" s="82"/>
    </row>
    <row r="1738" spans="1:3" x14ac:dyDescent="0.2">
      <c r="A1738" s="82"/>
      <c r="B1738" s="82"/>
      <c r="C1738" s="82"/>
    </row>
    <row r="1739" spans="1:3" x14ac:dyDescent="0.2">
      <c r="A1739" s="82"/>
      <c r="B1739" s="82"/>
      <c r="C1739" s="82"/>
    </row>
    <row r="1740" spans="1:3" x14ac:dyDescent="0.2">
      <c r="A1740" s="82"/>
      <c r="B1740" s="82"/>
      <c r="C1740" s="82"/>
    </row>
    <row r="1741" spans="1:3" x14ac:dyDescent="0.2">
      <c r="A1741" s="82"/>
      <c r="B1741" s="82"/>
      <c r="C1741" s="82"/>
    </row>
    <row r="1742" spans="1:3" x14ac:dyDescent="0.2">
      <c r="A1742" s="82"/>
      <c r="B1742" s="82"/>
      <c r="C1742" s="82"/>
    </row>
    <row r="1743" spans="1:3" x14ac:dyDescent="0.2">
      <c r="A1743" s="82"/>
      <c r="B1743" s="82"/>
      <c r="C1743" s="82"/>
    </row>
    <row r="1744" spans="1:3" x14ac:dyDescent="0.2">
      <c r="A1744" s="82"/>
      <c r="B1744" s="82"/>
      <c r="C1744" s="82"/>
    </row>
    <row r="1745" spans="1:3" x14ac:dyDescent="0.2">
      <c r="A1745" s="82"/>
      <c r="B1745" s="82"/>
      <c r="C1745" s="82"/>
    </row>
    <row r="1746" spans="1:3" x14ac:dyDescent="0.2">
      <c r="A1746" s="82"/>
      <c r="B1746" s="82"/>
      <c r="C1746" s="82"/>
    </row>
    <row r="1747" spans="1:3" x14ac:dyDescent="0.2">
      <c r="A1747" s="82"/>
      <c r="B1747" s="82"/>
      <c r="C1747" s="82"/>
    </row>
    <row r="1748" spans="1:3" x14ac:dyDescent="0.2">
      <c r="A1748" s="82"/>
      <c r="B1748" s="82"/>
      <c r="C1748" s="82"/>
    </row>
    <row r="1749" spans="1:3" x14ac:dyDescent="0.2">
      <c r="A1749" s="82"/>
      <c r="B1749" s="82"/>
      <c r="C1749" s="82"/>
    </row>
    <row r="1750" spans="1:3" x14ac:dyDescent="0.2">
      <c r="A1750" s="82"/>
      <c r="B1750" s="82"/>
      <c r="C1750" s="82"/>
    </row>
    <row r="1751" spans="1:3" x14ac:dyDescent="0.2">
      <c r="A1751" s="82"/>
      <c r="B1751" s="82"/>
      <c r="C1751" s="82"/>
    </row>
    <row r="1752" spans="1:3" x14ac:dyDescent="0.2">
      <c r="A1752" s="82"/>
      <c r="B1752" s="82"/>
      <c r="C1752" s="82"/>
    </row>
    <row r="1753" spans="1:3" x14ac:dyDescent="0.2">
      <c r="A1753" s="82"/>
      <c r="B1753" s="82"/>
      <c r="C1753" s="82"/>
    </row>
    <row r="1754" spans="1:3" x14ac:dyDescent="0.2">
      <c r="A1754" s="82"/>
      <c r="B1754" s="82"/>
      <c r="C1754" s="82"/>
    </row>
    <row r="1755" spans="1:3" x14ac:dyDescent="0.2">
      <c r="A1755" s="82"/>
      <c r="B1755" s="82"/>
      <c r="C1755" s="82"/>
    </row>
    <row r="1756" spans="1:3" x14ac:dyDescent="0.2">
      <c r="A1756" s="82"/>
      <c r="B1756" s="82"/>
      <c r="C1756" s="82"/>
    </row>
    <row r="1757" spans="1:3" x14ac:dyDescent="0.2">
      <c r="A1757" s="82"/>
      <c r="B1757" s="82"/>
      <c r="C1757" s="82"/>
    </row>
    <row r="1758" spans="1:3" x14ac:dyDescent="0.2">
      <c r="A1758" s="82"/>
      <c r="B1758" s="82"/>
      <c r="C1758" s="82"/>
    </row>
    <row r="1759" spans="1:3" x14ac:dyDescent="0.2">
      <c r="A1759" s="82"/>
      <c r="B1759" s="82"/>
      <c r="C1759" s="82"/>
    </row>
    <row r="1760" spans="1:3" x14ac:dyDescent="0.2">
      <c r="A1760" s="82"/>
      <c r="B1760" s="82"/>
      <c r="C1760" s="82"/>
    </row>
    <row r="1761" spans="1:3" x14ac:dyDescent="0.2">
      <c r="A1761" s="82"/>
      <c r="B1761" s="82"/>
      <c r="C1761" s="82"/>
    </row>
    <row r="1762" spans="1:3" x14ac:dyDescent="0.2">
      <c r="A1762" s="82"/>
      <c r="B1762" s="82"/>
      <c r="C1762" s="82"/>
    </row>
    <row r="1763" spans="1:3" x14ac:dyDescent="0.2">
      <c r="A1763" s="82"/>
      <c r="B1763" s="82"/>
      <c r="C1763" s="82"/>
    </row>
    <row r="1764" spans="1:3" x14ac:dyDescent="0.2">
      <c r="A1764" s="82"/>
      <c r="B1764" s="82"/>
      <c r="C1764" s="82"/>
    </row>
    <row r="1765" spans="1:3" x14ac:dyDescent="0.2">
      <c r="A1765" s="82"/>
      <c r="B1765" s="82"/>
      <c r="C1765" s="82"/>
    </row>
    <row r="1766" spans="1:3" x14ac:dyDescent="0.2">
      <c r="A1766" s="82"/>
      <c r="B1766" s="82"/>
      <c r="C1766" s="82"/>
    </row>
    <row r="1767" spans="1:3" x14ac:dyDescent="0.2">
      <c r="A1767" s="82"/>
      <c r="B1767" s="82"/>
      <c r="C1767" s="82"/>
    </row>
    <row r="1768" spans="1:3" x14ac:dyDescent="0.2">
      <c r="A1768" s="82"/>
      <c r="B1768" s="82"/>
      <c r="C1768" s="82"/>
    </row>
    <row r="1769" spans="1:3" x14ac:dyDescent="0.2">
      <c r="A1769" s="82"/>
      <c r="B1769" s="82"/>
      <c r="C1769" s="82"/>
    </row>
    <row r="1770" spans="1:3" x14ac:dyDescent="0.2">
      <c r="A1770" s="82"/>
      <c r="B1770" s="82"/>
      <c r="C1770" s="82"/>
    </row>
    <row r="1771" spans="1:3" x14ac:dyDescent="0.2">
      <c r="A1771" s="82"/>
      <c r="B1771" s="82"/>
      <c r="C1771" s="82"/>
    </row>
    <row r="1772" spans="1:3" x14ac:dyDescent="0.2">
      <c r="A1772" s="82"/>
      <c r="B1772" s="82"/>
      <c r="C1772" s="82"/>
    </row>
    <row r="1773" spans="1:3" x14ac:dyDescent="0.2">
      <c r="A1773" s="82"/>
      <c r="B1773" s="82"/>
      <c r="C1773" s="82"/>
    </row>
    <row r="1774" spans="1:3" x14ac:dyDescent="0.2">
      <c r="A1774" s="82"/>
      <c r="B1774" s="82"/>
      <c r="C1774" s="82"/>
    </row>
    <row r="1775" spans="1:3" x14ac:dyDescent="0.2">
      <c r="A1775" s="82"/>
      <c r="B1775" s="82"/>
      <c r="C1775" s="82"/>
    </row>
    <row r="1776" spans="1:3" x14ac:dyDescent="0.2">
      <c r="A1776" s="82"/>
      <c r="B1776" s="82"/>
      <c r="C1776" s="82"/>
    </row>
    <row r="1777" spans="1:3" x14ac:dyDescent="0.2">
      <c r="A1777" s="82"/>
      <c r="B1777" s="82"/>
      <c r="C1777" s="82"/>
    </row>
    <row r="1778" spans="1:3" x14ac:dyDescent="0.2">
      <c r="A1778" s="82"/>
      <c r="B1778" s="82"/>
      <c r="C1778" s="82"/>
    </row>
    <row r="1779" spans="1:3" x14ac:dyDescent="0.2">
      <c r="A1779" s="82"/>
      <c r="B1779" s="82"/>
      <c r="C1779" s="82"/>
    </row>
    <row r="1780" spans="1:3" x14ac:dyDescent="0.2">
      <c r="A1780" s="82"/>
      <c r="B1780" s="82"/>
      <c r="C1780" s="82"/>
    </row>
    <row r="1781" spans="1:3" x14ac:dyDescent="0.2">
      <c r="A1781" s="82"/>
      <c r="B1781" s="82"/>
      <c r="C1781" s="82"/>
    </row>
    <row r="1782" spans="1:3" x14ac:dyDescent="0.2">
      <c r="A1782" s="82"/>
      <c r="B1782" s="82"/>
      <c r="C1782" s="82"/>
    </row>
    <row r="1783" spans="1:3" x14ac:dyDescent="0.2">
      <c r="A1783" s="82"/>
      <c r="B1783" s="82"/>
      <c r="C1783" s="82"/>
    </row>
    <row r="1784" spans="1:3" x14ac:dyDescent="0.2">
      <c r="A1784" s="82"/>
      <c r="B1784" s="82"/>
      <c r="C1784" s="82"/>
    </row>
    <row r="1785" spans="1:3" x14ac:dyDescent="0.2">
      <c r="A1785" s="82"/>
      <c r="B1785" s="82"/>
      <c r="C1785" s="82"/>
    </row>
    <row r="1786" spans="1:3" x14ac:dyDescent="0.2">
      <c r="A1786" s="82"/>
      <c r="B1786" s="82"/>
      <c r="C1786" s="82"/>
    </row>
    <row r="1787" spans="1:3" x14ac:dyDescent="0.2">
      <c r="A1787" s="82"/>
      <c r="B1787" s="82"/>
      <c r="C1787" s="82"/>
    </row>
    <row r="1788" spans="1:3" x14ac:dyDescent="0.2">
      <c r="A1788" s="82"/>
      <c r="B1788" s="82"/>
      <c r="C1788" s="82"/>
    </row>
    <row r="1789" spans="1:3" x14ac:dyDescent="0.2">
      <c r="A1789" s="82"/>
      <c r="B1789" s="82"/>
      <c r="C1789" s="82"/>
    </row>
    <row r="1790" spans="1:3" x14ac:dyDescent="0.2">
      <c r="A1790" s="82"/>
      <c r="B1790" s="82"/>
      <c r="C1790" s="82"/>
    </row>
    <row r="1791" spans="1:3" x14ac:dyDescent="0.2">
      <c r="A1791" s="82"/>
      <c r="B1791" s="82"/>
      <c r="C1791" s="82"/>
    </row>
    <row r="1792" spans="1:3" x14ac:dyDescent="0.2">
      <c r="A1792" s="82"/>
      <c r="B1792" s="82"/>
      <c r="C1792" s="82"/>
    </row>
    <row r="1793" spans="1:3" x14ac:dyDescent="0.2">
      <c r="A1793" s="82"/>
      <c r="B1793" s="82"/>
      <c r="C1793" s="82"/>
    </row>
    <row r="1794" spans="1:3" x14ac:dyDescent="0.2">
      <c r="A1794" s="82"/>
      <c r="B1794" s="82"/>
      <c r="C1794" s="82"/>
    </row>
    <row r="1795" spans="1:3" x14ac:dyDescent="0.2">
      <c r="A1795" s="82"/>
      <c r="B1795" s="82"/>
      <c r="C1795" s="82"/>
    </row>
    <row r="1796" spans="1:3" x14ac:dyDescent="0.2">
      <c r="A1796" s="82"/>
      <c r="B1796" s="82"/>
      <c r="C1796" s="82"/>
    </row>
    <row r="1797" spans="1:3" x14ac:dyDescent="0.2">
      <c r="A1797" s="82"/>
      <c r="B1797" s="82"/>
      <c r="C1797" s="82"/>
    </row>
    <row r="1798" spans="1:3" x14ac:dyDescent="0.2">
      <c r="A1798" s="82"/>
      <c r="B1798" s="82"/>
      <c r="C1798" s="82"/>
    </row>
    <row r="1799" spans="1:3" x14ac:dyDescent="0.2">
      <c r="A1799" s="82"/>
      <c r="B1799" s="82"/>
      <c r="C1799" s="82"/>
    </row>
    <row r="1800" spans="1:3" x14ac:dyDescent="0.2">
      <c r="A1800" s="82"/>
      <c r="B1800" s="82"/>
      <c r="C1800" s="82"/>
    </row>
    <row r="1801" spans="1:3" x14ac:dyDescent="0.2">
      <c r="A1801" s="82"/>
      <c r="B1801" s="82"/>
      <c r="C1801" s="82"/>
    </row>
    <row r="1802" spans="1:3" x14ac:dyDescent="0.2">
      <c r="A1802" s="82"/>
      <c r="B1802" s="82"/>
      <c r="C1802" s="82"/>
    </row>
    <row r="1803" spans="1:3" x14ac:dyDescent="0.2">
      <c r="A1803" s="82"/>
      <c r="B1803" s="82"/>
      <c r="C1803" s="82"/>
    </row>
    <row r="1804" spans="1:3" x14ac:dyDescent="0.2">
      <c r="A1804" s="82"/>
      <c r="B1804" s="82"/>
      <c r="C1804" s="82"/>
    </row>
    <row r="1805" spans="1:3" x14ac:dyDescent="0.2">
      <c r="A1805" s="82"/>
      <c r="B1805" s="82"/>
      <c r="C1805" s="82"/>
    </row>
    <row r="1806" spans="1:3" x14ac:dyDescent="0.2">
      <c r="A1806" s="82"/>
      <c r="B1806" s="82"/>
      <c r="C1806" s="82"/>
    </row>
    <row r="1807" spans="1:3" x14ac:dyDescent="0.2">
      <c r="A1807" s="82"/>
      <c r="B1807" s="82"/>
      <c r="C1807" s="82"/>
    </row>
    <row r="1808" spans="1:3" x14ac:dyDescent="0.2">
      <c r="A1808" s="82"/>
      <c r="B1808" s="82"/>
      <c r="C1808" s="82"/>
    </row>
    <row r="1809" spans="1:3" x14ac:dyDescent="0.2">
      <c r="A1809" s="82"/>
      <c r="B1809" s="82"/>
      <c r="C1809" s="82"/>
    </row>
    <row r="1810" spans="1:3" x14ac:dyDescent="0.2">
      <c r="A1810" s="82"/>
      <c r="B1810" s="82"/>
      <c r="C1810" s="82"/>
    </row>
    <row r="1811" spans="1:3" x14ac:dyDescent="0.2">
      <c r="A1811" s="82"/>
      <c r="B1811" s="82"/>
      <c r="C1811" s="82"/>
    </row>
    <row r="1812" spans="1:3" x14ac:dyDescent="0.2">
      <c r="A1812" s="82"/>
      <c r="B1812" s="82"/>
      <c r="C1812" s="82"/>
    </row>
    <row r="1813" spans="1:3" x14ac:dyDescent="0.2">
      <c r="A1813" s="82"/>
      <c r="B1813" s="82"/>
      <c r="C1813" s="82"/>
    </row>
    <row r="1814" spans="1:3" x14ac:dyDescent="0.2">
      <c r="A1814" s="82"/>
      <c r="B1814" s="82"/>
      <c r="C1814" s="82"/>
    </row>
    <row r="1815" spans="1:3" x14ac:dyDescent="0.2">
      <c r="A1815" s="82"/>
      <c r="B1815" s="82"/>
      <c r="C1815" s="82"/>
    </row>
    <row r="1816" spans="1:3" x14ac:dyDescent="0.2">
      <c r="A1816" s="82"/>
      <c r="B1816" s="82"/>
      <c r="C1816" s="82"/>
    </row>
    <row r="1817" spans="1:3" x14ac:dyDescent="0.2">
      <c r="A1817" s="82"/>
      <c r="B1817" s="82"/>
      <c r="C1817" s="82"/>
    </row>
    <row r="1818" spans="1:3" x14ac:dyDescent="0.2">
      <c r="A1818" s="82"/>
      <c r="B1818" s="82"/>
      <c r="C1818" s="82"/>
    </row>
    <row r="1819" spans="1:3" x14ac:dyDescent="0.2">
      <c r="A1819" s="82"/>
      <c r="B1819" s="82"/>
      <c r="C1819" s="82"/>
    </row>
    <row r="1820" spans="1:3" x14ac:dyDescent="0.2">
      <c r="A1820" s="82"/>
      <c r="B1820" s="82"/>
      <c r="C1820" s="82"/>
    </row>
    <row r="1821" spans="1:3" x14ac:dyDescent="0.2">
      <c r="A1821" s="82"/>
      <c r="B1821" s="82"/>
      <c r="C1821" s="82"/>
    </row>
    <row r="1822" spans="1:3" x14ac:dyDescent="0.2">
      <c r="A1822" s="82"/>
      <c r="B1822" s="82"/>
      <c r="C1822" s="82"/>
    </row>
    <row r="1823" spans="1:3" x14ac:dyDescent="0.2">
      <c r="A1823" s="82"/>
      <c r="B1823" s="82"/>
      <c r="C1823" s="82"/>
    </row>
    <row r="1824" spans="1:3" x14ac:dyDescent="0.2">
      <c r="A1824" s="82"/>
      <c r="B1824" s="82"/>
      <c r="C1824" s="82"/>
    </row>
    <row r="1825" spans="1:3" x14ac:dyDescent="0.2">
      <c r="A1825" s="82"/>
      <c r="B1825" s="82"/>
      <c r="C1825" s="82"/>
    </row>
    <row r="1826" spans="1:3" x14ac:dyDescent="0.2">
      <c r="A1826" s="82"/>
      <c r="B1826" s="82"/>
      <c r="C1826" s="82"/>
    </row>
    <row r="1827" spans="1:3" x14ac:dyDescent="0.2">
      <c r="A1827" s="82"/>
      <c r="B1827" s="82"/>
      <c r="C1827" s="82"/>
    </row>
    <row r="1828" spans="1:3" x14ac:dyDescent="0.2">
      <c r="A1828" s="82"/>
      <c r="B1828" s="82"/>
      <c r="C1828" s="82"/>
    </row>
    <row r="1829" spans="1:3" x14ac:dyDescent="0.2">
      <c r="A1829" s="82"/>
      <c r="B1829" s="82"/>
      <c r="C1829" s="82"/>
    </row>
    <row r="1830" spans="1:3" x14ac:dyDescent="0.2">
      <c r="A1830" s="82"/>
      <c r="B1830" s="82"/>
      <c r="C1830" s="82"/>
    </row>
    <row r="1831" spans="1:3" x14ac:dyDescent="0.2">
      <c r="A1831" s="82"/>
      <c r="B1831" s="82"/>
      <c r="C1831" s="82"/>
    </row>
    <row r="1832" spans="1:3" x14ac:dyDescent="0.2">
      <c r="A1832" s="82"/>
      <c r="B1832" s="82"/>
      <c r="C1832" s="82"/>
    </row>
    <row r="1833" spans="1:3" x14ac:dyDescent="0.2">
      <c r="A1833" s="82"/>
      <c r="B1833" s="82"/>
      <c r="C1833" s="82"/>
    </row>
    <row r="1834" spans="1:3" x14ac:dyDescent="0.2">
      <c r="A1834" s="82"/>
      <c r="B1834" s="82"/>
      <c r="C1834" s="82"/>
    </row>
    <row r="1835" spans="1:3" x14ac:dyDescent="0.2">
      <c r="A1835" s="82"/>
      <c r="B1835" s="82"/>
      <c r="C1835" s="82"/>
    </row>
    <row r="1836" spans="1:3" x14ac:dyDescent="0.2">
      <c r="A1836" s="82"/>
      <c r="B1836" s="82"/>
      <c r="C1836" s="82"/>
    </row>
    <row r="1837" spans="1:3" x14ac:dyDescent="0.2">
      <c r="A1837" s="82"/>
      <c r="B1837" s="82"/>
      <c r="C1837" s="82"/>
    </row>
    <row r="1838" spans="1:3" x14ac:dyDescent="0.2">
      <c r="A1838" s="82"/>
      <c r="B1838" s="82"/>
      <c r="C1838" s="82"/>
    </row>
    <row r="1839" spans="1:3" x14ac:dyDescent="0.2">
      <c r="A1839" s="82"/>
      <c r="B1839" s="82"/>
      <c r="C1839" s="82"/>
    </row>
    <row r="1840" spans="1:3" x14ac:dyDescent="0.2">
      <c r="A1840" s="82"/>
      <c r="B1840" s="82"/>
      <c r="C1840" s="82"/>
    </row>
    <row r="1841" spans="1:3" x14ac:dyDescent="0.2">
      <c r="A1841" s="82"/>
      <c r="B1841" s="82"/>
      <c r="C1841" s="82"/>
    </row>
    <row r="1842" spans="1:3" x14ac:dyDescent="0.2">
      <c r="A1842" s="82"/>
      <c r="B1842" s="82"/>
      <c r="C1842" s="82"/>
    </row>
    <row r="1843" spans="1:3" x14ac:dyDescent="0.2">
      <c r="A1843" s="82"/>
      <c r="B1843" s="82"/>
      <c r="C1843" s="82"/>
    </row>
    <row r="1844" spans="1:3" x14ac:dyDescent="0.2">
      <c r="A1844" s="82"/>
      <c r="B1844" s="82"/>
      <c r="C1844" s="82"/>
    </row>
    <row r="1845" spans="1:3" x14ac:dyDescent="0.2">
      <c r="A1845" s="82"/>
      <c r="B1845" s="82"/>
      <c r="C1845" s="82"/>
    </row>
    <row r="1846" spans="1:3" x14ac:dyDescent="0.2">
      <c r="A1846" s="82"/>
      <c r="B1846" s="82"/>
      <c r="C1846" s="82"/>
    </row>
    <row r="1847" spans="1:3" x14ac:dyDescent="0.2">
      <c r="A1847" s="82"/>
      <c r="B1847" s="82"/>
      <c r="C1847" s="82"/>
    </row>
    <row r="1848" spans="1:3" x14ac:dyDescent="0.2">
      <c r="A1848" s="82"/>
      <c r="B1848" s="82"/>
      <c r="C1848" s="82"/>
    </row>
    <row r="1849" spans="1:3" x14ac:dyDescent="0.2">
      <c r="A1849" s="82"/>
      <c r="B1849" s="82"/>
      <c r="C1849" s="82"/>
    </row>
    <row r="1850" spans="1:3" x14ac:dyDescent="0.2">
      <c r="A1850" s="82"/>
      <c r="B1850" s="82"/>
      <c r="C1850" s="82"/>
    </row>
    <row r="1851" spans="1:3" x14ac:dyDescent="0.2">
      <c r="A1851" s="82"/>
      <c r="B1851" s="82"/>
      <c r="C1851" s="82"/>
    </row>
    <row r="1852" spans="1:3" x14ac:dyDescent="0.2">
      <c r="A1852" s="82"/>
      <c r="B1852" s="82"/>
      <c r="C1852" s="82"/>
    </row>
    <row r="1853" spans="1:3" x14ac:dyDescent="0.2">
      <c r="A1853" s="82"/>
      <c r="B1853" s="82"/>
      <c r="C1853" s="82"/>
    </row>
    <row r="1854" spans="1:3" x14ac:dyDescent="0.2">
      <c r="A1854" s="82"/>
      <c r="B1854" s="82"/>
      <c r="C1854" s="82"/>
    </row>
    <row r="1855" spans="1:3" x14ac:dyDescent="0.2">
      <c r="A1855" s="82"/>
      <c r="B1855" s="82"/>
      <c r="C1855" s="82"/>
    </row>
    <row r="1856" spans="1:3" x14ac:dyDescent="0.2">
      <c r="A1856" s="82"/>
      <c r="B1856" s="82"/>
      <c r="C1856" s="82"/>
    </row>
    <row r="1857" spans="1:3" x14ac:dyDescent="0.2">
      <c r="A1857" s="82"/>
      <c r="B1857" s="82"/>
      <c r="C1857" s="82"/>
    </row>
    <row r="1858" spans="1:3" x14ac:dyDescent="0.2">
      <c r="A1858" s="82"/>
      <c r="B1858" s="82"/>
      <c r="C1858" s="82"/>
    </row>
    <row r="1859" spans="1:3" x14ac:dyDescent="0.2">
      <c r="A1859" s="82"/>
      <c r="B1859" s="82"/>
      <c r="C1859" s="82"/>
    </row>
    <row r="1860" spans="1:3" x14ac:dyDescent="0.2">
      <c r="A1860" s="82"/>
      <c r="B1860" s="82"/>
      <c r="C1860" s="82"/>
    </row>
    <row r="1861" spans="1:3" x14ac:dyDescent="0.2">
      <c r="A1861" s="82"/>
      <c r="B1861" s="82"/>
      <c r="C1861" s="82"/>
    </row>
    <row r="1862" spans="1:3" x14ac:dyDescent="0.2">
      <c r="A1862" s="82"/>
      <c r="B1862" s="82"/>
      <c r="C1862" s="82"/>
    </row>
    <row r="1863" spans="1:3" x14ac:dyDescent="0.2">
      <c r="A1863" s="82"/>
      <c r="B1863" s="82"/>
      <c r="C1863" s="82"/>
    </row>
    <row r="1864" spans="1:3" x14ac:dyDescent="0.2">
      <c r="A1864" s="82"/>
      <c r="B1864" s="82"/>
      <c r="C1864" s="82"/>
    </row>
    <row r="1865" spans="1:3" x14ac:dyDescent="0.2">
      <c r="A1865" s="82"/>
      <c r="B1865" s="82"/>
      <c r="C1865" s="82"/>
    </row>
    <row r="1866" spans="1:3" x14ac:dyDescent="0.2">
      <c r="A1866" s="82"/>
      <c r="B1866" s="82"/>
      <c r="C1866" s="82"/>
    </row>
    <row r="1867" spans="1:3" x14ac:dyDescent="0.2">
      <c r="A1867" s="82"/>
      <c r="B1867" s="82"/>
      <c r="C1867" s="82"/>
    </row>
    <row r="1868" spans="1:3" x14ac:dyDescent="0.2">
      <c r="A1868" s="82"/>
      <c r="B1868" s="82"/>
      <c r="C1868" s="82"/>
    </row>
    <row r="1869" spans="1:3" x14ac:dyDescent="0.2">
      <c r="A1869" s="82"/>
      <c r="B1869" s="82"/>
      <c r="C1869" s="82"/>
    </row>
    <row r="1870" spans="1:3" x14ac:dyDescent="0.2">
      <c r="A1870" s="82"/>
      <c r="B1870" s="82"/>
      <c r="C1870" s="82"/>
    </row>
    <row r="1871" spans="1:3" x14ac:dyDescent="0.2">
      <c r="A1871" s="82"/>
      <c r="B1871" s="82"/>
      <c r="C1871" s="82"/>
    </row>
    <row r="1872" spans="1:3" x14ac:dyDescent="0.2">
      <c r="A1872" s="82"/>
      <c r="B1872" s="82"/>
      <c r="C1872" s="82"/>
    </row>
    <row r="1873" spans="1:3" x14ac:dyDescent="0.2">
      <c r="A1873" s="82"/>
      <c r="B1873" s="82"/>
      <c r="C1873" s="82"/>
    </row>
    <row r="1874" spans="1:3" x14ac:dyDescent="0.2">
      <c r="A1874" s="82"/>
      <c r="B1874" s="82"/>
      <c r="C1874" s="82"/>
    </row>
    <row r="1875" spans="1:3" x14ac:dyDescent="0.2">
      <c r="A1875" s="82"/>
      <c r="B1875" s="82"/>
      <c r="C1875" s="82"/>
    </row>
    <row r="1876" spans="1:3" x14ac:dyDescent="0.2">
      <c r="A1876" s="82"/>
      <c r="B1876" s="82"/>
      <c r="C1876" s="82"/>
    </row>
    <row r="1877" spans="1:3" x14ac:dyDescent="0.2">
      <c r="A1877" s="82"/>
      <c r="B1877" s="82"/>
      <c r="C1877" s="82"/>
    </row>
    <row r="1878" spans="1:3" x14ac:dyDescent="0.2">
      <c r="A1878" s="82"/>
      <c r="B1878" s="82"/>
      <c r="C1878" s="82"/>
    </row>
    <row r="1879" spans="1:3" x14ac:dyDescent="0.2">
      <c r="A1879" s="82"/>
      <c r="B1879" s="82"/>
      <c r="C1879" s="82"/>
    </row>
    <row r="1880" spans="1:3" x14ac:dyDescent="0.2">
      <c r="A1880" s="82"/>
      <c r="B1880" s="82"/>
      <c r="C1880" s="82"/>
    </row>
    <row r="1881" spans="1:3" x14ac:dyDescent="0.2">
      <c r="A1881" s="82"/>
      <c r="B1881" s="82"/>
      <c r="C1881" s="82"/>
    </row>
    <row r="1882" spans="1:3" x14ac:dyDescent="0.2">
      <c r="A1882" s="82"/>
      <c r="B1882" s="82"/>
      <c r="C1882" s="82"/>
    </row>
    <row r="1883" spans="1:3" x14ac:dyDescent="0.2">
      <c r="A1883" s="82"/>
      <c r="B1883" s="82"/>
      <c r="C1883" s="82"/>
    </row>
    <row r="1884" spans="1:3" x14ac:dyDescent="0.2">
      <c r="A1884" s="82"/>
      <c r="B1884" s="82"/>
      <c r="C1884" s="82"/>
    </row>
    <row r="1885" spans="1:3" x14ac:dyDescent="0.2">
      <c r="A1885" s="82"/>
      <c r="B1885" s="82"/>
      <c r="C1885" s="82"/>
    </row>
    <row r="1886" spans="1:3" x14ac:dyDescent="0.2">
      <c r="A1886" s="82"/>
      <c r="B1886" s="82"/>
      <c r="C1886" s="82"/>
    </row>
    <row r="1887" spans="1:3" x14ac:dyDescent="0.2">
      <c r="A1887" s="82"/>
      <c r="B1887" s="82"/>
      <c r="C1887" s="82"/>
    </row>
    <row r="1888" spans="1:3" x14ac:dyDescent="0.2">
      <c r="A1888" s="82"/>
      <c r="B1888" s="82"/>
      <c r="C1888" s="82"/>
    </row>
    <row r="1889" spans="1:3" x14ac:dyDescent="0.2">
      <c r="A1889" s="82"/>
      <c r="B1889" s="82"/>
      <c r="C1889" s="82"/>
    </row>
    <row r="1890" spans="1:3" x14ac:dyDescent="0.2">
      <c r="A1890" s="82"/>
      <c r="B1890" s="82"/>
      <c r="C1890" s="82"/>
    </row>
    <row r="1891" spans="1:3" x14ac:dyDescent="0.2">
      <c r="A1891" s="82"/>
      <c r="B1891" s="82"/>
      <c r="C1891" s="82"/>
    </row>
    <row r="1892" spans="1:3" x14ac:dyDescent="0.2">
      <c r="A1892" s="82"/>
      <c r="B1892" s="82"/>
      <c r="C1892" s="82"/>
    </row>
    <row r="1893" spans="1:3" x14ac:dyDescent="0.2">
      <c r="A1893" s="82"/>
      <c r="B1893" s="82"/>
      <c r="C1893" s="82"/>
    </row>
    <row r="1894" spans="1:3" x14ac:dyDescent="0.2">
      <c r="A1894" s="82"/>
      <c r="B1894" s="82"/>
      <c r="C1894" s="82"/>
    </row>
    <row r="1895" spans="1:3" x14ac:dyDescent="0.2">
      <c r="A1895" s="82"/>
      <c r="B1895" s="82"/>
      <c r="C1895" s="82"/>
    </row>
    <row r="1896" spans="1:3" x14ac:dyDescent="0.2">
      <c r="A1896" s="82"/>
      <c r="B1896" s="82"/>
      <c r="C1896" s="82"/>
    </row>
    <row r="1897" spans="1:3" x14ac:dyDescent="0.2">
      <c r="A1897" s="82"/>
      <c r="B1897" s="82"/>
      <c r="C1897" s="82"/>
    </row>
    <row r="1898" spans="1:3" x14ac:dyDescent="0.2">
      <c r="A1898" s="82"/>
      <c r="B1898" s="82"/>
      <c r="C1898" s="82"/>
    </row>
    <row r="1899" spans="1:3" x14ac:dyDescent="0.2">
      <c r="A1899" s="82"/>
      <c r="B1899" s="82"/>
      <c r="C1899" s="82"/>
    </row>
    <row r="1900" spans="1:3" x14ac:dyDescent="0.2">
      <c r="A1900" s="82"/>
      <c r="B1900" s="82"/>
      <c r="C1900" s="82"/>
    </row>
    <row r="1901" spans="1:3" x14ac:dyDescent="0.2">
      <c r="A1901" s="82"/>
      <c r="B1901" s="82"/>
      <c r="C1901" s="82"/>
    </row>
    <row r="1902" spans="1:3" x14ac:dyDescent="0.2">
      <c r="A1902" s="82"/>
      <c r="B1902" s="82"/>
      <c r="C1902" s="82"/>
    </row>
    <row r="1903" spans="1:3" x14ac:dyDescent="0.2">
      <c r="A1903" s="82"/>
      <c r="B1903" s="82"/>
      <c r="C1903" s="82"/>
    </row>
    <row r="1904" spans="1:3" x14ac:dyDescent="0.2">
      <c r="A1904" s="82"/>
      <c r="B1904" s="82"/>
      <c r="C1904" s="82"/>
    </row>
    <row r="1905" spans="1:3" x14ac:dyDescent="0.2">
      <c r="A1905" s="82"/>
      <c r="B1905" s="82"/>
      <c r="C1905" s="82"/>
    </row>
    <row r="1906" spans="1:3" x14ac:dyDescent="0.2">
      <c r="A1906" s="82"/>
      <c r="B1906" s="82"/>
      <c r="C1906" s="82"/>
    </row>
    <row r="1907" spans="1:3" x14ac:dyDescent="0.2">
      <c r="A1907" s="82"/>
      <c r="B1907" s="82"/>
      <c r="C1907" s="82"/>
    </row>
    <row r="1908" spans="1:3" x14ac:dyDescent="0.2">
      <c r="A1908" s="82"/>
      <c r="B1908" s="82"/>
      <c r="C1908" s="82"/>
    </row>
    <row r="1909" spans="1:3" x14ac:dyDescent="0.2">
      <c r="A1909" s="82"/>
      <c r="B1909" s="82"/>
      <c r="C1909" s="82"/>
    </row>
    <row r="1910" spans="1:3" x14ac:dyDescent="0.2">
      <c r="A1910" s="82"/>
      <c r="B1910" s="82"/>
      <c r="C1910" s="82"/>
    </row>
    <row r="1911" spans="1:3" x14ac:dyDescent="0.2">
      <c r="A1911" s="82"/>
      <c r="B1911" s="82"/>
      <c r="C1911" s="82"/>
    </row>
    <row r="1912" spans="1:3" x14ac:dyDescent="0.2">
      <c r="A1912" s="82"/>
      <c r="B1912" s="82"/>
      <c r="C1912" s="82"/>
    </row>
    <row r="1913" spans="1:3" x14ac:dyDescent="0.2">
      <c r="A1913" s="82"/>
      <c r="B1913" s="82"/>
      <c r="C1913" s="82"/>
    </row>
    <row r="1914" spans="1:3" x14ac:dyDescent="0.2">
      <c r="A1914" s="82"/>
      <c r="B1914" s="82"/>
      <c r="C1914" s="82"/>
    </row>
    <row r="1915" spans="1:3" x14ac:dyDescent="0.2">
      <c r="A1915" s="82"/>
      <c r="B1915" s="82"/>
      <c r="C1915" s="82"/>
    </row>
    <row r="1916" spans="1:3" x14ac:dyDescent="0.2">
      <c r="A1916" s="82"/>
      <c r="B1916" s="82"/>
      <c r="C1916" s="82"/>
    </row>
    <row r="1917" spans="1:3" x14ac:dyDescent="0.2">
      <c r="A1917" s="82"/>
      <c r="B1917" s="82"/>
      <c r="C1917" s="82"/>
    </row>
    <row r="1918" spans="1:3" x14ac:dyDescent="0.2">
      <c r="A1918" s="82"/>
      <c r="B1918" s="82"/>
      <c r="C1918" s="82"/>
    </row>
    <row r="1919" spans="1:3" x14ac:dyDescent="0.2">
      <c r="A1919" s="82"/>
      <c r="B1919" s="82"/>
      <c r="C1919" s="82"/>
    </row>
    <row r="1920" spans="1:3" x14ac:dyDescent="0.2">
      <c r="A1920" s="82"/>
      <c r="B1920" s="82"/>
      <c r="C1920" s="82"/>
    </row>
    <row r="1921" spans="1:3" x14ac:dyDescent="0.2">
      <c r="A1921" s="82"/>
      <c r="B1921" s="82"/>
      <c r="C1921" s="82"/>
    </row>
    <row r="1922" spans="1:3" x14ac:dyDescent="0.2">
      <c r="A1922" s="82"/>
      <c r="B1922" s="82"/>
      <c r="C1922" s="82"/>
    </row>
    <row r="1923" spans="1:3" x14ac:dyDescent="0.2">
      <c r="A1923" s="82"/>
      <c r="B1923" s="82"/>
      <c r="C1923" s="82"/>
    </row>
    <row r="1924" spans="1:3" x14ac:dyDescent="0.2">
      <c r="A1924" s="82"/>
      <c r="B1924" s="82"/>
      <c r="C1924" s="82"/>
    </row>
    <row r="1925" spans="1:3" x14ac:dyDescent="0.2">
      <c r="A1925" s="82"/>
      <c r="B1925" s="82"/>
      <c r="C1925" s="82"/>
    </row>
    <row r="1926" spans="1:3" x14ac:dyDescent="0.2">
      <c r="A1926" s="82"/>
      <c r="B1926" s="82"/>
      <c r="C1926" s="82"/>
    </row>
    <row r="1927" spans="1:3" x14ac:dyDescent="0.2">
      <c r="A1927" s="82"/>
      <c r="B1927" s="82"/>
      <c r="C1927" s="82"/>
    </row>
    <row r="1928" spans="1:3" x14ac:dyDescent="0.2">
      <c r="A1928" s="82"/>
      <c r="B1928" s="82"/>
      <c r="C1928" s="82"/>
    </row>
    <row r="1929" spans="1:3" x14ac:dyDescent="0.2">
      <c r="A1929" s="82"/>
      <c r="B1929" s="82"/>
      <c r="C1929" s="82"/>
    </row>
    <row r="1930" spans="1:3" x14ac:dyDescent="0.2">
      <c r="A1930" s="82"/>
      <c r="B1930" s="82"/>
      <c r="C1930" s="82"/>
    </row>
    <row r="1931" spans="1:3" x14ac:dyDescent="0.2">
      <c r="A1931" s="82"/>
      <c r="B1931" s="82"/>
      <c r="C1931" s="82"/>
    </row>
    <row r="1932" spans="1:3" x14ac:dyDescent="0.2">
      <c r="A1932" s="82"/>
      <c r="B1932" s="82"/>
      <c r="C1932" s="82"/>
    </row>
    <row r="1933" spans="1:3" x14ac:dyDescent="0.2">
      <c r="A1933" s="82"/>
      <c r="B1933" s="82"/>
      <c r="C1933" s="82"/>
    </row>
    <row r="1934" spans="1:3" x14ac:dyDescent="0.2">
      <c r="A1934" s="82"/>
      <c r="B1934" s="82"/>
      <c r="C1934" s="82"/>
    </row>
    <row r="1935" spans="1:3" x14ac:dyDescent="0.2">
      <c r="A1935" s="82"/>
      <c r="B1935" s="82"/>
      <c r="C1935" s="82"/>
    </row>
    <row r="1936" spans="1:3" x14ac:dyDescent="0.2">
      <c r="A1936" s="82"/>
      <c r="B1936" s="82"/>
      <c r="C1936" s="82"/>
    </row>
    <row r="1937" spans="1:3" x14ac:dyDescent="0.2">
      <c r="A1937" s="82"/>
      <c r="B1937" s="82"/>
      <c r="C1937" s="82"/>
    </row>
    <row r="1938" spans="1:3" x14ac:dyDescent="0.2">
      <c r="A1938" s="82"/>
      <c r="B1938" s="82"/>
      <c r="C1938" s="82"/>
    </row>
    <row r="1939" spans="1:3" x14ac:dyDescent="0.2">
      <c r="A1939" s="82"/>
      <c r="B1939" s="82"/>
      <c r="C1939" s="82"/>
    </row>
    <row r="1940" spans="1:3" x14ac:dyDescent="0.2">
      <c r="A1940" s="82"/>
      <c r="B1940" s="82"/>
      <c r="C1940" s="82"/>
    </row>
    <row r="1941" spans="1:3" x14ac:dyDescent="0.2">
      <c r="A1941" s="82"/>
      <c r="B1941" s="82"/>
      <c r="C1941" s="82"/>
    </row>
    <row r="1942" spans="1:3" x14ac:dyDescent="0.2">
      <c r="A1942" s="82"/>
      <c r="B1942" s="82"/>
      <c r="C1942" s="82"/>
    </row>
    <row r="1943" spans="1:3" x14ac:dyDescent="0.2">
      <c r="A1943" s="82"/>
      <c r="B1943" s="82"/>
      <c r="C1943" s="82"/>
    </row>
    <row r="1944" spans="1:3" x14ac:dyDescent="0.2">
      <c r="A1944" s="82"/>
      <c r="B1944" s="82"/>
      <c r="C1944" s="82"/>
    </row>
    <row r="1945" spans="1:3" x14ac:dyDescent="0.2">
      <c r="A1945" s="82"/>
      <c r="B1945" s="82"/>
      <c r="C1945" s="82"/>
    </row>
    <row r="1946" spans="1:3" x14ac:dyDescent="0.2">
      <c r="A1946" s="82"/>
      <c r="B1946" s="82"/>
      <c r="C1946" s="82"/>
    </row>
    <row r="1947" spans="1:3" x14ac:dyDescent="0.2">
      <c r="A1947" s="82"/>
      <c r="B1947" s="82"/>
      <c r="C1947" s="82"/>
    </row>
    <row r="1948" spans="1:3" x14ac:dyDescent="0.2">
      <c r="A1948" s="82"/>
      <c r="B1948" s="82"/>
      <c r="C1948" s="82"/>
    </row>
    <row r="1949" spans="1:3" x14ac:dyDescent="0.2">
      <c r="A1949" s="82"/>
      <c r="B1949" s="82"/>
      <c r="C1949" s="82"/>
    </row>
    <row r="1950" spans="1:3" x14ac:dyDescent="0.2">
      <c r="A1950" s="82"/>
      <c r="B1950" s="82"/>
      <c r="C1950" s="82"/>
    </row>
    <row r="1951" spans="1:3" x14ac:dyDescent="0.2">
      <c r="A1951" s="82"/>
      <c r="B1951" s="82"/>
      <c r="C1951" s="82"/>
    </row>
    <row r="1952" spans="1:3" x14ac:dyDescent="0.2">
      <c r="A1952" s="82"/>
      <c r="B1952" s="82"/>
      <c r="C1952" s="82"/>
    </row>
    <row r="1953" spans="1:3" x14ac:dyDescent="0.2">
      <c r="A1953" s="82"/>
      <c r="B1953" s="82"/>
      <c r="C1953" s="82"/>
    </row>
    <row r="1954" spans="1:3" x14ac:dyDescent="0.2">
      <c r="A1954" s="82"/>
      <c r="B1954" s="82"/>
      <c r="C1954" s="82"/>
    </row>
    <row r="1955" spans="1:3" x14ac:dyDescent="0.2">
      <c r="A1955" s="82"/>
      <c r="B1955" s="82"/>
      <c r="C1955" s="82"/>
    </row>
    <row r="1956" spans="1:3" x14ac:dyDescent="0.2">
      <c r="A1956" s="82"/>
      <c r="B1956" s="82"/>
      <c r="C1956" s="82"/>
    </row>
    <row r="1957" spans="1:3" x14ac:dyDescent="0.2">
      <c r="A1957" s="82"/>
      <c r="B1957" s="82"/>
      <c r="C1957" s="82"/>
    </row>
    <row r="1958" spans="1:3" x14ac:dyDescent="0.2">
      <c r="A1958" s="82"/>
      <c r="B1958" s="82"/>
      <c r="C1958" s="82"/>
    </row>
    <row r="1959" spans="1:3" x14ac:dyDescent="0.2">
      <c r="A1959" s="82"/>
      <c r="B1959" s="82"/>
      <c r="C1959" s="82"/>
    </row>
    <row r="1960" spans="1:3" x14ac:dyDescent="0.2">
      <c r="A1960" s="82"/>
      <c r="B1960" s="82"/>
      <c r="C1960" s="82"/>
    </row>
    <row r="1961" spans="1:3" x14ac:dyDescent="0.2">
      <c r="A1961" s="82"/>
      <c r="B1961" s="82"/>
      <c r="C1961" s="82"/>
    </row>
    <row r="1962" spans="1:3" x14ac:dyDescent="0.2">
      <c r="A1962" s="82"/>
      <c r="B1962" s="82"/>
      <c r="C1962" s="82"/>
    </row>
    <row r="1963" spans="1:3" x14ac:dyDescent="0.2">
      <c r="A1963" s="82"/>
      <c r="B1963" s="82"/>
      <c r="C1963" s="82"/>
    </row>
    <row r="1964" spans="1:3" x14ac:dyDescent="0.2">
      <c r="A1964" s="82"/>
      <c r="B1964" s="82"/>
      <c r="C1964" s="82"/>
    </row>
    <row r="1965" spans="1:3" x14ac:dyDescent="0.2">
      <c r="A1965" s="82"/>
      <c r="B1965" s="82"/>
      <c r="C1965" s="82"/>
    </row>
    <row r="1966" spans="1:3" x14ac:dyDescent="0.2">
      <c r="A1966" s="82"/>
      <c r="B1966" s="82"/>
      <c r="C1966" s="82"/>
    </row>
    <row r="1967" spans="1:3" x14ac:dyDescent="0.2">
      <c r="A1967" s="82"/>
      <c r="B1967" s="82"/>
      <c r="C1967" s="82"/>
    </row>
    <row r="1968" spans="1:3" x14ac:dyDescent="0.2">
      <c r="A1968" s="82"/>
      <c r="B1968" s="82"/>
      <c r="C1968" s="82"/>
    </row>
    <row r="1969" spans="1:3" x14ac:dyDescent="0.2">
      <c r="A1969" s="82"/>
      <c r="B1969" s="82"/>
      <c r="C1969" s="82"/>
    </row>
    <row r="1970" spans="1:3" x14ac:dyDescent="0.2">
      <c r="A1970" s="82"/>
      <c r="B1970" s="82"/>
      <c r="C1970" s="82"/>
    </row>
    <row r="1971" spans="1:3" x14ac:dyDescent="0.2">
      <c r="A1971" s="82"/>
      <c r="B1971" s="82"/>
      <c r="C1971" s="82"/>
    </row>
    <row r="1972" spans="1:3" x14ac:dyDescent="0.2">
      <c r="A1972" s="82"/>
      <c r="B1972" s="82"/>
      <c r="C1972" s="82"/>
    </row>
    <row r="1973" spans="1:3" x14ac:dyDescent="0.2">
      <c r="A1973" s="82"/>
      <c r="B1973" s="82"/>
      <c r="C1973" s="82"/>
    </row>
    <row r="1974" spans="1:3" x14ac:dyDescent="0.2">
      <c r="A1974" s="82"/>
      <c r="B1974" s="82"/>
      <c r="C1974" s="82"/>
    </row>
    <row r="1975" spans="1:3" x14ac:dyDescent="0.2">
      <c r="A1975" s="82"/>
      <c r="B1975" s="82"/>
      <c r="C1975" s="82"/>
    </row>
    <row r="1976" spans="1:3" x14ac:dyDescent="0.2">
      <c r="A1976" s="82"/>
      <c r="B1976" s="82"/>
      <c r="C1976" s="82"/>
    </row>
    <row r="1977" spans="1:3" x14ac:dyDescent="0.2">
      <c r="A1977" s="82"/>
      <c r="B1977" s="82"/>
      <c r="C1977" s="82"/>
    </row>
    <row r="1978" spans="1:3" x14ac:dyDescent="0.2">
      <c r="A1978" s="82"/>
      <c r="B1978" s="82"/>
      <c r="C1978" s="82"/>
    </row>
    <row r="1979" spans="1:3" x14ac:dyDescent="0.2">
      <c r="A1979" s="82"/>
      <c r="B1979" s="82"/>
      <c r="C1979" s="82"/>
    </row>
    <row r="1980" spans="1:3" x14ac:dyDescent="0.2">
      <c r="A1980" s="82"/>
      <c r="B1980" s="82"/>
      <c r="C1980" s="82"/>
    </row>
    <row r="1981" spans="1:3" x14ac:dyDescent="0.2">
      <c r="A1981" s="82"/>
      <c r="B1981" s="82"/>
      <c r="C1981" s="82"/>
    </row>
    <row r="1982" spans="1:3" x14ac:dyDescent="0.2">
      <c r="A1982" s="82"/>
      <c r="B1982" s="82"/>
      <c r="C1982" s="82"/>
    </row>
    <row r="1983" spans="1:3" x14ac:dyDescent="0.2">
      <c r="A1983" s="82"/>
      <c r="B1983" s="82"/>
      <c r="C1983" s="82"/>
    </row>
    <row r="1984" spans="1:3" x14ac:dyDescent="0.2">
      <c r="A1984" s="82"/>
      <c r="B1984" s="82"/>
      <c r="C1984" s="82"/>
    </row>
    <row r="1985" spans="1:3" x14ac:dyDescent="0.2">
      <c r="A1985" s="82"/>
      <c r="B1985" s="82"/>
      <c r="C1985" s="82"/>
    </row>
    <row r="1986" spans="1:3" x14ac:dyDescent="0.2">
      <c r="A1986" s="82"/>
      <c r="B1986" s="82"/>
      <c r="C1986" s="82"/>
    </row>
    <row r="1987" spans="1:3" x14ac:dyDescent="0.2">
      <c r="A1987" s="82"/>
      <c r="B1987" s="82"/>
      <c r="C1987" s="82"/>
    </row>
    <row r="1988" spans="1:3" x14ac:dyDescent="0.2">
      <c r="A1988" s="82"/>
      <c r="B1988" s="82"/>
      <c r="C1988" s="82"/>
    </row>
    <row r="1989" spans="1:3" x14ac:dyDescent="0.2">
      <c r="A1989" s="82"/>
      <c r="B1989" s="82"/>
      <c r="C1989" s="82"/>
    </row>
    <row r="1990" spans="1:3" x14ac:dyDescent="0.2">
      <c r="A1990" s="82"/>
      <c r="B1990" s="82"/>
      <c r="C1990" s="82"/>
    </row>
    <row r="1991" spans="1:3" x14ac:dyDescent="0.2">
      <c r="A1991" s="82"/>
      <c r="B1991" s="82"/>
      <c r="C1991" s="82"/>
    </row>
    <row r="1992" spans="1:3" x14ac:dyDescent="0.2">
      <c r="A1992" s="82"/>
      <c r="B1992" s="82"/>
      <c r="C1992" s="82"/>
    </row>
    <row r="1993" spans="1:3" x14ac:dyDescent="0.2">
      <c r="A1993" s="82"/>
      <c r="B1993" s="82"/>
      <c r="C1993" s="82"/>
    </row>
    <row r="1994" spans="1:3" x14ac:dyDescent="0.2">
      <c r="A1994" s="82"/>
      <c r="B1994" s="82"/>
      <c r="C1994" s="82"/>
    </row>
    <row r="1995" spans="1:3" x14ac:dyDescent="0.2">
      <c r="A1995" s="82"/>
      <c r="B1995" s="82"/>
      <c r="C1995" s="82"/>
    </row>
    <row r="1996" spans="1:3" x14ac:dyDescent="0.2">
      <c r="A1996" s="82"/>
      <c r="B1996" s="82"/>
      <c r="C1996" s="82"/>
    </row>
    <row r="1997" spans="1:3" x14ac:dyDescent="0.2">
      <c r="A1997" s="82"/>
      <c r="B1997" s="82"/>
      <c r="C1997" s="82"/>
    </row>
    <row r="1998" spans="1:3" x14ac:dyDescent="0.2">
      <c r="A1998" s="82"/>
      <c r="B1998" s="82"/>
      <c r="C1998" s="82"/>
    </row>
    <row r="1999" spans="1:3" x14ac:dyDescent="0.2">
      <c r="A1999" s="82"/>
      <c r="B1999" s="82"/>
      <c r="C1999" s="82"/>
    </row>
    <row r="2000" spans="1:3" x14ac:dyDescent="0.2">
      <c r="A2000" s="82"/>
      <c r="B2000" s="82"/>
      <c r="C2000" s="82"/>
    </row>
    <row r="2001" spans="1:3" x14ac:dyDescent="0.2">
      <c r="A2001" s="82"/>
      <c r="B2001" s="82"/>
      <c r="C2001" s="82"/>
    </row>
    <row r="2002" spans="1:3" x14ac:dyDescent="0.2">
      <c r="A2002" s="82"/>
      <c r="B2002" s="82"/>
      <c r="C2002" s="82"/>
    </row>
    <row r="2003" spans="1:3" x14ac:dyDescent="0.2">
      <c r="A2003" s="82"/>
      <c r="B2003" s="82"/>
      <c r="C2003" s="82"/>
    </row>
    <row r="2004" spans="1:3" x14ac:dyDescent="0.2">
      <c r="A2004" s="82"/>
      <c r="B2004" s="82"/>
      <c r="C2004" s="82"/>
    </row>
    <row r="2005" spans="1:3" x14ac:dyDescent="0.2">
      <c r="A2005" s="82"/>
      <c r="B2005" s="82"/>
      <c r="C2005" s="82"/>
    </row>
    <row r="2006" spans="1:3" x14ac:dyDescent="0.2">
      <c r="A2006" s="82"/>
      <c r="B2006" s="82"/>
      <c r="C2006" s="82"/>
    </row>
    <row r="2007" spans="1:3" x14ac:dyDescent="0.2">
      <c r="A2007" s="82"/>
      <c r="B2007" s="82"/>
      <c r="C2007" s="82"/>
    </row>
    <row r="2008" spans="1:3" x14ac:dyDescent="0.2">
      <c r="A2008" s="82"/>
      <c r="B2008" s="82"/>
      <c r="C2008" s="82"/>
    </row>
    <row r="2009" spans="1:3" x14ac:dyDescent="0.2">
      <c r="A2009" s="82"/>
      <c r="B2009" s="82"/>
      <c r="C2009" s="82"/>
    </row>
    <row r="2010" spans="1:3" x14ac:dyDescent="0.2">
      <c r="A2010" s="82"/>
      <c r="B2010" s="82"/>
      <c r="C2010" s="82"/>
    </row>
    <row r="2011" spans="1:3" x14ac:dyDescent="0.2">
      <c r="A2011" s="82"/>
      <c r="B2011" s="82"/>
      <c r="C2011" s="82"/>
    </row>
    <row r="2012" spans="1:3" x14ac:dyDescent="0.2">
      <c r="A2012" s="82"/>
      <c r="B2012" s="82"/>
      <c r="C2012" s="82"/>
    </row>
    <row r="2013" spans="1:3" x14ac:dyDescent="0.2">
      <c r="A2013" s="82"/>
      <c r="B2013" s="82"/>
      <c r="C2013" s="82"/>
    </row>
    <row r="2014" spans="1:3" x14ac:dyDescent="0.2">
      <c r="A2014" s="82"/>
      <c r="B2014" s="82"/>
      <c r="C2014" s="82"/>
    </row>
    <row r="2015" spans="1:3" x14ac:dyDescent="0.2">
      <c r="A2015" s="82"/>
      <c r="B2015" s="82"/>
      <c r="C2015" s="82"/>
    </row>
    <row r="2016" spans="1:3" x14ac:dyDescent="0.2">
      <c r="A2016" s="82"/>
      <c r="B2016" s="82"/>
      <c r="C2016" s="82"/>
    </row>
    <row r="2017" spans="1:3" x14ac:dyDescent="0.2">
      <c r="A2017" s="82"/>
      <c r="B2017" s="82"/>
      <c r="C2017" s="82"/>
    </row>
    <row r="2018" spans="1:3" x14ac:dyDescent="0.2">
      <c r="A2018" s="82"/>
      <c r="B2018" s="82"/>
      <c r="C2018" s="82"/>
    </row>
    <row r="2019" spans="1:3" x14ac:dyDescent="0.2">
      <c r="A2019" s="82"/>
      <c r="B2019" s="82"/>
      <c r="C2019" s="82"/>
    </row>
    <row r="2020" spans="1:3" x14ac:dyDescent="0.2">
      <c r="A2020" s="82"/>
      <c r="B2020" s="82"/>
      <c r="C2020" s="82"/>
    </row>
    <row r="2021" spans="1:3" x14ac:dyDescent="0.2">
      <c r="A2021" s="82"/>
      <c r="B2021" s="82"/>
      <c r="C2021" s="82"/>
    </row>
    <row r="2022" spans="1:3" x14ac:dyDescent="0.2">
      <c r="A2022" s="82"/>
      <c r="B2022" s="82"/>
      <c r="C2022" s="82"/>
    </row>
    <row r="2023" spans="1:3" x14ac:dyDescent="0.2">
      <c r="A2023" s="82"/>
      <c r="B2023" s="82"/>
      <c r="C2023" s="82"/>
    </row>
    <row r="2024" spans="1:3" x14ac:dyDescent="0.2">
      <c r="A2024" s="82"/>
      <c r="B2024" s="82"/>
      <c r="C2024" s="82"/>
    </row>
    <row r="2025" spans="1:3" x14ac:dyDescent="0.2">
      <c r="A2025" s="82"/>
      <c r="B2025" s="82"/>
      <c r="C2025" s="82"/>
    </row>
    <row r="2026" spans="1:3" x14ac:dyDescent="0.2">
      <c r="A2026" s="82"/>
      <c r="B2026" s="82"/>
      <c r="C2026" s="82"/>
    </row>
    <row r="2027" spans="1:3" x14ac:dyDescent="0.2">
      <c r="A2027" s="82"/>
      <c r="B2027" s="82"/>
      <c r="C2027" s="82"/>
    </row>
    <row r="2028" spans="1:3" x14ac:dyDescent="0.2">
      <c r="A2028" s="82"/>
      <c r="B2028" s="82"/>
      <c r="C2028" s="82"/>
    </row>
    <row r="2029" spans="1:3" x14ac:dyDescent="0.2">
      <c r="A2029" s="82"/>
      <c r="B2029" s="82"/>
      <c r="C2029" s="82"/>
    </row>
    <row r="2030" spans="1:3" x14ac:dyDescent="0.2">
      <c r="A2030" s="82"/>
      <c r="B2030" s="82"/>
      <c r="C2030" s="82"/>
    </row>
    <row r="2031" spans="1:3" x14ac:dyDescent="0.2">
      <c r="A2031" s="82"/>
      <c r="B2031" s="82"/>
      <c r="C2031" s="82"/>
    </row>
    <row r="2032" spans="1:3" x14ac:dyDescent="0.2">
      <c r="A2032" s="82"/>
      <c r="B2032" s="82"/>
      <c r="C2032" s="82"/>
    </row>
    <row r="2033" spans="1:3" x14ac:dyDescent="0.2">
      <c r="A2033" s="82"/>
      <c r="B2033" s="82"/>
      <c r="C2033" s="82"/>
    </row>
    <row r="2034" spans="1:3" x14ac:dyDescent="0.2">
      <c r="A2034" s="82"/>
      <c r="B2034" s="82"/>
      <c r="C2034" s="82"/>
    </row>
    <row r="2035" spans="1:3" x14ac:dyDescent="0.2">
      <c r="A2035" s="82"/>
      <c r="B2035" s="82"/>
      <c r="C2035" s="82"/>
    </row>
    <row r="2036" spans="1:3" x14ac:dyDescent="0.2">
      <c r="A2036" s="82"/>
      <c r="B2036" s="82"/>
      <c r="C2036" s="82"/>
    </row>
    <row r="2037" spans="1:3" x14ac:dyDescent="0.2">
      <c r="A2037" s="82"/>
      <c r="B2037" s="82"/>
      <c r="C2037" s="82"/>
    </row>
    <row r="2038" spans="1:3" x14ac:dyDescent="0.2">
      <c r="A2038" s="82"/>
      <c r="B2038" s="82"/>
      <c r="C2038" s="82"/>
    </row>
    <row r="2039" spans="1:3" x14ac:dyDescent="0.2">
      <c r="A2039" s="82"/>
      <c r="B2039" s="82"/>
      <c r="C2039" s="82"/>
    </row>
    <row r="2040" spans="1:3" x14ac:dyDescent="0.2">
      <c r="A2040" s="82"/>
      <c r="B2040" s="82"/>
      <c r="C2040" s="82"/>
    </row>
    <row r="2041" spans="1:3" x14ac:dyDescent="0.2">
      <c r="A2041" s="82"/>
      <c r="B2041" s="82"/>
      <c r="C2041" s="82"/>
    </row>
    <row r="2042" spans="1:3" x14ac:dyDescent="0.2">
      <c r="A2042" s="82"/>
      <c r="B2042" s="82"/>
      <c r="C2042" s="82"/>
    </row>
    <row r="2043" spans="1:3" x14ac:dyDescent="0.2">
      <c r="A2043" s="82"/>
      <c r="B2043" s="82"/>
      <c r="C2043" s="82"/>
    </row>
    <row r="2044" spans="1:3" x14ac:dyDescent="0.2">
      <c r="A2044" s="82"/>
      <c r="B2044" s="82"/>
      <c r="C2044" s="82"/>
    </row>
    <row r="2045" spans="1:3" x14ac:dyDescent="0.2">
      <c r="A2045" s="82"/>
      <c r="B2045" s="82"/>
      <c r="C2045" s="82"/>
    </row>
    <row r="2046" spans="1:3" x14ac:dyDescent="0.2">
      <c r="A2046" s="82"/>
      <c r="B2046" s="82"/>
      <c r="C2046" s="82"/>
    </row>
    <row r="2047" spans="1:3" x14ac:dyDescent="0.2">
      <c r="A2047" s="82"/>
      <c r="B2047" s="82"/>
      <c r="C2047" s="82"/>
    </row>
    <row r="2048" spans="1:3" x14ac:dyDescent="0.2">
      <c r="A2048" s="82"/>
      <c r="B2048" s="82"/>
      <c r="C2048" s="82"/>
    </row>
    <row r="2049" spans="1:3" x14ac:dyDescent="0.2">
      <c r="A2049" s="82"/>
      <c r="B2049" s="82"/>
      <c r="C2049" s="82"/>
    </row>
    <row r="2050" spans="1:3" x14ac:dyDescent="0.2">
      <c r="A2050" s="82"/>
      <c r="B2050" s="82"/>
      <c r="C2050" s="82"/>
    </row>
    <row r="2051" spans="1:3" x14ac:dyDescent="0.2">
      <c r="A2051" s="82"/>
      <c r="B2051" s="82"/>
      <c r="C2051" s="82"/>
    </row>
    <row r="2052" spans="1:3" x14ac:dyDescent="0.2">
      <c r="A2052" s="82"/>
      <c r="B2052" s="82"/>
      <c r="C2052" s="82"/>
    </row>
    <row r="2053" spans="1:3" x14ac:dyDescent="0.2">
      <c r="A2053" s="82"/>
      <c r="B2053" s="82"/>
      <c r="C2053" s="82"/>
    </row>
    <row r="2054" spans="1:3" x14ac:dyDescent="0.2">
      <c r="A2054" s="82"/>
      <c r="B2054" s="82"/>
      <c r="C2054" s="82"/>
    </row>
    <row r="2055" spans="1:3" x14ac:dyDescent="0.2">
      <c r="A2055" s="82"/>
      <c r="B2055" s="82"/>
      <c r="C2055" s="82"/>
    </row>
    <row r="2056" spans="1:3" x14ac:dyDescent="0.2">
      <c r="A2056" s="82"/>
      <c r="B2056" s="82"/>
      <c r="C2056" s="82"/>
    </row>
    <row r="2057" spans="1:3" x14ac:dyDescent="0.2">
      <c r="A2057" s="82"/>
      <c r="B2057" s="82"/>
      <c r="C2057" s="82"/>
    </row>
    <row r="2058" spans="1:3" x14ac:dyDescent="0.2">
      <c r="A2058" s="82"/>
      <c r="B2058" s="82"/>
      <c r="C2058" s="82"/>
    </row>
    <row r="2059" spans="1:3" x14ac:dyDescent="0.2">
      <c r="A2059" s="82"/>
      <c r="B2059" s="82"/>
      <c r="C2059" s="82"/>
    </row>
    <row r="2060" spans="1:3" x14ac:dyDescent="0.2">
      <c r="A2060" s="82"/>
      <c r="B2060" s="82"/>
      <c r="C2060" s="82"/>
    </row>
    <row r="2061" spans="1:3" x14ac:dyDescent="0.2">
      <c r="A2061" s="82"/>
      <c r="B2061" s="82"/>
      <c r="C2061" s="82"/>
    </row>
    <row r="2062" spans="1:3" x14ac:dyDescent="0.2">
      <c r="A2062" s="82"/>
      <c r="B2062" s="82"/>
      <c r="C2062" s="82"/>
    </row>
    <row r="2063" spans="1:3" x14ac:dyDescent="0.2">
      <c r="A2063" s="82"/>
      <c r="B2063" s="82"/>
      <c r="C2063" s="82"/>
    </row>
    <row r="2064" spans="1:3" x14ac:dyDescent="0.2">
      <c r="A2064" s="82"/>
      <c r="B2064" s="82"/>
      <c r="C2064" s="82"/>
    </row>
    <row r="2065" spans="1:3" x14ac:dyDescent="0.2">
      <c r="A2065" s="82"/>
      <c r="B2065" s="82"/>
      <c r="C2065" s="82"/>
    </row>
    <row r="2066" spans="1:3" x14ac:dyDescent="0.2">
      <c r="A2066" s="82"/>
      <c r="B2066" s="82"/>
      <c r="C2066" s="82"/>
    </row>
    <row r="2067" spans="1:3" x14ac:dyDescent="0.2">
      <c r="A2067" s="82"/>
      <c r="B2067" s="82"/>
      <c r="C2067" s="82"/>
    </row>
    <row r="2068" spans="1:3" x14ac:dyDescent="0.2">
      <c r="A2068" s="82"/>
      <c r="B2068" s="82"/>
      <c r="C2068" s="82"/>
    </row>
    <row r="2069" spans="1:3" x14ac:dyDescent="0.2">
      <c r="A2069" s="82"/>
      <c r="B2069" s="82"/>
      <c r="C2069" s="82"/>
    </row>
    <row r="2070" spans="1:3" x14ac:dyDescent="0.2">
      <c r="A2070" s="82"/>
      <c r="B2070" s="82"/>
      <c r="C2070" s="82"/>
    </row>
    <row r="2071" spans="1:3" x14ac:dyDescent="0.2">
      <c r="A2071" s="82"/>
      <c r="B2071" s="82"/>
      <c r="C2071" s="82"/>
    </row>
    <row r="2072" spans="1:3" x14ac:dyDescent="0.2">
      <c r="A2072" s="82"/>
      <c r="B2072" s="82"/>
      <c r="C2072" s="82"/>
    </row>
    <row r="2073" spans="1:3" x14ac:dyDescent="0.2">
      <c r="A2073" s="82"/>
      <c r="B2073" s="82"/>
      <c r="C2073" s="82"/>
    </row>
    <row r="2074" spans="1:3" x14ac:dyDescent="0.2">
      <c r="A2074" s="82"/>
      <c r="B2074" s="82"/>
      <c r="C2074" s="82"/>
    </row>
    <row r="2075" spans="1:3" x14ac:dyDescent="0.2">
      <c r="A2075" s="82"/>
      <c r="B2075" s="82"/>
      <c r="C2075" s="82"/>
    </row>
    <row r="2076" spans="1:3" x14ac:dyDescent="0.2">
      <c r="A2076" s="82"/>
      <c r="B2076" s="82"/>
      <c r="C2076" s="82"/>
    </row>
    <row r="2077" spans="1:3" x14ac:dyDescent="0.2">
      <c r="A2077" s="82"/>
      <c r="B2077" s="82"/>
      <c r="C2077" s="82"/>
    </row>
    <row r="2078" spans="1:3" x14ac:dyDescent="0.2">
      <c r="A2078" s="82"/>
      <c r="B2078" s="82"/>
      <c r="C2078" s="82"/>
    </row>
    <row r="2079" spans="1:3" x14ac:dyDescent="0.2">
      <c r="A2079" s="82"/>
      <c r="B2079" s="82"/>
      <c r="C2079" s="82"/>
    </row>
    <row r="2080" spans="1:3" x14ac:dyDescent="0.2">
      <c r="A2080" s="82"/>
      <c r="B2080" s="82"/>
      <c r="C2080" s="82"/>
    </row>
    <row r="2081" spans="1:3" x14ac:dyDescent="0.2">
      <c r="A2081" s="82"/>
      <c r="B2081" s="82"/>
      <c r="C2081" s="82"/>
    </row>
    <row r="2082" spans="1:3" x14ac:dyDescent="0.2">
      <c r="A2082" s="82"/>
      <c r="B2082" s="82"/>
      <c r="C2082" s="82"/>
    </row>
    <row r="2083" spans="1:3" x14ac:dyDescent="0.2">
      <c r="A2083" s="82"/>
      <c r="B2083" s="82"/>
      <c r="C2083" s="82"/>
    </row>
    <row r="2084" spans="1:3" x14ac:dyDescent="0.2">
      <c r="A2084" s="82"/>
      <c r="B2084" s="82"/>
      <c r="C2084" s="82"/>
    </row>
    <row r="2085" spans="1:3" x14ac:dyDescent="0.2">
      <c r="A2085" s="82"/>
      <c r="B2085" s="82"/>
      <c r="C2085" s="82"/>
    </row>
    <row r="2086" spans="1:3" x14ac:dyDescent="0.2">
      <c r="A2086" s="82"/>
      <c r="B2086" s="82"/>
      <c r="C2086" s="82"/>
    </row>
    <row r="2087" spans="1:3" x14ac:dyDescent="0.2">
      <c r="A2087" s="82"/>
      <c r="B2087" s="82"/>
      <c r="C2087" s="82"/>
    </row>
    <row r="2088" spans="1:3" x14ac:dyDescent="0.2">
      <c r="A2088" s="82"/>
      <c r="B2088" s="82"/>
      <c r="C2088" s="82"/>
    </row>
    <row r="2089" spans="1:3" x14ac:dyDescent="0.2">
      <c r="A2089" s="82"/>
      <c r="B2089" s="82"/>
      <c r="C2089" s="82"/>
    </row>
    <row r="2090" spans="1:3" x14ac:dyDescent="0.2">
      <c r="A2090" s="82"/>
      <c r="B2090" s="82"/>
      <c r="C2090" s="82"/>
    </row>
    <row r="2091" spans="1:3" x14ac:dyDescent="0.2">
      <c r="A2091" s="82"/>
      <c r="B2091" s="82"/>
      <c r="C2091" s="82"/>
    </row>
    <row r="2092" spans="1:3" x14ac:dyDescent="0.2">
      <c r="A2092" s="82"/>
      <c r="B2092" s="82"/>
      <c r="C2092" s="82"/>
    </row>
    <row r="2093" spans="1:3" x14ac:dyDescent="0.2">
      <c r="A2093" s="82"/>
      <c r="B2093" s="82"/>
      <c r="C2093" s="82"/>
    </row>
    <row r="2094" spans="1:3" x14ac:dyDescent="0.2">
      <c r="A2094" s="82"/>
      <c r="B2094" s="82"/>
      <c r="C2094" s="82"/>
    </row>
    <row r="2095" spans="1:3" x14ac:dyDescent="0.2">
      <c r="A2095" s="82"/>
      <c r="B2095" s="82"/>
      <c r="C2095" s="82"/>
    </row>
    <row r="2096" spans="1:3" x14ac:dyDescent="0.2">
      <c r="A2096" s="82"/>
      <c r="B2096" s="82"/>
      <c r="C2096" s="82"/>
    </row>
    <row r="2097" spans="1:3" x14ac:dyDescent="0.2">
      <c r="A2097" s="82"/>
      <c r="B2097" s="82"/>
      <c r="C2097" s="82"/>
    </row>
    <row r="2098" spans="1:3" x14ac:dyDescent="0.2">
      <c r="A2098" s="82"/>
      <c r="B2098" s="82"/>
      <c r="C2098" s="82"/>
    </row>
    <row r="2099" spans="1:3" x14ac:dyDescent="0.2">
      <c r="A2099" s="82"/>
      <c r="B2099" s="82"/>
      <c r="C2099" s="82"/>
    </row>
    <row r="2100" spans="1:3" x14ac:dyDescent="0.2">
      <c r="A2100" s="82"/>
      <c r="B2100" s="82"/>
      <c r="C2100" s="82"/>
    </row>
    <row r="2101" spans="1:3" x14ac:dyDescent="0.2">
      <c r="A2101" s="82"/>
      <c r="B2101" s="82"/>
      <c r="C2101" s="82"/>
    </row>
    <row r="2102" spans="1:3" x14ac:dyDescent="0.2">
      <c r="A2102" s="82"/>
      <c r="B2102" s="82"/>
      <c r="C2102" s="82"/>
    </row>
    <row r="2103" spans="1:3" x14ac:dyDescent="0.2">
      <c r="A2103" s="82"/>
      <c r="B2103" s="82"/>
      <c r="C2103" s="82"/>
    </row>
    <row r="2104" spans="1:3" x14ac:dyDescent="0.2">
      <c r="A2104" s="82"/>
      <c r="B2104" s="82"/>
      <c r="C2104" s="82"/>
    </row>
    <row r="2105" spans="1:3" x14ac:dyDescent="0.2">
      <c r="A2105" s="82"/>
      <c r="B2105" s="82"/>
      <c r="C2105" s="82"/>
    </row>
    <row r="2106" spans="1:3" x14ac:dyDescent="0.2">
      <c r="A2106" s="82"/>
      <c r="B2106" s="82"/>
      <c r="C2106" s="82"/>
    </row>
    <row r="2107" spans="1:3" x14ac:dyDescent="0.2">
      <c r="A2107" s="82"/>
      <c r="B2107" s="82"/>
      <c r="C2107" s="82"/>
    </row>
    <row r="2108" spans="1:3" x14ac:dyDescent="0.2">
      <c r="A2108" s="82"/>
      <c r="B2108" s="82"/>
      <c r="C2108" s="82"/>
    </row>
    <row r="2109" spans="1:3" x14ac:dyDescent="0.2">
      <c r="A2109" s="82"/>
      <c r="B2109" s="82"/>
      <c r="C2109" s="82"/>
    </row>
    <row r="2110" spans="1:3" x14ac:dyDescent="0.2">
      <c r="A2110" s="82"/>
      <c r="B2110" s="82"/>
      <c r="C2110" s="82"/>
    </row>
    <row r="2111" spans="1:3" x14ac:dyDescent="0.2">
      <c r="A2111" s="82"/>
      <c r="B2111" s="82"/>
      <c r="C2111" s="82"/>
    </row>
    <row r="2112" spans="1:3" x14ac:dyDescent="0.2">
      <c r="A2112" s="82"/>
      <c r="B2112" s="82"/>
      <c r="C2112" s="82"/>
    </row>
    <row r="2113" spans="1:3" x14ac:dyDescent="0.2">
      <c r="A2113" s="82"/>
      <c r="B2113" s="82"/>
      <c r="C2113" s="82"/>
    </row>
    <row r="2114" spans="1:3" x14ac:dyDescent="0.2">
      <c r="A2114" s="82"/>
      <c r="B2114" s="82"/>
      <c r="C2114" s="82"/>
    </row>
    <row r="2115" spans="1:3" x14ac:dyDescent="0.2">
      <c r="A2115" s="82"/>
      <c r="B2115" s="82"/>
      <c r="C2115" s="82"/>
    </row>
    <row r="2116" spans="1:3" x14ac:dyDescent="0.2">
      <c r="A2116" s="82"/>
      <c r="B2116" s="82"/>
      <c r="C2116" s="82"/>
    </row>
    <row r="2117" spans="1:3" x14ac:dyDescent="0.2">
      <c r="A2117" s="82"/>
      <c r="B2117" s="82"/>
      <c r="C2117" s="82"/>
    </row>
    <row r="2118" spans="1:3" x14ac:dyDescent="0.2">
      <c r="A2118" s="82"/>
      <c r="B2118" s="82"/>
      <c r="C2118" s="82"/>
    </row>
    <row r="2119" spans="1:3" x14ac:dyDescent="0.2">
      <c r="A2119" s="82"/>
      <c r="B2119" s="82"/>
      <c r="C2119" s="82"/>
    </row>
    <row r="2120" spans="1:3" x14ac:dyDescent="0.2">
      <c r="A2120" s="82"/>
      <c r="B2120" s="82"/>
      <c r="C2120" s="82"/>
    </row>
    <row r="2121" spans="1:3" x14ac:dyDescent="0.2">
      <c r="A2121" s="82"/>
      <c r="B2121" s="82"/>
      <c r="C2121" s="82"/>
    </row>
    <row r="2122" spans="1:3" x14ac:dyDescent="0.2">
      <c r="A2122" s="82"/>
      <c r="B2122" s="82"/>
      <c r="C2122" s="82"/>
    </row>
    <row r="2123" spans="1:3" x14ac:dyDescent="0.2">
      <c r="A2123" s="82"/>
      <c r="B2123" s="82"/>
      <c r="C2123" s="82"/>
    </row>
    <row r="2124" spans="1:3" x14ac:dyDescent="0.2">
      <c r="A2124" s="82"/>
      <c r="B2124" s="82"/>
      <c r="C2124" s="82"/>
    </row>
    <row r="2125" spans="1:3" x14ac:dyDescent="0.2">
      <c r="A2125" s="82"/>
      <c r="B2125" s="82"/>
      <c r="C2125" s="82"/>
    </row>
    <row r="2126" spans="1:3" x14ac:dyDescent="0.2">
      <c r="A2126" s="82"/>
      <c r="B2126" s="82"/>
      <c r="C2126" s="82"/>
    </row>
    <row r="2127" spans="1:3" x14ac:dyDescent="0.2">
      <c r="A2127" s="82"/>
      <c r="B2127" s="82"/>
      <c r="C2127" s="82"/>
    </row>
    <row r="2128" spans="1:3" x14ac:dyDescent="0.2">
      <c r="A2128" s="82"/>
      <c r="B2128" s="82"/>
      <c r="C2128" s="82"/>
    </row>
    <row r="2129" spans="1:3" x14ac:dyDescent="0.2">
      <c r="A2129" s="82"/>
      <c r="B2129" s="82"/>
      <c r="C2129" s="82"/>
    </row>
    <row r="2130" spans="1:3" x14ac:dyDescent="0.2">
      <c r="A2130" s="82"/>
      <c r="B2130" s="82"/>
      <c r="C2130" s="82"/>
    </row>
    <row r="2131" spans="1:3" x14ac:dyDescent="0.2">
      <c r="A2131" s="82"/>
      <c r="B2131" s="82"/>
      <c r="C2131" s="82"/>
    </row>
    <row r="2132" spans="1:3" x14ac:dyDescent="0.2">
      <c r="A2132" s="82"/>
      <c r="B2132" s="82"/>
      <c r="C2132" s="82"/>
    </row>
    <row r="2133" spans="1:3" x14ac:dyDescent="0.2">
      <c r="A2133" s="82"/>
      <c r="B2133" s="82"/>
      <c r="C2133" s="82"/>
    </row>
    <row r="2134" spans="1:3" x14ac:dyDescent="0.2">
      <c r="A2134" s="82"/>
      <c r="B2134" s="82"/>
      <c r="C2134" s="82"/>
    </row>
    <row r="2135" spans="1:3" x14ac:dyDescent="0.2">
      <c r="A2135" s="82"/>
      <c r="B2135" s="82"/>
      <c r="C2135" s="82"/>
    </row>
    <row r="2136" spans="1:3" x14ac:dyDescent="0.2">
      <c r="A2136" s="82"/>
      <c r="B2136" s="82"/>
      <c r="C2136" s="82"/>
    </row>
    <row r="2137" spans="1:3" x14ac:dyDescent="0.2">
      <c r="A2137" s="82"/>
      <c r="B2137" s="82"/>
      <c r="C2137" s="82"/>
    </row>
    <row r="2138" spans="1:3" x14ac:dyDescent="0.2">
      <c r="A2138" s="82"/>
      <c r="B2138" s="82"/>
      <c r="C2138" s="82"/>
    </row>
    <row r="2139" spans="1:3" x14ac:dyDescent="0.2">
      <c r="A2139" s="82"/>
      <c r="B2139" s="82"/>
      <c r="C2139" s="82"/>
    </row>
    <row r="2140" spans="1:3" x14ac:dyDescent="0.2">
      <c r="A2140" s="82"/>
      <c r="B2140" s="82"/>
      <c r="C2140" s="82"/>
    </row>
    <row r="2141" spans="1:3" x14ac:dyDescent="0.2">
      <c r="A2141" s="82"/>
      <c r="B2141" s="82"/>
      <c r="C2141" s="82"/>
    </row>
    <row r="2142" spans="1:3" x14ac:dyDescent="0.2">
      <c r="A2142" s="82"/>
      <c r="B2142" s="82"/>
      <c r="C2142" s="82"/>
    </row>
    <row r="2143" spans="1:3" x14ac:dyDescent="0.2">
      <c r="A2143" s="82"/>
      <c r="B2143" s="82"/>
      <c r="C2143" s="82"/>
    </row>
    <row r="2144" spans="1:3" x14ac:dyDescent="0.2">
      <c r="A2144" s="82"/>
      <c r="B2144" s="82"/>
      <c r="C2144" s="82"/>
    </row>
    <row r="2145" spans="1:3" x14ac:dyDescent="0.2">
      <c r="A2145" s="82"/>
      <c r="B2145" s="82"/>
      <c r="C2145" s="82"/>
    </row>
    <row r="2146" spans="1:3" x14ac:dyDescent="0.2">
      <c r="A2146" s="82"/>
      <c r="B2146" s="82"/>
      <c r="C2146" s="82"/>
    </row>
    <row r="2147" spans="1:3" x14ac:dyDescent="0.2">
      <c r="A2147" s="82"/>
      <c r="B2147" s="82"/>
      <c r="C2147" s="82"/>
    </row>
    <row r="2148" spans="1:3" x14ac:dyDescent="0.2">
      <c r="A2148" s="82"/>
      <c r="B2148" s="82"/>
      <c r="C2148" s="82"/>
    </row>
    <row r="2149" spans="1:3" x14ac:dyDescent="0.2">
      <c r="A2149" s="82"/>
      <c r="B2149" s="82"/>
      <c r="C2149" s="82"/>
    </row>
    <row r="2150" spans="1:3" x14ac:dyDescent="0.2">
      <c r="A2150" s="82"/>
      <c r="B2150" s="82"/>
      <c r="C2150" s="82"/>
    </row>
    <row r="2151" spans="1:3" x14ac:dyDescent="0.2">
      <c r="A2151" s="82"/>
      <c r="B2151" s="82"/>
      <c r="C2151" s="82"/>
    </row>
    <row r="2152" spans="1:3" x14ac:dyDescent="0.2">
      <c r="A2152" s="82"/>
      <c r="B2152" s="82"/>
      <c r="C2152" s="82"/>
    </row>
    <row r="2153" spans="1:3" x14ac:dyDescent="0.2">
      <c r="A2153" s="82"/>
      <c r="B2153" s="82"/>
      <c r="C2153" s="82"/>
    </row>
    <row r="2154" spans="1:3" x14ac:dyDescent="0.2">
      <c r="A2154" s="82"/>
      <c r="B2154" s="82"/>
      <c r="C2154" s="82"/>
    </row>
    <row r="2155" spans="1:3" x14ac:dyDescent="0.2">
      <c r="A2155" s="82"/>
      <c r="B2155" s="82"/>
      <c r="C2155" s="82"/>
    </row>
    <row r="2156" spans="1:3" x14ac:dyDescent="0.2">
      <c r="A2156" s="82"/>
      <c r="B2156" s="82"/>
      <c r="C2156" s="82"/>
    </row>
    <row r="2157" spans="1:3" x14ac:dyDescent="0.2">
      <c r="A2157" s="82"/>
      <c r="B2157" s="82"/>
      <c r="C2157" s="82"/>
    </row>
    <row r="2158" spans="1:3" x14ac:dyDescent="0.2">
      <c r="A2158" s="82"/>
      <c r="B2158" s="82"/>
      <c r="C2158" s="82"/>
    </row>
    <row r="2159" spans="1:3" x14ac:dyDescent="0.2">
      <c r="A2159" s="82"/>
      <c r="B2159" s="82"/>
      <c r="C2159" s="82"/>
    </row>
    <row r="2160" spans="1:3" x14ac:dyDescent="0.2">
      <c r="A2160" s="82"/>
      <c r="B2160" s="82"/>
      <c r="C2160" s="82"/>
    </row>
    <row r="2161" spans="1:3" x14ac:dyDescent="0.2">
      <c r="A2161" s="82"/>
      <c r="B2161" s="82"/>
      <c r="C2161" s="82"/>
    </row>
    <row r="2162" spans="1:3" x14ac:dyDescent="0.2">
      <c r="A2162" s="82"/>
      <c r="B2162" s="82"/>
      <c r="C2162" s="82"/>
    </row>
    <row r="2163" spans="1:3" x14ac:dyDescent="0.2">
      <c r="A2163" s="82"/>
      <c r="B2163" s="82"/>
      <c r="C2163" s="82"/>
    </row>
    <row r="2164" spans="1:3" x14ac:dyDescent="0.2">
      <c r="A2164" s="82"/>
      <c r="B2164" s="82"/>
      <c r="C2164" s="82"/>
    </row>
    <row r="2165" spans="1:3" x14ac:dyDescent="0.2">
      <c r="A2165" s="82"/>
      <c r="B2165" s="82"/>
      <c r="C2165" s="82"/>
    </row>
    <row r="2166" spans="1:3" x14ac:dyDescent="0.2">
      <c r="A2166" s="82"/>
      <c r="B2166" s="82"/>
      <c r="C2166" s="82"/>
    </row>
    <row r="2167" spans="1:3" x14ac:dyDescent="0.2">
      <c r="A2167" s="82"/>
      <c r="B2167" s="82"/>
      <c r="C2167" s="82"/>
    </row>
    <row r="2168" spans="1:3" x14ac:dyDescent="0.2">
      <c r="A2168" s="82"/>
      <c r="B2168" s="82"/>
      <c r="C2168" s="82"/>
    </row>
    <row r="2169" spans="1:3" x14ac:dyDescent="0.2">
      <c r="A2169" s="82"/>
      <c r="B2169" s="82"/>
      <c r="C2169" s="82"/>
    </row>
    <row r="2170" spans="1:3" x14ac:dyDescent="0.2">
      <c r="A2170" s="82"/>
      <c r="B2170" s="82"/>
      <c r="C2170" s="82"/>
    </row>
    <row r="2171" spans="1:3" x14ac:dyDescent="0.2">
      <c r="A2171" s="82"/>
      <c r="B2171" s="82"/>
      <c r="C2171" s="82"/>
    </row>
    <row r="2172" spans="1:3" x14ac:dyDescent="0.2">
      <c r="A2172" s="82"/>
      <c r="B2172" s="82"/>
      <c r="C2172" s="82"/>
    </row>
    <row r="2173" spans="1:3" x14ac:dyDescent="0.2">
      <c r="A2173" s="82"/>
      <c r="B2173" s="82"/>
      <c r="C2173" s="82"/>
    </row>
    <row r="2174" spans="1:3" x14ac:dyDescent="0.2">
      <c r="A2174" s="82"/>
      <c r="B2174" s="82"/>
      <c r="C2174" s="82"/>
    </row>
    <row r="2175" spans="1:3" x14ac:dyDescent="0.2">
      <c r="A2175" s="82"/>
      <c r="B2175" s="82"/>
      <c r="C2175" s="82"/>
    </row>
    <row r="2176" spans="1:3" x14ac:dyDescent="0.2">
      <c r="A2176" s="82"/>
      <c r="B2176" s="82"/>
      <c r="C2176" s="82"/>
    </row>
    <row r="2177" spans="1:3" x14ac:dyDescent="0.2">
      <c r="A2177" s="82"/>
      <c r="B2177" s="82"/>
      <c r="C2177" s="82"/>
    </row>
    <row r="2178" spans="1:3" x14ac:dyDescent="0.2">
      <c r="A2178" s="82"/>
      <c r="B2178" s="82"/>
      <c r="C2178" s="82"/>
    </row>
    <row r="2179" spans="1:3" x14ac:dyDescent="0.2">
      <c r="A2179" s="82"/>
      <c r="B2179" s="82"/>
      <c r="C2179" s="82"/>
    </row>
    <row r="2180" spans="1:3" x14ac:dyDescent="0.2">
      <c r="A2180" s="82"/>
      <c r="B2180" s="82"/>
      <c r="C2180" s="82"/>
    </row>
    <row r="2181" spans="1:3" x14ac:dyDescent="0.2">
      <c r="A2181" s="82"/>
      <c r="B2181" s="82"/>
      <c r="C2181" s="82"/>
    </row>
    <row r="2182" spans="1:3" x14ac:dyDescent="0.2">
      <c r="A2182" s="82"/>
      <c r="B2182" s="82"/>
      <c r="C2182" s="82"/>
    </row>
    <row r="2183" spans="1:3" x14ac:dyDescent="0.2">
      <c r="A2183" s="82"/>
      <c r="B2183" s="82"/>
      <c r="C2183" s="82"/>
    </row>
    <row r="2184" spans="1:3" x14ac:dyDescent="0.2">
      <c r="A2184" s="82"/>
      <c r="B2184" s="82"/>
      <c r="C2184" s="82"/>
    </row>
    <row r="2185" spans="1:3" x14ac:dyDescent="0.2">
      <c r="A2185" s="82"/>
      <c r="B2185" s="82"/>
      <c r="C2185" s="82"/>
    </row>
    <row r="2186" spans="1:3" x14ac:dyDescent="0.2">
      <c r="A2186" s="82"/>
      <c r="B2186" s="82"/>
      <c r="C2186" s="82"/>
    </row>
    <row r="2187" spans="1:3" x14ac:dyDescent="0.2">
      <c r="A2187" s="82"/>
      <c r="B2187" s="82"/>
      <c r="C2187" s="82"/>
    </row>
    <row r="2188" spans="1:3" x14ac:dyDescent="0.2">
      <c r="A2188" s="82"/>
      <c r="B2188" s="82"/>
      <c r="C2188" s="82"/>
    </row>
    <row r="2189" spans="1:3" x14ac:dyDescent="0.2">
      <c r="A2189" s="82"/>
      <c r="B2189" s="82"/>
      <c r="C2189" s="82"/>
    </row>
    <row r="2190" spans="1:3" x14ac:dyDescent="0.2">
      <c r="A2190" s="82"/>
      <c r="B2190" s="82"/>
      <c r="C2190" s="82"/>
    </row>
    <row r="2191" spans="1:3" x14ac:dyDescent="0.2">
      <c r="A2191" s="82"/>
      <c r="B2191" s="82"/>
      <c r="C2191" s="82"/>
    </row>
    <row r="2192" spans="1:3" x14ac:dyDescent="0.2">
      <c r="A2192" s="82"/>
      <c r="B2192" s="82"/>
      <c r="C2192" s="82"/>
    </row>
    <row r="2193" spans="1:3" x14ac:dyDescent="0.2">
      <c r="A2193" s="82"/>
      <c r="B2193" s="82"/>
      <c r="C2193" s="82"/>
    </row>
    <row r="2194" spans="1:3" x14ac:dyDescent="0.2">
      <c r="A2194" s="82"/>
      <c r="B2194" s="82"/>
      <c r="C2194" s="82"/>
    </row>
    <row r="2195" spans="1:3" x14ac:dyDescent="0.2">
      <c r="A2195" s="82"/>
      <c r="B2195" s="82"/>
      <c r="C2195" s="82"/>
    </row>
    <row r="2196" spans="1:3" x14ac:dyDescent="0.2">
      <c r="A2196" s="82"/>
      <c r="B2196" s="82"/>
      <c r="C2196" s="82"/>
    </row>
    <row r="2197" spans="1:3" x14ac:dyDescent="0.2">
      <c r="A2197" s="82"/>
      <c r="B2197" s="82"/>
      <c r="C2197" s="82"/>
    </row>
    <row r="2198" spans="1:3" x14ac:dyDescent="0.2">
      <c r="A2198" s="82"/>
      <c r="B2198" s="82"/>
      <c r="C2198" s="82"/>
    </row>
    <row r="2199" spans="1:3" x14ac:dyDescent="0.2">
      <c r="A2199" s="82"/>
      <c r="B2199" s="82"/>
      <c r="C2199" s="82"/>
    </row>
    <row r="2200" spans="1:3" x14ac:dyDescent="0.2">
      <c r="A2200" s="82"/>
      <c r="B2200" s="82"/>
      <c r="C2200" s="82"/>
    </row>
    <row r="2201" spans="1:3" x14ac:dyDescent="0.2">
      <c r="A2201" s="82"/>
      <c r="B2201" s="82"/>
      <c r="C2201" s="82"/>
    </row>
    <row r="2202" spans="1:3" x14ac:dyDescent="0.2">
      <c r="A2202" s="82"/>
      <c r="B2202" s="82"/>
      <c r="C2202" s="82"/>
    </row>
    <row r="2203" spans="1:3" x14ac:dyDescent="0.2">
      <c r="A2203" s="82"/>
      <c r="B2203" s="82"/>
      <c r="C2203" s="82"/>
    </row>
    <row r="2204" spans="1:3" x14ac:dyDescent="0.2">
      <c r="A2204" s="82"/>
      <c r="B2204" s="82"/>
      <c r="C2204" s="82"/>
    </row>
    <row r="2205" spans="1:3" x14ac:dyDescent="0.2">
      <c r="A2205" s="82"/>
      <c r="B2205" s="82"/>
      <c r="C2205" s="82"/>
    </row>
    <row r="2206" spans="1:3" x14ac:dyDescent="0.2">
      <c r="A2206" s="82"/>
      <c r="B2206" s="82"/>
      <c r="C2206" s="82"/>
    </row>
    <row r="2207" spans="1:3" x14ac:dyDescent="0.2">
      <c r="A2207" s="82"/>
      <c r="B2207" s="82"/>
      <c r="C2207" s="82"/>
    </row>
    <row r="2208" spans="1:3" x14ac:dyDescent="0.2">
      <c r="A2208" s="82"/>
      <c r="B2208" s="82"/>
      <c r="C2208" s="82"/>
    </row>
    <row r="2209" spans="1:3" x14ac:dyDescent="0.2">
      <c r="A2209" s="82"/>
      <c r="B2209" s="82"/>
      <c r="C2209" s="82"/>
    </row>
    <row r="2210" spans="1:3" x14ac:dyDescent="0.2">
      <c r="A2210" s="82"/>
      <c r="B2210" s="82"/>
      <c r="C2210" s="82"/>
    </row>
    <row r="2211" spans="1:3" x14ac:dyDescent="0.2">
      <c r="A2211" s="82"/>
      <c r="B2211" s="82"/>
      <c r="C2211" s="82"/>
    </row>
    <row r="2212" spans="1:3" x14ac:dyDescent="0.2">
      <c r="A2212" s="82"/>
      <c r="B2212" s="82"/>
      <c r="C2212" s="82"/>
    </row>
    <row r="2213" spans="1:3" x14ac:dyDescent="0.2">
      <c r="A2213" s="82"/>
      <c r="B2213" s="82"/>
      <c r="C2213" s="82"/>
    </row>
    <row r="2214" spans="1:3" x14ac:dyDescent="0.2">
      <c r="A2214" s="82"/>
      <c r="B2214" s="82"/>
      <c r="C2214" s="82"/>
    </row>
    <row r="2215" spans="1:3" x14ac:dyDescent="0.2">
      <c r="A2215" s="82"/>
      <c r="B2215" s="82"/>
      <c r="C2215" s="82"/>
    </row>
    <row r="2216" spans="1:3" x14ac:dyDescent="0.2">
      <c r="A2216" s="82"/>
      <c r="B2216" s="82"/>
      <c r="C2216" s="82"/>
    </row>
    <row r="2217" spans="1:3" x14ac:dyDescent="0.2">
      <c r="A2217" s="82"/>
      <c r="B2217" s="82"/>
      <c r="C2217" s="82"/>
    </row>
    <row r="2218" spans="1:3" x14ac:dyDescent="0.2">
      <c r="A2218" s="82"/>
      <c r="B2218" s="82"/>
      <c r="C2218" s="82"/>
    </row>
    <row r="2219" spans="1:3" x14ac:dyDescent="0.2">
      <c r="A2219" s="82"/>
      <c r="B2219" s="82"/>
      <c r="C2219" s="82"/>
    </row>
    <row r="2220" spans="1:3" x14ac:dyDescent="0.2">
      <c r="A2220" s="82"/>
      <c r="B2220" s="82"/>
      <c r="C2220" s="82"/>
    </row>
    <row r="2221" spans="1:3" x14ac:dyDescent="0.2">
      <c r="A2221" s="82"/>
      <c r="B2221" s="82"/>
      <c r="C2221" s="82"/>
    </row>
    <row r="2222" spans="1:3" x14ac:dyDescent="0.2">
      <c r="A2222" s="82"/>
      <c r="B2222" s="82"/>
      <c r="C2222" s="82"/>
    </row>
    <row r="2223" spans="1:3" x14ac:dyDescent="0.2">
      <c r="A2223" s="82"/>
      <c r="B2223" s="82"/>
      <c r="C2223" s="82"/>
    </row>
    <row r="2224" spans="1:3" x14ac:dyDescent="0.2">
      <c r="A2224" s="82"/>
      <c r="B2224" s="82"/>
      <c r="C2224" s="82"/>
    </row>
    <row r="2225" spans="1:3" x14ac:dyDescent="0.2">
      <c r="A2225" s="82"/>
      <c r="B2225" s="82"/>
      <c r="C2225" s="82"/>
    </row>
    <row r="2226" spans="1:3" x14ac:dyDescent="0.2">
      <c r="A2226" s="82"/>
      <c r="B2226" s="82"/>
      <c r="C2226" s="82"/>
    </row>
    <row r="2227" spans="1:3" x14ac:dyDescent="0.2">
      <c r="A2227" s="82"/>
      <c r="B2227" s="82"/>
      <c r="C2227" s="82"/>
    </row>
    <row r="2228" spans="1:3" x14ac:dyDescent="0.2">
      <c r="A2228" s="82"/>
      <c r="B2228" s="82"/>
      <c r="C2228" s="82"/>
    </row>
    <row r="2229" spans="1:3" x14ac:dyDescent="0.2">
      <c r="A2229" s="82"/>
      <c r="B2229" s="82"/>
      <c r="C2229" s="82"/>
    </row>
    <row r="2230" spans="1:3" x14ac:dyDescent="0.2">
      <c r="A2230" s="82"/>
      <c r="B2230" s="82"/>
      <c r="C2230" s="82"/>
    </row>
    <row r="2231" spans="1:3" x14ac:dyDescent="0.2">
      <c r="A2231" s="82"/>
      <c r="B2231" s="82"/>
      <c r="C2231" s="82"/>
    </row>
    <row r="2232" spans="1:3" x14ac:dyDescent="0.2">
      <c r="A2232" s="82"/>
      <c r="B2232" s="82"/>
      <c r="C2232" s="82"/>
    </row>
    <row r="2233" spans="1:3" x14ac:dyDescent="0.2">
      <c r="A2233" s="82"/>
      <c r="B2233" s="82"/>
      <c r="C2233" s="82"/>
    </row>
    <row r="2234" spans="1:3" x14ac:dyDescent="0.2">
      <c r="A2234" s="82"/>
      <c r="B2234" s="82"/>
      <c r="C2234" s="82"/>
    </row>
    <row r="2235" spans="1:3" x14ac:dyDescent="0.2">
      <c r="A2235" s="82"/>
      <c r="B2235" s="82"/>
      <c r="C2235" s="82"/>
    </row>
    <row r="2236" spans="1:3" x14ac:dyDescent="0.2">
      <c r="A2236" s="82"/>
      <c r="B2236" s="82"/>
      <c r="C2236" s="82"/>
    </row>
    <row r="2237" spans="1:3" x14ac:dyDescent="0.2">
      <c r="A2237" s="82"/>
      <c r="B2237" s="82"/>
      <c r="C2237" s="82"/>
    </row>
    <row r="2238" spans="1:3" x14ac:dyDescent="0.2">
      <c r="A2238" s="82"/>
      <c r="B2238" s="82"/>
      <c r="C2238" s="82"/>
    </row>
    <row r="2239" spans="1:3" x14ac:dyDescent="0.2">
      <c r="A2239" s="82"/>
      <c r="B2239" s="82"/>
      <c r="C2239" s="82"/>
    </row>
    <row r="2240" spans="1:3" x14ac:dyDescent="0.2">
      <c r="A2240" s="82"/>
      <c r="B2240" s="82"/>
      <c r="C2240" s="82"/>
    </row>
    <row r="2241" spans="1:3" x14ac:dyDescent="0.2">
      <c r="A2241" s="82"/>
      <c r="B2241" s="82"/>
      <c r="C2241" s="82"/>
    </row>
    <row r="2242" spans="1:3" x14ac:dyDescent="0.2">
      <c r="A2242" s="82"/>
      <c r="B2242" s="82"/>
      <c r="C2242" s="82"/>
    </row>
    <row r="2243" spans="1:3" x14ac:dyDescent="0.2">
      <c r="A2243" s="82"/>
      <c r="B2243" s="82"/>
      <c r="C2243" s="82"/>
    </row>
    <row r="2244" spans="1:3" x14ac:dyDescent="0.2">
      <c r="A2244" s="82"/>
      <c r="B2244" s="82"/>
      <c r="C2244" s="82"/>
    </row>
    <row r="2245" spans="1:3" x14ac:dyDescent="0.2">
      <c r="A2245" s="82"/>
      <c r="B2245" s="82"/>
      <c r="C2245" s="82"/>
    </row>
    <row r="2246" spans="1:3" x14ac:dyDescent="0.2">
      <c r="A2246" s="82"/>
      <c r="B2246" s="82"/>
      <c r="C2246" s="82"/>
    </row>
    <row r="2247" spans="1:3" x14ac:dyDescent="0.2">
      <c r="A2247" s="82"/>
      <c r="B2247" s="82"/>
      <c r="C2247" s="82"/>
    </row>
    <row r="2248" spans="1:3" x14ac:dyDescent="0.2">
      <c r="A2248" s="82"/>
      <c r="B2248" s="82"/>
      <c r="C2248" s="82"/>
    </row>
    <row r="2249" spans="1:3" x14ac:dyDescent="0.2">
      <c r="A2249" s="82"/>
      <c r="B2249" s="82"/>
      <c r="C2249" s="82"/>
    </row>
    <row r="2250" spans="1:3" x14ac:dyDescent="0.2">
      <c r="A2250" s="82"/>
      <c r="B2250" s="82"/>
      <c r="C2250" s="82"/>
    </row>
    <row r="2251" spans="1:3" x14ac:dyDescent="0.2">
      <c r="A2251" s="82"/>
      <c r="B2251" s="82"/>
      <c r="C2251" s="82"/>
    </row>
    <row r="2252" spans="1:3" x14ac:dyDescent="0.2">
      <c r="A2252" s="82"/>
      <c r="B2252" s="82"/>
      <c r="C2252" s="82"/>
    </row>
    <row r="2253" spans="1:3" x14ac:dyDescent="0.2">
      <c r="A2253" s="82"/>
      <c r="B2253" s="82"/>
      <c r="C2253" s="82"/>
    </row>
    <row r="2254" spans="1:3" x14ac:dyDescent="0.2">
      <c r="A2254" s="82"/>
      <c r="B2254" s="82"/>
      <c r="C2254" s="82"/>
    </row>
    <row r="2255" spans="1:3" x14ac:dyDescent="0.2">
      <c r="A2255" s="82"/>
      <c r="B2255" s="82"/>
      <c r="C2255" s="82"/>
    </row>
    <row r="2256" spans="1:3" x14ac:dyDescent="0.2">
      <c r="A2256" s="82"/>
      <c r="B2256" s="82"/>
      <c r="C2256" s="82"/>
    </row>
    <row r="2257" spans="1:3" x14ac:dyDescent="0.2">
      <c r="A2257" s="82"/>
      <c r="B2257" s="82"/>
      <c r="C2257" s="82"/>
    </row>
    <row r="2258" spans="1:3" x14ac:dyDescent="0.2">
      <c r="A2258" s="82"/>
      <c r="B2258" s="82"/>
      <c r="C2258" s="82"/>
    </row>
    <row r="2259" spans="1:3" x14ac:dyDescent="0.2">
      <c r="A2259" s="82"/>
      <c r="B2259" s="82"/>
      <c r="C2259" s="82"/>
    </row>
    <row r="2260" spans="1:3" x14ac:dyDescent="0.2">
      <c r="A2260" s="82"/>
      <c r="B2260" s="82"/>
      <c r="C2260" s="82"/>
    </row>
    <row r="2261" spans="1:3" x14ac:dyDescent="0.2">
      <c r="A2261" s="82"/>
      <c r="B2261" s="82"/>
      <c r="C2261" s="82"/>
    </row>
    <row r="2262" spans="1:3" x14ac:dyDescent="0.2">
      <c r="A2262" s="82"/>
      <c r="B2262" s="82"/>
      <c r="C2262" s="82"/>
    </row>
    <row r="2263" spans="1:3" x14ac:dyDescent="0.2">
      <c r="A2263" s="82"/>
      <c r="B2263" s="82"/>
      <c r="C2263" s="82"/>
    </row>
    <row r="2264" spans="1:3" x14ac:dyDescent="0.2">
      <c r="A2264" s="82"/>
      <c r="B2264" s="82"/>
      <c r="C2264" s="82"/>
    </row>
    <row r="2265" spans="1:3" x14ac:dyDescent="0.2">
      <c r="A2265" s="82"/>
      <c r="B2265" s="82"/>
      <c r="C2265" s="82"/>
    </row>
    <row r="2266" spans="1:3" x14ac:dyDescent="0.2">
      <c r="A2266" s="82"/>
      <c r="B2266" s="82"/>
      <c r="C2266" s="82"/>
    </row>
    <row r="2267" spans="1:3" x14ac:dyDescent="0.2">
      <c r="A2267" s="82"/>
      <c r="B2267" s="82"/>
      <c r="C2267" s="82"/>
    </row>
    <row r="2268" spans="1:3" x14ac:dyDescent="0.2">
      <c r="A2268" s="82"/>
      <c r="B2268" s="82"/>
      <c r="C2268" s="82"/>
    </row>
    <row r="2269" spans="1:3" x14ac:dyDescent="0.2">
      <c r="A2269" s="82"/>
      <c r="B2269" s="82"/>
      <c r="C2269" s="82"/>
    </row>
    <row r="2270" spans="1:3" x14ac:dyDescent="0.2">
      <c r="A2270" s="82"/>
      <c r="B2270" s="82"/>
      <c r="C2270" s="82"/>
    </row>
    <row r="2271" spans="1:3" x14ac:dyDescent="0.2">
      <c r="A2271" s="82"/>
      <c r="B2271" s="82"/>
      <c r="C2271" s="82"/>
    </row>
    <row r="2272" spans="1:3" x14ac:dyDescent="0.2">
      <c r="A2272" s="82"/>
      <c r="B2272" s="82"/>
      <c r="C2272" s="82"/>
    </row>
    <row r="2273" spans="1:3" x14ac:dyDescent="0.2">
      <c r="A2273" s="82"/>
      <c r="B2273" s="82"/>
      <c r="C2273" s="82"/>
    </row>
    <row r="2274" spans="1:3" x14ac:dyDescent="0.2">
      <c r="A2274" s="82"/>
      <c r="B2274" s="82"/>
      <c r="C2274" s="82"/>
    </row>
    <row r="2275" spans="1:3" x14ac:dyDescent="0.2">
      <c r="A2275" s="82"/>
      <c r="B2275" s="82"/>
      <c r="C2275" s="82"/>
    </row>
    <row r="2276" spans="1:3" x14ac:dyDescent="0.2">
      <c r="A2276" s="82"/>
      <c r="B2276" s="82"/>
      <c r="C2276" s="82"/>
    </row>
    <row r="2277" spans="1:3" x14ac:dyDescent="0.2">
      <c r="A2277" s="82"/>
      <c r="B2277" s="82"/>
      <c r="C2277" s="82"/>
    </row>
    <row r="2278" spans="1:3" x14ac:dyDescent="0.2">
      <c r="A2278" s="82"/>
      <c r="B2278" s="82"/>
      <c r="C2278" s="82"/>
    </row>
    <row r="2279" spans="1:3" x14ac:dyDescent="0.2">
      <c r="A2279" s="82"/>
      <c r="B2279" s="82"/>
      <c r="C2279" s="82"/>
    </row>
    <row r="2280" spans="1:3" x14ac:dyDescent="0.2">
      <c r="A2280" s="82"/>
      <c r="B2280" s="82"/>
      <c r="C2280" s="82"/>
    </row>
    <row r="2281" spans="1:3" x14ac:dyDescent="0.2">
      <c r="A2281" s="82"/>
      <c r="B2281" s="82"/>
      <c r="C2281" s="82"/>
    </row>
    <row r="2282" spans="1:3" x14ac:dyDescent="0.2">
      <c r="A2282" s="82"/>
      <c r="B2282" s="82"/>
      <c r="C2282" s="82"/>
    </row>
    <row r="2283" spans="1:3" x14ac:dyDescent="0.2">
      <c r="A2283" s="82"/>
      <c r="B2283" s="82"/>
      <c r="C2283" s="82"/>
    </row>
    <row r="2284" spans="1:3" x14ac:dyDescent="0.2">
      <c r="A2284" s="82"/>
      <c r="B2284" s="82"/>
      <c r="C2284" s="82"/>
    </row>
    <row r="2285" spans="1:3" x14ac:dyDescent="0.2">
      <c r="A2285" s="82"/>
      <c r="B2285" s="82"/>
      <c r="C2285" s="82"/>
    </row>
    <row r="2286" spans="1:3" x14ac:dyDescent="0.2">
      <c r="A2286" s="82"/>
      <c r="B2286" s="82"/>
      <c r="C2286" s="82"/>
    </row>
    <row r="2287" spans="1:3" x14ac:dyDescent="0.2">
      <c r="A2287" s="82"/>
      <c r="B2287" s="82"/>
      <c r="C2287" s="82"/>
    </row>
    <row r="2288" spans="1:3" x14ac:dyDescent="0.2">
      <c r="A2288" s="82"/>
      <c r="B2288" s="82"/>
      <c r="C2288" s="82"/>
    </row>
    <row r="2289" spans="1:3" x14ac:dyDescent="0.2">
      <c r="A2289" s="82"/>
      <c r="B2289" s="82"/>
      <c r="C2289" s="82"/>
    </row>
    <row r="2290" spans="1:3" x14ac:dyDescent="0.2">
      <c r="A2290" s="82"/>
      <c r="B2290" s="82"/>
      <c r="C2290" s="82"/>
    </row>
    <row r="2291" spans="1:3" x14ac:dyDescent="0.2">
      <c r="A2291" s="82"/>
      <c r="B2291" s="82"/>
      <c r="C2291" s="82"/>
    </row>
    <row r="2292" spans="1:3" x14ac:dyDescent="0.2">
      <c r="A2292" s="82"/>
      <c r="B2292" s="82"/>
      <c r="C2292" s="82"/>
    </row>
    <row r="2293" spans="1:3" x14ac:dyDescent="0.2">
      <c r="A2293" s="82"/>
      <c r="B2293" s="82"/>
      <c r="C2293" s="82"/>
    </row>
    <row r="2294" spans="1:3" x14ac:dyDescent="0.2">
      <c r="A2294" s="82"/>
      <c r="B2294" s="82"/>
      <c r="C2294" s="82"/>
    </row>
    <row r="2295" spans="1:3" x14ac:dyDescent="0.2">
      <c r="A2295" s="82"/>
      <c r="B2295" s="82"/>
      <c r="C2295" s="82"/>
    </row>
    <row r="2296" spans="1:3" x14ac:dyDescent="0.2">
      <c r="A2296" s="82"/>
      <c r="B2296" s="82"/>
      <c r="C2296" s="82"/>
    </row>
    <row r="2297" spans="1:3" x14ac:dyDescent="0.2">
      <c r="A2297" s="82"/>
      <c r="B2297" s="82"/>
      <c r="C2297" s="82"/>
    </row>
    <row r="2298" spans="1:3" x14ac:dyDescent="0.2">
      <c r="A2298" s="82"/>
      <c r="B2298" s="82"/>
      <c r="C2298" s="82"/>
    </row>
    <row r="2299" spans="1:3" x14ac:dyDescent="0.2">
      <c r="A2299" s="82"/>
      <c r="B2299" s="82"/>
      <c r="C2299" s="82"/>
    </row>
    <row r="2300" spans="1:3" x14ac:dyDescent="0.2">
      <c r="A2300" s="82"/>
      <c r="B2300" s="82"/>
      <c r="C2300" s="82"/>
    </row>
    <row r="2301" spans="1:3" x14ac:dyDescent="0.2">
      <c r="A2301" s="82"/>
      <c r="B2301" s="82"/>
      <c r="C2301" s="82"/>
    </row>
    <row r="2302" spans="1:3" x14ac:dyDescent="0.2">
      <c r="A2302" s="82"/>
      <c r="B2302" s="82"/>
      <c r="C2302" s="82"/>
    </row>
    <row r="2303" spans="1:3" x14ac:dyDescent="0.2">
      <c r="A2303" s="82"/>
      <c r="B2303" s="82"/>
      <c r="C2303" s="82"/>
    </row>
    <row r="2304" spans="1:3" x14ac:dyDescent="0.2">
      <c r="A2304" s="82"/>
      <c r="B2304" s="82"/>
      <c r="C2304" s="82"/>
    </row>
    <row r="2305" spans="1:3" x14ac:dyDescent="0.2">
      <c r="A2305" s="82"/>
      <c r="B2305" s="82"/>
      <c r="C2305" s="82"/>
    </row>
    <row r="2306" spans="1:3" x14ac:dyDescent="0.2">
      <c r="A2306" s="82"/>
      <c r="B2306" s="82"/>
      <c r="C2306" s="82"/>
    </row>
    <row r="2307" spans="1:3" x14ac:dyDescent="0.2">
      <c r="A2307" s="82"/>
      <c r="B2307" s="82"/>
      <c r="C2307" s="82"/>
    </row>
    <row r="2308" spans="1:3" x14ac:dyDescent="0.2">
      <c r="A2308" s="82"/>
      <c r="B2308" s="82"/>
      <c r="C2308" s="82"/>
    </row>
    <row r="2309" spans="1:3" x14ac:dyDescent="0.2">
      <c r="A2309" s="82"/>
      <c r="B2309" s="82"/>
      <c r="C2309" s="82"/>
    </row>
    <row r="2310" spans="1:3" x14ac:dyDescent="0.2">
      <c r="A2310" s="82"/>
      <c r="B2310" s="82"/>
      <c r="C2310" s="82"/>
    </row>
    <row r="2311" spans="1:3" x14ac:dyDescent="0.2">
      <c r="A2311" s="82"/>
      <c r="B2311" s="82"/>
      <c r="C2311" s="82"/>
    </row>
    <row r="2312" spans="1:3" x14ac:dyDescent="0.2">
      <c r="A2312" s="82"/>
      <c r="B2312" s="82"/>
      <c r="C2312" s="82"/>
    </row>
    <row r="2313" spans="1:3" x14ac:dyDescent="0.2">
      <c r="A2313" s="82"/>
      <c r="B2313" s="82"/>
      <c r="C2313" s="82"/>
    </row>
    <row r="2314" spans="1:3" x14ac:dyDescent="0.2">
      <c r="A2314" s="82"/>
      <c r="B2314" s="82"/>
      <c r="C2314" s="82"/>
    </row>
    <row r="2315" spans="1:3" x14ac:dyDescent="0.2">
      <c r="A2315" s="82"/>
      <c r="B2315" s="82"/>
      <c r="C2315" s="82"/>
    </row>
    <row r="2316" spans="1:3" x14ac:dyDescent="0.2">
      <c r="A2316" s="82"/>
      <c r="B2316" s="82"/>
      <c r="C2316" s="82"/>
    </row>
    <row r="2317" spans="1:3" x14ac:dyDescent="0.2">
      <c r="A2317" s="82"/>
      <c r="B2317" s="82"/>
      <c r="C2317" s="82"/>
    </row>
    <row r="2318" spans="1:3" x14ac:dyDescent="0.2">
      <c r="A2318" s="82"/>
      <c r="B2318" s="82"/>
      <c r="C2318" s="82"/>
    </row>
    <row r="2319" spans="1:3" x14ac:dyDescent="0.2">
      <c r="A2319" s="82"/>
      <c r="B2319" s="82"/>
      <c r="C2319" s="82"/>
    </row>
    <row r="2320" spans="1:3" x14ac:dyDescent="0.2">
      <c r="A2320" s="82"/>
      <c r="B2320" s="82"/>
      <c r="C2320" s="82"/>
    </row>
    <row r="2321" spans="1:3" x14ac:dyDescent="0.2">
      <c r="A2321" s="82"/>
      <c r="B2321" s="82"/>
      <c r="C2321" s="82"/>
    </row>
    <row r="2322" spans="1:3" x14ac:dyDescent="0.2">
      <c r="A2322" s="82"/>
      <c r="B2322" s="82"/>
      <c r="C2322" s="82"/>
    </row>
    <row r="2323" spans="1:3" x14ac:dyDescent="0.2">
      <c r="A2323" s="82"/>
      <c r="B2323" s="82"/>
      <c r="C2323" s="82"/>
    </row>
    <row r="2324" spans="1:3" x14ac:dyDescent="0.2">
      <c r="A2324" s="82"/>
      <c r="B2324" s="82"/>
      <c r="C2324" s="82"/>
    </row>
    <row r="2325" spans="1:3" x14ac:dyDescent="0.2">
      <c r="A2325" s="82"/>
      <c r="B2325" s="82"/>
      <c r="C2325" s="82"/>
    </row>
    <row r="2326" spans="1:3" x14ac:dyDescent="0.2">
      <c r="A2326" s="82"/>
      <c r="B2326" s="82"/>
      <c r="C2326" s="82"/>
    </row>
    <row r="2327" spans="1:3" x14ac:dyDescent="0.2">
      <c r="A2327" s="82"/>
      <c r="B2327" s="82"/>
      <c r="C2327" s="82"/>
    </row>
    <row r="2328" spans="1:3" x14ac:dyDescent="0.2">
      <c r="A2328" s="82"/>
      <c r="B2328" s="82"/>
      <c r="C2328" s="82"/>
    </row>
    <row r="2329" spans="1:3" x14ac:dyDescent="0.2">
      <c r="A2329" s="82"/>
      <c r="B2329" s="82"/>
      <c r="C2329" s="82"/>
    </row>
    <row r="2330" spans="1:3" x14ac:dyDescent="0.2">
      <c r="A2330" s="82"/>
      <c r="B2330" s="82"/>
      <c r="C2330" s="82"/>
    </row>
    <row r="2331" spans="1:3" x14ac:dyDescent="0.2">
      <c r="A2331" s="82"/>
      <c r="B2331" s="82"/>
      <c r="C2331" s="82"/>
    </row>
    <row r="2332" spans="1:3" x14ac:dyDescent="0.2">
      <c r="A2332" s="82"/>
      <c r="B2332" s="82"/>
      <c r="C2332" s="82"/>
    </row>
    <row r="2333" spans="1:3" x14ac:dyDescent="0.2">
      <c r="A2333" s="82"/>
      <c r="B2333" s="82"/>
      <c r="C2333" s="82"/>
    </row>
    <row r="2334" spans="1:3" x14ac:dyDescent="0.2">
      <c r="A2334" s="82"/>
      <c r="B2334" s="82"/>
      <c r="C2334" s="82"/>
    </row>
    <row r="2335" spans="1:3" x14ac:dyDescent="0.2">
      <c r="A2335" s="82"/>
      <c r="B2335" s="82"/>
      <c r="C2335" s="82"/>
    </row>
    <row r="2336" spans="1:3" x14ac:dyDescent="0.2">
      <c r="A2336" s="82"/>
      <c r="B2336" s="82"/>
      <c r="C2336" s="82"/>
    </row>
    <row r="2337" spans="1:3" x14ac:dyDescent="0.2">
      <c r="A2337" s="82"/>
      <c r="B2337" s="82"/>
      <c r="C2337" s="82"/>
    </row>
    <row r="2338" spans="1:3" x14ac:dyDescent="0.2">
      <c r="A2338" s="82"/>
      <c r="B2338" s="82"/>
      <c r="C2338" s="82"/>
    </row>
    <row r="2339" spans="1:3" x14ac:dyDescent="0.2">
      <c r="A2339" s="82"/>
      <c r="B2339" s="82"/>
      <c r="C2339" s="82"/>
    </row>
    <row r="2340" spans="1:3" x14ac:dyDescent="0.2">
      <c r="A2340" s="82"/>
      <c r="B2340" s="82"/>
      <c r="C2340" s="82"/>
    </row>
    <row r="2341" spans="1:3" x14ac:dyDescent="0.2">
      <c r="A2341" s="82"/>
      <c r="B2341" s="82"/>
      <c r="C2341" s="82"/>
    </row>
    <row r="2342" spans="1:3" x14ac:dyDescent="0.2">
      <c r="A2342" s="82"/>
      <c r="B2342" s="82"/>
      <c r="C2342" s="82"/>
    </row>
    <row r="2343" spans="1:3" x14ac:dyDescent="0.2">
      <c r="A2343" s="82"/>
      <c r="B2343" s="82"/>
      <c r="C2343" s="82"/>
    </row>
    <row r="2344" spans="1:3" x14ac:dyDescent="0.2">
      <c r="A2344" s="82"/>
      <c r="B2344" s="82"/>
      <c r="C2344" s="82"/>
    </row>
    <row r="2345" spans="1:3" x14ac:dyDescent="0.2">
      <c r="A2345" s="82"/>
      <c r="B2345" s="82"/>
      <c r="C2345" s="82"/>
    </row>
    <row r="2346" spans="1:3" x14ac:dyDescent="0.2">
      <c r="A2346" s="82"/>
      <c r="B2346" s="82"/>
      <c r="C2346" s="82"/>
    </row>
    <row r="2347" spans="1:3" x14ac:dyDescent="0.2">
      <c r="A2347" s="82"/>
      <c r="B2347" s="82"/>
      <c r="C2347" s="82"/>
    </row>
    <row r="2348" spans="1:3" x14ac:dyDescent="0.2">
      <c r="A2348" s="82"/>
      <c r="B2348" s="82"/>
      <c r="C2348" s="82"/>
    </row>
    <row r="2349" spans="1:3" x14ac:dyDescent="0.2">
      <c r="A2349" s="82"/>
      <c r="B2349" s="82"/>
      <c r="C2349" s="82"/>
    </row>
    <row r="2350" spans="1:3" x14ac:dyDescent="0.2">
      <c r="A2350" s="82"/>
      <c r="B2350" s="82"/>
      <c r="C2350" s="82"/>
    </row>
    <row r="2351" spans="1:3" x14ac:dyDescent="0.2">
      <c r="A2351" s="82"/>
      <c r="B2351" s="82"/>
      <c r="C2351" s="82"/>
    </row>
    <row r="2352" spans="1:3" x14ac:dyDescent="0.2">
      <c r="A2352" s="82"/>
      <c r="B2352" s="82"/>
      <c r="C2352" s="82"/>
    </row>
    <row r="2353" spans="1:3" x14ac:dyDescent="0.2">
      <c r="A2353" s="82"/>
      <c r="B2353" s="82"/>
      <c r="C2353" s="82"/>
    </row>
    <row r="2354" spans="1:3" x14ac:dyDescent="0.2">
      <c r="A2354" s="82"/>
      <c r="B2354" s="82"/>
      <c r="C2354" s="82"/>
    </row>
    <row r="2355" spans="1:3" x14ac:dyDescent="0.2">
      <c r="A2355" s="82"/>
      <c r="B2355" s="82"/>
      <c r="C2355" s="82"/>
    </row>
    <row r="2356" spans="1:3" x14ac:dyDescent="0.2">
      <c r="A2356" s="82"/>
      <c r="B2356" s="82"/>
      <c r="C2356" s="82"/>
    </row>
    <row r="2357" spans="1:3" x14ac:dyDescent="0.2">
      <c r="A2357" s="82"/>
      <c r="B2357" s="82"/>
      <c r="C2357" s="82"/>
    </row>
    <row r="2358" spans="1:3" x14ac:dyDescent="0.2">
      <c r="A2358" s="82"/>
      <c r="B2358" s="82"/>
      <c r="C2358" s="82"/>
    </row>
    <row r="2359" spans="1:3" x14ac:dyDescent="0.2">
      <c r="A2359" s="82"/>
      <c r="B2359" s="82"/>
      <c r="C2359" s="82"/>
    </row>
    <row r="2360" spans="1:3" x14ac:dyDescent="0.2">
      <c r="A2360" s="82"/>
      <c r="B2360" s="82"/>
      <c r="C2360" s="82"/>
    </row>
    <row r="2361" spans="1:3" x14ac:dyDescent="0.2">
      <c r="A2361" s="82"/>
      <c r="B2361" s="82"/>
      <c r="C2361" s="82"/>
    </row>
    <row r="2362" spans="1:3" x14ac:dyDescent="0.2">
      <c r="A2362" s="82"/>
      <c r="B2362" s="82"/>
      <c r="C2362" s="82"/>
    </row>
    <row r="2363" spans="1:3" x14ac:dyDescent="0.2">
      <c r="A2363" s="82"/>
      <c r="B2363" s="82"/>
      <c r="C2363" s="82"/>
    </row>
    <row r="2364" spans="1:3" x14ac:dyDescent="0.2">
      <c r="A2364" s="82"/>
      <c r="B2364" s="82"/>
      <c r="C2364" s="82"/>
    </row>
    <row r="2365" spans="1:3" x14ac:dyDescent="0.2">
      <c r="A2365" s="82"/>
      <c r="B2365" s="82"/>
      <c r="C2365" s="82"/>
    </row>
    <row r="2366" spans="1:3" x14ac:dyDescent="0.2">
      <c r="A2366" s="82"/>
      <c r="B2366" s="82"/>
      <c r="C2366" s="82"/>
    </row>
    <row r="2367" spans="1:3" x14ac:dyDescent="0.2">
      <c r="A2367" s="82"/>
      <c r="B2367" s="82"/>
      <c r="C2367" s="82"/>
    </row>
    <row r="2368" spans="1:3" x14ac:dyDescent="0.2">
      <c r="A2368" s="82"/>
      <c r="B2368" s="82"/>
      <c r="C2368" s="82"/>
    </row>
    <row r="2369" spans="1:3" x14ac:dyDescent="0.2">
      <c r="A2369" s="82"/>
      <c r="B2369" s="82"/>
      <c r="C2369" s="82"/>
    </row>
    <row r="2370" spans="1:3" x14ac:dyDescent="0.2">
      <c r="A2370" s="82"/>
      <c r="B2370" s="82"/>
      <c r="C2370" s="82"/>
    </row>
    <row r="2371" spans="1:3" x14ac:dyDescent="0.2">
      <c r="A2371" s="82"/>
      <c r="B2371" s="82"/>
      <c r="C2371" s="82"/>
    </row>
    <row r="2372" spans="1:3" x14ac:dyDescent="0.2">
      <c r="A2372" s="82"/>
      <c r="B2372" s="82"/>
      <c r="C2372" s="82"/>
    </row>
    <row r="2373" spans="1:3" x14ac:dyDescent="0.2">
      <c r="A2373" s="82"/>
      <c r="B2373" s="82"/>
      <c r="C2373" s="82"/>
    </row>
    <row r="2374" spans="1:3" x14ac:dyDescent="0.2">
      <c r="A2374" s="82"/>
      <c r="B2374" s="82"/>
      <c r="C2374" s="82"/>
    </row>
    <row r="2375" spans="1:3" x14ac:dyDescent="0.2">
      <c r="A2375" s="82"/>
      <c r="B2375" s="82"/>
      <c r="C2375" s="82"/>
    </row>
    <row r="2376" spans="1:3" x14ac:dyDescent="0.2">
      <c r="A2376" s="82"/>
      <c r="B2376" s="82"/>
      <c r="C2376" s="82"/>
    </row>
    <row r="2377" spans="1:3" x14ac:dyDescent="0.2">
      <c r="A2377" s="82"/>
      <c r="B2377" s="82"/>
      <c r="C2377" s="82"/>
    </row>
    <row r="2378" spans="1:3" x14ac:dyDescent="0.2">
      <c r="A2378" s="82"/>
      <c r="B2378" s="82"/>
      <c r="C2378" s="82"/>
    </row>
    <row r="2379" spans="1:3" x14ac:dyDescent="0.2">
      <c r="A2379" s="82"/>
      <c r="B2379" s="82"/>
      <c r="C2379" s="82"/>
    </row>
    <row r="2380" spans="1:3" x14ac:dyDescent="0.2">
      <c r="A2380" s="82"/>
      <c r="B2380" s="82"/>
      <c r="C2380" s="82"/>
    </row>
    <row r="2381" spans="1:3" x14ac:dyDescent="0.2">
      <c r="A2381" s="82"/>
      <c r="B2381" s="82"/>
      <c r="C2381" s="82"/>
    </row>
    <row r="2382" spans="1:3" x14ac:dyDescent="0.2">
      <c r="A2382" s="82"/>
      <c r="B2382" s="82"/>
      <c r="C2382" s="82"/>
    </row>
    <row r="2383" spans="1:3" x14ac:dyDescent="0.2">
      <c r="A2383" s="82"/>
      <c r="B2383" s="82"/>
      <c r="C2383" s="82"/>
    </row>
    <row r="2384" spans="1:3" x14ac:dyDescent="0.2">
      <c r="A2384" s="82"/>
      <c r="B2384" s="82"/>
      <c r="C2384" s="82"/>
    </row>
    <row r="2385" spans="1:3" x14ac:dyDescent="0.2">
      <c r="A2385" s="82"/>
      <c r="B2385" s="82"/>
      <c r="C2385" s="82"/>
    </row>
    <row r="2386" spans="1:3" x14ac:dyDescent="0.2">
      <c r="A2386" s="82"/>
      <c r="B2386" s="82"/>
      <c r="C2386" s="82"/>
    </row>
    <row r="2387" spans="1:3" x14ac:dyDescent="0.2">
      <c r="A2387" s="82"/>
      <c r="B2387" s="82"/>
      <c r="C2387" s="82"/>
    </row>
    <row r="2388" spans="1:3" x14ac:dyDescent="0.2">
      <c r="A2388" s="82"/>
      <c r="B2388" s="82"/>
      <c r="C2388" s="82"/>
    </row>
    <row r="2389" spans="1:3" x14ac:dyDescent="0.2">
      <c r="A2389" s="82"/>
      <c r="B2389" s="82"/>
      <c r="C2389" s="82"/>
    </row>
    <row r="2390" spans="1:3" x14ac:dyDescent="0.2">
      <c r="A2390" s="82"/>
      <c r="B2390" s="82"/>
      <c r="C2390" s="82"/>
    </row>
    <row r="2391" spans="1:3" x14ac:dyDescent="0.2">
      <c r="A2391" s="82"/>
      <c r="B2391" s="82"/>
      <c r="C2391" s="82"/>
    </row>
    <row r="2392" spans="1:3" x14ac:dyDescent="0.2">
      <c r="A2392" s="82"/>
      <c r="B2392" s="82"/>
      <c r="C2392" s="82"/>
    </row>
    <row r="2393" spans="1:3" x14ac:dyDescent="0.2">
      <c r="A2393" s="82"/>
      <c r="B2393" s="82"/>
      <c r="C2393" s="82"/>
    </row>
    <row r="2394" spans="1:3" x14ac:dyDescent="0.2">
      <c r="A2394" s="82"/>
      <c r="B2394" s="82"/>
      <c r="C2394" s="82"/>
    </row>
    <row r="2395" spans="1:3" x14ac:dyDescent="0.2">
      <c r="A2395" s="82"/>
      <c r="B2395" s="82"/>
      <c r="C2395" s="82"/>
    </row>
    <row r="2396" spans="1:3" x14ac:dyDescent="0.2">
      <c r="A2396" s="82"/>
      <c r="B2396" s="82"/>
      <c r="C2396" s="82"/>
    </row>
    <row r="2397" spans="1:3" x14ac:dyDescent="0.2">
      <c r="A2397" s="82"/>
      <c r="B2397" s="82"/>
      <c r="C2397" s="82"/>
    </row>
    <row r="2398" spans="1:3" x14ac:dyDescent="0.2">
      <c r="A2398" s="82"/>
      <c r="B2398" s="82"/>
      <c r="C2398" s="82"/>
    </row>
    <row r="2399" spans="1:3" x14ac:dyDescent="0.2">
      <c r="A2399" s="82"/>
      <c r="B2399" s="82"/>
      <c r="C2399" s="82"/>
    </row>
    <row r="2400" spans="1:3" x14ac:dyDescent="0.2">
      <c r="A2400" s="82"/>
      <c r="B2400" s="82"/>
      <c r="C2400" s="82"/>
    </row>
    <row r="2401" spans="1:3" x14ac:dyDescent="0.2">
      <c r="A2401" s="82"/>
      <c r="B2401" s="82"/>
      <c r="C2401" s="82"/>
    </row>
    <row r="2402" spans="1:3" x14ac:dyDescent="0.2">
      <c r="A2402" s="82"/>
      <c r="B2402" s="82"/>
      <c r="C2402" s="82"/>
    </row>
    <row r="2403" spans="1:3" x14ac:dyDescent="0.2">
      <c r="A2403" s="82"/>
      <c r="B2403" s="82"/>
      <c r="C2403" s="82"/>
    </row>
    <row r="2404" spans="1:3" x14ac:dyDescent="0.2">
      <c r="A2404" s="82"/>
      <c r="B2404" s="82"/>
      <c r="C2404" s="82"/>
    </row>
    <row r="2405" spans="1:3" x14ac:dyDescent="0.2">
      <c r="A2405" s="82"/>
      <c r="B2405" s="82"/>
      <c r="C2405" s="82"/>
    </row>
    <row r="2406" spans="1:3" x14ac:dyDescent="0.2">
      <c r="A2406" s="82"/>
      <c r="B2406" s="82"/>
      <c r="C2406" s="82"/>
    </row>
    <row r="2407" spans="1:3" x14ac:dyDescent="0.2">
      <c r="A2407" s="82"/>
      <c r="B2407" s="82"/>
      <c r="C2407" s="82"/>
    </row>
    <row r="2408" spans="1:3" x14ac:dyDescent="0.2">
      <c r="A2408" s="82"/>
      <c r="B2408" s="82"/>
      <c r="C2408" s="82"/>
    </row>
    <row r="2409" spans="1:3" x14ac:dyDescent="0.2">
      <c r="A2409" s="82"/>
      <c r="B2409" s="82"/>
      <c r="C2409" s="82"/>
    </row>
    <row r="2410" spans="1:3" x14ac:dyDescent="0.2">
      <c r="A2410" s="82"/>
      <c r="B2410" s="82"/>
      <c r="C2410" s="82"/>
    </row>
    <row r="2411" spans="1:3" x14ac:dyDescent="0.2">
      <c r="A2411" s="82"/>
      <c r="B2411" s="82"/>
      <c r="C2411" s="82"/>
    </row>
    <row r="2412" spans="1:3" x14ac:dyDescent="0.2">
      <c r="A2412" s="82"/>
      <c r="B2412" s="82"/>
      <c r="C2412" s="82"/>
    </row>
    <row r="2413" spans="1:3" x14ac:dyDescent="0.2">
      <c r="A2413" s="82"/>
      <c r="B2413" s="82"/>
      <c r="C2413" s="82"/>
    </row>
    <row r="2414" spans="1:3" x14ac:dyDescent="0.2">
      <c r="A2414" s="82"/>
      <c r="B2414" s="82"/>
      <c r="C2414" s="82"/>
    </row>
    <row r="2415" spans="1:3" x14ac:dyDescent="0.2">
      <c r="A2415" s="82"/>
      <c r="B2415" s="82"/>
      <c r="C2415" s="82"/>
    </row>
    <row r="2416" spans="1:3" x14ac:dyDescent="0.2">
      <c r="A2416" s="82"/>
      <c r="B2416" s="82"/>
      <c r="C2416" s="82"/>
    </row>
    <row r="2417" spans="1:3" x14ac:dyDescent="0.2">
      <c r="A2417" s="82"/>
      <c r="B2417" s="82"/>
      <c r="C2417" s="82"/>
    </row>
    <row r="2418" spans="1:3" x14ac:dyDescent="0.2">
      <c r="A2418" s="82"/>
      <c r="B2418" s="82"/>
      <c r="C2418" s="82"/>
    </row>
    <row r="2419" spans="1:3" x14ac:dyDescent="0.2">
      <c r="A2419" s="82"/>
      <c r="B2419" s="82"/>
      <c r="C2419" s="82"/>
    </row>
    <row r="2420" spans="1:3" x14ac:dyDescent="0.2">
      <c r="A2420" s="82"/>
      <c r="B2420" s="82"/>
      <c r="C2420" s="82"/>
    </row>
    <row r="2421" spans="1:3" x14ac:dyDescent="0.2">
      <c r="A2421" s="82"/>
      <c r="B2421" s="82"/>
      <c r="C2421" s="82"/>
    </row>
    <row r="2422" spans="1:3" x14ac:dyDescent="0.2">
      <c r="A2422" s="82"/>
      <c r="B2422" s="82"/>
      <c r="C2422" s="82"/>
    </row>
    <row r="2423" spans="1:3" x14ac:dyDescent="0.2">
      <c r="A2423" s="82"/>
      <c r="B2423" s="82"/>
      <c r="C2423" s="82"/>
    </row>
    <row r="2424" spans="1:3" x14ac:dyDescent="0.2">
      <c r="A2424" s="82"/>
      <c r="B2424" s="82"/>
      <c r="C2424" s="82"/>
    </row>
    <row r="2425" spans="1:3" x14ac:dyDescent="0.2">
      <c r="A2425" s="82"/>
      <c r="B2425" s="82"/>
      <c r="C2425" s="82"/>
    </row>
    <row r="2426" spans="1:3" x14ac:dyDescent="0.2">
      <c r="A2426" s="82"/>
      <c r="B2426" s="82"/>
      <c r="C2426" s="82"/>
    </row>
    <row r="2427" spans="1:3" x14ac:dyDescent="0.2">
      <c r="A2427" s="82"/>
      <c r="B2427" s="82"/>
      <c r="C2427" s="82"/>
    </row>
    <row r="2428" spans="1:3" x14ac:dyDescent="0.2">
      <c r="A2428" s="82"/>
      <c r="B2428" s="82"/>
      <c r="C2428" s="82"/>
    </row>
    <row r="2429" spans="1:3" x14ac:dyDescent="0.2">
      <c r="A2429" s="82"/>
      <c r="B2429" s="82"/>
      <c r="C2429" s="82"/>
    </row>
    <row r="2430" spans="1:3" x14ac:dyDescent="0.2">
      <c r="A2430" s="82"/>
      <c r="B2430" s="82"/>
      <c r="C2430" s="82"/>
    </row>
    <row r="2431" spans="1:3" x14ac:dyDescent="0.2">
      <c r="A2431" s="82"/>
      <c r="B2431" s="82"/>
      <c r="C2431" s="82"/>
    </row>
    <row r="2432" spans="1:3" x14ac:dyDescent="0.2">
      <c r="A2432" s="82"/>
      <c r="B2432" s="82"/>
      <c r="C2432" s="82"/>
    </row>
    <row r="2433" spans="1:3" x14ac:dyDescent="0.2">
      <c r="A2433" s="82"/>
      <c r="B2433" s="82"/>
      <c r="C2433" s="82"/>
    </row>
    <row r="2434" spans="1:3" x14ac:dyDescent="0.2">
      <c r="A2434" s="82"/>
      <c r="B2434" s="82"/>
      <c r="C2434" s="82"/>
    </row>
    <row r="2435" spans="1:3" x14ac:dyDescent="0.2">
      <c r="A2435" s="82"/>
      <c r="B2435" s="82"/>
      <c r="C2435" s="82"/>
    </row>
    <row r="2436" spans="1:3" x14ac:dyDescent="0.2">
      <c r="A2436" s="82"/>
      <c r="B2436" s="82"/>
      <c r="C2436" s="82"/>
    </row>
    <row r="2437" spans="1:3" x14ac:dyDescent="0.2">
      <c r="A2437" s="82"/>
      <c r="B2437" s="82"/>
      <c r="C2437" s="82"/>
    </row>
    <row r="2438" spans="1:3" x14ac:dyDescent="0.2">
      <c r="A2438" s="82"/>
      <c r="B2438" s="82"/>
      <c r="C2438" s="82"/>
    </row>
    <row r="2439" spans="1:3" x14ac:dyDescent="0.2">
      <c r="A2439" s="82"/>
      <c r="B2439" s="82"/>
      <c r="C2439" s="82"/>
    </row>
    <row r="2440" spans="1:3" x14ac:dyDescent="0.2">
      <c r="A2440" s="82"/>
      <c r="B2440" s="82"/>
      <c r="C2440" s="82"/>
    </row>
    <row r="2441" spans="1:3" x14ac:dyDescent="0.2">
      <c r="A2441" s="82"/>
      <c r="B2441" s="82"/>
      <c r="C2441" s="82"/>
    </row>
    <row r="2442" spans="1:3" x14ac:dyDescent="0.2">
      <c r="A2442" s="82"/>
      <c r="B2442" s="82"/>
      <c r="C2442" s="82"/>
    </row>
    <row r="2443" spans="1:3" x14ac:dyDescent="0.2">
      <c r="A2443" s="82"/>
      <c r="B2443" s="82"/>
      <c r="C2443" s="82"/>
    </row>
    <row r="2444" spans="1:3" x14ac:dyDescent="0.2">
      <c r="A2444" s="82"/>
      <c r="B2444" s="82"/>
      <c r="C2444" s="82"/>
    </row>
    <row r="2445" spans="1:3" x14ac:dyDescent="0.2">
      <c r="A2445" s="82"/>
      <c r="B2445" s="82"/>
      <c r="C2445" s="82"/>
    </row>
    <row r="2446" spans="1:3" x14ac:dyDescent="0.2">
      <c r="A2446" s="82"/>
      <c r="B2446" s="82"/>
      <c r="C2446" s="82"/>
    </row>
    <row r="2447" spans="1:3" x14ac:dyDescent="0.2">
      <c r="A2447" s="82"/>
      <c r="B2447" s="82"/>
      <c r="C2447" s="82"/>
    </row>
    <row r="2448" spans="1:3" x14ac:dyDescent="0.2">
      <c r="A2448" s="82"/>
      <c r="B2448" s="82"/>
      <c r="C2448" s="82"/>
    </row>
    <row r="2449" spans="1:3" x14ac:dyDescent="0.2">
      <c r="A2449" s="82"/>
      <c r="B2449" s="82"/>
      <c r="C2449" s="82"/>
    </row>
    <row r="2450" spans="1:3" x14ac:dyDescent="0.2">
      <c r="A2450" s="82"/>
      <c r="B2450" s="82"/>
      <c r="C2450" s="82"/>
    </row>
    <row r="2451" spans="1:3" x14ac:dyDescent="0.2">
      <c r="A2451" s="82"/>
      <c r="B2451" s="82"/>
      <c r="C2451" s="82"/>
    </row>
    <row r="2452" spans="1:3" x14ac:dyDescent="0.2">
      <c r="A2452" s="82"/>
      <c r="B2452" s="82"/>
      <c r="C2452" s="82"/>
    </row>
    <row r="2453" spans="1:3" x14ac:dyDescent="0.2">
      <c r="A2453" s="82"/>
      <c r="B2453" s="82"/>
      <c r="C2453" s="82"/>
    </row>
    <row r="2454" spans="1:3" x14ac:dyDescent="0.2">
      <c r="A2454" s="82"/>
      <c r="B2454" s="82"/>
      <c r="C2454" s="82"/>
    </row>
    <row r="2455" spans="1:3" x14ac:dyDescent="0.2">
      <c r="A2455" s="82"/>
      <c r="B2455" s="82"/>
      <c r="C2455" s="82"/>
    </row>
    <row r="2456" spans="1:3" x14ac:dyDescent="0.2">
      <c r="A2456" s="82"/>
      <c r="B2456" s="82"/>
      <c r="C2456" s="82"/>
    </row>
    <row r="2457" spans="1:3" x14ac:dyDescent="0.2">
      <c r="A2457" s="82"/>
      <c r="B2457" s="82"/>
      <c r="C2457" s="82"/>
    </row>
    <row r="2458" spans="1:3" x14ac:dyDescent="0.2">
      <c r="A2458" s="82"/>
      <c r="B2458" s="82"/>
      <c r="C2458" s="82"/>
    </row>
    <row r="2459" spans="1:3" x14ac:dyDescent="0.2">
      <c r="A2459" s="82"/>
      <c r="B2459" s="82"/>
      <c r="C2459" s="82"/>
    </row>
    <row r="2460" spans="1:3" x14ac:dyDescent="0.2">
      <c r="A2460" s="82"/>
      <c r="B2460" s="82"/>
      <c r="C2460" s="82"/>
    </row>
    <row r="2461" spans="1:3" x14ac:dyDescent="0.2">
      <c r="A2461" s="82"/>
      <c r="B2461" s="82"/>
      <c r="C2461" s="82"/>
    </row>
    <row r="2462" spans="1:3" x14ac:dyDescent="0.2">
      <c r="A2462" s="82"/>
      <c r="B2462" s="82"/>
      <c r="C2462" s="82"/>
    </row>
    <row r="2463" spans="1:3" x14ac:dyDescent="0.2">
      <c r="A2463" s="82"/>
      <c r="B2463" s="82"/>
      <c r="C2463" s="82"/>
    </row>
    <row r="2464" spans="1:3" x14ac:dyDescent="0.2">
      <c r="A2464" s="82"/>
      <c r="B2464" s="82"/>
      <c r="C2464" s="82"/>
    </row>
    <row r="2465" spans="1:3" x14ac:dyDescent="0.2">
      <c r="A2465" s="82"/>
      <c r="B2465" s="82"/>
      <c r="C2465" s="82"/>
    </row>
    <row r="2466" spans="1:3" x14ac:dyDescent="0.2">
      <c r="A2466" s="82"/>
      <c r="B2466" s="82"/>
      <c r="C2466" s="82"/>
    </row>
    <row r="2467" spans="1:3" x14ac:dyDescent="0.2">
      <c r="A2467" s="82"/>
      <c r="B2467" s="82"/>
      <c r="C2467" s="82"/>
    </row>
    <row r="2468" spans="1:3" x14ac:dyDescent="0.2">
      <c r="A2468" s="82"/>
      <c r="B2468" s="82"/>
      <c r="C2468" s="82"/>
    </row>
    <row r="2469" spans="1:3" x14ac:dyDescent="0.2">
      <c r="A2469" s="82"/>
      <c r="B2469" s="82"/>
      <c r="C2469" s="82"/>
    </row>
    <row r="2470" spans="1:3" x14ac:dyDescent="0.2">
      <c r="A2470" s="82"/>
      <c r="B2470" s="82"/>
      <c r="C2470" s="82"/>
    </row>
    <row r="2471" spans="1:3" x14ac:dyDescent="0.2">
      <c r="A2471" s="82"/>
      <c r="B2471" s="82"/>
      <c r="C2471" s="82"/>
    </row>
    <row r="2472" spans="1:3" x14ac:dyDescent="0.2">
      <c r="A2472" s="82"/>
      <c r="B2472" s="82"/>
      <c r="C2472" s="82"/>
    </row>
    <row r="2473" spans="1:3" x14ac:dyDescent="0.2">
      <c r="A2473" s="82"/>
      <c r="B2473" s="82"/>
      <c r="C2473" s="82"/>
    </row>
    <row r="2474" spans="1:3" x14ac:dyDescent="0.2">
      <c r="A2474" s="82"/>
      <c r="B2474" s="82"/>
      <c r="C2474" s="82"/>
    </row>
    <row r="2475" spans="1:3" x14ac:dyDescent="0.2">
      <c r="A2475" s="82"/>
      <c r="B2475" s="82"/>
      <c r="C2475" s="82"/>
    </row>
    <row r="2476" spans="1:3" x14ac:dyDescent="0.2">
      <c r="A2476" s="82"/>
      <c r="B2476" s="82"/>
      <c r="C2476" s="82"/>
    </row>
    <row r="2477" spans="1:3" x14ac:dyDescent="0.2">
      <c r="A2477" s="82"/>
      <c r="B2477" s="82"/>
      <c r="C2477" s="82"/>
    </row>
    <row r="2478" spans="1:3" x14ac:dyDescent="0.2">
      <c r="A2478" s="82"/>
      <c r="B2478" s="82"/>
      <c r="C2478" s="82"/>
    </row>
    <row r="2479" spans="1:3" x14ac:dyDescent="0.2">
      <c r="A2479" s="82"/>
      <c r="B2479" s="82"/>
      <c r="C2479" s="82"/>
    </row>
    <row r="2480" spans="1:3" x14ac:dyDescent="0.2">
      <c r="A2480" s="82"/>
      <c r="B2480" s="82"/>
      <c r="C2480" s="82"/>
    </row>
    <row r="2481" spans="1:3" x14ac:dyDescent="0.2">
      <c r="A2481" s="82"/>
      <c r="B2481" s="82"/>
      <c r="C2481" s="82"/>
    </row>
    <row r="2482" spans="1:3" x14ac:dyDescent="0.2">
      <c r="A2482" s="82"/>
      <c r="B2482" s="82"/>
      <c r="C2482" s="82"/>
    </row>
    <row r="2483" spans="1:3" x14ac:dyDescent="0.2">
      <c r="A2483" s="82"/>
      <c r="B2483" s="82"/>
      <c r="C2483" s="82"/>
    </row>
    <row r="2484" spans="1:3" x14ac:dyDescent="0.2">
      <c r="A2484" s="82"/>
      <c r="B2484" s="82"/>
      <c r="C2484" s="82"/>
    </row>
    <row r="2485" spans="1:3" x14ac:dyDescent="0.2">
      <c r="A2485" s="82"/>
      <c r="B2485" s="82"/>
      <c r="C2485" s="82"/>
    </row>
    <row r="2486" spans="1:3" x14ac:dyDescent="0.2">
      <c r="A2486" s="82"/>
      <c r="B2486" s="82"/>
      <c r="C2486" s="82"/>
    </row>
    <row r="2487" spans="1:3" x14ac:dyDescent="0.2">
      <c r="A2487" s="82"/>
      <c r="B2487" s="82"/>
      <c r="C2487" s="82"/>
    </row>
    <row r="2488" spans="1:3" x14ac:dyDescent="0.2">
      <c r="A2488" s="82"/>
      <c r="B2488" s="82"/>
      <c r="C2488" s="82"/>
    </row>
    <row r="2489" spans="1:3" x14ac:dyDescent="0.2">
      <c r="A2489" s="82"/>
      <c r="B2489" s="82"/>
      <c r="C2489" s="82"/>
    </row>
    <row r="2490" spans="1:3" x14ac:dyDescent="0.2">
      <c r="A2490" s="82"/>
      <c r="B2490" s="82"/>
      <c r="C2490" s="82"/>
    </row>
    <row r="2491" spans="1:3" x14ac:dyDescent="0.2">
      <c r="A2491" s="82"/>
      <c r="B2491" s="82"/>
      <c r="C2491" s="82"/>
    </row>
    <row r="2492" spans="1:3" x14ac:dyDescent="0.2">
      <c r="A2492" s="82"/>
      <c r="B2492" s="82"/>
      <c r="C2492" s="82"/>
    </row>
    <row r="2493" spans="1:3" x14ac:dyDescent="0.2">
      <c r="A2493" s="82"/>
      <c r="B2493" s="82"/>
      <c r="C2493" s="82"/>
    </row>
    <row r="2494" spans="1:3" x14ac:dyDescent="0.2">
      <c r="A2494" s="82"/>
      <c r="B2494" s="82"/>
      <c r="C2494" s="82"/>
    </row>
    <row r="2495" spans="1:3" x14ac:dyDescent="0.2">
      <c r="A2495" s="82"/>
      <c r="B2495" s="82"/>
      <c r="C2495" s="82"/>
    </row>
    <row r="2496" spans="1:3" x14ac:dyDescent="0.2">
      <c r="A2496" s="82"/>
      <c r="B2496" s="82"/>
      <c r="C2496" s="82"/>
    </row>
    <row r="2497" spans="1:3" x14ac:dyDescent="0.2">
      <c r="A2497" s="82"/>
      <c r="B2497" s="82"/>
      <c r="C2497" s="82"/>
    </row>
    <row r="2498" spans="1:3" x14ac:dyDescent="0.2">
      <c r="A2498" s="82"/>
      <c r="B2498" s="82"/>
      <c r="C2498" s="82"/>
    </row>
    <row r="2499" spans="1:3" x14ac:dyDescent="0.2">
      <c r="A2499" s="82"/>
      <c r="B2499" s="82"/>
      <c r="C2499" s="82"/>
    </row>
    <row r="2500" spans="1:3" x14ac:dyDescent="0.2">
      <c r="A2500" s="82"/>
      <c r="B2500" s="82"/>
      <c r="C2500" s="82"/>
    </row>
    <row r="2501" spans="1:3" x14ac:dyDescent="0.2">
      <c r="A2501" s="82"/>
      <c r="B2501" s="82"/>
      <c r="C2501" s="82"/>
    </row>
    <row r="2502" spans="1:3" x14ac:dyDescent="0.2">
      <c r="A2502" s="82"/>
      <c r="B2502" s="82"/>
      <c r="C2502" s="82"/>
    </row>
    <row r="2503" spans="1:3" x14ac:dyDescent="0.2">
      <c r="A2503" s="82"/>
      <c r="B2503" s="82"/>
      <c r="C2503" s="82"/>
    </row>
    <row r="2504" spans="1:3" x14ac:dyDescent="0.2">
      <c r="A2504" s="82"/>
      <c r="B2504" s="82"/>
      <c r="C2504" s="82"/>
    </row>
    <row r="2505" spans="1:3" x14ac:dyDescent="0.2">
      <c r="A2505" s="82"/>
      <c r="B2505" s="82"/>
      <c r="C2505" s="82"/>
    </row>
    <row r="2506" spans="1:3" x14ac:dyDescent="0.2">
      <c r="A2506" s="82"/>
      <c r="B2506" s="82"/>
      <c r="C2506" s="82"/>
    </row>
    <row r="2507" spans="1:3" x14ac:dyDescent="0.2">
      <c r="A2507" s="82"/>
      <c r="B2507" s="82"/>
      <c r="C2507" s="82"/>
    </row>
    <row r="2508" spans="1:3" x14ac:dyDescent="0.2">
      <c r="A2508" s="82"/>
      <c r="B2508" s="82"/>
      <c r="C2508" s="82"/>
    </row>
    <row r="2509" spans="1:3" x14ac:dyDescent="0.2">
      <c r="A2509" s="82"/>
      <c r="B2509" s="82"/>
      <c r="C2509" s="82"/>
    </row>
    <row r="2510" spans="1:3" x14ac:dyDescent="0.2">
      <c r="A2510" s="82"/>
      <c r="B2510" s="82"/>
      <c r="C2510" s="82"/>
    </row>
    <row r="2511" spans="1:3" x14ac:dyDescent="0.2">
      <c r="A2511" s="82"/>
      <c r="B2511" s="82"/>
      <c r="C2511" s="82"/>
    </row>
    <row r="2512" spans="1:3" x14ac:dyDescent="0.2">
      <c r="A2512" s="82"/>
      <c r="B2512" s="82"/>
      <c r="C2512" s="82"/>
    </row>
    <row r="2513" spans="1:3" x14ac:dyDescent="0.2">
      <c r="A2513" s="82"/>
      <c r="B2513" s="82"/>
      <c r="C2513" s="82"/>
    </row>
    <row r="2514" spans="1:3" x14ac:dyDescent="0.2">
      <c r="A2514" s="82"/>
      <c r="B2514" s="82"/>
      <c r="C2514" s="82"/>
    </row>
    <row r="2515" spans="1:3" x14ac:dyDescent="0.2">
      <c r="A2515" s="82"/>
      <c r="B2515" s="82"/>
      <c r="C2515" s="82"/>
    </row>
    <row r="2516" spans="1:3" x14ac:dyDescent="0.2">
      <c r="A2516" s="82"/>
      <c r="B2516" s="82"/>
      <c r="C2516" s="82"/>
    </row>
    <row r="2517" spans="1:3" x14ac:dyDescent="0.2">
      <c r="A2517" s="82"/>
      <c r="B2517" s="82"/>
      <c r="C2517" s="82"/>
    </row>
    <row r="2518" spans="1:3" x14ac:dyDescent="0.2">
      <c r="A2518" s="82"/>
      <c r="B2518" s="82"/>
      <c r="C2518" s="82"/>
    </row>
    <row r="2519" spans="1:3" x14ac:dyDescent="0.2">
      <c r="A2519" s="82"/>
      <c r="B2519" s="82"/>
      <c r="C2519" s="82"/>
    </row>
    <row r="2520" spans="1:3" x14ac:dyDescent="0.2">
      <c r="A2520" s="82"/>
      <c r="B2520" s="82"/>
      <c r="C2520" s="82"/>
    </row>
    <row r="2521" spans="1:3" x14ac:dyDescent="0.2">
      <c r="A2521" s="82"/>
      <c r="B2521" s="82"/>
      <c r="C2521" s="82"/>
    </row>
    <row r="2522" spans="1:3" x14ac:dyDescent="0.2">
      <c r="A2522" s="82"/>
      <c r="B2522" s="82"/>
      <c r="C2522" s="82"/>
    </row>
    <row r="2523" spans="1:3" x14ac:dyDescent="0.2">
      <c r="A2523" s="82"/>
      <c r="B2523" s="82"/>
      <c r="C2523" s="82"/>
    </row>
    <row r="2524" spans="1:3" x14ac:dyDescent="0.2">
      <c r="A2524" s="82"/>
      <c r="B2524" s="82"/>
      <c r="C2524" s="82"/>
    </row>
    <row r="2525" spans="1:3" x14ac:dyDescent="0.2">
      <c r="A2525" s="82"/>
      <c r="B2525" s="82"/>
      <c r="C2525" s="82"/>
    </row>
    <row r="2526" spans="1:3" x14ac:dyDescent="0.2">
      <c r="A2526" s="82"/>
      <c r="B2526" s="82"/>
      <c r="C2526" s="82"/>
    </row>
    <row r="2527" spans="1:3" x14ac:dyDescent="0.2">
      <c r="A2527" s="82"/>
      <c r="B2527" s="82"/>
      <c r="C2527" s="82"/>
    </row>
    <row r="2528" spans="1:3" x14ac:dyDescent="0.2">
      <c r="A2528" s="82"/>
      <c r="B2528" s="82"/>
      <c r="C2528" s="82"/>
    </row>
    <row r="2529" spans="1:3" x14ac:dyDescent="0.2">
      <c r="A2529" s="82"/>
      <c r="B2529" s="82"/>
      <c r="C2529" s="82"/>
    </row>
    <row r="2530" spans="1:3" x14ac:dyDescent="0.2">
      <c r="A2530" s="82"/>
      <c r="B2530" s="82"/>
      <c r="C2530" s="82"/>
    </row>
    <row r="2531" spans="1:3" x14ac:dyDescent="0.2">
      <c r="A2531" s="82"/>
      <c r="B2531" s="82"/>
      <c r="C2531" s="82"/>
    </row>
    <row r="2532" spans="1:3" x14ac:dyDescent="0.2">
      <c r="A2532" s="82"/>
      <c r="B2532" s="82"/>
      <c r="C2532" s="82"/>
    </row>
    <row r="2533" spans="1:3" x14ac:dyDescent="0.2">
      <c r="A2533" s="82"/>
      <c r="B2533" s="82"/>
      <c r="C2533" s="82"/>
    </row>
    <row r="2534" spans="1:3" x14ac:dyDescent="0.2">
      <c r="A2534" s="82"/>
      <c r="B2534" s="82"/>
      <c r="C2534" s="82"/>
    </row>
    <row r="2535" spans="1:3" x14ac:dyDescent="0.2">
      <c r="A2535" s="82"/>
      <c r="B2535" s="82"/>
      <c r="C2535" s="82"/>
    </row>
    <row r="2536" spans="1:3" x14ac:dyDescent="0.2">
      <c r="A2536" s="82"/>
      <c r="B2536" s="82"/>
      <c r="C2536" s="82"/>
    </row>
    <row r="2537" spans="1:3" x14ac:dyDescent="0.2">
      <c r="A2537" s="82"/>
      <c r="B2537" s="82"/>
      <c r="C2537" s="82"/>
    </row>
    <row r="2538" spans="1:3" x14ac:dyDescent="0.2">
      <c r="A2538" s="82"/>
      <c r="B2538" s="82"/>
      <c r="C2538" s="82"/>
    </row>
    <row r="2539" spans="1:3" x14ac:dyDescent="0.2">
      <c r="A2539" s="82"/>
      <c r="B2539" s="82"/>
      <c r="C2539" s="82"/>
    </row>
    <row r="2540" spans="1:3" x14ac:dyDescent="0.2">
      <c r="A2540" s="82"/>
      <c r="B2540" s="82"/>
      <c r="C2540" s="82"/>
    </row>
    <row r="2541" spans="1:3" x14ac:dyDescent="0.2">
      <c r="A2541" s="82"/>
      <c r="B2541" s="82"/>
      <c r="C2541" s="82"/>
    </row>
    <row r="2542" spans="1:3" x14ac:dyDescent="0.2">
      <c r="A2542" s="82"/>
      <c r="B2542" s="82"/>
      <c r="C2542" s="82"/>
    </row>
    <row r="2543" spans="1:3" x14ac:dyDescent="0.2">
      <c r="A2543" s="82"/>
      <c r="B2543" s="82"/>
      <c r="C2543" s="82"/>
    </row>
    <row r="2544" spans="1:3" x14ac:dyDescent="0.2">
      <c r="A2544" s="82"/>
      <c r="B2544" s="82"/>
      <c r="C2544" s="82"/>
    </row>
    <row r="2545" spans="1:3" x14ac:dyDescent="0.2">
      <c r="A2545" s="82"/>
      <c r="B2545" s="82"/>
      <c r="C2545" s="82"/>
    </row>
    <row r="2546" spans="1:3" x14ac:dyDescent="0.2">
      <c r="A2546" s="82"/>
      <c r="B2546" s="82"/>
      <c r="C2546" s="82"/>
    </row>
    <row r="2547" spans="1:3" x14ac:dyDescent="0.2">
      <c r="A2547" s="82"/>
      <c r="B2547" s="82"/>
      <c r="C2547" s="82"/>
    </row>
    <row r="2548" spans="1:3" x14ac:dyDescent="0.2">
      <c r="A2548" s="82"/>
      <c r="B2548" s="82"/>
      <c r="C2548" s="82"/>
    </row>
    <row r="2549" spans="1:3" x14ac:dyDescent="0.2">
      <c r="A2549" s="82"/>
      <c r="B2549" s="82"/>
      <c r="C2549" s="82"/>
    </row>
    <row r="2550" spans="1:3" x14ac:dyDescent="0.2">
      <c r="A2550" s="82"/>
      <c r="B2550" s="82"/>
      <c r="C2550" s="82"/>
    </row>
    <row r="2551" spans="1:3" x14ac:dyDescent="0.2">
      <c r="A2551" s="82"/>
      <c r="B2551" s="82"/>
      <c r="C2551" s="82"/>
    </row>
    <row r="2552" spans="1:3" x14ac:dyDescent="0.2">
      <c r="A2552" s="82"/>
      <c r="B2552" s="82"/>
      <c r="C2552" s="82"/>
    </row>
    <row r="2553" spans="1:3" x14ac:dyDescent="0.2">
      <c r="A2553" s="82"/>
      <c r="B2553" s="82"/>
      <c r="C2553" s="82"/>
    </row>
    <row r="2554" spans="1:3" x14ac:dyDescent="0.2">
      <c r="A2554" s="82"/>
      <c r="B2554" s="82"/>
      <c r="C2554" s="82"/>
    </row>
    <row r="2555" spans="1:3" x14ac:dyDescent="0.2">
      <c r="A2555" s="82"/>
      <c r="B2555" s="82"/>
      <c r="C2555" s="82"/>
    </row>
    <row r="2556" spans="1:3" x14ac:dyDescent="0.2">
      <c r="A2556" s="82"/>
      <c r="B2556" s="82"/>
      <c r="C2556" s="82"/>
    </row>
    <row r="2557" spans="1:3" x14ac:dyDescent="0.2">
      <c r="A2557" s="82"/>
      <c r="B2557" s="82"/>
      <c r="C2557" s="82"/>
    </row>
    <row r="2558" spans="1:3" x14ac:dyDescent="0.2">
      <c r="A2558" s="82"/>
      <c r="B2558" s="82"/>
      <c r="C2558" s="82"/>
    </row>
    <row r="2559" spans="1:3" x14ac:dyDescent="0.2">
      <c r="A2559" s="82"/>
      <c r="B2559" s="82"/>
      <c r="C2559" s="82"/>
    </row>
    <row r="2560" spans="1:3" x14ac:dyDescent="0.2">
      <c r="A2560" s="82"/>
      <c r="B2560" s="82"/>
      <c r="C2560" s="82"/>
    </row>
    <row r="2561" spans="1:3" x14ac:dyDescent="0.2">
      <c r="A2561" s="82"/>
      <c r="B2561" s="82"/>
      <c r="C2561" s="82"/>
    </row>
    <row r="2562" spans="1:3" x14ac:dyDescent="0.2">
      <c r="A2562" s="82"/>
      <c r="B2562" s="82"/>
      <c r="C2562" s="82"/>
    </row>
    <row r="2563" spans="1:3" x14ac:dyDescent="0.2">
      <c r="A2563" s="82"/>
      <c r="B2563" s="82"/>
      <c r="C2563" s="82"/>
    </row>
    <row r="2564" spans="1:3" x14ac:dyDescent="0.2">
      <c r="A2564" s="82"/>
      <c r="B2564" s="82"/>
      <c r="C2564" s="82"/>
    </row>
    <row r="2565" spans="1:3" x14ac:dyDescent="0.2">
      <c r="A2565" s="82"/>
      <c r="B2565" s="82"/>
      <c r="C2565" s="82"/>
    </row>
    <row r="2566" spans="1:3" x14ac:dyDescent="0.2">
      <c r="A2566" s="82"/>
      <c r="B2566" s="82"/>
      <c r="C2566" s="82"/>
    </row>
    <row r="2567" spans="1:3" x14ac:dyDescent="0.2">
      <c r="A2567" s="82"/>
      <c r="B2567" s="82"/>
      <c r="C2567" s="82"/>
    </row>
    <row r="2568" spans="1:3" x14ac:dyDescent="0.2">
      <c r="A2568" s="82"/>
      <c r="B2568" s="82"/>
      <c r="C2568" s="82"/>
    </row>
    <row r="2569" spans="1:3" x14ac:dyDescent="0.2">
      <c r="A2569" s="82"/>
      <c r="B2569" s="82"/>
      <c r="C2569" s="82"/>
    </row>
    <row r="2570" spans="1:3" x14ac:dyDescent="0.2">
      <c r="A2570" s="82"/>
      <c r="B2570" s="82"/>
      <c r="C2570" s="82"/>
    </row>
    <row r="2571" spans="1:3" x14ac:dyDescent="0.2">
      <c r="A2571" s="82"/>
      <c r="B2571" s="82"/>
      <c r="C2571" s="82"/>
    </row>
    <row r="2572" spans="1:3" x14ac:dyDescent="0.2">
      <c r="A2572" s="82"/>
      <c r="B2572" s="82"/>
      <c r="C2572" s="82"/>
    </row>
    <row r="2573" spans="1:3" x14ac:dyDescent="0.2">
      <c r="A2573" s="82"/>
      <c r="B2573" s="82"/>
      <c r="C2573" s="82"/>
    </row>
    <row r="2574" spans="1:3" x14ac:dyDescent="0.2">
      <c r="A2574" s="82"/>
      <c r="B2574" s="82"/>
      <c r="C2574" s="82"/>
    </row>
    <row r="2575" spans="1:3" x14ac:dyDescent="0.2">
      <c r="A2575" s="82"/>
      <c r="B2575" s="82"/>
      <c r="C2575" s="82"/>
    </row>
    <row r="2576" spans="1:3" x14ac:dyDescent="0.2">
      <c r="A2576" s="82"/>
      <c r="B2576" s="82"/>
      <c r="C2576" s="82"/>
    </row>
    <row r="2577" spans="1:3" x14ac:dyDescent="0.2">
      <c r="A2577" s="82"/>
      <c r="B2577" s="82"/>
      <c r="C2577" s="82"/>
    </row>
    <row r="2578" spans="1:3" x14ac:dyDescent="0.2">
      <c r="A2578" s="82"/>
      <c r="B2578" s="82"/>
      <c r="C2578" s="82"/>
    </row>
    <row r="2579" spans="1:3" x14ac:dyDescent="0.2">
      <c r="A2579" s="82"/>
      <c r="B2579" s="82"/>
      <c r="C2579" s="82"/>
    </row>
    <row r="2580" spans="1:3" x14ac:dyDescent="0.2">
      <c r="A2580" s="82"/>
      <c r="B2580" s="82"/>
      <c r="C2580" s="82"/>
    </row>
    <row r="2581" spans="1:3" x14ac:dyDescent="0.2">
      <c r="A2581" s="82"/>
      <c r="B2581" s="82"/>
      <c r="C2581" s="82"/>
    </row>
    <row r="2582" spans="1:3" x14ac:dyDescent="0.2">
      <c r="A2582" s="82"/>
      <c r="B2582" s="82"/>
      <c r="C2582" s="82"/>
    </row>
    <row r="2583" spans="1:3" x14ac:dyDescent="0.2">
      <c r="A2583" s="82"/>
      <c r="B2583" s="82"/>
      <c r="C2583" s="82"/>
    </row>
    <row r="2584" spans="1:3" x14ac:dyDescent="0.2">
      <c r="A2584" s="82"/>
      <c r="B2584" s="82"/>
      <c r="C2584" s="82"/>
    </row>
    <row r="2585" spans="1:3" x14ac:dyDescent="0.2">
      <c r="A2585" s="82"/>
      <c r="B2585" s="82"/>
      <c r="C2585" s="82"/>
    </row>
    <row r="2586" spans="1:3" x14ac:dyDescent="0.2">
      <c r="A2586" s="82"/>
      <c r="B2586" s="82"/>
      <c r="C2586" s="82"/>
    </row>
    <row r="2587" spans="1:3" x14ac:dyDescent="0.2">
      <c r="A2587" s="82"/>
      <c r="B2587" s="82"/>
      <c r="C2587" s="82"/>
    </row>
    <row r="2588" spans="1:3" x14ac:dyDescent="0.2">
      <c r="A2588" s="82"/>
      <c r="B2588" s="82"/>
      <c r="C2588" s="82"/>
    </row>
    <row r="2589" spans="1:3" x14ac:dyDescent="0.2">
      <c r="A2589" s="82"/>
      <c r="B2589" s="82"/>
      <c r="C2589" s="82"/>
    </row>
    <row r="2590" spans="1:3" x14ac:dyDescent="0.2">
      <c r="A2590" s="82"/>
      <c r="B2590" s="82"/>
      <c r="C2590" s="82"/>
    </row>
    <row r="2591" spans="1:3" x14ac:dyDescent="0.2">
      <c r="A2591" s="82"/>
      <c r="B2591" s="82"/>
      <c r="C2591" s="82"/>
    </row>
    <row r="2592" spans="1:3" x14ac:dyDescent="0.2">
      <c r="A2592" s="82"/>
      <c r="B2592" s="82"/>
      <c r="C2592" s="82"/>
    </row>
    <row r="2593" spans="1:3" x14ac:dyDescent="0.2">
      <c r="A2593" s="82"/>
      <c r="B2593" s="82"/>
      <c r="C2593" s="82"/>
    </row>
    <row r="2594" spans="1:3" x14ac:dyDescent="0.2">
      <c r="A2594" s="82"/>
      <c r="B2594" s="82"/>
      <c r="C2594" s="82"/>
    </row>
    <row r="2595" spans="1:3" x14ac:dyDescent="0.2">
      <c r="A2595" s="82"/>
      <c r="B2595" s="82"/>
      <c r="C2595" s="82"/>
    </row>
    <row r="2596" spans="1:3" x14ac:dyDescent="0.2">
      <c r="A2596" s="82"/>
      <c r="B2596" s="82"/>
      <c r="C2596" s="82"/>
    </row>
    <row r="2597" spans="1:3" x14ac:dyDescent="0.2">
      <c r="A2597" s="82"/>
      <c r="B2597" s="82"/>
      <c r="C2597" s="82"/>
    </row>
    <row r="2598" spans="1:3" x14ac:dyDescent="0.2">
      <c r="A2598" s="82"/>
      <c r="B2598" s="82"/>
      <c r="C2598" s="82"/>
    </row>
    <row r="2599" spans="1:3" x14ac:dyDescent="0.2">
      <c r="A2599" s="82"/>
      <c r="B2599" s="82"/>
      <c r="C2599" s="82"/>
    </row>
    <row r="2600" spans="1:3" x14ac:dyDescent="0.2">
      <c r="A2600" s="82"/>
      <c r="B2600" s="82"/>
      <c r="C2600" s="82"/>
    </row>
    <row r="2601" spans="1:3" x14ac:dyDescent="0.2">
      <c r="A2601" s="82"/>
      <c r="B2601" s="82"/>
      <c r="C2601" s="82"/>
    </row>
    <row r="2602" spans="1:3" x14ac:dyDescent="0.2">
      <c r="A2602" s="82"/>
      <c r="B2602" s="82"/>
      <c r="C2602" s="82"/>
    </row>
    <row r="2603" spans="1:3" x14ac:dyDescent="0.2">
      <c r="A2603" s="82"/>
      <c r="B2603" s="82"/>
      <c r="C2603" s="82"/>
    </row>
    <row r="2604" spans="1:3" x14ac:dyDescent="0.2">
      <c r="A2604" s="82"/>
      <c r="B2604" s="82"/>
      <c r="C2604" s="82"/>
    </row>
    <row r="2605" spans="1:3" x14ac:dyDescent="0.2">
      <c r="A2605" s="82"/>
      <c r="B2605" s="82"/>
      <c r="C2605" s="82"/>
    </row>
    <row r="2606" spans="1:3" x14ac:dyDescent="0.2">
      <c r="A2606" s="82"/>
      <c r="B2606" s="82"/>
      <c r="C2606" s="82"/>
    </row>
    <row r="2607" spans="1:3" x14ac:dyDescent="0.2">
      <c r="A2607" s="82"/>
      <c r="B2607" s="82"/>
      <c r="C2607" s="82"/>
    </row>
    <row r="2608" spans="1:3" x14ac:dyDescent="0.2">
      <c r="A2608" s="82"/>
      <c r="B2608" s="82"/>
      <c r="C2608" s="82"/>
    </row>
    <row r="2609" spans="1:3" x14ac:dyDescent="0.2">
      <c r="A2609" s="82"/>
      <c r="B2609" s="82"/>
      <c r="C2609" s="82"/>
    </row>
    <row r="2610" spans="1:3" x14ac:dyDescent="0.2">
      <c r="A2610" s="82"/>
      <c r="B2610" s="82"/>
      <c r="C2610" s="82"/>
    </row>
    <row r="2611" spans="1:3" x14ac:dyDescent="0.2">
      <c r="A2611" s="82"/>
      <c r="B2611" s="82"/>
      <c r="C2611" s="82"/>
    </row>
    <row r="2612" spans="1:3" x14ac:dyDescent="0.2">
      <c r="A2612" s="82"/>
      <c r="B2612" s="82"/>
      <c r="C2612" s="82"/>
    </row>
    <row r="2613" spans="1:3" x14ac:dyDescent="0.2">
      <c r="A2613" s="82"/>
      <c r="B2613" s="82"/>
      <c r="C2613" s="82"/>
    </row>
    <row r="2614" spans="1:3" x14ac:dyDescent="0.2">
      <c r="A2614" s="82"/>
      <c r="B2614" s="82"/>
      <c r="C2614" s="82"/>
    </row>
    <row r="2615" spans="1:3" x14ac:dyDescent="0.2">
      <c r="A2615" s="82"/>
      <c r="B2615" s="82"/>
      <c r="C2615" s="82"/>
    </row>
    <row r="2616" spans="1:3" x14ac:dyDescent="0.2">
      <c r="A2616" s="82"/>
      <c r="B2616" s="82"/>
      <c r="C2616" s="82"/>
    </row>
    <row r="2617" spans="1:3" x14ac:dyDescent="0.2">
      <c r="A2617" s="82"/>
      <c r="B2617" s="82"/>
      <c r="C2617" s="82"/>
    </row>
    <row r="2618" spans="1:3" x14ac:dyDescent="0.2">
      <c r="A2618" s="82"/>
      <c r="B2618" s="82"/>
      <c r="C2618" s="82"/>
    </row>
    <row r="2619" spans="1:3" x14ac:dyDescent="0.2">
      <c r="A2619" s="82"/>
      <c r="B2619" s="82"/>
      <c r="C2619" s="82"/>
    </row>
    <row r="2620" spans="1:3" x14ac:dyDescent="0.2">
      <c r="A2620" s="82"/>
      <c r="B2620" s="82"/>
      <c r="C2620" s="82"/>
    </row>
    <row r="2621" spans="1:3" x14ac:dyDescent="0.2">
      <c r="A2621" s="82"/>
      <c r="B2621" s="82"/>
      <c r="C2621" s="82"/>
    </row>
    <row r="2622" spans="1:3" x14ac:dyDescent="0.2">
      <c r="A2622" s="82"/>
      <c r="B2622" s="82"/>
      <c r="C2622" s="82"/>
    </row>
    <row r="2623" spans="1:3" x14ac:dyDescent="0.2">
      <c r="A2623" s="82"/>
      <c r="B2623" s="82"/>
      <c r="C2623" s="82"/>
    </row>
    <row r="2624" spans="1:3" x14ac:dyDescent="0.2">
      <c r="A2624" s="82"/>
      <c r="B2624" s="82"/>
      <c r="C2624" s="82"/>
    </row>
    <row r="2625" spans="1:3" x14ac:dyDescent="0.2">
      <c r="A2625" s="82"/>
      <c r="B2625" s="82"/>
      <c r="C2625" s="82"/>
    </row>
    <row r="2626" spans="1:3" x14ac:dyDescent="0.2">
      <c r="A2626" s="82"/>
      <c r="B2626" s="82"/>
      <c r="C2626" s="82"/>
    </row>
    <row r="2627" spans="1:3" x14ac:dyDescent="0.2">
      <c r="A2627" s="82"/>
      <c r="B2627" s="82"/>
      <c r="C2627" s="82"/>
    </row>
    <row r="2628" spans="1:3" x14ac:dyDescent="0.2">
      <c r="A2628" s="82"/>
      <c r="B2628" s="82"/>
      <c r="C2628" s="82"/>
    </row>
    <row r="2629" spans="1:3" x14ac:dyDescent="0.2">
      <c r="A2629" s="82"/>
      <c r="B2629" s="82"/>
      <c r="C2629" s="82"/>
    </row>
    <row r="2630" spans="1:3" x14ac:dyDescent="0.2">
      <c r="A2630" s="82"/>
      <c r="B2630" s="82"/>
      <c r="C2630" s="82"/>
    </row>
    <row r="2631" spans="1:3" x14ac:dyDescent="0.2">
      <c r="A2631" s="82"/>
      <c r="B2631" s="82"/>
      <c r="C2631" s="82"/>
    </row>
    <row r="2632" spans="1:3" x14ac:dyDescent="0.2">
      <c r="A2632" s="82"/>
      <c r="B2632" s="82"/>
      <c r="C2632" s="82"/>
    </row>
    <row r="2633" spans="1:3" x14ac:dyDescent="0.2">
      <c r="A2633" s="82"/>
      <c r="B2633" s="82"/>
      <c r="C2633" s="82"/>
    </row>
    <row r="2634" spans="1:3" x14ac:dyDescent="0.2">
      <c r="A2634" s="82"/>
      <c r="B2634" s="82"/>
      <c r="C2634" s="82"/>
    </row>
    <row r="2635" spans="1:3" x14ac:dyDescent="0.2">
      <c r="A2635" s="82"/>
      <c r="B2635" s="82"/>
      <c r="C2635" s="82"/>
    </row>
    <row r="2636" spans="1:3" x14ac:dyDescent="0.2">
      <c r="A2636" s="82"/>
      <c r="B2636" s="82"/>
      <c r="C2636" s="82"/>
    </row>
    <row r="2637" spans="1:3" x14ac:dyDescent="0.2">
      <c r="A2637" s="82"/>
      <c r="B2637" s="82"/>
      <c r="C2637" s="82"/>
    </row>
    <row r="2638" spans="1:3" x14ac:dyDescent="0.2">
      <c r="A2638" s="82"/>
      <c r="B2638" s="82"/>
      <c r="C2638" s="82"/>
    </row>
    <row r="2639" spans="1:3" x14ac:dyDescent="0.2">
      <c r="A2639" s="82"/>
      <c r="B2639" s="82"/>
      <c r="C2639" s="82"/>
    </row>
    <row r="2640" spans="1:3" x14ac:dyDescent="0.2">
      <c r="A2640" s="82"/>
      <c r="B2640" s="82"/>
      <c r="C2640" s="82"/>
    </row>
    <row r="2641" spans="1:3" x14ac:dyDescent="0.2">
      <c r="A2641" s="82"/>
      <c r="B2641" s="82"/>
      <c r="C2641" s="82"/>
    </row>
    <row r="2642" spans="1:3" x14ac:dyDescent="0.2">
      <c r="A2642" s="82"/>
      <c r="B2642" s="82"/>
      <c r="C2642" s="82"/>
    </row>
    <row r="2643" spans="1:3" x14ac:dyDescent="0.2">
      <c r="A2643" s="82"/>
      <c r="B2643" s="82"/>
      <c r="C2643" s="82"/>
    </row>
    <row r="2644" spans="1:3" x14ac:dyDescent="0.2">
      <c r="A2644" s="82"/>
      <c r="B2644" s="82"/>
      <c r="C2644" s="82"/>
    </row>
    <row r="2645" spans="1:3" x14ac:dyDescent="0.2">
      <c r="A2645" s="82"/>
      <c r="B2645" s="82"/>
      <c r="C2645" s="82"/>
    </row>
    <row r="2646" spans="1:3" x14ac:dyDescent="0.2">
      <c r="A2646" s="82"/>
      <c r="B2646" s="82"/>
      <c r="C2646" s="82"/>
    </row>
    <row r="2647" spans="1:3" x14ac:dyDescent="0.2">
      <c r="A2647" s="82"/>
      <c r="B2647" s="82"/>
      <c r="C2647" s="82"/>
    </row>
    <row r="2648" spans="1:3" x14ac:dyDescent="0.2">
      <c r="A2648" s="82"/>
      <c r="B2648" s="82"/>
      <c r="C2648" s="82"/>
    </row>
    <row r="2649" spans="1:3" x14ac:dyDescent="0.2">
      <c r="A2649" s="82"/>
      <c r="B2649" s="82"/>
      <c r="C2649" s="82"/>
    </row>
    <row r="2650" spans="1:3" x14ac:dyDescent="0.2">
      <c r="A2650" s="82"/>
      <c r="B2650" s="82"/>
      <c r="C2650" s="82"/>
    </row>
    <row r="2651" spans="1:3" x14ac:dyDescent="0.2">
      <c r="A2651" s="82"/>
      <c r="B2651" s="82"/>
      <c r="C2651" s="82"/>
    </row>
    <row r="2652" spans="1:3" x14ac:dyDescent="0.2">
      <c r="A2652" s="82"/>
      <c r="B2652" s="82"/>
      <c r="C2652" s="82"/>
    </row>
    <row r="2653" spans="1:3" x14ac:dyDescent="0.2">
      <c r="A2653" s="82"/>
      <c r="B2653" s="82"/>
      <c r="C2653" s="82"/>
    </row>
    <row r="2654" spans="1:3" x14ac:dyDescent="0.2">
      <c r="A2654" s="82"/>
      <c r="B2654" s="82"/>
      <c r="C2654" s="82"/>
    </row>
    <row r="2655" spans="1:3" x14ac:dyDescent="0.2">
      <c r="A2655" s="82"/>
      <c r="B2655" s="82"/>
      <c r="C2655" s="82"/>
    </row>
    <row r="2656" spans="1:3" x14ac:dyDescent="0.2">
      <c r="A2656" s="82"/>
      <c r="B2656" s="82"/>
      <c r="C2656" s="82"/>
    </row>
    <row r="2657" spans="1:3" x14ac:dyDescent="0.2">
      <c r="A2657" s="82"/>
      <c r="B2657" s="82"/>
      <c r="C2657" s="82"/>
    </row>
    <row r="2658" spans="1:3" x14ac:dyDescent="0.2">
      <c r="A2658" s="82"/>
      <c r="B2658" s="82"/>
      <c r="C2658" s="82"/>
    </row>
    <row r="2659" spans="1:3" x14ac:dyDescent="0.2">
      <c r="A2659" s="82"/>
      <c r="B2659" s="82"/>
      <c r="C2659" s="82"/>
    </row>
    <row r="2660" spans="1:3" x14ac:dyDescent="0.2">
      <c r="A2660" s="82"/>
      <c r="B2660" s="82"/>
      <c r="C2660" s="82"/>
    </row>
    <row r="2661" spans="1:3" x14ac:dyDescent="0.2">
      <c r="A2661" s="82"/>
      <c r="B2661" s="82"/>
      <c r="C2661" s="82"/>
    </row>
    <row r="2662" spans="1:3" x14ac:dyDescent="0.2">
      <c r="A2662" s="82"/>
      <c r="B2662" s="82"/>
      <c r="C2662" s="82"/>
    </row>
    <row r="2663" spans="1:3" x14ac:dyDescent="0.2">
      <c r="A2663" s="82"/>
      <c r="B2663" s="82"/>
      <c r="C2663" s="82"/>
    </row>
    <row r="2664" spans="1:3" x14ac:dyDescent="0.2">
      <c r="A2664" s="82"/>
      <c r="B2664" s="82"/>
      <c r="C2664" s="82"/>
    </row>
    <row r="2665" spans="1:3" x14ac:dyDescent="0.2">
      <c r="A2665" s="82"/>
      <c r="B2665" s="82"/>
      <c r="C2665" s="82"/>
    </row>
    <row r="2666" spans="1:3" x14ac:dyDescent="0.2">
      <c r="A2666" s="82"/>
      <c r="B2666" s="82"/>
      <c r="C2666" s="82"/>
    </row>
    <row r="2667" spans="1:3" x14ac:dyDescent="0.2">
      <c r="A2667" s="82"/>
      <c r="B2667" s="82"/>
      <c r="C2667" s="82"/>
    </row>
    <row r="2668" spans="1:3" x14ac:dyDescent="0.2">
      <c r="A2668" s="82"/>
      <c r="B2668" s="82"/>
      <c r="C2668" s="82"/>
    </row>
    <row r="2669" spans="1:3" x14ac:dyDescent="0.2">
      <c r="A2669" s="82"/>
      <c r="B2669" s="82"/>
      <c r="C2669" s="82"/>
    </row>
    <row r="2670" spans="1:3" x14ac:dyDescent="0.2">
      <c r="A2670" s="82"/>
      <c r="B2670" s="82"/>
      <c r="C2670" s="82"/>
    </row>
    <row r="2671" spans="1:3" x14ac:dyDescent="0.2">
      <c r="A2671" s="82"/>
      <c r="B2671" s="82"/>
      <c r="C2671" s="82"/>
    </row>
    <row r="2672" spans="1:3" x14ac:dyDescent="0.2">
      <c r="A2672" s="82"/>
      <c r="B2672" s="82"/>
      <c r="C2672" s="82"/>
    </row>
    <row r="2673" spans="1:3" x14ac:dyDescent="0.2">
      <c r="A2673" s="82"/>
      <c r="B2673" s="82"/>
      <c r="C2673" s="82"/>
    </row>
    <row r="2674" spans="1:3" x14ac:dyDescent="0.2">
      <c r="A2674" s="82"/>
      <c r="B2674" s="82"/>
      <c r="C2674" s="82"/>
    </row>
    <row r="2675" spans="1:3" x14ac:dyDescent="0.2">
      <c r="A2675" s="82"/>
      <c r="B2675" s="82"/>
      <c r="C2675" s="82"/>
    </row>
    <row r="2676" spans="1:3" x14ac:dyDescent="0.2">
      <c r="A2676" s="82"/>
      <c r="B2676" s="82"/>
      <c r="C2676" s="82"/>
    </row>
    <row r="2677" spans="1:3" x14ac:dyDescent="0.2">
      <c r="A2677" s="82"/>
      <c r="B2677" s="82"/>
      <c r="C2677" s="82"/>
    </row>
    <row r="2678" spans="1:3" x14ac:dyDescent="0.2">
      <c r="A2678" s="82"/>
      <c r="B2678" s="82"/>
      <c r="C2678" s="82"/>
    </row>
    <row r="2679" spans="1:3" x14ac:dyDescent="0.2">
      <c r="A2679" s="82"/>
      <c r="B2679" s="82"/>
      <c r="C2679" s="82"/>
    </row>
    <row r="2680" spans="1:3" x14ac:dyDescent="0.2">
      <c r="A2680" s="82"/>
      <c r="B2680" s="82"/>
      <c r="C2680" s="82"/>
    </row>
    <row r="2681" spans="1:3" x14ac:dyDescent="0.2">
      <c r="A2681" s="82"/>
      <c r="B2681" s="82"/>
      <c r="C2681" s="82"/>
    </row>
    <row r="2682" spans="1:3" x14ac:dyDescent="0.2">
      <c r="A2682" s="82"/>
      <c r="B2682" s="82"/>
      <c r="C2682" s="82"/>
    </row>
    <row r="2683" spans="1:3" x14ac:dyDescent="0.2">
      <c r="A2683" s="82"/>
      <c r="B2683" s="82"/>
      <c r="C2683" s="82"/>
    </row>
    <row r="2684" spans="1:3" x14ac:dyDescent="0.2">
      <c r="A2684" s="82"/>
      <c r="B2684" s="82"/>
      <c r="C2684" s="82"/>
    </row>
    <row r="2685" spans="1:3" x14ac:dyDescent="0.2">
      <c r="A2685" s="82"/>
      <c r="B2685" s="82"/>
      <c r="C2685" s="82"/>
    </row>
    <row r="2686" spans="1:3" x14ac:dyDescent="0.2">
      <c r="A2686" s="82"/>
      <c r="B2686" s="82"/>
      <c r="C2686" s="82"/>
    </row>
    <row r="2687" spans="1:3" x14ac:dyDescent="0.2">
      <c r="A2687" s="82"/>
      <c r="B2687" s="82"/>
      <c r="C2687" s="82"/>
    </row>
    <row r="2688" spans="1:3" x14ac:dyDescent="0.2">
      <c r="A2688" s="82"/>
      <c r="B2688" s="82"/>
      <c r="C2688" s="82"/>
    </row>
    <row r="2689" spans="1:3" x14ac:dyDescent="0.2">
      <c r="A2689" s="82"/>
      <c r="B2689" s="82"/>
      <c r="C2689" s="82"/>
    </row>
    <row r="2690" spans="1:3" x14ac:dyDescent="0.2">
      <c r="A2690" s="82"/>
      <c r="B2690" s="82"/>
      <c r="C2690" s="82"/>
    </row>
    <row r="2691" spans="1:3" x14ac:dyDescent="0.2">
      <c r="A2691" s="82"/>
      <c r="B2691" s="82"/>
      <c r="C2691" s="82"/>
    </row>
    <row r="2692" spans="1:3" x14ac:dyDescent="0.2">
      <c r="A2692" s="82"/>
      <c r="B2692" s="82"/>
      <c r="C2692" s="82"/>
    </row>
    <row r="2693" spans="1:3" x14ac:dyDescent="0.2">
      <c r="A2693" s="82"/>
      <c r="B2693" s="82"/>
      <c r="C2693" s="82"/>
    </row>
    <row r="2694" spans="1:3" x14ac:dyDescent="0.2">
      <c r="A2694" s="82"/>
      <c r="B2694" s="82"/>
      <c r="C2694" s="82"/>
    </row>
    <row r="2695" spans="1:3" x14ac:dyDescent="0.2">
      <c r="A2695" s="82"/>
      <c r="B2695" s="82"/>
      <c r="C2695" s="82"/>
    </row>
    <row r="2696" spans="1:3" x14ac:dyDescent="0.2">
      <c r="A2696" s="82"/>
      <c r="B2696" s="82"/>
      <c r="C2696" s="82"/>
    </row>
    <row r="2697" spans="1:3" x14ac:dyDescent="0.2">
      <c r="A2697" s="82"/>
      <c r="B2697" s="82"/>
      <c r="C2697" s="82"/>
    </row>
    <row r="2698" spans="1:3" x14ac:dyDescent="0.2">
      <c r="A2698" s="82"/>
      <c r="B2698" s="82"/>
      <c r="C2698" s="82"/>
    </row>
    <row r="2699" spans="1:3" x14ac:dyDescent="0.2">
      <c r="A2699" s="82"/>
      <c r="B2699" s="82"/>
      <c r="C2699" s="82"/>
    </row>
    <row r="2700" spans="1:3" x14ac:dyDescent="0.2">
      <c r="A2700" s="82"/>
      <c r="B2700" s="82"/>
      <c r="C2700" s="82"/>
    </row>
    <row r="2701" spans="1:3" x14ac:dyDescent="0.2">
      <c r="A2701" s="82"/>
      <c r="B2701" s="82"/>
      <c r="C2701" s="82"/>
    </row>
    <row r="2702" spans="1:3" x14ac:dyDescent="0.2">
      <c r="A2702" s="82"/>
      <c r="B2702" s="82"/>
      <c r="C2702" s="82"/>
    </row>
    <row r="2703" spans="1:3" x14ac:dyDescent="0.2">
      <c r="A2703" s="82"/>
      <c r="B2703" s="82"/>
      <c r="C2703" s="82"/>
    </row>
    <row r="2704" spans="1:3" x14ac:dyDescent="0.2">
      <c r="A2704" s="82"/>
      <c r="B2704" s="82"/>
      <c r="C2704" s="82"/>
    </row>
    <row r="2705" spans="1:3" x14ac:dyDescent="0.2">
      <c r="A2705" s="82"/>
      <c r="B2705" s="82"/>
      <c r="C2705" s="82"/>
    </row>
    <row r="2706" spans="1:3" x14ac:dyDescent="0.2">
      <c r="A2706" s="82"/>
      <c r="B2706" s="82"/>
      <c r="C2706" s="82"/>
    </row>
    <row r="2707" spans="1:3" x14ac:dyDescent="0.2">
      <c r="A2707" s="82"/>
      <c r="B2707" s="82"/>
      <c r="C2707" s="82"/>
    </row>
    <row r="2708" spans="1:3" x14ac:dyDescent="0.2">
      <c r="A2708" s="82"/>
      <c r="B2708" s="82"/>
      <c r="C2708" s="82"/>
    </row>
    <row r="2709" spans="1:3" x14ac:dyDescent="0.2">
      <c r="A2709" s="82"/>
      <c r="B2709" s="82"/>
      <c r="C2709" s="82"/>
    </row>
    <row r="2710" spans="1:3" x14ac:dyDescent="0.2">
      <c r="A2710" s="82"/>
      <c r="B2710" s="82"/>
      <c r="C2710" s="82"/>
    </row>
    <row r="2711" spans="1:3" x14ac:dyDescent="0.2">
      <c r="A2711" s="82"/>
      <c r="B2711" s="82"/>
      <c r="C2711" s="82"/>
    </row>
    <row r="2712" spans="1:3" x14ac:dyDescent="0.2">
      <c r="A2712" s="82"/>
      <c r="B2712" s="82"/>
      <c r="C2712" s="82"/>
    </row>
    <row r="2713" spans="1:3" x14ac:dyDescent="0.2">
      <c r="A2713" s="82"/>
      <c r="B2713" s="82"/>
      <c r="C2713" s="82"/>
    </row>
    <row r="2714" spans="1:3" x14ac:dyDescent="0.2">
      <c r="A2714" s="82"/>
      <c r="B2714" s="82"/>
      <c r="C2714" s="82"/>
    </row>
    <row r="2715" spans="1:3" x14ac:dyDescent="0.2">
      <c r="A2715" s="82"/>
      <c r="B2715" s="82"/>
      <c r="C2715" s="82"/>
    </row>
    <row r="2716" spans="1:3" x14ac:dyDescent="0.2">
      <c r="A2716" s="82"/>
      <c r="B2716" s="82"/>
      <c r="C2716" s="82"/>
    </row>
    <row r="2717" spans="1:3" x14ac:dyDescent="0.2">
      <c r="A2717" s="82"/>
      <c r="B2717" s="82"/>
      <c r="C2717" s="82"/>
    </row>
    <row r="2718" spans="1:3" x14ac:dyDescent="0.2">
      <c r="A2718" s="82"/>
      <c r="B2718" s="82"/>
      <c r="C2718" s="82"/>
    </row>
    <row r="2719" spans="1:3" x14ac:dyDescent="0.2">
      <c r="A2719" s="82"/>
      <c r="B2719" s="82"/>
      <c r="C2719" s="82"/>
    </row>
    <row r="2720" spans="1:3" x14ac:dyDescent="0.2">
      <c r="A2720" s="82"/>
      <c r="B2720" s="82"/>
      <c r="C2720" s="82"/>
    </row>
    <row r="2721" spans="1:3" x14ac:dyDescent="0.2">
      <c r="A2721" s="82"/>
      <c r="B2721" s="82"/>
      <c r="C2721" s="82"/>
    </row>
    <row r="2722" spans="1:3" x14ac:dyDescent="0.2">
      <c r="A2722" s="82"/>
      <c r="B2722" s="82"/>
      <c r="C2722" s="82"/>
    </row>
    <row r="2723" spans="1:3" x14ac:dyDescent="0.2">
      <c r="A2723" s="82"/>
      <c r="B2723" s="82"/>
      <c r="C2723" s="82"/>
    </row>
    <row r="2724" spans="1:3" x14ac:dyDescent="0.2">
      <c r="A2724" s="82"/>
      <c r="B2724" s="82"/>
      <c r="C2724" s="82"/>
    </row>
    <row r="2725" spans="1:3" x14ac:dyDescent="0.2">
      <c r="A2725" s="82"/>
      <c r="B2725" s="82"/>
      <c r="C2725" s="82"/>
    </row>
    <row r="2726" spans="1:3" x14ac:dyDescent="0.2">
      <c r="A2726" s="82"/>
      <c r="B2726" s="82"/>
      <c r="C2726" s="82"/>
    </row>
    <row r="2727" spans="1:3" x14ac:dyDescent="0.2">
      <c r="A2727" s="82"/>
      <c r="B2727" s="82"/>
      <c r="C2727" s="82"/>
    </row>
    <row r="2728" spans="1:3" x14ac:dyDescent="0.2">
      <c r="A2728" s="82"/>
      <c r="B2728" s="82"/>
      <c r="C2728" s="82"/>
    </row>
    <row r="2729" spans="1:3" x14ac:dyDescent="0.2">
      <c r="A2729" s="82"/>
      <c r="B2729" s="82"/>
      <c r="C2729" s="82"/>
    </row>
    <row r="2730" spans="1:3" x14ac:dyDescent="0.2">
      <c r="A2730" s="82"/>
      <c r="B2730" s="82"/>
      <c r="C2730" s="82"/>
    </row>
    <row r="2731" spans="1:3" x14ac:dyDescent="0.2">
      <c r="A2731" s="82"/>
      <c r="B2731" s="82"/>
      <c r="C2731" s="82"/>
    </row>
    <row r="2732" spans="1:3" x14ac:dyDescent="0.2">
      <c r="A2732" s="82"/>
      <c r="B2732" s="82"/>
      <c r="C2732" s="82"/>
    </row>
    <row r="2733" spans="1:3" x14ac:dyDescent="0.2">
      <c r="A2733" s="82"/>
      <c r="B2733" s="82"/>
      <c r="C2733" s="82"/>
    </row>
    <row r="2734" spans="1:3" x14ac:dyDescent="0.2">
      <c r="A2734" s="82"/>
      <c r="B2734" s="82"/>
      <c r="C2734" s="82"/>
    </row>
    <row r="2735" spans="1:3" x14ac:dyDescent="0.2">
      <c r="A2735" s="82"/>
      <c r="B2735" s="82"/>
      <c r="C2735" s="82"/>
    </row>
    <row r="2736" spans="1:3" x14ac:dyDescent="0.2">
      <c r="A2736" s="82"/>
      <c r="B2736" s="82"/>
      <c r="C2736" s="82"/>
    </row>
    <row r="2737" spans="1:3" x14ac:dyDescent="0.2">
      <c r="A2737" s="82"/>
      <c r="B2737" s="82"/>
      <c r="C2737" s="82"/>
    </row>
    <row r="2738" spans="1:3" x14ac:dyDescent="0.2">
      <c r="A2738" s="82"/>
      <c r="B2738" s="82"/>
      <c r="C2738" s="82"/>
    </row>
    <row r="2739" spans="1:3" x14ac:dyDescent="0.2">
      <c r="A2739" s="82"/>
      <c r="B2739" s="82"/>
      <c r="C2739" s="82"/>
    </row>
    <row r="2740" spans="1:3" x14ac:dyDescent="0.2">
      <c r="A2740" s="82"/>
      <c r="B2740" s="82"/>
      <c r="C2740" s="82"/>
    </row>
    <row r="2741" spans="1:3" x14ac:dyDescent="0.2">
      <c r="A2741" s="82"/>
      <c r="B2741" s="82"/>
      <c r="C2741" s="82"/>
    </row>
    <row r="2742" spans="1:3" x14ac:dyDescent="0.2">
      <c r="A2742" s="82"/>
      <c r="B2742" s="82"/>
      <c r="C2742" s="82"/>
    </row>
    <row r="2743" spans="1:3" x14ac:dyDescent="0.2">
      <c r="A2743" s="82"/>
      <c r="B2743" s="82"/>
      <c r="C2743" s="82"/>
    </row>
    <row r="2744" spans="1:3" x14ac:dyDescent="0.2">
      <c r="A2744" s="82"/>
      <c r="B2744" s="82"/>
      <c r="C2744" s="82"/>
    </row>
    <row r="2745" spans="1:3" x14ac:dyDescent="0.2">
      <c r="A2745" s="82"/>
      <c r="B2745" s="82"/>
      <c r="C2745" s="82"/>
    </row>
    <row r="2746" spans="1:3" x14ac:dyDescent="0.2">
      <c r="A2746" s="82"/>
      <c r="B2746" s="82"/>
      <c r="C2746" s="82"/>
    </row>
    <row r="2747" spans="1:3" x14ac:dyDescent="0.2">
      <c r="A2747" s="82"/>
      <c r="B2747" s="82"/>
      <c r="C2747" s="82"/>
    </row>
    <row r="2748" spans="1:3" x14ac:dyDescent="0.2">
      <c r="A2748" s="82"/>
      <c r="B2748" s="82"/>
      <c r="C2748" s="82"/>
    </row>
    <row r="2749" spans="1:3" x14ac:dyDescent="0.2">
      <c r="A2749" s="82"/>
      <c r="B2749" s="82"/>
      <c r="C2749" s="82"/>
    </row>
    <row r="2750" spans="1:3" x14ac:dyDescent="0.2">
      <c r="A2750" s="82"/>
      <c r="B2750" s="82"/>
      <c r="C2750" s="82"/>
    </row>
    <row r="2751" spans="1:3" x14ac:dyDescent="0.2">
      <c r="A2751" s="82"/>
      <c r="B2751" s="82"/>
      <c r="C2751" s="82"/>
    </row>
    <row r="2752" spans="1:3" x14ac:dyDescent="0.2">
      <c r="A2752" s="82"/>
      <c r="B2752" s="82"/>
      <c r="C2752" s="82"/>
    </row>
    <row r="2753" spans="1:3" x14ac:dyDescent="0.2">
      <c r="A2753" s="82"/>
      <c r="B2753" s="82"/>
      <c r="C2753" s="82"/>
    </row>
    <row r="2754" spans="1:3" x14ac:dyDescent="0.2">
      <c r="A2754" s="82"/>
      <c r="B2754" s="82"/>
      <c r="C2754" s="82"/>
    </row>
    <row r="2755" spans="1:3" x14ac:dyDescent="0.2">
      <c r="A2755" s="82"/>
      <c r="B2755" s="82"/>
      <c r="C2755" s="82"/>
    </row>
    <row r="2756" spans="1:3" x14ac:dyDescent="0.2">
      <c r="A2756" s="82"/>
      <c r="B2756" s="82"/>
      <c r="C2756" s="82"/>
    </row>
    <row r="2757" spans="1:3" x14ac:dyDescent="0.2">
      <c r="A2757" s="82"/>
      <c r="B2757" s="82"/>
      <c r="C2757" s="82"/>
    </row>
    <row r="2758" spans="1:3" x14ac:dyDescent="0.2">
      <c r="A2758" s="82"/>
      <c r="B2758" s="82"/>
      <c r="C2758" s="82"/>
    </row>
    <row r="2759" spans="1:3" x14ac:dyDescent="0.2">
      <c r="A2759" s="82"/>
      <c r="B2759" s="82"/>
      <c r="C2759" s="82"/>
    </row>
    <row r="2760" spans="1:3" x14ac:dyDescent="0.2">
      <c r="A2760" s="82"/>
      <c r="B2760" s="82"/>
      <c r="C2760" s="82"/>
    </row>
    <row r="2761" spans="1:3" x14ac:dyDescent="0.2">
      <c r="A2761" s="82"/>
      <c r="B2761" s="82"/>
      <c r="C2761" s="82"/>
    </row>
    <row r="2762" spans="1:3" x14ac:dyDescent="0.2">
      <c r="A2762" s="82"/>
      <c r="B2762" s="82"/>
      <c r="C2762" s="82"/>
    </row>
    <row r="2763" spans="1:3" x14ac:dyDescent="0.2">
      <c r="A2763" s="82"/>
      <c r="B2763" s="82"/>
      <c r="C2763" s="82"/>
    </row>
    <row r="2764" spans="1:3" x14ac:dyDescent="0.2">
      <c r="A2764" s="82"/>
      <c r="B2764" s="82"/>
      <c r="C2764" s="82"/>
    </row>
    <row r="2765" spans="1:3" x14ac:dyDescent="0.2">
      <c r="A2765" s="82"/>
      <c r="B2765" s="82"/>
      <c r="C2765" s="82"/>
    </row>
    <row r="2766" spans="1:3" x14ac:dyDescent="0.2">
      <c r="A2766" s="82"/>
      <c r="B2766" s="82"/>
      <c r="C2766" s="82"/>
    </row>
    <row r="2767" spans="1:3" x14ac:dyDescent="0.2">
      <c r="A2767" s="82"/>
      <c r="B2767" s="82"/>
      <c r="C2767" s="82"/>
    </row>
    <row r="2768" spans="1:3" x14ac:dyDescent="0.2">
      <c r="A2768" s="82"/>
      <c r="B2768" s="82"/>
      <c r="C2768" s="82"/>
    </row>
    <row r="2769" spans="1:3" x14ac:dyDescent="0.2">
      <c r="A2769" s="82"/>
      <c r="B2769" s="82"/>
      <c r="C2769" s="82"/>
    </row>
    <row r="2770" spans="1:3" x14ac:dyDescent="0.2">
      <c r="A2770" s="82"/>
      <c r="B2770" s="82"/>
      <c r="C2770" s="82"/>
    </row>
    <row r="2771" spans="1:3" x14ac:dyDescent="0.2">
      <c r="A2771" s="82"/>
      <c r="B2771" s="82"/>
      <c r="C2771" s="82"/>
    </row>
    <row r="2772" spans="1:3" x14ac:dyDescent="0.2">
      <c r="A2772" s="82"/>
      <c r="B2772" s="82"/>
      <c r="C2772" s="82"/>
    </row>
    <row r="2773" spans="1:3" x14ac:dyDescent="0.2">
      <c r="A2773" s="82"/>
      <c r="B2773" s="82"/>
      <c r="C2773" s="82"/>
    </row>
    <row r="2774" spans="1:3" x14ac:dyDescent="0.2">
      <c r="A2774" s="82"/>
      <c r="B2774" s="82"/>
      <c r="C2774" s="82"/>
    </row>
    <row r="2775" spans="1:3" x14ac:dyDescent="0.2">
      <c r="A2775" s="82"/>
      <c r="B2775" s="82"/>
      <c r="C2775" s="82"/>
    </row>
    <row r="2776" spans="1:3" x14ac:dyDescent="0.2">
      <c r="A2776" s="82"/>
      <c r="B2776" s="82"/>
      <c r="C2776" s="82"/>
    </row>
    <row r="2777" spans="1:3" x14ac:dyDescent="0.2">
      <c r="A2777" s="82"/>
      <c r="B2777" s="82"/>
      <c r="C2777" s="82"/>
    </row>
    <row r="2778" spans="1:3" x14ac:dyDescent="0.2">
      <c r="A2778" s="82"/>
      <c r="B2778" s="82"/>
      <c r="C2778" s="82"/>
    </row>
    <row r="2779" spans="1:3" x14ac:dyDescent="0.2">
      <c r="A2779" s="82"/>
      <c r="B2779" s="82"/>
      <c r="C2779" s="82"/>
    </row>
    <row r="2780" spans="1:3" x14ac:dyDescent="0.2">
      <c r="A2780" s="82"/>
      <c r="B2780" s="82"/>
      <c r="C2780" s="82"/>
    </row>
    <row r="2781" spans="1:3" x14ac:dyDescent="0.2">
      <c r="A2781" s="82"/>
      <c r="B2781" s="82"/>
      <c r="C2781" s="82"/>
    </row>
    <row r="2782" spans="1:3" x14ac:dyDescent="0.2">
      <c r="A2782" s="82"/>
      <c r="B2782" s="82"/>
      <c r="C2782" s="82"/>
    </row>
    <row r="2783" spans="1:3" x14ac:dyDescent="0.2">
      <c r="A2783" s="82"/>
      <c r="B2783" s="82"/>
      <c r="C2783" s="82"/>
    </row>
    <row r="2784" spans="1:3" x14ac:dyDescent="0.2">
      <c r="A2784" s="82"/>
      <c r="B2784" s="82"/>
      <c r="C2784" s="82"/>
    </row>
    <row r="2785" spans="1:3" x14ac:dyDescent="0.2">
      <c r="A2785" s="82"/>
      <c r="B2785" s="82"/>
      <c r="C2785" s="82"/>
    </row>
    <row r="2786" spans="1:3" x14ac:dyDescent="0.2">
      <c r="A2786" s="82"/>
      <c r="B2786" s="82"/>
      <c r="C2786" s="82"/>
    </row>
    <row r="2787" spans="1:3" x14ac:dyDescent="0.2">
      <c r="A2787" s="82"/>
      <c r="B2787" s="82"/>
      <c r="C2787" s="82"/>
    </row>
    <row r="2788" spans="1:3" x14ac:dyDescent="0.2">
      <c r="A2788" s="82"/>
      <c r="B2788" s="82"/>
      <c r="C2788" s="82"/>
    </row>
    <row r="2789" spans="1:3" x14ac:dyDescent="0.2">
      <c r="A2789" s="82"/>
      <c r="B2789" s="82"/>
      <c r="C2789" s="82"/>
    </row>
    <row r="2790" spans="1:3" x14ac:dyDescent="0.2">
      <c r="A2790" s="82"/>
      <c r="B2790" s="82"/>
      <c r="C2790" s="82"/>
    </row>
    <row r="2791" spans="1:3" x14ac:dyDescent="0.2">
      <c r="A2791" s="82"/>
      <c r="B2791" s="82"/>
      <c r="C2791" s="82"/>
    </row>
    <row r="2792" spans="1:3" x14ac:dyDescent="0.2">
      <c r="A2792" s="82"/>
      <c r="B2792" s="82"/>
      <c r="C2792" s="82"/>
    </row>
    <row r="2793" spans="1:3" x14ac:dyDescent="0.2">
      <c r="A2793" s="82"/>
      <c r="B2793" s="82"/>
      <c r="C2793" s="82"/>
    </row>
    <row r="2794" spans="1:3" x14ac:dyDescent="0.2">
      <c r="A2794" s="82"/>
      <c r="B2794" s="82"/>
      <c r="C2794" s="82"/>
    </row>
    <row r="2795" spans="1:3" x14ac:dyDescent="0.2">
      <c r="A2795" s="82"/>
      <c r="B2795" s="82"/>
      <c r="C2795" s="82"/>
    </row>
    <row r="2796" spans="1:3" x14ac:dyDescent="0.2">
      <c r="A2796" s="82"/>
      <c r="B2796" s="82"/>
      <c r="C2796" s="82"/>
    </row>
    <row r="2797" spans="1:3" x14ac:dyDescent="0.2">
      <c r="A2797" s="82"/>
      <c r="B2797" s="82"/>
      <c r="C2797" s="82"/>
    </row>
    <row r="2798" spans="1:3" x14ac:dyDescent="0.2">
      <c r="A2798" s="82"/>
      <c r="B2798" s="82"/>
      <c r="C2798" s="82"/>
    </row>
    <row r="2799" spans="1:3" x14ac:dyDescent="0.2">
      <c r="A2799" s="82"/>
      <c r="B2799" s="82"/>
      <c r="C2799" s="82"/>
    </row>
    <row r="2800" spans="1:3" x14ac:dyDescent="0.2">
      <c r="A2800" s="82"/>
      <c r="B2800" s="82"/>
      <c r="C2800" s="82"/>
    </row>
    <row r="2801" spans="1:3" x14ac:dyDescent="0.2">
      <c r="A2801" s="82"/>
      <c r="B2801" s="82"/>
      <c r="C2801" s="82"/>
    </row>
    <row r="2802" spans="1:3" x14ac:dyDescent="0.2">
      <c r="A2802" s="82"/>
      <c r="B2802" s="82"/>
      <c r="C2802" s="82"/>
    </row>
    <row r="2803" spans="1:3" x14ac:dyDescent="0.2">
      <c r="A2803" s="82"/>
      <c r="B2803" s="82"/>
      <c r="C2803" s="82"/>
    </row>
    <row r="2804" spans="1:3" x14ac:dyDescent="0.2">
      <c r="A2804" s="82"/>
      <c r="B2804" s="82"/>
      <c r="C2804" s="82"/>
    </row>
    <row r="2805" spans="1:3" x14ac:dyDescent="0.2">
      <c r="A2805" s="82"/>
      <c r="B2805" s="82"/>
      <c r="C2805" s="82"/>
    </row>
    <row r="2806" spans="1:3" x14ac:dyDescent="0.2">
      <c r="A2806" s="82"/>
      <c r="B2806" s="82"/>
      <c r="C2806" s="82"/>
    </row>
    <row r="2807" spans="1:3" x14ac:dyDescent="0.2">
      <c r="A2807" s="82"/>
      <c r="B2807" s="82"/>
      <c r="C2807" s="82"/>
    </row>
    <row r="2808" spans="1:3" x14ac:dyDescent="0.2">
      <c r="A2808" s="82"/>
      <c r="B2808" s="82"/>
      <c r="C2808" s="82"/>
    </row>
    <row r="2809" spans="1:3" x14ac:dyDescent="0.2">
      <c r="A2809" s="82"/>
      <c r="B2809" s="82"/>
      <c r="C2809" s="82"/>
    </row>
    <row r="2810" spans="1:3" x14ac:dyDescent="0.2">
      <c r="A2810" s="82"/>
      <c r="B2810" s="82"/>
      <c r="C2810" s="82"/>
    </row>
    <row r="2811" spans="1:3" x14ac:dyDescent="0.2">
      <c r="A2811" s="82"/>
      <c r="B2811" s="82"/>
      <c r="C2811" s="82"/>
    </row>
    <row r="2812" spans="1:3" x14ac:dyDescent="0.2">
      <c r="A2812" s="82"/>
      <c r="B2812" s="82"/>
      <c r="C2812" s="82"/>
    </row>
    <row r="2813" spans="1:3" x14ac:dyDescent="0.2">
      <c r="A2813" s="82"/>
      <c r="B2813" s="82"/>
      <c r="C2813" s="82"/>
    </row>
    <row r="2814" spans="1:3" x14ac:dyDescent="0.2">
      <c r="A2814" s="82"/>
      <c r="B2814" s="82"/>
      <c r="C2814" s="82"/>
    </row>
    <row r="2815" spans="1:3" x14ac:dyDescent="0.2">
      <c r="A2815" s="82"/>
      <c r="B2815" s="82"/>
      <c r="C2815" s="82"/>
    </row>
    <row r="2816" spans="1:3" x14ac:dyDescent="0.2">
      <c r="A2816" s="82"/>
      <c r="B2816" s="82"/>
      <c r="C2816" s="82"/>
    </row>
    <row r="2817" spans="1:3" x14ac:dyDescent="0.2">
      <c r="A2817" s="82"/>
      <c r="B2817" s="82"/>
      <c r="C2817" s="82"/>
    </row>
    <row r="2818" spans="1:3" x14ac:dyDescent="0.2">
      <c r="A2818" s="82"/>
      <c r="B2818" s="82"/>
      <c r="C2818" s="82"/>
    </row>
    <row r="2819" spans="1:3" x14ac:dyDescent="0.2">
      <c r="A2819" s="82"/>
      <c r="B2819" s="82"/>
      <c r="C2819" s="82"/>
    </row>
    <row r="2820" spans="1:3" x14ac:dyDescent="0.2">
      <c r="A2820" s="82"/>
      <c r="B2820" s="82"/>
      <c r="C2820" s="82"/>
    </row>
    <row r="2821" spans="1:3" x14ac:dyDescent="0.2">
      <c r="A2821" s="82"/>
      <c r="B2821" s="82"/>
      <c r="C2821" s="82"/>
    </row>
    <row r="2822" spans="1:3" x14ac:dyDescent="0.2">
      <c r="A2822" s="82"/>
      <c r="B2822" s="82"/>
      <c r="C2822" s="82"/>
    </row>
    <row r="2823" spans="1:3" x14ac:dyDescent="0.2">
      <c r="A2823" s="82"/>
      <c r="B2823" s="82"/>
      <c r="C2823" s="82"/>
    </row>
    <row r="2824" spans="1:3" x14ac:dyDescent="0.2">
      <c r="A2824" s="82"/>
      <c r="B2824" s="82"/>
      <c r="C2824" s="82"/>
    </row>
    <row r="2825" spans="1:3" x14ac:dyDescent="0.2">
      <c r="A2825" s="82"/>
      <c r="B2825" s="82"/>
      <c r="C2825" s="82"/>
    </row>
    <row r="2826" spans="1:3" x14ac:dyDescent="0.2">
      <c r="A2826" s="82"/>
      <c r="B2826" s="82"/>
      <c r="C2826" s="82"/>
    </row>
    <row r="2827" spans="1:3" x14ac:dyDescent="0.2">
      <c r="A2827" s="82"/>
      <c r="B2827" s="82"/>
      <c r="C2827" s="82"/>
    </row>
    <row r="2828" spans="1:3" x14ac:dyDescent="0.2">
      <c r="A2828" s="82"/>
      <c r="B2828" s="82"/>
      <c r="C2828" s="82"/>
    </row>
    <row r="2829" spans="1:3" x14ac:dyDescent="0.2">
      <c r="A2829" s="82"/>
      <c r="B2829" s="82"/>
      <c r="C2829" s="82"/>
    </row>
    <row r="2830" spans="1:3" x14ac:dyDescent="0.2">
      <c r="A2830" s="82"/>
      <c r="B2830" s="82"/>
      <c r="C2830" s="82"/>
    </row>
    <row r="2831" spans="1:3" x14ac:dyDescent="0.2">
      <c r="A2831" s="82"/>
      <c r="B2831" s="82"/>
      <c r="C2831" s="82"/>
    </row>
    <row r="2832" spans="1:3" x14ac:dyDescent="0.2">
      <c r="A2832" s="82"/>
      <c r="B2832" s="82"/>
      <c r="C2832" s="82"/>
    </row>
    <row r="2833" spans="1:3" x14ac:dyDescent="0.2">
      <c r="A2833" s="82"/>
      <c r="B2833" s="82"/>
      <c r="C2833" s="82"/>
    </row>
    <row r="2834" spans="1:3" x14ac:dyDescent="0.2">
      <c r="A2834" s="82"/>
      <c r="B2834" s="82"/>
      <c r="C2834" s="82"/>
    </row>
    <row r="2835" spans="1:3" x14ac:dyDescent="0.2">
      <c r="A2835" s="82"/>
      <c r="B2835" s="82"/>
      <c r="C2835" s="82"/>
    </row>
    <row r="2836" spans="1:3" x14ac:dyDescent="0.2">
      <c r="A2836" s="82"/>
      <c r="B2836" s="82"/>
      <c r="C2836" s="82"/>
    </row>
    <row r="2837" spans="1:3" x14ac:dyDescent="0.2">
      <c r="A2837" s="82"/>
      <c r="B2837" s="82"/>
      <c r="C2837" s="82"/>
    </row>
    <row r="2838" spans="1:3" x14ac:dyDescent="0.2">
      <c r="A2838" s="82"/>
      <c r="B2838" s="82"/>
      <c r="C2838" s="82"/>
    </row>
    <row r="2839" spans="1:3" x14ac:dyDescent="0.2">
      <c r="A2839" s="82"/>
      <c r="B2839" s="82"/>
      <c r="C2839" s="82"/>
    </row>
    <row r="2840" spans="1:3" x14ac:dyDescent="0.2">
      <c r="A2840" s="82"/>
      <c r="B2840" s="82"/>
      <c r="C2840" s="82"/>
    </row>
    <row r="2841" spans="1:3" x14ac:dyDescent="0.2">
      <c r="A2841" s="82"/>
      <c r="B2841" s="82"/>
      <c r="C2841" s="82"/>
    </row>
    <row r="2842" spans="1:3" x14ac:dyDescent="0.2">
      <c r="A2842" s="82"/>
      <c r="B2842" s="82"/>
      <c r="C2842" s="82"/>
    </row>
    <row r="2843" spans="1:3" x14ac:dyDescent="0.2">
      <c r="A2843" s="82"/>
      <c r="B2843" s="82"/>
      <c r="C2843" s="82"/>
    </row>
    <row r="2844" spans="1:3" x14ac:dyDescent="0.2">
      <c r="A2844" s="82"/>
      <c r="B2844" s="82"/>
      <c r="C2844" s="82"/>
    </row>
    <row r="2845" spans="1:3" x14ac:dyDescent="0.2">
      <c r="A2845" s="82"/>
      <c r="B2845" s="82"/>
      <c r="C2845" s="82"/>
    </row>
    <row r="2846" spans="1:3" x14ac:dyDescent="0.2">
      <c r="A2846" s="82"/>
      <c r="B2846" s="82"/>
      <c r="C2846" s="82"/>
    </row>
    <row r="2847" spans="1:3" x14ac:dyDescent="0.2">
      <c r="A2847" s="82"/>
      <c r="B2847" s="82"/>
      <c r="C2847" s="82"/>
    </row>
    <row r="2848" spans="1:3" x14ac:dyDescent="0.2">
      <c r="A2848" s="82"/>
      <c r="B2848" s="82"/>
      <c r="C2848" s="82"/>
    </row>
    <row r="2849" spans="1:3" x14ac:dyDescent="0.2">
      <c r="A2849" s="82"/>
      <c r="B2849" s="82"/>
      <c r="C2849" s="82"/>
    </row>
    <row r="2850" spans="1:3" x14ac:dyDescent="0.2">
      <c r="A2850" s="82"/>
      <c r="B2850" s="82"/>
      <c r="C2850" s="82"/>
    </row>
    <row r="2851" spans="1:3" x14ac:dyDescent="0.2">
      <c r="A2851" s="82"/>
      <c r="B2851" s="82"/>
      <c r="C2851" s="82"/>
    </row>
    <row r="2852" spans="1:3" x14ac:dyDescent="0.2">
      <c r="A2852" s="82"/>
      <c r="B2852" s="82"/>
      <c r="C2852" s="82"/>
    </row>
    <row r="2853" spans="1:3" x14ac:dyDescent="0.2">
      <c r="A2853" s="82"/>
      <c r="B2853" s="82"/>
      <c r="C2853" s="82"/>
    </row>
    <row r="2854" spans="1:3" x14ac:dyDescent="0.2">
      <c r="A2854" s="82"/>
      <c r="B2854" s="82"/>
      <c r="C2854" s="82"/>
    </row>
    <row r="2855" spans="1:3" x14ac:dyDescent="0.2">
      <c r="A2855" s="82"/>
      <c r="B2855" s="82"/>
      <c r="C2855" s="82"/>
    </row>
    <row r="2856" spans="1:3" x14ac:dyDescent="0.2">
      <c r="A2856" s="82"/>
      <c r="B2856" s="82"/>
      <c r="C2856" s="82"/>
    </row>
    <row r="2857" spans="1:3" x14ac:dyDescent="0.2">
      <c r="A2857" s="82"/>
      <c r="B2857" s="82"/>
      <c r="C2857" s="82"/>
    </row>
    <row r="2858" spans="1:3" x14ac:dyDescent="0.2">
      <c r="A2858" s="82"/>
      <c r="B2858" s="82"/>
      <c r="C2858" s="82"/>
    </row>
    <row r="2859" spans="1:3" x14ac:dyDescent="0.2">
      <c r="A2859" s="82"/>
      <c r="B2859" s="82"/>
      <c r="C2859" s="82"/>
    </row>
    <row r="2860" spans="1:3" x14ac:dyDescent="0.2">
      <c r="A2860" s="82"/>
      <c r="B2860" s="82"/>
      <c r="C2860" s="82"/>
    </row>
    <row r="2861" spans="1:3" x14ac:dyDescent="0.2">
      <c r="A2861" s="82"/>
      <c r="B2861" s="82"/>
      <c r="C2861" s="82"/>
    </row>
    <row r="2862" spans="1:3" x14ac:dyDescent="0.2">
      <c r="A2862" s="82"/>
      <c r="B2862" s="82"/>
      <c r="C2862" s="82"/>
    </row>
    <row r="2863" spans="1:3" x14ac:dyDescent="0.2">
      <c r="A2863" s="82"/>
      <c r="B2863" s="82"/>
      <c r="C2863" s="82"/>
    </row>
    <row r="2864" spans="1:3" x14ac:dyDescent="0.2">
      <c r="A2864" s="82"/>
      <c r="B2864" s="82"/>
      <c r="C2864" s="82"/>
    </row>
    <row r="2865" spans="1:3" x14ac:dyDescent="0.2">
      <c r="A2865" s="82"/>
      <c r="B2865" s="82"/>
      <c r="C2865" s="82"/>
    </row>
    <row r="2866" spans="1:3" x14ac:dyDescent="0.2">
      <c r="A2866" s="82"/>
      <c r="B2866" s="82"/>
      <c r="C2866" s="82"/>
    </row>
    <row r="2867" spans="1:3" x14ac:dyDescent="0.2">
      <c r="A2867" s="82"/>
      <c r="B2867" s="82"/>
      <c r="C2867" s="82"/>
    </row>
    <row r="2868" spans="1:3" x14ac:dyDescent="0.2">
      <c r="A2868" s="82"/>
      <c r="B2868" s="82"/>
      <c r="C2868" s="82"/>
    </row>
    <row r="2869" spans="1:3" x14ac:dyDescent="0.2">
      <c r="A2869" s="82"/>
      <c r="B2869" s="82"/>
      <c r="C2869" s="82"/>
    </row>
    <row r="2870" spans="1:3" x14ac:dyDescent="0.2">
      <c r="A2870" s="82"/>
      <c r="B2870" s="82"/>
      <c r="C2870" s="82"/>
    </row>
    <row r="2871" spans="1:3" x14ac:dyDescent="0.2">
      <c r="A2871" s="82"/>
      <c r="B2871" s="82"/>
      <c r="C2871" s="82"/>
    </row>
    <row r="2872" spans="1:3" x14ac:dyDescent="0.2">
      <c r="A2872" s="82"/>
      <c r="B2872" s="82"/>
      <c r="C2872" s="82"/>
    </row>
    <row r="2873" spans="1:3" x14ac:dyDescent="0.2">
      <c r="A2873" s="82"/>
      <c r="B2873" s="82"/>
      <c r="C2873" s="82"/>
    </row>
    <row r="2874" spans="1:3" x14ac:dyDescent="0.2">
      <c r="A2874" s="82"/>
      <c r="B2874" s="82"/>
      <c r="C2874" s="82"/>
    </row>
    <row r="2875" spans="1:3" x14ac:dyDescent="0.2">
      <c r="A2875" s="82"/>
      <c r="B2875" s="82"/>
      <c r="C2875" s="82"/>
    </row>
    <row r="2876" spans="1:3" x14ac:dyDescent="0.2">
      <c r="A2876" s="82"/>
      <c r="B2876" s="82"/>
      <c r="C2876" s="82"/>
    </row>
    <row r="2877" spans="1:3" x14ac:dyDescent="0.2">
      <c r="A2877" s="82"/>
      <c r="B2877" s="82"/>
      <c r="C2877" s="82"/>
    </row>
    <row r="2878" spans="1:3" x14ac:dyDescent="0.2">
      <c r="A2878" s="82"/>
      <c r="B2878" s="82"/>
      <c r="C2878" s="82"/>
    </row>
    <row r="2879" spans="1:3" x14ac:dyDescent="0.2">
      <c r="A2879" s="82"/>
      <c r="B2879" s="82"/>
      <c r="C2879" s="82"/>
    </row>
    <row r="2880" spans="1:3" x14ac:dyDescent="0.2">
      <c r="A2880" s="82"/>
      <c r="B2880" s="82"/>
      <c r="C2880" s="82"/>
    </row>
    <row r="2881" spans="1:3" x14ac:dyDescent="0.2">
      <c r="A2881" s="82"/>
      <c r="B2881" s="82"/>
      <c r="C2881" s="82"/>
    </row>
    <row r="2882" spans="1:3" x14ac:dyDescent="0.2">
      <c r="A2882" s="82"/>
      <c r="B2882" s="82"/>
      <c r="C2882" s="82"/>
    </row>
    <row r="2883" spans="1:3" x14ac:dyDescent="0.2">
      <c r="A2883" s="82"/>
      <c r="B2883" s="82"/>
      <c r="C2883" s="82"/>
    </row>
    <row r="2884" spans="1:3" x14ac:dyDescent="0.2">
      <c r="A2884" s="82"/>
      <c r="B2884" s="82"/>
      <c r="C2884" s="82"/>
    </row>
    <row r="2885" spans="1:3" x14ac:dyDescent="0.2">
      <c r="A2885" s="82"/>
      <c r="B2885" s="82"/>
      <c r="C2885" s="82"/>
    </row>
    <row r="2886" spans="1:3" x14ac:dyDescent="0.2">
      <c r="A2886" s="82"/>
      <c r="B2886" s="82"/>
      <c r="C2886" s="82"/>
    </row>
    <row r="2887" spans="1:3" x14ac:dyDescent="0.2">
      <c r="A2887" s="82"/>
      <c r="B2887" s="82"/>
      <c r="C2887" s="82"/>
    </row>
    <row r="2888" spans="1:3" x14ac:dyDescent="0.2">
      <c r="A2888" s="82"/>
      <c r="B2888" s="82"/>
      <c r="C2888" s="82"/>
    </row>
    <row r="2889" spans="1:3" x14ac:dyDescent="0.2">
      <c r="A2889" s="82"/>
      <c r="B2889" s="82"/>
      <c r="C2889" s="82"/>
    </row>
    <row r="2890" spans="1:3" x14ac:dyDescent="0.2">
      <c r="A2890" s="82"/>
      <c r="B2890" s="82"/>
      <c r="C2890" s="82"/>
    </row>
    <row r="2891" spans="1:3" x14ac:dyDescent="0.2">
      <c r="A2891" s="82"/>
      <c r="B2891" s="82"/>
      <c r="C2891" s="82"/>
    </row>
    <row r="2892" spans="1:3" x14ac:dyDescent="0.2">
      <c r="A2892" s="82"/>
      <c r="B2892" s="82"/>
      <c r="C2892" s="82"/>
    </row>
    <row r="2893" spans="1:3" x14ac:dyDescent="0.2">
      <c r="A2893" s="82"/>
      <c r="B2893" s="82"/>
      <c r="C2893" s="82"/>
    </row>
    <row r="2894" spans="1:3" x14ac:dyDescent="0.2">
      <c r="A2894" s="82"/>
      <c r="B2894" s="82"/>
      <c r="C2894" s="82"/>
    </row>
    <row r="2895" spans="1:3" x14ac:dyDescent="0.2">
      <c r="A2895" s="82"/>
      <c r="B2895" s="82"/>
      <c r="C2895" s="82"/>
    </row>
    <row r="2896" spans="1:3" x14ac:dyDescent="0.2">
      <c r="A2896" s="82"/>
      <c r="B2896" s="82"/>
      <c r="C2896" s="82"/>
    </row>
    <row r="2897" spans="1:3" x14ac:dyDescent="0.2">
      <c r="A2897" s="82"/>
      <c r="B2897" s="82"/>
      <c r="C2897" s="82"/>
    </row>
    <row r="2898" spans="1:3" x14ac:dyDescent="0.2">
      <c r="A2898" s="82"/>
      <c r="B2898" s="82"/>
      <c r="C2898" s="82"/>
    </row>
    <row r="2899" spans="1:3" x14ac:dyDescent="0.2">
      <c r="A2899" s="82"/>
      <c r="B2899" s="82"/>
      <c r="C2899" s="82"/>
    </row>
    <row r="2900" spans="1:3" x14ac:dyDescent="0.2">
      <c r="A2900" s="82"/>
      <c r="B2900" s="82"/>
      <c r="C2900" s="82"/>
    </row>
    <row r="2901" spans="1:3" x14ac:dyDescent="0.2">
      <c r="A2901" s="82"/>
      <c r="B2901" s="82"/>
      <c r="C2901" s="82"/>
    </row>
    <row r="2902" spans="1:3" x14ac:dyDescent="0.2">
      <c r="A2902" s="82"/>
      <c r="B2902" s="82"/>
      <c r="C2902" s="82"/>
    </row>
    <row r="2903" spans="1:3" x14ac:dyDescent="0.2">
      <c r="A2903" s="82"/>
      <c r="B2903" s="82"/>
      <c r="C2903" s="82"/>
    </row>
    <row r="2904" spans="1:3" x14ac:dyDescent="0.2">
      <c r="A2904" s="82"/>
      <c r="B2904" s="82"/>
      <c r="C2904" s="82"/>
    </row>
    <row r="2905" spans="1:3" x14ac:dyDescent="0.2">
      <c r="A2905" s="82"/>
      <c r="B2905" s="82"/>
      <c r="C2905" s="82"/>
    </row>
    <row r="2906" spans="1:3" x14ac:dyDescent="0.2">
      <c r="A2906" s="82"/>
      <c r="B2906" s="82"/>
      <c r="C2906" s="82"/>
    </row>
    <row r="2907" spans="1:3" x14ac:dyDescent="0.2">
      <c r="A2907" s="82"/>
      <c r="B2907" s="82"/>
      <c r="C2907" s="82"/>
    </row>
    <row r="2908" spans="1:3" x14ac:dyDescent="0.2">
      <c r="A2908" s="82"/>
      <c r="B2908" s="82"/>
      <c r="C2908" s="82"/>
    </row>
    <row r="2909" spans="1:3" x14ac:dyDescent="0.2">
      <c r="A2909" s="82"/>
      <c r="B2909" s="82"/>
      <c r="C2909" s="82"/>
    </row>
    <row r="2910" spans="1:3" x14ac:dyDescent="0.2">
      <c r="A2910" s="82"/>
      <c r="B2910" s="82"/>
      <c r="C2910" s="82"/>
    </row>
    <row r="2911" spans="1:3" x14ac:dyDescent="0.2">
      <c r="A2911" s="82"/>
      <c r="B2911" s="82"/>
      <c r="C2911" s="82"/>
    </row>
    <row r="2912" spans="1:3" x14ac:dyDescent="0.2">
      <c r="A2912" s="82"/>
      <c r="B2912" s="82"/>
      <c r="C2912" s="82"/>
    </row>
    <row r="2913" spans="1:3" x14ac:dyDescent="0.2">
      <c r="A2913" s="82"/>
      <c r="B2913" s="82"/>
      <c r="C2913" s="82"/>
    </row>
    <row r="2914" spans="1:3" x14ac:dyDescent="0.2">
      <c r="A2914" s="82"/>
      <c r="B2914" s="82"/>
      <c r="C2914" s="82"/>
    </row>
    <row r="2915" spans="1:3" x14ac:dyDescent="0.2">
      <c r="A2915" s="82"/>
      <c r="B2915" s="82"/>
      <c r="C2915" s="82"/>
    </row>
    <row r="2916" spans="1:3" x14ac:dyDescent="0.2">
      <c r="A2916" s="82"/>
      <c r="B2916" s="82"/>
      <c r="C2916" s="82"/>
    </row>
    <row r="2917" spans="1:3" x14ac:dyDescent="0.2">
      <c r="A2917" s="82"/>
      <c r="B2917" s="82"/>
      <c r="C2917" s="82"/>
    </row>
    <row r="2918" spans="1:3" x14ac:dyDescent="0.2">
      <c r="A2918" s="82"/>
      <c r="B2918" s="82"/>
      <c r="C2918" s="82"/>
    </row>
    <row r="2919" spans="1:3" x14ac:dyDescent="0.2">
      <c r="A2919" s="82"/>
      <c r="B2919" s="82"/>
      <c r="C2919" s="82"/>
    </row>
    <row r="2920" spans="1:3" x14ac:dyDescent="0.2">
      <c r="A2920" s="82"/>
      <c r="B2920" s="82"/>
      <c r="C2920" s="82"/>
    </row>
    <row r="2921" spans="1:3" x14ac:dyDescent="0.2">
      <c r="A2921" s="82"/>
      <c r="B2921" s="82"/>
      <c r="C2921" s="82"/>
    </row>
    <row r="2922" spans="1:3" x14ac:dyDescent="0.2">
      <c r="A2922" s="82"/>
      <c r="B2922" s="82"/>
      <c r="C2922" s="82"/>
    </row>
    <row r="2923" spans="1:3" x14ac:dyDescent="0.2">
      <c r="A2923" s="82"/>
      <c r="B2923" s="82"/>
      <c r="C2923" s="82"/>
    </row>
    <row r="2924" spans="1:3" x14ac:dyDescent="0.2">
      <c r="A2924" s="82"/>
      <c r="B2924" s="82"/>
      <c r="C2924" s="82"/>
    </row>
    <row r="2925" spans="1:3" x14ac:dyDescent="0.2">
      <c r="A2925" s="82"/>
      <c r="B2925" s="82"/>
      <c r="C2925" s="82"/>
    </row>
    <row r="2926" spans="1:3" x14ac:dyDescent="0.2">
      <c r="A2926" s="82"/>
      <c r="B2926" s="82"/>
      <c r="C2926" s="82"/>
    </row>
    <row r="2927" spans="1:3" x14ac:dyDescent="0.2">
      <c r="A2927" s="82"/>
      <c r="B2927" s="82"/>
      <c r="C2927" s="82"/>
    </row>
    <row r="2928" spans="1:3" x14ac:dyDescent="0.2">
      <c r="A2928" s="82"/>
      <c r="B2928" s="82"/>
      <c r="C2928" s="82"/>
    </row>
    <row r="2929" spans="1:3" x14ac:dyDescent="0.2">
      <c r="A2929" s="82"/>
      <c r="B2929" s="82"/>
      <c r="C2929" s="82"/>
    </row>
    <row r="2930" spans="1:3" x14ac:dyDescent="0.2">
      <c r="A2930" s="82"/>
      <c r="B2930" s="82"/>
      <c r="C2930" s="82"/>
    </row>
    <row r="2931" spans="1:3" x14ac:dyDescent="0.2">
      <c r="A2931" s="82"/>
      <c r="B2931" s="82"/>
      <c r="C2931" s="82"/>
    </row>
    <row r="2932" spans="1:3" x14ac:dyDescent="0.2">
      <c r="A2932" s="82"/>
      <c r="B2932" s="82"/>
      <c r="C2932" s="82"/>
    </row>
    <row r="2933" spans="1:3" x14ac:dyDescent="0.2">
      <c r="A2933" s="82"/>
      <c r="B2933" s="82"/>
      <c r="C2933" s="82"/>
    </row>
    <row r="2934" spans="1:3" x14ac:dyDescent="0.2">
      <c r="A2934" s="82"/>
      <c r="B2934" s="82"/>
      <c r="C2934" s="82"/>
    </row>
    <row r="2935" spans="1:3" x14ac:dyDescent="0.2">
      <c r="A2935" s="82"/>
      <c r="B2935" s="82"/>
      <c r="C2935" s="82"/>
    </row>
    <row r="2936" spans="1:3" x14ac:dyDescent="0.2">
      <c r="A2936" s="82"/>
      <c r="B2936" s="82"/>
      <c r="C2936" s="82"/>
    </row>
    <row r="2937" spans="1:3" x14ac:dyDescent="0.2">
      <c r="A2937" s="82"/>
      <c r="B2937" s="82"/>
      <c r="C2937" s="82"/>
    </row>
    <row r="2938" spans="1:3" x14ac:dyDescent="0.2">
      <c r="A2938" s="82"/>
      <c r="B2938" s="82"/>
      <c r="C2938" s="82"/>
    </row>
    <row r="2939" spans="1:3" x14ac:dyDescent="0.2">
      <c r="A2939" s="82"/>
      <c r="B2939" s="82"/>
      <c r="C2939" s="82"/>
    </row>
    <row r="2940" spans="1:3" x14ac:dyDescent="0.2">
      <c r="A2940" s="82"/>
      <c r="B2940" s="82"/>
      <c r="C2940" s="82"/>
    </row>
    <row r="2941" spans="1:3" x14ac:dyDescent="0.2">
      <c r="A2941" s="82"/>
      <c r="B2941" s="82"/>
      <c r="C2941" s="82"/>
    </row>
    <row r="2942" spans="1:3" x14ac:dyDescent="0.2">
      <c r="A2942" s="82"/>
      <c r="B2942" s="82"/>
      <c r="C2942" s="82"/>
    </row>
    <row r="2943" spans="1:3" x14ac:dyDescent="0.2">
      <c r="A2943" s="82"/>
      <c r="B2943" s="82"/>
      <c r="C2943" s="82"/>
    </row>
    <row r="2944" spans="1:3" x14ac:dyDescent="0.2">
      <c r="A2944" s="82"/>
      <c r="B2944" s="82"/>
      <c r="C2944" s="82"/>
    </row>
    <row r="2945" spans="1:3" x14ac:dyDescent="0.2">
      <c r="A2945" s="82"/>
      <c r="B2945" s="82"/>
      <c r="C2945" s="82"/>
    </row>
    <row r="2946" spans="1:3" x14ac:dyDescent="0.2">
      <c r="A2946" s="82"/>
      <c r="B2946" s="82"/>
      <c r="C2946" s="82"/>
    </row>
    <row r="2947" spans="1:3" x14ac:dyDescent="0.2">
      <c r="A2947" s="82"/>
      <c r="B2947" s="82"/>
      <c r="C2947" s="82"/>
    </row>
    <row r="2948" spans="1:3" x14ac:dyDescent="0.2">
      <c r="A2948" s="82"/>
      <c r="B2948" s="82"/>
      <c r="C2948" s="82"/>
    </row>
    <row r="2949" spans="1:3" x14ac:dyDescent="0.2">
      <c r="A2949" s="82"/>
      <c r="B2949" s="82"/>
      <c r="C2949" s="82"/>
    </row>
    <row r="2950" spans="1:3" x14ac:dyDescent="0.2">
      <c r="A2950" s="82"/>
      <c r="B2950" s="82"/>
      <c r="C2950" s="82"/>
    </row>
    <row r="2951" spans="1:3" x14ac:dyDescent="0.2">
      <c r="A2951" s="82"/>
      <c r="B2951" s="82"/>
      <c r="C2951" s="82"/>
    </row>
    <row r="2952" spans="1:3" x14ac:dyDescent="0.2">
      <c r="A2952" s="82"/>
      <c r="B2952" s="82"/>
      <c r="C2952" s="82"/>
    </row>
    <row r="2953" spans="1:3" x14ac:dyDescent="0.2">
      <c r="A2953" s="82"/>
      <c r="B2953" s="82"/>
      <c r="C2953" s="82"/>
    </row>
    <row r="2954" spans="1:3" x14ac:dyDescent="0.2">
      <c r="A2954" s="82"/>
      <c r="B2954" s="82"/>
      <c r="C2954" s="82"/>
    </row>
    <row r="2955" spans="1:3" x14ac:dyDescent="0.2">
      <c r="A2955" s="82"/>
      <c r="B2955" s="82"/>
      <c r="C2955" s="82"/>
    </row>
    <row r="2956" spans="1:3" x14ac:dyDescent="0.2">
      <c r="A2956" s="82"/>
      <c r="B2956" s="82"/>
      <c r="C2956" s="82"/>
    </row>
    <row r="2957" spans="1:3" x14ac:dyDescent="0.2">
      <c r="A2957" s="82"/>
      <c r="B2957" s="82"/>
      <c r="C2957" s="82"/>
    </row>
    <row r="2958" spans="1:3" x14ac:dyDescent="0.2">
      <c r="A2958" s="82"/>
      <c r="B2958" s="82"/>
      <c r="C2958" s="82"/>
    </row>
    <row r="2959" spans="1:3" x14ac:dyDescent="0.2">
      <c r="A2959" s="82"/>
      <c r="B2959" s="82"/>
      <c r="C2959" s="82"/>
    </row>
    <row r="2960" spans="1:3" x14ac:dyDescent="0.2">
      <c r="A2960" s="82"/>
      <c r="B2960" s="82"/>
      <c r="C2960" s="82"/>
    </row>
    <row r="2961" spans="1:3" x14ac:dyDescent="0.2">
      <c r="A2961" s="82"/>
      <c r="B2961" s="82"/>
      <c r="C2961" s="82"/>
    </row>
    <row r="2962" spans="1:3" x14ac:dyDescent="0.2">
      <c r="A2962" s="82"/>
      <c r="B2962" s="82"/>
      <c r="C2962" s="82"/>
    </row>
    <row r="2963" spans="1:3" x14ac:dyDescent="0.2">
      <c r="A2963" s="82"/>
      <c r="B2963" s="82"/>
      <c r="C2963" s="82"/>
    </row>
    <row r="2964" spans="1:3" x14ac:dyDescent="0.2">
      <c r="A2964" s="82"/>
      <c r="B2964" s="82"/>
      <c r="C2964" s="82"/>
    </row>
    <row r="2965" spans="1:3" x14ac:dyDescent="0.2">
      <c r="A2965" s="82"/>
      <c r="B2965" s="82"/>
      <c r="C2965" s="82"/>
    </row>
    <row r="2966" spans="1:3" x14ac:dyDescent="0.2">
      <c r="A2966" s="82"/>
      <c r="B2966" s="82"/>
      <c r="C2966" s="82"/>
    </row>
    <row r="2967" spans="1:3" x14ac:dyDescent="0.2">
      <c r="A2967" s="82"/>
      <c r="B2967" s="82"/>
      <c r="C2967" s="82"/>
    </row>
    <row r="2968" spans="1:3" x14ac:dyDescent="0.2">
      <c r="A2968" s="82"/>
      <c r="B2968" s="82"/>
      <c r="C2968" s="82"/>
    </row>
    <row r="2969" spans="1:3" x14ac:dyDescent="0.2">
      <c r="A2969" s="82"/>
      <c r="B2969" s="82"/>
      <c r="C2969" s="82"/>
    </row>
    <row r="2970" spans="1:3" x14ac:dyDescent="0.2">
      <c r="A2970" s="82"/>
      <c r="B2970" s="82"/>
      <c r="C2970" s="82"/>
    </row>
    <row r="2971" spans="1:3" x14ac:dyDescent="0.2">
      <c r="A2971" s="82"/>
      <c r="B2971" s="82"/>
      <c r="C2971" s="82"/>
    </row>
    <row r="2972" spans="1:3" x14ac:dyDescent="0.2">
      <c r="A2972" s="82"/>
      <c r="B2972" s="82"/>
      <c r="C2972" s="82"/>
    </row>
    <row r="2973" spans="1:3" x14ac:dyDescent="0.2">
      <c r="A2973" s="82"/>
      <c r="B2973" s="82"/>
      <c r="C2973" s="82"/>
    </row>
    <row r="2974" spans="1:3" x14ac:dyDescent="0.2">
      <c r="A2974" s="82"/>
      <c r="B2974" s="82"/>
      <c r="C2974" s="82"/>
    </row>
    <row r="2975" spans="1:3" x14ac:dyDescent="0.2">
      <c r="A2975" s="82"/>
      <c r="B2975" s="82"/>
      <c r="C2975" s="82"/>
    </row>
    <row r="2976" spans="1:3" x14ac:dyDescent="0.2">
      <c r="A2976" s="82"/>
      <c r="B2976" s="82"/>
      <c r="C2976" s="82"/>
    </row>
    <row r="2977" spans="1:3" x14ac:dyDescent="0.2">
      <c r="A2977" s="82"/>
      <c r="B2977" s="82"/>
      <c r="C2977" s="82"/>
    </row>
    <row r="2978" spans="1:3" x14ac:dyDescent="0.2">
      <c r="A2978" s="82"/>
      <c r="B2978" s="82"/>
      <c r="C2978" s="82"/>
    </row>
    <row r="2979" spans="1:3" x14ac:dyDescent="0.2">
      <c r="A2979" s="82"/>
      <c r="B2979" s="82"/>
      <c r="C2979" s="82"/>
    </row>
    <row r="2980" spans="1:3" x14ac:dyDescent="0.2">
      <c r="A2980" s="82"/>
      <c r="B2980" s="82"/>
      <c r="C2980" s="82"/>
    </row>
    <row r="2981" spans="1:3" x14ac:dyDescent="0.2">
      <c r="A2981" s="82"/>
      <c r="B2981" s="82"/>
      <c r="C2981" s="82"/>
    </row>
    <row r="2982" spans="1:3" x14ac:dyDescent="0.2">
      <c r="A2982" s="82"/>
      <c r="B2982" s="82"/>
      <c r="C2982" s="82"/>
    </row>
    <row r="2983" spans="1:3" x14ac:dyDescent="0.2">
      <c r="A2983" s="82"/>
      <c r="B2983" s="82"/>
      <c r="C2983" s="82"/>
    </row>
    <row r="2984" spans="1:3" x14ac:dyDescent="0.2">
      <c r="A2984" s="82"/>
      <c r="B2984" s="82"/>
      <c r="C2984" s="82"/>
    </row>
    <row r="2985" spans="1:3" x14ac:dyDescent="0.2">
      <c r="A2985" s="82"/>
      <c r="B2985" s="82"/>
      <c r="C2985" s="82"/>
    </row>
    <row r="2986" spans="1:3" x14ac:dyDescent="0.2">
      <c r="A2986" s="82"/>
      <c r="B2986" s="82"/>
      <c r="C2986" s="82"/>
    </row>
    <row r="2987" spans="1:3" x14ac:dyDescent="0.2">
      <c r="A2987" s="82"/>
      <c r="B2987" s="82"/>
      <c r="C2987" s="82"/>
    </row>
    <row r="2988" spans="1:3" x14ac:dyDescent="0.2">
      <c r="A2988" s="82"/>
      <c r="B2988" s="82"/>
      <c r="C2988" s="82"/>
    </row>
    <row r="2989" spans="1:3" x14ac:dyDescent="0.2">
      <c r="A2989" s="82"/>
      <c r="B2989" s="82"/>
      <c r="C2989" s="82"/>
    </row>
    <row r="2990" spans="1:3" x14ac:dyDescent="0.2">
      <c r="A2990" s="82"/>
      <c r="B2990" s="82"/>
      <c r="C2990" s="82"/>
    </row>
    <row r="2991" spans="1:3" x14ac:dyDescent="0.2">
      <c r="A2991" s="82"/>
      <c r="B2991" s="82"/>
      <c r="C2991" s="82"/>
    </row>
    <row r="2992" spans="1:3" x14ac:dyDescent="0.2">
      <c r="A2992" s="82"/>
      <c r="B2992" s="82"/>
      <c r="C2992" s="82"/>
    </row>
    <row r="2993" spans="1:3" x14ac:dyDescent="0.2">
      <c r="A2993" s="82"/>
      <c r="B2993" s="82"/>
      <c r="C2993" s="82"/>
    </row>
    <row r="2994" spans="1:3" x14ac:dyDescent="0.2">
      <c r="A2994" s="82"/>
      <c r="B2994" s="82"/>
      <c r="C2994" s="82"/>
    </row>
    <row r="2995" spans="1:3" x14ac:dyDescent="0.2">
      <c r="A2995" s="82"/>
      <c r="B2995" s="82"/>
      <c r="C2995" s="82"/>
    </row>
    <row r="2996" spans="1:3" x14ac:dyDescent="0.2">
      <c r="A2996" s="82"/>
      <c r="B2996" s="82"/>
      <c r="C2996" s="82"/>
    </row>
    <row r="2997" spans="1:3" x14ac:dyDescent="0.2">
      <c r="A2997" s="82"/>
      <c r="B2997" s="82"/>
      <c r="C2997" s="82"/>
    </row>
    <row r="2998" spans="1:3" x14ac:dyDescent="0.2">
      <c r="A2998" s="82"/>
      <c r="B2998" s="82"/>
      <c r="C2998" s="82"/>
    </row>
    <row r="2999" spans="1:3" x14ac:dyDescent="0.2">
      <c r="A2999" s="82"/>
      <c r="B2999" s="82"/>
      <c r="C2999" s="82"/>
    </row>
    <row r="3000" spans="1:3" x14ac:dyDescent="0.2">
      <c r="A3000" s="82"/>
      <c r="B3000" s="82"/>
      <c r="C3000" s="82"/>
    </row>
    <row r="3001" spans="1:3" x14ac:dyDescent="0.2">
      <c r="A3001" s="82"/>
      <c r="B3001" s="82"/>
      <c r="C3001" s="82"/>
    </row>
    <row r="3002" spans="1:3" x14ac:dyDescent="0.2">
      <c r="A3002" s="82"/>
      <c r="B3002" s="82"/>
      <c r="C3002" s="82"/>
    </row>
    <row r="3003" spans="1:3" x14ac:dyDescent="0.2">
      <c r="A3003" s="82"/>
      <c r="B3003" s="82"/>
      <c r="C3003" s="82"/>
    </row>
    <row r="3004" spans="1:3" x14ac:dyDescent="0.2">
      <c r="A3004" s="82"/>
      <c r="B3004" s="82"/>
      <c r="C3004" s="82"/>
    </row>
    <row r="3005" spans="1:3" x14ac:dyDescent="0.2">
      <c r="A3005" s="82"/>
      <c r="B3005" s="82"/>
      <c r="C3005" s="82"/>
    </row>
    <row r="3006" spans="1:3" x14ac:dyDescent="0.2">
      <c r="A3006" s="82"/>
      <c r="B3006" s="82"/>
      <c r="C3006" s="82"/>
    </row>
    <row r="3007" spans="1:3" x14ac:dyDescent="0.2">
      <c r="A3007" s="82"/>
      <c r="B3007" s="82"/>
      <c r="C3007" s="82"/>
    </row>
    <row r="3008" spans="1:3" x14ac:dyDescent="0.2">
      <c r="A3008" s="82"/>
      <c r="B3008" s="82"/>
      <c r="C3008" s="82"/>
    </row>
    <row r="3009" spans="1:3" x14ac:dyDescent="0.2">
      <c r="A3009" s="82"/>
      <c r="B3009" s="82"/>
      <c r="C3009" s="82"/>
    </row>
    <row r="3010" spans="1:3" x14ac:dyDescent="0.2">
      <c r="A3010" s="82"/>
      <c r="B3010" s="82"/>
      <c r="C3010" s="82"/>
    </row>
    <row r="3011" spans="1:3" x14ac:dyDescent="0.2">
      <c r="A3011" s="82"/>
      <c r="B3011" s="82"/>
      <c r="C3011" s="82"/>
    </row>
    <row r="3012" spans="1:3" x14ac:dyDescent="0.2">
      <c r="A3012" s="82"/>
      <c r="B3012" s="82"/>
      <c r="C3012" s="82"/>
    </row>
    <row r="3013" spans="1:3" x14ac:dyDescent="0.2">
      <c r="A3013" s="82"/>
      <c r="B3013" s="82"/>
      <c r="C3013" s="82"/>
    </row>
    <row r="3014" spans="1:3" x14ac:dyDescent="0.2">
      <c r="A3014" s="82"/>
      <c r="B3014" s="82"/>
      <c r="C3014" s="82"/>
    </row>
    <row r="3015" spans="1:3" x14ac:dyDescent="0.2">
      <c r="A3015" s="82"/>
      <c r="B3015" s="82"/>
      <c r="C3015" s="82"/>
    </row>
    <row r="3016" spans="1:3" x14ac:dyDescent="0.2">
      <c r="A3016" s="82"/>
      <c r="B3016" s="82"/>
      <c r="C3016" s="82"/>
    </row>
    <row r="3017" spans="1:3" x14ac:dyDescent="0.2">
      <c r="A3017" s="82"/>
      <c r="B3017" s="82"/>
      <c r="C3017" s="82"/>
    </row>
    <row r="3018" spans="1:3" x14ac:dyDescent="0.2">
      <c r="A3018" s="82"/>
      <c r="B3018" s="82"/>
      <c r="C3018" s="82"/>
    </row>
    <row r="3019" spans="1:3" x14ac:dyDescent="0.2">
      <c r="A3019" s="82"/>
      <c r="B3019" s="82"/>
      <c r="C3019" s="82"/>
    </row>
    <row r="3020" spans="1:3" x14ac:dyDescent="0.2">
      <c r="A3020" s="82"/>
      <c r="B3020" s="82"/>
      <c r="C3020" s="82"/>
    </row>
    <row r="3021" spans="1:3" x14ac:dyDescent="0.2">
      <c r="A3021" s="82"/>
      <c r="B3021" s="82"/>
      <c r="C3021" s="82"/>
    </row>
    <row r="3022" spans="1:3" x14ac:dyDescent="0.2">
      <c r="A3022" s="82"/>
      <c r="B3022" s="82"/>
      <c r="C3022" s="82"/>
    </row>
    <row r="3023" spans="1:3" x14ac:dyDescent="0.2">
      <c r="A3023" s="82"/>
      <c r="B3023" s="82"/>
      <c r="C3023" s="82"/>
    </row>
    <row r="3024" spans="1:3" x14ac:dyDescent="0.2">
      <c r="A3024" s="82"/>
      <c r="B3024" s="82"/>
      <c r="C3024" s="82"/>
    </row>
    <row r="3025" spans="1:3" x14ac:dyDescent="0.2">
      <c r="A3025" s="82"/>
      <c r="B3025" s="82"/>
      <c r="C3025" s="82"/>
    </row>
    <row r="3026" spans="1:3" x14ac:dyDescent="0.2">
      <c r="A3026" s="82"/>
      <c r="B3026" s="82"/>
      <c r="C3026" s="82"/>
    </row>
    <row r="3027" spans="1:3" x14ac:dyDescent="0.2">
      <c r="A3027" s="82"/>
      <c r="B3027" s="82"/>
      <c r="C3027" s="82"/>
    </row>
    <row r="3028" spans="1:3" x14ac:dyDescent="0.2">
      <c r="A3028" s="82"/>
      <c r="B3028" s="82"/>
      <c r="C3028" s="82"/>
    </row>
    <row r="3029" spans="1:3" x14ac:dyDescent="0.2">
      <c r="A3029" s="82"/>
      <c r="B3029" s="82"/>
      <c r="C3029" s="82"/>
    </row>
    <row r="3030" spans="1:3" x14ac:dyDescent="0.2">
      <c r="A3030" s="82"/>
      <c r="B3030" s="82"/>
      <c r="C3030" s="82"/>
    </row>
    <row r="3031" spans="1:3" x14ac:dyDescent="0.2">
      <c r="A3031" s="82"/>
      <c r="B3031" s="82"/>
      <c r="C3031" s="82"/>
    </row>
    <row r="3032" spans="1:3" x14ac:dyDescent="0.2">
      <c r="A3032" s="82"/>
      <c r="B3032" s="82"/>
      <c r="C3032" s="82"/>
    </row>
    <row r="3033" spans="1:3" x14ac:dyDescent="0.2">
      <c r="A3033" s="82"/>
      <c r="B3033" s="82"/>
      <c r="C3033" s="82"/>
    </row>
    <row r="3034" spans="1:3" x14ac:dyDescent="0.2">
      <c r="A3034" s="82"/>
      <c r="B3034" s="82"/>
      <c r="C3034" s="82"/>
    </row>
    <row r="3035" spans="1:3" x14ac:dyDescent="0.2">
      <c r="A3035" s="82"/>
      <c r="B3035" s="82"/>
      <c r="C3035" s="82"/>
    </row>
    <row r="3036" spans="1:3" x14ac:dyDescent="0.2">
      <c r="A3036" s="82"/>
      <c r="B3036" s="82"/>
      <c r="C3036" s="82"/>
    </row>
    <row r="3037" spans="1:3" x14ac:dyDescent="0.2">
      <c r="A3037" s="82"/>
      <c r="B3037" s="82"/>
      <c r="C3037" s="82"/>
    </row>
    <row r="3038" spans="1:3" x14ac:dyDescent="0.2">
      <c r="A3038" s="82"/>
      <c r="B3038" s="82"/>
      <c r="C3038" s="82"/>
    </row>
    <row r="3039" spans="1:3" x14ac:dyDescent="0.2">
      <c r="A3039" s="82"/>
      <c r="B3039" s="82"/>
      <c r="C3039" s="82"/>
    </row>
    <row r="3040" spans="1:3" x14ac:dyDescent="0.2">
      <c r="A3040" s="82"/>
      <c r="B3040" s="82"/>
      <c r="C3040" s="82"/>
    </row>
    <row r="3041" spans="1:3" x14ac:dyDescent="0.2">
      <c r="A3041" s="82"/>
      <c r="B3041" s="82"/>
      <c r="C3041" s="82"/>
    </row>
    <row r="3042" spans="1:3" x14ac:dyDescent="0.2">
      <c r="A3042" s="82"/>
      <c r="B3042" s="82"/>
      <c r="C3042" s="82"/>
    </row>
    <row r="3043" spans="1:3" x14ac:dyDescent="0.2">
      <c r="A3043" s="82"/>
      <c r="B3043" s="82"/>
      <c r="C3043" s="82"/>
    </row>
    <row r="3044" spans="1:3" x14ac:dyDescent="0.2">
      <c r="A3044" s="82"/>
      <c r="B3044" s="82"/>
      <c r="C3044" s="82"/>
    </row>
    <row r="3045" spans="1:3" x14ac:dyDescent="0.2">
      <c r="A3045" s="82"/>
      <c r="B3045" s="82"/>
      <c r="C3045" s="82"/>
    </row>
    <row r="3046" spans="1:3" x14ac:dyDescent="0.2">
      <c r="A3046" s="82"/>
      <c r="B3046" s="82"/>
      <c r="C3046" s="82"/>
    </row>
    <row r="3047" spans="1:3" x14ac:dyDescent="0.2">
      <c r="A3047" s="82"/>
      <c r="B3047" s="82"/>
      <c r="C3047" s="82"/>
    </row>
    <row r="3048" spans="1:3" x14ac:dyDescent="0.2">
      <c r="A3048" s="82"/>
      <c r="B3048" s="82"/>
      <c r="C3048" s="82"/>
    </row>
    <row r="3049" spans="1:3" x14ac:dyDescent="0.2">
      <c r="A3049" s="82"/>
      <c r="B3049" s="82"/>
      <c r="C3049" s="82"/>
    </row>
    <row r="3050" spans="1:3" x14ac:dyDescent="0.2">
      <c r="A3050" s="82"/>
      <c r="B3050" s="82"/>
      <c r="C3050" s="82"/>
    </row>
    <row r="3051" spans="1:3" x14ac:dyDescent="0.2">
      <c r="A3051" s="82"/>
      <c r="B3051" s="82"/>
      <c r="C3051" s="82"/>
    </row>
    <row r="3052" spans="1:3" x14ac:dyDescent="0.2">
      <c r="A3052" s="82"/>
      <c r="B3052" s="82"/>
      <c r="C3052" s="82"/>
    </row>
    <row r="3053" spans="1:3" x14ac:dyDescent="0.2">
      <c r="A3053" s="82"/>
      <c r="B3053" s="82"/>
      <c r="C3053" s="82"/>
    </row>
    <row r="3054" spans="1:3" x14ac:dyDescent="0.2">
      <c r="A3054" s="82"/>
      <c r="B3054" s="82"/>
      <c r="C3054" s="82"/>
    </row>
    <row r="3055" spans="1:3" x14ac:dyDescent="0.2">
      <c r="A3055" s="82"/>
      <c r="B3055" s="82"/>
      <c r="C3055" s="82"/>
    </row>
    <row r="3056" spans="1:3" x14ac:dyDescent="0.2">
      <c r="A3056" s="82"/>
      <c r="B3056" s="82"/>
      <c r="C3056" s="82"/>
    </row>
    <row r="3057" spans="1:3" x14ac:dyDescent="0.2">
      <c r="A3057" s="82"/>
      <c r="B3057" s="82"/>
      <c r="C3057" s="82"/>
    </row>
    <row r="3058" spans="1:3" x14ac:dyDescent="0.2">
      <c r="A3058" s="82"/>
      <c r="B3058" s="82"/>
      <c r="C3058" s="82"/>
    </row>
    <row r="3059" spans="1:3" x14ac:dyDescent="0.2">
      <c r="A3059" s="82"/>
      <c r="B3059" s="82"/>
      <c r="C3059" s="82"/>
    </row>
    <row r="3060" spans="1:3" x14ac:dyDescent="0.2">
      <c r="A3060" s="82"/>
      <c r="B3060" s="82"/>
      <c r="C3060" s="82"/>
    </row>
    <row r="3061" spans="1:3" x14ac:dyDescent="0.2">
      <c r="A3061" s="82"/>
      <c r="B3061" s="82"/>
      <c r="C3061" s="82"/>
    </row>
    <row r="3062" spans="1:3" x14ac:dyDescent="0.2">
      <c r="A3062" s="82"/>
      <c r="B3062" s="82"/>
      <c r="C3062" s="82"/>
    </row>
    <row r="3063" spans="1:3" x14ac:dyDescent="0.2">
      <c r="A3063" s="82"/>
      <c r="B3063" s="82"/>
      <c r="C3063" s="82"/>
    </row>
    <row r="3064" spans="1:3" x14ac:dyDescent="0.2">
      <c r="A3064" s="82"/>
      <c r="B3064" s="82"/>
      <c r="C3064" s="82"/>
    </row>
    <row r="3065" spans="1:3" x14ac:dyDescent="0.2">
      <c r="A3065" s="82"/>
      <c r="B3065" s="82"/>
      <c r="C3065" s="82"/>
    </row>
    <row r="3066" spans="1:3" x14ac:dyDescent="0.2">
      <c r="A3066" s="82"/>
      <c r="B3066" s="82"/>
      <c r="C3066" s="82"/>
    </row>
    <row r="3067" spans="1:3" x14ac:dyDescent="0.2">
      <c r="A3067" s="82"/>
      <c r="B3067" s="82"/>
      <c r="C3067" s="82"/>
    </row>
    <row r="3068" spans="1:3" x14ac:dyDescent="0.2">
      <c r="A3068" s="82"/>
      <c r="B3068" s="82"/>
      <c r="C3068" s="82"/>
    </row>
    <row r="3069" spans="1:3" x14ac:dyDescent="0.2">
      <c r="A3069" s="82"/>
      <c r="B3069" s="82"/>
      <c r="C3069" s="82"/>
    </row>
    <row r="3070" spans="1:3" x14ac:dyDescent="0.2">
      <c r="A3070" s="82"/>
      <c r="B3070" s="82"/>
      <c r="C3070" s="82"/>
    </row>
    <row r="3071" spans="1:3" x14ac:dyDescent="0.2">
      <c r="A3071" s="82"/>
      <c r="B3071" s="82"/>
      <c r="C3071" s="82"/>
    </row>
    <row r="3072" spans="1:3" x14ac:dyDescent="0.2">
      <c r="A3072" s="82"/>
      <c r="B3072" s="82"/>
      <c r="C3072" s="82"/>
    </row>
    <row r="3073" spans="1:3" x14ac:dyDescent="0.2">
      <c r="A3073" s="82"/>
      <c r="B3073" s="82"/>
      <c r="C3073" s="82"/>
    </row>
    <row r="3074" spans="1:3" x14ac:dyDescent="0.2">
      <c r="A3074" s="82"/>
      <c r="B3074" s="82"/>
      <c r="C3074" s="82"/>
    </row>
    <row r="3075" spans="1:3" x14ac:dyDescent="0.2">
      <c r="A3075" s="82"/>
      <c r="B3075" s="82"/>
      <c r="C3075" s="82"/>
    </row>
    <row r="3076" spans="1:3" x14ac:dyDescent="0.2">
      <c r="A3076" s="82"/>
      <c r="B3076" s="82"/>
      <c r="C3076" s="82"/>
    </row>
    <row r="3077" spans="1:3" x14ac:dyDescent="0.2">
      <c r="A3077" s="82"/>
      <c r="B3077" s="82"/>
      <c r="C3077" s="82"/>
    </row>
    <row r="3078" spans="1:3" x14ac:dyDescent="0.2">
      <c r="A3078" s="82"/>
      <c r="B3078" s="82"/>
      <c r="C3078" s="82"/>
    </row>
    <row r="3079" spans="1:3" x14ac:dyDescent="0.2">
      <c r="A3079" s="82"/>
      <c r="B3079" s="82"/>
      <c r="C3079" s="82"/>
    </row>
    <row r="3080" spans="1:3" x14ac:dyDescent="0.2">
      <c r="A3080" s="82"/>
      <c r="B3080" s="82"/>
      <c r="C3080" s="82"/>
    </row>
    <row r="3081" spans="1:3" x14ac:dyDescent="0.2">
      <c r="A3081" s="82"/>
      <c r="B3081" s="82"/>
      <c r="C3081" s="82"/>
    </row>
    <row r="3082" spans="1:3" x14ac:dyDescent="0.2">
      <c r="A3082" s="82"/>
      <c r="B3082" s="82"/>
      <c r="C3082" s="82"/>
    </row>
    <row r="3083" spans="1:3" x14ac:dyDescent="0.2">
      <c r="A3083" s="82"/>
      <c r="B3083" s="82"/>
      <c r="C3083" s="82"/>
    </row>
    <row r="3084" spans="1:3" x14ac:dyDescent="0.2">
      <c r="A3084" s="82"/>
      <c r="B3084" s="82"/>
      <c r="C3084" s="82"/>
    </row>
    <row r="3085" spans="1:3" x14ac:dyDescent="0.2">
      <c r="A3085" s="82"/>
      <c r="B3085" s="82"/>
      <c r="C3085" s="82"/>
    </row>
    <row r="3086" spans="1:3" x14ac:dyDescent="0.2">
      <c r="A3086" s="82"/>
      <c r="B3086" s="82"/>
      <c r="C3086" s="82"/>
    </row>
    <row r="3087" spans="1:3" x14ac:dyDescent="0.2">
      <c r="A3087" s="82"/>
      <c r="B3087" s="82"/>
      <c r="C3087" s="82"/>
    </row>
    <row r="3088" spans="1:3" x14ac:dyDescent="0.2">
      <c r="A3088" s="82"/>
      <c r="B3088" s="82"/>
      <c r="C3088" s="82"/>
    </row>
    <row r="3089" spans="1:3" x14ac:dyDescent="0.2">
      <c r="A3089" s="82"/>
      <c r="B3089" s="82"/>
      <c r="C3089" s="82"/>
    </row>
    <row r="3090" spans="1:3" x14ac:dyDescent="0.2">
      <c r="A3090" s="82"/>
      <c r="B3090" s="82"/>
      <c r="C3090" s="82"/>
    </row>
    <row r="3091" spans="1:3" x14ac:dyDescent="0.2">
      <c r="A3091" s="82"/>
      <c r="B3091" s="82"/>
      <c r="C3091" s="82"/>
    </row>
    <row r="3092" spans="1:3" x14ac:dyDescent="0.2">
      <c r="A3092" s="82"/>
      <c r="B3092" s="82"/>
      <c r="C3092" s="82"/>
    </row>
    <row r="3093" spans="1:3" x14ac:dyDescent="0.2">
      <c r="A3093" s="82"/>
      <c r="B3093" s="82"/>
      <c r="C3093" s="82"/>
    </row>
    <row r="3094" spans="1:3" x14ac:dyDescent="0.2">
      <c r="A3094" s="82"/>
      <c r="B3094" s="82"/>
      <c r="C3094" s="82"/>
    </row>
    <row r="3095" spans="1:3" x14ac:dyDescent="0.2">
      <c r="A3095" s="82"/>
      <c r="B3095" s="82"/>
      <c r="C3095" s="82"/>
    </row>
    <row r="3096" spans="1:3" x14ac:dyDescent="0.2">
      <c r="A3096" s="82"/>
      <c r="B3096" s="82"/>
      <c r="C3096" s="82"/>
    </row>
    <row r="3097" spans="1:3" x14ac:dyDescent="0.2">
      <c r="A3097" s="82"/>
      <c r="B3097" s="82"/>
      <c r="C3097" s="82"/>
    </row>
    <row r="3098" spans="1:3" x14ac:dyDescent="0.2">
      <c r="A3098" s="82"/>
      <c r="B3098" s="82"/>
      <c r="C3098" s="82"/>
    </row>
    <row r="3099" spans="1:3" x14ac:dyDescent="0.2">
      <c r="A3099" s="82"/>
      <c r="B3099" s="82"/>
      <c r="C3099" s="82"/>
    </row>
    <row r="3100" spans="1:3" x14ac:dyDescent="0.2">
      <c r="A3100" s="82"/>
      <c r="B3100" s="82"/>
      <c r="C3100" s="82"/>
    </row>
    <row r="3101" spans="1:3" x14ac:dyDescent="0.2">
      <c r="A3101" s="82"/>
      <c r="B3101" s="82"/>
      <c r="C3101" s="82"/>
    </row>
    <row r="3102" spans="1:3" x14ac:dyDescent="0.2">
      <c r="A3102" s="82"/>
      <c r="B3102" s="82"/>
      <c r="C3102" s="82"/>
    </row>
    <row r="3103" spans="1:3" x14ac:dyDescent="0.2">
      <c r="A3103" s="82"/>
      <c r="B3103" s="82"/>
      <c r="C3103" s="82"/>
    </row>
    <row r="3104" spans="1:3" x14ac:dyDescent="0.2">
      <c r="A3104" s="82"/>
      <c r="B3104" s="82"/>
      <c r="C3104" s="82"/>
    </row>
    <row r="3105" spans="1:3" x14ac:dyDescent="0.2">
      <c r="A3105" s="82"/>
      <c r="B3105" s="82"/>
      <c r="C3105" s="82"/>
    </row>
    <row r="3106" spans="1:3" x14ac:dyDescent="0.2">
      <c r="A3106" s="82"/>
      <c r="B3106" s="82"/>
      <c r="C3106" s="82"/>
    </row>
    <row r="3107" spans="1:3" x14ac:dyDescent="0.2">
      <c r="A3107" s="82"/>
      <c r="B3107" s="82"/>
      <c r="C3107" s="82"/>
    </row>
    <row r="3108" spans="1:3" x14ac:dyDescent="0.2">
      <c r="A3108" s="82"/>
      <c r="B3108" s="82"/>
      <c r="C3108" s="82"/>
    </row>
    <row r="3109" spans="1:3" x14ac:dyDescent="0.2">
      <c r="A3109" s="82"/>
      <c r="B3109" s="82"/>
      <c r="C3109" s="82"/>
    </row>
    <row r="3110" spans="1:3" x14ac:dyDescent="0.2">
      <c r="A3110" s="82"/>
      <c r="B3110" s="82"/>
      <c r="C3110" s="82"/>
    </row>
    <row r="3111" spans="1:3" x14ac:dyDescent="0.2">
      <c r="A3111" s="82"/>
      <c r="B3111" s="82"/>
      <c r="C3111" s="82"/>
    </row>
    <row r="3112" spans="1:3" x14ac:dyDescent="0.2">
      <c r="A3112" s="82"/>
      <c r="B3112" s="82"/>
      <c r="C3112" s="82"/>
    </row>
    <row r="3113" spans="1:3" x14ac:dyDescent="0.2">
      <c r="A3113" s="82"/>
      <c r="B3113" s="82"/>
      <c r="C3113" s="82"/>
    </row>
    <row r="3114" spans="1:3" x14ac:dyDescent="0.2">
      <c r="A3114" s="82"/>
      <c r="B3114" s="82"/>
      <c r="C3114" s="82"/>
    </row>
    <row r="3115" spans="1:3" x14ac:dyDescent="0.2">
      <c r="A3115" s="82"/>
      <c r="B3115" s="82"/>
      <c r="C3115" s="82"/>
    </row>
    <row r="3116" spans="1:3" x14ac:dyDescent="0.2">
      <c r="A3116" s="82"/>
      <c r="B3116" s="82"/>
      <c r="C3116" s="82"/>
    </row>
    <row r="3117" spans="1:3" x14ac:dyDescent="0.2">
      <c r="A3117" s="82"/>
      <c r="B3117" s="82"/>
      <c r="C3117" s="82"/>
    </row>
    <row r="3118" spans="1:3" x14ac:dyDescent="0.2">
      <c r="A3118" s="82"/>
      <c r="B3118" s="82"/>
      <c r="C3118" s="82"/>
    </row>
    <row r="3119" spans="1:3" x14ac:dyDescent="0.2">
      <c r="A3119" s="82"/>
      <c r="B3119" s="82"/>
      <c r="C3119" s="82"/>
    </row>
    <row r="3120" spans="1:3" x14ac:dyDescent="0.2">
      <c r="A3120" s="82"/>
      <c r="B3120" s="82"/>
      <c r="C3120" s="82"/>
    </row>
    <row r="3121" spans="1:3" x14ac:dyDescent="0.2">
      <c r="A3121" s="82"/>
      <c r="B3121" s="82"/>
      <c r="C3121" s="82"/>
    </row>
    <row r="3122" spans="1:3" x14ac:dyDescent="0.2">
      <c r="A3122" s="82"/>
      <c r="B3122" s="82"/>
      <c r="C3122" s="82"/>
    </row>
    <row r="3123" spans="1:3" x14ac:dyDescent="0.2">
      <c r="A3123" s="82"/>
      <c r="B3123" s="82"/>
      <c r="C3123" s="82"/>
    </row>
    <row r="3124" spans="1:3" x14ac:dyDescent="0.2">
      <c r="A3124" s="82"/>
      <c r="B3124" s="82"/>
      <c r="C3124" s="82"/>
    </row>
    <row r="3125" spans="1:3" x14ac:dyDescent="0.2">
      <c r="A3125" s="82"/>
      <c r="B3125" s="82"/>
      <c r="C3125" s="82"/>
    </row>
    <row r="3126" spans="1:3" x14ac:dyDescent="0.2">
      <c r="A3126" s="82"/>
      <c r="B3126" s="82"/>
      <c r="C3126" s="82"/>
    </row>
    <row r="3127" spans="1:3" x14ac:dyDescent="0.2">
      <c r="A3127" s="82"/>
      <c r="B3127" s="82"/>
      <c r="C3127" s="82"/>
    </row>
    <row r="3128" spans="1:3" x14ac:dyDescent="0.2">
      <c r="A3128" s="82"/>
      <c r="B3128" s="82"/>
      <c r="C3128" s="82"/>
    </row>
    <row r="3129" spans="1:3" x14ac:dyDescent="0.2">
      <c r="A3129" s="82"/>
      <c r="B3129" s="82"/>
      <c r="C3129" s="82"/>
    </row>
    <row r="3130" spans="1:3" x14ac:dyDescent="0.2">
      <c r="A3130" s="82"/>
      <c r="B3130" s="82"/>
      <c r="C3130" s="82"/>
    </row>
    <row r="3131" spans="1:3" x14ac:dyDescent="0.2">
      <c r="A3131" s="82"/>
      <c r="B3131" s="82"/>
      <c r="C3131" s="82"/>
    </row>
    <row r="3132" spans="1:3" x14ac:dyDescent="0.2">
      <c r="A3132" s="82"/>
      <c r="B3132" s="82"/>
      <c r="C3132" s="82"/>
    </row>
    <row r="3133" spans="1:3" x14ac:dyDescent="0.2">
      <c r="A3133" s="82"/>
      <c r="B3133" s="82"/>
      <c r="C3133" s="82"/>
    </row>
    <row r="3134" spans="1:3" x14ac:dyDescent="0.2">
      <c r="A3134" s="82"/>
      <c r="B3134" s="82"/>
      <c r="C3134" s="82"/>
    </row>
    <row r="3135" spans="1:3" x14ac:dyDescent="0.2">
      <c r="A3135" s="82"/>
      <c r="B3135" s="82"/>
      <c r="C3135" s="82"/>
    </row>
    <row r="3136" spans="1:3" x14ac:dyDescent="0.2">
      <c r="A3136" s="82"/>
      <c r="B3136" s="82"/>
      <c r="C3136" s="82"/>
    </row>
    <row r="3137" spans="1:3" x14ac:dyDescent="0.2">
      <c r="A3137" s="82"/>
      <c r="B3137" s="82"/>
      <c r="C3137" s="82"/>
    </row>
    <row r="3138" spans="1:3" x14ac:dyDescent="0.2">
      <c r="A3138" s="82"/>
      <c r="B3138" s="82"/>
      <c r="C3138" s="82"/>
    </row>
    <row r="3139" spans="1:3" x14ac:dyDescent="0.2">
      <c r="A3139" s="82"/>
      <c r="B3139" s="82"/>
      <c r="C3139" s="82"/>
    </row>
    <row r="3140" spans="1:3" x14ac:dyDescent="0.2">
      <c r="A3140" s="82"/>
      <c r="B3140" s="82"/>
      <c r="C3140" s="82"/>
    </row>
    <row r="3141" spans="1:3" x14ac:dyDescent="0.2">
      <c r="A3141" s="82"/>
      <c r="B3141" s="82"/>
      <c r="C3141" s="82"/>
    </row>
    <row r="3142" spans="1:3" x14ac:dyDescent="0.2">
      <c r="A3142" s="82"/>
      <c r="B3142" s="82"/>
      <c r="C3142" s="82"/>
    </row>
    <row r="3143" spans="1:3" x14ac:dyDescent="0.2">
      <c r="A3143" s="82"/>
      <c r="B3143" s="82"/>
      <c r="C3143" s="82"/>
    </row>
    <row r="3144" spans="1:3" x14ac:dyDescent="0.2">
      <c r="A3144" s="82"/>
      <c r="B3144" s="82"/>
      <c r="C3144" s="82"/>
    </row>
    <row r="3145" spans="1:3" x14ac:dyDescent="0.2">
      <c r="A3145" s="82"/>
      <c r="B3145" s="82"/>
      <c r="C3145" s="82"/>
    </row>
    <row r="3146" spans="1:3" x14ac:dyDescent="0.2">
      <c r="A3146" s="82"/>
      <c r="B3146" s="82"/>
      <c r="C3146" s="82"/>
    </row>
    <row r="3147" spans="1:3" x14ac:dyDescent="0.2">
      <c r="A3147" s="82"/>
      <c r="B3147" s="82"/>
      <c r="C3147" s="82"/>
    </row>
    <row r="3148" spans="1:3" x14ac:dyDescent="0.2">
      <c r="A3148" s="82"/>
      <c r="B3148" s="82"/>
      <c r="C3148" s="82"/>
    </row>
    <row r="3149" spans="1:3" x14ac:dyDescent="0.2">
      <c r="A3149" s="82"/>
      <c r="B3149" s="82"/>
      <c r="C3149" s="82"/>
    </row>
    <row r="3150" spans="1:3" x14ac:dyDescent="0.2">
      <c r="A3150" s="82"/>
      <c r="B3150" s="82"/>
      <c r="C3150" s="82"/>
    </row>
    <row r="3151" spans="1:3" x14ac:dyDescent="0.2">
      <c r="A3151" s="82"/>
      <c r="B3151" s="82"/>
      <c r="C3151" s="82"/>
    </row>
    <row r="3152" spans="1:3" x14ac:dyDescent="0.2">
      <c r="A3152" s="82"/>
      <c r="B3152" s="82"/>
      <c r="C3152" s="82"/>
    </row>
    <row r="3153" spans="1:3" x14ac:dyDescent="0.2">
      <c r="A3153" s="82"/>
      <c r="B3153" s="82"/>
      <c r="C3153" s="82"/>
    </row>
    <row r="3154" spans="1:3" x14ac:dyDescent="0.2">
      <c r="A3154" s="82"/>
      <c r="B3154" s="82"/>
      <c r="C3154" s="82"/>
    </row>
    <row r="3155" spans="1:3" x14ac:dyDescent="0.2">
      <c r="A3155" s="82"/>
      <c r="B3155" s="82"/>
      <c r="C3155" s="82"/>
    </row>
    <row r="3156" spans="1:3" x14ac:dyDescent="0.2">
      <c r="A3156" s="82"/>
      <c r="B3156" s="82"/>
      <c r="C3156" s="82"/>
    </row>
    <row r="3157" spans="1:3" x14ac:dyDescent="0.2">
      <c r="A3157" s="82"/>
      <c r="B3157" s="82"/>
      <c r="C3157" s="82"/>
    </row>
    <row r="3158" spans="1:3" x14ac:dyDescent="0.2">
      <c r="A3158" s="82"/>
      <c r="B3158" s="82"/>
      <c r="C3158" s="82"/>
    </row>
    <row r="3159" spans="1:3" x14ac:dyDescent="0.2">
      <c r="A3159" s="82"/>
      <c r="B3159" s="82"/>
      <c r="C3159" s="82"/>
    </row>
    <row r="3160" spans="1:3" x14ac:dyDescent="0.2">
      <c r="A3160" s="82"/>
      <c r="B3160" s="82"/>
      <c r="C3160" s="82"/>
    </row>
    <row r="3161" spans="1:3" x14ac:dyDescent="0.2">
      <c r="A3161" s="82"/>
      <c r="B3161" s="82"/>
      <c r="C3161" s="82"/>
    </row>
    <row r="3162" spans="1:3" x14ac:dyDescent="0.2">
      <c r="A3162" s="82"/>
      <c r="B3162" s="82"/>
      <c r="C3162" s="82"/>
    </row>
    <row r="3163" spans="1:3" x14ac:dyDescent="0.2">
      <c r="A3163" s="82"/>
      <c r="B3163" s="82"/>
      <c r="C3163" s="82"/>
    </row>
    <row r="3164" spans="1:3" x14ac:dyDescent="0.2">
      <c r="A3164" s="82"/>
      <c r="B3164" s="82"/>
      <c r="C3164" s="82"/>
    </row>
    <row r="3165" spans="1:3" x14ac:dyDescent="0.2">
      <c r="A3165" s="82"/>
      <c r="B3165" s="82"/>
      <c r="C3165" s="82"/>
    </row>
    <row r="3166" spans="1:3" x14ac:dyDescent="0.2">
      <c r="A3166" s="82"/>
      <c r="B3166" s="82"/>
      <c r="C3166" s="82"/>
    </row>
    <row r="3167" spans="1:3" x14ac:dyDescent="0.2">
      <c r="A3167" s="82"/>
      <c r="B3167" s="82"/>
      <c r="C3167" s="82"/>
    </row>
    <row r="3168" spans="1:3" x14ac:dyDescent="0.2">
      <c r="A3168" s="82"/>
      <c r="B3168" s="82"/>
      <c r="C3168" s="82"/>
    </row>
    <row r="3169" spans="1:3" x14ac:dyDescent="0.2">
      <c r="A3169" s="82"/>
      <c r="B3169" s="82"/>
      <c r="C3169" s="82"/>
    </row>
    <row r="3170" spans="1:3" x14ac:dyDescent="0.2">
      <c r="A3170" s="82"/>
      <c r="B3170" s="82"/>
      <c r="C3170" s="82"/>
    </row>
    <row r="3171" spans="1:3" x14ac:dyDescent="0.2">
      <c r="A3171" s="82"/>
      <c r="B3171" s="82"/>
      <c r="C3171" s="82"/>
    </row>
    <row r="3172" spans="1:3" x14ac:dyDescent="0.2">
      <c r="A3172" s="82"/>
      <c r="B3172" s="82"/>
      <c r="C3172" s="82"/>
    </row>
    <row r="3173" spans="1:3" x14ac:dyDescent="0.2">
      <c r="A3173" s="82"/>
      <c r="B3173" s="82"/>
      <c r="C3173" s="82"/>
    </row>
    <row r="3174" spans="1:3" x14ac:dyDescent="0.2">
      <c r="A3174" s="82"/>
      <c r="B3174" s="82"/>
      <c r="C3174" s="82"/>
    </row>
    <row r="3175" spans="1:3" x14ac:dyDescent="0.2">
      <c r="A3175" s="82"/>
      <c r="B3175" s="82"/>
      <c r="C3175" s="82"/>
    </row>
    <row r="3176" spans="1:3" x14ac:dyDescent="0.2">
      <c r="A3176" s="82"/>
      <c r="B3176" s="82"/>
      <c r="C3176" s="82"/>
    </row>
    <row r="3177" spans="1:3" x14ac:dyDescent="0.2">
      <c r="A3177" s="82"/>
      <c r="B3177" s="82"/>
      <c r="C3177" s="82"/>
    </row>
    <row r="3178" spans="1:3" x14ac:dyDescent="0.2">
      <c r="A3178" s="82"/>
      <c r="B3178" s="82"/>
      <c r="C3178" s="82"/>
    </row>
    <row r="3179" spans="1:3" x14ac:dyDescent="0.2">
      <c r="A3179" s="82"/>
      <c r="B3179" s="82"/>
      <c r="C3179" s="82"/>
    </row>
    <row r="3180" spans="1:3" x14ac:dyDescent="0.2">
      <c r="A3180" s="82"/>
      <c r="B3180" s="82"/>
      <c r="C3180" s="82"/>
    </row>
    <row r="3181" spans="1:3" x14ac:dyDescent="0.2">
      <c r="A3181" s="82"/>
      <c r="B3181" s="82"/>
      <c r="C3181" s="82"/>
    </row>
    <row r="3182" spans="1:3" x14ac:dyDescent="0.2">
      <c r="A3182" s="82"/>
      <c r="B3182" s="82"/>
      <c r="C3182" s="82"/>
    </row>
    <row r="3183" spans="1:3" x14ac:dyDescent="0.2">
      <c r="A3183" s="82"/>
      <c r="B3183" s="82"/>
      <c r="C3183" s="82"/>
    </row>
    <row r="3184" spans="1:3" x14ac:dyDescent="0.2">
      <c r="A3184" s="82"/>
      <c r="B3184" s="82"/>
      <c r="C3184" s="82"/>
    </row>
    <row r="3185" spans="1:3" x14ac:dyDescent="0.2">
      <c r="A3185" s="82"/>
      <c r="B3185" s="82"/>
      <c r="C3185" s="82"/>
    </row>
    <row r="3186" spans="1:3" x14ac:dyDescent="0.2">
      <c r="A3186" s="82"/>
      <c r="B3186" s="82"/>
      <c r="C3186" s="82"/>
    </row>
    <row r="3187" spans="1:3" x14ac:dyDescent="0.2">
      <c r="A3187" s="82"/>
      <c r="B3187" s="82"/>
      <c r="C3187" s="82"/>
    </row>
    <row r="3188" spans="1:3" x14ac:dyDescent="0.2">
      <c r="A3188" s="82"/>
      <c r="B3188" s="82"/>
      <c r="C3188" s="82"/>
    </row>
    <row r="3189" spans="1:3" x14ac:dyDescent="0.2">
      <c r="A3189" s="82"/>
      <c r="B3189" s="82"/>
      <c r="C3189" s="82"/>
    </row>
    <row r="3190" spans="1:3" x14ac:dyDescent="0.2">
      <c r="A3190" s="82"/>
      <c r="B3190" s="82"/>
      <c r="C3190" s="82"/>
    </row>
    <row r="3191" spans="1:3" x14ac:dyDescent="0.2">
      <c r="A3191" s="82"/>
      <c r="B3191" s="82"/>
      <c r="C3191" s="82"/>
    </row>
    <row r="3192" spans="1:3" x14ac:dyDescent="0.2">
      <c r="A3192" s="82"/>
      <c r="B3192" s="82"/>
      <c r="C3192" s="82"/>
    </row>
    <row r="3193" spans="1:3" x14ac:dyDescent="0.2">
      <c r="A3193" s="82"/>
      <c r="B3193" s="82"/>
      <c r="C3193" s="82"/>
    </row>
    <row r="3194" spans="1:3" x14ac:dyDescent="0.2">
      <c r="A3194" s="82"/>
      <c r="B3194" s="82"/>
      <c r="C3194" s="82"/>
    </row>
    <row r="3195" spans="1:3" x14ac:dyDescent="0.2">
      <c r="A3195" s="82"/>
      <c r="B3195" s="82"/>
      <c r="C3195" s="82"/>
    </row>
    <row r="3196" spans="1:3" x14ac:dyDescent="0.2">
      <c r="A3196" s="82"/>
      <c r="B3196" s="82"/>
      <c r="C3196" s="82"/>
    </row>
    <row r="3197" spans="1:3" x14ac:dyDescent="0.2">
      <c r="A3197" s="82"/>
      <c r="B3197" s="82"/>
      <c r="C3197" s="82"/>
    </row>
    <row r="3198" spans="1:3" x14ac:dyDescent="0.2">
      <c r="A3198" s="82"/>
      <c r="B3198" s="82"/>
      <c r="C3198" s="82"/>
    </row>
    <row r="3199" spans="1:3" x14ac:dyDescent="0.2">
      <c r="A3199" s="82"/>
      <c r="B3199" s="82"/>
      <c r="C3199" s="82"/>
    </row>
    <row r="3200" spans="1:3" x14ac:dyDescent="0.2">
      <c r="A3200" s="82"/>
      <c r="B3200" s="82"/>
      <c r="C3200" s="82"/>
    </row>
    <row r="3201" spans="1:3" x14ac:dyDescent="0.2">
      <c r="A3201" s="82"/>
      <c r="B3201" s="82"/>
      <c r="C3201" s="82"/>
    </row>
    <row r="3202" spans="1:3" x14ac:dyDescent="0.2">
      <c r="A3202" s="82"/>
      <c r="B3202" s="82"/>
      <c r="C3202" s="82"/>
    </row>
    <row r="3203" spans="1:3" x14ac:dyDescent="0.2">
      <c r="A3203" s="82"/>
      <c r="B3203" s="82"/>
      <c r="C3203" s="82"/>
    </row>
    <row r="3204" spans="1:3" x14ac:dyDescent="0.2">
      <c r="A3204" s="82"/>
      <c r="B3204" s="82"/>
      <c r="C3204" s="82"/>
    </row>
    <row r="3205" spans="1:3" x14ac:dyDescent="0.2">
      <c r="A3205" s="82"/>
      <c r="B3205" s="82"/>
      <c r="C3205" s="82"/>
    </row>
    <row r="3206" spans="1:3" x14ac:dyDescent="0.2">
      <c r="A3206" s="82"/>
      <c r="B3206" s="82"/>
      <c r="C3206" s="82"/>
    </row>
    <row r="3207" spans="1:3" x14ac:dyDescent="0.2">
      <c r="A3207" s="82"/>
      <c r="B3207" s="82"/>
      <c r="C3207" s="82"/>
    </row>
    <row r="3208" spans="1:3" x14ac:dyDescent="0.2">
      <c r="A3208" s="82"/>
      <c r="B3208" s="82"/>
      <c r="C3208" s="82"/>
    </row>
    <row r="3209" spans="1:3" x14ac:dyDescent="0.2">
      <c r="A3209" s="82"/>
      <c r="B3209" s="82"/>
      <c r="C3209" s="82"/>
    </row>
    <row r="3210" spans="1:3" x14ac:dyDescent="0.2">
      <c r="A3210" s="82"/>
      <c r="B3210" s="82"/>
      <c r="C3210" s="82"/>
    </row>
    <row r="3211" spans="1:3" x14ac:dyDescent="0.2">
      <c r="A3211" s="82"/>
      <c r="B3211" s="82"/>
      <c r="C3211" s="82"/>
    </row>
    <row r="3212" spans="1:3" x14ac:dyDescent="0.2">
      <c r="A3212" s="82"/>
      <c r="B3212" s="82"/>
      <c r="C3212" s="82"/>
    </row>
    <row r="3213" spans="1:3" x14ac:dyDescent="0.2">
      <c r="A3213" s="82"/>
      <c r="B3213" s="82"/>
      <c r="C3213" s="82"/>
    </row>
    <row r="3214" spans="1:3" x14ac:dyDescent="0.2">
      <c r="A3214" s="82"/>
      <c r="B3214" s="82"/>
      <c r="C3214" s="82"/>
    </row>
    <row r="3215" spans="1:3" x14ac:dyDescent="0.2">
      <c r="A3215" s="82"/>
      <c r="B3215" s="82"/>
      <c r="C3215" s="82"/>
    </row>
    <row r="3216" spans="1:3" x14ac:dyDescent="0.2">
      <c r="A3216" s="82"/>
      <c r="B3216" s="82"/>
      <c r="C3216" s="82"/>
    </row>
    <row r="3217" spans="1:3" x14ac:dyDescent="0.2">
      <c r="A3217" s="82"/>
      <c r="B3217" s="82"/>
      <c r="C3217" s="82"/>
    </row>
    <row r="3218" spans="1:3" x14ac:dyDescent="0.2">
      <c r="A3218" s="82"/>
      <c r="B3218" s="82"/>
      <c r="C3218" s="82"/>
    </row>
    <row r="3219" spans="1:3" x14ac:dyDescent="0.2">
      <c r="A3219" s="82"/>
      <c r="B3219" s="82"/>
      <c r="C3219" s="82"/>
    </row>
    <row r="3220" spans="1:3" x14ac:dyDescent="0.2">
      <c r="A3220" s="82"/>
      <c r="B3220" s="82"/>
      <c r="C3220" s="82"/>
    </row>
    <row r="3221" spans="1:3" x14ac:dyDescent="0.2">
      <c r="A3221" s="82"/>
      <c r="B3221" s="82"/>
      <c r="C3221" s="82"/>
    </row>
    <row r="3222" spans="1:3" x14ac:dyDescent="0.2">
      <c r="A3222" s="82"/>
      <c r="B3222" s="82"/>
      <c r="C3222" s="82"/>
    </row>
    <row r="3223" spans="1:3" x14ac:dyDescent="0.2">
      <c r="A3223" s="82"/>
      <c r="B3223" s="82"/>
      <c r="C3223" s="82"/>
    </row>
    <row r="3224" spans="1:3" x14ac:dyDescent="0.2">
      <c r="A3224" s="82"/>
      <c r="B3224" s="82"/>
      <c r="C3224" s="82"/>
    </row>
    <row r="3225" spans="1:3" x14ac:dyDescent="0.2">
      <c r="A3225" s="82"/>
      <c r="B3225" s="82"/>
      <c r="C3225" s="82"/>
    </row>
    <row r="3226" spans="1:3" x14ac:dyDescent="0.2">
      <c r="A3226" s="82"/>
      <c r="B3226" s="82"/>
      <c r="C3226" s="82"/>
    </row>
    <row r="3227" spans="1:3" x14ac:dyDescent="0.2">
      <c r="A3227" s="82"/>
      <c r="B3227" s="82"/>
      <c r="C3227" s="82"/>
    </row>
    <row r="3228" spans="1:3" x14ac:dyDescent="0.2">
      <c r="A3228" s="82"/>
      <c r="B3228" s="82"/>
      <c r="C3228" s="82"/>
    </row>
    <row r="3229" spans="1:3" x14ac:dyDescent="0.2">
      <c r="A3229" s="82"/>
      <c r="B3229" s="82"/>
      <c r="C3229" s="82"/>
    </row>
    <row r="3230" spans="1:3" x14ac:dyDescent="0.2">
      <c r="A3230" s="82"/>
      <c r="B3230" s="82"/>
      <c r="C3230" s="82"/>
    </row>
    <row r="3231" spans="1:3" x14ac:dyDescent="0.2">
      <c r="A3231" s="82"/>
      <c r="B3231" s="82"/>
      <c r="C3231" s="82"/>
    </row>
    <row r="3232" spans="1:3" x14ac:dyDescent="0.2">
      <c r="A3232" s="82"/>
      <c r="B3232" s="82"/>
      <c r="C3232" s="82"/>
    </row>
    <row r="3233" spans="1:3" x14ac:dyDescent="0.2">
      <c r="A3233" s="82"/>
      <c r="B3233" s="82"/>
      <c r="C3233" s="82"/>
    </row>
    <row r="3234" spans="1:3" x14ac:dyDescent="0.2">
      <c r="A3234" s="82"/>
      <c r="B3234" s="82"/>
      <c r="C3234" s="82"/>
    </row>
    <row r="3235" spans="1:3" x14ac:dyDescent="0.2">
      <c r="A3235" s="82"/>
      <c r="B3235" s="82"/>
      <c r="C3235" s="82"/>
    </row>
    <row r="3236" spans="1:3" x14ac:dyDescent="0.2">
      <c r="A3236" s="82"/>
      <c r="B3236" s="82"/>
      <c r="C3236" s="82"/>
    </row>
    <row r="3237" spans="1:3" x14ac:dyDescent="0.2">
      <c r="A3237" s="82"/>
      <c r="B3237" s="82"/>
      <c r="C3237" s="82"/>
    </row>
    <row r="3238" spans="1:3" x14ac:dyDescent="0.2">
      <c r="A3238" s="82"/>
      <c r="B3238" s="82"/>
      <c r="C3238" s="82"/>
    </row>
    <row r="3239" spans="1:3" x14ac:dyDescent="0.2">
      <c r="A3239" s="82"/>
      <c r="B3239" s="82"/>
      <c r="C3239" s="82"/>
    </row>
    <row r="3240" spans="1:3" x14ac:dyDescent="0.2">
      <c r="A3240" s="82"/>
      <c r="B3240" s="82"/>
      <c r="C3240" s="82"/>
    </row>
    <row r="3241" spans="1:3" x14ac:dyDescent="0.2">
      <c r="A3241" s="82"/>
      <c r="B3241" s="82"/>
      <c r="C3241" s="82"/>
    </row>
    <row r="3242" spans="1:3" x14ac:dyDescent="0.2">
      <c r="A3242" s="82"/>
      <c r="B3242" s="82"/>
      <c r="C3242" s="82"/>
    </row>
    <row r="3243" spans="1:3" x14ac:dyDescent="0.2">
      <c r="A3243" s="82"/>
      <c r="B3243" s="82"/>
      <c r="C3243" s="82"/>
    </row>
    <row r="3244" spans="1:3" x14ac:dyDescent="0.2">
      <c r="A3244" s="82"/>
      <c r="B3244" s="82"/>
      <c r="C3244" s="82"/>
    </row>
    <row r="3245" spans="1:3" x14ac:dyDescent="0.2">
      <c r="A3245" s="82"/>
      <c r="B3245" s="82"/>
      <c r="C3245" s="82"/>
    </row>
    <row r="3246" spans="1:3" x14ac:dyDescent="0.2">
      <c r="A3246" s="82"/>
      <c r="B3246" s="82"/>
      <c r="C3246" s="82"/>
    </row>
    <row r="3247" spans="1:3" x14ac:dyDescent="0.2">
      <c r="A3247" s="82"/>
      <c r="B3247" s="82"/>
      <c r="C3247" s="82"/>
    </row>
    <row r="3248" spans="1:3" x14ac:dyDescent="0.2">
      <c r="A3248" s="82"/>
      <c r="B3248" s="82"/>
      <c r="C3248" s="82"/>
    </row>
    <row r="3249" spans="1:3" x14ac:dyDescent="0.2">
      <c r="A3249" s="82"/>
      <c r="B3249" s="82"/>
      <c r="C3249" s="82"/>
    </row>
    <row r="3250" spans="1:3" x14ac:dyDescent="0.2">
      <c r="A3250" s="82"/>
      <c r="B3250" s="82"/>
      <c r="C3250" s="82"/>
    </row>
    <row r="3251" spans="1:3" x14ac:dyDescent="0.2">
      <c r="A3251" s="82"/>
      <c r="B3251" s="82"/>
      <c r="C3251" s="82"/>
    </row>
    <row r="3252" spans="1:3" x14ac:dyDescent="0.2">
      <c r="A3252" s="82"/>
      <c r="B3252" s="82"/>
      <c r="C3252" s="82"/>
    </row>
    <row r="3253" spans="1:3" x14ac:dyDescent="0.2">
      <c r="A3253" s="82"/>
      <c r="B3253" s="82"/>
      <c r="C3253" s="82"/>
    </row>
    <row r="3254" spans="1:3" x14ac:dyDescent="0.2">
      <c r="A3254" s="82"/>
      <c r="B3254" s="82"/>
      <c r="C3254" s="82"/>
    </row>
    <row r="3255" spans="1:3" x14ac:dyDescent="0.2">
      <c r="A3255" s="82"/>
      <c r="B3255" s="82"/>
      <c r="C3255" s="82"/>
    </row>
    <row r="3256" spans="1:3" x14ac:dyDescent="0.2">
      <c r="A3256" s="82"/>
      <c r="B3256" s="82"/>
      <c r="C3256" s="82"/>
    </row>
    <row r="3257" spans="1:3" x14ac:dyDescent="0.2">
      <c r="A3257" s="82"/>
      <c r="B3257" s="82"/>
      <c r="C3257" s="82"/>
    </row>
    <row r="3258" spans="1:3" x14ac:dyDescent="0.2">
      <c r="A3258" s="82"/>
      <c r="B3258" s="82"/>
      <c r="C3258" s="82"/>
    </row>
    <row r="3259" spans="1:3" x14ac:dyDescent="0.2">
      <c r="A3259" s="82"/>
      <c r="B3259" s="82"/>
      <c r="C3259" s="82"/>
    </row>
    <row r="3260" spans="1:3" x14ac:dyDescent="0.2">
      <c r="A3260" s="82"/>
      <c r="B3260" s="82"/>
      <c r="C3260" s="82"/>
    </row>
    <row r="3261" spans="1:3" x14ac:dyDescent="0.2">
      <c r="A3261" s="82"/>
      <c r="B3261" s="82"/>
      <c r="C3261" s="82"/>
    </row>
    <row r="3262" spans="1:3" x14ac:dyDescent="0.2">
      <c r="A3262" s="82"/>
      <c r="B3262" s="82"/>
      <c r="C3262" s="82"/>
    </row>
    <row r="3263" spans="1:3" x14ac:dyDescent="0.2">
      <c r="A3263" s="82"/>
      <c r="B3263" s="82"/>
      <c r="C3263" s="82"/>
    </row>
    <row r="3264" spans="1:3" x14ac:dyDescent="0.2">
      <c r="A3264" s="82"/>
      <c r="B3264" s="82"/>
      <c r="C3264" s="82"/>
    </row>
    <row r="3265" spans="1:3" x14ac:dyDescent="0.2">
      <c r="A3265" s="82"/>
      <c r="B3265" s="82"/>
      <c r="C3265" s="82"/>
    </row>
    <row r="3266" spans="1:3" x14ac:dyDescent="0.2">
      <c r="A3266" s="82"/>
      <c r="B3266" s="82"/>
      <c r="C3266" s="82"/>
    </row>
    <row r="3267" spans="1:3" x14ac:dyDescent="0.2">
      <c r="A3267" s="82"/>
      <c r="B3267" s="82"/>
      <c r="C3267" s="82"/>
    </row>
    <row r="3268" spans="1:3" x14ac:dyDescent="0.2">
      <c r="A3268" s="82"/>
      <c r="B3268" s="82"/>
      <c r="C3268" s="82"/>
    </row>
    <row r="3269" spans="1:3" x14ac:dyDescent="0.2">
      <c r="A3269" s="82"/>
      <c r="B3269" s="82"/>
      <c r="C3269" s="82"/>
    </row>
    <row r="3270" spans="1:3" x14ac:dyDescent="0.2">
      <c r="A3270" s="82"/>
      <c r="B3270" s="82"/>
      <c r="C3270" s="82"/>
    </row>
    <row r="3271" spans="1:3" x14ac:dyDescent="0.2">
      <c r="A3271" s="82"/>
      <c r="B3271" s="82"/>
      <c r="C3271" s="82"/>
    </row>
    <row r="3272" spans="1:3" x14ac:dyDescent="0.2">
      <c r="A3272" s="82"/>
      <c r="B3272" s="82"/>
      <c r="C3272" s="82"/>
    </row>
    <row r="3273" spans="1:3" x14ac:dyDescent="0.2">
      <c r="A3273" s="82"/>
      <c r="B3273" s="82"/>
      <c r="C3273" s="82"/>
    </row>
    <row r="3274" spans="1:3" x14ac:dyDescent="0.2">
      <c r="A3274" s="82"/>
      <c r="B3274" s="82"/>
      <c r="C3274" s="82"/>
    </row>
    <row r="3275" spans="1:3" x14ac:dyDescent="0.2">
      <c r="A3275" s="82"/>
      <c r="B3275" s="82"/>
      <c r="C3275" s="82"/>
    </row>
    <row r="3276" spans="1:3" x14ac:dyDescent="0.2">
      <c r="A3276" s="82"/>
      <c r="B3276" s="82"/>
      <c r="C3276" s="82"/>
    </row>
    <row r="3277" spans="1:3" x14ac:dyDescent="0.2">
      <c r="A3277" s="82"/>
      <c r="B3277" s="82"/>
      <c r="C3277" s="82"/>
    </row>
    <row r="3278" spans="1:3" x14ac:dyDescent="0.2">
      <c r="A3278" s="82"/>
      <c r="B3278" s="82"/>
      <c r="C3278" s="82"/>
    </row>
    <row r="3279" spans="1:3" x14ac:dyDescent="0.2">
      <c r="A3279" s="82"/>
      <c r="B3279" s="82"/>
      <c r="C3279" s="82"/>
    </row>
    <row r="3280" spans="1:3" x14ac:dyDescent="0.2">
      <c r="A3280" s="82"/>
      <c r="B3280" s="82"/>
      <c r="C3280" s="82"/>
    </row>
    <row r="3281" spans="1:3" x14ac:dyDescent="0.2">
      <c r="A3281" s="82"/>
      <c r="B3281" s="82"/>
      <c r="C3281" s="82"/>
    </row>
    <row r="3282" spans="1:3" x14ac:dyDescent="0.2">
      <c r="A3282" s="82"/>
      <c r="B3282" s="82"/>
      <c r="C3282" s="82"/>
    </row>
    <row r="3283" spans="1:3" x14ac:dyDescent="0.2">
      <c r="A3283" s="82"/>
      <c r="B3283" s="82"/>
      <c r="C3283" s="82"/>
    </row>
    <row r="3284" spans="1:3" x14ac:dyDescent="0.2">
      <c r="A3284" s="82"/>
      <c r="B3284" s="82"/>
      <c r="C3284" s="82"/>
    </row>
    <row r="3285" spans="1:3" x14ac:dyDescent="0.2">
      <c r="A3285" s="82"/>
      <c r="B3285" s="82"/>
      <c r="C3285" s="82"/>
    </row>
    <row r="3286" spans="1:3" x14ac:dyDescent="0.2">
      <c r="A3286" s="82"/>
      <c r="B3286" s="82"/>
      <c r="C3286" s="82"/>
    </row>
    <row r="3287" spans="1:3" x14ac:dyDescent="0.2">
      <c r="A3287" s="82"/>
      <c r="B3287" s="82"/>
      <c r="C3287" s="82"/>
    </row>
    <row r="3288" spans="1:3" x14ac:dyDescent="0.2">
      <c r="A3288" s="82"/>
      <c r="B3288" s="82"/>
      <c r="C3288" s="82"/>
    </row>
    <row r="3289" spans="1:3" x14ac:dyDescent="0.2">
      <c r="A3289" s="82"/>
      <c r="B3289" s="82"/>
      <c r="C3289" s="82"/>
    </row>
    <row r="3290" spans="1:3" x14ac:dyDescent="0.2">
      <c r="A3290" s="82"/>
      <c r="B3290" s="82"/>
      <c r="C3290" s="82"/>
    </row>
    <row r="3291" spans="1:3" x14ac:dyDescent="0.2">
      <c r="A3291" s="82"/>
      <c r="B3291" s="82"/>
      <c r="C3291" s="82"/>
    </row>
    <row r="3292" spans="1:3" x14ac:dyDescent="0.2">
      <c r="A3292" s="82"/>
      <c r="B3292" s="82"/>
      <c r="C3292" s="82"/>
    </row>
    <row r="3293" spans="1:3" x14ac:dyDescent="0.2">
      <c r="A3293" s="82"/>
      <c r="B3293" s="82"/>
      <c r="C3293" s="82"/>
    </row>
    <row r="3294" spans="1:3" x14ac:dyDescent="0.2">
      <c r="A3294" s="82"/>
      <c r="B3294" s="82"/>
      <c r="C3294" s="82"/>
    </row>
    <row r="3295" spans="1:3" x14ac:dyDescent="0.2">
      <c r="A3295" s="82"/>
      <c r="B3295" s="82"/>
      <c r="C3295" s="82"/>
    </row>
    <row r="3296" spans="1:3" x14ac:dyDescent="0.2">
      <c r="A3296" s="82"/>
      <c r="B3296" s="82"/>
      <c r="C3296" s="82"/>
    </row>
    <row r="3297" spans="1:3" x14ac:dyDescent="0.2">
      <c r="A3297" s="82"/>
      <c r="B3297" s="82"/>
      <c r="C3297" s="82"/>
    </row>
    <row r="3298" spans="1:3" x14ac:dyDescent="0.2">
      <c r="A3298" s="82"/>
      <c r="B3298" s="82"/>
      <c r="C3298" s="82"/>
    </row>
    <row r="3299" spans="1:3" x14ac:dyDescent="0.2">
      <c r="A3299" s="82"/>
      <c r="B3299" s="82"/>
      <c r="C3299" s="82"/>
    </row>
    <row r="3300" spans="1:3" x14ac:dyDescent="0.2">
      <c r="A3300" s="82"/>
      <c r="B3300" s="82"/>
      <c r="C3300" s="82"/>
    </row>
    <row r="3301" spans="1:3" x14ac:dyDescent="0.2">
      <c r="A3301" s="82"/>
      <c r="B3301" s="82"/>
      <c r="C3301" s="82"/>
    </row>
    <row r="3302" spans="1:3" x14ac:dyDescent="0.2">
      <c r="A3302" s="82"/>
      <c r="B3302" s="82"/>
      <c r="C3302" s="82"/>
    </row>
    <row r="3303" spans="1:3" x14ac:dyDescent="0.2">
      <c r="A3303" s="82"/>
      <c r="B3303" s="82"/>
      <c r="C3303" s="82"/>
    </row>
    <row r="3304" spans="1:3" x14ac:dyDescent="0.2">
      <c r="A3304" s="82"/>
      <c r="B3304" s="82"/>
      <c r="C3304" s="82"/>
    </row>
    <row r="3305" spans="1:3" x14ac:dyDescent="0.2">
      <c r="A3305" s="82"/>
      <c r="B3305" s="82"/>
      <c r="C3305" s="82"/>
    </row>
    <row r="3306" spans="1:3" x14ac:dyDescent="0.2">
      <c r="A3306" s="82"/>
      <c r="B3306" s="82"/>
      <c r="C3306" s="82"/>
    </row>
    <row r="3307" spans="1:3" x14ac:dyDescent="0.2">
      <c r="A3307" s="82"/>
      <c r="B3307" s="82"/>
      <c r="C3307" s="82"/>
    </row>
    <row r="3308" spans="1:3" x14ac:dyDescent="0.2">
      <c r="A3308" s="82"/>
      <c r="B3308" s="82"/>
      <c r="C3308" s="82"/>
    </row>
    <row r="3309" spans="1:3" x14ac:dyDescent="0.2">
      <c r="A3309" s="82"/>
      <c r="B3309" s="82"/>
      <c r="C3309" s="82"/>
    </row>
    <row r="3310" spans="1:3" x14ac:dyDescent="0.2">
      <c r="A3310" s="82"/>
      <c r="B3310" s="82"/>
      <c r="C3310" s="82"/>
    </row>
    <row r="3311" spans="1:3" x14ac:dyDescent="0.2">
      <c r="A3311" s="82"/>
      <c r="B3311" s="82"/>
      <c r="C3311" s="82"/>
    </row>
    <row r="3312" spans="1:3" x14ac:dyDescent="0.2">
      <c r="A3312" s="82"/>
      <c r="B3312" s="82"/>
      <c r="C3312" s="82"/>
    </row>
    <row r="3313" spans="1:3" x14ac:dyDescent="0.2">
      <c r="A3313" s="82"/>
      <c r="B3313" s="82"/>
      <c r="C3313" s="82"/>
    </row>
    <row r="3314" spans="1:3" x14ac:dyDescent="0.2">
      <c r="A3314" s="82"/>
      <c r="B3314" s="82"/>
      <c r="C3314" s="82"/>
    </row>
    <row r="3315" spans="1:3" x14ac:dyDescent="0.2">
      <c r="A3315" s="82"/>
      <c r="B3315" s="82"/>
      <c r="C3315" s="82"/>
    </row>
    <row r="3316" spans="1:3" x14ac:dyDescent="0.2">
      <c r="A3316" s="82"/>
      <c r="B3316" s="82"/>
      <c r="C3316" s="82"/>
    </row>
    <row r="3317" spans="1:3" x14ac:dyDescent="0.2">
      <c r="A3317" s="82"/>
      <c r="B3317" s="82"/>
      <c r="C3317" s="82"/>
    </row>
    <row r="3318" spans="1:3" x14ac:dyDescent="0.2">
      <c r="A3318" s="82"/>
      <c r="B3318" s="82"/>
      <c r="C3318" s="82"/>
    </row>
    <row r="3319" spans="1:3" x14ac:dyDescent="0.2">
      <c r="A3319" s="82"/>
      <c r="B3319" s="82"/>
      <c r="C3319" s="82"/>
    </row>
    <row r="3320" spans="1:3" x14ac:dyDescent="0.2">
      <c r="A3320" s="82"/>
      <c r="B3320" s="82"/>
      <c r="C3320" s="82"/>
    </row>
    <row r="3321" spans="1:3" x14ac:dyDescent="0.2">
      <c r="A3321" s="82"/>
      <c r="B3321" s="82"/>
      <c r="C3321" s="82"/>
    </row>
    <row r="3322" spans="1:3" x14ac:dyDescent="0.2">
      <c r="A3322" s="82"/>
      <c r="B3322" s="82"/>
      <c r="C3322" s="82"/>
    </row>
    <row r="3323" spans="1:3" x14ac:dyDescent="0.2">
      <c r="A3323" s="82"/>
      <c r="B3323" s="82"/>
      <c r="C3323" s="82"/>
    </row>
    <row r="3324" spans="1:3" x14ac:dyDescent="0.2">
      <c r="A3324" s="82"/>
      <c r="B3324" s="82"/>
      <c r="C3324" s="82"/>
    </row>
    <row r="3325" spans="1:3" x14ac:dyDescent="0.2">
      <c r="A3325" s="82"/>
      <c r="B3325" s="82"/>
      <c r="C3325" s="82"/>
    </row>
    <row r="3326" spans="1:3" x14ac:dyDescent="0.2">
      <c r="A3326" s="82"/>
      <c r="B3326" s="82"/>
      <c r="C3326" s="82"/>
    </row>
    <row r="3327" spans="1:3" x14ac:dyDescent="0.2">
      <c r="A3327" s="82"/>
      <c r="B3327" s="82"/>
      <c r="C3327" s="82"/>
    </row>
    <row r="3328" spans="1:3" x14ac:dyDescent="0.2">
      <c r="A3328" s="82"/>
      <c r="B3328" s="82"/>
      <c r="C3328" s="82"/>
    </row>
    <row r="3329" spans="1:3" x14ac:dyDescent="0.2">
      <c r="A3329" s="82"/>
      <c r="B3329" s="82"/>
      <c r="C3329" s="82"/>
    </row>
    <row r="3330" spans="1:3" x14ac:dyDescent="0.2">
      <c r="A3330" s="82"/>
      <c r="B3330" s="82"/>
      <c r="C3330" s="82"/>
    </row>
    <row r="3331" spans="1:3" x14ac:dyDescent="0.2">
      <c r="A3331" s="82"/>
      <c r="B3331" s="82"/>
      <c r="C3331" s="82"/>
    </row>
    <row r="3332" spans="1:3" x14ac:dyDescent="0.2">
      <c r="A3332" s="82"/>
      <c r="B3332" s="82"/>
      <c r="C3332" s="82"/>
    </row>
    <row r="3333" spans="1:3" x14ac:dyDescent="0.2">
      <c r="A3333" s="82"/>
      <c r="B3333" s="82"/>
      <c r="C3333" s="82"/>
    </row>
    <row r="3334" spans="1:3" x14ac:dyDescent="0.2">
      <c r="A3334" s="82"/>
      <c r="B3334" s="82"/>
      <c r="C3334" s="82"/>
    </row>
    <row r="3335" spans="1:3" x14ac:dyDescent="0.2">
      <c r="A3335" s="82"/>
      <c r="B3335" s="82"/>
      <c r="C3335" s="82"/>
    </row>
    <row r="3336" spans="1:3" x14ac:dyDescent="0.2">
      <c r="A3336" s="82"/>
      <c r="B3336" s="82"/>
      <c r="C3336" s="82"/>
    </row>
    <row r="3337" spans="1:3" x14ac:dyDescent="0.2">
      <c r="A3337" s="82"/>
      <c r="B3337" s="82"/>
      <c r="C3337" s="82"/>
    </row>
    <row r="3338" spans="1:3" x14ac:dyDescent="0.2">
      <c r="A3338" s="82"/>
      <c r="B3338" s="82"/>
      <c r="C3338" s="82"/>
    </row>
    <row r="3339" spans="1:3" x14ac:dyDescent="0.2">
      <c r="A3339" s="82"/>
      <c r="B3339" s="82"/>
      <c r="C3339" s="82"/>
    </row>
    <row r="3340" spans="1:3" x14ac:dyDescent="0.2">
      <c r="A3340" s="82"/>
      <c r="B3340" s="82"/>
      <c r="C3340" s="82"/>
    </row>
    <row r="3341" spans="1:3" x14ac:dyDescent="0.2">
      <c r="A3341" s="82"/>
      <c r="B3341" s="82"/>
      <c r="C3341" s="82"/>
    </row>
    <row r="3342" spans="1:3" x14ac:dyDescent="0.2">
      <c r="A3342" s="82"/>
      <c r="B3342" s="82"/>
      <c r="C3342" s="82"/>
    </row>
    <row r="3343" spans="1:3" x14ac:dyDescent="0.2">
      <c r="A3343" s="82"/>
      <c r="B3343" s="82"/>
      <c r="C3343" s="82"/>
    </row>
    <row r="3344" spans="1:3" x14ac:dyDescent="0.2">
      <c r="A3344" s="82"/>
      <c r="B3344" s="82"/>
      <c r="C3344" s="82"/>
    </row>
    <row r="3345" spans="1:3" x14ac:dyDescent="0.2">
      <c r="A3345" s="82"/>
      <c r="B3345" s="82"/>
      <c r="C3345" s="82"/>
    </row>
    <row r="3346" spans="1:3" x14ac:dyDescent="0.2">
      <c r="A3346" s="82"/>
      <c r="B3346" s="82"/>
      <c r="C3346" s="82"/>
    </row>
    <row r="3347" spans="1:3" x14ac:dyDescent="0.2">
      <c r="A3347" s="82"/>
      <c r="B3347" s="82"/>
      <c r="C3347" s="82"/>
    </row>
    <row r="3348" spans="1:3" x14ac:dyDescent="0.2">
      <c r="A3348" s="82"/>
      <c r="B3348" s="82"/>
      <c r="C3348" s="82"/>
    </row>
    <row r="3349" spans="1:3" x14ac:dyDescent="0.2">
      <c r="A3349" s="82"/>
      <c r="B3349" s="82"/>
      <c r="C3349" s="82"/>
    </row>
    <row r="3350" spans="1:3" x14ac:dyDescent="0.2">
      <c r="A3350" s="82"/>
      <c r="B3350" s="82"/>
      <c r="C3350" s="82"/>
    </row>
    <row r="3351" spans="1:3" x14ac:dyDescent="0.2">
      <c r="A3351" s="82"/>
      <c r="B3351" s="82"/>
      <c r="C3351" s="82"/>
    </row>
    <row r="3352" spans="1:3" x14ac:dyDescent="0.2">
      <c r="A3352" s="82"/>
      <c r="B3352" s="82"/>
      <c r="C3352" s="82"/>
    </row>
    <row r="3353" spans="1:3" x14ac:dyDescent="0.2">
      <c r="A3353" s="82"/>
      <c r="B3353" s="82"/>
      <c r="C3353" s="82"/>
    </row>
    <row r="3354" spans="1:3" x14ac:dyDescent="0.2">
      <c r="A3354" s="82"/>
      <c r="B3354" s="82"/>
      <c r="C3354" s="82"/>
    </row>
    <row r="3355" spans="1:3" x14ac:dyDescent="0.2">
      <c r="A3355" s="82"/>
      <c r="B3355" s="82"/>
      <c r="C3355" s="82"/>
    </row>
    <row r="3356" spans="1:3" x14ac:dyDescent="0.2">
      <c r="A3356" s="82"/>
      <c r="B3356" s="82"/>
      <c r="C3356" s="82"/>
    </row>
    <row r="3357" spans="1:3" x14ac:dyDescent="0.2">
      <c r="A3357" s="82"/>
      <c r="B3357" s="82"/>
      <c r="C3357" s="82"/>
    </row>
    <row r="3358" spans="1:3" x14ac:dyDescent="0.2">
      <c r="A3358" s="82"/>
      <c r="B3358" s="82"/>
      <c r="C3358" s="82"/>
    </row>
    <row r="3359" spans="1:3" x14ac:dyDescent="0.2">
      <c r="A3359" s="82"/>
      <c r="B3359" s="82"/>
      <c r="C3359" s="82"/>
    </row>
    <row r="3360" spans="1:3" x14ac:dyDescent="0.2">
      <c r="A3360" s="82"/>
      <c r="B3360" s="82"/>
      <c r="C3360" s="82"/>
    </row>
    <row r="3361" spans="1:3" x14ac:dyDescent="0.2">
      <c r="A3361" s="82"/>
      <c r="B3361" s="82"/>
      <c r="C3361" s="82"/>
    </row>
    <row r="3362" spans="1:3" x14ac:dyDescent="0.2">
      <c r="A3362" s="82"/>
      <c r="B3362" s="82"/>
      <c r="C3362" s="82"/>
    </row>
    <row r="3363" spans="1:3" x14ac:dyDescent="0.2">
      <c r="A3363" s="82"/>
      <c r="B3363" s="82"/>
      <c r="C3363" s="82"/>
    </row>
    <row r="3364" spans="1:3" x14ac:dyDescent="0.2">
      <c r="A3364" s="82"/>
      <c r="B3364" s="82"/>
      <c r="C3364" s="82"/>
    </row>
    <row r="3365" spans="1:3" x14ac:dyDescent="0.2">
      <c r="A3365" s="82"/>
      <c r="B3365" s="82"/>
      <c r="C3365" s="82"/>
    </row>
    <row r="3366" spans="1:3" x14ac:dyDescent="0.2">
      <c r="A3366" s="82"/>
      <c r="B3366" s="82"/>
      <c r="C3366" s="82"/>
    </row>
    <row r="3367" spans="1:3" x14ac:dyDescent="0.2">
      <c r="A3367" s="82"/>
      <c r="B3367" s="82"/>
      <c r="C3367" s="82"/>
    </row>
    <row r="3368" spans="1:3" x14ac:dyDescent="0.2">
      <c r="A3368" s="82"/>
      <c r="B3368" s="82"/>
      <c r="C3368" s="82"/>
    </row>
    <row r="3369" spans="1:3" x14ac:dyDescent="0.2">
      <c r="A3369" s="82"/>
      <c r="B3369" s="82"/>
      <c r="C3369" s="82"/>
    </row>
    <row r="3370" spans="1:3" x14ac:dyDescent="0.2">
      <c r="A3370" s="82"/>
      <c r="B3370" s="82"/>
      <c r="C3370" s="82"/>
    </row>
    <row r="3371" spans="1:3" x14ac:dyDescent="0.2">
      <c r="A3371" s="82"/>
      <c r="B3371" s="82"/>
      <c r="C3371" s="82"/>
    </row>
    <row r="3372" spans="1:3" x14ac:dyDescent="0.2">
      <c r="A3372" s="82"/>
      <c r="B3372" s="82"/>
      <c r="C3372" s="82"/>
    </row>
    <row r="3373" spans="1:3" x14ac:dyDescent="0.2">
      <c r="A3373" s="82"/>
      <c r="B3373" s="82"/>
      <c r="C3373" s="82"/>
    </row>
    <row r="3374" spans="1:3" x14ac:dyDescent="0.2">
      <c r="A3374" s="82"/>
      <c r="B3374" s="82"/>
      <c r="C3374" s="82"/>
    </row>
    <row r="3375" spans="1:3" x14ac:dyDescent="0.2">
      <c r="A3375" s="82"/>
      <c r="B3375" s="82"/>
      <c r="C3375" s="82"/>
    </row>
    <row r="3376" spans="1:3" x14ac:dyDescent="0.2">
      <c r="A3376" s="82"/>
      <c r="B3376" s="82"/>
      <c r="C3376" s="82"/>
    </row>
    <row r="3377" spans="1:3" x14ac:dyDescent="0.2">
      <c r="A3377" s="82"/>
      <c r="B3377" s="82"/>
      <c r="C3377" s="82"/>
    </row>
    <row r="3378" spans="1:3" x14ac:dyDescent="0.2">
      <c r="A3378" s="82"/>
      <c r="B3378" s="82"/>
      <c r="C3378" s="82"/>
    </row>
    <row r="3379" spans="1:3" x14ac:dyDescent="0.2">
      <c r="A3379" s="82"/>
      <c r="B3379" s="82"/>
      <c r="C3379" s="82"/>
    </row>
    <row r="3380" spans="1:3" x14ac:dyDescent="0.2">
      <c r="A3380" s="82"/>
      <c r="B3380" s="82"/>
      <c r="C3380" s="82"/>
    </row>
    <row r="3381" spans="1:3" x14ac:dyDescent="0.2">
      <c r="A3381" s="82"/>
      <c r="B3381" s="82"/>
      <c r="C3381" s="82"/>
    </row>
    <row r="3382" spans="1:3" x14ac:dyDescent="0.2">
      <c r="A3382" s="82"/>
      <c r="B3382" s="82"/>
      <c r="C3382" s="82"/>
    </row>
    <row r="3383" spans="1:3" x14ac:dyDescent="0.2">
      <c r="A3383" s="82"/>
      <c r="B3383" s="82"/>
      <c r="C3383" s="82"/>
    </row>
    <row r="3384" spans="1:3" x14ac:dyDescent="0.2">
      <c r="A3384" s="82"/>
      <c r="B3384" s="82"/>
      <c r="C3384" s="82"/>
    </row>
    <row r="3385" spans="1:3" x14ac:dyDescent="0.2">
      <c r="A3385" s="82"/>
      <c r="B3385" s="82"/>
      <c r="C3385" s="82"/>
    </row>
    <row r="3386" spans="1:3" x14ac:dyDescent="0.2">
      <c r="A3386" s="82"/>
      <c r="B3386" s="82"/>
      <c r="C3386" s="82"/>
    </row>
    <row r="3387" spans="1:3" x14ac:dyDescent="0.2">
      <c r="A3387" s="82"/>
      <c r="B3387" s="82"/>
      <c r="C3387" s="82"/>
    </row>
    <row r="3388" spans="1:3" x14ac:dyDescent="0.2">
      <c r="A3388" s="82"/>
      <c r="B3388" s="82"/>
      <c r="C3388" s="82"/>
    </row>
    <row r="3389" spans="1:3" x14ac:dyDescent="0.2">
      <c r="A3389" s="82"/>
      <c r="B3389" s="82"/>
      <c r="C3389" s="82"/>
    </row>
    <row r="3390" spans="1:3" x14ac:dyDescent="0.2">
      <c r="A3390" s="82"/>
      <c r="B3390" s="82"/>
      <c r="C3390" s="82"/>
    </row>
    <row r="3391" spans="1:3" x14ac:dyDescent="0.2">
      <c r="A3391" s="82"/>
      <c r="B3391" s="82"/>
      <c r="C3391" s="82"/>
    </row>
    <row r="3392" spans="1:3" x14ac:dyDescent="0.2">
      <c r="A3392" s="82"/>
      <c r="B3392" s="82"/>
      <c r="C3392" s="82"/>
    </row>
    <row r="3393" spans="1:3" x14ac:dyDescent="0.2">
      <c r="A3393" s="82"/>
      <c r="B3393" s="82"/>
      <c r="C3393" s="82"/>
    </row>
    <row r="3394" spans="1:3" x14ac:dyDescent="0.2">
      <c r="A3394" s="82"/>
      <c r="B3394" s="82"/>
      <c r="C3394" s="82"/>
    </row>
    <row r="3395" spans="1:3" x14ac:dyDescent="0.2">
      <c r="A3395" s="82"/>
      <c r="B3395" s="82"/>
      <c r="C3395" s="82"/>
    </row>
    <row r="3396" spans="1:3" x14ac:dyDescent="0.2">
      <c r="A3396" s="82"/>
      <c r="B3396" s="82"/>
      <c r="C3396" s="82"/>
    </row>
    <row r="3397" spans="1:3" x14ac:dyDescent="0.2">
      <c r="A3397" s="82"/>
      <c r="B3397" s="82"/>
      <c r="C3397" s="82"/>
    </row>
    <row r="3398" spans="1:3" x14ac:dyDescent="0.2">
      <c r="A3398" s="82"/>
      <c r="B3398" s="82"/>
      <c r="C3398" s="82"/>
    </row>
    <row r="3399" spans="1:3" x14ac:dyDescent="0.2">
      <c r="A3399" s="82"/>
      <c r="B3399" s="82"/>
      <c r="C3399" s="82"/>
    </row>
    <row r="3400" spans="1:3" x14ac:dyDescent="0.2">
      <c r="A3400" s="82"/>
      <c r="B3400" s="82"/>
      <c r="C3400" s="82"/>
    </row>
    <row r="3401" spans="1:3" x14ac:dyDescent="0.2">
      <c r="A3401" s="82"/>
      <c r="B3401" s="82"/>
      <c r="C3401" s="82"/>
    </row>
    <row r="3402" spans="1:3" x14ac:dyDescent="0.2">
      <c r="A3402" s="82"/>
      <c r="B3402" s="82"/>
      <c r="C3402" s="82"/>
    </row>
    <row r="3403" spans="1:3" x14ac:dyDescent="0.2">
      <c r="A3403" s="82"/>
      <c r="B3403" s="82"/>
      <c r="C3403" s="82"/>
    </row>
    <row r="3404" spans="1:3" x14ac:dyDescent="0.2">
      <c r="A3404" s="82"/>
      <c r="B3404" s="82"/>
      <c r="C3404" s="82"/>
    </row>
    <row r="3405" spans="1:3" x14ac:dyDescent="0.2">
      <c r="A3405" s="82"/>
      <c r="B3405" s="82"/>
      <c r="C3405" s="82"/>
    </row>
    <row r="3406" spans="1:3" x14ac:dyDescent="0.2">
      <c r="A3406" s="82"/>
      <c r="B3406" s="82"/>
      <c r="C3406" s="82"/>
    </row>
    <row r="3407" spans="1:3" x14ac:dyDescent="0.2">
      <c r="A3407" s="82"/>
      <c r="B3407" s="82"/>
      <c r="C3407" s="82"/>
    </row>
    <row r="3408" spans="1:3" x14ac:dyDescent="0.2">
      <c r="A3408" s="82"/>
      <c r="B3408" s="82"/>
      <c r="C3408" s="82"/>
    </row>
    <row r="3409" spans="1:3" x14ac:dyDescent="0.2">
      <c r="A3409" s="82"/>
      <c r="B3409" s="82"/>
      <c r="C3409" s="82"/>
    </row>
    <row r="3410" spans="1:3" x14ac:dyDescent="0.2">
      <c r="A3410" s="82"/>
      <c r="B3410" s="82"/>
      <c r="C3410" s="82"/>
    </row>
    <row r="3411" spans="1:3" x14ac:dyDescent="0.2">
      <c r="A3411" s="82"/>
      <c r="B3411" s="82"/>
      <c r="C3411" s="82"/>
    </row>
    <row r="3412" spans="1:3" x14ac:dyDescent="0.2">
      <c r="A3412" s="82"/>
      <c r="B3412" s="82"/>
      <c r="C3412" s="82"/>
    </row>
    <row r="3413" spans="1:3" x14ac:dyDescent="0.2">
      <c r="A3413" s="82"/>
      <c r="B3413" s="82"/>
      <c r="C3413" s="82"/>
    </row>
    <row r="3414" spans="1:3" x14ac:dyDescent="0.2">
      <c r="A3414" s="82"/>
      <c r="B3414" s="82"/>
      <c r="C3414" s="82"/>
    </row>
    <row r="3415" spans="1:3" x14ac:dyDescent="0.2">
      <c r="A3415" s="82"/>
      <c r="B3415" s="82"/>
      <c r="C3415" s="82"/>
    </row>
    <row r="3416" spans="1:3" x14ac:dyDescent="0.2">
      <c r="A3416" s="82"/>
      <c r="B3416" s="82"/>
      <c r="C3416" s="82"/>
    </row>
    <row r="3417" spans="1:3" x14ac:dyDescent="0.2">
      <c r="A3417" s="82"/>
      <c r="B3417" s="82"/>
      <c r="C3417" s="82"/>
    </row>
    <row r="3418" spans="1:3" x14ac:dyDescent="0.2">
      <c r="A3418" s="82"/>
      <c r="B3418" s="82"/>
      <c r="C3418" s="82"/>
    </row>
    <row r="3419" spans="1:3" x14ac:dyDescent="0.2">
      <c r="A3419" s="82"/>
      <c r="B3419" s="82"/>
      <c r="C3419" s="82"/>
    </row>
    <row r="3420" spans="1:3" x14ac:dyDescent="0.2">
      <c r="A3420" s="82"/>
      <c r="B3420" s="82"/>
      <c r="C3420" s="82"/>
    </row>
    <row r="3421" spans="1:3" x14ac:dyDescent="0.2">
      <c r="A3421" s="82"/>
      <c r="B3421" s="82"/>
      <c r="C3421" s="82"/>
    </row>
    <row r="3422" spans="1:3" x14ac:dyDescent="0.2">
      <c r="A3422" s="82"/>
      <c r="B3422" s="82"/>
      <c r="C3422" s="82"/>
    </row>
    <row r="3423" spans="1:3" x14ac:dyDescent="0.2">
      <c r="A3423" s="82"/>
      <c r="B3423" s="82"/>
      <c r="C3423" s="82"/>
    </row>
    <row r="3424" spans="1:3" x14ac:dyDescent="0.2">
      <c r="A3424" s="82"/>
      <c r="B3424" s="82"/>
      <c r="C3424" s="82"/>
    </row>
    <row r="3425" spans="1:3" x14ac:dyDescent="0.2">
      <c r="A3425" s="82"/>
      <c r="B3425" s="82"/>
      <c r="C3425" s="82"/>
    </row>
    <row r="3426" spans="1:3" x14ac:dyDescent="0.2">
      <c r="A3426" s="82"/>
      <c r="B3426" s="82"/>
      <c r="C3426" s="82"/>
    </row>
    <row r="3427" spans="1:3" x14ac:dyDescent="0.2">
      <c r="A3427" s="82"/>
      <c r="B3427" s="82"/>
      <c r="C3427" s="82"/>
    </row>
    <row r="3428" spans="1:3" x14ac:dyDescent="0.2">
      <c r="A3428" s="82"/>
      <c r="B3428" s="82"/>
      <c r="C3428" s="82"/>
    </row>
    <row r="3429" spans="1:3" x14ac:dyDescent="0.2">
      <c r="A3429" s="82"/>
      <c r="B3429" s="82"/>
      <c r="C3429" s="82"/>
    </row>
    <row r="3430" spans="1:3" x14ac:dyDescent="0.2">
      <c r="A3430" s="82"/>
      <c r="B3430" s="82"/>
      <c r="C3430" s="82"/>
    </row>
    <row r="3431" spans="1:3" x14ac:dyDescent="0.2">
      <c r="A3431" s="82"/>
      <c r="B3431" s="82"/>
      <c r="C3431" s="82"/>
    </row>
    <row r="3432" spans="1:3" x14ac:dyDescent="0.2">
      <c r="A3432" s="82"/>
      <c r="B3432" s="82"/>
      <c r="C3432" s="82"/>
    </row>
    <row r="3433" spans="1:3" x14ac:dyDescent="0.2">
      <c r="A3433" s="82"/>
      <c r="B3433" s="82"/>
      <c r="C3433" s="82"/>
    </row>
    <row r="3434" spans="1:3" x14ac:dyDescent="0.2">
      <c r="A3434" s="82"/>
      <c r="B3434" s="82"/>
      <c r="C3434" s="82"/>
    </row>
    <row r="3435" spans="1:3" x14ac:dyDescent="0.2">
      <c r="A3435" s="82"/>
      <c r="B3435" s="82"/>
      <c r="C3435" s="82"/>
    </row>
    <row r="3436" spans="1:3" x14ac:dyDescent="0.2">
      <c r="A3436" s="82"/>
      <c r="B3436" s="82"/>
      <c r="C3436" s="82"/>
    </row>
    <row r="3437" spans="1:3" x14ac:dyDescent="0.2">
      <c r="A3437" s="82"/>
      <c r="B3437" s="82"/>
      <c r="C3437" s="82"/>
    </row>
    <row r="3438" spans="1:3" x14ac:dyDescent="0.2">
      <c r="A3438" s="82"/>
      <c r="B3438" s="82"/>
      <c r="C3438" s="82"/>
    </row>
    <row r="3439" spans="1:3" x14ac:dyDescent="0.2">
      <c r="A3439" s="82"/>
      <c r="B3439" s="82"/>
      <c r="C3439" s="82"/>
    </row>
    <row r="3440" spans="1:3" x14ac:dyDescent="0.2">
      <c r="A3440" s="82"/>
      <c r="B3440" s="82"/>
      <c r="C3440" s="82"/>
    </row>
    <row r="3441" spans="1:3" x14ac:dyDescent="0.2">
      <c r="A3441" s="82"/>
      <c r="B3441" s="82"/>
      <c r="C3441" s="82"/>
    </row>
    <row r="3442" spans="1:3" x14ac:dyDescent="0.2">
      <c r="A3442" s="82"/>
      <c r="B3442" s="82"/>
      <c r="C3442" s="82"/>
    </row>
    <row r="3443" spans="1:3" x14ac:dyDescent="0.2">
      <c r="A3443" s="82"/>
      <c r="B3443" s="82"/>
      <c r="C3443" s="82"/>
    </row>
    <row r="3444" spans="1:3" x14ac:dyDescent="0.2">
      <c r="A3444" s="82"/>
      <c r="B3444" s="82"/>
      <c r="C3444" s="82"/>
    </row>
    <row r="3445" spans="1:3" x14ac:dyDescent="0.2">
      <c r="A3445" s="82"/>
      <c r="B3445" s="82"/>
      <c r="C3445" s="82"/>
    </row>
    <row r="3446" spans="1:3" x14ac:dyDescent="0.2">
      <c r="A3446" s="82"/>
      <c r="B3446" s="82"/>
      <c r="C3446" s="82"/>
    </row>
    <row r="3447" spans="1:3" x14ac:dyDescent="0.2">
      <c r="A3447" s="82"/>
      <c r="B3447" s="82"/>
      <c r="C3447" s="82"/>
    </row>
    <row r="3448" spans="1:3" x14ac:dyDescent="0.2">
      <c r="A3448" s="82"/>
      <c r="B3448" s="82"/>
      <c r="C3448" s="82"/>
    </row>
    <row r="3449" spans="1:3" x14ac:dyDescent="0.2">
      <c r="A3449" s="82"/>
      <c r="B3449" s="82"/>
      <c r="C3449" s="82"/>
    </row>
    <row r="3450" spans="1:3" x14ac:dyDescent="0.2">
      <c r="A3450" s="82"/>
      <c r="B3450" s="82"/>
      <c r="C3450" s="82"/>
    </row>
    <row r="3451" spans="1:3" x14ac:dyDescent="0.2">
      <c r="A3451" s="82"/>
      <c r="B3451" s="82"/>
      <c r="C3451" s="82"/>
    </row>
    <row r="3452" spans="1:3" x14ac:dyDescent="0.2">
      <c r="A3452" s="82"/>
      <c r="B3452" s="82"/>
      <c r="C3452" s="82"/>
    </row>
    <row r="3453" spans="1:3" x14ac:dyDescent="0.2">
      <c r="A3453" s="82"/>
      <c r="B3453" s="82"/>
      <c r="C3453" s="82"/>
    </row>
    <row r="3454" spans="1:3" x14ac:dyDescent="0.2">
      <c r="A3454" s="82"/>
      <c r="B3454" s="82"/>
      <c r="C3454" s="82"/>
    </row>
    <row r="3455" spans="1:3" x14ac:dyDescent="0.2">
      <c r="A3455" s="82"/>
      <c r="B3455" s="82"/>
      <c r="C3455" s="82"/>
    </row>
    <row r="3456" spans="1:3" x14ac:dyDescent="0.2">
      <c r="A3456" s="82"/>
      <c r="B3456" s="82"/>
      <c r="C3456" s="82"/>
    </row>
    <row r="3457" spans="1:3" x14ac:dyDescent="0.2">
      <c r="A3457" s="82"/>
      <c r="B3457" s="82"/>
      <c r="C3457" s="82"/>
    </row>
    <row r="3458" spans="1:3" x14ac:dyDescent="0.2">
      <c r="A3458" s="82"/>
      <c r="B3458" s="82"/>
      <c r="C3458" s="82"/>
    </row>
    <row r="3459" spans="1:3" x14ac:dyDescent="0.2">
      <c r="A3459" s="82"/>
      <c r="B3459" s="82"/>
      <c r="C3459" s="82"/>
    </row>
    <row r="3460" spans="1:3" x14ac:dyDescent="0.2">
      <c r="A3460" s="82"/>
      <c r="B3460" s="82"/>
      <c r="C3460" s="82"/>
    </row>
    <row r="3461" spans="1:3" x14ac:dyDescent="0.2">
      <c r="A3461" s="82"/>
      <c r="B3461" s="82"/>
      <c r="C3461" s="82"/>
    </row>
    <row r="3462" spans="1:3" x14ac:dyDescent="0.2">
      <c r="A3462" s="82"/>
      <c r="B3462" s="82"/>
      <c r="C3462" s="82"/>
    </row>
    <row r="3463" spans="1:3" x14ac:dyDescent="0.2">
      <c r="A3463" s="82"/>
      <c r="B3463" s="82"/>
      <c r="C3463" s="82"/>
    </row>
    <row r="3464" spans="1:3" x14ac:dyDescent="0.2">
      <c r="A3464" s="82"/>
      <c r="B3464" s="82"/>
      <c r="C3464" s="82"/>
    </row>
    <row r="3465" spans="1:3" x14ac:dyDescent="0.2">
      <c r="A3465" s="82"/>
      <c r="B3465" s="82"/>
      <c r="C3465" s="82"/>
    </row>
    <row r="3466" spans="1:3" x14ac:dyDescent="0.2">
      <c r="A3466" s="82"/>
      <c r="B3466" s="82"/>
      <c r="C3466" s="82"/>
    </row>
    <row r="3467" spans="1:3" x14ac:dyDescent="0.2">
      <c r="A3467" s="82"/>
      <c r="B3467" s="82"/>
      <c r="C3467" s="82"/>
    </row>
    <row r="3468" spans="1:3" x14ac:dyDescent="0.2">
      <c r="A3468" s="82"/>
      <c r="B3468" s="82"/>
      <c r="C3468" s="82"/>
    </row>
    <row r="3469" spans="1:3" x14ac:dyDescent="0.2">
      <c r="A3469" s="82"/>
      <c r="B3469" s="82"/>
      <c r="C3469" s="82"/>
    </row>
    <row r="3470" spans="1:3" x14ac:dyDescent="0.2">
      <c r="A3470" s="82"/>
      <c r="B3470" s="82"/>
      <c r="C3470" s="82"/>
    </row>
    <row r="3471" spans="1:3" x14ac:dyDescent="0.2">
      <c r="A3471" s="82"/>
      <c r="B3471" s="82"/>
      <c r="C3471" s="82"/>
    </row>
    <row r="3472" spans="1:3" x14ac:dyDescent="0.2">
      <c r="A3472" s="82"/>
      <c r="B3472" s="82"/>
      <c r="C3472" s="82"/>
    </row>
    <row r="3473" spans="1:3" x14ac:dyDescent="0.2">
      <c r="A3473" s="82"/>
      <c r="B3473" s="82"/>
      <c r="C3473" s="82"/>
    </row>
    <row r="3474" spans="1:3" x14ac:dyDescent="0.2">
      <c r="A3474" s="82"/>
      <c r="B3474" s="82"/>
      <c r="C3474" s="82"/>
    </row>
    <row r="3475" spans="1:3" x14ac:dyDescent="0.2">
      <c r="A3475" s="82"/>
      <c r="B3475" s="82"/>
      <c r="C3475" s="82"/>
    </row>
    <row r="3476" spans="1:3" x14ac:dyDescent="0.2">
      <c r="A3476" s="82"/>
      <c r="B3476" s="82"/>
      <c r="C3476" s="82"/>
    </row>
    <row r="3477" spans="1:3" x14ac:dyDescent="0.2">
      <c r="A3477" s="82"/>
      <c r="B3477" s="82"/>
      <c r="C3477" s="82"/>
    </row>
    <row r="3478" spans="1:3" x14ac:dyDescent="0.2">
      <c r="A3478" s="82"/>
      <c r="B3478" s="82"/>
      <c r="C3478" s="82"/>
    </row>
    <row r="3479" spans="1:3" x14ac:dyDescent="0.2">
      <c r="A3479" s="82"/>
      <c r="B3479" s="82"/>
      <c r="C3479" s="82"/>
    </row>
    <row r="3480" spans="1:3" x14ac:dyDescent="0.2">
      <c r="A3480" s="82"/>
      <c r="B3480" s="82"/>
      <c r="C3480" s="82"/>
    </row>
    <row r="3481" spans="1:3" x14ac:dyDescent="0.2">
      <c r="A3481" s="82"/>
      <c r="B3481" s="82"/>
      <c r="C3481" s="82"/>
    </row>
    <row r="3482" spans="1:3" x14ac:dyDescent="0.2">
      <c r="A3482" s="82"/>
      <c r="B3482" s="82"/>
      <c r="C3482" s="82"/>
    </row>
    <row r="3483" spans="1:3" x14ac:dyDescent="0.2">
      <c r="A3483" s="82"/>
      <c r="B3483" s="82"/>
      <c r="C3483" s="82"/>
    </row>
    <row r="3484" spans="1:3" x14ac:dyDescent="0.2">
      <c r="A3484" s="82"/>
      <c r="B3484" s="82"/>
      <c r="C3484" s="82"/>
    </row>
    <row r="3485" spans="1:3" x14ac:dyDescent="0.2">
      <c r="A3485" s="82"/>
      <c r="B3485" s="82"/>
      <c r="C3485" s="82"/>
    </row>
    <row r="3486" spans="1:3" x14ac:dyDescent="0.2">
      <c r="A3486" s="82"/>
      <c r="B3486" s="82"/>
      <c r="C3486" s="82"/>
    </row>
    <row r="3487" spans="1:3" x14ac:dyDescent="0.2">
      <c r="A3487" s="82"/>
      <c r="B3487" s="82"/>
      <c r="C3487" s="82"/>
    </row>
    <row r="3488" spans="1:3" x14ac:dyDescent="0.2">
      <c r="A3488" s="82"/>
      <c r="B3488" s="82"/>
      <c r="C3488" s="82"/>
    </row>
    <row r="3489" spans="1:3" x14ac:dyDescent="0.2">
      <c r="A3489" s="82"/>
      <c r="B3489" s="82"/>
      <c r="C3489" s="82"/>
    </row>
    <row r="3490" spans="1:3" x14ac:dyDescent="0.2">
      <c r="A3490" s="82"/>
      <c r="B3490" s="82"/>
      <c r="C3490" s="82"/>
    </row>
    <row r="3491" spans="1:3" x14ac:dyDescent="0.2">
      <c r="A3491" s="82"/>
      <c r="B3491" s="82"/>
      <c r="C3491" s="82"/>
    </row>
    <row r="3492" spans="1:3" x14ac:dyDescent="0.2">
      <c r="A3492" s="82"/>
      <c r="B3492" s="82"/>
      <c r="C3492" s="82"/>
    </row>
    <row r="3493" spans="1:3" x14ac:dyDescent="0.2">
      <c r="A3493" s="82"/>
      <c r="B3493" s="82"/>
      <c r="C3493" s="82"/>
    </row>
    <row r="3494" spans="1:3" x14ac:dyDescent="0.2">
      <c r="A3494" s="82"/>
      <c r="B3494" s="82"/>
      <c r="C3494" s="82"/>
    </row>
    <row r="3495" spans="1:3" x14ac:dyDescent="0.2">
      <c r="A3495" s="82"/>
      <c r="B3495" s="82"/>
      <c r="C3495" s="82"/>
    </row>
    <row r="3496" spans="1:3" x14ac:dyDescent="0.2">
      <c r="A3496" s="82"/>
      <c r="B3496" s="82"/>
      <c r="C3496" s="82"/>
    </row>
    <row r="3497" spans="1:3" x14ac:dyDescent="0.2">
      <c r="A3497" s="82"/>
      <c r="B3497" s="82"/>
      <c r="C3497" s="82"/>
    </row>
    <row r="3498" spans="1:3" x14ac:dyDescent="0.2">
      <c r="A3498" s="82"/>
      <c r="B3498" s="82"/>
      <c r="C3498" s="82"/>
    </row>
    <row r="3499" spans="1:3" x14ac:dyDescent="0.2">
      <c r="A3499" s="82"/>
      <c r="B3499" s="82"/>
      <c r="C3499" s="82"/>
    </row>
    <row r="3500" spans="1:3" x14ac:dyDescent="0.2">
      <c r="A3500" s="82"/>
      <c r="B3500" s="82"/>
      <c r="C3500" s="82"/>
    </row>
    <row r="3501" spans="1:3" x14ac:dyDescent="0.2">
      <c r="A3501" s="82"/>
      <c r="B3501" s="82"/>
      <c r="C3501" s="82"/>
    </row>
    <row r="3502" spans="1:3" x14ac:dyDescent="0.2">
      <c r="A3502" s="82"/>
      <c r="B3502" s="82"/>
      <c r="C3502" s="82"/>
    </row>
    <row r="3503" spans="1:3" x14ac:dyDescent="0.2">
      <c r="A3503" s="82"/>
      <c r="B3503" s="82"/>
      <c r="C3503" s="82"/>
    </row>
    <row r="3504" spans="1:3" x14ac:dyDescent="0.2">
      <c r="A3504" s="82"/>
      <c r="B3504" s="82"/>
      <c r="C3504" s="82"/>
    </row>
    <row r="3505" spans="1:3" x14ac:dyDescent="0.2">
      <c r="A3505" s="82"/>
      <c r="B3505" s="82"/>
      <c r="C3505" s="82"/>
    </row>
    <row r="3506" spans="1:3" x14ac:dyDescent="0.2">
      <c r="A3506" s="82"/>
      <c r="B3506" s="82"/>
      <c r="C3506" s="82"/>
    </row>
    <row r="3507" spans="1:3" x14ac:dyDescent="0.2">
      <c r="A3507" s="82"/>
      <c r="B3507" s="82"/>
      <c r="C3507" s="82"/>
    </row>
    <row r="3508" spans="1:3" x14ac:dyDescent="0.2">
      <c r="A3508" s="82"/>
      <c r="B3508" s="82"/>
      <c r="C3508" s="82"/>
    </row>
    <row r="3509" spans="1:3" x14ac:dyDescent="0.2">
      <c r="A3509" s="82"/>
      <c r="B3509" s="82"/>
      <c r="C3509" s="82"/>
    </row>
    <row r="3510" spans="1:3" x14ac:dyDescent="0.2">
      <c r="A3510" s="82"/>
      <c r="B3510" s="82"/>
      <c r="C3510" s="82"/>
    </row>
    <row r="3511" spans="1:3" x14ac:dyDescent="0.2">
      <c r="A3511" s="82"/>
      <c r="B3511" s="82"/>
      <c r="C3511" s="82"/>
    </row>
    <row r="3512" spans="1:3" x14ac:dyDescent="0.2">
      <c r="A3512" s="82"/>
      <c r="B3512" s="82"/>
      <c r="C3512" s="82"/>
    </row>
    <row r="3513" spans="1:3" x14ac:dyDescent="0.2">
      <c r="A3513" s="82"/>
      <c r="B3513" s="82"/>
      <c r="C3513" s="82"/>
    </row>
    <row r="3514" spans="1:3" x14ac:dyDescent="0.2">
      <c r="A3514" s="82"/>
      <c r="B3514" s="82"/>
      <c r="C3514" s="82"/>
    </row>
    <row r="3515" spans="1:3" x14ac:dyDescent="0.2">
      <c r="A3515" s="82"/>
      <c r="B3515" s="82"/>
      <c r="C3515" s="82"/>
    </row>
    <row r="3516" spans="1:3" x14ac:dyDescent="0.2">
      <c r="A3516" s="82"/>
      <c r="B3516" s="82"/>
      <c r="C3516" s="82"/>
    </row>
    <row r="3517" spans="1:3" x14ac:dyDescent="0.2">
      <c r="A3517" s="82"/>
      <c r="B3517" s="82"/>
      <c r="C3517" s="82"/>
    </row>
    <row r="3518" spans="1:3" x14ac:dyDescent="0.2">
      <c r="A3518" s="82"/>
      <c r="B3518" s="82"/>
      <c r="C3518" s="82"/>
    </row>
    <row r="3519" spans="1:3" x14ac:dyDescent="0.2">
      <c r="A3519" s="82"/>
      <c r="B3519" s="82"/>
      <c r="C3519" s="82"/>
    </row>
    <row r="3520" spans="1:3" x14ac:dyDescent="0.2">
      <c r="A3520" s="82"/>
      <c r="B3520" s="82"/>
      <c r="C3520" s="82"/>
    </row>
    <row r="3521" spans="1:3" x14ac:dyDescent="0.2">
      <c r="A3521" s="82"/>
      <c r="B3521" s="82"/>
      <c r="C3521" s="82"/>
    </row>
    <row r="3522" spans="1:3" x14ac:dyDescent="0.2">
      <c r="A3522" s="82"/>
      <c r="B3522" s="82"/>
      <c r="C3522" s="82"/>
    </row>
    <row r="3523" spans="1:3" x14ac:dyDescent="0.2">
      <c r="A3523" s="82"/>
      <c r="B3523" s="82"/>
      <c r="C3523" s="82"/>
    </row>
    <row r="3524" spans="1:3" x14ac:dyDescent="0.2">
      <c r="A3524" s="82"/>
      <c r="B3524" s="82"/>
      <c r="C3524" s="82"/>
    </row>
    <row r="3525" spans="1:3" x14ac:dyDescent="0.2">
      <c r="A3525" s="82"/>
      <c r="B3525" s="82"/>
      <c r="C3525" s="82"/>
    </row>
    <row r="3526" spans="1:3" x14ac:dyDescent="0.2">
      <c r="A3526" s="82"/>
      <c r="B3526" s="82"/>
      <c r="C3526" s="82"/>
    </row>
    <row r="3527" spans="1:3" x14ac:dyDescent="0.2">
      <c r="A3527" s="82"/>
      <c r="B3527" s="82"/>
      <c r="C3527" s="82"/>
    </row>
    <row r="3528" spans="1:3" x14ac:dyDescent="0.2">
      <c r="A3528" s="82"/>
      <c r="B3528" s="82"/>
      <c r="C3528" s="82"/>
    </row>
    <row r="3529" spans="1:3" x14ac:dyDescent="0.2">
      <c r="A3529" s="82"/>
      <c r="B3529" s="82"/>
      <c r="C3529" s="82"/>
    </row>
    <row r="3530" spans="1:3" x14ac:dyDescent="0.2">
      <c r="A3530" s="82"/>
      <c r="B3530" s="82"/>
      <c r="C3530" s="82"/>
    </row>
    <row r="3531" spans="1:3" x14ac:dyDescent="0.2">
      <c r="A3531" s="82"/>
      <c r="B3531" s="82"/>
      <c r="C3531" s="82"/>
    </row>
    <row r="3532" spans="1:3" x14ac:dyDescent="0.2">
      <c r="A3532" s="82"/>
      <c r="B3532" s="82"/>
      <c r="C3532" s="82"/>
    </row>
    <row r="3533" spans="1:3" x14ac:dyDescent="0.2">
      <c r="A3533" s="82"/>
      <c r="B3533" s="82"/>
      <c r="C3533" s="82"/>
    </row>
    <row r="3534" spans="1:3" x14ac:dyDescent="0.2">
      <c r="A3534" s="82"/>
      <c r="B3534" s="82"/>
      <c r="C3534" s="82"/>
    </row>
    <row r="3535" spans="1:3" x14ac:dyDescent="0.2">
      <c r="A3535" s="82"/>
      <c r="B3535" s="82"/>
      <c r="C3535" s="82"/>
    </row>
    <row r="3536" spans="1:3" x14ac:dyDescent="0.2">
      <c r="A3536" s="82"/>
      <c r="B3536" s="82"/>
      <c r="C3536" s="82"/>
    </row>
    <row r="3537" spans="1:3" x14ac:dyDescent="0.2">
      <c r="A3537" s="82"/>
      <c r="B3537" s="82"/>
      <c r="C3537" s="82"/>
    </row>
    <row r="3538" spans="1:3" x14ac:dyDescent="0.2">
      <c r="A3538" s="82"/>
      <c r="B3538" s="82"/>
      <c r="C3538" s="82"/>
    </row>
    <row r="3539" spans="1:3" x14ac:dyDescent="0.2">
      <c r="A3539" s="82"/>
      <c r="B3539" s="82"/>
      <c r="C3539" s="82"/>
    </row>
    <row r="3540" spans="1:3" x14ac:dyDescent="0.2">
      <c r="A3540" s="82"/>
      <c r="B3540" s="82"/>
      <c r="C3540" s="82"/>
    </row>
    <row r="3541" spans="1:3" x14ac:dyDescent="0.2">
      <c r="A3541" s="82"/>
      <c r="B3541" s="82"/>
      <c r="C3541" s="82"/>
    </row>
    <row r="3542" spans="1:3" x14ac:dyDescent="0.2">
      <c r="A3542" s="82"/>
      <c r="B3542" s="82"/>
      <c r="C3542" s="82"/>
    </row>
    <row r="3543" spans="1:3" x14ac:dyDescent="0.2">
      <c r="A3543" s="82"/>
      <c r="B3543" s="82"/>
      <c r="C3543" s="82"/>
    </row>
    <row r="3544" spans="1:3" x14ac:dyDescent="0.2">
      <c r="A3544" s="82"/>
      <c r="B3544" s="82"/>
      <c r="C3544" s="82"/>
    </row>
    <row r="3545" spans="1:3" x14ac:dyDescent="0.2">
      <c r="A3545" s="82"/>
      <c r="B3545" s="82"/>
      <c r="C3545" s="82"/>
    </row>
    <row r="3546" spans="1:3" x14ac:dyDescent="0.2">
      <c r="A3546" s="82"/>
      <c r="B3546" s="82"/>
      <c r="C3546" s="82"/>
    </row>
    <row r="3547" spans="1:3" x14ac:dyDescent="0.2">
      <c r="A3547" s="82"/>
      <c r="B3547" s="82"/>
      <c r="C3547" s="82"/>
    </row>
    <row r="3548" spans="1:3" x14ac:dyDescent="0.2">
      <c r="A3548" s="82"/>
      <c r="B3548" s="82"/>
      <c r="C3548" s="82"/>
    </row>
    <row r="3549" spans="1:3" x14ac:dyDescent="0.2">
      <c r="A3549" s="82"/>
      <c r="B3549" s="82"/>
      <c r="C3549" s="82"/>
    </row>
    <row r="3550" spans="1:3" x14ac:dyDescent="0.2">
      <c r="A3550" s="82"/>
      <c r="B3550" s="82"/>
      <c r="C3550" s="82"/>
    </row>
    <row r="3551" spans="1:3" x14ac:dyDescent="0.2">
      <c r="A3551" s="82"/>
      <c r="B3551" s="82"/>
      <c r="C3551" s="82"/>
    </row>
    <row r="3552" spans="1:3" x14ac:dyDescent="0.2">
      <c r="A3552" s="82"/>
      <c r="B3552" s="82"/>
      <c r="C3552" s="82"/>
    </row>
    <row r="3553" spans="1:3" x14ac:dyDescent="0.2">
      <c r="A3553" s="82"/>
      <c r="B3553" s="82"/>
      <c r="C3553" s="82"/>
    </row>
    <row r="3554" spans="1:3" x14ac:dyDescent="0.2">
      <c r="A3554" s="82"/>
      <c r="B3554" s="82"/>
      <c r="C3554" s="82"/>
    </row>
    <row r="3555" spans="1:3" x14ac:dyDescent="0.2">
      <c r="A3555" s="82"/>
      <c r="B3555" s="82"/>
      <c r="C3555" s="82"/>
    </row>
    <row r="3556" spans="1:3" x14ac:dyDescent="0.2">
      <c r="A3556" s="82"/>
      <c r="B3556" s="82"/>
      <c r="C3556" s="82"/>
    </row>
    <row r="3557" spans="1:3" x14ac:dyDescent="0.2">
      <c r="A3557" s="82"/>
      <c r="B3557" s="82"/>
      <c r="C3557" s="82"/>
    </row>
    <row r="3558" spans="1:3" x14ac:dyDescent="0.2">
      <c r="A3558" s="82"/>
      <c r="B3558" s="82"/>
      <c r="C3558" s="82"/>
    </row>
    <row r="3559" spans="1:3" x14ac:dyDescent="0.2">
      <c r="A3559" s="82"/>
      <c r="B3559" s="82"/>
      <c r="C3559" s="82"/>
    </row>
    <row r="3560" spans="1:3" x14ac:dyDescent="0.2">
      <c r="A3560" s="82"/>
      <c r="B3560" s="82"/>
      <c r="C3560" s="82"/>
    </row>
    <row r="3561" spans="1:3" x14ac:dyDescent="0.2">
      <c r="A3561" s="82"/>
      <c r="B3561" s="82"/>
      <c r="C3561" s="82"/>
    </row>
    <row r="3562" spans="1:3" x14ac:dyDescent="0.2">
      <c r="A3562" s="82"/>
      <c r="B3562" s="82"/>
      <c r="C3562" s="82"/>
    </row>
    <row r="3563" spans="1:3" x14ac:dyDescent="0.2">
      <c r="A3563" s="82"/>
      <c r="B3563" s="82"/>
      <c r="C3563" s="82"/>
    </row>
    <row r="3564" spans="1:3" x14ac:dyDescent="0.2">
      <c r="A3564" s="82"/>
      <c r="B3564" s="82"/>
      <c r="C3564" s="82"/>
    </row>
    <row r="3565" spans="1:3" x14ac:dyDescent="0.2">
      <c r="A3565" s="82"/>
      <c r="B3565" s="82"/>
      <c r="C3565" s="82"/>
    </row>
    <row r="3566" spans="1:3" x14ac:dyDescent="0.2">
      <c r="A3566" s="82"/>
      <c r="B3566" s="82"/>
      <c r="C3566" s="82"/>
    </row>
    <row r="3567" spans="1:3" x14ac:dyDescent="0.2">
      <c r="A3567" s="82"/>
      <c r="B3567" s="82"/>
      <c r="C3567" s="82"/>
    </row>
    <row r="3568" spans="1:3" x14ac:dyDescent="0.2">
      <c r="A3568" s="82"/>
      <c r="B3568" s="82"/>
      <c r="C3568" s="82"/>
    </row>
    <row r="3569" spans="1:3" x14ac:dyDescent="0.2">
      <c r="A3569" s="82"/>
      <c r="B3569" s="82"/>
      <c r="C3569" s="82"/>
    </row>
    <row r="3570" spans="1:3" x14ac:dyDescent="0.2">
      <c r="A3570" s="82"/>
      <c r="B3570" s="82"/>
      <c r="C3570" s="82"/>
    </row>
    <row r="3571" spans="1:3" x14ac:dyDescent="0.2">
      <c r="A3571" s="82"/>
      <c r="B3571" s="82"/>
      <c r="C3571" s="82"/>
    </row>
    <row r="3572" spans="1:3" x14ac:dyDescent="0.2">
      <c r="A3572" s="82"/>
      <c r="B3572" s="82"/>
      <c r="C3572" s="82"/>
    </row>
    <row r="3573" spans="1:3" x14ac:dyDescent="0.2">
      <c r="A3573" s="82"/>
      <c r="B3573" s="82"/>
      <c r="C3573" s="82"/>
    </row>
    <row r="3574" spans="1:3" x14ac:dyDescent="0.2">
      <c r="A3574" s="82"/>
      <c r="B3574" s="82"/>
      <c r="C3574" s="82"/>
    </row>
    <row r="3575" spans="1:3" x14ac:dyDescent="0.2">
      <c r="A3575" s="82"/>
      <c r="B3575" s="82"/>
      <c r="C3575" s="82"/>
    </row>
    <row r="3576" spans="1:3" x14ac:dyDescent="0.2">
      <c r="A3576" s="82"/>
      <c r="B3576" s="82"/>
      <c r="C3576" s="82"/>
    </row>
    <row r="3577" spans="1:3" x14ac:dyDescent="0.2">
      <c r="A3577" s="82"/>
      <c r="B3577" s="82"/>
      <c r="C3577" s="82"/>
    </row>
    <row r="3578" spans="1:3" x14ac:dyDescent="0.2">
      <c r="A3578" s="82"/>
      <c r="B3578" s="82"/>
      <c r="C3578" s="82"/>
    </row>
    <row r="3579" spans="1:3" x14ac:dyDescent="0.2">
      <c r="A3579" s="82"/>
      <c r="B3579" s="82"/>
      <c r="C3579" s="82"/>
    </row>
    <row r="3580" spans="1:3" x14ac:dyDescent="0.2">
      <c r="A3580" s="82"/>
      <c r="B3580" s="82"/>
      <c r="C3580" s="82"/>
    </row>
    <row r="3581" spans="1:3" x14ac:dyDescent="0.2">
      <c r="A3581" s="82"/>
      <c r="B3581" s="82"/>
      <c r="C3581" s="82"/>
    </row>
    <row r="3582" spans="1:3" x14ac:dyDescent="0.2">
      <c r="A3582" s="82"/>
      <c r="B3582" s="82"/>
      <c r="C3582" s="82"/>
    </row>
    <row r="3583" spans="1:3" x14ac:dyDescent="0.2">
      <c r="A3583" s="82"/>
      <c r="B3583" s="82"/>
      <c r="C3583" s="82"/>
    </row>
    <row r="3584" spans="1:3" x14ac:dyDescent="0.2">
      <c r="A3584" s="82"/>
      <c r="B3584" s="82"/>
      <c r="C3584" s="82"/>
    </row>
    <row r="3585" spans="1:3" x14ac:dyDescent="0.2">
      <c r="A3585" s="82"/>
      <c r="B3585" s="82"/>
      <c r="C3585" s="82"/>
    </row>
    <row r="3586" spans="1:3" x14ac:dyDescent="0.2">
      <c r="A3586" s="82"/>
      <c r="B3586" s="82"/>
      <c r="C3586" s="82"/>
    </row>
    <row r="3587" spans="1:3" x14ac:dyDescent="0.2">
      <c r="A3587" s="82"/>
      <c r="B3587" s="82"/>
      <c r="C3587" s="82"/>
    </row>
    <row r="3588" spans="1:3" x14ac:dyDescent="0.2">
      <c r="A3588" s="82"/>
      <c r="B3588" s="82"/>
      <c r="C3588" s="82"/>
    </row>
    <row r="3589" spans="1:3" x14ac:dyDescent="0.2">
      <c r="A3589" s="82"/>
      <c r="B3589" s="82"/>
      <c r="C3589" s="82"/>
    </row>
    <row r="3590" spans="1:3" x14ac:dyDescent="0.2">
      <c r="A3590" s="82"/>
      <c r="B3590" s="82"/>
      <c r="C3590" s="82"/>
    </row>
    <row r="3591" spans="1:3" x14ac:dyDescent="0.2">
      <c r="A3591" s="82"/>
      <c r="B3591" s="82"/>
      <c r="C3591" s="82"/>
    </row>
    <row r="3592" spans="1:3" x14ac:dyDescent="0.2">
      <c r="A3592" s="82"/>
      <c r="B3592" s="82"/>
      <c r="C3592" s="82"/>
    </row>
    <row r="3593" spans="1:3" x14ac:dyDescent="0.2">
      <c r="A3593" s="82"/>
      <c r="B3593" s="82"/>
      <c r="C3593" s="82"/>
    </row>
    <row r="3594" spans="1:3" x14ac:dyDescent="0.2">
      <c r="A3594" s="82"/>
      <c r="B3594" s="82"/>
      <c r="C3594" s="82"/>
    </row>
    <row r="3595" spans="1:3" x14ac:dyDescent="0.2">
      <c r="A3595" s="82"/>
      <c r="B3595" s="82"/>
      <c r="C3595" s="82"/>
    </row>
    <row r="3596" spans="1:3" x14ac:dyDescent="0.2">
      <c r="A3596" s="82"/>
      <c r="B3596" s="82"/>
      <c r="C3596" s="82"/>
    </row>
    <row r="3597" spans="1:3" x14ac:dyDescent="0.2">
      <c r="A3597" s="82"/>
      <c r="B3597" s="82"/>
      <c r="C3597" s="82"/>
    </row>
    <row r="3598" spans="1:3" x14ac:dyDescent="0.2">
      <c r="A3598" s="82"/>
      <c r="B3598" s="82"/>
      <c r="C3598" s="82"/>
    </row>
    <row r="3599" spans="1:3" x14ac:dyDescent="0.2">
      <c r="A3599" s="82"/>
      <c r="B3599" s="82"/>
      <c r="C3599" s="82"/>
    </row>
    <row r="3600" spans="1:3" x14ac:dyDescent="0.2">
      <c r="A3600" s="82"/>
      <c r="B3600" s="82"/>
      <c r="C3600" s="82"/>
    </row>
    <row r="3601" spans="1:3" x14ac:dyDescent="0.2">
      <c r="A3601" s="82"/>
      <c r="B3601" s="82"/>
      <c r="C3601" s="82"/>
    </row>
    <row r="3602" spans="1:3" x14ac:dyDescent="0.2">
      <c r="A3602" s="82"/>
      <c r="B3602" s="82"/>
      <c r="C3602" s="82"/>
    </row>
    <row r="3603" spans="1:3" x14ac:dyDescent="0.2">
      <c r="A3603" s="82"/>
      <c r="B3603" s="82"/>
      <c r="C3603" s="82"/>
    </row>
    <row r="3604" spans="1:3" x14ac:dyDescent="0.2">
      <c r="A3604" s="82"/>
      <c r="B3604" s="82"/>
      <c r="C3604" s="82"/>
    </row>
    <row r="3605" spans="1:3" x14ac:dyDescent="0.2">
      <c r="A3605" s="82"/>
      <c r="B3605" s="82"/>
      <c r="C3605" s="82"/>
    </row>
    <row r="3606" spans="1:3" x14ac:dyDescent="0.2">
      <c r="A3606" s="82"/>
      <c r="B3606" s="82"/>
      <c r="C3606" s="82"/>
    </row>
    <row r="3607" spans="1:3" x14ac:dyDescent="0.2">
      <c r="A3607" s="82"/>
      <c r="B3607" s="82"/>
      <c r="C3607" s="82"/>
    </row>
    <row r="3608" spans="1:3" x14ac:dyDescent="0.2">
      <c r="A3608" s="82"/>
      <c r="B3608" s="82"/>
      <c r="C3608" s="82"/>
    </row>
    <row r="3609" spans="1:3" x14ac:dyDescent="0.2">
      <c r="A3609" s="82"/>
      <c r="B3609" s="82"/>
      <c r="C3609" s="82"/>
    </row>
    <row r="3610" spans="1:3" x14ac:dyDescent="0.2">
      <c r="A3610" s="82"/>
      <c r="B3610" s="82"/>
      <c r="C3610" s="82"/>
    </row>
    <row r="3611" spans="1:3" x14ac:dyDescent="0.2">
      <c r="A3611" s="82"/>
      <c r="B3611" s="82"/>
      <c r="C3611" s="82"/>
    </row>
    <row r="3612" spans="1:3" x14ac:dyDescent="0.2">
      <c r="A3612" s="82"/>
      <c r="B3612" s="82"/>
      <c r="C3612" s="82"/>
    </row>
    <row r="3613" spans="1:3" x14ac:dyDescent="0.2">
      <c r="A3613" s="82"/>
      <c r="B3613" s="82"/>
      <c r="C3613" s="82"/>
    </row>
    <row r="3614" spans="1:3" x14ac:dyDescent="0.2">
      <c r="A3614" s="82"/>
      <c r="B3614" s="82"/>
      <c r="C3614" s="82"/>
    </row>
    <row r="3615" spans="1:3" x14ac:dyDescent="0.2">
      <c r="A3615" s="82"/>
      <c r="B3615" s="82"/>
      <c r="C3615" s="82"/>
    </row>
    <row r="3616" spans="1:3" x14ac:dyDescent="0.2">
      <c r="A3616" s="82"/>
      <c r="B3616" s="82"/>
      <c r="C3616" s="82"/>
    </row>
    <row r="3617" spans="1:3" x14ac:dyDescent="0.2">
      <c r="A3617" s="82"/>
      <c r="B3617" s="82"/>
      <c r="C3617" s="82"/>
    </row>
    <row r="3618" spans="1:3" x14ac:dyDescent="0.2">
      <c r="A3618" s="82"/>
      <c r="B3618" s="82"/>
      <c r="C3618" s="82"/>
    </row>
    <row r="3619" spans="1:3" x14ac:dyDescent="0.2">
      <c r="A3619" s="82"/>
      <c r="B3619" s="82"/>
      <c r="C3619" s="82"/>
    </row>
    <row r="3620" spans="1:3" x14ac:dyDescent="0.2">
      <c r="A3620" s="82"/>
      <c r="B3620" s="82"/>
      <c r="C3620" s="82"/>
    </row>
    <row r="3621" spans="1:3" x14ac:dyDescent="0.2">
      <c r="A3621" s="82"/>
      <c r="B3621" s="82"/>
      <c r="C3621" s="82"/>
    </row>
    <row r="3622" spans="1:3" x14ac:dyDescent="0.2">
      <c r="A3622" s="82"/>
      <c r="B3622" s="82"/>
      <c r="C3622" s="82"/>
    </row>
    <row r="3623" spans="1:3" x14ac:dyDescent="0.2">
      <c r="A3623" s="82"/>
      <c r="B3623" s="82"/>
      <c r="C3623" s="82"/>
    </row>
    <row r="3624" spans="1:3" x14ac:dyDescent="0.2">
      <c r="A3624" s="82"/>
      <c r="B3624" s="82"/>
      <c r="C3624" s="82"/>
    </row>
    <row r="3625" spans="1:3" x14ac:dyDescent="0.2">
      <c r="A3625" s="82"/>
      <c r="B3625" s="82"/>
      <c r="C3625" s="82"/>
    </row>
    <row r="3626" spans="1:3" x14ac:dyDescent="0.2">
      <c r="A3626" s="82"/>
      <c r="B3626" s="82"/>
      <c r="C3626" s="82"/>
    </row>
    <row r="3627" spans="1:3" x14ac:dyDescent="0.2">
      <c r="A3627" s="82"/>
      <c r="B3627" s="82"/>
      <c r="C3627" s="82"/>
    </row>
    <row r="3628" spans="1:3" x14ac:dyDescent="0.2">
      <c r="A3628" s="82"/>
      <c r="B3628" s="82"/>
      <c r="C3628" s="82"/>
    </row>
    <row r="3629" spans="1:3" x14ac:dyDescent="0.2">
      <c r="A3629" s="82"/>
      <c r="B3629" s="82"/>
      <c r="C3629" s="82"/>
    </row>
    <row r="3630" spans="1:3" x14ac:dyDescent="0.2">
      <c r="A3630" s="82"/>
      <c r="B3630" s="82"/>
      <c r="C3630" s="82"/>
    </row>
    <row r="3631" spans="1:3" x14ac:dyDescent="0.2">
      <c r="A3631" s="82"/>
      <c r="B3631" s="82"/>
      <c r="C3631" s="82"/>
    </row>
    <row r="3632" spans="1:3" x14ac:dyDescent="0.2">
      <c r="A3632" s="82"/>
      <c r="B3632" s="82"/>
      <c r="C3632" s="82"/>
    </row>
    <row r="3633" spans="1:3" x14ac:dyDescent="0.2">
      <c r="A3633" s="82"/>
      <c r="B3633" s="82"/>
      <c r="C3633" s="82"/>
    </row>
    <row r="3634" spans="1:3" x14ac:dyDescent="0.2">
      <c r="A3634" s="82"/>
      <c r="B3634" s="82"/>
      <c r="C3634" s="82"/>
    </row>
    <row r="3635" spans="1:3" x14ac:dyDescent="0.2">
      <c r="A3635" s="82"/>
      <c r="B3635" s="82"/>
      <c r="C3635" s="82"/>
    </row>
    <row r="3636" spans="1:3" x14ac:dyDescent="0.2">
      <c r="A3636" s="82"/>
      <c r="B3636" s="82"/>
      <c r="C3636" s="82"/>
    </row>
    <row r="3637" spans="1:3" x14ac:dyDescent="0.2">
      <c r="A3637" s="82"/>
      <c r="B3637" s="82"/>
      <c r="C3637" s="82"/>
    </row>
    <row r="3638" spans="1:3" x14ac:dyDescent="0.2">
      <c r="A3638" s="82"/>
      <c r="B3638" s="82"/>
      <c r="C3638" s="82"/>
    </row>
    <row r="3639" spans="1:3" x14ac:dyDescent="0.2">
      <c r="A3639" s="82"/>
      <c r="B3639" s="82"/>
      <c r="C3639" s="82"/>
    </row>
    <row r="3640" spans="1:3" x14ac:dyDescent="0.2">
      <c r="A3640" s="82"/>
      <c r="B3640" s="82"/>
      <c r="C3640" s="82"/>
    </row>
    <row r="3641" spans="1:3" x14ac:dyDescent="0.2">
      <c r="A3641" s="82"/>
      <c r="B3641" s="82"/>
      <c r="C3641" s="82"/>
    </row>
    <row r="3642" spans="1:3" x14ac:dyDescent="0.2">
      <c r="A3642" s="82"/>
      <c r="B3642" s="82"/>
      <c r="C3642" s="82"/>
    </row>
    <row r="3643" spans="1:3" x14ac:dyDescent="0.2">
      <c r="A3643" s="82"/>
      <c r="B3643" s="82"/>
      <c r="C3643" s="82"/>
    </row>
    <row r="3644" spans="1:3" x14ac:dyDescent="0.2">
      <c r="A3644" s="82"/>
      <c r="B3644" s="82"/>
      <c r="C3644" s="82"/>
    </row>
    <row r="3645" spans="1:3" x14ac:dyDescent="0.2">
      <c r="A3645" s="82"/>
      <c r="B3645" s="82"/>
      <c r="C3645" s="82"/>
    </row>
    <row r="3646" spans="1:3" x14ac:dyDescent="0.2">
      <c r="A3646" s="82"/>
      <c r="B3646" s="82"/>
      <c r="C3646" s="82"/>
    </row>
    <row r="3647" spans="1:3" x14ac:dyDescent="0.2">
      <c r="A3647" s="82"/>
      <c r="B3647" s="82"/>
      <c r="C3647" s="82"/>
    </row>
    <row r="3648" spans="1:3" x14ac:dyDescent="0.2">
      <c r="A3648" s="82"/>
      <c r="B3648" s="82"/>
      <c r="C3648" s="82"/>
    </row>
    <row r="3649" spans="1:3" x14ac:dyDescent="0.2">
      <c r="A3649" s="82"/>
      <c r="B3649" s="82"/>
      <c r="C3649" s="82"/>
    </row>
    <row r="3650" spans="1:3" x14ac:dyDescent="0.2">
      <c r="A3650" s="82"/>
      <c r="B3650" s="82"/>
      <c r="C3650" s="82"/>
    </row>
    <row r="3651" spans="1:3" x14ac:dyDescent="0.2">
      <c r="A3651" s="82"/>
      <c r="B3651" s="82"/>
      <c r="C3651" s="82"/>
    </row>
    <row r="3652" spans="1:3" x14ac:dyDescent="0.2">
      <c r="A3652" s="82"/>
      <c r="B3652" s="82"/>
      <c r="C3652" s="82"/>
    </row>
    <row r="3653" spans="1:3" x14ac:dyDescent="0.2">
      <c r="A3653" s="82"/>
      <c r="B3653" s="82"/>
      <c r="C3653" s="82"/>
    </row>
    <row r="3654" spans="1:3" x14ac:dyDescent="0.2">
      <c r="A3654" s="82"/>
      <c r="B3654" s="82"/>
      <c r="C3654" s="82"/>
    </row>
    <row r="3655" spans="1:3" x14ac:dyDescent="0.2">
      <c r="A3655" s="82"/>
      <c r="B3655" s="82"/>
      <c r="C3655" s="82"/>
    </row>
    <row r="3656" spans="1:3" x14ac:dyDescent="0.2">
      <c r="A3656" s="82"/>
      <c r="B3656" s="82"/>
      <c r="C3656" s="82"/>
    </row>
    <row r="3657" spans="1:3" x14ac:dyDescent="0.2">
      <c r="A3657" s="82"/>
      <c r="B3657" s="82"/>
      <c r="C3657" s="82"/>
    </row>
    <row r="3658" spans="1:3" x14ac:dyDescent="0.2">
      <c r="A3658" s="82"/>
      <c r="B3658" s="82"/>
      <c r="C3658" s="82"/>
    </row>
    <row r="3659" spans="1:3" x14ac:dyDescent="0.2">
      <c r="A3659" s="82"/>
      <c r="B3659" s="82"/>
      <c r="C3659" s="82"/>
    </row>
    <row r="3660" spans="1:3" x14ac:dyDescent="0.2">
      <c r="A3660" s="82"/>
      <c r="B3660" s="82"/>
      <c r="C3660" s="82"/>
    </row>
    <row r="3661" spans="1:3" x14ac:dyDescent="0.2">
      <c r="A3661" s="82"/>
      <c r="B3661" s="82"/>
      <c r="C3661" s="82"/>
    </row>
    <row r="3662" spans="1:3" x14ac:dyDescent="0.2">
      <c r="A3662" s="82"/>
      <c r="B3662" s="82"/>
      <c r="C3662" s="82"/>
    </row>
    <row r="3663" spans="1:3" x14ac:dyDescent="0.2">
      <c r="A3663" s="82"/>
      <c r="B3663" s="82"/>
      <c r="C3663" s="82"/>
    </row>
    <row r="3664" spans="1:3" x14ac:dyDescent="0.2">
      <c r="A3664" s="82"/>
      <c r="B3664" s="82"/>
      <c r="C3664" s="82"/>
    </row>
    <row r="3665" spans="1:3" x14ac:dyDescent="0.2">
      <c r="A3665" s="82"/>
      <c r="B3665" s="82"/>
      <c r="C3665" s="82"/>
    </row>
    <row r="3666" spans="1:3" x14ac:dyDescent="0.2">
      <c r="A3666" s="82"/>
      <c r="B3666" s="82"/>
      <c r="C3666" s="82"/>
    </row>
    <row r="3667" spans="1:3" x14ac:dyDescent="0.2">
      <c r="A3667" s="82"/>
      <c r="B3667" s="82"/>
      <c r="C3667" s="82"/>
    </row>
    <row r="3668" spans="1:3" x14ac:dyDescent="0.2">
      <c r="A3668" s="82"/>
      <c r="B3668" s="82"/>
      <c r="C3668" s="82"/>
    </row>
    <row r="3669" spans="1:3" x14ac:dyDescent="0.2">
      <c r="A3669" s="82"/>
      <c r="B3669" s="82"/>
      <c r="C3669" s="82"/>
    </row>
    <row r="3670" spans="1:3" x14ac:dyDescent="0.2">
      <c r="A3670" s="82"/>
      <c r="B3670" s="82"/>
      <c r="C3670" s="82"/>
    </row>
    <row r="3671" spans="1:3" x14ac:dyDescent="0.2">
      <c r="A3671" s="82"/>
      <c r="B3671" s="82"/>
      <c r="C3671" s="82"/>
    </row>
    <row r="3672" spans="1:3" x14ac:dyDescent="0.2">
      <c r="A3672" s="82"/>
      <c r="B3672" s="82"/>
      <c r="C3672" s="82"/>
    </row>
    <row r="3673" spans="1:3" x14ac:dyDescent="0.2">
      <c r="A3673" s="82"/>
      <c r="B3673" s="82"/>
      <c r="C3673" s="82"/>
    </row>
    <row r="3674" spans="1:3" x14ac:dyDescent="0.2">
      <c r="A3674" s="82"/>
      <c r="B3674" s="82"/>
      <c r="C3674" s="82"/>
    </row>
    <row r="3675" spans="1:3" x14ac:dyDescent="0.2">
      <c r="A3675" s="82"/>
      <c r="B3675" s="82"/>
      <c r="C3675" s="82"/>
    </row>
    <row r="3676" spans="1:3" x14ac:dyDescent="0.2">
      <c r="A3676" s="82"/>
      <c r="B3676" s="82"/>
      <c r="C3676" s="82"/>
    </row>
    <row r="3677" spans="1:3" x14ac:dyDescent="0.2">
      <c r="A3677" s="82"/>
      <c r="B3677" s="82"/>
      <c r="C3677" s="82"/>
    </row>
    <row r="3678" spans="1:3" x14ac:dyDescent="0.2">
      <c r="A3678" s="82"/>
      <c r="B3678" s="82"/>
      <c r="C3678" s="82"/>
    </row>
    <row r="3679" spans="1:3" x14ac:dyDescent="0.2">
      <c r="A3679" s="82"/>
      <c r="B3679" s="82"/>
      <c r="C3679" s="82"/>
    </row>
    <row r="3680" spans="1:3" x14ac:dyDescent="0.2">
      <c r="A3680" s="82"/>
      <c r="B3680" s="82"/>
      <c r="C3680" s="82"/>
    </row>
    <row r="3681" spans="1:3" x14ac:dyDescent="0.2">
      <c r="A3681" s="82"/>
      <c r="B3681" s="82"/>
      <c r="C3681" s="82"/>
    </row>
    <row r="3682" spans="1:3" x14ac:dyDescent="0.2">
      <c r="A3682" s="82"/>
      <c r="B3682" s="82"/>
      <c r="C3682" s="82"/>
    </row>
    <row r="3683" spans="1:3" x14ac:dyDescent="0.2">
      <c r="A3683" s="82"/>
      <c r="B3683" s="82"/>
      <c r="C3683" s="82"/>
    </row>
    <row r="3684" spans="1:3" x14ac:dyDescent="0.2">
      <c r="A3684" s="82"/>
      <c r="B3684" s="82"/>
      <c r="C3684" s="82"/>
    </row>
    <row r="3685" spans="1:3" x14ac:dyDescent="0.2">
      <c r="A3685" s="82"/>
      <c r="B3685" s="82"/>
      <c r="C3685" s="82"/>
    </row>
    <row r="3686" spans="1:3" x14ac:dyDescent="0.2">
      <c r="A3686" s="82"/>
      <c r="B3686" s="82"/>
      <c r="C3686" s="82"/>
    </row>
    <row r="3687" spans="1:3" x14ac:dyDescent="0.2">
      <c r="A3687" s="82"/>
      <c r="B3687" s="82"/>
      <c r="C3687" s="82"/>
    </row>
    <row r="3688" spans="1:3" x14ac:dyDescent="0.2">
      <c r="A3688" s="82"/>
      <c r="B3688" s="82"/>
      <c r="C3688" s="82"/>
    </row>
    <row r="3689" spans="1:3" x14ac:dyDescent="0.2">
      <c r="A3689" s="82"/>
      <c r="B3689" s="82"/>
      <c r="C3689" s="82"/>
    </row>
    <row r="3690" spans="1:3" x14ac:dyDescent="0.2">
      <c r="A3690" s="82"/>
      <c r="B3690" s="82"/>
      <c r="C3690" s="82"/>
    </row>
    <row r="3691" spans="1:3" x14ac:dyDescent="0.2">
      <c r="A3691" s="82"/>
      <c r="B3691" s="82"/>
      <c r="C3691" s="82"/>
    </row>
    <row r="3692" spans="1:3" x14ac:dyDescent="0.2">
      <c r="A3692" s="82"/>
      <c r="B3692" s="82"/>
      <c r="C3692" s="82"/>
    </row>
    <row r="3693" spans="1:3" x14ac:dyDescent="0.2">
      <c r="A3693" s="82"/>
      <c r="B3693" s="82"/>
      <c r="C3693" s="82"/>
    </row>
    <row r="3694" spans="1:3" x14ac:dyDescent="0.2">
      <c r="A3694" s="82"/>
      <c r="B3694" s="82"/>
      <c r="C3694" s="82"/>
    </row>
    <row r="3695" spans="1:3" x14ac:dyDescent="0.2">
      <c r="A3695" s="82"/>
      <c r="B3695" s="82"/>
      <c r="C3695" s="82"/>
    </row>
    <row r="3696" spans="1:3" x14ac:dyDescent="0.2">
      <c r="A3696" s="82"/>
      <c r="B3696" s="82"/>
      <c r="C3696" s="82"/>
    </row>
    <row r="3697" spans="1:3" x14ac:dyDescent="0.2">
      <c r="A3697" s="82"/>
      <c r="B3697" s="82"/>
      <c r="C3697" s="82"/>
    </row>
    <row r="3698" spans="1:3" x14ac:dyDescent="0.2">
      <c r="A3698" s="82"/>
      <c r="B3698" s="82"/>
      <c r="C3698" s="82"/>
    </row>
    <row r="3699" spans="1:3" x14ac:dyDescent="0.2">
      <c r="A3699" s="82"/>
      <c r="B3699" s="82"/>
      <c r="C3699" s="82"/>
    </row>
    <row r="3700" spans="1:3" x14ac:dyDescent="0.2">
      <c r="A3700" s="82"/>
      <c r="B3700" s="82"/>
      <c r="C3700" s="82"/>
    </row>
    <row r="3701" spans="1:3" x14ac:dyDescent="0.2">
      <c r="A3701" s="82"/>
      <c r="B3701" s="82"/>
      <c r="C3701" s="82"/>
    </row>
    <row r="3702" spans="1:3" x14ac:dyDescent="0.2">
      <c r="A3702" s="82"/>
      <c r="B3702" s="82"/>
      <c r="C3702" s="82"/>
    </row>
    <row r="3703" spans="1:3" x14ac:dyDescent="0.2">
      <c r="A3703" s="82"/>
      <c r="B3703" s="82"/>
      <c r="C3703" s="82"/>
    </row>
    <row r="3704" spans="1:3" x14ac:dyDescent="0.2">
      <c r="A3704" s="82"/>
      <c r="B3704" s="82"/>
      <c r="C3704" s="82"/>
    </row>
    <row r="3705" spans="1:3" x14ac:dyDescent="0.2">
      <c r="A3705" s="82"/>
      <c r="B3705" s="82"/>
      <c r="C3705" s="82"/>
    </row>
    <row r="3706" spans="1:3" x14ac:dyDescent="0.2">
      <c r="A3706" s="82"/>
      <c r="B3706" s="82"/>
      <c r="C3706" s="82"/>
    </row>
    <row r="3707" spans="1:3" x14ac:dyDescent="0.2">
      <c r="A3707" s="82"/>
      <c r="B3707" s="82"/>
      <c r="C3707" s="82"/>
    </row>
    <row r="3708" spans="1:3" x14ac:dyDescent="0.2">
      <c r="A3708" s="82"/>
      <c r="B3708" s="82"/>
      <c r="C3708" s="82"/>
    </row>
    <row r="3709" spans="1:3" x14ac:dyDescent="0.2">
      <c r="A3709" s="82"/>
      <c r="B3709" s="82"/>
      <c r="C3709" s="82"/>
    </row>
    <row r="3710" spans="1:3" x14ac:dyDescent="0.2">
      <c r="A3710" s="82"/>
      <c r="B3710" s="82"/>
      <c r="C3710" s="82"/>
    </row>
    <row r="3711" spans="1:3" x14ac:dyDescent="0.2">
      <c r="A3711" s="82"/>
      <c r="B3711" s="82"/>
      <c r="C3711" s="82"/>
    </row>
    <row r="3712" spans="1:3" x14ac:dyDescent="0.2">
      <c r="A3712" s="82"/>
      <c r="B3712" s="82"/>
      <c r="C3712" s="82"/>
    </row>
    <row r="3713" spans="1:3" x14ac:dyDescent="0.2">
      <c r="A3713" s="82"/>
      <c r="B3713" s="82"/>
      <c r="C3713" s="82"/>
    </row>
    <row r="3714" spans="1:3" x14ac:dyDescent="0.2">
      <c r="A3714" s="82"/>
      <c r="B3714" s="82"/>
      <c r="C3714" s="82"/>
    </row>
    <row r="3715" spans="1:3" x14ac:dyDescent="0.2">
      <c r="A3715" s="82"/>
      <c r="B3715" s="82"/>
      <c r="C3715" s="82"/>
    </row>
    <row r="3716" spans="1:3" x14ac:dyDescent="0.2">
      <c r="A3716" s="82"/>
      <c r="B3716" s="82"/>
      <c r="C3716" s="82"/>
    </row>
    <row r="3717" spans="1:3" x14ac:dyDescent="0.2">
      <c r="A3717" s="82"/>
      <c r="B3717" s="82"/>
      <c r="C3717" s="82"/>
    </row>
    <row r="3718" spans="1:3" x14ac:dyDescent="0.2">
      <c r="A3718" s="82"/>
      <c r="B3718" s="82"/>
      <c r="C3718" s="82"/>
    </row>
    <row r="3719" spans="1:3" x14ac:dyDescent="0.2">
      <c r="A3719" s="82"/>
      <c r="B3719" s="82"/>
      <c r="C3719" s="82"/>
    </row>
    <row r="3720" spans="1:3" x14ac:dyDescent="0.2">
      <c r="A3720" s="82"/>
      <c r="B3720" s="82"/>
      <c r="C3720" s="82"/>
    </row>
    <row r="3721" spans="1:3" x14ac:dyDescent="0.2">
      <c r="A3721" s="82"/>
      <c r="B3721" s="82"/>
      <c r="C3721" s="82"/>
    </row>
    <row r="3722" spans="1:3" x14ac:dyDescent="0.2">
      <c r="A3722" s="82"/>
      <c r="B3722" s="82"/>
      <c r="C3722" s="82"/>
    </row>
    <row r="3723" spans="1:3" x14ac:dyDescent="0.2">
      <c r="A3723" s="82"/>
      <c r="B3723" s="82"/>
      <c r="C3723" s="82"/>
    </row>
    <row r="3724" spans="1:3" x14ac:dyDescent="0.2">
      <c r="A3724" s="82"/>
      <c r="B3724" s="82"/>
      <c r="C3724" s="82"/>
    </row>
    <row r="3725" spans="1:3" x14ac:dyDescent="0.2">
      <c r="A3725" s="82"/>
      <c r="B3725" s="82"/>
      <c r="C3725" s="82"/>
    </row>
    <row r="3726" spans="1:3" x14ac:dyDescent="0.2">
      <c r="A3726" s="82"/>
      <c r="B3726" s="82"/>
      <c r="C3726" s="82"/>
    </row>
    <row r="3727" spans="1:3" x14ac:dyDescent="0.2">
      <c r="A3727" s="82"/>
      <c r="B3727" s="82"/>
      <c r="C3727" s="82"/>
    </row>
    <row r="3728" spans="1:3" x14ac:dyDescent="0.2">
      <c r="A3728" s="82"/>
      <c r="B3728" s="82"/>
      <c r="C3728" s="82"/>
    </row>
    <row r="3729" spans="1:3" x14ac:dyDescent="0.2">
      <c r="A3729" s="82"/>
      <c r="B3729" s="82"/>
      <c r="C3729" s="82"/>
    </row>
    <row r="3730" spans="1:3" x14ac:dyDescent="0.2">
      <c r="A3730" s="82"/>
      <c r="B3730" s="82"/>
      <c r="C3730" s="82"/>
    </row>
    <row r="3731" spans="1:3" x14ac:dyDescent="0.2">
      <c r="A3731" s="82"/>
      <c r="B3731" s="82"/>
      <c r="C3731" s="82"/>
    </row>
    <row r="3732" spans="1:3" x14ac:dyDescent="0.2">
      <c r="A3732" s="82"/>
      <c r="B3732" s="82"/>
      <c r="C3732" s="82"/>
    </row>
    <row r="3733" spans="1:3" x14ac:dyDescent="0.2">
      <c r="A3733" s="82"/>
      <c r="B3733" s="82"/>
      <c r="C3733" s="82"/>
    </row>
    <row r="3734" spans="1:3" x14ac:dyDescent="0.2">
      <c r="A3734" s="82"/>
      <c r="B3734" s="82"/>
      <c r="C3734" s="82"/>
    </row>
    <row r="3735" spans="1:3" x14ac:dyDescent="0.2">
      <c r="A3735" s="82"/>
      <c r="B3735" s="82"/>
      <c r="C3735" s="82"/>
    </row>
    <row r="3736" spans="1:3" x14ac:dyDescent="0.2">
      <c r="A3736" s="82"/>
      <c r="B3736" s="82"/>
      <c r="C3736" s="82"/>
    </row>
    <row r="3737" spans="1:3" x14ac:dyDescent="0.2">
      <c r="A3737" s="82"/>
      <c r="B3737" s="82"/>
      <c r="C3737" s="82"/>
    </row>
    <row r="3738" spans="1:3" x14ac:dyDescent="0.2">
      <c r="A3738" s="82"/>
      <c r="B3738" s="82"/>
      <c r="C3738" s="82"/>
    </row>
    <row r="3739" spans="1:3" x14ac:dyDescent="0.2">
      <c r="A3739" s="82"/>
      <c r="B3739" s="82"/>
      <c r="C3739" s="82"/>
    </row>
    <row r="3740" spans="1:3" x14ac:dyDescent="0.2">
      <c r="A3740" s="82"/>
      <c r="B3740" s="82"/>
      <c r="C3740" s="82"/>
    </row>
    <row r="3741" spans="1:3" x14ac:dyDescent="0.2">
      <c r="A3741" s="82"/>
      <c r="B3741" s="82"/>
      <c r="C3741" s="82"/>
    </row>
    <row r="3742" spans="1:3" x14ac:dyDescent="0.2">
      <c r="A3742" s="82"/>
      <c r="B3742" s="82"/>
      <c r="C3742" s="82"/>
    </row>
    <row r="3743" spans="1:3" x14ac:dyDescent="0.2">
      <c r="A3743" s="82"/>
      <c r="B3743" s="82"/>
      <c r="C3743" s="82"/>
    </row>
    <row r="3744" spans="1:3" x14ac:dyDescent="0.2">
      <c r="A3744" s="82"/>
      <c r="B3744" s="82"/>
      <c r="C3744" s="82"/>
    </row>
    <row r="3745" spans="1:3" x14ac:dyDescent="0.2">
      <c r="A3745" s="82"/>
      <c r="B3745" s="82"/>
      <c r="C3745" s="82"/>
    </row>
    <row r="3746" spans="1:3" x14ac:dyDescent="0.2">
      <c r="A3746" s="82"/>
      <c r="B3746" s="82"/>
      <c r="C3746" s="82"/>
    </row>
    <row r="3747" spans="1:3" x14ac:dyDescent="0.2">
      <c r="A3747" s="82"/>
      <c r="B3747" s="82"/>
      <c r="C3747" s="82"/>
    </row>
    <row r="3748" spans="1:3" x14ac:dyDescent="0.2">
      <c r="A3748" s="82"/>
      <c r="B3748" s="82"/>
      <c r="C3748" s="82"/>
    </row>
    <row r="3749" spans="1:3" x14ac:dyDescent="0.2">
      <c r="A3749" s="82"/>
      <c r="B3749" s="82"/>
      <c r="C3749" s="82"/>
    </row>
    <row r="3750" spans="1:3" x14ac:dyDescent="0.2">
      <c r="A3750" s="82"/>
      <c r="B3750" s="82"/>
      <c r="C3750" s="82"/>
    </row>
    <row r="3751" spans="1:3" x14ac:dyDescent="0.2">
      <c r="A3751" s="82"/>
      <c r="B3751" s="82"/>
      <c r="C3751" s="82"/>
    </row>
    <row r="3752" spans="1:3" x14ac:dyDescent="0.2">
      <c r="A3752" s="82"/>
      <c r="B3752" s="82"/>
      <c r="C3752" s="82"/>
    </row>
    <row r="3753" spans="1:3" x14ac:dyDescent="0.2">
      <c r="A3753" s="82"/>
      <c r="B3753" s="82"/>
      <c r="C3753" s="82"/>
    </row>
    <row r="3754" spans="1:3" x14ac:dyDescent="0.2">
      <c r="A3754" s="82"/>
      <c r="B3754" s="82"/>
      <c r="C3754" s="82"/>
    </row>
    <row r="3755" spans="1:3" x14ac:dyDescent="0.2">
      <c r="A3755" s="82"/>
      <c r="B3755" s="82"/>
      <c r="C3755" s="82"/>
    </row>
    <row r="3756" spans="1:3" x14ac:dyDescent="0.2">
      <c r="A3756" s="82"/>
      <c r="B3756" s="82"/>
      <c r="C3756" s="82"/>
    </row>
    <row r="3757" spans="1:3" x14ac:dyDescent="0.2">
      <c r="A3757" s="82"/>
      <c r="B3757" s="82"/>
      <c r="C3757" s="82"/>
    </row>
    <row r="3758" spans="1:3" x14ac:dyDescent="0.2">
      <c r="A3758" s="82"/>
      <c r="B3758" s="82"/>
      <c r="C3758" s="82"/>
    </row>
    <row r="3759" spans="1:3" x14ac:dyDescent="0.2">
      <c r="A3759" s="82"/>
      <c r="B3759" s="82"/>
      <c r="C3759" s="82"/>
    </row>
    <row r="3760" spans="1:3" x14ac:dyDescent="0.2">
      <c r="A3760" s="82"/>
      <c r="B3760" s="82"/>
      <c r="C3760" s="82"/>
    </row>
    <row r="3761" spans="1:3" x14ac:dyDescent="0.2">
      <c r="A3761" s="82"/>
      <c r="B3761" s="82"/>
      <c r="C3761" s="82"/>
    </row>
    <row r="3762" spans="1:3" x14ac:dyDescent="0.2">
      <c r="A3762" s="82"/>
      <c r="B3762" s="82"/>
      <c r="C3762" s="82"/>
    </row>
    <row r="3763" spans="1:3" x14ac:dyDescent="0.2">
      <c r="A3763" s="82"/>
      <c r="B3763" s="82"/>
      <c r="C3763" s="82"/>
    </row>
    <row r="3764" spans="1:3" x14ac:dyDescent="0.2">
      <c r="A3764" s="82"/>
      <c r="B3764" s="82"/>
      <c r="C3764" s="82"/>
    </row>
    <row r="3765" spans="1:3" x14ac:dyDescent="0.2">
      <c r="A3765" s="82"/>
      <c r="B3765" s="82"/>
      <c r="C3765" s="82"/>
    </row>
    <row r="3766" spans="1:3" x14ac:dyDescent="0.2">
      <c r="A3766" s="82"/>
      <c r="B3766" s="82"/>
      <c r="C3766" s="82"/>
    </row>
    <row r="3767" spans="1:3" x14ac:dyDescent="0.2">
      <c r="A3767" s="82"/>
      <c r="B3767" s="82"/>
      <c r="C3767" s="82"/>
    </row>
    <row r="3768" spans="1:3" x14ac:dyDescent="0.2">
      <c r="A3768" s="82"/>
      <c r="B3768" s="82"/>
      <c r="C3768" s="82"/>
    </row>
    <row r="3769" spans="1:3" x14ac:dyDescent="0.2">
      <c r="A3769" s="82"/>
      <c r="B3769" s="82"/>
      <c r="C3769" s="82"/>
    </row>
    <row r="3770" spans="1:3" x14ac:dyDescent="0.2">
      <c r="A3770" s="82"/>
      <c r="B3770" s="82"/>
      <c r="C3770" s="82"/>
    </row>
    <row r="3771" spans="1:3" x14ac:dyDescent="0.2">
      <c r="A3771" s="82"/>
      <c r="B3771" s="82"/>
      <c r="C3771" s="82"/>
    </row>
    <row r="3772" spans="1:3" x14ac:dyDescent="0.2">
      <c r="A3772" s="82"/>
      <c r="B3772" s="82"/>
      <c r="C3772" s="82"/>
    </row>
    <row r="3773" spans="1:3" x14ac:dyDescent="0.2">
      <c r="A3773" s="82"/>
      <c r="B3773" s="82"/>
      <c r="C3773" s="82"/>
    </row>
    <row r="3774" spans="1:3" x14ac:dyDescent="0.2">
      <c r="A3774" s="82"/>
      <c r="B3774" s="82"/>
      <c r="C3774" s="82"/>
    </row>
    <row r="3775" spans="1:3" x14ac:dyDescent="0.2">
      <c r="A3775" s="82"/>
      <c r="B3775" s="82"/>
      <c r="C3775" s="82"/>
    </row>
    <row r="3776" spans="1:3" x14ac:dyDescent="0.2">
      <c r="A3776" s="82"/>
      <c r="B3776" s="82"/>
      <c r="C3776" s="82"/>
    </row>
    <row r="3777" spans="1:3" x14ac:dyDescent="0.2">
      <c r="A3777" s="82"/>
      <c r="B3777" s="82"/>
      <c r="C3777" s="82"/>
    </row>
    <row r="3778" spans="1:3" x14ac:dyDescent="0.2">
      <c r="A3778" s="82"/>
      <c r="B3778" s="82"/>
      <c r="C3778" s="82"/>
    </row>
    <row r="3779" spans="1:3" x14ac:dyDescent="0.2">
      <c r="A3779" s="82"/>
      <c r="B3779" s="82"/>
      <c r="C3779" s="82"/>
    </row>
    <row r="3780" spans="1:3" x14ac:dyDescent="0.2">
      <c r="A3780" s="82"/>
      <c r="B3780" s="82"/>
      <c r="C3780" s="82"/>
    </row>
    <row r="3781" spans="1:3" x14ac:dyDescent="0.2">
      <c r="A3781" s="82"/>
      <c r="B3781" s="82"/>
      <c r="C3781" s="82"/>
    </row>
    <row r="3782" spans="1:3" x14ac:dyDescent="0.2">
      <c r="A3782" s="82"/>
      <c r="B3782" s="82"/>
      <c r="C3782" s="82"/>
    </row>
    <row r="3783" spans="1:3" x14ac:dyDescent="0.2">
      <c r="A3783" s="82"/>
      <c r="B3783" s="82"/>
      <c r="C3783" s="82"/>
    </row>
    <row r="3784" spans="1:3" x14ac:dyDescent="0.2">
      <c r="A3784" s="82"/>
      <c r="B3784" s="82"/>
      <c r="C3784" s="82"/>
    </row>
    <row r="3785" spans="1:3" x14ac:dyDescent="0.2">
      <c r="A3785" s="82"/>
      <c r="B3785" s="82"/>
      <c r="C3785" s="82"/>
    </row>
    <row r="3786" spans="1:3" x14ac:dyDescent="0.2">
      <c r="A3786" s="82"/>
      <c r="B3786" s="82"/>
      <c r="C3786" s="82"/>
    </row>
    <row r="3787" spans="1:3" x14ac:dyDescent="0.2">
      <c r="A3787" s="82"/>
      <c r="B3787" s="82"/>
      <c r="C3787" s="82"/>
    </row>
    <row r="3788" spans="1:3" x14ac:dyDescent="0.2">
      <c r="A3788" s="82"/>
      <c r="B3788" s="82"/>
      <c r="C3788" s="82"/>
    </row>
    <row r="3789" spans="1:3" x14ac:dyDescent="0.2">
      <c r="A3789" s="82"/>
      <c r="B3789" s="82"/>
      <c r="C3789" s="82"/>
    </row>
    <row r="3790" spans="1:3" x14ac:dyDescent="0.2">
      <c r="A3790" s="82"/>
      <c r="B3790" s="82"/>
      <c r="C3790" s="82"/>
    </row>
    <row r="3791" spans="1:3" x14ac:dyDescent="0.2">
      <c r="A3791" s="82"/>
      <c r="B3791" s="82"/>
      <c r="C3791" s="82"/>
    </row>
    <row r="3792" spans="1:3" x14ac:dyDescent="0.2">
      <c r="A3792" s="82"/>
      <c r="B3792" s="82"/>
      <c r="C3792" s="82"/>
    </row>
    <row r="3793" spans="1:3" x14ac:dyDescent="0.2">
      <c r="A3793" s="82"/>
      <c r="B3793" s="82"/>
      <c r="C3793" s="82"/>
    </row>
    <row r="3794" spans="1:3" x14ac:dyDescent="0.2">
      <c r="A3794" s="82"/>
      <c r="B3794" s="82"/>
      <c r="C3794" s="82"/>
    </row>
    <row r="3795" spans="1:3" x14ac:dyDescent="0.2">
      <c r="A3795" s="82"/>
      <c r="B3795" s="82"/>
      <c r="C3795" s="82"/>
    </row>
    <row r="3796" spans="1:3" x14ac:dyDescent="0.2">
      <c r="A3796" s="82"/>
      <c r="B3796" s="82"/>
      <c r="C3796" s="82"/>
    </row>
    <row r="3797" spans="1:3" x14ac:dyDescent="0.2">
      <c r="A3797" s="82"/>
      <c r="B3797" s="82"/>
      <c r="C3797" s="82"/>
    </row>
    <row r="3798" spans="1:3" x14ac:dyDescent="0.2">
      <c r="A3798" s="82"/>
      <c r="B3798" s="82"/>
      <c r="C3798" s="82"/>
    </row>
    <row r="3799" spans="1:3" x14ac:dyDescent="0.2">
      <c r="A3799" s="82"/>
      <c r="B3799" s="82"/>
      <c r="C3799" s="82"/>
    </row>
    <row r="3800" spans="1:3" x14ac:dyDescent="0.2">
      <c r="A3800" s="82"/>
      <c r="B3800" s="82"/>
      <c r="C3800" s="82"/>
    </row>
    <row r="3801" spans="1:3" x14ac:dyDescent="0.2">
      <c r="A3801" s="82"/>
      <c r="B3801" s="82"/>
      <c r="C3801" s="82"/>
    </row>
    <row r="3802" spans="1:3" x14ac:dyDescent="0.2">
      <c r="A3802" s="82"/>
      <c r="B3802" s="82"/>
      <c r="C3802" s="82"/>
    </row>
    <row r="3803" spans="1:3" x14ac:dyDescent="0.2">
      <c r="A3803" s="82"/>
      <c r="B3803" s="82"/>
      <c r="C3803" s="82"/>
    </row>
    <row r="3804" spans="1:3" x14ac:dyDescent="0.2">
      <c r="A3804" s="82"/>
      <c r="B3804" s="82"/>
      <c r="C3804" s="82"/>
    </row>
    <row r="3805" spans="1:3" x14ac:dyDescent="0.2">
      <c r="A3805" s="82"/>
      <c r="B3805" s="82"/>
      <c r="C3805" s="82"/>
    </row>
    <row r="3806" spans="1:3" x14ac:dyDescent="0.2">
      <c r="A3806" s="82"/>
      <c r="B3806" s="82"/>
      <c r="C3806" s="82"/>
    </row>
    <row r="3807" spans="1:3" x14ac:dyDescent="0.2">
      <c r="A3807" s="82"/>
      <c r="B3807" s="82"/>
      <c r="C3807" s="82"/>
    </row>
    <row r="3808" spans="1:3" x14ac:dyDescent="0.2">
      <c r="A3808" s="82"/>
      <c r="B3808" s="82"/>
      <c r="C3808" s="82"/>
    </row>
    <row r="3809" spans="1:3" x14ac:dyDescent="0.2">
      <c r="A3809" s="82"/>
      <c r="B3809" s="82"/>
      <c r="C3809" s="82"/>
    </row>
    <row r="3810" spans="1:3" x14ac:dyDescent="0.2">
      <c r="A3810" s="82"/>
      <c r="B3810" s="82"/>
      <c r="C3810" s="82"/>
    </row>
    <row r="3811" spans="1:3" x14ac:dyDescent="0.2">
      <c r="A3811" s="82"/>
      <c r="B3811" s="82"/>
      <c r="C3811" s="82"/>
    </row>
    <row r="3812" spans="1:3" x14ac:dyDescent="0.2">
      <c r="A3812" s="82"/>
      <c r="B3812" s="82"/>
      <c r="C3812" s="82"/>
    </row>
    <row r="3813" spans="1:3" x14ac:dyDescent="0.2">
      <c r="A3813" s="82"/>
      <c r="B3813" s="82"/>
      <c r="C3813" s="82"/>
    </row>
    <row r="3814" spans="1:3" x14ac:dyDescent="0.2">
      <c r="A3814" s="82"/>
      <c r="B3814" s="82"/>
      <c r="C3814" s="82"/>
    </row>
    <row r="3815" spans="1:3" x14ac:dyDescent="0.2">
      <c r="A3815" s="82"/>
      <c r="B3815" s="82"/>
      <c r="C3815" s="82"/>
    </row>
    <row r="3816" spans="1:3" x14ac:dyDescent="0.2">
      <c r="A3816" s="82"/>
      <c r="B3816" s="82"/>
      <c r="C3816" s="82"/>
    </row>
    <row r="3817" spans="1:3" x14ac:dyDescent="0.2">
      <c r="A3817" s="82"/>
      <c r="B3817" s="82"/>
      <c r="C3817" s="82"/>
    </row>
    <row r="3818" spans="1:3" x14ac:dyDescent="0.2">
      <c r="A3818" s="82"/>
      <c r="B3818" s="82"/>
      <c r="C3818" s="82"/>
    </row>
    <row r="3819" spans="1:3" x14ac:dyDescent="0.2">
      <c r="A3819" s="82"/>
      <c r="B3819" s="82"/>
      <c r="C3819" s="82"/>
    </row>
    <row r="3820" spans="1:3" x14ac:dyDescent="0.2">
      <c r="A3820" s="82"/>
      <c r="B3820" s="82"/>
      <c r="C3820" s="82"/>
    </row>
    <row r="3821" spans="1:3" x14ac:dyDescent="0.2">
      <c r="A3821" s="82"/>
      <c r="B3821" s="82"/>
      <c r="C3821" s="82"/>
    </row>
    <row r="3822" spans="1:3" x14ac:dyDescent="0.2">
      <c r="A3822" s="82"/>
      <c r="B3822" s="82"/>
      <c r="C3822" s="82"/>
    </row>
    <row r="3823" spans="1:3" x14ac:dyDescent="0.2">
      <c r="A3823" s="82"/>
      <c r="B3823" s="82"/>
      <c r="C3823" s="82"/>
    </row>
    <row r="3824" spans="1:3" x14ac:dyDescent="0.2">
      <c r="A3824" s="82"/>
      <c r="B3824" s="82"/>
      <c r="C3824" s="82"/>
    </row>
    <row r="3825" spans="1:3" x14ac:dyDescent="0.2">
      <c r="A3825" s="82"/>
      <c r="B3825" s="82"/>
      <c r="C3825" s="82"/>
    </row>
    <row r="3826" spans="1:3" x14ac:dyDescent="0.2">
      <c r="A3826" s="82"/>
      <c r="B3826" s="82"/>
      <c r="C3826" s="82"/>
    </row>
    <row r="3827" spans="1:3" x14ac:dyDescent="0.2">
      <c r="A3827" s="82"/>
      <c r="B3827" s="82"/>
      <c r="C3827" s="82"/>
    </row>
    <row r="3828" spans="1:3" x14ac:dyDescent="0.2">
      <c r="A3828" s="82"/>
      <c r="B3828" s="82"/>
      <c r="C3828" s="82"/>
    </row>
    <row r="3829" spans="1:3" x14ac:dyDescent="0.2">
      <c r="A3829" s="82"/>
      <c r="B3829" s="82"/>
      <c r="C3829" s="82"/>
    </row>
    <row r="3830" spans="1:3" x14ac:dyDescent="0.2">
      <c r="A3830" s="82"/>
      <c r="B3830" s="82"/>
      <c r="C3830" s="82"/>
    </row>
    <row r="3831" spans="1:3" x14ac:dyDescent="0.2">
      <c r="A3831" s="82"/>
      <c r="B3831" s="82"/>
      <c r="C3831" s="82"/>
    </row>
    <row r="3832" spans="1:3" x14ac:dyDescent="0.2">
      <c r="A3832" s="82"/>
      <c r="B3832" s="82"/>
      <c r="C3832" s="82"/>
    </row>
    <row r="3833" spans="1:3" x14ac:dyDescent="0.2">
      <c r="A3833" s="82"/>
      <c r="B3833" s="82"/>
      <c r="C3833" s="82"/>
    </row>
    <row r="3834" spans="1:3" x14ac:dyDescent="0.2">
      <c r="A3834" s="82"/>
      <c r="B3834" s="82"/>
      <c r="C3834" s="82"/>
    </row>
    <row r="3835" spans="1:3" x14ac:dyDescent="0.2">
      <c r="A3835" s="82"/>
      <c r="B3835" s="82"/>
      <c r="C3835" s="82"/>
    </row>
    <row r="3836" spans="1:3" x14ac:dyDescent="0.2">
      <c r="A3836" s="82"/>
      <c r="B3836" s="82"/>
      <c r="C3836" s="82"/>
    </row>
    <row r="3837" spans="1:3" x14ac:dyDescent="0.2">
      <c r="A3837" s="82"/>
      <c r="B3837" s="82"/>
      <c r="C3837" s="82"/>
    </row>
    <row r="3838" spans="1:3" x14ac:dyDescent="0.2">
      <c r="A3838" s="82"/>
      <c r="B3838" s="82"/>
      <c r="C3838" s="82"/>
    </row>
    <row r="3839" spans="1:3" x14ac:dyDescent="0.2">
      <c r="A3839" s="82"/>
      <c r="B3839" s="82"/>
      <c r="C3839" s="82"/>
    </row>
    <row r="3840" spans="1:3" x14ac:dyDescent="0.2">
      <c r="A3840" s="82"/>
      <c r="B3840" s="82"/>
      <c r="C3840" s="82"/>
    </row>
    <row r="3841" spans="1:3" x14ac:dyDescent="0.2">
      <c r="A3841" s="82"/>
      <c r="B3841" s="82"/>
      <c r="C3841" s="82"/>
    </row>
    <row r="3842" spans="1:3" x14ac:dyDescent="0.2">
      <c r="A3842" s="82"/>
      <c r="B3842" s="82"/>
      <c r="C3842" s="82"/>
    </row>
    <row r="3843" spans="1:3" x14ac:dyDescent="0.2">
      <c r="A3843" s="82"/>
      <c r="B3843" s="82"/>
      <c r="C3843" s="82"/>
    </row>
    <row r="3844" spans="1:3" x14ac:dyDescent="0.2">
      <c r="A3844" s="82"/>
      <c r="B3844" s="82"/>
      <c r="C3844" s="82"/>
    </row>
    <row r="3845" spans="1:3" x14ac:dyDescent="0.2">
      <c r="A3845" s="82"/>
      <c r="B3845" s="82"/>
      <c r="C3845" s="82"/>
    </row>
    <row r="3846" spans="1:3" x14ac:dyDescent="0.2">
      <c r="A3846" s="82"/>
      <c r="B3846" s="82"/>
      <c r="C3846" s="82"/>
    </row>
    <row r="3847" spans="1:3" x14ac:dyDescent="0.2">
      <c r="A3847" s="82"/>
      <c r="B3847" s="82"/>
      <c r="C3847" s="82"/>
    </row>
    <row r="3848" spans="1:3" x14ac:dyDescent="0.2">
      <c r="A3848" s="82"/>
      <c r="B3848" s="82"/>
      <c r="C3848" s="82"/>
    </row>
    <row r="3849" spans="1:3" x14ac:dyDescent="0.2">
      <c r="A3849" s="82"/>
      <c r="B3849" s="82"/>
      <c r="C3849" s="82"/>
    </row>
    <row r="3850" spans="1:3" x14ac:dyDescent="0.2">
      <c r="A3850" s="82"/>
      <c r="B3850" s="82"/>
      <c r="C3850" s="82"/>
    </row>
    <row r="3851" spans="1:3" x14ac:dyDescent="0.2">
      <c r="A3851" s="82"/>
      <c r="B3851" s="82"/>
      <c r="C3851" s="82"/>
    </row>
    <row r="3852" spans="1:3" x14ac:dyDescent="0.2">
      <c r="A3852" s="82"/>
      <c r="B3852" s="82"/>
      <c r="C3852" s="82"/>
    </row>
    <row r="3853" spans="1:3" x14ac:dyDescent="0.2">
      <c r="A3853" s="82"/>
      <c r="B3853" s="82"/>
      <c r="C3853" s="82"/>
    </row>
    <row r="3854" spans="1:3" x14ac:dyDescent="0.2">
      <c r="A3854" s="82"/>
      <c r="B3854" s="82"/>
      <c r="C3854" s="82"/>
    </row>
    <row r="3855" spans="1:3" x14ac:dyDescent="0.2">
      <c r="A3855" s="82"/>
      <c r="B3855" s="82"/>
      <c r="C3855" s="82"/>
    </row>
    <row r="3856" spans="1:3" x14ac:dyDescent="0.2">
      <c r="A3856" s="82"/>
      <c r="B3856" s="82"/>
      <c r="C3856" s="82"/>
    </row>
    <row r="3857" spans="1:3" x14ac:dyDescent="0.2">
      <c r="A3857" s="82"/>
      <c r="B3857" s="82"/>
      <c r="C3857" s="82"/>
    </row>
    <row r="3858" spans="1:3" x14ac:dyDescent="0.2">
      <c r="A3858" s="82"/>
      <c r="B3858" s="82"/>
      <c r="C3858" s="82"/>
    </row>
    <row r="3859" spans="1:3" x14ac:dyDescent="0.2">
      <c r="A3859" s="82"/>
      <c r="B3859" s="82"/>
      <c r="C3859" s="82"/>
    </row>
    <row r="3860" spans="1:3" x14ac:dyDescent="0.2">
      <c r="A3860" s="82"/>
      <c r="B3860" s="82"/>
      <c r="C3860" s="82"/>
    </row>
    <row r="3861" spans="1:3" x14ac:dyDescent="0.2">
      <c r="A3861" s="82"/>
      <c r="B3861" s="82"/>
      <c r="C3861" s="82"/>
    </row>
    <row r="3862" spans="1:3" x14ac:dyDescent="0.2">
      <c r="A3862" s="82"/>
      <c r="B3862" s="82"/>
      <c r="C3862" s="82"/>
    </row>
    <row r="3863" spans="1:3" x14ac:dyDescent="0.2">
      <c r="A3863" s="82"/>
      <c r="B3863" s="82"/>
      <c r="C3863" s="82"/>
    </row>
    <row r="3864" spans="1:3" x14ac:dyDescent="0.2">
      <c r="A3864" s="82"/>
      <c r="B3864" s="82"/>
      <c r="C3864" s="82"/>
    </row>
    <row r="3865" spans="1:3" x14ac:dyDescent="0.2">
      <c r="A3865" s="82"/>
      <c r="B3865" s="82"/>
      <c r="C3865" s="82"/>
    </row>
    <row r="3866" spans="1:3" x14ac:dyDescent="0.2">
      <c r="A3866" s="82"/>
      <c r="B3866" s="82"/>
      <c r="C3866" s="82"/>
    </row>
    <row r="3867" spans="1:3" x14ac:dyDescent="0.2">
      <c r="A3867" s="82"/>
      <c r="B3867" s="82"/>
      <c r="C3867" s="82"/>
    </row>
    <row r="3868" spans="1:3" x14ac:dyDescent="0.2">
      <c r="A3868" s="82"/>
      <c r="B3868" s="82"/>
      <c r="C3868" s="82"/>
    </row>
    <row r="3869" spans="1:3" x14ac:dyDescent="0.2">
      <c r="A3869" s="82"/>
      <c r="B3869" s="82"/>
      <c r="C3869" s="82"/>
    </row>
    <row r="3870" spans="1:3" x14ac:dyDescent="0.2">
      <c r="A3870" s="82"/>
      <c r="B3870" s="82"/>
      <c r="C3870" s="82"/>
    </row>
    <row r="3871" spans="1:3" x14ac:dyDescent="0.2">
      <c r="A3871" s="82"/>
      <c r="B3871" s="82"/>
      <c r="C3871" s="82"/>
    </row>
    <row r="3872" spans="1:3" x14ac:dyDescent="0.2">
      <c r="A3872" s="82"/>
      <c r="B3872" s="82"/>
      <c r="C3872" s="82"/>
    </row>
    <row r="3873" spans="1:3" x14ac:dyDescent="0.2">
      <c r="A3873" s="82"/>
      <c r="B3873" s="82"/>
      <c r="C3873" s="82"/>
    </row>
    <row r="3874" spans="1:3" x14ac:dyDescent="0.2">
      <c r="A3874" s="82"/>
      <c r="B3874" s="82"/>
      <c r="C3874" s="82"/>
    </row>
    <row r="3875" spans="1:3" x14ac:dyDescent="0.2">
      <c r="A3875" s="82"/>
      <c r="B3875" s="82"/>
      <c r="C3875" s="82"/>
    </row>
    <row r="3876" spans="1:3" x14ac:dyDescent="0.2">
      <c r="A3876" s="82"/>
      <c r="B3876" s="82"/>
      <c r="C3876" s="82"/>
    </row>
    <row r="3877" spans="1:3" x14ac:dyDescent="0.2">
      <c r="A3877" s="82"/>
      <c r="B3877" s="82"/>
      <c r="C3877" s="82"/>
    </row>
    <row r="3878" spans="1:3" x14ac:dyDescent="0.2">
      <c r="A3878" s="82"/>
      <c r="B3878" s="82"/>
      <c r="C3878" s="82"/>
    </row>
    <row r="3879" spans="1:3" x14ac:dyDescent="0.2">
      <c r="A3879" s="82"/>
      <c r="B3879" s="82"/>
      <c r="C3879" s="82"/>
    </row>
    <row r="3880" spans="1:3" x14ac:dyDescent="0.2">
      <c r="A3880" s="82"/>
      <c r="B3880" s="82"/>
      <c r="C3880" s="82"/>
    </row>
    <row r="3881" spans="1:3" x14ac:dyDescent="0.2">
      <c r="A3881" s="82"/>
      <c r="B3881" s="82"/>
      <c r="C3881" s="82"/>
    </row>
    <row r="3882" spans="1:3" x14ac:dyDescent="0.2">
      <c r="A3882" s="82"/>
      <c r="B3882" s="82"/>
      <c r="C3882" s="82"/>
    </row>
    <row r="3883" spans="1:3" x14ac:dyDescent="0.2">
      <c r="A3883" s="82"/>
      <c r="B3883" s="82"/>
      <c r="C3883" s="82"/>
    </row>
    <row r="3884" spans="1:3" x14ac:dyDescent="0.2">
      <c r="A3884" s="82"/>
      <c r="B3884" s="82"/>
      <c r="C3884" s="82"/>
    </row>
    <row r="3885" spans="1:3" x14ac:dyDescent="0.2">
      <c r="A3885" s="82"/>
      <c r="B3885" s="82"/>
      <c r="C3885" s="82"/>
    </row>
    <row r="3886" spans="1:3" x14ac:dyDescent="0.2">
      <c r="A3886" s="82"/>
      <c r="B3886" s="82"/>
      <c r="C3886" s="82"/>
    </row>
    <row r="3887" spans="1:3" x14ac:dyDescent="0.2">
      <c r="A3887" s="82"/>
      <c r="B3887" s="82"/>
      <c r="C3887" s="82"/>
    </row>
    <row r="3888" spans="1:3" x14ac:dyDescent="0.2">
      <c r="A3888" s="82"/>
      <c r="B3888" s="82"/>
      <c r="C3888" s="82"/>
    </row>
    <row r="3889" spans="1:3" x14ac:dyDescent="0.2">
      <c r="A3889" s="82"/>
      <c r="B3889" s="82"/>
      <c r="C3889" s="82"/>
    </row>
    <row r="3890" spans="1:3" x14ac:dyDescent="0.2">
      <c r="A3890" s="82"/>
      <c r="B3890" s="82"/>
      <c r="C3890" s="82"/>
    </row>
    <row r="3891" spans="1:3" x14ac:dyDescent="0.2">
      <c r="A3891" s="82"/>
      <c r="B3891" s="82"/>
      <c r="C3891" s="82"/>
    </row>
    <row r="3892" spans="1:3" x14ac:dyDescent="0.2">
      <c r="A3892" s="82"/>
      <c r="B3892" s="82"/>
      <c r="C3892" s="82"/>
    </row>
    <row r="3893" spans="1:3" x14ac:dyDescent="0.2">
      <c r="A3893" s="82"/>
      <c r="B3893" s="82"/>
      <c r="C3893" s="82"/>
    </row>
    <row r="3894" spans="1:3" x14ac:dyDescent="0.2">
      <c r="A3894" s="82"/>
      <c r="B3894" s="82"/>
      <c r="C3894" s="82"/>
    </row>
    <row r="3895" spans="1:3" x14ac:dyDescent="0.2">
      <c r="A3895" s="82"/>
      <c r="B3895" s="82"/>
      <c r="C3895" s="82"/>
    </row>
    <row r="3896" spans="1:3" x14ac:dyDescent="0.2">
      <c r="A3896" s="82"/>
      <c r="B3896" s="82"/>
      <c r="C3896" s="82"/>
    </row>
    <row r="3897" spans="1:3" x14ac:dyDescent="0.2">
      <c r="A3897" s="82"/>
      <c r="B3897" s="82"/>
      <c r="C3897" s="82"/>
    </row>
    <row r="3898" spans="1:3" x14ac:dyDescent="0.2">
      <c r="A3898" s="82"/>
      <c r="B3898" s="82"/>
      <c r="C3898" s="82"/>
    </row>
    <row r="3899" spans="1:3" x14ac:dyDescent="0.2">
      <c r="A3899" s="82"/>
      <c r="B3899" s="82"/>
      <c r="C3899" s="82"/>
    </row>
    <row r="3900" spans="1:3" x14ac:dyDescent="0.2">
      <c r="A3900" s="82"/>
      <c r="B3900" s="82"/>
      <c r="C3900" s="82"/>
    </row>
    <row r="3901" spans="1:3" x14ac:dyDescent="0.2">
      <c r="A3901" s="82"/>
      <c r="B3901" s="82"/>
      <c r="C3901" s="82"/>
    </row>
    <row r="3902" spans="1:3" x14ac:dyDescent="0.2">
      <c r="A3902" s="82"/>
      <c r="B3902" s="82"/>
      <c r="C3902" s="82"/>
    </row>
    <row r="3903" spans="1:3" x14ac:dyDescent="0.2">
      <c r="A3903" s="82"/>
      <c r="B3903" s="82"/>
      <c r="C3903" s="82"/>
    </row>
    <row r="3904" spans="1:3" x14ac:dyDescent="0.2">
      <c r="A3904" s="82"/>
      <c r="B3904" s="82"/>
      <c r="C3904" s="82"/>
    </row>
    <row r="3905" spans="1:3" x14ac:dyDescent="0.2">
      <c r="A3905" s="82"/>
      <c r="B3905" s="82"/>
      <c r="C3905" s="82"/>
    </row>
    <row r="3906" spans="1:3" x14ac:dyDescent="0.2">
      <c r="A3906" s="82"/>
      <c r="B3906" s="82"/>
      <c r="C3906" s="82"/>
    </row>
    <row r="3907" spans="1:3" x14ac:dyDescent="0.2">
      <c r="A3907" s="82"/>
      <c r="B3907" s="82"/>
      <c r="C3907" s="82"/>
    </row>
    <row r="3908" spans="1:3" x14ac:dyDescent="0.2">
      <c r="A3908" s="82"/>
      <c r="B3908" s="82"/>
      <c r="C3908" s="82"/>
    </row>
    <row r="3909" spans="1:3" x14ac:dyDescent="0.2">
      <c r="A3909" s="82"/>
      <c r="B3909" s="82"/>
      <c r="C3909" s="82"/>
    </row>
    <row r="3910" spans="1:3" x14ac:dyDescent="0.2">
      <c r="A3910" s="82"/>
      <c r="B3910" s="82"/>
      <c r="C3910" s="82"/>
    </row>
    <row r="3911" spans="1:3" x14ac:dyDescent="0.2">
      <c r="A3911" s="82"/>
      <c r="B3911" s="82"/>
      <c r="C3911" s="82"/>
    </row>
    <row r="3912" spans="1:3" x14ac:dyDescent="0.2">
      <c r="A3912" s="82"/>
      <c r="B3912" s="82"/>
      <c r="C3912" s="82"/>
    </row>
    <row r="3913" spans="1:3" x14ac:dyDescent="0.2">
      <c r="A3913" s="82"/>
      <c r="B3913" s="82"/>
      <c r="C3913" s="82"/>
    </row>
    <row r="3914" spans="1:3" x14ac:dyDescent="0.2">
      <c r="A3914" s="82"/>
      <c r="B3914" s="82"/>
      <c r="C3914" s="82"/>
    </row>
    <row r="3915" spans="1:3" x14ac:dyDescent="0.2">
      <c r="A3915" s="82"/>
      <c r="B3915" s="82"/>
      <c r="C3915" s="82"/>
    </row>
    <row r="3916" spans="1:3" x14ac:dyDescent="0.2">
      <c r="A3916" s="82"/>
      <c r="B3916" s="82"/>
      <c r="C3916" s="82"/>
    </row>
    <row r="3917" spans="1:3" x14ac:dyDescent="0.2">
      <c r="A3917" s="82"/>
      <c r="B3917" s="82"/>
      <c r="C3917" s="82"/>
    </row>
    <row r="3918" spans="1:3" x14ac:dyDescent="0.2">
      <c r="A3918" s="82"/>
      <c r="B3918" s="82"/>
      <c r="C3918" s="82"/>
    </row>
    <row r="3919" spans="1:3" x14ac:dyDescent="0.2">
      <c r="A3919" s="82"/>
      <c r="B3919" s="82"/>
      <c r="C3919" s="82"/>
    </row>
    <row r="3920" spans="1:3" x14ac:dyDescent="0.2">
      <c r="A3920" s="82"/>
      <c r="B3920" s="82"/>
      <c r="C3920" s="82"/>
    </row>
    <row r="3921" spans="1:3" x14ac:dyDescent="0.2">
      <c r="A3921" s="82"/>
      <c r="B3921" s="82"/>
      <c r="C3921" s="82"/>
    </row>
    <row r="3922" spans="1:3" x14ac:dyDescent="0.2">
      <c r="A3922" s="82"/>
      <c r="B3922" s="82"/>
      <c r="C3922" s="82"/>
    </row>
    <row r="3923" spans="1:3" x14ac:dyDescent="0.2">
      <c r="A3923" s="82"/>
      <c r="B3923" s="82"/>
      <c r="C3923" s="82"/>
    </row>
    <row r="3924" spans="1:3" x14ac:dyDescent="0.2">
      <c r="A3924" s="82"/>
      <c r="B3924" s="82"/>
      <c r="C3924" s="82"/>
    </row>
    <row r="3925" spans="1:3" x14ac:dyDescent="0.2">
      <c r="A3925" s="82"/>
      <c r="B3925" s="82"/>
      <c r="C3925" s="82"/>
    </row>
    <row r="3926" spans="1:3" x14ac:dyDescent="0.2">
      <c r="A3926" s="82"/>
      <c r="B3926" s="82"/>
      <c r="C3926" s="82"/>
    </row>
    <row r="3927" spans="1:3" x14ac:dyDescent="0.2">
      <c r="A3927" s="82"/>
      <c r="B3927" s="82"/>
      <c r="C3927" s="82"/>
    </row>
    <row r="3928" spans="1:3" x14ac:dyDescent="0.2">
      <c r="A3928" s="82"/>
      <c r="B3928" s="82"/>
      <c r="C3928" s="82"/>
    </row>
    <row r="3929" spans="1:3" x14ac:dyDescent="0.2">
      <c r="A3929" s="82"/>
      <c r="B3929" s="82"/>
      <c r="C3929" s="82"/>
    </row>
    <row r="3930" spans="1:3" x14ac:dyDescent="0.2">
      <c r="A3930" s="82"/>
      <c r="B3930" s="82"/>
      <c r="C3930" s="82"/>
    </row>
    <row r="3931" spans="1:3" x14ac:dyDescent="0.2">
      <c r="A3931" s="82"/>
      <c r="B3931" s="82"/>
      <c r="C3931" s="82"/>
    </row>
    <row r="3932" spans="1:3" x14ac:dyDescent="0.2">
      <c r="A3932" s="82"/>
      <c r="B3932" s="82"/>
      <c r="C3932" s="82"/>
    </row>
    <row r="3933" spans="1:3" x14ac:dyDescent="0.2">
      <c r="A3933" s="82"/>
      <c r="B3933" s="82"/>
      <c r="C3933" s="82"/>
    </row>
    <row r="3934" spans="1:3" x14ac:dyDescent="0.2">
      <c r="A3934" s="82"/>
      <c r="B3934" s="82"/>
      <c r="C3934" s="82"/>
    </row>
    <row r="3935" spans="1:3" x14ac:dyDescent="0.2">
      <c r="A3935" s="82"/>
      <c r="B3935" s="82"/>
      <c r="C3935" s="82"/>
    </row>
    <row r="3936" spans="1:3" x14ac:dyDescent="0.2">
      <c r="A3936" s="82"/>
      <c r="B3936" s="82"/>
      <c r="C3936" s="82"/>
    </row>
    <row r="3937" spans="1:3" x14ac:dyDescent="0.2">
      <c r="A3937" s="82"/>
      <c r="B3937" s="82"/>
      <c r="C3937" s="82"/>
    </row>
    <row r="3938" spans="1:3" x14ac:dyDescent="0.2">
      <c r="A3938" s="82"/>
      <c r="B3938" s="82"/>
      <c r="C3938" s="82"/>
    </row>
    <row r="3939" spans="1:3" x14ac:dyDescent="0.2">
      <c r="A3939" s="82"/>
      <c r="B3939" s="82"/>
      <c r="C3939" s="82"/>
    </row>
    <row r="3940" spans="1:3" x14ac:dyDescent="0.2">
      <c r="A3940" s="82"/>
      <c r="B3940" s="82"/>
      <c r="C3940" s="82"/>
    </row>
    <row r="3941" spans="1:3" x14ac:dyDescent="0.2">
      <c r="A3941" s="82"/>
      <c r="B3941" s="82"/>
      <c r="C3941" s="82"/>
    </row>
    <row r="3942" spans="1:3" x14ac:dyDescent="0.2">
      <c r="A3942" s="82"/>
      <c r="B3942" s="82"/>
      <c r="C3942" s="82"/>
    </row>
    <row r="3943" spans="1:3" x14ac:dyDescent="0.2">
      <c r="A3943" s="82"/>
      <c r="B3943" s="82"/>
      <c r="C3943" s="82"/>
    </row>
    <row r="3944" spans="1:3" x14ac:dyDescent="0.2">
      <c r="A3944" s="82"/>
      <c r="B3944" s="82"/>
      <c r="C3944" s="82"/>
    </row>
    <row r="3945" spans="1:3" x14ac:dyDescent="0.2">
      <c r="A3945" s="82"/>
      <c r="B3945" s="82"/>
      <c r="C3945" s="82"/>
    </row>
    <row r="3946" spans="1:3" x14ac:dyDescent="0.2">
      <c r="A3946" s="82"/>
      <c r="B3946" s="82"/>
      <c r="C3946" s="82"/>
    </row>
    <row r="3947" spans="1:3" x14ac:dyDescent="0.2">
      <c r="A3947" s="82"/>
      <c r="B3947" s="82"/>
      <c r="C3947" s="82"/>
    </row>
    <row r="3948" spans="1:3" x14ac:dyDescent="0.2">
      <c r="A3948" s="82"/>
      <c r="B3948" s="82"/>
      <c r="C3948" s="82"/>
    </row>
    <row r="3949" spans="1:3" x14ac:dyDescent="0.2">
      <c r="A3949" s="82"/>
      <c r="B3949" s="82"/>
      <c r="C3949" s="82"/>
    </row>
    <row r="3950" spans="1:3" x14ac:dyDescent="0.2">
      <c r="A3950" s="82"/>
      <c r="B3950" s="82"/>
      <c r="C3950" s="82"/>
    </row>
    <row r="3951" spans="1:3" x14ac:dyDescent="0.2">
      <c r="A3951" s="82"/>
      <c r="B3951" s="82"/>
      <c r="C3951" s="82"/>
    </row>
    <row r="3952" spans="1:3" x14ac:dyDescent="0.2">
      <c r="A3952" s="82"/>
      <c r="B3952" s="82"/>
      <c r="C3952" s="82"/>
    </row>
    <row r="3953" spans="1:3" x14ac:dyDescent="0.2">
      <c r="A3953" s="82"/>
      <c r="B3953" s="82"/>
      <c r="C3953" s="82"/>
    </row>
    <row r="3954" spans="1:3" x14ac:dyDescent="0.2">
      <c r="A3954" s="82"/>
      <c r="B3954" s="82"/>
      <c r="C3954" s="82"/>
    </row>
    <row r="3955" spans="1:3" x14ac:dyDescent="0.2">
      <c r="A3955" s="82"/>
      <c r="B3955" s="82"/>
      <c r="C3955" s="82"/>
    </row>
    <row r="3956" spans="1:3" x14ac:dyDescent="0.2">
      <c r="A3956" s="82"/>
      <c r="B3956" s="82"/>
      <c r="C3956" s="82"/>
    </row>
    <row r="3957" spans="1:3" x14ac:dyDescent="0.2">
      <c r="A3957" s="82"/>
      <c r="B3957" s="82"/>
      <c r="C3957" s="82"/>
    </row>
    <row r="3958" spans="1:3" x14ac:dyDescent="0.2">
      <c r="A3958" s="82"/>
      <c r="B3958" s="82"/>
      <c r="C3958" s="82"/>
    </row>
    <row r="3959" spans="1:3" x14ac:dyDescent="0.2">
      <c r="A3959" s="82"/>
      <c r="B3959" s="82"/>
      <c r="C3959" s="82"/>
    </row>
    <row r="3960" spans="1:3" x14ac:dyDescent="0.2">
      <c r="A3960" s="82"/>
      <c r="B3960" s="82"/>
      <c r="C3960" s="82"/>
    </row>
    <row r="3961" spans="1:3" x14ac:dyDescent="0.2">
      <c r="A3961" s="82"/>
      <c r="B3961" s="82"/>
      <c r="C3961" s="82"/>
    </row>
    <row r="3962" spans="1:3" x14ac:dyDescent="0.2">
      <c r="A3962" s="82"/>
      <c r="B3962" s="82"/>
      <c r="C3962" s="82"/>
    </row>
    <row r="3963" spans="1:3" x14ac:dyDescent="0.2">
      <c r="A3963" s="82"/>
      <c r="B3963" s="82"/>
      <c r="C3963" s="82"/>
    </row>
    <row r="3964" spans="1:3" x14ac:dyDescent="0.2">
      <c r="A3964" s="82"/>
      <c r="B3964" s="82"/>
      <c r="C3964" s="82"/>
    </row>
    <row r="3965" spans="1:3" x14ac:dyDescent="0.2">
      <c r="A3965" s="82"/>
      <c r="B3965" s="82"/>
      <c r="C3965" s="82"/>
    </row>
    <row r="3966" spans="1:3" x14ac:dyDescent="0.2">
      <c r="A3966" s="82"/>
      <c r="B3966" s="82"/>
      <c r="C3966" s="82"/>
    </row>
    <row r="3967" spans="1:3" x14ac:dyDescent="0.2">
      <c r="A3967" s="82"/>
      <c r="B3967" s="82"/>
      <c r="C3967" s="82"/>
    </row>
    <row r="3968" spans="1:3" x14ac:dyDescent="0.2">
      <c r="A3968" s="82"/>
      <c r="B3968" s="82"/>
      <c r="C3968" s="82"/>
    </row>
    <row r="3969" spans="1:3" x14ac:dyDescent="0.2">
      <c r="A3969" s="82"/>
      <c r="B3969" s="82"/>
      <c r="C3969" s="82"/>
    </row>
    <row r="3970" spans="1:3" x14ac:dyDescent="0.2">
      <c r="A3970" s="82"/>
      <c r="B3970" s="82"/>
      <c r="C3970" s="82"/>
    </row>
    <row r="3971" spans="1:3" x14ac:dyDescent="0.2">
      <c r="A3971" s="82"/>
      <c r="B3971" s="82"/>
      <c r="C3971" s="82"/>
    </row>
    <row r="3972" spans="1:3" x14ac:dyDescent="0.2">
      <c r="A3972" s="82"/>
      <c r="B3972" s="82"/>
      <c r="C3972" s="82"/>
    </row>
    <row r="3973" spans="1:3" x14ac:dyDescent="0.2">
      <c r="A3973" s="82"/>
      <c r="B3973" s="82"/>
      <c r="C3973" s="82"/>
    </row>
    <row r="3974" spans="1:3" x14ac:dyDescent="0.2">
      <c r="A3974" s="82"/>
      <c r="B3974" s="82"/>
      <c r="C3974" s="82"/>
    </row>
    <row r="3975" spans="1:3" x14ac:dyDescent="0.2">
      <c r="A3975" s="82"/>
      <c r="B3975" s="82"/>
      <c r="C3975" s="82"/>
    </row>
    <row r="3976" spans="1:3" x14ac:dyDescent="0.2">
      <c r="A3976" s="82"/>
      <c r="B3976" s="82"/>
      <c r="C3976" s="82"/>
    </row>
    <row r="3977" spans="1:3" x14ac:dyDescent="0.2">
      <c r="A3977" s="82"/>
      <c r="B3977" s="82"/>
      <c r="C3977" s="82"/>
    </row>
    <row r="3978" spans="1:3" x14ac:dyDescent="0.2">
      <c r="A3978" s="82"/>
      <c r="B3978" s="82"/>
      <c r="C3978" s="82"/>
    </row>
    <row r="3979" spans="1:3" x14ac:dyDescent="0.2">
      <c r="A3979" s="82"/>
      <c r="B3979" s="82"/>
      <c r="C3979" s="82"/>
    </row>
    <row r="3980" spans="1:3" x14ac:dyDescent="0.2">
      <c r="A3980" s="82"/>
      <c r="B3980" s="82"/>
      <c r="C3980" s="82"/>
    </row>
    <row r="3981" spans="1:3" x14ac:dyDescent="0.2">
      <c r="A3981" s="82"/>
      <c r="B3981" s="82"/>
      <c r="C3981" s="82"/>
    </row>
    <row r="3982" spans="1:3" x14ac:dyDescent="0.2">
      <c r="A3982" s="82"/>
      <c r="B3982" s="82"/>
      <c r="C3982" s="82"/>
    </row>
    <row r="3983" spans="1:3" x14ac:dyDescent="0.2">
      <c r="A3983" s="82"/>
      <c r="B3983" s="82"/>
      <c r="C3983" s="82"/>
    </row>
    <row r="3984" spans="1:3" x14ac:dyDescent="0.2">
      <c r="A3984" s="82"/>
      <c r="B3984" s="82"/>
      <c r="C3984" s="82"/>
    </row>
    <row r="3985" spans="1:3" x14ac:dyDescent="0.2">
      <c r="A3985" s="82"/>
      <c r="B3985" s="82"/>
      <c r="C3985" s="82"/>
    </row>
    <row r="3986" spans="1:3" x14ac:dyDescent="0.2">
      <c r="A3986" s="82"/>
      <c r="B3986" s="82"/>
      <c r="C3986" s="82"/>
    </row>
    <row r="3987" spans="1:3" x14ac:dyDescent="0.2">
      <c r="A3987" s="82"/>
      <c r="B3987" s="82"/>
      <c r="C3987" s="82"/>
    </row>
    <row r="3988" spans="1:3" x14ac:dyDescent="0.2">
      <c r="A3988" s="82"/>
      <c r="B3988" s="82"/>
      <c r="C3988" s="82"/>
    </row>
    <row r="3989" spans="1:3" x14ac:dyDescent="0.2">
      <c r="A3989" s="82"/>
      <c r="B3989" s="82"/>
      <c r="C3989" s="82"/>
    </row>
    <row r="3990" spans="1:3" x14ac:dyDescent="0.2">
      <c r="A3990" s="82"/>
      <c r="B3990" s="82"/>
      <c r="C3990" s="82"/>
    </row>
    <row r="3991" spans="1:3" x14ac:dyDescent="0.2">
      <c r="A3991" s="82"/>
      <c r="B3991" s="82"/>
      <c r="C3991" s="82"/>
    </row>
    <row r="3992" spans="1:3" x14ac:dyDescent="0.2">
      <c r="A3992" s="82"/>
      <c r="B3992" s="82"/>
      <c r="C3992" s="82"/>
    </row>
    <row r="3993" spans="1:3" x14ac:dyDescent="0.2">
      <c r="A3993" s="82"/>
      <c r="B3993" s="82"/>
      <c r="C3993" s="82"/>
    </row>
    <row r="3994" spans="1:3" x14ac:dyDescent="0.2">
      <c r="A3994" s="82"/>
      <c r="B3994" s="82"/>
      <c r="C3994" s="82"/>
    </row>
    <row r="3995" spans="1:3" x14ac:dyDescent="0.2">
      <c r="A3995" s="82"/>
      <c r="B3995" s="82"/>
      <c r="C3995" s="82"/>
    </row>
    <row r="3996" spans="1:3" x14ac:dyDescent="0.2">
      <c r="A3996" s="82"/>
      <c r="B3996" s="82"/>
      <c r="C3996" s="82"/>
    </row>
    <row r="3997" spans="1:3" x14ac:dyDescent="0.2">
      <c r="A3997" s="82"/>
      <c r="B3997" s="82"/>
      <c r="C3997" s="82"/>
    </row>
    <row r="3998" spans="1:3" x14ac:dyDescent="0.2">
      <c r="A3998" s="82"/>
      <c r="B3998" s="82"/>
      <c r="C3998" s="82"/>
    </row>
    <row r="3999" spans="1:3" x14ac:dyDescent="0.2">
      <c r="A3999" s="82"/>
      <c r="B3999" s="82"/>
      <c r="C3999" s="82"/>
    </row>
    <row r="4000" spans="1:3" x14ac:dyDescent="0.2">
      <c r="A4000" s="82"/>
      <c r="B4000" s="82"/>
      <c r="C4000" s="82"/>
    </row>
    <row r="4001" spans="1:3" x14ac:dyDescent="0.2">
      <c r="A4001" s="82"/>
      <c r="B4001" s="82"/>
      <c r="C4001" s="82"/>
    </row>
    <row r="4002" spans="1:3" x14ac:dyDescent="0.2">
      <c r="A4002" s="82"/>
      <c r="B4002" s="82"/>
      <c r="C4002" s="82"/>
    </row>
    <row r="4003" spans="1:3" x14ac:dyDescent="0.2">
      <c r="A4003" s="82"/>
      <c r="B4003" s="82"/>
      <c r="C4003" s="82"/>
    </row>
    <row r="4004" spans="1:3" x14ac:dyDescent="0.2">
      <c r="A4004" s="82"/>
      <c r="B4004" s="82"/>
      <c r="C4004" s="82"/>
    </row>
    <row r="4005" spans="1:3" x14ac:dyDescent="0.2">
      <c r="A4005" s="82"/>
      <c r="B4005" s="82"/>
      <c r="C4005" s="82"/>
    </row>
    <row r="4006" spans="1:3" x14ac:dyDescent="0.2">
      <c r="A4006" s="82"/>
      <c r="B4006" s="82"/>
      <c r="C4006" s="82"/>
    </row>
    <row r="4007" spans="1:3" x14ac:dyDescent="0.2">
      <c r="A4007" s="82"/>
      <c r="B4007" s="82"/>
      <c r="C4007" s="82"/>
    </row>
    <row r="4008" spans="1:3" x14ac:dyDescent="0.2">
      <c r="A4008" s="82"/>
      <c r="B4008" s="82"/>
      <c r="C4008" s="82"/>
    </row>
    <row r="4009" spans="1:3" x14ac:dyDescent="0.2">
      <c r="A4009" s="82"/>
      <c r="B4009" s="82"/>
      <c r="C4009" s="82"/>
    </row>
    <row r="4010" spans="1:3" x14ac:dyDescent="0.2">
      <c r="A4010" s="82"/>
      <c r="B4010" s="82"/>
      <c r="C4010" s="82"/>
    </row>
    <row r="4011" spans="1:3" x14ac:dyDescent="0.2">
      <c r="A4011" s="82"/>
      <c r="B4011" s="82"/>
      <c r="C4011" s="82"/>
    </row>
    <row r="4012" spans="1:3" x14ac:dyDescent="0.2">
      <c r="A4012" s="82"/>
      <c r="B4012" s="82"/>
      <c r="C4012" s="82"/>
    </row>
    <row r="4013" spans="1:3" x14ac:dyDescent="0.2">
      <c r="A4013" s="82"/>
      <c r="B4013" s="82"/>
      <c r="C4013" s="82"/>
    </row>
    <row r="4014" spans="1:3" x14ac:dyDescent="0.2">
      <c r="A4014" s="82"/>
      <c r="B4014" s="82"/>
      <c r="C4014" s="82"/>
    </row>
    <row r="4015" spans="1:3" x14ac:dyDescent="0.2">
      <c r="A4015" s="82"/>
      <c r="B4015" s="82"/>
      <c r="C4015" s="82"/>
    </row>
    <row r="4016" spans="1:3" x14ac:dyDescent="0.2">
      <c r="A4016" s="82"/>
      <c r="B4016" s="82"/>
      <c r="C4016" s="82"/>
    </row>
    <row r="4017" spans="1:3" x14ac:dyDescent="0.2">
      <c r="A4017" s="82"/>
      <c r="B4017" s="82"/>
      <c r="C4017" s="82"/>
    </row>
    <row r="4018" spans="1:3" x14ac:dyDescent="0.2">
      <c r="A4018" s="82"/>
      <c r="B4018" s="82"/>
      <c r="C4018" s="82"/>
    </row>
    <row r="4019" spans="1:3" x14ac:dyDescent="0.2">
      <c r="A4019" s="82"/>
      <c r="B4019" s="82"/>
      <c r="C4019" s="82"/>
    </row>
    <row r="4020" spans="1:3" x14ac:dyDescent="0.2">
      <c r="A4020" s="82"/>
      <c r="B4020" s="82"/>
      <c r="C4020" s="82"/>
    </row>
    <row r="4021" spans="1:3" x14ac:dyDescent="0.2">
      <c r="A4021" s="82"/>
      <c r="B4021" s="82"/>
      <c r="C4021" s="82"/>
    </row>
    <row r="4022" spans="1:3" x14ac:dyDescent="0.2">
      <c r="A4022" s="82"/>
      <c r="B4022" s="82"/>
      <c r="C4022" s="82"/>
    </row>
    <row r="4023" spans="1:3" x14ac:dyDescent="0.2">
      <c r="A4023" s="82"/>
      <c r="B4023" s="82"/>
      <c r="C4023" s="82"/>
    </row>
    <row r="4024" spans="1:3" x14ac:dyDescent="0.2">
      <c r="A4024" s="82"/>
      <c r="B4024" s="82"/>
      <c r="C4024" s="82"/>
    </row>
    <row r="4025" spans="1:3" x14ac:dyDescent="0.2">
      <c r="A4025" s="82"/>
      <c r="B4025" s="82"/>
      <c r="C4025" s="82"/>
    </row>
    <row r="4026" spans="1:3" x14ac:dyDescent="0.2">
      <c r="A4026" s="82"/>
      <c r="B4026" s="82"/>
      <c r="C4026" s="82"/>
    </row>
    <row r="4027" spans="1:3" x14ac:dyDescent="0.2">
      <c r="A4027" s="82"/>
      <c r="B4027" s="82"/>
      <c r="C4027" s="82"/>
    </row>
    <row r="4028" spans="1:3" x14ac:dyDescent="0.2">
      <c r="A4028" s="82"/>
      <c r="B4028" s="82"/>
      <c r="C4028" s="82"/>
    </row>
    <row r="4029" spans="1:3" x14ac:dyDescent="0.2">
      <c r="A4029" s="82"/>
      <c r="B4029" s="82"/>
      <c r="C4029" s="82"/>
    </row>
    <row r="4030" spans="1:3" x14ac:dyDescent="0.2">
      <c r="A4030" s="82"/>
      <c r="B4030" s="82"/>
      <c r="C4030" s="82"/>
    </row>
    <row r="4031" spans="1:3" x14ac:dyDescent="0.2">
      <c r="A4031" s="82"/>
      <c r="B4031" s="82"/>
      <c r="C4031" s="82"/>
    </row>
    <row r="4032" spans="1:3" x14ac:dyDescent="0.2">
      <c r="A4032" s="82"/>
      <c r="B4032" s="82"/>
      <c r="C4032" s="82"/>
    </row>
    <row r="4033" spans="1:3" x14ac:dyDescent="0.2">
      <c r="A4033" s="82"/>
      <c r="B4033" s="82"/>
      <c r="C4033" s="82"/>
    </row>
    <row r="4034" spans="1:3" x14ac:dyDescent="0.2">
      <c r="A4034" s="82"/>
      <c r="B4034" s="82"/>
      <c r="C4034" s="82"/>
    </row>
    <row r="4035" spans="1:3" x14ac:dyDescent="0.2">
      <c r="A4035" s="82"/>
      <c r="B4035" s="82"/>
      <c r="C4035" s="82"/>
    </row>
    <row r="4036" spans="1:3" x14ac:dyDescent="0.2">
      <c r="A4036" s="82"/>
      <c r="B4036" s="82"/>
      <c r="C4036" s="82"/>
    </row>
    <row r="4037" spans="1:3" x14ac:dyDescent="0.2">
      <c r="A4037" s="82"/>
      <c r="B4037" s="82"/>
      <c r="C4037" s="82"/>
    </row>
    <row r="4038" spans="1:3" x14ac:dyDescent="0.2">
      <c r="A4038" s="82"/>
      <c r="B4038" s="82"/>
      <c r="C4038" s="82"/>
    </row>
    <row r="4039" spans="1:3" x14ac:dyDescent="0.2">
      <c r="A4039" s="82"/>
      <c r="B4039" s="82"/>
      <c r="C4039" s="82"/>
    </row>
    <row r="4040" spans="1:3" x14ac:dyDescent="0.2">
      <c r="A4040" s="82"/>
      <c r="B4040" s="82"/>
      <c r="C4040" s="82"/>
    </row>
    <row r="4041" spans="1:3" x14ac:dyDescent="0.2">
      <c r="A4041" s="82"/>
      <c r="B4041" s="82"/>
      <c r="C4041" s="82"/>
    </row>
    <row r="4042" spans="1:3" x14ac:dyDescent="0.2">
      <c r="A4042" s="82"/>
      <c r="B4042" s="82"/>
      <c r="C4042" s="82"/>
    </row>
    <row r="4043" spans="1:3" x14ac:dyDescent="0.2">
      <c r="A4043" s="82"/>
      <c r="B4043" s="82"/>
      <c r="C4043" s="82"/>
    </row>
    <row r="4044" spans="1:3" x14ac:dyDescent="0.2">
      <c r="A4044" s="82"/>
      <c r="B4044" s="82"/>
      <c r="C4044" s="82"/>
    </row>
    <row r="4045" spans="1:3" x14ac:dyDescent="0.2">
      <c r="A4045" s="82"/>
      <c r="B4045" s="82"/>
      <c r="C4045" s="82"/>
    </row>
    <row r="4046" spans="1:3" x14ac:dyDescent="0.2">
      <c r="A4046" s="82"/>
      <c r="B4046" s="82"/>
      <c r="C4046" s="82"/>
    </row>
    <row r="4047" spans="1:3" x14ac:dyDescent="0.2">
      <c r="A4047" s="82"/>
      <c r="B4047" s="82"/>
      <c r="C4047" s="82"/>
    </row>
    <row r="4048" spans="1:3" x14ac:dyDescent="0.2">
      <c r="A4048" s="82"/>
      <c r="B4048" s="82"/>
      <c r="C4048" s="82"/>
    </row>
    <row r="4049" spans="1:3" x14ac:dyDescent="0.2">
      <c r="A4049" s="82"/>
      <c r="B4049" s="82"/>
      <c r="C4049" s="82"/>
    </row>
    <row r="4050" spans="1:3" x14ac:dyDescent="0.2">
      <c r="A4050" s="82"/>
      <c r="B4050" s="82"/>
      <c r="C4050" s="82"/>
    </row>
    <row r="4051" spans="1:3" x14ac:dyDescent="0.2">
      <c r="A4051" s="82"/>
      <c r="B4051" s="82"/>
      <c r="C4051" s="82"/>
    </row>
    <row r="4052" spans="1:3" x14ac:dyDescent="0.2">
      <c r="A4052" s="82"/>
      <c r="B4052" s="82"/>
      <c r="C4052" s="82"/>
    </row>
    <row r="4053" spans="1:3" x14ac:dyDescent="0.2">
      <c r="A4053" s="82"/>
      <c r="B4053" s="82"/>
      <c r="C4053" s="82"/>
    </row>
    <row r="4054" spans="1:3" x14ac:dyDescent="0.2">
      <c r="A4054" s="82"/>
      <c r="B4054" s="82"/>
      <c r="C4054" s="82"/>
    </row>
    <row r="4055" spans="1:3" x14ac:dyDescent="0.2">
      <c r="A4055" s="82"/>
      <c r="B4055" s="82"/>
      <c r="C4055" s="82"/>
    </row>
    <row r="4056" spans="1:3" x14ac:dyDescent="0.2">
      <c r="A4056" s="82"/>
      <c r="B4056" s="82"/>
      <c r="C4056" s="82"/>
    </row>
    <row r="4057" spans="1:3" x14ac:dyDescent="0.2">
      <c r="A4057" s="82"/>
      <c r="B4057" s="82"/>
      <c r="C4057" s="82"/>
    </row>
    <row r="4058" spans="1:3" x14ac:dyDescent="0.2">
      <c r="A4058" s="82"/>
      <c r="B4058" s="82"/>
      <c r="C4058" s="82"/>
    </row>
    <row r="4059" spans="1:3" x14ac:dyDescent="0.2">
      <c r="A4059" s="82"/>
      <c r="B4059" s="82"/>
      <c r="C4059" s="82"/>
    </row>
    <row r="4060" spans="1:3" x14ac:dyDescent="0.2">
      <c r="A4060" s="82"/>
      <c r="B4060" s="82"/>
      <c r="C4060" s="82"/>
    </row>
    <row r="4061" spans="1:3" x14ac:dyDescent="0.2">
      <c r="A4061" s="82"/>
      <c r="B4061" s="82"/>
      <c r="C4061" s="82"/>
    </row>
    <row r="4062" spans="1:3" x14ac:dyDescent="0.2">
      <c r="A4062" s="82"/>
      <c r="B4062" s="82"/>
      <c r="C4062" s="82"/>
    </row>
    <row r="4063" spans="1:3" x14ac:dyDescent="0.2">
      <c r="A4063" s="82"/>
      <c r="B4063" s="82"/>
      <c r="C4063" s="82"/>
    </row>
    <row r="4064" spans="1:3" x14ac:dyDescent="0.2">
      <c r="A4064" s="82"/>
      <c r="B4064" s="82"/>
      <c r="C4064" s="82"/>
    </row>
    <row r="4065" spans="1:3" x14ac:dyDescent="0.2">
      <c r="A4065" s="82"/>
      <c r="B4065" s="82"/>
      <c r="C4065" s="82"/>
    </row>
    <row r="4066" spans="1:3" x14ac:dyDescent="0.2">
      <c r="A4066" s="82"/>
      <c r="B4066" s="82"/>
      <c r="C4066" s="82"/>
    </row>
    <row r="4067" spans="1:3" x14ac:dyDescent="0.2">
      <c r="A4067" s="82"/>
      <c r="B4067" s="82"/>
      <c r="C4067" s="82"/>
    </row>
    <row r="4068" spans="1:3" x14ac:dyDescent="0.2">
      <c r="A4068" s="82"/>
      <c r="B4068" s="82"/>
      <c r="C4068" s="82"/>
    </row>
    <row r="4069" spans="1:3" x14ac:dyDescent="0.2">
      <c r="A4069" s="82"/>
      <c r="B4069" s="82"/>
      <c r="C4069" s="82"/>
    </row>
    <row r="4070" spans="1:3" x14ac:dyDescent="0.2">
      <c r="A4070" s="82"/>
      <c r="B4070" s="82"/>
      <c r="C4070" s="82"/>
    </row>
    <row r="4071" spans="1:3" x14ac:dyDescent="0.2">
      <c r="A4071" s="82"/>
      <c r="B4071" s="82"/>
      <c r="C4071" s="82"/>
    </row>
    <row r="4072" spans="1:3" x14ac:dyDescent="0.2">
      <c r="A4072" s="82"/>
      <c r="B4072" s="82"/>
      <c r="C4072" s="82"/>
    </row>
    <row r="4073" spans="1:3" x14ac:dyDescent="0.2">
      <c r="A4073" s="82"/>
      <c r="B4073" s="82"/>
      <c r="C4073" s="82"/>
    </row>
    <row r="4074" spans="1:3" x14ac:dyDescent="0.2">
      <c r="A4074" s="82"/>
      <c r="B4074" s="82"/>
      <c r="C4074" s="82"/>
    </row>
    <row r="4075" spans="1:3" x14ac:dyDescent="0.2">
      <c r="A4075" s="82"/>
      <c r="B4075" s="82"/>
      <c r="C4075" s="82"/>
    </row>
    <row r="4076" spans="1:3" x14ac:dyDescent="0.2">
      <c r="A4076" s="82"/>
      <c r="B4076" s="82"/>
      <c r="C4076" s="82"/>
    </row>
    <row r="4077" spans="1:3" x14ac:dyDescent="0.2">
      <c r="A4077" s="82"/>
      <c r="B4077" s="82"/>
      <c r="C4077" s="82"/>
    </row>
    <row r="4078" spans="1:3" x14ac:dyDescent="0.2">
      <c r="A4078" s="82"/>
      <c r="B4078" s="82"/>
      <c r="C4078" s="82"/>
    </row>
    <row r="4079" spans="1:3" x14ac:dyDescent="0.2">
      <c r="A4079" s="82"/>
      <c r="B4079" s="82"/>
      <c r="C4079" s="82"/>
    </row>
    <row r="4080" spans="1:3" x14ac:dyDescent="0.2">
      <c r="A4080" s="82"/>
      <c r="B4080" s="82"/>
      <c r="C4080" s="82"/>
    </row>
    <row r="4081" spans="1:3" x14ac:dyDescent="0.2">
      <c r="A4081" s="82"/>
      <c r="B4081" s="82"/>
      <c r="C4081" s="82"/>
    </row>
    <row r="4082" spans="1:3" x14ac:dyDescent="0.2">
      <c r="A4082" s="82"/>
      <c r="B4082" s="82"/>
      <c r="C4082" s="82"/>
    </row>
    <row r="4083" spans="1:3" x14ac:dyDescent="0.2">
      <c r="A4083" s="82"/>
      <c r="B4083" s="82"/>
      <c r="C4083" s="82"/>
    </row>
    <row r="4084" spans="1:3" x14ac:dyDescent="0.2">
      <c r="A4084" s="82"/>
      <c r="B4084" s="82"/>
      <c r="C4084" s="82"/>
    </row>
    <row r="4085" spans="1:3" x14ac:dyDescent="0.2">
      <c r="A4085" s="82"/>
      <c r="B4085" s="82"/>
      <c r="C4085" s="82"/>
    </row>
    <row r="4086" spans="1:3" x14ac:dyDescent="0.2">
      <c r="A4086" s="82"/>
      <c r="B4086" s="82"/>
      <c r="C4086" s="82"/>
    </row>
    <row r="4087" spans="1:3" x14ac:dyDescent="0.2">
      <c r="A4087" s="82"/>
      <c r="B4087" s="82"/>
      <c r="C4087" s="82"/>
    </row>
    <row r="4088" spans="1:3" x14ac:dyDescent="0.2">
      <c r="A4088" s="82"/>
      <c r="B4088" s="82"/>
      <c r="C4088" s="82"/>
    </row>
    <row r="4089" spans="1:3" x14ac:dyDescent="0.2">
      <c r="A4089" s="82"/>
      <c r="B4089" s="82"/>
      <c r="C4089" s="82"/>
    </row>
    <row r="4090" spans="1:3" x14ac:dyDescent="0.2">
      <c r="A4090" s="82"/>
      <c r="B4090" s="82"/>
      <c r="C4090" s="82"/>
    </row>
    <row r="4091" spans="1:3" x14ac:dyDescent="0.2">
      <c r="A4091" s="82"/>
      <c r="B4091" s="82"/>
      <c r="C4091" s="82"/>
    </row>
    <row r="4092" spans="1:3" x14ac:dyDescent="0.2">
      <c r="A4092" s="82"/>
      <c r="B4092" s="82"/>
      <c r="C4092" s="82"/>
    </row>
    <row r="4093" spans="1:3" x14ac:dyDescent="0.2">
      <c r="A4093" s="82"/>
      <c r="B4093" s="82"/>
      <c r="C4093" s="82"/>
    </row>
    <row r="4094" spans="1:3" x14ac:dyDescent="0.2">
      <c r="A4094" s="82"/>
      <c r="B4094" s="82"/>
      <c r="C4094" s="82"/>
    </row>
    <row r="4095" spans="1:3" x14ac:dyDescent="0.2">
      <c r="A4095" s="82"/>
      <c r="B4095" s="82"/>
      <c r="C4095" s="82"/>
    </row>
    <row r="4096" spans="1:3" x14ac:dyDescent="0.2">
      <c r="A4096" s="82"/>
      <c r="B4096" s="82"/>
      <c r="C4096" s="82"/>
    </row>
    <row r="4097" spans="1:3" x14ac:dyDescent="0.2">
      <c r="A4097" s="82"/>
      <c r="B4097" s="82"/>
      <c r="C4097" s="82"/>
    </row>
    <row r="4098" spans="1:3" x14ac:dyDescent="0.2">
      <c r="A4098" s="82"/>
      <c r="B4098" s="82"/>
      <c r="C4098" s="82"/>
    </row>
    <row r="4099" spans="1:3" x14ac:dyDescent="0.2">
      <c r="A4099" s="82"/>
      <c r="B4099" s="82"/>
      <c r="C4099" s="82"/>
    </row>
    <row r="4100" spans="1:3" x14ac:dyDescent="0.2">
      <c r="A4100" s="82"/>
      <c r="B4100" s="82"/>
      <c r="C4100" s="82"/>
    </row>
    <row r="4101" spans="1:3" x14ac:dyDescent="0.2">
      <c r="A4101" s="82"/>
      <c r="B4101" s="82"/>
      <c r="C4101" s="82"/>
    </row>
    <row r="4102" spans="1:3" x14ac:dyDescent="0.2">
      <c r="A4102" s="82"/>
      <c r="B4102" s="82"/>
      <c r="C4102" s="82"/>
    </row>
    <row r="4103" spans="1:3" x14ac:dyDescent="0.2">
      <c r="A4103" s="82"/>
      <c r="B4103" s="82"/>
      <c r="C4103" s="82"/>
    </row>
    <row r="4104" spans="1:3" x14ac:dyDescent="0.2">
      <c r="A4104" s="82"/>
      <c r="B4104" s="82"/>
      <c r="C4104" s="82"/>
    </row>
    <row r="4105" spans="1:3" x14ac:dyDescent="0.2">
      <c r="A4105" s="82"/>
      <c r="B4105" s="82"/>
      <c r="C4105" s="82"/>
    </row>
    <row r="4106" spans="1:3" x14ac:dyDescent="0.2">
      <c r="A4106" s="82"/>
      <c r="B4106" s="82"/>
      <c r="C4106" s="82"/>
    </row>
    <row r="4107" spans="1:3" x14ac:dyDescent="0.2">
      <c r="A4107" s="82"/>
      <c r="B4107" s="82"/>
      <c r="C4107" s="82"/>
    </row>
    <row r="4108" spans="1:3" x14ac:dyDescent="0.2">
      <c r="A4108" s="82"/>
      <c r="B4108" s="82"/>
      <c r="C4108" s="82"/>
    </row>
    <row r="4109" spans="1:3" x14ac:dyDescent="0.2">
      <c r="A4109" s="82"/>
      <c r="B4109" s="82"/>
      <c r="C4109" s="82"/>
    </row>
    <row r="4110" spans="1:3" x14ac:dyDescent="0.2">
      <c r="A4110" s="82"/>
      <c r="B4110" s="82"/>
      <c r="C4110" s="82"/>
    </row>
    <row r="4111" spans="1:3" x14ac:dyDescent="0.2">
      <c r="A4111" s="82"/>
      <c r="B4111" s="82"/>
      <c r="C4111" s="82"/>
    </row>
    <row r="4112" spans="1:3" x14ac:dyDescent="0.2">
      <c r="A4112" s="82"/>
      <c r="B4112" s="82"/>
      <c r="C4112" s="82"/>
    </row>
    <row r="4113" spans="1:3" x14ac:dyDescent="0.2">
      <c r="A4113" s="82"/>
      <c r="B4113" s="82"/>
      <c r="C4113" s="82"/>
    </row>
    <row r="4114" spans="1:3" x14ac:dyDescent="0.2">
      <c r="A4114" s="82"/>
      <c r="B4114" s="82"/>
      <c r="C4114" s="82"/>
    </row>
    <row r="4115" spans="1:3" x14ac:dyDescent="0.2">
      <c r="A4115" s="82"/>
      <c r="B4115" s="82"/>
      <c r="C4115" s="82"/>
    </row>
    <row r="4116" spans="1:3" x14ac:dyDescent="0.2">
      <c r="A4116" s="82"/>
      <c r="B4116" s="82"/>
      <c r="C4116" s="82"/>
    </row>
    <row r="4117" spans="1:3" x14ac:dyDescent="0.2">
      <c r="A4117" s="82"/>
      <c r="B4117" s="82"/>
      <c r="C4117" s="82"/>
    </row>
    <row r="4118" spans="1:3" x14ac:dyDescent="0.2">
      <c r="A4118" s="82"/>
      <c r="B4118" s="82"/>
      <c r="C4118" s="82"/>
    </row>
    <row r="4119" spans="1:3" x14ac:dyDescent="0.2">
      <c r="A4119" s="82"/>
      <c r="B4119" s="82"/>
      <c r="C4119" s="82"/>
    </row>
    <row r="4120" spans="1:3" x14ac:dyDescent="0.2">
      <c r="A4120" s="82"/>
      <c r="B4120" s="82"/>
      <c r="C4120" s="82"/>
    </row>
    <row r="4121" spans="1:3" x14ac:dyDescent="0.2">
      <c r="A4121" s="82"/>
      <c r="B4121" s="82"/>
      <c r="C4121" s="82"/>
    </row>
    <row r="4122" spans="1:3" x14ac:dyDescent="0.2">
      <c r="A4122" s="82"/>
      <c r="B4122" s="82"/>
      <c r="C4122" s="82"/>
    </row>
    <row r="4123" spans="1:3" x14ac:dyDescent="0.2">
      <c r="A4123" s="82"/>
      <c r="B4123" s="82"/>
      <c r="C4123" s="82"/>
    </row>
    <row r="4124" spans="1:3" x14ac:dyDescent="0.2">
      <c r="A4124" s="82"/>
      <c r="B4124" s="82"/>
      <c r="C4124" s="82"/>
    </row>
    <row r="4125" spans="1:3" x14ac:dyDescent="0.2">
      <c r="A4125" s="82"/>
      <c r="B4125" s="82"/>
      <c r="C4125" s="82"/>
    </row>
    <row r="4126" spans="1:3" x14ac:dyDescent="0.2">
      <c r="A4126" s="82"/>
      <c r="B4126" s="82"/>
      <c r="C4126" s="82"/>
    </row>
    <row r="4127" spans="1:3" x14ac:dyDescent="0.2">
      <c r="A4127" s="82"/>
      <c r="B4127" s="82"/>
      <c r="C4127" s="82"/>
    </row>
    <row r="4128" spans="1:3" x14ac:dyDescent="0.2">
      <c r="A4128" s="82"/>
      <c r="B4128" s="82"/>
      <c r="C4128" s="82"/>
    </row>
    <row r="4129" spans="1:3" x14ac:dyDescent="0.2">
      <c r="A4129" s="82"/>
      <c r="B4129" s="82"/>
      <c r="C4129" s="82"/>
    </row>
    <row r="4130" spans="1:3" x14ac:dyDescent="0.2">
      <c r="A4130" s="82"/>
      <c r="B4130" s="82"/>
      <c r="C4130" s="82"/>
    </row>
    <row r="4131" spans="1:3" x14ac:dyDescent="0.2">
      <c r="A4131" s="82"/>
      <c r="B4131" s="82"/>
      <c r="C4131" s="82"/>
    </row>
    <row r="4132" spans="1:3" x14ac:dyDescent="0.2">
      <c r="A4132" s="82"/>
      <c r="B4132" s="82"/>
      <c r="C4132" s="82"/>
    </row>
    <row r="4133" spans="1:3" x14ac:dyDescent="0.2">
      <c r="A4133" s="82"/>
      <c r="B4133" s="82"/>
      <c r="C4133" s="82"/>
    </row>
    <row r="4134" spans="1:3" x14ac:dyDescent="0.2">
      <c r="A4134" s="82"/>
      <c r="B4134" s="82"/>
      <c r="C4134" s="82"/>
    </row>
    <row r="4135" spans="1:3" x14ac:dyDescent="0.2">
      <c r="A4135" s="82"/>
      <c r="B4135" s="82"/>
      <c r="C4135" s="82"/>
    </row>
    <row r="4136" spans="1:3" x14ac:dyDescent="0.2">
      <c r="A4136" s="82"/>
      <c r="B4136" s="82"/>
      <c r="C4136" s="82"/>
    </row>
    <row r="4137" spans="1:3" x14ac:dyDescent="0.2">
      <c r="A4137" s="82"/>
      <c r="B4137" s="82"/>
      <c r="C4137" s="82"/>
    </row>
    <row r="4138" spans="1:3" x14ac:dyDescent="0.2">
      <c r="A4138" s="82"/>
      <c r="B4138" s="82"/>
      <c r="C4138" s="82"/>
    </row>
    <row r="4139" spans="1:3" x14ac:dyDescent="0.2">
      <c r="A4139" s="82"/>
      <c r="B4139" s="82"/>
      <c r="C4139" s="82"/>
    </row>
    <row r="4140" spans="1:3" x14ac:dyDescent="0.2">
      <c r="A4140" s="82"/>
      <c r="B4140" s="82"/>
      <c r="C4140" s="82"/>
    </row>
    <row r="4141" spans="1:3" x14ac:dyDescent="0.2">
      <c r="A4141" s="82"/>
      <c r="B4141" s="82"/>
      <c r="C4141" s="82"/>
    </row>
    <row r="4142" spans="1:3" x14ac:dyDescent="0.2">
      <c r="A4142" s="82"/>
      <c r="B4142" s="82"/>
      <c r="C4142" s="82"/>
    </row>
    <row r="4143" spans="1:3" x14ac:dyDescent="0.2">
      <c r="A4143" s="82"/>
      <c r="B4143" s="82"/>
      <c r="C4143" s="82"/>
    </row>
    <row r="4144" spans="1:3" x14ac:dyDescent="0.2">
      <c r="A4144" s="82"/>
      <c r="B4144" s="82"/>
      <c r="C4144" s="82"/>
    </row>
    <row r="4145" spans="1:3" x14ac:dyDescent="0.2">
      <c r="A4145" s="82"/>
      <c r="B4145" s="82"/>
      <c r="C4145" s="82"/>
    </row>
    <row r="4146" spans="1:3" x14ac:dyDescent="0.2">
      <c r="A4146" s="82"/>
      <c r="B4146" s="82"/>
      <c r="C4146" s="82"/>
    </row>
    <row r="4147" spans="1:3" x14ac:dyDescent="0.2">
      <c r="A4147" s="82"/>
      <c r="B4147" s="82"/>
      <c r="C4147" s="82"/>
    </row>
    <row r="4148" spans="1:3" x14ac:dyDescent="0.2">
      <c r="A4148" s="82"/>
      <c r="B4148" s="82"/>
      <c r="C4148" s="82"/>
    </row>
    <row r="4149" spans="1:3" x14ac:dyDescent="0.2">
      <c r="A4149" s="82"/>
      <c r="B4149" s="82"/>
      <c r="C4149" s="82"/>
    </row>
    <row r="4150" spans="1:3" x14ac:dyDescent="0.2">
      <c r="A4150" s="82"/>
      <c r="B4150" s="82"/>
      <c r="C4150" s="82"/>
    </row>
    <row r="4151" spans="1:3" x14ac:dyDescent="0.2">
      <c r="A4151" s="82"/>
      <c r="B4151" s="82"/>
      <c r="C4151" s="82"/>
    </row>
    <row r="4152" spans="1:3" x14ac:dyDescent="0.2">
      <c r="A4152" s="82"/>
      <c r="B4152" s="82"/>
      <c r="C4152" s="82"/>
    </row>
    <row r="4153" spans="1:3" x14ac:dyDescent="0.2">
      <c r="A4153" s="82"/>
      <c r="B4153" s="82"/>
      <c r="C4153" s="82"/>
    </row>
    <row r="4154" spans="1:3" x14ac:dyDescent="0.2">
      <c r="A4154" s="82"/>
      <c r="B4154" s="82"/>
      <c r="C4154" s="82"/>
    </row>
    <row r="4155" spans="1:3" x14ac:dyDescent="0.2">
      <c r="A4155" s="82"/>
      <c r="B4155" s="82"/>
      <c r="C4155" s="82"/>
    </row>
    <row r="4156" spans="1:3" x14ac:dyDescent="0.2">
      <c r="A4156" s="82"/>
      <c r="B4156" s="82"/>
      <c r="C4156" s="82"/>
    </row>
    <row r="4157" spans="1:3" x14ac:dyDescent="0.2">
      <c r="A4157" s="82"/>
      <c r="B4157" s="82"/>
      <c r="C4157" s="82"/>
    </row>
    <row r="4158" spans="1:3" x14ac:dyDescent="0.2">
      <c r="A4158" s="82"/>
      <c r="B4158" s="82"/>
      <c r="C4158" s="82"/>
    </row>
    <row r="4159" spans="1:3" x14ac:dyDescent="0.2">
      <c r="A4159" s="82"/>
      <c r="B4159" s="82"/>
      <c r="C4159" s="82"/>
    </row>
    <row r="4160" spans="1:3" x14ac:dyDescent="0.2">
      <c r="A4160" s="82"/>
      <c r="B4160" s="82"/>
      <c r="C4160" s="82"/>
    </row>
    <row r="4161" spans="1:3" x14ac:dyDescent="0.2">
      <c r="A4161" s="82"/>
      <c r="B4161" s="82"/>
      <c r="C4161" s="82"/>
    </row>
    <row r="4162" spans="1:3" x14ac:dyDescent="0.2">
      <c r="A4162" s="82"/>
      <c r="B4162" s="82"/>
      <c r="C4162" s="82"/>
    </row>
    <row r="4163" spans="1:3" x14ac:dyDescent="0.2">
      <c r="A4163" s="82"/>
      <c r="B4163" s="82"/>
      <c r="C4163" s="82"/>
    </row>
    <row r="4164" spans="1:3" x14ac:dyDescent="0.2">
      <c r="A4164" s="82"/>
      <c r="B4164" s="82"/>
      <c r="C4164" s="82"/>
    </row>
    <row r="4165" spans="1:3" x14ac:dyDescent="0.2">
      <c r="A4165" s="82"/>
      <c r="B4165" s="82"/>
      <c r="C4165" s="82"/>
    </row>
    <row r="4166" spans="1:3" x14ac:dyDescent="0.2">
      <c r="A4166" s="82"/>
      <c r="B4166" s="82"/>
      <c r="C4166" s="82"/>
    </row>
    <row r="4167" spans="1:3" x14ac:dyDescent="0.2">
      <c r="A4167" s="82"/>
      <c r="B4167" s="82"/>
      <c r="C4167" s="82"/>
    </row>
    <row r="4168" spans="1:3" x14ac:dyDescent="0.2">
      <c r="A4168" s="82"/>
      <c r="B4168" s="82"/>
      <c r="C4168" s="82"/>
    </row>
    <row r="4169" spans="1:3" x14ac:dyDescent="0.2">
      <c r="A4169" s="82"/>
      <c r="B4169" s="82"/>
      <c r="C4169" s="82"/>
    </row>
    <row r="4170" spans="1:3" x14ac:dyDescent="0.2">
      <c r="A4170" s="82"/>
      <c r="B4170" s="82"/>
      <c r="C4170" s="82"/>
    </row>
    <row r="4171" spans="1:3" x14ac:dyDescent="0.2">
      <c r="A4171" s="82"/>
      <c r="B4171" s="82"/>
      <c r="C4171" s="82"/>
    </row>
    <row r="4172" spans="1:3" x14ac:dyDescent="0.2">
      <c r="A4172" s="82"/>
      <c r="B4172" s="82"/>
      <c r="C4172" s="82"/>
    </row>
    <row r="4173" spans="1:3" x14ac:dyDescent="0.2">
      <c r="A4173" s="82"/>
      <c r="B4173" s="82"/>
      <c r="C4173" s="82"/>
    </row>
    <row r="4174" spans="1:3" x14ac:dyDescent="0.2">
      <c r="A4174" s="82"/>
      <c r="B4174" s="82"/>
      <c r="C4174" s="82"/>
    </row>
    <row r="4175" spans="1:3" x14ac:dyDescent="0.2">
      <c r="A4175" s="82"/>
      <c r="B4175" s="82"/>
      <c r="C4175" s="82"/>
    </row>
    <row r="4176" spans="1:3" x14ac:dyDescent="0.2">
      <c r="A4176" s="82"/>
      <c r="B4176" s="82"/>
      <c r="C4176" s="82"/>
    </row>
    <row r="4177" spans="1:3" x14ac:dyDescent="0.2">
      <c r="A4177" s="82"/>
      <c r="B4177" s="82"/>
      <c r="C4177" s="82"/>
    </row>
    <row r="4178" spans="1:3" x14ac:dyDescent="0.2">
      <c r="A4178" s="82"/>
      <c r="B4178" s="82"/>
      <c r="C4178" s="82"/>
    </row>
    <row r="4179" spans="1:3" x14ac:dyDescent="0.2">
      <c r="A4179" s="82"/>
      <c r="B4179" s="82"/>
      <c r="C4179" s="82"/>
    </row>
    <row r="4180" spans="1:3" x14ac:dyDescent="0.2">
      <c r="A4180" s="82"/>
      <c r="B4180" s="82"/>
      <c r="C4180" s="82"/>
    </row>
    <row r="4181" spans="1:3" x14ac:dyDescent="0.2">
      <c r="A4181" s="82"/>
      <c r="B4181" s="82"/>
      <c r="C4181" s="82"/>
    </row>
    <row r="4182" spans="1:3" x14ac:dyDescent="0.2">
      <c r="A4182" s="82"/>
      <c r="B4182" s="82"/>
      <c r="C4182" s="82"/>
    </row>
    <row r="4183" spans="1:3" x14ac:dyDescent="0.2">
      <c r="A4183" s="82"/>
      <c r="B4183" s="82"/>
      <c r="C4183" s="82"/>
    </row>
    <row r="4184" spans="1:3" x14ac:dyDescent="0.2">
      <c r="A4184" s="82"/>
      <c r="B4184" s="82"/>
      <c r="C4184" s="82"/>
    </row>
    <row r="4185" spans="1:3" x14ac:dyDescent="0.2">
      <c r="A4185" s="82"/>
      <c r="B4185" s="82"/>
      <c r="C4185" s="82"/>
    </row>
    <row r="4186" spans="1:3" x14ac:dyDescent="0.2">
      <c r="A4186" s="82"/>
      <c r="B4186" s="82"/>
      <c r="C4186" s="82"/>
    </row>
    <row r="4187" spans="1:3" x14ac:dyDescent="0.2">
      <c r="A4187" s="82"/>
      <c r="B4187" s="82"/>
      <c r="C4187" s="82"/>
    </row>
    <row r="4188" spans="1:3" x14ac:dyDescent="0.2">
      <c r="A4188" s="82"/>
      <c r="B4188" s="82"/>
      <c r="C4188" s="82"/>
    </row>
    <row r="4189" spans="1:3" x14ac:dyDescent="0.2">
      <c r="A4189" s="82"/>
      <c r="B4189" s="82"/>
      <c r="C4189" s="82"/>
    </row>
    <row r="4190" spans="1:3" x14ac:dyDescent="0.2">
      <c r="A4190" s="82"/>
      <c r="B4190" s="82"/>
      <c r="C4190" s="82"/>
    </row>
    <row r="4191" spans="1:3" x14ac:dyDescent="0.2">
      <c r="A4191" s="82"/>
      <c r="B4191" s="82"/>
      <c r="C4191" s="82"/>
    </row>
    <row r="4192" spans="1:3" x14ac:dyDescent="0.2">
      <c r="A4192" s="82"/>
      <c r="B4192" s="82"/>
      <c r="C4192" s="82"/>
    </row>
    <row r="4193" spans="1:3" x14ac:dyDescent="0.2">
      <c r="A4193" s="82"/>
      <c r="B4193" s="82"/>
      <c r="C4193" s="82"/>
    </row>
    <row r="4194" spans="1:3" x14ac:dyDescent="0.2">
      <c r="A4194" s="82"/>
      <c r="B4194" s="82"/>
      <c r="C4194" s="82"/>
    </row>
    <row r="4195" spans="1:3" x14ac:dyDescent="0.2">
      <c r="A4195" s="82"/>
      <c r="B4195" s="82"/>
      <c r="C4195" s="82"/>
    </row>
    <row r="4196" spans="1:3" x14ac:dyDescent="0.2">
      <c r="A4196" s="82"/>
      <c r="B4196" s="82"/>
      <c r="C4196" s="82"/>
    </row>
    <row r="4197" spans="1:3" x14ac:dyDescent="0.2">
      <c r="A4197" s="82"/>
      <c r="B4197" s="82"/>
      <c r="C4197" s="82"/>
    </row>
    <row r="4198" spans="1:3" x14ac:dyDescent="0.2">
      <c r="A4198" s="82"/>
      <c r="B4198" s="82"/>
      <c r="C4198" s="82"/>
    </row>
    <row r="4199" spans="1:3" x14ac:dyDescent="0.2">
      <c r="A4199" s="82"/>
      <c r="B4199" s="82"/>
      <c r="C4199" s="82"/>
    </row>
    <row r="4200" spans="1:3" x14ac:dyDescent="0.2">
      <c r="A4200" s="82"/>
      <c r="B4200" s="82"/>
      <c r="C4200" s="82"/>
    </row>
    <row r="4201" spans="1:3" x14ac:dyDescent="0.2">
      <c r="A4201" s="82"/>
      <c r="B4201" s="82"/>
      <c r="C4201" s="82"/>
    </row>
    <row r="4202" spans="1:3" x14ac:dyDescent="0.2">
      <c r="A4202" s="82"/>
      <c r="B4202" s="82"/>
      <c r="C4202" s="82"/>
    </row>
    <row r="4203" spans="1:3" x14ac:dyDescent="0.2">
      <c r="A4203" s="82"/>
      <c r="B4203" s="82"/>
      <c r="C4203" s="82"/>
    </row>
    <row r="4204" spans="1:3" x14ac:dyDescent="0.2">
      <c r="A4204" s="82"/>
      <c r="B4204" s="82"/>
      <c r="C4204" s="82"/>
    </row>
    <row r="4205" spans="1:3" x14ac:dyDescent="0.2">
      <c r="A4205" s="82"/>
      <c r="B4205" s="82"/>
      <c r="C4205" s="82"/>
    </row>
    <row r="4206" spans="1:3" x14ac:dyDescent="0.2">
      <c r="A4206" s="82"/>
      <c r="B4206" s="82"/>
      <c r="C4206" s="82"/>
    </row>
    <row r="4207" spans="1:3" x14ac:dyDescent="0.2">
      <c r="A4207" s="82"/>
      <c r="B4207" s="82"/>
      <c r="C4207" s="82"/>
    </row>
    <row r="4208" spans="1:3" x14ac:dyDescent="0.2">
      <c r="A4208" s="82"/>
      <c r="B4208" s="82"/>
      <c r="C4208" s="82"/>
    </row>
    <row r="4209" spans="1:3" x14ac:dyDescent="0.2">
      <c r="A4209" s="82"/>
      <c r="B4209" s="82"/>
      <c r="C4209" s="82"/>
    </row>
    <row r="4210" spans="1:3" x14ac:dyDescent="0.2">
      <c r="A4210" s="82"/>
      <c r="B4210" s="82"/>
      <c r="C4210" s="82"/>
    </row>
    <row r="4211" spans="1:3" x14ac:dyDescent="0.2">
      <c r="A4211" s="82"/>
      <c r="B4211" s="82"/>
      <c r="C4211" s="82"/>
    </row>
    <row r="4212" spans="1:3" x14ac:dyDescent="0.2">
      <c r="A4212" s="82"/>
      <c r="B4212" s="82"/>
      <c r="C4212" s="82"/>
    </row>
    <row r="4213" spans="1:3" x14ac:dyDescent="0.2">
      <c r="A4213" s="82"/>
      <c r="B4213" s="82"/>
      <c r="C4213" s="82"/>
    </row>
    <row r="4214" spans="1:3" x14ac:dyDescent="0.2">
      <c r="A4214" s="82"/>
      <c r="B4214" s="82"/>
      <c r="C4214" s="82"/>
    </row>
    <row r="4215" spans="1:3" x14ac:dyDescent="0.2">
      <c r="A4215" s="82"/>
      <c r="B4215" s="82"/>
      <c r="C4215" s="82"/>
    </row>
    <row r="4216" spans="1:3" x14ac:dyDescent="0.2">
      <c r="A4216" s="82"/>
      <c r="B4216" s="82"/>
      <c r="C4216" s="82"/>
    </row>
    <row r="4217" spans="1:3" x14ac:dyDescent="0.2">
      <c r="A4217" s="82"/>
      <c r="B4217" s="82"/>
      <c r="C4217" s="82"/>
    </row>
    <row r="4218" spans="1:3" x14ac:dyDescent="0.2">
      <c r="A4218" s="82"/>
      <c r="B4218" s="82"/>
      <c r="C4218" s="82"/>
    </row>
    <row r="4219" spans="1:3" x14ac:dyDescent="0.2">
      <c r="A4219" s="82"/>
      <c r="B4219" s="82"/>
      <c r="C4219" s="82"/>
    </row>
    <row r="4220" spans="1:3" x14ac:dyDescent="0.2">
      <c r="A4220" s="82"/>
      <c r="B4220" s="82"/>
      <c r="C4220" s="82"/>
    </row>
    <row r="4221" spans="1:3" x14ac:dyDescent="0.2">
      <c r="A4221" s="82"/>
      <c r="B4221" s="82"/>
      <c r="C4221" s="82"/>
    </row>
    <row r="4222" spans="1:3" x14ac:dyDescent="0.2">
      <c r="A4222" s="82"/>
      <c r="B4222" s="82"/>
      <c r="C4222" s="82"/>
    </row>
    <row r="4223" spans="1:3" x14ac:dyDescent="0.2">
      <c r="A4223" s="82"/>
      <c r="B4223" s="82"/>
      <c r="C4223" s="82"/>
    </row>
    <row r="4224" spans="1:3" x14ac:dyDescent="0.2">
      <c r="A4224" s="82"/>
      <c r="B4224" s="82"/>
      <c r="C4224" s="82"/>
    </row>
    <row r="4225" spans="1:3" x14ac:dyDescent="0.2">
      <c r="A4225" s="82"/>
      <c r="B4225" s="82"/>
      <c r="C4225" s="82"/>
    </row>
    <row r="4226" spans="1:3" x14ac:dyDescent="0.2">
      <c r="A4226" s="82"/>
      <c r="B4226" s="82"/>
      <c r="C4226" s="82"/>
    </row>
    <row r="4227" spans="1:3" x14ac:dyDescent="0.2">
      <c r="A4227" s="82"/>
      <c r="B4227" s="82"/>
      <c r="C4227" s="82"/>
    </row>
    <row r="4228" spans="1:3" x14ac:dyDescent="0.2">
      <c r="A4228" s="82"/>
      <c r="B4228" s="82"/>
      <c r="C4228" s="82"/>
    </row>
    <row r="4229" spans="1:3" x14ac:dyDescent="0.2">
      <c r="A4229" s="82"/>
      <c r="B4229" s="82"/>
      <c r="C4229" s="82"/>
    </row>
    <row r="4230" spans="1:3" x14ac:dyDescent="0.2">
      <c r="A4230" s="82"/>
      <c r="B4230" s="82"/>
      <c r="C4230" s="82"/>
    </row>
    <row r="4231" spans="1:3" x14ac:dyDescent="0.2">
      <c r="A4231" s="82"/>
      <c r="B4231" s="82"/>
      <c r="C4231" s="82"/>
    </row>
    <row r="4232" spans="1:3" x14ac:dyDescent="0.2">
      <c r="A4232" s="82"/>
      <c r="B4232" s="82"/>
      <c r="C4232" s="82"/>
    </row>
    <row r="4233" spans="1:3" x14ac:dyDescent="0.2">
      <c r="A4233" s="82"/>
      <c r="B4233" s="82"/>
      <c r="C4233" s="82"/>
    </row>
    <row r="4234" spans="1:3" x14ac:dyDescent="0.2">
      <c r="A4234" s="82"/>
      <c r="B4234" s="82"/>
      <c r="C4234" s="82"/>
    </row>
    <row r="4235" spans="1:3" x14ac:dyDescent="0.2">
      <c r="A4235" s="82"/>
      <c r="B4235" s="82"/>
      <c r="C4235" s="82"/>
    </row>
    <row r="4236" spans="1:3" x14ac:dyDescent="0.2">
      <c r="A4236" s="82"/>
      <c r="B4236" s="82"/>
      <c r="C4236" s="82"/>
    </row>
    <row r="4237" spans="1:3" x14ac:dyDescent="0.2">
      <c r="A4237" s="82"/>
      <c r="B4237" s="82"/>
      <c r="C4237" s="82"/>
    </row>
    <row r="4238" spans="1:3" x14ac:dyDescent="0.2">
      <c r="A4238" s="82"/>
      <c r="B4238" s="82"/>
      <c r="C4238" s="82"/>
    </row>
    <row r="4239" spans="1:3" x14ac:dyDescent="0.2">
      <c r="A4239" s="82"/>
      <c r="B4239" s="82"/>
      <c r="C4239" s="82"/>
    </row>
    <row r="4240" spans="1:3" x14ac:dyDescent="0.2">
      <c r="A4240" s="82"/>
      <c r="B4240" s="82"/>
      <c r="C4240" s="82"/>
    </row>
    <row r="4241" spans="1:3" x14ac:dyDescent="0.2">
      <c r="A4241" s="82"/>
      <c r="B4241" s="82"/>
      <c r="C4241" s="82"/>
    </row>
    <row r="4242" spans="1:3" x14ac:dyDescent="0.2">
      <c r="A4242" s="82"/>
      <c r="B4242" s="82"/>
      <c r="C4242" s="82"/>
    </row>
    <row r="4243" spans="1:3" x14ac:dyDescent="0.2">
      <c r="A4243" s="82"/>
      <c r="B4243" s="82"/>
      <c r="C4243" s="82"/>
    </row>
    <row r="4244" spans="1:3" x14ac:dyDescent="0.2">
      <c r="A4244" s="82"/>
      <c r="B4244" s="82"/>
      <c r="C4244" s="82"/>
    </row>
    <row r="4245" spans="1:3" x14ac:dyDescent="0.2">
      <c r="A4245" s="82"/>
      <c r="B4245" s="82"/>
      <c r="C4245" s="82"/>
    </row>
    <row r="4246" spans="1:3" x14ac:dyDescent="0.2">
      <c r="A4246" s="82"/>
      <c r="B4246" s="82"/>
      <c r="C4246" s="82"/>
    </row>
    <row r="4247" spans="1:3" x14ac:dyDescent="0.2">
      <c r="A4247" s="82"/>
      <c r="B4247" s="82"/>
      <c r="C4247" s="82"/>
    </row>
    <row r="4248" spans="1:3" x14ac:dyDescent="0.2">
      <c r="A4248" s="82"/>
      <c r="B4248" s="82"/>
      <c r="C4248" s="82"/>
    </row>
    <row r="4249" spans="1:3" x14ac:dyDescent="0.2">
      <c r="A4249" s="82"/>
      <c r="B4249" s="82"/>
      <c r="C4249" s="82"/>
    </row>
    <row r="4250" spans="1:3" x14ac:dyDescent="0.2">
      <c r="A4250" s="82"/>
      <c r="B4250" s="82"/>
      <c r="C4250" s="82"/>
    </row>
    <row r="4251" spans="1:3" x14ac:dyDescent="0.2">
      <c r="A4251" s="82"/>
      <c r="B4251" s="82"/>
      <c r="C4251" s="82"/>
    </row>
    <row r="4252" spans="1:3" x14ac:dyDescent="0.2">
      <c r="A4252" s="82"/>
      <c r="B4252" s="82"/>
      <c r="C4252" s="82"/>
    </row>
    <row r="4253" spans="1:3" x14ac:dyDescent="0.2">
      <c r="A4253" s="82"/>
      <c r="B4253" s="82"/>
      <c r="C4253" s="82"/>
    </row>
    <row r="4254" spans="1:3" x14ac:dyDescent="0.2">
      <c r="A4254" s="82"/>
      <c r="B4254" s="82"/>
      <c r="C4254" s="82"/>
    </row>
    <row r="4255" spans="1:3" x14ac:dyDescent="0.2">
      <c r="A4255" s="82"/>
      <c r="B4255" s="82"/>
      <c r="C4255" s="82"/>
    </row>
    <row r="4256" spans="1:3" x14ac:dyDescent="0.2">
      <c r="A4256" s="82"/>
      <c r="B4256" s="82"/>
      <c r="C4256" s="82"/>
    </row>
    <row r="4257" spans="1:3" x14ac:dyDescent="0.2">
      <c r="A4257" s="82"/>
      <c r="B4257" s="82"/>
      <c r="C4257" s="82"/>
    </row>
    <row r="4258" spans="1:3" x14ac:dyDescent="0.2">
      <c r="A4258" s="82"/>
      <c r="B4258" s="82"/>
      <c r="C4258" s="82"/>
    </row>
    <row r="4259" spans="1:3" x14ac:dyDescent="0.2">
      <c r="A4259" s="82"/>
      <c r="B4259" s="82"/>
      <c r="C4259" s="82"/>
    </row>
    <row r="4260" spans="1:3" x14ac:dyDescent="0.2">
      <c r="A4260" s="82"/>
      <c r="B4260" s="82"/>
      <c r="C4260" s="82"/>
    </row>
    <row r="4261" spans="1:3" x14ac:dyDescent="0.2">
      <c r="A4261" s="82"/>
      <c r="B4261" s="82"/>
      <c r="C4261" s="82"/>
    </row>
    <row r="4262" spans="1:3" x14ac:dyDescent="0.2">
      <c r="A4262" s="82"/>
      <c r="B4262" s="82"/>
      <c r="C4262" s="82"/>
    </row>
    <row r="4263" spans="1:3" x14ac:dyDescent="0.2">
      <c r="A4263" s="82"/>
      <c r="B4263" s="82"/>
      <c r="C4263" s="82"/>
    </row>
    <row r="4264" spans="1:3" x14ac:dyDescent="0.2">
      <c r="A4264" s="82"/>
      <c r="B4264" s="82"/>
      <c r="C4264" s="82"/>
    </row>
    <row r="4265" spans="1:3" x14ac:dyDescent="0.2">
      <c r="A4265" s="82"/>
      <c r="B4265" s="82"/>
      <c r="C4265" s="82"/>
    </row>
    <row r="4266" spans="1:3" x14ac:dyDescent="0.2">
      <c r="A4266" s="82"/>
      <c r="B4266" s="82"/>
      <c r="C4266" s="82"/>
    </row>
    <row r="4267" spans="1:3" x14ac:dyDescent="0.2">
      <c r="A4267" s="82"/>
      <c r="B4267" s="82"/>
      <c r="C4267" s="82"/>
    </row>
    <row r="4268" spans="1:3" x14ac:dyDescent="0.2">
      <c r="A4268" s="82"/>
      <c r="B4268" s="82"/>
      <c r="C4268" s="82"/>
    </row>
    <row r="4269" spans="1:3" x14ac:dyDescent="0.2">
      <c r="A4269" s="82"/>
      <c r="B4269" s="82"/>
      <c r="C4269" s="82"/>
    </row>
    <row r="4270" spans="1:3" x14ac:dyDescent="0.2">
      <c r="A4270" s="82"/>
      <c r="B4270" s="82"/>
      <c r="C4270" s="82"/>
    </row>
    <row r="4271" spans="1:3" x14ac:dyDescent="0.2">
      <c r="A4271" s="82"/>
      <c r="B4271" s="82"/>
      <c r="C4271" s="82"/>
    </row>
    <row r="4272" spans="1:3" x14ac:dyDescent="0.2">
      <c r="A4272" s="82"/>
      <c r="B4272" s="82"/>
      <c r="C4272" s="82"/>
    </row>
    <row r="4273" spans="1:3" x14ac:dyDescent="0.2">
      <c r="A4273" s="82"/>
      <c r="B4273" s="82"/>
      <c r="C4273" s="82"/>
    </row>
    <row r="4274" spans="1:3" x14ac:dyDescent="0.2">
      <c r="A4274" s="82"/>
      <c r="B4274" s="82"/>
      <c r="C4274" s="82"/>
    </row>
    <row r="4275" spans="1:3" x14ac:dyDescent="0.2">
      <c r="A4275" s="82"/>
      <c r="B4275" s="82"/>
      <c r="C4275" s="82"/>
    </row>
    <row r="4276" spans="1:3" x14ac:dyDescent="0.2">
      <c r="A4276" s="82"/>
      <c r="B4276" s="82"/>
      <c r="C4276" s="82"/>
    </row>
    <row r="4277" spans="1:3" x14ac:dyDescent="0.2">
      <c r="A4277" s="82"/>
      <c r="B4277" s="82"/>
      <c r="C4277" s="82"/>
    </row>
    <row r="4278" spans="1:3" x14ac:dyDescent="0.2">
      <c r="A4278" s="82"/>
      <c r="B4278" s="82"/>
      <c r="C4278" s="82"/>
    </row>
    <row r="4279" spans="1:3" x14ac:dyDescent="0.2">
      <c r="A4279" s="82"/>
      <c r="B4279" s="82"/>
      <c r="C4279" s="82"/>
    </row>
    <row r="4280" spans="1:3" x14ac:dyDescent="0.2">
      <c r="A4280" s="82"/>
      <c r="B4280" s="82"/>
      <c r="C4280" s="82"/>
    </row>
    <row r="4281" spans="1:3" x14ac:dyDescent="0.2">
      <c r="A4281" s="82"/>
      <c r="B4281" s="82"/>
      <c r="C4281" s="82"/>
    </row>
    <row r="4282" spans="1:3" x14ac:dyDescent="0.2">
      <c r="A4282" s="82"/>
      <c r="B4282" s="82"/>
      <c r="C4282" s="82"/>
    </row>
    <row r="4283" spans="1:3" x14ac:dyDescent="0.2">
      <c r="A4283" s="82"/>
      <c r="B4283" s="82"/>
      <c r="C4283" s="82"/>
    </row>
    <row r="4284" spans="1:3" x14ac:dyDescent="0.2">
      <c r="A4284" s="82"/>
      <c r="B4284" s="82"/>
      <c r="C4284" s="82"/>
    </row>
    <row r="4285" spans="1:3" x14ac:dyDescent="0.2">
      <c r="A4285" s="82"/>
      <c r="B4285" s="82"/>
      <c r="C4285" s="82"/>
    </row>
    <row r="4286" spans="1:3" x14ac:dyDescent="0.2">
      <c r="A4286" s="82"/>
      <c r="B4286" s="82"/>
      <c r="C4286" s="82"/>
    </row>
    <row r="4287" spans="1:3" x14ac:dyDescent="0.2">
      <c r="A4287" s="82"/>
      <c r="B4287" s="82"/>
      <c r="C4287" s="82"/>
    </row>
    <row r="4288" spans="1:3" x14ac:dyDescent="0.2">
      <c r="A4288" s="82"/>
      <c r="B4288" s="82"/>
      <c r="C4288" s="82"/>
    </row>
    <row r="4289" spans="1:3" x14ac:dyDescent="0.2">
      <c r="A4289" s="82"/>
      <c r="B4289" s="82"/>
      <c r="C4289" s="82"/>
    </row>
    <row r="4290" spans="1:3" x14ac:dyDescent="0.2">
      <c r="A4290" s="82"/>
      <c r="B4290" s="82"/>
      <c r="C4290" s="82"/>
    </row>
    <row r="4291" spans="1:3" x14ac:dyDescent="0.2">
      <c r="A4291" s="82"/>
      <c r="B4291" s="82"/>
      <c r="C4291" s="82"/>
    </row>
    <row r="4292" spans="1:3" x14ac:dyDescent="0.2">
      <c r="A4292" s="82"/>
      <c r="B4292" s="82"/>
      <c r="C4292" s="82"/>
    </row>
    <row r="4293" spans="1:3" x14ac:dyDescent="0.2">
      <c r="A4293" s="82"/>
      <c r="B4293" s="82"/>
      <c r="C4293" s="82"/>
    </row>
    <row r="4294" spans="1:3" x14ac:dyDescent="0.2">
      <c r="A4294" s="82"/>
      <c r="B4294" s="82"/>
      <c r="C4294" s="82"/>
    </row>
    <row r="4295" spans="1:3" x14ac:dyDescent="0.2">
      <c r="A4295" s="82"/>
      <c r="B4295" s="82"/>
      <c r="C4295" s="82"/>
    </row>
    <row r="4296" spans="1:3" x14ac:dyDescent="0.2">
      <c r="A4296" s="82"/>
      <c r="B4296" s="82"/>
      <c r="C4296" s="82"/>
    </row>
    <row r="4297" spans="1:3" x14ac:dyDescent="0.2">
      <c r="A4297" s="82"/>
      <c r="B4297" s="82"/>
      <c r="C4297" s="82"/>
    </row>
    <row r="4298" spans="1:3" x14ac:dyDescent="0.2">
      <c r="A4298" s="82"/>
      <c r="B4298" s="82"/>
      <c r="C4298" s="82"/>
    </row>
    <row r="4299" spans="1:3" x14ac:dyDescent="0.2">
      <c r="A4299" s="82"/>
      <c r="B4299" s="82"/>
      <c r="C4299" s="82"/>
    </row>
    <row r="4300" spans="1:3" x14ac:dyDescent="0.2">
      <c r="A4300" s="82"/>
      <c r="B4300" s="82"/>
      <c r="C4300" s="82"/>
    </row>
    <row r="4301" spans="1:3" x14ac:dyDescent="0.2">
      <c r="A4301" s="82"/>
      <c r="B4301" s="82"/>
      <c r="C4301" s="82"/>
    </row>
    <row r="4302" spans="1:3" x14ac:dyDescent="0.2">
      <c r="A4302" s="82"/>
      <c r="B4302" s="82"/>
      <c r="C4302" s="82"/>
    </row>
    <row r="4303" spans="1:3" x14ac:dyDescent="0.2">
      <c r="A4303" s="82"/>
      <c r="B4303" s="82"/>
      <c r="C4303" s="82"/>
    </row>
    <row r="4304" spans="1:3" x14ac:dyDescent="0.2">
      <c r="A4304" s="82"/>
      <c r="B4304" s="82"/>
      <c r="C4304" s="82"/>
    </row>
    <row r="4305" spans="1:3" x14ac:dyDescent="0.2">
      <c r="A4305" s="82"/>
      <c r="B4305" s="82"/>
      <c r="C4305" s="82"/>
    </row>
    <row r="4306" spans="1:3" x14ac:dyDescent="0.2">
      <c r="A4306" s="82"/>
      <c r="B4306" s="82"/>
      <c r="C4306" s="82"/>
    </row>
    <row r="4307" spans="1:3" x14ac:dyDescent="0.2">
      <c r="A4307" s="82"/>
      <c r="B4307" s="82"/>
      <c r="C4307" s="82"/>
    </row>
    <row r="4308" spans="1:3" x14ac:dyDescent="0.2">
      <c r="A4308" s="82"/>
      <c r="B4308" s="82"/>
      <c r="C4308" s="82"/>
    </row>
    <row r="4309" spans="1:3" x14ac:dyDescent="0.2">
      <c r="A4309" s="82"/>
      <c r="B4309" s="82"/>
      <c r="C4309" s="82"/>
    </row>
    <row r="4310" spans="1:3" x14ac:dyDescent="0.2">
      <c r="A4310" s="82"/>
      <c r="B4310" s="82"/>
      <c r="C4310" s="82"/>
    </row>
    <row r="4311" spans="1:3" x14ac:dyDescent="0.2">
      <c r="A4311" s="82"/>
      <c r="B4311" s="82"/>
      <c r="C4311" s="82"/>
    </row>
    <row r="4312" spans="1:3" x14ac:dyDescent="0.2">
      <c r="A4312" s="82"/>
      <c r="B4312" s="82"/>
      <c r="C4312" s="82"/>
    </row>
    <row r="4313" spans="1:3" x14ac:dyDescent="0.2">
      <c r="A4313" s="82"/>
      <c r="B4313" s="82"/>
      <c r="C4313" s="82"/>
    </row>
    <row r="4314" spans="1:3" x14ac:dyDescent="0.2">
      <c r="A4314" s="82"/>
      <c r="B4314" s="82"/>
      <c r="C4314" s="82"/>
    </row>
    <row r="4315" spans="1:3" x14ac:dyDescent="0.2">
      <c r="A4315" s="82"/>
      <c r="B4315" s="82"/>
      <c r="C4315" s="82"/>
    </row>
    <row r="4316" spans="1:3" x14ac:dyDescent="0.2">
      <c r="A4316" s="82"/>
      <c r="B4316" s="82"/>
      <c r="C4316" s="82"/>
    </row>
    <row r="4317" spans="1:3" x14ac:dyDescent="0.2">
      <c r="A4317" s="82"/>
      <c r="B4317" s="82"/>
      <c r="C4317" s="82"/>
    </row>
    <row r="4318" spans="1:3" x14ac:dyDescent="0.2">
      <c r="A4318" s="82"/>
      <c r="B4318" s="82"/>
      <c r="C4318" s="82"/>
    </row>
    <row r="4319" spans="1:3" x14ac:dyDescent="0.2">
      <c r="A4319" s="82"/>
      <c r="B4319" s="82"/>
      <c r="C4319" s="82"/>
    </row>
    <row r="4320" spans="1:3" x14ac:dyDescent="0.2">
      <c r="A4320" s="82"/>
      <c r="B4320" s="82"/>
      <c r="C4320" s="82"/>
    </row>
    <row r="4321" spans="1:3" x14ac:dyDescent="0.2">
      <c r="A4321" s="82"/>
      <c r="B4321" s="82"/>
      <c r="C4321" s="82"/>
    </row>
    <row r="4322" spans="1:3" x14ac:dyDescent="0.2">
      <c r="A4322" s="82"/>
      <c r="B4322" s="82"/>
      <c r="C4322" s="82"/>
    </row>
    <row r="4323" spans="1:3" x14ac:dyDescent="0.2">
      <c r="A4323" s="82"/>
      <c r="B4323" s="82"/>
      <c r="C4323" s="82"/>
    </row>
    <row r="4324" spans="1:3" x14ac:dyDescent="0.2">
      <c r="A4324" s="82"/>
      <c r="B4324" s="82"/>
      <c r="C4324" s="82"/>
    </row>
    <row r="4325" spans="1:3" x14ac:dyDescent="0.2">
      <c r="A4325" s="82"/>
      <c r="B4325" s="82"/>
      <c r="C4325" s="82"/>
    </row>
    <row r="4326" spans="1:3" x14ac:dyDescent="0.2">
      <c r="A4326" s="82"/>
      <c r="B4326" s="82"/>
      <c r="C4326" s="82"/>
    </row>
    <row r="4327" spans="1:3" x14ac:dyDescent="0.2">
      <c r="A4327" s="82"/>
      <c r="B4327" s="82"/>
      <c r="C4327" s="82"/>
    </row>
    <row r="4328" spans="1:3" x14ac:dyDescent="0.2">
      <c r="A4328" s="82"/>
      <c r="B4328" s="82"/>
      <c r="C4328" s="82"/>
    </row>
    <row r="4329" spans="1:3" x14ac:dyDescent="0.2">
      <c r="A4329" s="82"/>
      <c r="B4329" s="82"/>
      <c r="C4329" s="82"/>
    </row>
    <row r="4330" spans="1:3" x14ac:dyDescent="0.2">
      <c r="A4330" s="82"/>
      <c r="B4330" s="82"/>
      <c r="C4330" s="82"/>
    </row>
    <row r="4331" spans="1:3" x14ac:dyDescent="0.2">
      <c r="A4331" s="82"/>
      <c r="B4331" s="82"/>
      <c r="C4331" s="82"/>
    </row>
    <row r="4332" spans="1:3" x14ac:dyDescent="0.2">
      <c r="A4332" s="82"/>
      <c r="B4332" s="82"/>
      <c r="C4332" s="82"/>
    </row>
    <row r="4333" spans="1:3" x14ac:dyDescent="0.2">
      <c r="A4333" s="82"/>
      <c r="B4333" s="82"/>
      <c r="C4333" s="82"/>
    </row>
    <row r="4334" spans="1:3" x14ac:dyDescent="0.2">
      <c r="A4334" s="82"/>
      <c r="B4334" s="82"/>
      <c r="C4334" s="82"/>
    </row>
    <row r="4335" spans="1:3" x14ac:dyDescent="0.2">
      <c r="A4335" s="82"/>
      <c r="B4335" s="82"/>
      <c r="C4335" s="82"/>
    </row>
    <row r="4336" spans="1:3" x14ac:dyDescent="0.2">
      <c r="A4336" s="82"/>
      <c r="B4336" s="82"/>
      <c r="C4336" s="82"/>
    </row>
    <row r="4337" spans="1:3" x14ac:dyDescent="0.2">
      <c r="A4337" s="82"/>
      <c r="B4337" s="82"/>
      <c r="C4337" s="82"/>
    </row>
    <row r="4338" spans="1:3" x14ac:dyDescent="0.2">
      <c r="A4338" s="82"/>
      <c r="B4338" s="82"/>
      <c r="C4338" s="82"/>
    </row>
    <row r="4339" spans="1:3" x14ac:dyDescent="0.2">
      <c r="A4339" s="82"/>
      <c r="B4339" s="82"/>
      <c r="C4339" s="82"/>
    </row>
    <row r="4340" spans="1:3" x14ac:dyDescent="0.2">
      <c r="A4340" s="82"/>
      <c r="B4340" s="82"/>
      <c r="C4340" s="82"/>
    </row>
    <row r="4341" spans="1:3" x14ac:dyDescent="0.2">
      <c r="A4341" s="82"/>
      <c r="B4341" s="82"/>
      <c r="C4341" s="82"/>
    </row>
    <row r="4342" spans="1:3" x14ac:dyDescent="0.2">
      <c r="A4342" s="82"/>
      <c r="B4342" s="82"/>
      <c r="C4342" s="82"/>
    </row>
    <row r="4343" spans="1:3" x14ac:dyDescent="0.2">
      <c r="A4343" s="82"/>
      <c r="B4343" s="82"/>
      <c r="C4343" s="82"/>
    </row>
    <row r="4344" spans="1:3" x14ac:dyDescent="0.2">
      <c r="A4344" s="82"/>
      <c r="B4344" s="82"/>
      <c r="C4344" s="82"/>
    </row>
    <row r="4345" spans="1:3" x14ac:dyDescent="0.2">
      <c r="A4345" s="82"/>
      <c r="B4345" s="82"/>
      <c r="C4345" s="82"/>
    </row>
    <row r="4346" spans="1:3" x14ac:dyDescent="0.2">
      <c r="A4346" s="82"/>
      <c r="B4346" s="82"/>
      <c r="C4346" s="82"/>
    </row>
    <row r="4347" spans="1:3" x14ac:dyDescent="0.2">
      <c r="A4347" s="82"/>
      <c r="B4347" s="82"/>
      <c r="C4347" s="82"/>
    </row>
    <row r="4348" spans="1:3" x14ac:dyDescent="0.2">
      <c r="A4348" s="82"/>
      <c r="B4348" s="82"/>
      <c r="C4348" s="82"/>
    </row>
    <row r="4349" spans="1:3" x14ac:dyDescent="0.2">
      <c r="A4349" s="82"/>
      <c r="B4349" s="82"/>
      <c r="C4349" s="82"/>
    </row>
    <row r="4350" spans="1:3" x14ac:dyDescent="0.2">
      <c r="A4350" s="82"/>
      <c r="B4350" s="82"/>
      <c r="C4350" s="82"/>
    </row>
    <row r="4351" spans="1:3" x14ac:dyDescent="0.2">
      <c r="A4351" s="82"/>
      <c r="B4351" s="82"/>
      <c r="C4351" s="82"/>
    </row>
    <row r="4352" spans="1:3" x14ac:dyDescent="0.2">
      <c r="A4352" s="82"/>
      <c r="B4352" s="82"/>
      <c r="C4352" s="82"/>
    </row>
    <row r="4353" spans="1:3" x14ac:dyDescent="0.2">
      <c r="A4353" s="82"/>
      <c r="B4353" s="82"/>
      <c r="C4353" s="82"/>
    </row>
    <row r="4354" spans="1:3" x14ac:dyDescent="0.2">
      <c r="A4354" s="82"/>
      <c r="B4354" s="82"/>
      <c r="C4354" s="82"/>
    </row>
    <row r="4355" spans="1:3" x14ac:dyDescent="0.2">
      <c r="A4355" s="82"/>
      <c r="B4355" s="82"/>
      <c r="C4355" s="82"/>
    </row>
    <row r="4356" spans="1:3" x14ac:dyDescent="0.2">
      <c r="A4356" s="82"/>
      <c r="B4356" s="82"/>
      <c r="C4356" s="82"/>
    </row>
    <row r="4357" spans="1:3" x14ac:dyDescent="0.2">
      <c r="A4357" s="82"/>
      <c r="B4357" s="82"/>
      <c r="C4357" s="82"/>
    </row>
    <row r="4358" spans="1:3" x14ac:dyDescent="0.2">
      <c r="A4358" s="82"/>
      <c r="B4358" s="82"/>
      <c r="C4358" s="82"/>
    </row>
    <row r="4359" spans="1:3" x14ac:dyDescent="0.2">
      <c r="A4359" s="82"/>
      <c r="B4359" s="82"/>
      <c r="C4359" s="82"/>
    </row>
    <row r="4360" spans="1:3" x14ac:dyDescent="0.2">
      <c r="A4360" s="82"/>
      <c r="B4360" s="82"/>
      <c r="C4360" s="82"/>
    </row>
    <row r="4361" spans="1:3" x14ac:dyDescent="0.2">
      <c r="A4361" s="82"/>
      <c r="B4361" s="82"/>
      <c r="C4361" s="82"/>
    </row>
    <row r="4362" spans="1:3" x14ac:dyDescent="0.2">
      <c r="A4362" s="82"/>
      <c r="B4362" s="82"/>
      <c r="C4362" s="82"/>
    </row>
    <row r="4363" spans="1:3" x14ac:dyDescent="0.2">
      <c r="A4363" s="82"/>
      <c r="B4363" s="82"/>
      <c r="C4363" s="82"/>
    </row>
    <row r="4364" spans="1:3" x14ac:dyDescent="0.2">
      <c r="A4364" s="82"/>
      <c r="B4364" s="82"/>
      <c r="C4364" s="82"/>
    </row>
    <row r="4365" spans="1:3" x14ac:dyDescent="0.2">
      <c r="A4365" s="82"/>
      <c r="B4365" s="82"/>
      <c r="C4365" s="82"/>
    </row>
    <row r="4366" spans="1:3" x14ac:dyDescent="0.2">
      <c r="A4366" s="82"/>
      <c r="B4366" s="82"/>
      <c r="C4366" s="82"/>
    </row>
    <row r="4367" spans="1:3" x14ac:dyDescent="0.2">
      <c r="A4367" s="82"/>
      <c r="B4367" s="82"/>
      <c r="C4367" s="82"/>
    </row>
    <row r="4368" spans="1:3" x14ac:dyDescent="0.2">
      <c r="A4368" s="82"/>
      <c r="B4368" s="82"/>
      <c r="C4368" s="82"/>
    </row>
    <row r="4369" spans="1:3" x14ac:dyDescent="0.2">
      <c r="A4369" s="82"/>
      <c r="B4369" s="82"/>
      <c r="C4369" s="82"/>
    </row>
    <row r="4370" spans="1:3" x14ac:dyDescent="0.2">
      <c r="A4370" s="82"/>
      <c r="B4370" s="82"/>
      <c r="C4370" s="82"/>
    </row>
    <row r="4371" spans="1:3" x14ac:dyDescent="0.2">
      <c r="A4371" s="82"/>
      <c r="B4371" s="82"/>
      <c r="C4371" s="82"/>
    </row>
    <row r="4372" spans="1:3" x14ac:dyDescent="0.2">
      <c r="A4372" s="82"/>
      <c r="B4372" s="82"/>
      <c r="C4372" s="82"/>
    </row>
    <row r="4373" spans="1:3" x14ac:dyDescent="0.2">
      <c r="A4373" s="82"/>
      <c r="B4373" s="82"/>
      <c r="C4373" s="82"/>
    </row>
    <row r="4374" spans="1:3" x14ac:dyDescent="0.2">
      <c r="A4374" s="82"/>
      <c r="B4374" s="82"/>
      <c r="C4374" s="82"/>
    </row>
    <row r="4375" spans="1:3" x14ac:dyDescent="0.2">
      <c r="A4375" s="82"/>
      <c r="B4375" s="82"/>
      <c r="C4375" s="82"/>
    </row>
    <row r="4376" spans="1:3" x14ac:dyDescent="0.2">
      <c r="A4376" s="82"/>
      <c r="B4376" s="82"/>
      <c r="C4376" s="82"/>
    </row>
    <row r="4377" spans="1:3" x14ac:dyDescent="0.2">
      <c r="A4377" s="82"/>
      <c r="B4377" s="82"/>
      <c r="C4377" s="82"/>
    </row>
    <row r="4378" spans="1:3" x14ac:dyDescent="0.2">
      <c r="A4378" s="82"/>
      <c r="B4378" s="82"/>
      <c r="C4378" s="82"/>
    </row>
    <row r="4379" spans="1:3" x14ac:dyDescent="0.2">
      <c r="A4379" s="82"/>
      <c r="B4379" s="82"/>
      <c r="C4379" s="82"/>
    </row>
    <row r="4380" spans="1:3" x14ac:dyDescent="0.2">
      <c r="A4380" s="82"/>
      <c r="B4380" s="82"/>
      <c r="C4380" s="82"/>
    </row>
    <row r="4381" spans="1:3" x14ac:dyDescent="0.2">
      <c r="A4381" s="82"/>
      <c r="B4381" s="82"/>
      <c r="C4381" s="82"/>
    </row>
    <row r="4382" spans="1:3" x14ac:dyDescent="0.2">
      <c r="A4382" s="82"/>
      <c r="B4382" s="82"/>
      <c r="C4382" s="82"/>
    </row>
    <row r="4383" spans="1:3" x14ac:dyDescent="0.2">
      <c r="A4383" s="82"/>
      <c r="B4383" s="82"/>
      <c r="C4383" s="82"/>
    </row>
    <row r="4384" spans="1:3" x14ac:dyDescent="0.2">
      <c r="A4384" s="82"/>
      <c r="B4384" s="82"/>
      <c r="C4384" s="82"/>
    </row>
    <row r="4385" spans="1:3" x14ac:dyDescent="0.2">
      <c r="A4385" s="82"/>
      <c r="B4385" s="82"/>
      <c r="C4385" s="82"/>
    </row>
    <row r="4386" spans="1:3" x14ac:dyDescent="0.2">
      <c r="A4386" s="82"/>
      <c r="B4386" s="82"/>
      <c r="C4386" s="82"/>
    </row>
    <row r="4387" spans="1:3" x14ac:dyDescent="0.2">
      <c r="A4387" s="82"/>
      <c r="B4387" s="82"/>
      <c r="C4387" s="82"/>
    </row>
    <row r="4388" spans="1:3" x14ac:dyDescent="0.2">
      <c r="A4388" s="82"/>
      <c r="B4388" s="82"/>
      <c r="C4388" s="82"/>
    </row>
    <row r="4389" spans="1:3" x14ac:dyDescent="0.2">
      <c r="A4389" s="82"/>
      <c r="B4389" s="82"/>
      <c r="C4389" s="82"/>
    </row>
    <row r="4390" spans="1:3" x14ac:dyDescent="0.2">
      <c r="A4390" s="82"/>
      <c r="B4390" s="82"/>
      <c r="C4390" s="82"/>
    </row>
    <row r="4391" spans="1:3" x14ac:dyDescent="0.2">
      <c r="A4391" s="82"/>
      <c r="B4391" s="82"/>
      <c r="C4391" s="82"/>
    </row>
    <row r="4392" spans="1:3" x14ac:dyDescent="0.2">
      <c r="A4392" s="82"/>
      <c r="B4392" s="82"/>
      <c r="C4392" s="82"/>
    </row>
    <row r="4393" spans="1:3" x14ac:dyDescent="0.2">
      <c r="A4393" s="82"/>
      <c r="B4393" s="82"/>
      <c r="C4393" s="82"/>
    </row>
    <row r="4394" spans="1:3" x14ac:dyDescent="0.2">
      <c r="A4394" s="82"/>
      <c r="B4394" s="82"/>
      <c r="C4394" s="82"/>
    </row>
    <row r="4395" spans="1:3" x14ac:dyDescent="0.2">
      <c r="A4395" s="82"/>
      <c r="B4395" s="82"/>
      <c r="C4395" s="82"/>
    </row>
    <row r="4396" spans="1:3" x14ac:dyDescent="0.2">
      <c r="A4396" s="82"/>
      <c r="B4396" s="82"/>
      <c r="C4396" s="82"/>
    </row>
    <row r="4397" spans="1:3" x14ac:dyDescent="0.2">
      <c r="A4397" s="82"/>
      <c r="B4397" s="82"/>
      <c r="C4397" s="82"/>
    </row>
    <row r="4398" spans="1:3" x14ac:dyDescent="0.2">
      <c r="A4398" s="82"/>
      <c r="B4398" s="82"/>
      <c r="C4398" s="82"/>
    </row>
    <row r="4399" spans="1:3" x14ac:dyDescent="0.2">
      <c r="A4399" s="82"/>
      <c r="B4399" s="82"/>
      <c r="C4399" s="82"/>
    </row>
    <row r="4400" spans="1:3" x14ac:dyDescent="0.2">
      <c r="A4400" s="82"/>
      <c r="B4400" s="82"/>
      <c r="C4400" s="82"/>
    </row>
    <row r="4401" spans="1:3" x14ac:dyDescent="0.2">
      <c r="A4401" s="82"/>
      <c r="B4401" s="82"/>
      <c r="C4401" s="82"/>
    </row>
    <row r="4402" spans="1:3" x14ac:dyDescent="0.2">
      <c r="A4402" s="82"/>
      <c r="B4402" s="82"/>
      <c r="C4402" s="82"/>
    </row>
    <row r="4403" spans="1:3" x14ac:dyDescent="0.2">
      <c r="A4403" s="82"/>
      <c r="B4403" s="82"/>
      <c r="C4403" s="82"/>
    </row>
    <row r="4404" spans="1:3" x14ac:dyDescent="0.2">
      <c r="A4404" s="82"/>
      <c r="B4404" s="82"/>
      <c r="C4404" s="82"/>
    </row>
    <row r="4405" spans="1:3" x14ac:dyDescent="0.2">
      <c r="A4405" s="82"/>
      <c r="B4405" s="82"/>
      <c r="C4405" s="82"/>
    </row>
    <row r="4406" spans="1:3" x14ac:dyDescent="0.2">
      <c r="A4406" s="82"/>
      <c r="B4406" s="82"/>
      <c r="C4406" s="82"/>
    </row>
    <row r="4407" spans="1:3" x14ac:dyDescent="0.2">
      <c r="A4407" s="82"/>
      <c r="B4407" s="82"/>
      <c r="C4407" s="82"/>
    </row>
    <row r="4408" spans="1:3" x14ac:dyDescent="0.2">
      <c r="A4408" s="82"/>
      <c r="B4408" s="82"/>
      <c r="C4408" s="82"/>
    </row>
    <row r="4409" spans="1:3" x14ac:dyDescent="0.2">
      <c r="A4409" s="82"/>
      <c r="B4409" s="82"/>
      <c r="C4409" s="82"/>
    </row>
    <row r="4410" spans="1:3" x14ac:dyDescent="0.2">
      <c r="A4410" s="82"/>
      <c r="B4410" s="82"/>
      <c r="C4410" s="82"/>
    </row>
    <row r="4411" spans="1:3" x14ac:dyDescent="0.2">
      <c r="A4411" s="82"/>
      <c r="B4411" s="82"/>
      <c r="C4411" s="82"/>
    </row>
    <row r="4412" spans="1:3" x14ac:dyDescent="0.2">
      <c r="A4412" s="82"/>
      <c r="B4412" s="82"/>
      <c r="C4412" s="82"/>
    </row>
    <row r="4413" spans="1:3" x14ac:dyDescent="0.2">
      <c r="A4413" s="82"/>
      <c r="B4413" s="82"/>
      <c r="C4413" s="82"/>
    </row>
    <row r="4414" spans="1:3" x14ac:dyDescent="0.2">
      <c r="A4414" s="82"/>
      <c r="B4414" s="82"/>
      <c r="C4414" s="82"/>
    </row>
    <row r="4415" spans="1:3" x14ac:dyDescent="0.2">
      <c r="A4415" s="82"/>
      <c r="B4415" s="82"/>
      <c r="C4415" s="82"/>
    </row>
    <row r="4416" spans="1:3" x14ac:dyDescent="0.2">
      <c r="A4416" s="82"/>
      <c r="B4416" s="82"/>
      <c r="C4416" s="82"/>
    </row>
    <row r="4417" spans="1:3" x14ac:dyDescent="0.2">
      <c r="A4417" s="82"/>
      <c r="B4417" s="82"/>
      <c r="C4417" s="82"/>
    </row>
    <row r="4418" spans="1:3" x14ac:dyDescent="0.2">
      <c r="A4418" s="82"/>
      <c r="B4418" s="82"/>
      <c r="C4418" s="82"/>
    </row>
    <row r="4419" spans="1:3" x14ac:dyDescent="0.2">
      <c r="A4419" s="82"/>
      <c r="B4419" s="82"/>
      <c r="C4419" s="82"/>
    </row>
    <row r="4420" spans="1:3" x14ac:dyDescent="0.2">
      <c r="A4420" s="82"/>
      <c r="B4420" s="82"/>
      <c r="C4420" s="82"/>
    </row>
    <row r="4421" spans="1:3" x14ac:dyDescent="0.2">
      <c r="A4421" s="82"/>
      <c r="B4421" s="82"/>
      <c r="C4421" s="82"/>
    </row>
    <row r="4422" spans="1:3" x14ac:dyDescent="0.2">
      <c r="A4422" s="82"/>
      <c r="B4422" s="82"/>
      <c r="C4422" s="82"/>
    </row>
    <row r="4423" spans="1:3" x14ac:dyDescent="0.2">
      <c r="A4423" s="82"/>
      <c r="B4423" s="82"/>
      <c r="C4423" s="82"/>
    </row>
    <row r="4424" spans="1:3" x14ac:dyDescent="0.2">
      <c r="A4424" s="82"/>
      <c r="B4424" s="82"/>
      <c r="C4424" s="82"/>
    </row>
    <row r="4425" spans="1:3" x14ac:dyDescent="0.2">
      <c r="A4425" s="82"/>
      <c r="B4425" s="82"/>
      <c r="C4425" s="82"/>
    </row>
    <row r="4426" spans="1:3" x14ac:dyDescent="0.2">
      <c r="A4426" s="82"/>
      <c r="B4426" s="82"/>
      <c r="C4426" s="82"/>
    </row>
    <row r="4427" spans="1:3" x14ac:dyDescent="0.2">
      <c r="A4427" s="82"/>
      <c r="B4427" s="82"/>
      <c r="C4427" s="82"/>
    </row>
    <row r="4428" spans="1:3" x14ac:dyDescent="0.2">
      <c r="A4428" s="82"/>
      <c r="B4428" s="82"/>
      <c r="C4428" s="82"/>
    </row>
    <row r="4429" spans="1:3" x14ac:dyDescent="0.2">
      <c r="A4429" s="82"/>
      <c r="B4429" s="82"/>
      <c r="C4429" s="82"/>
    </row>
    <row r="4430" spans="1:3" x14ac:dyDescent="0.2">
      <c r="A4430" s="82"/>
      <c r="B4430" s="82"/>
      <c r="C4430" s="82"/>
    </row>
    <row r="4431" spans="1:3" x14ac:dyDescent="0.2">
      <c r="A4431" s="82"/>
      <c r="B4431" s="82"/>
      <c r="C4431" s="82"/>
    </row>
    <row r="4432" spans="1:3" x14ac:dyDescent="0.2">
      <c r="A4432" s="82"/>
      <c r="B4432" s="82"/>
      <c r="C4432" s="82"/>
    </row>
    <row r="4433" spans="1:3" x14ac:dyDescent="0.2">
      <c r="A4433" s="82"/>
      <c r="B4433" s="82"/>
      <c r="C4433" s="82"/>
    </row>
    <row r="4434" spans="1:3" x14ac:dyDescent="0.2">
      <c r="A4434" s="82"/>
      <c r="B4434" s="82"/>
      <c r="C4434" s="82"/>
    </row>
    <row r="4435" spans="1:3" x14ac:dyDescent="0.2">
      <c r="A4435" s="82"/>
      <c r="B4435" s="82"/>
      <c r="C4435" s="82"/>
    </row>
    <row r="4436" spans="1:3" x14ac:dyDescent="0.2">
      <c r="A4436" s="82"/>
      <c r="B4436" s="82"/>
      <c r="C4436" s="82"/>
    </row>
    <row r="4437" spans="1:3" x14ac:dyDescent="0.2">
      <c r="A4437" s="82"/>
      <c r="B4437" s="82"/>
      <c r="C4437" s="82"/>
    </row>
    <row r="4438" spans="1:3" x14ac:dyDescent="0.2">
      <c r="A4438" s="82"/>
      <c r="B4438" s="82"/>
      <c r="C4438" s="82"/>
    </row>
    <row r="4439" spans="1:3" x14ac:dyDescent="0.2">
      <c r="A4439" s="82"/>
      <c r="B4439" s="82"/>
      <c r="C4439" s="82"/>
    </row>
    <row r="4440" spans="1:3" x14ac:dyDescent="0.2">
      <c r="A4440" s="82"/>
      <c r="B4440" s="82"/>
      <c r="C4440" s="82"/>
    </row>
    <row r="4441" spans="1:3" x14ac:dyDescent="0.2">
      <c r="A4441" s="82"/>
      <c r="B4441" s="82"/>
      <c r="C4441" s="82"/>
    </row>
    <row r="4442" spans="1:3" x14ac:dyDescent="0.2">
      <c r="A4442" s="82"/>
      <c r="B4442" s="82"/>
      <c r="C4442" s="82"/>
    </row>
    <row r="4443" spans="1:3" x14ac:dyDescent="0.2">
      <c r="A4443" s="82"/>
      <c r="B4443" s="82"/>
      <c r="C4443" s="82"/>
    </row>
    <row r="4444" spans="1:3" x14ac:dyDescent="0.2">
      <c r="A4444" s="82"/>
      <c r="B4444" s="82"/>
      <c r="C4444" s="82"/>
    </row>
    <row r="4445" spans="1:3" x14ac:dyDescent="0.2">
      <c r="A4445" s="82"/>
      <c r="B4445" s="82"/>
      <c r="C4445" s="82"/>
    </row>
    <row r="4446" spans="1:3" x14ac:dyDescent="0.2">
      <c r="A4446" s="82"/>
      <c r="B4446" s="82"/>
      <c r="C4446" s="82"/>
    </row>
    <row r="4447" spans="1:3" x14ac:dyDescent="0.2">
      <c r="A4447" s="82"/>
      <c r="B4447" s="82"/>
      <c r="C4447" s="82"/>
    </row>
    <row r="4448" spans="1:3" x14ac:dyDescent="0.2">
      <c r="A4448" s="82"/>
      <c r="B4448" s="82"/>
      <c r="C4448" s="82"/>
    </row>
    <row r="4449" spans="1:3" x14ac:dyDescent="0.2">
      <c r="A4449" s="82"/>
      <c r="B4449" s="82"/>
      <c r="C4449" s="82"/>
    </row>
    <row r="4450" spans="1:3" x14ac:dyDescent="0.2">
      <c r="A4450" s="82"/>
      <c r="B4450" s="82"/>
      <c r="C4450" s="82"/>
    </row>
    <row r="4451" spans="1:3" x14ac:dyDescent="0.2">
      <c r="A4451" s="82"/>
      <c r="B4451" s="82"/>
      <c r="C4451" s="82"/>
    </row>
    <row r="4452" spans="1:3" x14ac:dyDescent="0.2">
      <c r="A4452" s="82"/>
      <c r="B4452" s="82"/>
      <c r="C4452" s="82"/>
    </row>
    <row r="4453" spans="1:3" x14ac:dyDescent="0.2">
      <c r="A4453" s="82"/>
      <c r="B4453" s="82"/>
      <c r="C4453" s="82"/>
    </row>
    <row r="4454" spans="1:3" x14ac:dyDescent="0.2">
      <c r="A4454" s="82"/>
      <c r="B4454" s="82"/>
      <c r="C4454" s="82"/>
    </row>
    <row r="4455" spans="1:3" x14ac:dyDescent="0.2">
      <c r="A4455" s="82"/>
      <c r="B4455" s="82"/>
      <c r="C4455" s="82"/>
    </row>
    <row r="4456" spans="1:3" x14ac:dyDescent="0.2">
      <c r="A4456" s="82"/>
      <c r="B4456" s="82"/>
      <c r="C4456" s="82"/>
    </row>
    <row r="4457" spans="1:3" x14ac:dyDescent="0.2">
      <c r="A4457" s="82"/>
      <c r="B4457" s="82"/>
      <c r="C4457" s="82"/>
    </row>
    <row r="4458" spans="1:3" x14ac:dyDescent="0.2">
      <c r="A4458" s="82"/>
      <c r="B4458" s="82"/>
      <c r="C4458" s="82"/>
    </row>
    <row r="4459" spans="1:3" x14ac:dyDescent="0.2">
      <c r="A4459" s="82"/>
      <c r="B4459" s="82"/>
      <c r="C4459" s="82"/>
    </row>
    <row r="4460" spans="1:3" x14ac:dyDescent="0.2">
      <c r="A4460" s="82"/>
      <c r="B4460" s="82"/>
      <c r="C4460" s="82"/>
    </row>
    <row r="4461" spans="1:3" x14ac:dyDescent="0.2">
      <c r="A4461" s="82"/>
      <c r="B4461" s="82"/>
      <c r="C4461" s="82"/>
    </row>
    <row r="4462" spans="1:3" x14ac:dyDescent="0.2">
      <c r="A4462" s="82"/>
      <c r="B4462" s="82"/>
      <c r="C4462" s="82"/>
    </row>
    <row r="4463" spans="1:3" x14ac:dyDescent="0.2">
      <c r="A4463" s="82"/>
      <c r="B4463" s="82"/>
      <c r="C4463" s="82"/>
    </row>
    <row r="4464" spans="1:3" x14ac:dyDescent="0.2">
      <c r="A4464" s="82"/>
      <c r="B4464" s="82"/>
      <c r="C4464" s="82"/>
    </row>
    <row r="4465" spans="1:3" x14ac:dyDescent="0.2">
      <c r="A4465" s="82"/>
      <c r="B4465" s="82"/>
      <c r="C4465" s="82"/>
    </row>
    <row r="4466" spans="1:3" x14ac:dyDescent="0.2">
      <c r="A4466" s="82"/>
      <c r="B4466" s="82"/>
      <c r="C4466" s="82"/>
    </row>
    <row r="4467" spans="1:3" x14ac:dyDescent="0.2">
      <c r="A4467" s="82"/>
      <c r="B4467" s="82"/>
      <c r="C4467" s="82"/>
    </row>
    <row r="4468" spans="1:3" x14ac:dyDescent="0.2">
      <c r="A4468" s="82"/>
      <c r="B4468" s="82"/>
      <c r="C4468" s="82"/>
    </row>
    <row r="4469" spans="1:3" x14ac:dyDescent="0.2">
      <c r="A4469" s="82"/>
      <c r="B4469" s="82"/>
      <c r="C4469" s="82"/>
    </row>
    <row r="4470" spans="1:3" x14ac:dyDescent="0.2">
      <c r="A4470" s="82"/>
      <c r="B4470" s="82"/>
      <c r="C4470" s="82"/>
    </row>
    <row r="4471" spans="1:3" x14ac:dyDescent="0.2">
      <c r="A4471" s="82"/>
      <c r="B4471" s="82"/>
      <c r="C4471" s="82"/>
    </row>
    <row r="4472" spans="1:3" x14ac:dyDescent="0.2">
      <c r="A4472" s="82"/>
      <c r="B4472" s="82"/>
      <c r="C4472" s="82"/>
    </row>
    <row r="4473" spans="1:3" x14ac:dyDescent="0.2">
      <c r="A4473" s="82"/>
      <c r="B4473" s="82"/>
      <c r="C4473" s="82"/>
    </row>
    <row r="4474" spans="1:3" x14ac:dyDescent="0.2">
      <c r="A4474" s="82"/>
      <c r="B4474" s="82"/>
      <c r="C4474" s="82"/>
    </row>
    <row r="4475" spans="1:3" x14ac:dyDescent="0.2">
      <c r="A4475" s="82"/>
      <c r="B4475" s="82"/>
      <c r="C4475" s="82"/>
    </row>
    <row r="4476" spans="1:3" x14ac:dyDescent="0.2">
      <c r="A4476" s="82"/>
      <c r="B4476" s="82"/>
      <c r="C4476" s="82"/>
    </row>
    <row r="4477" spans="1:3" x14ac:dyDescent="0.2">
      <c r="A4477" s="82"/>
      <c r="B4477" s="82"/>
      <c r="C4477" s="82"/>
    </row>
    <row r="4478" spans="1:3" x14ac:dyDescent="0.2">
      <c r="A4478" s="82"/>
      <c r="B4478" s="82"/>
      <c r="C4478" s="82"/>
    </row>
    <row r="4479" spans="1:3" x14ac:dyDescent="0.2">
      <c r="A4479" s="82"/>
      <c r="B4479" s="82"/>
      <c r="C4479" s="82"/>
    </row>
    <row r="4480" spans="1:3" x14ac:dyDescent="0.2">
      <c r="A4480" s="82"/>
      <c r="B4480" s="82"/>
      <c r="C4480" s="82"/>
    </row>
    <row r="4481" spans="1:3" x14ac:dyDescent="0.2">
      <c r="A4481" s="82"/>
      <c r="B4481" s="82"/>
      <c r="C4481" s="82"/>
    </row>
    <row r="4482" spans="1:3" x14ac:dyDescent="0.2">
      <c r="A4482" s="82"/>
      <c r="B4482" s="82"/>
      <c r="C4482" s="82"/>
    </row>
    <row r="4483" spans="1:3" x14ac:dyDescent="0.2">
      <c r="A4483" s="82"/>
      <c r="B4483" s="82"/>
      <c r="C4483" s="82"/>
    </row>
    <row r="4484" spans="1:3" x14ac:dyDescent="0.2">
      <c r="A4484" s="82"/>
      <c r="B4484" s="82"/>
      <c r="C4484" s="82"/>
    </row>
    <row r="4485" spans="1:3" x14ac:dyDescent="0.2">
      <c r="A4485" s="82"/>
      <c r="B4485" s="82"/>
      <c r="C4485" s="82"/>
    </row>
    <row r="4486" spans="1:3" x14ac:dyDescent="0.2">
      <c r="A4486" s="82"/>
      <c r="B4486" s="82"/>
      <c r="C4486" s="82"/>
    </row>
    <row r="4487" spans="1:3" x14ac:dyDescent="0.2">
      <c r="A4487" s="82"/>
      <c r="B4487" s="82"/>
      <c r="C4487" s="82"/>
    </row>
    <row r="4488" spans="1:3" x14ac:dyDescent="0.2">
      <c r="A4488" s="82"/>
      <c r="B4488" s="82"/>
      <c r="C4488" s="82"/>
    </row>
    <row r="4489" spans="1:3" x14ac:dyDescent="0.2">
      <c r="A4489" s="82"/>
      <c r="B4489" s="82"/>
      <c r="C4489" s="82"/>
    </row>
    <row r="4490" spans="1:3" x14ac:dyDescent="0.2">
      <c r="A4490" s="82"/>
      <c r="B4490" s="82"/>
      <c r="C4490" s="82"/>
    </row>
    <row r="4491" spans="1:3" x14ac:dyDescent="0.2">
      <c r="A4491" s="82"/>
      <c r="B4491" s="82"/>
      <c r="C4491" s="82"/>
    </row>
    <row r="4492" spans="1:3" x14ac:dyDescent="0.2">
      <c r="A4492" s="82"/>
      <c r="B4492" s="82"/>
      <c r="C4492" s="82"/>
    </row>
    <row r="4493" spans="1:3" x14ac:dyDescent="0.2">
      <c r="A4493" s="82"/>
      <c r="B4493" s="82"/>
      <c r="C4493" s="82"/>
    </row>
    <row r="4494" spans="1:3" x14ac:dyDescent="0.2">
      <c r="A4494" s="82"/>
      <c r="B4494" s="82"/>
      <c r="C4494" s="82"/>
    </row>
    <row r="4495" spans="1:3" x14ac:dyDescent="0.2">
      <c r="A4495" s="82"/>
      <c r="B4495" s="82"/>
      <c r="C4495" s="82"/>
    </row>
    <row r="4496" spans="1:3" x14ac:dyDescent="0.2">
      <c r="A4496" s="82"/>
      <c r="B4496" s="82"/>
      <c r="C4496" s="82"/>
    </row>
    <row r="4497" spans="1:3" x14ac:dyDescent="0.2">
      <c r="A4497" s="82"/>
      <c r="B4497" s="82"/>
      <c r="C4497" s="82"/>
    </row>
    <row r="4498" spans="1:3" x14ac:dyDescent="0.2">
      <c r="A4498" s="82"/>
      <c r="B4498" s="82"/>
      <c r="C4498" s="82"/>
    </row>
    <row r="4499" spans="1:3" x14ac:dyDescent="0.2">
      <c r="A4499" s="82"/>
      <c r="B4499" s="82"/>
      <c r="C4499" s="82"/>
    </row>
    <row r="4500" spans="1:3" x14ac:dyDescent="0.2">
      <c r="A4500" s="82"/>
      <c r="B4500" s="82"/>
      <c r="C4500" s="82"/>
    </row>
    <row r="4501" spans="1:3" x14ac:dyDescent="0.2">
      <c r="A4501" s="82"/>
      <c r="B4501" s="82"/>
      <c r="C4501" s="82"/>
    </row>
    <row r="4502" spans="1:3" x14ac:dyDescent="0.2">
      <c r="A4502" s="82"/>
      <c r="B4502" s="82"/>
      <c r="C4502" s="82"/>
    </row>
    <row r="4503" spans="1:3" x14ac:dyDescent="0.2">
      <c r="A4503" s="82"/>
      <c r="B4503" s="82"/>
      <c r="C4503" s="82"/>
    </row>
    <row r="4504" spans="1:3" x14ac:dyDescent="0.2">
      <c r="A4504" s="82"/>
      <c r="B4504" s="82"/>
      <c r="C4504" s="82"/>
    </row>
    <row r="4505" spans="1:3" x14ac:dyDescent="0.2">
      <c r="A4505" s="82"/>
      <c r="B4505" s="82"/>
      <c r="C4505" s="82"/>
    </row>
    <row r="4506" spans="1:3" x14ac:dyDescent="0.2">
      <c r="A4506" s="82"/>
      <c r="B4506" s="82"/>
      <c r="C4506" s="82"/>
    </row>
    <row r="4507" spans="1:3" x14ac:dyDescent="0.2">
      <c r="A4507" s="82"/>
      <c r="B4507" s="82"/>
      <c r="C4507" s="82"/>
    </row>
    <row r="4508" spans="1:3" x14ac:dyDescent="0.2">
      <c r="A4508" s="82"/>
      <c r="B4508" s="82"/>
      <c r="C4508" s="82"/>
    </row>
    <row r="4509" spans="1:3" x14ac:dyDescent="0.2">
      <c r="A4509" s="82"/>
      <c r="B4509" s="82"/>
      <c r="C4509" s="82"/>
    </row>
    <row r="4510" spans="1:3" x14ac:dyDescent="0.2">
      <c r="A4510" s="82"/>
      <c r="B4510" s="82"/>
      <c r="C4510" s="82"/>
    </row>
    <row r="4511" spans="1:3" x14ac:dyDescent="0.2">
      <c r="A4511" s="82"/>
      <c r="B4511" s="82"/>
      <c r="C4511" s="82"/>
    </row>
    <row r="4512" spans="1:3" x14ac:dyDescent="0.2">
      <c r="A4512" s="82"/>
      <c r="B4512" s="82"/>
      <c r="C4512" s="82"/>
    </row>
    <row r="4513" spans="1:3" x14ac:dyDescent="0.2">
      <c r="A4513" s="82"/>
      <c r="B4513" s="82"/>
      <c r="C4513" s="82"/>
    </row>
    <row r="4514" spans="1:3" x14ac:dyDescent="0.2">
      <c r="A4514" s="82"/>
      <c r="B4514" s="82"/>
      <c r="C4514" s="82"/>
    </row>
    <row r="4515" spans="1:3" x14ac:dyDescent="0.2">
      <c r="A4515" s="82"/>
      <c r="B4515" s="82"/>
      <c r="C4515" s="82"/>
    </row>
    <row r="4516" spans="1:3" x14ac:dyDescent="0.2">
      <c r="A4516" s="82"/>
      <c r="B4516" s="82"/>
      <c r="C4516" s="82"/>
    </row>
    <row r="4517" spans="1:3" x14ac:dyDescent="0.2">
      <c r="A4517" s="82"/>
      <c r="B4517" s="82"/>
      <c r="C4517" s="82"/>
    </row>
    <row r="4518" spans="1:3" x14ac:dyDescent="0.2">
      <c r="A4518" s="82"/>
      <c r="B4518" s="82"/>
      <c r="C4518" s="82"/>
    </row>
    <row r="4519" spans="1:3" x14ac:dyDescent="0.2">
      <c r="A4519" s="82"/>
      <c r="B4519" s="82"/>
      <c r="C4519" s="82"/>
    </row>
    <row r="4520" spans="1:3" x14ac:dyDescent="0.2">
      <c r="A4520" s="82"/>
      <c r="B4520" s="82"/>
      <c r="C4520" s="82"/>
    </row>
    <row r="4521" spans="1:3" x14ac:dyDescent="0.2">
      <c r="A4521" s="82"/>
      <c r="B4521" s="82"/>
      <c r="C4521" s="82"/>
    </row>
    <row r="4522" spans="1:3" x14ac:dyDescent="0.2">
      <c r="A4522" s="82"/>
      <c r="B4522" s="82"/>
      <c r="C4522" s="82"/>
    </row>
    <row r="4523" spans="1:3" x14ac:dyDescent="0.2">
      <c r="A4523" s="82"/>
      <c r="B4523" s="82"/>
      <c r="C4523" s="82"/>
    </row>
    <row r="4524" spans="1:3" x14ac:dyDescent="0.2">
      <c r="A4524" s="82"/>
      <c r="B4524" s="82"/>
      <c r="C4524" s="82"/>
    </row>
    <row r="4525" spans="1:3" x14ac:dyDescent="0.2">
      <c r="A4525" s="82"/>
      <c r="B4525" s="82"/>
      <c r="C4525" s="82"/>
    </row>
    <row r="4526" spans="1:3" x14ac:dyDescent="0.2">
      <c r="A4526" s="82"/>
      <c r="B4526" s="82"/>
      <c r="C4526" s="82"/>
    </row>
    <row r="4527" spans="1:3" x14ac:dyDescent="0.2">
      <c r="A4527" s="82"/>
      <c r="B4527" s="82"/>
      <c r="C4527" s="82"/>
    </row>
    <row r="4528" spans="1:3" x14ac:dyDescent="0.2">
      <c r="A4528" s="82"/>
      <c r="B4528" s="82"/>
      <c r="C4528" s="82"/>
    </row>
    <row r="4529" spans="1:3" x14ac:dyDescent="0.2">
      <c r="A4529" s="82"/>
      <c r="B4529" s="82"/>
      <c r="C4529" s="82"/>
    </row>
    <row r="4530" spans="1:3" x14ac:dyDescent="0.2">
      <c r="A4530" s="82"/>
      <c r="B4530" s="82"/>
      <c r="C4530" s="82"/>
    </row>
    <row r="4531" spans="1:3" x14ac:dyDescent="0.2">
      <c r="A4531" s="82"/>
      <c r="B4531" s="82"/>
      <c r="C4531" s="82"/>
    </row>
    <row r="4532" spans="1:3" x14ac:dyDescent="0.2">
      <c r="A4532" s="82"/>
      <c r="B4532" s="82"/>
      <c r="C4532" s="82"/>
    </row>
    <row r="4533" spans="1:3" x14ac:dyDescent="0.2">
      <c r="A4533" s="82"/>
      <c r="B4533" s="82"/>
      <c r="C4533" s="82"/>
    </row>
    <row r="4534" spans="1:3" x14ac:dyDescent="0.2">
      <c r="A4534" s="82"/>
      <c r="B4534" s="82"/>
      <c r="C4534" s="82"/>
    </row>
    <row r="4535" spans="1:3" x14ac:dyDescent="0.2">
      <c r="A4535" s="82"/>
      <c r="B4535" s="82"/>
      <c r="C4535" s="82"/>
    </row>
    <row r="4536" spans="1:3" x14ac:dyDescent="0.2">
      <c r="A4536" s="82"/>
      <c r="B4536" s="82"/>
      <c r="C4536" s="82"/>
    </row>
    <row r="4537" spans="1:3" x14ac:dyDescent="0.2">
      <c r="A4537" s="82"/>
      <c r="B4537" s="82"/>
      <c r="C4537" s="82"/>
    </row>
    <row r="4538" spans="1:3" x14ac:dyDescent="0.2">
      <c r="A4538" s="82"/>
      <c r="B4538" s="82"/>
      <c r="C4538" s="82"/>
    </row>
    <row r="4539" spans="1:3" x14ac:dyDescent="0.2">
      <c r="A4539" s="82"/>
      <c r="B4539" s="82"/>
      <c r="C4539" s="82"/>
    </row>
    <row r="4540" spans="1:3" x14ac:dyDescent="0.2">
      <c r="A4540" s="82"/>
      <c r="B4540" s="82"/>
      <c r="C4540" s="82"/>
    </row>
    <row r="4541" spans="1:3" x14ac:dyDescent="0.2">
      <c r="A4541" s="82"/>
      <c r="B4541" s="82"/>
      <c r="C4541" s="82"/>
    </row>
    <row r="4542" spans="1:3" x14ac:dyDescent="0.2">
      <c r="A4542" s="82"/>
      <c r="B4542" s="82"/>
      <c r="C4542" s="82"/>
    </row>
    <row r="4543" spans="1:3" x14ac:dyDescent="0.2">
      <c r="A4543" s="82"/>
      <c r="B4543" s="82"/>
      <c r="C4543" s="82"/>
    </row>
    <row r="4544" spans="1:3" x14ac:dyDescent="0.2">
      <c r="A4544" s="82"/>
      <c r="B4544" s="82"/>
      <c r="C4544" s="82"/>
    </row>
    <row r="4545" spans="1:3" x14ac:dyDescent="0.2">
      <c r="A4545" s="82"/>
      <c r="B4545" s="82"/>
      <c r="C4545" s="82"/>
    </row>
    <row r="4546" spans="1:3" x14ac:dyDescent="0.2">
      <c r="A4546" s="82"/>
      <c r="B4546" s="82"/>
      <c r="C4546" s="82"/>
    </row>
    <row r="4547" spans="1:3" x14ac:dyDescent="0.2">
      <c r="A4547" s="82"/>
      <c r="B4547" s="82"/>
      <c r="C4547" s="82"/>
    </row>
    <row r="4548" spans="1:3" x14ac:dyDescent="0.2">
      <c r="A4548" s="82"/>
      <c r="B4548" s="82"/>
      <c r="C4548" s="82"/>
    </row>
    <row r="4549" spans="1:3" x14ac:dyDescent="0.2">
      <c r="A4549" s="82"/>
      <c r="B4549" s="82"/>
      <c r="C4549" s="82"/>
    </row>
    <row r="4550" spans="1:3" x14ac:dyDescent="0.2">
      <c r="A4550" s="82"/>
      <c r="B4550" s="82"/>
      <c r="C4550" s="82"/>
    </row>
    <row r="4551" spans="1:3" x14ac:dyDescent="0.2">
      <c r="A4551" s="82"/>
      <c r="B4551" s="82"/>
      <c r="C4551" s="82"/>
    </row>
    <row r="4552" spans="1:3" x14ac:dyDescent="0.2">
      <c r="A4552" s="82"/>
      <c r="B4552" s="82"/>
      <c r="C4552" s="82"/>
    </row>
    <row r="4553" spans="1:3" x14ac:dyDescent="0.2">
      <c r="A4553" s="82"/>
      <c r="B4553" s="82"/>
      <c r="C4553" s="82"/>
    </row>
    <row r="4554" spans="1:3" x14ac:dyDescent="0.2">
      <c r="A4554" s="82"/>
      <c r="B4554" s="82"/>
      <c r="C4554" s="82"/>
    </row>
    <row r="4555" spans="1:3" x14ac:dyDescent="0.2">
      <c r="A4555" s="82"/>
      <c r="B4555" s="82"/>
      <c r="C4555" s="82"/>
    </row>
    <row r="4556" spans="1:3" x14ac:dyDescent="0.2">
      <c r="A4556" s="82"/>
      <c r="B4556" s="82"/>
      <c r="C4556" s="82"/>
    </row>
    <row r="4557" spans="1:3" x14ac:dyDescent="0.2">
      <c r="A4557" s="82"/>
      <c r="B4557" s="82"/>
      <c r="C4557" s="82"/>
    </row>
    <row r="4558" spans="1:3" x14ac:dyDescent="0.2">
      <c r="A4558" s="82"/>
      <c r="B4558" s="82"/>
      <c r="C4558" s="82"/>
    </row>
    <row r="4559" spans="1:3" x14ac:dyDescent="0.2">
      <c r="A4559" s="82"/>
      <c r="B4559" s="82"/>
      <c r="C4559" s="82"/>
    </row>
    <row r="4560" spans="1:3" x14ac:dyDescent="0.2">
      <c r="A4560" s="82"/>
      <c r="B4560" s="82"/>
      <c r="C4560" s="82"/>
    </row>
    <row r="4561" spans="1:3" x14ac:dyDescent="0.2">
      <c r="A4561" s="82"/>
      <c r="B4561" s="82"/>
      <c r="C4561" s="82"/>
    </row>
    <row r="4562" spans="1:3" x14ac:dyDescent="0.2">
      <c r="A4562" s="82"/>
      <c r="B4562" s="82"/>
      <c r="C4562" s="82"/>
    </row>
    <row r="4563" spans="1:3" x14ac:dyDescent="0.2">
      <c r="A4563" s="82"/>
      <c r="B4563" s="82"/>
      <c r="C4563" s="82"/>
    </row>
    <row r="4564" spans="1:3" x14ac:dyDescent="0.2">
      <c r="A4564" s="82"/>
      <c r="B4564" s="82"/>
      <c r="C4564" s="82"/>
    </row>
    <row r="4565" spans="1:3" x14ac:dyDescent="0.2">
      <c r="A4565" s="82"/>
      <c r="B4565" s="82"/>
      <c r="C4565" s="82"/>
    </row>
    <row r="4566" spans="1:3" x14ac:dyDescent="0.2">
      <c r="A4566" s="82"/>
      <c r="B4566" s="82"/>
      <c r="C4566" s="82"/>
    </row>
    <row r="4567" spans="1:3" x14ac:dyDescent="0.2">
      <c r="A4567" s="82"/>
      <c r="B4567" s="82"/>
      <c r="C4567" s="82"/>
    </row>
    <row r="4568" spans="1:3" x14ac:dyDescent="0.2">
      <c r="A4568" s="82"/>
      <c r="B4568" s="82"/>
      <c r="C4568" s="82"/>
    </row>
    <row r="4569" spans="1:3" x14ac:dyDescent="0.2">
      <c r="A4569" s="82"/>
      <c r="B4569" s="82"/>
      <c r="C4569" s="82"/>
    </row>
    <row r="4570" spans="1:3" x14ac:dyDescent="0.2">
      <c r="A4570" s="82"/>
      <c r="B4570" s="82"/>
      <c r="C4570" s="82"/>
    </row>
    <row r="4571" spans="1:3" x14ac:dyDescent="0.2">
      <c r="A4571" s="82"/>
      <c r="B4571" s="82"/>
      <c r="C4571" s="82"/>
    </row>
    <row r="4572" spans="1:3" x14ac:dyDescent="0.2">
      <c r="A4572" s="82"/>
      <c r="B4572" s="82"/>
      <c r="C4572" s="82"/>
    </row>
    <row r="4573" spans="1:3" x14ac:dyDescent="0.2">
      <c r="A4573" s="82"/>
      <c r="B4573" s="82"/>
      <c r="C4573" s="82"/>
    </row>
    <row r="4574" spans="1:3" x14ac:dyDescent="0.2">
      <c r="A4574" s="82"/>
      <c r="B4574" s="82"/>
      <c r="C4574" s="82"/>
    </row>
    <row r="4575" spans="1:3" x14ac:dyDescent="0.2">
      <c r="A4575" s="82"/>
      <c r="B4575" s="82"/>
      <c r="C4575" s="82"/>
    </row>
    <row r="4576" spans="1:3" x14ac:dyDescent="0.2">
      <c r="A4576" s="82"/>
      <c r="B4576" s="82"/>
      <c r="C4576" s="82"/>
    </row>
    <row r="4577" spans="1:3" x14ac:dyDescent="0.2">
      <c r="A4577" s="82"/>
      <c r="B4577" s="82"/>
      <c r="C4577" s="82"/>
    </row>
    <row r="4578" spans="1:3" x14ac:dyDescent="0.2">
      <c r="A4578" s="82"/>
      <c r="B4578" s="82"/>
      <c r="C4578" s="82"/>
    </row>
    <row r="4579" spans="1:3" x14ac:dyDescent="0.2">
      <c r="A4579" s="82"/>
      <c r="B4579" s="82"/>
      <c r="C4579" s="82"/>
    </row>
    <row r="4580" spans="1:3" x14ac:dyDescent="0.2">
      <c r="A4580" s="82"/>
      <c r="B4580" s="82"/>
      <c r="C4580" s="82"/>
    </row>
    <row r="4581" spans="1:3" x14ac:dyDescent="0.2">
      <c r="A4581" s="82"/>
      <c r="B4581" s="82"/>
      <c r="C4581" s="82"/>
    </row>
    <row r="4582" spans="1:3" x14ac:dyDescent="0.2">
      <c r="A4582" s="82"/>
      <c r="B4582" s="82"/>
      <c r="C4582" s="82"/>
    </row>
    <row r="4583" spans="1:3" x14ac:dyDescent="0.2">
      <c r="A4583" s="82"/>
      <c r="B4583" s="82"/>
      <c r="C4583" s="82"/>
    </row>
    <row r="4584" spans="1:3" x14ac:dyDescent="0.2">
      <c r="A4584" s="82"/>
      <c r="B4584" s="82"/>
      <c r="C4584" s="82"/>
    </row>
    <row r="4585" spans="1:3" x14ac:dyDescent="0.2">
      <c r="A4585" s="82"/>
      <c r="B4585" s="82"/>
      <c r="C4585" s="82"/>
    </row>
    <row r="4586" spans="1:3" x14ac:dyDescent="0.2">
      <c r="A4586" s="82"/>
      <c r="B4586" s="82"/>
      <c r="C4586" s="82"/>
    </row>
    <row r="4587" spans="1:3" x14ac:dyDescent="0.2">
      <c r="A4587" s="82"/>
      <c r="B4587" s="82"/>
      <c r="C4587" s="82"/>
    </row>
    <row r="4588" spans="1:3" x14ac:dyDescent="0.2">
      <c r="A4588" s="82"/>
      <c r="B4588" s="82"/>
      <c r="C4588" s="82"/>
    </row>
    <row r="4589" spans="1:3" x14ac:dyDescent="0.2">
      <c r="A4589" s="82"/>
      <c r="B4589" s="82"/>
      <c r="C4589" s="82"/>
    </row>
    <row r="4590" spans="1:3" x14ac:dyDescent="0.2">
      <c r="A4590" s="82"/>
      <c r="B4590" s="82"/>
      <c r="C4590" s="82"/>
    </row>
    <row r="4591" spans="1:3" x14ac:dyDescent="0.2">
      <c r="A4591" s="82"/>
      <c r="B4591" s="82"/>
      <c r="C4591" s="82"/>
    </row>
    <row r="4592" spans="1:3" x14ac:dyDescent="0.2">
      <c r="A4592" s="82"/>
      <c r="B4592" s="82"/>
      <c r="C4592" s="82"/>
    </row>
    <row r="4593" spans="1:3" x14ac:dyDescent="0.2">
      <c r="A4593" s="82"/>
      <c r="B4593" s="82"/>
      <c r="C4593" s="82"/>
    </row>
    <row r="4594" spans="1:3" x14ac:dyDescent="0.2">
      <c r="A4594" s="82"/>
      <c r="B4594" s="82"/>
      <c r="C4594" s="82"/>
    </row>
    <row r="4595" spans="1:3" x14ac:dyDescent="0.2">
      <c r="A4595" s="82"/>
      <c r="B4595" s="82"/>
      <c r="C4595" s="82"/>
    </row>
    <row r="4596" spans="1:3" x14ac:dyDescent="0.2">
      <c r="A4596" s="82"/>
      <c r="B4596" s="82"/>
      <c r="C4596" s="82"/>
    </row>
    <row r="4597" spans="1:3" x14ac:dyDescent="0.2">
      <c r="A4597" s="82"/>
      <c r="B4597" s="82"/>
      <c r="C4597" s="82"/>
    </row>
    <row r="4598" spans="1:3" x14ac:dyDescent="0.2">
      <c r="A4598" s="82"/>
      <c r="B4598" s="82"/>
      <c r="C4598" s="82"/>
    </row>
    <row r="4599" spans="1:3" x14ac:dyDescent="0.2">
      <c r="A4599" s="82"/>
      <c r="B4599" s="82"/>
      <c r="C4599" s="82"/>
    </row>
    <row r="4600" spans="1:3" x14ac:dyDescent="0.2">
      <c r="A4600" s="82"/>
      <c r="B4600" s="82"/>
      <c r="C4600" s="82"/>
    </row>
    <row r="4601" spans="1:3" x14ac:dyDescent="0.2">
      <c r="A4601" s="82"/>
      <c r="B4601" s="82"/>
      <c r="C4601" s="82"/>
    </row>
    <row r="4602" spans="1:3" x14ac:dyDescent="0.2">
      <c r="A4602" s="82"/>
      <c r="B4602" s="82"/>
      <c r="C4602" s="82"/>
    </row>
    <row r="4603" spans="1:3" x14ac:dyDescent="0.2">
      <c r="A4603" s="82"/>
      <c r="B4603" s="82"/>
      <c r="C4603" s="82"/>
    </row>
    <row r="4604" spans="1:3" x14ac:dyDescent="0.2">
      <c r="A4604" s="82"/>
      <c r="B4604" s="82"/>
      <c r="C4604" s="82"/>
    </row>
    <row r="4605" spans="1:3" x14ac:dyDescent="0.2">
      <c r="A4605" s="82"/>
      <c r="B4605" s="82"/>
      <c r="C4605" s="82"/>
    </row>
    <row r="4606" spans="1:3" x14ac:dyDescent="0.2">
      <c r="A4606" s="82"/>
      <c r="B4606" s="82"/>
      <c r="C4606" s="82"/>
    </row>
    <row r="4607" spans="1:3" x14ac:dyDescent="0.2">
      <c r="A4607" s="82"/>
      <c r="B4607" s="82"/>
      <c r="C4607" s="82"/>
    </row>
    <row r="4608" spans="1:3" x14ac:dyDescent="0.2">
      <c r="A4608" s="82"/>
      <c r="B4608" s="82"/>
      <c r="C4608" s="82"/>
    </row>
    <row r="4609" spans="1:3" x14ac:dyDescent="0.2">
      <c r="A4609" s="82"/>
      <c r="B4609" s="82"/>
      <c r="C4609" s="82"/>
    </row>
    <row r="4610" spans="1:3" x14ac:dyDescent="0.2">
      <c r="A4610" s="82"/>
      <c r="B4610" s="82"/>
      <c r="C4610" s="82"/>
    </row>
    <row r="4611" spans="1:3" x14ac:dyDescent="0.2">
      <c r="A4611" s="82"/>
      <c r="B4611" s="82"/>
      <c r="C4611" s="82"/>
    </row>
    <row r="4612" spans="1:3" x14ac:dyDescent="0.2">
      <c r="A4612" s="82"/>
      <c r="B4612" s="82"/>
      <c r="C4612" s="82"/>
    </row>
    <row r="4613" spans="1:3" x14ac:dyDescent="0.2">
      <c r="A4613" s="82"/>
      <c r="B4613" s="82"/>
      <c r="C4613" s="82"/>
    </row>
    <row r="4614" spans="1:3" x14ac:dyDescent="0.2">
      <c r="A4614" s="82"/>
      <c r="B4614" s="82"/>
      <c r="C4614" s="82"/>
    </row>
    <row r="4615" spans="1:3" x14ac:dyDescent="0.2">
      <c r="A4615" s="82"/>
      <c r="B4615" s="82"/>
      <c r="C4615" s="82"/>
    </row>
    <row r="4616" spans="1:3" x14ac:dyDescent="0.2">
      <c r="A4616" s="82"/>
      <c r="B4616" s="82"/>
      <c r="C4616" s="82"/>
    </row>
    <row r="4617" spans="1:3" x14ac:dyDescent="0.2">
      <c r="A4617" s="82"/>
      <c r="B4617" s="82"/>
      <c r="C4617" s="82"/>
    </row>
    <row r="4618" spans="1:3" x14ac:dyDescent="0.2">
      <c r="A4618" s="82"/>
      <c r="B4618" s="82"/>
      <c r="C4618" s="82"/>
    </row>
    <row r="4619" spans="1:3" x14ac:dyDescent="0.2">
      <c r="A4619" s="82"/>
      <c r="B4619" s="82"/>
      <c r="C4619" s="82"/>
    </row>
    <row r="4620" spans="1:3" x14ac:dyDescent="0.2">
      <c r="A4620" s="82"/>
      <c r="B4620" s="82"/>
      <c r="C4620" s="82"/>
    </row>
    <row r="4621" spans="1:3" x14ac:dyDescent="0.2">
      <c r="A4621" s="82"/>
      <c r="B4621" s="82"/>
      <c r="C4621" s="82"/>
    </row>
    <row r="4622" spans="1:3" x14ac:dyDescent="0.2">
      <c r="A4622" s="82"/>
      <c r="B4622" s="82"/>
      <c r="C4622" s="82"/>
    </row>
    <row r="4623" spans="1:3" x14ac:dyDescent="0.2">
      <c r="A4623" s="82"/>
      <c r="B4623" s="82"/>
      <c r="C4623" s="82"/>
    </row>
    <row r="4624" spans="1:3" x14ac:dyDescent="0.2">
      <c r="A4624" s="82"/>
      <c r="B4624" s="82"/>
      <c r="C4624" s="82"/>
    </row>
    <row r="4625" spans="1:3" x14ac:dyDescent="0.2">
      <c r="A4625" s="82"/>
      <c r="B4625" s="82"/>
      <c r="C4625" s="82"/>
    </row>
    <row r="4626" spans="1:3" x14ac:dyDescent="0.2">
      <c r="A4626" s="82"/>
      <c r="B4626" s="82"/>
      <c r="C4626" s="82"/>
    </row>
    <row r="4627" spans="1:3" x14ac:dyDescent="0.2">
      <c r="A4627" s="82"/>
      <c r="B4627" s="82"/>
      <c r="C4627" s="82"/>
    </row>
    <row r="4628" spans="1:3" x14ac:dyDescent="0.2">
      <c r="A4628" s="82"/>
      <c r="B4628" s="82"/>
      <c r="C4628" s="82"/>
    </row>
    <row r="4629" spans="1:3" x14ac:dyDescent="0.2">
      <c r="A4629" s="82"/>
      <c r="B4629" s="82"/>
      <c r="C4629" s="82"/>
    </row>
    <row r="4630" spans="1:3" x14ac:dyDescent="0.2">
      <c r="A4630" s="82"/>
      <c r="B4630" s="82"/>
      <c r="C4630" s="82"/>
    </row>
    <row r="4631" spans="1:3" x14ac:dyDescent="0.2">
      <c r="A4631" s="82"/>
      <c r="B4631" s="82"/>
      <c r="C4631" s="82"/>
    </row>
    <row r="4632" spans="1:3" x14ac:dyDescent="0.2">
      <c r="A4632" s="82"/>
      <c r="B4632" s="82"/>
      <c r="C4632" s="82"/>
    </row>
    <row r="4633" spans="1:3" x14ac:dyDescent="0.2">
      <c r="A4633" s="82"/>
      <c r="B4633" s="82"/>
      <c r="C4633" s="82"/>
    </row>
    <row r="4634" spans="1:3" x14ac:dyDescent="0.2">
      <c r="A4634" s="82"/>
      <c r="B4634" s="82"/>
      <c r="C4634" s="82"/>
    </row>
    <row r="4635" spans="1:3" x14ac:dyDescent="0.2">
      <c r="A4635" s="82"/>
      <c r="B4635" s="82"/>
      <c r="C4635" s="82"/>
    </row>
    <row r="4636" spans="1:3" x14ac:dyDescent="0.2">
      <c r="A4636" s="82"/>
      <c r="B4636" s="82"/>
      <c r="C4636" s="82"/>
    </row>
    <row r="4637" spans="1:3" x14ac:dyDescent="0.2">
      <c r="A4637" s="82"/>
      <c r="B4637" s="82"/>
      <c r="C4637" s="82"/>
    </row>
    <row r="4638" spans="1:3" x14ac:dyDescent="0.2">
      <c r="A4638" s="82"/>
      <c r="B4638" s="82"/>
      <c r="C4638" s="82"/>
    </row>
    <row r="4639" spans="1:3" x14ac:dyDescent="0.2">
      <c r="A4639" s="82"/>
      <c r="B4639" s="82"/>
      <c r="C4639" s="82"/>
    </row>
    <row r="4640" spans="1:3" x14ac:dyDescent="0.2">
      <c r="A4640" s="82"/>
      <c r="B4640" s="82"/>
      <c r="C4640" s="82"/>
    </row>
    <row r="4641" spans="1:3" x14ac:dyDescent="0.2">
      <c r="A4641" s="82"/>
      <c r="B4641" s="82"/>
      <c r="C4641" s="82"/>
    </row>
    <row r="4642" spans="1:3" x14ac:dyDescent="0.2">
      <c r="A4642" s="82"/>
      <c r="B4642" s="82"/>
      <c r="C4642" s="82"/>
    </row>
    <row r="4643" spans="1:3" x14ac:dyDescent="0.2">
      <c r="A4643" s="82"/>
      <c r="B4643" s="82"/>
      <c r="C4643" s="82"/>
    </row>
    <row r="4644" spans="1:3" x14ac:dyDescent="0.2">
      <c r="A4644" s="82"/>
      <c r="B4644" s="82"/>
      <c r="C4644" s="82"/>
    </row>
    <row r="4645" spans="1:3" x14ac:dyDescent="0.2">
      <c r="A4645" s="82"/>
      <c r="B4645" s="82"/>
      <c r="C4645" s="82"/>
    </row>
    <row r="4646" spans="1:3" x14ac:dyDescent="0.2">
      <c r="A4646" s="82"/>
      <c r="B4646" s="82"/>
      <c r="C4646" s="82"/>
    </row>
    <row r="4647" spans="1:3" x14ac:dyDescent="0.2">
      <c r="A4647" s="82"/>
      <c r="B4647" s="82"/>
      <c r="C4647" s="82"/>
    </row>
    <row r="4648" spans="1:3" x14ac:dyDescent="0.2">
      <c r="A4648" s="82"/>
      <c r="B4648" s="82"/>
      <c r="C4648" s="82"/>
    </row>
    <row r="4649" spans="1:3" x14ac:dyDescent="0.2">
      <c r="A4649" s="82"/>
      <c r="B4649" s="82"/>
      <c r="C4649" s="82"/>
    </row>
    <row r="4650" spans="1:3" x14ac:dyDescent="0.2">
      <c r="A4650" s="82"/>
      <c r="B4650" s="82"/>
      <c r="C4650" s="82"/>
    </row>
    <row r="4651" spans="1:3" x14ac:dyDescent="0.2">
      <c r="A4651" s="82"/>
      <c r="B4651" s="82"/>
      <c r="C4651" s="82"/>
    </row>
    <row r="4652" spans="1:3" x14ac:dyDescent="0.2">
      <c r="A4652" s="82"/>
      <c r="B4652" s="82"/>
      <c r="C4652" s="82"/>
    </row>
    <row r="4653" spans="1:3" x14ac:dyDescent="0.2">
      <c r="A4653" s="82"/>
      <c r="B4653" s="82"/>
      <c r="C4653" s="82"/>
    </row>
    <row r="4654" spans="1:3" x14ac:dyDescent="0.2">
      <c r="A4654" s="82"/>
      <c r="B4654" s="82"/>
      <c r="C4654" s="82"/>
    </row>
    <row r="4655" spans="1:3" x14ac:dyDescent="0.2">
      <c r="A4655" s="82"/>
      <c r="B4655" s="82"/>
      <c r="C4655" s="82"/>
    </row>
    <row r="4656" spans="1:3" x14ac:dyDescent="0.2">
      <c r="A4656" s="82"/>
      <c r="B4656" s="82"/>
      <c r="C4656" s="82"/>
    </row>
    <row r="4657" spans="1:3" x14ac:dyDescent="0.2">
      <c r="A4657" s="82"/>
      <c r="B4657" s="82"/>
      <c r="C4657" s="82"/>
    </row>
    <row r="4658" spans="1:3" x14ac:dyDescent="0.2">
      <c r="A4658" s="82"/>
      <c r="B4658" s="82"/>
      <c r="C4658" s="82"/>
    </row>
    <row r="4659" spans="1:3" x14ac:dyDescent="0.2">
      <c r="A4659" s="82"/>
      <c r="B4659" s="82"/>
      <c r="C4659" s="82"/>
    </row>
    <row r="4660" spans="1:3" x14ac:dyDescent="0.2">
      <c r="A4660" s="82"/>
      <c r="B4660" s="82"/>
      <c r="C4660" s="82"/>
    </row>
    <row r="4661" spans="1:3" x14ac:dyDescent="0.2">
      <c r="A4661" s="82"/>
      <c r="B4661" s="82"/>
      <c r="C4661" s="82"/>
    </row>
    <row r="4662" spans="1:3" x14ac:dyDescent="0.2">
      <c r="A4662" s="82"/>
      <c r="B4662" s="82"/>
      <c r="C4662" s="82"/>
    </row>
    <row r="4663" spans="1:3" x14ac:dyDescent="0.2">
      <c r="A4663" s="82"/>
      <c r="B4663" s="82"/>
      <c r="C4663" s="82"/>
    </row>
    <row r="4664" spans="1:3" x14ac:dyDescent="0.2">
      <c r="A4664" s="82"/>
      <c r="B4664" s="82"/>
      <c r="C4664" s="82"/>
    </row>
    <row r="4665" spans="1:3" x14ac:dyDescent="0.2">
      <c r="A4665" s="82"/>
      <c r="B4665" s="82"/>
      <c r="C4665" s="82"/>
    </row>
    <row r="4666" spans="1:3" x14ac:dyDescent="0.2">
      <c r="A4666" s="82"/>
      <c r="B4666" s="82"/>
      <c r="C4666" s="82"/>
    </row>
    <row r="4667" spans="1:3" x14ac:dyDescent="0.2">
      <c r="A4667" s="82"/>
      <c r="B4667" s="82"/>
      <c r="C4667" s="82"/>
    </row>
    <row r="4668" spans="1:3" x14ac:dyDescent="0.2">
      <c r="A4668" s="82"/>
      <c r="B4668" s="82"/>
      <c r="C4668" s="82"/>
    </row>
    <row r="4669" spans="1:3" x14ac:dyDescent="0.2">
      <c r="A4669" s="82"/>
      <c r="B4669" s="82"/>
      <c r="C4669" s="82"/>
    </row>
    <row r="4670" spans="1:3" x14ac:dyDescent="0.2">
      <c r="A4670" s="82"/>
      <c r="B4670" s="82"/>
      <c r="C4670" s="82"/>
    </row>
    <row r="4671" spans="1:3" x14ac:dyDescent="0.2">
      <c r="A4671" s="82"/>
      <c r="B4671" s="82"/>
      <c r="C4671" s="82"/>
    </row>
    <row r="4672" spans="1:3" x14ac:dyDescent="0.2">
      <c r="A4672" s="82"/>
      <c r="B4672" s="82"/>
      <c r="C4672" s="82"/>
    </row>
    <row r="4673" spans="1:3" x14ac:dyDescent="0.2">
      <c r="A4673" s="82"/>
      <c r="B4673" s="82"/>
      <c r="C4673" s="82"/>
    </row>
    <row r="4674" spans="1:3" x14ac:dyDescent="0.2">
      <c r="A4674" s="82"/>
      <c r="B4674" s="82"/>
      <c r="C4674" s="82"/>
    </row>
    <row r="4675" spans="1:3" x14ac:dyDescent="0.2">
      <c r="A4675" s="82"/>
      <c r="B4675" s="82"/>
      <c r="C4675" s="82"/>
    </row>
    <row r="4676" spans="1:3" x14ac:dyDescent="0.2">
      <c r="A4676" s="82"/>
      <c r="B4676" s="82"/>
      <c r="C4676" s="82"/>
    </row>
    <row r="4677" spans="1:3" x14ac:dyDescent="0.2">
      <c r="A4677" s="82"/>
      <c r="B4677" s="82"/>
      <c r="C4677" s="82"/>
    </row>
    <row r="4678" spans="1:3" x14ac:dyDescent="0.2">
      <c r="A4678" s="82"/>
      <c r="B4678" s="82"/>
      <c r="C4678" s="82"/>
    </row>
    <row r="4679" spans="1:3" x14ac:dyDescent="0.2">
      <c r="A4679" s="82"/>
      <c r="B4679" s="82"/>
      <c r="C4679" s="82"/>
    </row>
    <row r="4680" spans="1:3" x14ac:dyDescent="0.2">
      <c r="A4680" s="82"/>
      <c r="B4680" s="82"/>
      <c r="C4680" s="82"/>
    </row>
    <row r="4681" spans="1:3" x14ac:dyDescent="0.2">
      <c r="A4681" s="82"/>
      <c r="B4681" s="82"/>
      <c r="C4681" s="82"/>
    </row>
    <row r="4682" spans="1:3" x14ac:dyDescent="0.2">
      <c r="A4682" s="82"/>
      <c r="B4682" s="82"/>
      <c r="C4682" s="82"/>
    </row>
    <row r="4683" spans="1:3" x14ac:dyDescent="0.2">
      <c r="A4683" s="82"/>
      <c r="B4683" s="82"/>
      <c r="C4683" s="82"/>
    </row>
    <row r="4684" spans="1:3" x14ac:dyDescent="0.2">
      <c r="A4684" s="82"/>
      <c r="B4684" s="82"/>
      <c r="C4684" s="82"/>
    </row>
    <row r="4685" spans="1:3" x14ac:dyDescent="0.2">
      <c r="A4685" s="82"/>
      <c r="B4685" s="82"/>
      <c r="C4685" s="82"/>
    </row>
    <row r="4686" spans="1:3" x14ac:dyDescent="0.2">
      <c r="A4686" s="82"/>
      <c r="B4686" s="82"/>
      <c r="C4686" s="82"/>
    </row>
    <row r="4687" spans="1:3" x14ac:dyDescent="0.2">
      <c r="A4687" s="82"/>
      <c r="B4687" s="82"/>
      <c r="C4687" s="82"/>
    </row>
    <row r="4688" spans="1:3" x14ac:dyDescent="0.2">
      <c r="A4688" s="82"/>
      <c r="B4688" s="82"/>
      <c r="C4688" s="82"/>
    </row>
    <row r="4689" spans="1:3" x14ac:dyDescent="0.2">
      <c r="A4689" s="82"/>
      <c r="B4689" s="82"/>
      <c r="C4689" s="82"/>
    </row>
    <row r="4690" spans="1:3" x14ac:dyDescent="0.2">
      <c r="A4690" s="82"/>
      <c r="B4690" s="82"/>
      <c r="C4690" s="82"/>
    </row>
    <row r="4691" spans="1:3" x14ac:dyDescent="0.2">
      <c r="A4691" s="82"/>
      <c r="B4691" s="82"/>
      <c r="C4691" s="82"/>
    </row>
    <row r="4692" spans="1:3" x14ac:dyDescent="0.2">
      <c r="A4692" s="82"/>
      <c r="B4692" s="82"/>
      <c r="C4692" s="82"/>
    </row>
    <row r="4693" spans="1:3" x14ac:dyDescent="0.2">
      <c r="A4693" s="82"/>
      <c r="B4693" s="82"/>
      <c r="C4693" s="82"/>
    </row>
    <row r="4694" spans="1:3" x14ac:dyDescent="0.2">
      <c r="A4694" s="82"/>
      <c r="B4694" s="82"/>
      <c r="C4694" s="82"/>
    </row>
    <row r="4695" spans="1:3" x14ac:dyDescent="0.2">
      <c r="A4695" s="82"/>
      <c r="B4695" s="82"/>
      <c r="C4695" s="82"/>
    </row>
    <row r="4696" spans="1:3" x14ac:dyDescent="0.2">
      <c r="A4696" s="82"/>
      <c r="B4696" s="82"/>
      <c r="C4696" s="82"/>
    </row>
    <row r="4697" spans="1:3" x14ac:dyDescent="0.2">
      <c r="A4697" s="82"/>
      <c r="B4697" s="82"/>
      <c r="C4697" s="82"/>
    </row>
    <row r="4698" spans="1:3" x14ac:dyDescent="0.2">
      <c r="A4698" s="82"/>
      <c r="B4698" s="82"/>
      <c r="C4698" s="82"/>
    </row>
    <row r="4699" spans="1:3" x14ac:dyDescent="0.2">
      <c r="A4699" s="82"/>
      <c r="B4699" s="82"/>
      <c r="C4699" s="82"/>
    </row>
    <row r="4700" spans="1:3" x14ac:dyDescent="0.2">
      <c r="A4700" s="82"/>
      <c r="B4700" s="82"/>
      <c r="C4700" s="82"/>
    </row>
    <row r="4701" spans="1:3" x14ac:dyDescent="0.2">
      <c r="A4701" s="82"/>
      <c r="B4701" s="82"/>
      <c r="C4701" s="82"/>
    </row>
    <row r="4702" spans="1:3" x14ac:dyDescent="0.2">
      <c r="A4702" s="82"/>
      <c r="B4702" s="82"/>
      <c r="C4702" s="82"/>
    </row>
    <row r="4703" spans="1:3" x14ac:dyDescent="0.2">
      <c r="A4703" s="82"/>
      <c r="B4703" s="82"/>
      <c r="C4703" s="82"/>
    </row>
    <row r="4704" spans="1:3" x14ac:dyDescent="0.2">
      <c r="A4704" s="82"/>
      <c r="B4704" s="82"/>
      <c r="C4704" s="82"/>
    </row>
    <row r="4705" spans="1:3" x14ac:dyDescent="0.2">
      <c r="A4705" s="82"/>
      <c r="B4705" s="82"/>
      <c r="C4705" s="82"/>
    </row>
    <row r="4706" spans="1:3" x14ac:dyDescent="0.2">
      <c r="A4706" s="82"/>
      <c r="B4706" s="82"/>
      <c r="C4706" s="82"/>
    </row>
    <row r="4707" spans="1:3" x14ac:dyDescent="0.2">
      <c r="A4707" s="82"/>
      <c r="B4707" s="82"/>
      <c r="C4707" s="82"/>
    </row>
    <row r="4708" spans="1:3" x14ac:dyDescent="0.2">
      <c r="A4708" s="82"/>
      <c r="B4708" s="82"/>
      <c r="C4708" s="82"/>
    </row>
    <row r="4709" spans="1:3" x14ac:dyDescent="0.2">
      <c r="A4709" s="82"/>
      <c r="B4709" s="82"/>
      <c r="C4709" s="82"/>
    </row>
    <row r="4710" spans="1:3" x14ac:dyDescent="0.2">
      <c r="A4710" s="82"/>
      <c r="B4710" s="82"/>
      <c r="C4710" s="82"/>
    </row>
    <row r="4711" spans="1:3" x14ac:dyDescent="0.2">
      <c r="A4711" s="82"/>
      <c r="B4711" s="82"/>
      <c r="C4711" s="82"/>
    </row>
    <row r="4712" spans="1:3" x14ac:dyDescent="0.2">
      <c r="A4712" s="82"/>
      <c r="B4712" s="82"/>
      <c r="C4712" s="82"/>
    </row>
    <row r="4713" spans="1:3" x14ac:dyDescent="0.2">
      <c r="A4713" s="82"/>
      <c r="B4713" s="82"/>
      <c r="C4713" s="82"/>
    </row>
    <row r="4714" spans="1:3" x14ac:dyDescent="0.2">
      <c r="A4714" s="82"/>
      <c r="B4714" s="82"/>
      <c r="C4714" s="82"/>
    </row>
    <row r="4715" spans="1:3" x14ac:dyDescent="0.2">
      <c r="A4715" s="82"/>
      <c r="B4715" s="82"/>
      <c r="C4715" s="82"/>
    </row>
    <row r="4716" spans="1:3" x14ac:dyDescent="0.2">
      <c r="A4716" s="82"/>
      <c r="B4716" s="82"/>
      <c r="C4716" s="82"/>
    </row>
    <row r="4717" spans="1:3" x14ac:dyDescent="0.2">
      <c r="A4717" s="82"/>
      <c r="B4717" s="82"/>
      <c r="C4717" s="82"/>
    </row>
    <row r="4718" spans="1:3" x14ac:dyDescent="0.2">
      <c r="A4718" s="82"/>
      <c r="B4718" s="82"/>
      <c r="C4718" s="82"/>
    </row>
    <row r="4719" spans="1:3" x14ac:dyDescent="0.2">
      <c r="A4719" s="82"/>
      <c r="B4719" s="82"/>
      <c r="C4719" s="82"/>
    </row>
    <row r="4720" spans="1:3" x14ac:dyDescent="0.2">
      <c r="A4720" s="82"/>
      <c r="B4720" s="82"/>
      <c r="C4720" s="82"/>
    </row>
    <row r="4721" spans="1:3" x14ac:dyDescent="0.2">
      <c r="A4721" s="82"/>
      <c r="B4721" s="82"/>
      <c r="C4721" s="82"/>
    </row>
    <row r="4722" spans="1:3" x14ac:dyDescent="0.2">
      <c r="A4722" s="82"/>
      <c r="B4722" s="82"/>
      <c r="C4722" s="82"/>
    </row>
    <row r="4723" spans="1:3" x14ac:dyDescent="0.2">
      <c r="A4723" s="82"/>
      <c r="B4723" s="82"/>
      <c r="C4723" s="82"/>
    </row>
    <row r="4724" spans="1:3" x14ac:dyDescent="0.2">
      <c r="A4724" s="82"/>
      <c r="B4724" s="82"/>
      <c r="C4724" s="82"/>
    </row>
    <row r="4725" spans="1:3" x14ac:dyDescent="0.2">
      <c r="A4725" s="82"/>
      <c r="B4725" s="82"/>
      <c r="C4725" s="82"/>
    </row>
    <row r="4726" spans="1:3" x14ac:dyDescent="0.2">
      <c r="A4726" s="82"/>
      <c r="B4726" s="82"/>
      <c r="C4726" s="82"/>
    </row>
    <row r="4727" spans="1:3" x14ac:dyDescent="0.2">
      <c r="A4727" s="82"/>
      <c r="B4727" s="82"/>
      <c r="C4727" s="82"/>
    </row>
    <row r="4728" spans="1:3" x14ac:dyDescent="0.2">
      <c r="A4728" s="82"/>
      <c r="B4728" s="82"/>
      <c r="C4728" s="82"/>
    </row>
    <row r="4729" spans="1:3" x14ac:dyDescent="0.2">
      <c r="A4729" s="82"/>
      <c r="B4729" s="82"/>
      <c r="C4729" s="82"/>
    </row>
    <row r="4730" spans="1:3" x14ac:dyDescent="0.2">
      <c r="A4730" s="82"/>
      <c r="B4730" s="82"/>
      <c r="C4730" s="82"/>
    </row>
    <row r="4731" spans="1:3" x14ac:dyDescent="0.2">
      <c r="A4731" s="82"/>
      <c r="B4731" s="82"/>
      <c r="C4731" s="82"/>
    </row>
    <row r="4732" spans="1:3" x14ac:dyDescent="0.2">
      <c r="A4732" s="82"/>
      <c r="B4732" s="82"/>
      <c r="C4732" s="82"/>
    </row>
    <row r="4733" spans="1:3" x14ac:dyDescent="0.2">
      <c r="A4733" s="82"/>
      <c r="B4733" s="82"/>
      <c r="C4733" s="82"/>
    </row>
    <row r="4734" spans="1:3" x14ac:dyDescent="0.2">
      <c r="A4734" s="82"/>
      <c r="B4734" s="82"/>
      <c r="C4734" s="82"/>
    </row>
    <row r="4735" spans="1:3" x14ac:dyDescent="0.2">
      <c r="A4735" s="82"/>
      <c r="B4735" s="82"/>
      <c r="C4735" s="82"/>
    </row>
    <row r="4736" spans="1:3" x14ac:dyDescent="0.2">
      <c r="A4736" s="82"/>
      <c r="B4736" s="82"/>
      <c r="C4736" s="82"/>
    </row>
    <row r="4737" spans="1:3" x14ac:dyDescent="0.2">
      <c r="A4737" s="82"/>
      <c r="B4737" s="82"/>
      <c r="C4737" s="82"/>
    </row>
    <row r="4738" spans="1:3" x14ac:dyDescent="0.2">
      <c r="A4738" s="82"/>
      <c r="B4738" s="82"/>
      <c r="C4738" s="82"/>
    </row>
    <row r="4739" spans="1:3" x14ac:dyDescent="0.2">
      <c r="A4739" s="82"/>
      <c r="B4739" s="82"/>
      <c r="C4739" s="82"/>
    </row>
    <row r="4740" spans="1:3" x14ac:dyDescent="0.2">
      <c r="A4740" s="82"/>
      <c r="B4740" s="82"/>
      <c r="C4740" s="82"/>
    </row>
    <row r="4741" spans="1:3" x14ac:dyDescent="0.2">
      <c r="A4741" s="82"/>
      <c r="B4741" s="82"/>
      <c r="C4741" s="82"/>
    </row>
    <row r="4742" spans="1:3" x14ac:dyDescent="0.2">
      <c r="A4742" s="82"/>
      <c r="B4742" s="82"/>
      <c r="C4742" s="82"/>
    </row>
    <row r="4743" spans="1:3" x14ac:dyDescent="0.2">
      <c r="A4743" s="82"/>
      <c r="B4743" s="82"/>
      <c r="C4743" s="82"/>
    </row>
    <row r="4744" spans="1:3" x14ac:dyDescent="0.2">
      <c r="A4744" s="82"/>
      <c r="B4744" s="82"/>
      <c r="C4744" s="82"/>
    </row>
    <row r="4745" spans="1:3" x14ac:dyDescent="0.2">
      <c r="A4745" s="82"/>
      <c r="B4745" s="82"/>
      <c r="C4745" s="82"/>
    </row>
    <row r="4746" spans="1:3" x14ac:dyDescent="0.2">
      <c r="A4746" s="82"/>
      <c r="B4746" s="82"/>
      <c r="C4746" s="82"/>
    </row>
    <row r="4747" spans="1:3" x14ac:dyDescent="0.2">
      <c r="A4747" s="82"/>
      <c r="B4747" s="82"/>
      <c r="C4747" s="82"/>
    </row>
    <row r="4748" spans="1:3" x14ac:dyDescent="0.2">
      <c r="A4748" s="82"/>
      <c r="B4748" s="82"/>
      <c r="C4748" s="82"/>
    </row>
    <row r="4749" spans="1:3" x14ac:dyDescent="0.2">
      <c r="A4749" s="82"/>
      <c r="B4749" s="82"/>
      <c r="C4749" s="82"/>
    </row>
    <row r="4750" spans="1:3" x14ac:dyDescent="0.2">
      <c r="A4750" s="82"/>
      <c r="B4750" s="82"/>
      <c r="C4750" s="82"/>
    </row>
    <row r="4751" spans="1:3" x14ac:dyDescent="0.2">
      <c r="A4751" s="82"/>
      <c r="B4751" s="82"/>
      <c r="C4751" s="82"/>
    </row>
    <row r="4752" spans="1:3" x14ac:dyDescent="0.2">
      <c r="A4752" s="82"/>
      <c r="B4752" s="82"/>
      <c r="C4752" s="82"/>
    </row>
    <row r="4753" spans="1:3" x14ac:dyDescent="0.2">
      <c r="A4753" s="82"/>
      <c r="B4753" s="82"/>
      <c r="C4753" s="82"/>
    </row>
    <row r="4754" spans="1:3" x14ac:dyDescent="0.2">
      <c r="A4754" s="82"/>
      <c r="B4754" s="82"/>
      <c r="C4754" s="82"/>
    </row>
    <row r="4755" spans="1:3" x14ac:dyDescent="0.2">
      <c r="A4755" s="82"/>
      <c r="B4755" s="82"/>
      <c r="C4755" s="82"/>
    </row>
    <row r="4756" spans="1:3" x14ac:dyDescent="0.2">
      <c r="A4756" s="82"/>
      <c r="B4756" s="82"/>
      <c r="C4756" s="82"/>
    </row>
    <row r="4757" spans="1:3" x14ac:dyDescent="0.2">
      <c r="A4757" s="82"/>
      <c r="B4757" s="82"/>
      <c r="C4757" s="82"/>
    </row>
    <row r="4758" spans="1:3" x14ac:dyDescent="0.2">
      <c r="A4758" s="82"/>
      <c r="B4758" s="82"/>
      <c r="C4758" s="82"/>
    </row>
    <row r="4759" spans="1:3" x14ac:dyDescent="0.2">
      <c r="A4759" s="82"/>
      <c r="B4759" s="82"/>
      <c r="C4759" s="82"/>
    </row>
    <row r="4760" spans="1:3" x14ac:dyDescent="0.2">
      <c r="A4760" s="82"/>
      <c r="B4760" s="82"/>
      <c r="C4760" s="82"/>
    </row>
    <row r="4761" spans="1:3" x14ac:dyDescent="0.2">
      <c r="A4761" s="82"/>
      <c r="B4761" s="82"/>
      <c r="C4761" s="82"/>
    </row>
    <row r="4762" spans="1:3" x14ac:dyDescent="0.2">
      <c r="A4762" s="82"/>
      <c r="B4762" s="82"/>
      <c r="C4762" s="82"/>
    </row>
    <row r="4763" spans="1:3" x14ac:dyDescent="0.2">
      <c r="A4763" s="82"/>
      <c r="B4763" s="82"/>
      <c r="C4763" s="82"/>
    </row>
    <row r="4764" spans="1:3" x14ac:dyDescent="0.2">
      <c r="A4764" s="82"/>
      <c r="B4764" s="82"/>
      <c r="C4764" s="82"/>
    </row>
    <row r="4765" spans="1:3" x14ac:dyDescent="0.2">
      <c r="A4765" s="82"/>
      <c r="B4765" s="82"/>
      <c r="C4765" s="82"/>
    </row>
    <row r="4766" spans="1:3" x14ac:dyDescent="0.2">
      <c r="A4766" s="82"/>
      <c r="B4766" s="82"/>
      <c r="C4766" s="82"/>
    </row>
    <row r="4767" spans="1:3" x14ac:dyDescent="0.2">
      <c r="A4767" s="82"/>
      <c r="B4767" s="82"/>
      <c r="C4767" s="82"/>
    </row>
    <row r="4768" spans="1:3" x14ac:dyDescent="0.2">
      <c r="A4768" s="82"/>
      <c r="B4768" s="82"/>
      <c r="C4768" s="82"/>
    </row>
    <row r="4769" spans="1:3" x14ac:dyDescent="0.2">
      <c r="A4769" s="82"/>
      <c r="B4769" s="82"/>
      <c r="C4769" s="82"/>
    </row>
    <row r="4770" spans="1:3" x14ac:dyDescent="0.2">
      <c r="A4770" s="82"/>
      <c r="B4770" s="82"/>
      <c r="C4770" s="82"/>
    </row>
    <row r="4771" spans="1:3" x14ac:dyDescent="0.2">
      <c r="A4771" s="82"/>
      <c r="B4771" s="82"/>
      <c r="C4771" s="82"/>
    </row>
    <row r="4772" spans="1:3" x14ac:dyDescent="0.2">
      <c r="A4772" s="82"/>
      <c r="B4772" s="82"/>
      <c r="C4772" s="82"/>
    </row>
    <row r="4773" spans="1:3" x14ac:dyDescent="0.2">
      <c r="A4773" s="82"/>
      <c r="B4773" s="82"/>
      <c r="C4773" s="82"/>
    </row>
    <row r="4774" spans="1:3" x14ac:dyDescent="0.2">
      <c r="A4774" s="82"/>
      <c r="B4774" s="82"/>
      <c r="C4774" s="82"/>
    </row>
    <row r="4775" spans="1:3" x14ac:dyDescent="0.2">
      <c r="A4775" s="82"/>
      <c r="B4775" s="82"/>
      <c r="C4775" s="82"/>
    </row>
    <row r="4776" spans="1:3" x14ac:dyDescent="0.2">
      <c r="A4776" s="82"/>
      <c r="B4776" s="82"/>
      <c r="C4776" s="82"/>
    </row>
    <row r="4777" spans="1:3" x14ac:dyDescent="0.2">
      <c r="A4777" s="82"/>
      <c r="B4777" s="82"/>
      <c r="C4777" s="82"/>
    </row>
    <row r="4778" spans="1:3" x14ac:dyDescent="0.2">
      <c r="A4778" s="82"/>
      <c r="B4778" s="82"/>
      <c r="C4778" s="82"/>
    </row>
    <row r="4779" spans="1:3" x14ac:dyDescent="0.2">
      <c r="A4779" s="82"/>
      <c r="B4779" s="82"/>
      <c r="C4779" s="82"/>
    </row>
    <row r="4780" spans="1:3" x14ac:dyDescent="0.2">
      <c r="A4780" s="82"/>
      <c r="B4780" s="82"/>
      <c r="C4780" s="82"/>
    </row>
    <row r="4781" spans="1:3" x14ac:dyDescent="0.2">
      <c r="A4781" s="82"/>
      <c r="B4781" s="82"/>
      <c r="C4781" s="82"/>
    </row>
    <row r="4782" spans="1:3" x14ac:dyDescent="0.2">
      <c r="A4782" s="82"/>
      <c r="B4782" s="82"/>
      <c r="C4782" s="82"/>
    </row>
    <row r="4783" spans="1:3" x14ac:dyDescent="0.2">
      <c r="A4783" s="82"/>
      <c r="B4783" s="82"/>
      <c r="C4783" s="82"/>
    </row>
    <row r="4784" spans="1:3" x14ac:dyDescent="0.2">
      <c r="A4784" s="82"/>
      <c r="B4784" s="82"/>
      <c r="C4784" s="82"/>
    </row>
    <row r="4785" spans="1:3" x14ac:dyDescent="0.2">
      <c r="A4785" s="82"/>
      <c r="B4785" s="82"/>
      <c r="C4785" s="82"/>
    </row>
    <row r="4786" spans="1:3" x14ac:dyDescent="0.2">
      <c r="A4786" s="82"/>
      <c r="B4786" s="82"/>
      <c r="C4786" s="82"/>
    </row>
    <row r="4787" spans="1:3" x14ac:dyDescent="0.2">
      <c r="A4787" s="82"/>
      <c r="B4787" s="82"/>
      <c r="C4787" s="82"/>
    </row>
    <row r="4788" spans="1:3" x14ac:dyDescent="0.2">
      <c r="A4788" s="82"/>
      <c r="B4788" s="82"/>
      <c r="C4788" s="82"/>
    </row>
    <row r="4789" spans="1:3" x14ac:dyDescent="0.2">
      <c r="A4789" s="82"/>
      <c r="B4789" s="82"/>
      <c r="C4789" s="82"/>
    </row>
    <row r="4790" spans="1:3" x14ac:dyDescent="0.2">
      <c r="A4790" s="82"/>
      <c r="B4790" s="82"/>
      <c r="C4790" s="82"/>
    </row>
    <row r="4791" spans="1:3" x14ac:dyDescent="0.2">
      <c r="A4791" s="82"/>
      <c r="B4791" s="82"/>
      <c r="C4791" s="82"/>
    </row>
    <row r="4792" spans="1:3" x14ac:dyDescent="0.2">
      <c r="A4792" s="82"/>
      <c r="B4792" s="82"/>
      <c r="C4792" s="82"/>
    </row>
    <row r="4793" spans="1:3" x14ac:dyDescent="0.2">
      <c r="A4793" s="82"/>
      <c r="B4793" s="82"/>
      <c r="C4793" s="82"/>
    </row>
    <row r="4794" spans="1:3" x14ac:dyDescent="0.2">
      <c r="A4794" s="82"/>
      <c r="B4794" s="82"/>
      <c r="C4794" s="82"/>
    </row>
    <row r="4795" spans="1:3" x14ac:dyDescent="0.2">
      <c r="A4795" s="82"/>
      <c r="B4795" s="82"/>
      <c r="C4795" s="82"/>
    </row>
    <row r="4796" spans="1:3" x14ac:dyDescent="0.2">
      <c r="A4796" s="82"/>
      <c r="B4796" s="82"/>
      <c r="C4796" s="82"/>
    </row>
    <row r="4797" spans="1:3" x14ac:dyDescent="0.2">
      <c r="A4797" s="82"/>
      <c r="B4797" s="82"/>
      <c r="C4797" s="82"/>
    </row>
    <row r="4798" spans="1:3" x14ac:dyDescent="0.2">
      <c r="A4798" s="82"/>
      <c r="B4798" s="82"/>
      <c r="C4798" s="82"/>
    </row>
    <row r="4799" spans="1:3" x14ac:dyDescent="0.2">
      <c r="A4799" s="82"/>
      <c r="B4799" s="82"/>
      <c r="C4799" s="82"/>
    </row>
    <row r="4800" spans="1:3" x14ac:dyDescent="0.2">
      <c r="A4800" s="82"/>
      <c r="B4800" s="82"/>
      <c r="C4800" s="82"/>
    </row>
    <row r="4801" spans="1:3" x14ac:dyDescent="0.2">
      <c r="A4801" s="82"/>
      <c r="B4801" s="82"/>
      <c r="C4801" s="82"/>
    </row>
    <row r="4802" spans="1:3" x14ac:dyDescent="0.2">
      <c r="A4802" s="82"/>
      <c r="B4802" s="82"/>
      <c r="C4802" s="82"/>
    </row>
    <row r="4803" spans="1:3" x14ac:dyDescent="0.2">
      <c r="A4803" s="82"/>
      <c r="B4803" s="82"/>
      <c r="C4803" s="82"/>
    </row>
    <row r="4804" spans="1:3" x14ac:dyDescent="0.2">
      <c r="A4804" s="82"/>
      <c r="B4804" s="82"/>
      <c r="C4804" s="82"/>
    </row>
    <row r="4805" spans="1:3" x14ac:dyDescent="0.2">
      <c r="A4805" s="82"/>
      <c r="B4805" s="82"/>
      <c r="C4805" s="82"/>
    </row>
    <row r="4806" spans="1:3" x14ac:dyDescent="0.2">
      <c r="A4806" s="82"/>
      <c r="B4806" s="82"/>
      <c r="C4806" s="82"/>
    </row>
    <row r="4807" spans="1:3" x14ac:dyDescent="0.2">
      <c r="A4807" s="82"/>
      <c r="B4807" s="82"/>
      <c r="C4807" s="82"/>
    </row>
    <row r="4808" spans="1:3" x14ac:dyDescent="0.2">
      <c r="A4808" s="82"/>
      <c r="B4808" s="82"/>
      <c r="C4808" s="82"/>
    </row>
    <row r="4809" spans="1:3" x14ac:dyDescent="0.2">
      <c r="A4809" s="82"/>
      <c r="B4809" s="82"/>
      <c r="C4809" s="82"/>
    </row>
    <row r="4810" spans="1:3" x14ac:dyDescent="0.2">
      <c r="A4810" s="82"/>
      <c r="B4810" s="82"/>
      <c r="C4810" s="82"/>
    </row>
    <row r="4811" spans="1:3" x14ac:dyDescent="0.2">
      <c r="A4811" s="82"/>
      <c r="B4811" s="82"/>
      <c r="C4811" s="82"/>
    </row>
    <row r="4812" spans="1:3" x14ac:dyDescent="0.2">
      <c r="A4812" s="82"/>
      <c r="B4812" s="82"/>
      <c r="C4812" s="82"/>
    </row>
    <row r="4813" spans="1:3" x14ac:dyDescent="0.2">
      <c r="A4813" s="82"/>
      <c r="B4813" s="82"/>
      <c r="C4813" s="82"/>
    </row>
    <row r="4814" spans="1:3" x14ac:dyDescent="0.2">
      <c r="A4814" s="82"/>
      <c r="B4814" s="82"/>
      <c r="C4814" s="82"/>
    </row>
    <row r="4815" spans="1:3" x14ac:dyDescent="0.2">
      <c r="A4815" s="82"/>
      <c r="B4815" s="82"/>
      <c r="C4815" s="82"/>
    </row>
    <row r="4816" spans="1:3" x14ac:dyDescent="0.2">
      <c r="A4816" s="82"/>
      <c r="B4816" s="82"/>
      <c r="C4816" s="82"/>
    </row>
    <row r="4817" spans="1:3" x14ac:dyDescent="0.2">
      <c r="A4817" s="82"/>
      <c r="B4817" s="82"/>
      <c r="C4817" s="82"/>
    </row>
    <row r="4818" spans="1:3" x14ac:dyDescent="0.2">
      <c r="A4818" s="82"/>
      <c r="B4818" s="82"/>
      <c r="C4818" s="82"/>
    </row>
    <row r="4819" spans="1:3" x14ac:dyDescent="0.2">
      <c r="A4819" s="82"/>
      <c r="B4819" s="82"/>
      <c r="C4819" s="82"/>
    </row>
    <row r="4820" spans="1:3" x14ac:dyDescent="0.2">
      <c r="A4820" s="82"/>
      <c r="B4820" s="82"/>
      <c r="C4820" s="82"/>
    </row>
    <row r="4821" spans="1:3" x14ac:dyDescent="0.2">
      <c r="A4821" s="82"/>
      <c r="B4821" s="82"/>
      <c r="C4821" s="82"/>
    </row>
    <row r="4822" spans="1:3" x14ac:dyDescent="0.2">
      <c r="A4822" s="82"/>
      <c r="B4822" s="82"/>
      <c r="C4822" s="82"/>
    </row>
    <row r="4823" spans="1:3" x14ac:dyDescent="0.2">
      <c r="A4823" s="82"/>
      <c r="B4823" s="82"/>
      <c r="C4823" s="82"/>
    </row>
    <row r="4824" spans="1:3" x14ac:dyDescent="0.2">
      <c r="A4824" s="82"/>
      <c r="B4824" s="82"/>
      <c r="C4824" s="82"/>
    </row>
    <row r="4825" spans="1:3" x14ac:dyDescent="0.2">
      <c r="A4825" s="82"/>
      <c r="B4825" s="82"/>
      <c r="C4825" s="82"/>
    </row>
    <row r="4826" spans="1:3" x14ac:dyDescent="0.2">
      <c r="A4826" s="82"/>
      <c r="B4826" s="82"/>
      <c r="C4826" s="82"/>
    </row>
    <row r="4827" spans="1:3" x14ac:dyDescent="0.2">
      <c r="A4827" s="82"/>
      <c r="B4827" s="82"/>
      <c r="C4827" s="82"/>
    </row>
    <row r="4828" spans="1:3" x14ac:dyDescent="0.2">
      <c r="A4828" s="82"/>
      <c r="B4828" s="82"/>
      <c r="C4828" s="82"/>
    </row>
    <row r="4829" spans="1:3" x14ac:dyDescent="0.2">
      <c r="A4829" s="82"/>
      <c r="B4829" s="82"/>
      <c r="C4829" s="82"/>
    </row>
    <row r="4830" spans="1:3" x14ac:dyDescent="0.2">
      <c r="A4830" s="82"/>
      <c r="B4830" s="82"/>
      <c r="C4830" s="82"/>
    </row>
    <row r="4831" spans="1:3" x14ac:dyDescent="0.2">
      <c r="A4831" s="82"/>
      <c r="B4831" s="82"/>
      <c r="C4831" s="82"/>
    </row>
    <row r="4832" spans="1:3" x14ac:dyDescent="0.2">
      <c r="A4832" s="82"/>
      <c r="B4832" s="82"/>
      <c r="C4832" s="82"/>
    </row>
    <row r="4833" spans="1:3" x14ac:dyDescent="0.2">
      <c r="A4833" s="82"/>
      <c r="B4833" s="82"/>
      <c r="C4833" s="82"/>
    </row>
    <row r="4834" spans="1:3" x14ac:dyDescent="0.2">
      <c r="A4834" s="82"/>
      <c r="B4834" s="82"/>
      <c r="C4834" s="82"/>
    </row>
    <row r="4835" spans="1:3" x14ac:dyDescent="0.2">
      <c r="A4835" s="82"/>
      <c r="B4835" s="82"/>
      <c r="C4835" s="82"/>
    </row>
    <row r="4836" spans="1:3" x14ac:dyDescent="0.2">
      <c r="A4836" s="82"/>
      <c r="B4836" s="82"/>
      <c r="C4836" s="82"/>
    </row>
    <row r="4837" spans="1:3" x14ac:dyDescent="0.2">
      <c r="A4837" s="82"/>
      <c r="B4837" s="82"/>
      <c r="C4837" s="82"/>
    </row>
    <row r="4838" spans="1:3" x14ac:dyDescent="0.2">
      <c r="A4838" s="82"/>
      <c r="B4838" s="82"/>
      <c r="C4838" s="82"/>
    </row>
    <row r="4839" spans="1:3" x14ac:dyDescent="0.2">
      <c r="A4839" s="82"/>
      <c r="B4839" s="82"/>
      <c r="C4839" s="82"/>
    </row>
    <row r="4840" spans="1:3" x14ac:dyDescent="0.2">
      <c r="A4840" s="82"/>
      <c r="B4840" s="82"/>
      <c r="C4840" s="82"/>
    </row>
    <row r="4841" spans="1:3" x14ac:dyDescent="0.2">
      <c r="A4841" s="82"/>
      <c r="B4841" s="82"/>
      <c r="C4841" s="82"/>
    </row>
    <row r="4842" spans="1:3" x14ac:dyDescent="0.2">
      <c r="A4842" s="82"/>
      <c r="B4842" s="82"/>
      <c r="C4842" s="82"/>
    </row>
    <row r="4843" spans="1:3" x14ac:dyDescent="0.2">
      <c r="A4843" s="82"/>
      <c r="B4843" s="82"/>
      <c r="C4843" s="82"/>
    </row>
    <row r="4844" spans="1:3" x14ac:dyDescent="0.2">
      <c r="A4844" s="82"/>
      <c r="B4844" s="82"/>
      <c r="C4844" s="82"/>
    </row>
    <row r="4845" spans="1:3" x14ac:dyDescent="0.2">
      <c r="A4845" s="82"/>
      <c r="B4845" s="82"/>
      <c r="C4845" s="82"/>
    </row>
    <row r="4846" spans="1:3" x14ac:dyDescent="0.2">
      <c r="A4846" s="82"/>
      <c r="B4846" s="82"/>
      <c r="C4846" s="82"/>
    </row>
    <row r="4847" spans="1:3" x14ac:dyDescent="0.2">
      <c r="A4847" s="82"/>
      <c r="B4847" s="82"/>
      <c r="C4847" s="82"/>
    </row>
    <row r="4848" spans="1:3" x14ac:dyDescent="0.2">
      <c r="A4848" s="82"/>
      <c r="B4848" s="82"/>
      <c r="C4848" s="82"/>
    </row>
    <row r="4849" spans="1:3" x14ac:dyDescent="0.2">
      <c r="A4849" s="82"/>
      <c r="B4849" s="82"/>
      <c r="C4849" s="82"/>
    </row>
    <row r="4850" spans="1:3" x14ac:dyDescent="0.2">
      <c r="A4850" s="82"/>
      <c r="B4850" s="82"/>
      <c r="C4850" s="82"/>
    </row>
    <row r="4851" spans="1:3" x14ac:dyDescent="0.2">
      <c r="A4851" s="82"/>
      <c r="B4851" s="82"/>
      <c r="C4851" s="82"/>
    </row>
    <row r="4852" spans="1:3" x14ac:dyDescent="0.2">
      <c r="A4852" s="82"/>
      <c r="B4852" s="82"/>
      <c r="C4852" s="82"/>
    </row>
    <row r="4853" spans="1:3" x14ac:dyDescent="0.2">
      <c r="A4853" s="82"/>
      <c r="B4853" s="82"/>
      <c r="C4853" s="82"/>
    </row>
    <row r="4854" spans="1:3" x14ac:dyDescent="0.2">
      <c r="A4854" s="82"/>
      <c r="B4854" s="82"/>
      <c r="C4854" s="82"/>
    </row>
    <row r="4855" spans="1:3" x14ac:dyDescent="0.2">
      <c r="A4855" s="82"/>
      <c r="B4855" s="82"/>
      <c r="C4855" s="82"/>
    </row>
    <row r="4856" spans="1:3" x14ac:dyDescent="0.2">
      <c r="A4856" s="82"/>
      <c r="B4856" s="82"/>
      <c r="C4856" s="82"/>
    </row>
    <row r="4857" spans="1:3" x14ac:dyDescent="0.2">
      <c r="A4857" s="82"/>
      <c r="B4857" s="82"/>
      <c r="C4857" s="82"/>
    </row>
    <row r="4858" spans="1:3" x14ac:dyDescent="0.2">
      <c r="A4858" s="82"/>
      <c r="B4858" s="82"/>
      <c r="C4858" s="82"/>
    </row>
    <row r="4859" spans="1:3" x14ac:dyDescent="0.2">
      <c r="A4859" s="82"/>
      <c r="B4859" s="82"/>
      <c r="C4859" s="82"/>
    </row>
    <row r="4860" spans="1:3" x14ac:dyDescent="0.2">
      <c r="A4860" s="82"/>
      <c r="B4860" s="82"/>
      <c r="C4860" s="82"/>
    </row>
    <row r="4861" spans="1:3" x14ac:dyDescent="0.2">
      <c r="A4861" s="82"/>
      <c r="B4861" s="82"/>
      <c r="C4861" s="82"/>
    </row>
    <row r="4862" spans="1:3" x14ac:dyDescent="0.2">
      <c r="A4862" s="82"/>
      <c r="B4862" s="82"/>
      <c r="C4862" s="82"/>
    </row>
    <row r="4863" spans="1:3" x14ac:dyDescent="0.2">
      <c r="A4863" s="82"/>
      <c r="B4863" s="82"/>
      <c r="C4863" s="82"/>
    </row>
    <row r="4864" spans="1:3" x14ac:dyDescent="0.2">
      <c r="A4864" s="82"/>
      <c r="B4864" s="82"/>
      <c r="C4864" s="82"/>
    </row>
    <row r="4865" spans="1:3" x14ac:dyDescent="0.2">
      <c r="A4865" s="82"/>
      <c r="B4865" s="82"/>
      <c r="C4865" s="82"/>
    </row>
    <row r="4866" spans="1:3" x14ac:dyDescent="0.2">
      <c r="A4866" s="82"/>
      <c r="B4866" s="82"/>
      <c r="C4866" s="82"/>
    </row>
    <row r="4867" spans="1:3" x14ac:dyDescent="0.2">
      <c r="A4867" s="82"/>
      <c r="B4867" s="82"/>
      <c r="C4867" s="82"/>
    </row>
    <row r="4868" spans="1:3" x14ac:dyDescent="0.2">
      <c r="A4868" s="82"/>
      <c r="B4868" s="82"/>
      <c r="C4868" s="82"/>
    </row>
    <row r="4869" spans="1:3" x14ac:dyDescent="0.2">
      <c r="A4869" s="82"/>
      <c r="B4869" s="82"/>
      <c r="C4869" s="82"/>
    </row>
    <row r="4870" spans="1:3" x14ac:dyDescent="0.2">
      <c r="A4870" s="82"/>
      <c r="B4870" s="82"/>
      <c r="C4870" s="82"/>
    </row>
    <row r="4871" spans="1:3" x14ac:dyDescent="0.2">
      <c r="A4871" s="82"/>
      <c r="B4871" s="82"/>
      <c r="C4871" s="82"/>
    </row>
    <row r="4872" spans="1:3" x14ac:dyDescent="0.2">
      <c r="A4872" s="82"/>
      <c r="B4872" s="82"/>
      <c r="C4872" s="82"/>
    </row>
    <row r="4873" spans="1:3" x14ac:dyDescent="0.2">
      <c r="A4873" s="82"/>
      <c r="B4873" s="82"/>
      <c r="C4873" s="82"/>
    </row>
    <row r="4874" spans="1:3" x14ac:dyDescent="0.2">
      <c r="A4874" s="82"/>
      <c r="B4874" s="82"/>
      <c r="C4874" s="82"/>
    </row>
    <row r="4875" spans="1:3" x14ac:dyDescent="0.2">
      <c r="A4875" s="82"/>
      <c r="B4875" s="82"/>
      <c r="C4875" s="82"/>
    </row>
    <row r="4876" spans="1:3" x14ac:dyDescent="0.2">
      <c r="A4876" s="82"/>
      <c r="B4876" s="82"/>
      <c r="C4876" s="82"/>
    </row>
    <row r="4877" spans="1:3" x14ac:dyDescent="0.2">
      <c r="A4877" s="82"/>
      <c r="B4877" s="82"/>
      <c r="C4877" s="82"/>
    </row>
    <row r="4878" spans="1:3" x14ac:dyDescent="0.2">
      <c r="A4878" s="82"/>
      <c r="B4878" s="82"/>
      <c r="C4878" s="82"/>
    </row>
    <row r="4879" spans="1:3" x14ac:dyDescent="0.2">
      <c r="A4879" s="82"/>
      <c r="B4879" s="82"/>
      <c r="C4879" s="82"/>
    </row>
    <row r="4880" spans="1:3" x14ac:dyDescent="0.2">
      <c r="A4880" s="82"/>
      <c r="B4880" s="82"/>
      <c r="C4880" s="82"/>
    </row>
    <row r="4881" spans="1:3" x14ac:dyDescent="0.2">
      <c r="A4881" s="82"/>
      <c r="B4881" s="82"/>
      <c r="C4881" s="82"/>
    </row>
    <row r="4882" spans="1:3" x14ac:dyDescent="0.2">
      <c r="A4882" s="82"/>
      <c r="B4882" s="82"/>
      <c r="C4882" s="82"/>
    </row>
    <row r="4883" spans="1:3" x14ac:dyDescent="0.2">
      <c r="A4883" s="82"/>
      <c r="B4883" s="82"/>
      <c r="C4883" s="82"/>
    </row>
    <row r="4884" spans="1:3" x14ac:dyDescent="0.2">
      <c r="A4884" s="82"/>
      <c r="B4884" s="82"/>
      <c r="C4884" s="82"/>
    </row>
    <row r="4885" spans="1:3" x14ac:dyDescent="0.2">
      <c r="A4885" s="82"/>
      <c r="B4885" s="82"/>
      <c r="C4885" s="82"/>
    </row>
    <row r="4886" spans="1:3" x14ac:dyDescent="0.2">
      <c r="A4886" s="82"/>
      <c r="B4886" s="82"/>
      <c r="C4886" s="82"/>
    </row>
    <row r="4887" spans="1:3" x14ac:dyDescent="0.2">
      <c r="A4887" s="82"/>
      <c r="B4887" s="82"/>
      <c r="C4887" s="82"/>
    </row>
    <row r="4888" spans="1:3" x14ac:dyDescent="0.2">
      <c r="A4888" s="82"/>
      <c r="B4888" s="82"/>
      <c r="C4888" s="82"/>
    </row>
    <row r="4889" spans="1:3" x14ac:dyDescent="0.2">
      <c r="A4889" s="82"/>
      <c r="B4889" s="82"/>
      <c r="C4889" s="82"/>
    </row>
    <row r="4890" spans="1:3" x14ac:dyDescent="0.2">
      <c r="A4890" s="82"/>
      <c r="B4890" s="82"/>
      <c r="C4890" s="82"/>
    </row>
    <row r="4891" spans="1:3" x14ac:dyDescent="0.2">
      <c r="A4891" s="82"/>
      <c r="B4891" s="82"/>
      <c r="C4891" s="82"/>
    </row>
    <row r="4892" spans="1:3" x14ac:dyDescent="0.2">
      <c r="A4892" s="82"/>
      <c r="B4892" s="82"/>
      <c r="C4892" s="82"/>
    </row>
    <row r="4893" spans="1:3" x14ac:dyDescent="0.2">
      <c r="A4893" s="82"/>
      <c r="B4893" s="82"/>
      <c r="C4893" s="82"/>
    </row>
    <row r="4894" spans="1:3" x14ac:dyDescent="0.2">
      <c r="A4894" s="82"/>
      <c r="B4894" s="82"/>
      <c r="C4894" s="82"/>
    </row>
    <row r="4895" spans="1:3" x14ac:dyDescent="0.2">
      <c r="A4895" s="82"/>
      <c r="B4895" s="82"/>
      <c r="C4895" s="82"/>
    </row>
    <row r="4896" spans="1:3" x14ac:dyDescent="0.2">
      <c r="A4896" s="82"/>
      <c r="B4896" s="82"/>
      <c r="C4896" s="82"/>
    </row>
    <row r="4897" spans="1:3" x14ac:dyDescent="0.2">
      <c r="A4897" s="82"/>
      <c r="B4897" s="82"/>
      <c r="C4897" s="82"/>
    </row>
    <row r="4898" spans="1:3" x14ac:dyDescent="0.2">
      <c r="A4898" s="82"/>
      <c r="B4898" s="82"/>
      <c r="C4898" s="82"/>
    </row>
    <row r="4899" spans="1:3" x14ac:dyDescent="0.2">
      <c r="A4899" s="82"/>
      <c r="B4899" s="82"/>
      <c r="C4899" s="82"/>
    </row>
    <row r="4900" spans="1:3" x14ac:dyDescent="0.2">
      <c r="A4900" s="82"/>
      <c r="B4900" s="82"/>
      <c r="C4900" s="82"/>
    </row>
    <row r="4901" spans="1:3" x14ac:dyDescent="0.2">
      <c r="A4901" s="82"/>
      <c r="B4901" s="82"/>
      <c r="C4901" s="82"/>
    </row>
    <row r="4902" spans="1:3" x14ac:dyDescent="0.2">
      <c r="A4902" s="82"/>
      <c r="B4902" s="82"/>
      <c r="C4902" s="82"/>
    </row>
    <row r="4903" spans="1:3" x14ac:dyDescent="0.2">
      <c r="A4903" s="82"/>
      <c r="B4903" s="82"/>
      <c r="C4903" s="82"/>
    </row>
    <row r="4904" spans="1:3" x14ac:dyDescent="0.2">
      <c r="A4904" s="82"/>
      <c r="B4904" s="82"/>
      <c r="C4904" s="82"/>
    </row>
    <row r="4905" spans="1:3" x14ac:dyDescent="0.2">
      <c r="A4905" s="82"/>
      <c r="B4905" s="82"/>
      <c r="C4905" s="82"/>
    </row>
    <row r="4906" spans="1:3" x14ac:dyDescent="0.2">
      <c r="A4906" s="82"/>
      <c r="B4906" s="82"/>
      <c r="C4906" s="82"/>
    </row>
    <row r="4907" spans="1:3" x14ac:dyDescent="0.2">
      <c r="A4907" s="82"/>
      <c r="B4907" s="82"/>
      <c r="C4907" s="82"/>
    </row>
    <row r="4908" spans="1:3" x14ac:dyDescent="0.2">
      <c r="A4908" s="82"/>
      <c r="B4908" s="82"/>
      <c r="C4908" s="82"/>
    </row>
    <row r="4909" spans="1:3" x14ac:dyDescent="0.2">
      <c r="A4909" s="82"/>
      <c r="B4909" s="82"/>
      <c r="C4909" s="82"/>
    </row>
    <row r="4910" spans="1:3" x14ac:dyDescent="0.2">
      <c r="A4910" s="82"/>
      <c r="B4910" s="82"/>
      <c r="C4910" s="82"/>
    </row>
    <row r="4911" spans="1:3" x14ac:dyDescent="0.2">
      <c r="A4911" s="82"/>
      <c r="B4911" s="82"/>
      <c r="C4911" s="82"/>
    </row>
    <row r="4912" spans="1:3" x14ac:dyDescent="0.2">
      <c r="A4912" s="82"/>
      <c r="B4912" s="82"/>
      <c r="C4912" s="82"/>
    </row>
    <row r="4913" spans="1:3" x14ac:dyDescent="0.2">
      <c r="A4913" s="82"/>
      <c r="B4913" s="82"/>
      <c r="C4913" s="82"/>
    </row>
    <row r="4914" spans="1:3" x14ac:dyDescent="0.2">
      <c r="A4914" s="82"/>
      <c r="B4914" s="82"/>
      <c r="C4914" s="82"/>
    </row>
    <row r="4915" spans="1:3" x14ac:dyDescent="0.2">
      <c r="A4915" s="82"/>
      <c r="B4915" s="82"/>
      <c r="C4915" s="82"/>
    </row>
    <row r="4916" spans="1:3" x14ac:dyDescent="0.2">
      <c r="A4916" s="82"/>
      <c r="B4916" s="82"/>
      <c r="C4916" s="82"/>
    </row>
    <row r="4917" spans="1:3" x14ac:dyDescent="0.2">
      <c r="A4917" s="82"/>
      <c r="B4917" s="82"/>
      <c r="C4917" s="82"/>
    </row>
    <row r="4918" spans="1:3" x14ac:dyDescent="0.2">
      <c r="A4918" s="82"/>
      <c r="B4918" s="82"/>
      <c r="C4918" s="82"/>
    </row>
    <row r="4919" spans="1:3" x14ac:dyDescent="0.2">
      <c r="A4919" s="82"/>
      <c r="B4919" s="82"/>
      <c r="C4919" s="82"/>
    </row>
    <row r="4920" spans="1:3" x14ac:dyDescent="0.2">
      <c r="A4920" s="82"/>
      <c r="B4920" s="82"/>
      <c r="C4920" s="82"/>
    </row>
    <row r="4921" spans="1:3" x14ac:dyDescent="0.2">
      <c r="A4921" s="82"/>
      <c r="B4921" s="82"/>
      <c r="C4921" s="82"/>
    </row>
    <row r="4922" spans="1:3" x14ac:dyDescent="0.2">
      <c r="A4922" s="82"/>
      <c r="B4922" s="82"/>
      <c r="C4922" s="82"/>
    </row>
    <row r="4923" spans="1:3" x14ac:dyDescent="0.2">
      <c r="A4923" s="82"/>
      <c r="B4923" s="82"/>
      <c r="C4923" s="82"/>
    </row>
    <row r="4924" spans="1:3" x14ac:dyDescent="0.2">
      <c r="A4924" s="82"/>
      <c r="B4924" s="82"/>
      <c r="C4924" s="82"/>
    </row>
    <row r="4925" spans="1:3" x14ac:dyDescent="0.2">
      <c r="A4925" s="82"/>
      <c r="B4925" s="82"/>
      <c r="C4925" s="82"/>
    </row>
    <row r="4926" spans="1:3" x14ac:dyDescent="0.2">
      <c r="A4926" s="82"/>
      <c r="B4926" s="82"/>
      <c r="C4926" s="82"/>
    </row>
    <row r="4927" spans="1:3" x14ac:dyDescent="0.2">
      <c r="A4927" s="82"/>
      <c r="B4927" s="82"/>
      <c r="C4927" s="82"/>
    </row>
    <row r="4928" spans="1:3" x14ac:dyDescent="0.2">
      <c r="A4928" s="82"/>
      <c r="B4928" s="82"/>
      <c r="C4928" s="82"/>
    </row>
    <row r="4929" spans="1:3" x14ac:dyDescent="0.2">
      <c r="A4929" s="82"/>
      <c r="B4929" s="82"/>
      <c r="C4929" s="82"/>
    </row>
    <row r="4930" spans="1:3" x14ac:dyDescent="0.2">
      <c r="A4930" s="82"/>
      <c r="B4930" s="82"/>
      <c r="C4930" s="82"/>
    </row>
    <row r="4931" spans="1:3" x14ac:dyDescent="0.2">
      <c r="A4931" s="82"/>
      <c r="B4931" s="82"/>
      <c r="C4931" s="82"/>
    </row>
    <row r="4932" spans="1:3" x14ac:dyDescent="0.2">
      <c r="A4932" s="82"/>
      <c r="B4932" s="82"/>
      <c r="C4932" s="82"/>
    </row>
    <row r="4933" spans="1:3" x14ac:dyDescent="0.2">
      <c r="A4933" s="82"/>
      <c r="B4933" s="82"/>
      <c r="C4933" s="82"/>
    </row>
    <row r="4934" spans="1:3" x14ac:dyDescent="0.2">
      <c r="A4934" s="82"/>
      <c r="B4934" s="82"/>
      <c r="C4934" s="82"/>
    </row>
    <row r="4935" spans="1:3" x14ac:dyDescent="0.2">
      <c r="A4935" s="82"/>
      <c r="B4935" s="82"/>
      <c r="C4935" s="82"/>
    </row>
    <row r="4936" spans="1:3" x14ac:dyDescent="0.2">
      <c r="A4936" s="82"/>
      <c r="B4936" s="82"/>
      <c r="C4936" s="82"/>
    </row>
    <row r="4937" spans="1:3" x14ac:dyDescent="0.2">
      <c r="A4937" s="82"/>
      <c r="B4937" s="82"/>
      <c r="C4937" s="82"/>
    </row>
    <row r="4938" spans="1:3" x14ac:dyDescent="0.2">
      <c r="A4938" s="82"/>
      <c r="B4938" s="82"/>
      <c r="C4938" s="82"/>
    </row>
    <row r="4939" spans="1:3" x14ac:dyDescent="0.2">
      <c r="A4939" s="82"/>
      <c r="B4939" s="82"/>
      <c r="C4939" s="82"/>
    </row>
    <row r="4940" spans="1:3" x14ac:dyDescent="0.2">
      <c r="A4940" s="82"/>
      <c r="B4940" s="82"/>
      <c r="C4940" s="82"/>
    </row>
    <row r="4941" spans="1:3" x14ac:dyDescent="0.2">
      <c r="A4941" s="82"/>
      <c r="B4941" s="82"/>
      <c r="C4941" s="82"/>
    </row>
    <row r="4942" spans="1:3" x14ac:dyDescent="0.2">
      <c r="A4942" s="82"/>
      <c r="B4942" s="82"/>
      <c r="C4942" s="82"/>
    </row>
    <row r="4943" spans="1:3" x14ac:dyDescent="0.2">
      <c r="A4943" s="82"/>
      <c r="B4943" s="82"/>
      <c r="C4943" s="82"/>
    </row>
    <row r="4944" spans="1:3" x14ac:dyDescent="0.2">
      <c r="A4944" s="82"/>
      <c r="B4944" s="82"/>
      <c r="C4944" s="82"/>
    </row>
    <row r="4945" spans="1:3" x14ac:dyDescent="0.2">
      <c r="A4945" s="82"/>
      <c r="B4945" s="82"/>
      <c r="C4945" s="82"/>
    </row>
    <row r="4946" spans="1:3" x14ac:dyDescent="0.2">
      <c r="A4946" s="82"/>
      <c r="B4946" s="82"/>
      <c r="C4946" s="82"/>
    </row>
    <row r="4947" spans="1:3" x14ac:dyDescent="0.2">
      <c r="A4947" s="82"/>
      <c r="B4947" s="82"/>
      <c r="C4947" s="82"/>
    </row>
    <row r="4948" spans="1:3" x14ac:dyDescent="0.2">
      <c r="A4948" s="82"/>
      <c r="B4948" s="82"/>
      <c r="C4948" s="82"/>
    </row>
    <row r="4949" spans="1:3" x14ac:dyDescent="0.2">
      <c r="A4949" s="82"/>
      <c r="B4949" s="82"/>
      <c r="C4949" s="82"/>
    </row>
    <row r="4950" spans="1:3" x14ac:dyDescent="0.2">
      <c r="A4950" s="82"/>
      <c r="B4950" s="82"/>
      <c r="C4950" s="82"/>
    </row>
    <row r="4951" spans="1:3" x14ac:dyDescent="0.2">
      <c r="A4951" s="82"/>
      <c r="B4951" s="82"/>
      <c r="C4951" s="82"/>
    </row>
    <row r="4952" spans="1:3" x14ac:dyDescent="0.2">
      <c r="A4952" s="82"/>
      <c r="B4952" s="82"/>
      <c r="C4952" s="82"/>
    </row>
    <row r="4953" spans="1:3" x14ac:dyDescent="0.2">
      <c r="A4953" s="82"/>
      <c r="B4953" s="82"/>
      <c r="C4953" s="82"/>
    </row>
    <row r="4954" spans="1:3" x14ac:dyDescent="0.2">
      <c r="A4954" s="82"/>
      <c r="B4954" s="82"/>
      <c r="C4954" s="82"/>
    </row>
    <row r="4955" spans="1:3" x14ac:dyDescent="0.2">
      <c r="A4955" s="82"/>
      <c r="B4955" s="82"/>
      <c r="C4955" s="82"/>
    </row>
    <row r="4956" spans="1:3" x14ac:dyDescent="0.2">
      <c r="A4956" s="82"/>
      <c r="B4956" s="82"/>
      <c r="C4956" s="82"/>
    </row>
    <row r="4957" spans="1:3" x14ac:dyDescent="0.2">
      <c r="A4957" s="82"/>
      <c r="B4957" s="82"/>
      <c r="C4957" s="82"/>
    </row>
    <row r="4958" spans="1:3" x14ac:dyDescent="0.2">
      <c r="A4958" s="82"/>
      <c r="B4958" s="82"/>
      <c r="C4958" s="82"/>
    </row>
    <row r="4959" spans="1:3" x14ac:dyDescent="0.2">
      <c r="A4959" s="82"/>
      <c r="B4959" s="82"/>
      <c r="C4959" s="82"/>
    </row>
    <row r="4960" spans="1:3" x14ac:dyDescent="0.2">
      <c r="A4960" s="82"/>
      <c r="B4960" s="82"/>
      <c r="C4960" s="82"/>
    </row>
    <row r="4961" spans="1:3" x14ac:dyDescent="0.2">
      <c r="A4961" s="82"/>
      <c r="B4961" s="82"/>
      <c r="C4961" s="82"/>
    </row>
    <row r="4962" spans="1:3" x14ac:dyDescent="0.2">
      <c r="A4962" s="82"/>
      <c r="B4962" s="82"/>
      <c r="C4962" s="82"/>
    </row>
    <row r="4963" spans="1:3" x14ac:dyDescent="0.2">
      <c r="A4963" s="82"/>
      <c r="B4963" s="82"/>
      <c r="C4963" s="82"/>
    </row>
    <row r="4964" spans="1:3" x14ac:dyDescent="0.2">
      <c r="A4964" s="82"/>
      <c r="B4964" s="82"/>
      <c r="C4964" s="82"/>
    </row>
    <row r="4965" spans="1:3" x14ac:dyDescent="0.2">
      <c r="A4965" s="82"/>
      <c r="B4965" s="82"/>
      <c r="C4965" s="82"/>
    </row>
    <row r="4966" spans="1:3" x14ac:dyDescent="0.2">
      <c r="A4966" s="82"/>
      <c r="B4966" s="82"/>
      <c r="C4966" s="82"/>
    </row>
    <row r="4967" spans="1:3" x14ac:dyDescent="0.2">
      <c r="A4967" s="82"/>
      <c r="B4967" s="82"/>
      <c r="C4967" s="82"/>
    </row>
    <row r="4968" spans="1:3" x14ac:dyDescent="0.2">
      <c r="A4968" s="82"/>
      <c r="B4968" s="82"/>
      <c r="C4968" s="82"/>
    </row>
    <row r="4969" spans="1:3" x14ac:dyDescent="0.2">
      <c r="A4969" s="82"/>
      <c r="B4969" s="82"/>
      <c r="C4969" s="82"/>
    </row>
    <row r="4970" spans="1:3" x14ac:dyDescent="0.2">
      <c r="A4970" s="82"/>
      <c r="B4970" s="82"/>
      <c r="C4970" s="82"/>
    </row>
    <row r="4971" spans="1:3" x14ac:dyDescent="0.2">
      <c r="A4971" s="82"/>
      <c r="B4971" s="82"/>
      <c r="C4971" s="82"/>
    </row>
    <row r="4972" spans="1:3" x14ac:dyDescent="0.2">
      <c r="A4972" s="82"/>
      <c r="B4972" s="82"/>
      <c r="C4972" s="82"/>
    </row>
    <row r="4973" spans="1:3" x14ac:dyDescent="0.2">
      <c r="A4973" s="82"/>
      <c r="B4973" s="82"/>
      <c r="C4973" s="82"/>
    </row>
    <row r="4974" spans="1:3" x14ac:dyDescent="0.2">
      <c r="A4974" s="82"/>
      <c r="B4974" s="82"/>
      <c r="C4974" s="82"/>
    </row>
    <row r="4975" spans="1:3" x14ac:dyDescent="0.2">
      <c r="A4975" s="82"/>
      <c r="B4975" s="82"/>
      <c r="C4975" s="82"/>
    </row>
    <row r="4976" spans="1:3" x14ac:dyDescent="0.2">
      <c r="A4976" s="82"/>
      <c r="B4976" s="82"/>
      <c r="C4976" s="82"/>
    </row>
    <row r="4977" spans="1:3" x14ac:dyDescent="0.2">
      <c r="A4977" s="82"/>
      <c r="B4977" s="82"/>
      <c r="C4977" s="82"/>
    </row>
    <row r="4978" spans="1:3" x14ac:dyDescent="0.2">
      <c r="A4978" s="82"/>
      <c r="B4978" s="82"/>
      <c r="C4978" s="82"/>
    </row>
    <row r="4979" spans="1:3" x14ac:dyDescent="0.2">
      <c r="A4979" s="82"/>
      <c r="B4979" s="82"/>
      <c r="C4979" s="82"/>
    </row>
    <row r="4980" spans="1:3" x14ac:dyDescent="0.2">
      <c r="A4980" s="82"/>
      <c r="B4980" s="82"/>
      <c r="C4980" s="82"/>
    </row>
    <row r="4981" spans="1:3" x14ac:dyDescent="0.2">
      <c r="A4981" s="82"/>
      <c r="B4981" s="82"/>
      <c r="C4981" s="82"/>
    </row>
    <row r="4982" spans="1:3" x14ac:dyDescent="0.2">
      <c r="A4982" s="82"/>
      <c r="B4982" s="82"/>
      <c r="C4982" s="82"/>
    </row>
    <row r="4983" spans="1:3" x14ac:dyDescent="0.2">
      <c r="A4983" s="82"/>
      <c r="B4983" s="82"/>
      <c r="C4983" s="82"/>
    </row>
    <row r="4984" spans="1:3" x14ac:dyDescent="0.2">
      <c r="A4984" s="82"/>
      <c r="B4984" s="82"/>
      <c r="C4984" s="82"/>
    </row>
    <row r="4985" spans="1:3" x14ac:dyDescent="0.2">
      <c r="A4985" s="82"/>
      <c r="B4985" s="82"/>
      <c r="C4985" s="82"/>
    </row>
    <row r="4986" spans="1:3" x14ac:dyDescent="0.2">
      <c r="A4986" s="82"/>
      <c r="B4986" s="82"/>
      <c r="C4986" s="82"/>
    </row>
    <row r="4987" spans="1:3" x14ac:dyDescent="0.2">
      <c r="A4987" s="82"/>
      <c r="B4987" s="82"/>
      <c r="C4987" s="82"/>
    </row>
    <row r="4988" spans="1:3" x14ac:dyDescent="0.2">
      <c r="A4988" s="82"/>
      <c r="B4988" s="82"/>
      <c r="C4988" s="82"/>
    </row>
    <row r="4989" spans="1:3" x14ac:dyDescent="0.2">
      <c r="A4989" s="82"/>
      <c r="B4989" s="82"/>
      <c r="C4989" s="82"/>
    </row>
    <row r="4990" spans="1:3" x14ac:dyDescent="0.2">
      <c r="A4990" s="82"/>
      <c r="B4990" s="82"/>
      <c r="C4990" s="82"/>
    </row>
    <row r="4991" spans="1:3" x14ac:dyDescent="0.2">
      <c r="A4991" s="82"/>
      <c r="B4991" s="82"/>
      <c r="C4991" s="82"/>
    </row>
    <row r="4992" spans="1:3" x14ac:dyDescent="0.2">
      <c r="A4992" s="82"/>
      <c r="B4992" s="82"/>
      <c r="C4992" s="82"/>
    </row>
    <row r="4993" spans="1:3" x14ac:dyDescent="0.2">
      <c r="A4993" s="82"/>
      <c r="B4993" s="82"/>
      <c r="C4993" s="82"/>
    </row>
    <row r="4994" spans="1:3" x14ac:dyDescent="0.2">
      <c r="A4994" s="82"/>
      <c r="B4994" s="82"/>
      <c r="C4994" s="82"/>
    </row>
    <row r="4995" spans="1:3" x14ac:dyDescent="0.2">
      <c r="A4995" s="82"/>
      <c r="B4995" s="82"/>
      <c r="C4995" s="82"/>
    </row>
    <row r="4996" spans="1:3" x14ac:dyDescent="0.2">
      <c r="A4996" s="82"/>
      <c r="B4996" s="82"/>
      <c r="C4996" s="82"/>
    </row>
    <row r="4997" spans="1:3" x14ac:dyDescent="0.2">
      <c r="A4997" s="82"/>
      <c r="B4997" s="82"/>
      <c r="C4997" s="82"/>
    </row>
    <row r="4998" spans="1:3" x14ac:dyDescent="0.2">
      <c r="A4998" s="82"/>
      <c r="B4998" s="82"/>
      <c r="C4998" s="82"/>
    </row>
    <row r="4999" spans="1:3" x14ac:dyDescent="0.2">
      <c r="A4999" s="82"/>
      <c r="B4999" s="82"/>
      <c r="C4999" s="82"/>
    </row>
    <row r="5000" spans="1:3" x14ac:dyDescent="0.2">
      <c r="A5000" s="82"/>
      <c r="B5000" s="82"/>
      <c r="C5000" s="82"/>
    </row>
    <row r="5001" spans="1:3" x14ac:dyDescent="0.2">
      <c r="A5001" s="82"/>
      <c r="B5001" s="82"/>
      <c r="C5001" s="82"/>
    </row>
    <row r="5002" spans="1:3" x14ac:dyDescent="0.2">
      <c r="A5002" s="82"/>
      <c r="B5002" s="82"/>
      <c r="C5002" s="82"/>
    </row>
    <row r="5003" spans="1:3" x14ac:dyDescent="0.2">
      <c r="A5003" s="82"/>
      <c r="B5003" s="82"/>
      <c r="C5003" s="82"/>
    </row>
    <row r="5004" spans="1:3" x14ac:dyDescent="0.2">
      <c r="A5004" s="82"/>
      <c r="B5004" s="82"/>
      <c r="C5004" s="82"/>
    </row>
    <row r="5005" spans="1:3" x14ac:dyDescent="0.2">
      <c r="A5005" s="82"/>
      <c r="B5005" s="82"/>
      <c r="C5005" s="82"/>
    </row>
    <row r="5006" spans="1:3" x14ac:dyDescent="0.2">
      <c r="A5006" s="82"/>
      <c r="B5006" s="82"/>
      <c r="C5006" s="82"/>
    </row>
    <row r="5007" spans="1:3" x14ac:dyDescent="0.2">
      <c r="A5007" s="82"/>
      <c r="B5007" s="82"/>
      <c r="C5007" s="82"/>
    </row>
    <row r="5008" spans="1:3" x14ac:dyDescent="0.2">
      <c r="A5008" s="82"/>
      <c r="B5008" s="82"/>
      <c r="C5008" s="82"/>
    </row>
    <row r="5009" spans="1:3" x14ac:dyDescent="0.2">
      <c r="A5009" s="82"/>
      <c r="B5009" s="82"/>
      <c r="C5009" s="82"/>
    </row>
    <row r="5010" spans="1:3" x14ac:dyDescent="0.2">
      <c r="A5010" s="82"/>
      <c r="B5010" s="82"/>
      <c r="C5010" s="82"/>
    </row>
    <row r="5011" spans="1:3" x14ac:dyDescent="0.2">
      <c r="A5011" s="82"/>
      <c r="B5011" s="82"/>
      <c r="C5011" s="82"/>
    </row>
    <row r="5012" spans="1:3" x14ac:dyDescent="0.2">
      <c r="A5012" s="82"/>
      <c r="B5012" s="82"/>
      <c r="C5012" s="82"/>
    </row>
    <row r="5013" spans="1:3" x14ac:dyDescent="0.2">
      <c r="A5013" s="82"/>
      <c r="B5013" s="82"/>
      <c r="C5013" s="82"/>
    </row>
    <row r="5014" spans="1:3" x14ac:dyDescent="0.2">
      <c r="A5014" s="82"/>
      <c r="B5014" s="82"/>
      <c r="C5014" s="82"/>
    </row>
    <row r="5015" spans="1:3" x14ac:dyDescent="0.2">
      <c r="A5015" s="82"/>
      <c r="B5015" s="82"/>
      <c r="C5015" s="82"/>
    </row>
    <row r="5016" spans="1:3" x14ac:dyDescent="0.2">
      <c r="A5016" s="82"/>
      <c r="B5016" s="82"/>
      <c r="C5016" s="82"/>
    </row>
    <row r="5017" spans="1:3" x14ac:dyDescent="0.2">
      <c r="A5017" s="82"/>
      <c r="B5017" s="82"/>
      <c r="C5017" s="82"/>
    </row>
    <row r="5018" spans="1:3" x14ac:dyDescent="0.2">
      <c r="A5018" s="82"/>
      <c r="B5018" s="82"/>
      <c r="C5018" s="82"/>
    </row>
    <row r="5019" spans="1:3" x14ac:dyDescent="0.2">
      <c r="A5019" s="82"/>
      <c r="B5019" s="82"/>
      <c r="C5019" s="82"/>
    </row>
    <row r="5020" spans="1:3" x14ac:dyDescent="0.2">
      <c r="A5020" s="82"/>
      <c r="B5020" s="82"/>
      <c r="C5020" s="82"/>
    </row>
    <row r="5021" spans="1:3" x14ac:dyDescent="0.2">
      <c r="A5021" s="82"/>
      <c r="B5021" s="82"/>
      <c r="C5021" s="82"/>
    </row>
    <row r="5022" spans="1:3" x14ac:dyDescent="0.2">
      <c r="A5022" s="82"/>
      <c r="B5022" s="82"/>
      <c r="C5022" s="82"/>
    </row>
    <row r="5023" spans="1:3" x14ac:dyDescent="0.2">
      <c r="A5023" s="82"/>
      <c r="B5023" s="82"/>
      <c r="C5023" s="82"/>
    </row>
    <row r="5024" spans="1:3" x14ac:dyDescent="0.2">
      <c r="A5024" s="82"/>
      <c r="B5024" s="82"/>
      <c r="C5024" s="82"/>
    </row>
    <row r="5025" spans="1:3" x14ac:dyDescent="0.2">
      <c r="A5025" s="82"/>
      <c r="B5025" s="82"/>
      <c r="C5025" s="82"/>
    </row>
    <row r="5026" spans="1:3" x14ac:dyDescent="0.2">
      <c r="A5026" s="82"/>
      <c r="B5026" s="82"/>
      <c r="C5026" s="82"/>
    </row>
    <row r="5027" spans="1:3" x14ac:dyDescent="0.2">
      <c r="A5027" s="82"/>
      <c r="B5027" s="82"/>
      <c r="C5027" s="82"/>
    </row>
    <row r="5028" spans="1:3" x14ac:dyDescent="0.2">
      <c r="A5028" s="82"/>
      <c r="B5028" s="82"/>
      <c r="C5028" s="82"/>
    </row>
    <row r="5029" spans="1:3" x14ac:dyDescent="0.2">
      <c r="A5029" s="82"/>
      <c r="B5029" s="82"/>
      <c r="C5029" s="82"/>
    </row>
    <row r="5030" spans="1:3" x14ac:dyDescent="0.2">
      <c r="A5030" s="82"/>
      <c r="B5030" s="82"/>
      <c r="C5030" s="82"/>
    </row>
    <row r="5031" spans="1:3" x14ac:dyDescent="0.2">
      <c r="A5031" s="82"/>
      <c r="B5031" s="82"/>
      <c r="C5031" s="82"/>
    </row>
    <row r="5032" spans="1:3" x14ac:dyDescent="0.2">
      <c r="A5032" s="82"/>
      <c r="B5032" s="82"/>
      <c r="C5032" s="82"/>
    </row>
    <row r="5033" spans="1:3" x14ac:dyDescent="0.2">
      <c r="A5033" s="82"/>
      <c r="B5033" s="82"/>
      <c r="C5033" s="82"/>
    </row>
    <row r="5034" spans="1:3" x14ac:dyDescent="0.2">
      <c r="A5034" s="82"/>
      <c r="B5034" s="82"/>
      <c r="C5034" s="82"/>
    </row>
    <row r="5035" spans="1:3" x14ac:dyDescent="0.2">
      <c r="A5035" s="82"/>
      <c r="B5035" s="82"/>
      <c r="C5035" s="82"/>
    </row>
    <row r="5036" spans="1:3" x14ac:dyDescent="0.2">
      <c r="A5036" s="82"/>
      <c r="B5036" s="82"/>
      <c r="C5036" s="82"/>
    </row>
    <row r="5037" spans="1:3" x14ac:dyDescent="0.2">
      <c r="A5037" s="82"/>
      <c r="B5037" s="82"/>
      <c r="C5037" s="82"/>
    </row>
    <row r="5038" spans="1:3" x14ac:dyDescent="0.2">
      <c r="A5038" s="82"/>
      <c r="B5038" s="82"/>
      <c r="C5038" s="82"/>
    </row>
    <row r="5039" spans="1:3" x14ac:dyDescent="0.2">
      <c r="A5039" s="82"/>
      <c r="B5039" s="82"/>
      <c r="C5039" s="82"/>
    </row>
    <row r="5040" spans="1:3" x14ac:dyDescent="0.2">
      <c r="A5040" s="82"/>
      <c r="B5040" s="82"/>
      <c r="C5040" s="82"/>
    </row>
    <row r="5041" spans="1:3" x14ac:dyDescent="0.2">
      <c r="A5041" s="82"/>
      <c r="B5041" s="82"/>
      <c r="C5041" s="82"/>
    </row>
    <row r="5042" spans="1:3" x14ac:dyDescent="0.2">
      <c r="A5042" s="82"/>
      <c r="B5042" s="82"/>
      <c r="C5042" s="82"/>
    </row>
    <row r="5043" spans="1:3" x14ac:dyDescent="0.2">
      <c r="A5043" s="82"/>
      <c r="B5043" s="82"/>
      <c r="C5043" s="82"/>
    </row>
    <row r="5044" spans="1:3" x14ac:dyDescent="0.2">
      <c r="A5044" s="82"/>
      <c r="B5044" s="82"/>
      <c r="C5044" s="82"/>
    </row>
    <row r="5045" spans="1:3" x14ac:dyDescent="0.2">
      <c r="A5045" s="82"/>
      <c r="B5045" s="82"/>
      <c r="C5045" s="82"/>
    </row>
    <row r="5046" spans="1:3" x14ac:dyDescent="0.2">
      <c r="A5046" s="82"/>
      <c r="B5046" s="82"/>
      <c r="C5046" s="82"/>
    </row>
    <row r="5047" spans="1:3" x14ac:dyDescent="0.2">
      <c r="A5047" s="82"/>
      <c r="B5047" s="82"/>
      <c r="C5047" s="82"/>
    </row>
    <row r="5048" spans="1:3" x14ac:dyDescent="0.2">
      <c r="A5048" s="82"/>
      <c r="B5048" s="82"/>
      <c r="C5048" s="82"/>
    </row>
    <row r="5049" spans="1:3" x14ac:dyDescent="0.2">
      <c r="A5049" s="82"/>
      <c r="B5049" s="82"/>
      <c r="C5049" s="82"/>
    </row>
    <row r="5050" spans="1:3" x14ac:dyDescent="0.2">
      <c r="A5050" s="82"/>
      <c r="B5050" s="82"/>
      <c r="C5050" s="82"/>
    </row>
    <row r="5051" spans="1:3" x14ac:dyDescent="0.2">
      <c r="A5051" s="82"/>
      <c r="B5051" s="82"/>
      <c r="C5051" s="82"/>
    </row>
    <row r="5052" spans="1:3" x14ac:dyDescent="0.2">
      <c r="A5052" s="82"/>
      <c r="B5052" s="82"/>
      <c r="C5052" s="82"/>
    </row>
    <row r="5053" spans="1:3" x14ac:dyDescent="0.2">
      <c r="A5053" s="82"/>
      <c r="B5053" s="82"/>
      <c r="C5053" s="82"/>
    </row>
    <row r="5054" spans="1:3" x14ac:dyDescent="0.2">
      <c r="A5054" s="82"/>
      <c r="B5054" s="82"/>
      <c r="C5054" s="82"/>
    </row>
    <row r="5055" spans="1:3" x14ac:dyDescent="0.2">
      <c r="A5055" s="82"/>
      <c r="B5055" s="82"/>
      <c r="C5055" s="82"/>
    </row>
    <row r="5056" spans="1:3" x14ac:dyDescent="0.2">
      <c r="A5056" s="82"/>
      <c r="B5056" s="82"/>
      <c r="C5056" s="82"/>
    </row>
    <row r="5057" spans="1:3" x14ac:dyDescent="0.2">
      <c r="A5057" s="82"/>
      <c r="B5057" s="82"/>
      <c r="C5057" s="82"/>
    </row>
    <row r="5058" spans="1:3" x14ac:dyDescent="0.2">
      <c r="A5058" s="82"/>
      <c r="B5058" s="82"/>
      <c r="C5058" s="82"/>
    </row>
    <row r="5059" spans="1:3" x14ac:dyDescent="0.2">
      <c r="A5059" s="82"/>
      <c r="B5059" s="82"/>
      <c r="C5059" s="82"/>
    </row>
    <row r="5060" spans="1:3" x14ac:dyDescent="0.2">
      <c r="A5060" s="82"/>
      <c r="B5060" s="82"/>
      <c r="C5060" s="82"/>
    </row>
    <row r="5061" spans="1:3" x14ac:dyDescent="0.2">
      <c r="A5061" s="82"/>
      <c r="B5061" s="82"/>
      <c r="C5061" s="82"/>
    </row>
    <row r="5062" spans="1:3" x14ac:dyDescent="0.2">
      <c r="A5062" s="82"/>
      <c r="B5062" s="82"/>
      <c r="C5062" s="82"/>
    </row>
    <row r="5063" spans="1:3" x14ac:dyDescent="0.2">
      <c r="A5063" s="82"/>
      <c r="B5063" s="82"/>
      <c r="C5063" s="82"/>
    </row>
    <row r="5064" spans="1:3" x14ac:dyDescent="0.2">
      <c r="A5064" s="82"/>
      <c r="B5064" s="82"/>
      <c r="C5064" s="82"/>
    </row>
    <row r="5065" spans="1:3" x14ac:dyDescent="0.2">
      <c r="A5065" s="82"/>
      <c r="B5065" s="82"/>
      <c r="C5065" s="82"/>
    </row>
    <row r="5066" spans="1:3" x14ac:dyDescent="0.2">
      <c r="A5066" s="82"/>
      <c r="B5066" s="82"/>
      <c r="C5066" s="82"/>
    </row>
    <row r="5067" spans="1:3" x14ac:dyDescent="0.2">
      <c r="A5067" s="82"/>
      <c r="B5067" s="82"/>
      <c r="C5067" s="82"/>
    </row>
    <row r="5068" spans="1:3" x14ac:dyDescent="0.2">
      <c r="A5068" s="82"/>
      <c r="B5068" s="82"/>
      <c r="C5068" s="82"/>
    </row>
    <row r="5069" spans="1:3" x14ac:dyDescent="0.2">
      <c r="A5069" s="82"/>
      <c r="B5069" s="82"/>
      <c r="C5069" s="82"/>
    </row>
    <row r="5070" spans="1:3" x14ac:dyDescent="0.2">
      <c r="A5070" s="82"/>
      <c r="B5070" s="82"/>
      <c r="C5070" s="82"/>
    </row>
    <row r="5071" spans="1:3" x14ac:dyDescent="0.2">
      <c r="A5071" s="82"/>
      <c r="B5071" s="82"/>
      <c r="C5071" s="82"/>
    </row>
    <row r="5072" spans="1:3" x14ac:dyDescent="0.2">
      <c r="A5072" s="82"/>
      <c r="B5072" s="82"/>
      <c r="C5072" s="82"/>
    </row>
    <row r="5073" spans="1:3" x14ac:dyDescent="0.2">
      <c r="A5073" s="82"/>
      <c r="B5073" s="82"/>
      <c r="C5073" s="82"/>
    </row>
    <row r="5074" spans="1:3" x14ac:dyDescent="0.2">
      <c r="A5074" s="82"/>
      <c r="B5074" s="82"/>
      <c r="C5074" s="82"/>
    </row>
    <row r="5075" spans="1:3" x14ac:dyDescent="0.2">
      <c r="A5075" s="82"/>
      <c r="B5075" s="82"/>
      <c r="C5075" s="82"/>
    </row>
    <row r="5076" spans="1:3" x14ac:dyDescent="0.2">
      <c r="A5076" s="82"/>
      <c r="B5076" s="82"/>
      <c r="C5076" s="82"/>
    </row>
    <row r="5077" spans="1:3" x14ac:dyDescent="0.2">
      <c r="A5077" s="82"/>
      <c r="B5077" s="82"/>
      <c r="C5077" s="82"/>
    </row>
    <row r="5078" spans="1:3" x14ac:dyDescent="0.2">
      <c r="A5078" s="82"/>
      <c r="B5078" s="82"/>
      <c r="C5078" s="82"/>
    </row>
    <row r="5079" spans="1:3" x14ac:dyDescent="0.2">
      <c r="A5079" s="82"/>
      <c r="B5079" s="82"/>
      <c r="C5079" s="82"/>
    </row>
    <row r="5080" spans="1:3" x14ac:dyDescent="0.2">
      <c r="A5080" s="82"/>
      <c r="B5080" s="82"/>
      <c r="C5080" s="82"/>
    </row>
    <row r="5081" spans="1:3" x14ac:dyDescent="0.2">
      <c r="A5081" s="82"/>
      <c r="B5081" s="82"/>
      <c r="C5081" s="82"/>
    </row>
    <row r="5082" spans="1:3" x14ac:dyDescent="0.2">
      <c r="A5082" s="82"/>
      <c r="B5082" s="82"/>
      <c r="C5082" s="82"/>
    </row>
    <row r="5083" spans="1:3" x14ac:dyDescent="0.2">
      <c r="A5083" s="82"/>
      <c r="B5083" s="82"/>
      <c r="C5083" s="82"/>
    </row>
    <row r="5084" spans="1:3" x14ac:dyDescent="0.2">
      <c r="A5084" s="82"/>
      <c r="B5084" s="82"/>
      <c r="C5084" s="82"/>
    </row>
    <row r="5085" spans="1:3" x14ac:dyDescent="0.2">
      <c r="A5085" s="82"/>
      <c r="B5085" s="82"/>
      <c r="C5085" s="82"/>
    </row>
    <row r="5086" spans="1:3" x14ac:dyDescent="0.2">
      <c r="A5086" s="82"/>
      <c r="B5086" s="82"/>
      <c r="C5086" s="82"/>
    </row>
    <row r="5087" spans="1:3" x14ac:dyDescent="0.2">
      <c r="A5087" s="82"/>
      <c r="B5087" s="82"/>
      <c r="C5087" s="82"/>
    </row>
    <row r="5088" spans="1:3" x14ac:dyDescent="0.2">
      <c r="A5088" s="82"/>
      <c r="B5088" s="82"/>
      <c r="C5088" s="82"/>
    </row>
    <row r="5089" spans="1:3" x14ac:dyDescent="0.2">
      <c r="A5089" s="82"/>
      <c r="B5089" s="82"/>
      <c r="C5089" s="82"/>
    </row>
    <row r="5090" spans="1:3" x14ac:dyDescent="0.2">
      <c r="A5090" s="82"/>
      <c r="B5090" s="82"/>
      <c r="C5090" s="82"/>
    </row>
    <row r="5091" spans="1:3" x14ac:dyDescent="0.2">
      <c r="A5091" s="82"/>
      <c r="B5091" s="82"/>
      <c r="C5091" s="82"/>
    </row>
    <row r="5092" spans="1:3" x14ac:dyDescent="0.2">
      <c r="A5092" s="82"/>
      <c r="B5092" s="82"/>
      <c r="C5092" s="82"/>
    </row>
    <row r="5093" spans="1:3" x14ac:dyDescent="0.2">
      <c r="A5093" s="82"/>
      <c r="B5093" s="82"/>
      <c r="C5093" s="82"/>
    </row>
    <row r="5094" spans="1:3" x14ac:dyDescent="0.2">
      <c r="A5094" s="82"/>
      <c r="B5094" s="82"/>
      <c r="C5094" s="82"/>
    </row>
    <row r="5095" spans="1:3" x14ac:dyDescent="0.2">
      <c r="A5095" s="82"/>
      <c r="B5095" s="82"/>
      <c r="C5095" s="82"/>
    </row>
    <row r="5096" spans="1:3" x14ac:dyDescent="0.2">
      <c r="A5096" s="82"/>
      <c r="B5096" s="82"/>
      <c r="C5096" s="82"/>
    </row>
    <row r="5097" spans="1:3" x14ac:dyDescent="0.2">
      <c r="A5097" s="82"/>
      <c r="B5097" s="82"/>
      <c r="C5097" s="82"/>
    </row>
    <row r="5098" spans="1:3" x14ac:dyDescent="0.2">
      <c r="A5098" s="82"/>
      <c r="B5098" s="82"/>
      <c r="C5098" s="82"/>
    </row>
    <row r="5099" spans="1:3" x14ac:dyDescent="0.2">
      <c r="A5099" s="82"/>
      <c r="B5099" s="82"/>
      <c r="C5099" s="82"/>
    </row>
    <row r="5100" spans="1:3" x14ac:dyDescent="0.2">
      <c r="A5100" s="82"/>
      <c r="B5100" s="82"/>
      <c r="C5100" s="82"/>
    </row>
    <row r="5101" spans="1:3" x14ac:dyDescent="0.2">
      <c r="A5101" s="82"/>
      <c r="B5101" s="82"/>
      <c r="C5101" s="82"/>
    </row>
    <row r="5102" spans="1:3" x14ac:dyDescent="0.2">
      <c r="A5102" s="82"/>
      <c r="B5102" s="82"/>
      <c r="C5102" s="82"/>
    </row>
    <row r="5103" spans="1:3" x14ac:dyDescent="0.2">
      <c r="A5103" s="82"/>
      <c r="B5103" s="82"/>
      <c r="C5103" s="82"/>
    </row>
    <row r="5104" spans="1:3" x14ac:dyDescent="0.2">
      <c r="A5104" s="82"/>
      <c r="B5104" s="82"/>
      <c r="C5104" s="82"/>
    </row>
    <row r="5105" spans="1:3" x14ac:dyDescent="0.2">
      <c r="A5105" s="82"/>
      <c r="B5105" s="82"/>
      <c r="C5105" s="82"/>
    </row>
    <row r="5106" spans="1:3" x14ac:dyDescent="0.2">
      <c r="A5106" s="82"/>
      <c r="B5106" s="82"/>
      <c r="C5106" s="82"/>
    </row>
    <row r="5107" spans="1:3" x14ac:dyDescent="0.2">
      <c r="A5107" s="82"/>
      <c r="B5107" s="82"/>
      <c r="C5107" s="82"/>
    </row>
    <row r="5108" spans="1:3" x14ac:dyDescent="0.2">
      <c r="A5108" s="82"/>
      <c r="B5108" s="82"/>
      <c r="C5108" s="82"/>
    </row>
    <row r="5109" spans="1:3" x14ac:dyDescent="0.2">
      <c r="A5109" s="82"/>
      <c r="B5109" s="82"/>
      <c r="C5109" s="82"/>
    </row>
    <row r="5110" spans="1:3" x14ac:dyDescent="0.2">
      <c r="A5110" s="82"/>
      <c r="B5110" s="82"/>
      <c r="C5110" s="82"/>
    </row>
    <row r="5111" spans="1:3" x14ac:dyDescent="0.2">
      <c r="A5111" s="82"/>
      <c r="B5111" s="82"/>
      <c r="C5111" s="82"/>
    </row>
    <row r="5112" spans="1:3" x14ac:dyDescent="0.2">
      <c r="A5112" s="82"/>
      <c r="B5112" s="82"/>
      <c r="C5112" s="82"/>
    </row>
    <row r="5113" spans="1:3" x14ac:dyDescent="0.2">
      <c r="A5113" s="82"/>
      <c r="B5113" s="82"/>
      <c r="C5113" s="82"/>
    </row>
    <row r="5114" spans="1:3" x14ac:dyDescent="0.2">
      <c r="A5114" s="82"/>
      <c r="B5114" s="82"/>
      <c r="C5114" s="82"/>
    </row>
    <row r="5115" spans="1:3" x14ac:dyDescent="0.2">
      <c r="A5115" s="82"/>
      <c r="B5115" s="82"/>
      <c r="C5115" s="82"/>
    </row>
    <row r="5116" spans="1:3" x14ac:dyDescent="0.2">
      <c r="A5116" s="82"/>
      <c r="B5116" s="82"/>
      <c r="C5116" s="82"/>
    </row>
    <row r="5117" spans="1:3" x14ac:dyDescent="0.2">
      <c r="A5117" s="82"/>
      <c r="B5117" s="82"/>
      <c r="C5117" s="82"/>
    </row>
    <row r="5118" spans="1:3" x14ac:dyDescent="0.2">
      <c r="A5118" s="82"/>
      <c r="B5118" s="82"/>
      <c r="C5118" s="82"/>
    </row>
    <row r="5119" spans="1:3" x14ac:dyDescent="0.2">
      <c r="A5119" s="82"/>
      <c r="B5119" s="82"/>
      <c r="C5119" s="82"/>
    </row>
    <row r="5120" spans="1:3" x14ac:dyDescent="0.2">
      <c r="A5120" s="82"/>
      <c r="B5120" s="82"/>
      <c r="C5120" s="82"/>
    </row>
    <row r="5121" spans="1:3" x14ac:dyDescent="0.2">
      <c r="A5121" s="82"/>
      <c r="B5121" s="82"/>
      <c r="C5121" s="82"/>
    </row>
    <row r="5122" spans="1:3" x14ac:dyDescent="0.2">
      <c r="A5122" s="82"/>
      <c r="B5122" s="82"/>
      <c r="C5122" s="82"/>
    </row>
    <row r="5123" spans="1:3" x14ac:dyDescent="0.2">
      <c r="A5123" s="82"/>
      <c r="B5123" s="82"/>
      <c r="C5123" s="82"/>
    </row>
    <row r="5124" spans="1:3" x14ac:dyDescent="0.2">
      <c r="A5124" s="82"/>
      <c r="B5124" s="82"/>
      <c r="C5124" s="82"/>
    </row>
    <row r="5125" spans="1:3" x14ac:dyDescent="0.2">
      <c r="A5125" s="82"/>
      <c r="B5125" s="82"/>
      <c r="C5125" s="82"/>
    </row>
    <row r="5126" spans="1:3" x14ac:dyDescent="0.2">
      <c r="A5126" s="82"/>
      <c r="B5126" s="82"/>
      <c r="C5126" s="82"/>
    </row>
    <row r="5127" spans="1:3" x14ac:dyDescent="0.2">
      <c r="A5127" s="82"/>
      <c r="B5127" s="82"/>
      <c r="C5127" s="82"/>
    </row>
    <row r="5128" spans="1:3" x14ac:dyDescent="0.2">
      <c r="A5128" s="82"/>
      <c r="B5128" s="82"/>
      <c r="C5128" s="82"/>
    </row>
    <row r="5129" spans="1:3" x14ac:dyDescent="0.2">
      <c r="A5129" s="82"/>
      <c r="B5129" s="82"/>
      <c r="C5129" s="82"/>
    </row>
    <row r="5130" spans="1:3" x14ac:dyDescent="0.2">
      <c r="A5130" s="82"/>
      <c r="B5130" s="82"/>
      <c r="C5130" s="82"/>
    </row>
    <row r="5131" spans="1:3" x14ac:dyDescent="0.2">
      <c r="A5131" s="82"/>
      <c r="B5131" s="82"/>
      <c r="C5131" s="82"/>
    </row>
    <row r="5132" spans="1:3" x14ac:dyDescent="0.2">
      <c r="A5132" s="82"/>
      <c r="B5132" s="82"/>
      <c r="C5132" s="82"/>
    </row>
    <row r="5133" spans="1:3" x14ac:dyDescent="0.2">
      <c r="A5133" s="82"/>
      <c r="B5133" s="82"/>
      <c r="C5133" s="82"/>
    </row>
    <row r="5134" spans="1:3" x14ac:dyDescent="0.2">
      <c r="A5134" s="82"/>
      <c r="B5134" s="82"/>
      <c r="C5134" s="82"/>
    </row>
    <row r="5135" spans="1:3" x14ac:dyDescent="0.2">
      <c r="A5135" s="82"/>
      <c r="B5135" s="82"/>
      <c r="C5135" s="82"/>
    </row>
    <row r="5136" spans="1:3" x14ac:dyDescent="0.2">
      <c r="A5136" s="82"/>
      <c r="B5136" s="82"/>
      <c r="C5136" s="82"/>
    </row>
    <row r="5137" spans="1:3" x14ac:dyDescent="0.2">
      <c r="A5137" s="82"/>
      <c r="B5137" s="82"/>
      <c r="C5137" s="82"/>
    </row>
    <row r="5138" spans="1:3" x14ac:dyDescent="0.2">
      <c r="A5138" s="82"/>
      <c r="B5138" s="82"/>
      <c r="C5138" s="82"/>
    </row>
    <row r="5139" spans="1:3" x14ac:dyDescent="0.2">
      <c r="A5139" s="82"/>
      <c r="B5139" s="82"/>
      <c r="C5139" s="82"/>
    </row>
    <row r="5140" spans="1:3" x14ac:dyDescent="0.2">
      <c r="A5140" s="82"/>
      <c r="B5140" s="82"/>
      <c r="C5140" s="82"/>
    </row>
    <row r="5141" spans="1:3" x14ac:dyDescent="0.2">
      <c r="A5141" s="82"/>
      <c r="B5141" s="82"/>
      <c r="C5141" s="82"/>
    </row>
    <row r="5142" spans="1:3" x14ac:dyDescent="0.2">
      <c r="A5142" s="82"/>
      <c r="B5142" s="82"/>
      <c r="C5142" s="82"/>
    </row>
    <row r="5143" spans="1:3" x14ac:dyDescent="0.2">
      <c r="A5143" s="82"/>
      <c r="B5143" s="82"/>
      <c r="C5143" s="82"/>
    </row>
    <row r="5144" spans="1:3" x14ac:dyDescent="0.2">
      <c r="A5144" s="82"/>
      <c r="B5144" s="82"/>
      <c r="C5144" s="82"/>
    </row>
    <row r="5145" spans="1:3" x14ac:dyDescent="0.2">
      <c r="A5145" s="82"/>
      <c r="B5145" s="82"/>
      <c r="C5145" s="82"/>
    </row>
    <row r="5146" spans="1:3" x14ac:dyDescent="0.2">
      <c r="A5146" s="82"/>
      <c r="B5146" s="82"/>
      <c r="C5146" s="82"/>
    </row>
    <row r="5147" spans="1:3" x14ac:dyDescent="0.2">
      <c r="A5147" s="82"/>
      <c r="B5147" s="82"/>
      <c r="C5147" s="82"/>
    </row>
    <row r="5148" spans="1:3" x14ac:dyDescent="0.2">
      <c r="A5148" s="82"/>
      <c r="B5148" s="82"/>
      <c r="C5148" s="82"/>
    </row>
    <row r="5149" spans="1:3" x14ac:dyDescent="0.2">
      <c r="A5149" s="82"/>
      <c r="B5149" s="82"/>
      <c r="C5149" s="82"/>
    </row>
    <row r="5150" spans="1:3" x14ac:dyDescent="0.2">
      <c r="A5150" s="82"/>
      <c r="B5150" s="82"/>
      <c r="C5150" s="82"/>
    </row>
    <row r="5151" spans="1:3" x14ac:dyDescent="0.2">
      <c r="A5151" s="82"/>
      <c r="B5151" s="82"/>
      <c r="C5151" s="82"/>
    </row>
    <row r="5152" spans="1:3" x14ac:dyDescent="0.2">
      <c r="A5152" s="82"/>
      <c r="B5152" s="82"/>
      <c r="C5152" s="82"/>
    </row>
    <row r="5153" spans="1:3" x14ac:dyDescent="0.2">
      <c r="A5153" s="82"/>
      <c r="B5153" s="82"/>
      <c r="C5153" s="82"/>
    </row>
    <row r="5154" spans="1:3" x14ac:dyDescent="0.2">
      <c r="A5154" s="82"/>
      <c r="B5154" s="82"/>
      <c r="C5154" s="82"/>
    </row>
    <row r="5155" spans="1:3" x14ac:dyDescent="0.2">
      <c r="A5155" s="82"/>
      <c r="B5155" s="82"/>
      <c r="C5155" s="82"/>
    </row>
    <row r="5156" spans="1:3" x14ac:dyDescent="0.2">
      <c r="A5156" s="82"/>
      <c r="B5156" s="82"/>
      <c r="C5156" s="82"/>
    </row>
    <row r="5157" spans="1:3" x14ac:dyDescent="0.2">
      <c r="A5157" s="82"/>
      <c r="B5157" s="82"/>
      <c r="C5157" s="82"/>
    </row>
    <row r="5158" spans="1:3" x14ac:dyDescent="0.2">
      <c r="A5158" s="82"/>
      <c r="B5158" s="82"/>
      <c r="C5158" s="82"/>
    </row>
    <row r="5159" spans="1:3" x14ac:dyDescent="0.2">
      <c r="A5159" s="82"/>
      <c r="B5159" s="82"/>
      <c r="C5159" s="82"/>
    </row>
    <row r="5160" spans="1:3" x14ac:dyDescent="0.2">
      <c r="A5160" s="82"/>
      <c r="B5160" s="82"/>
      <c r="C5160" s="82"/>
    </row>
    <row r="5161" spans="1:3" x14ac:dyDescent="0.2">
      <c r="A5161" s="82"/>
      <c r="B5161" s="82"/>
      <c r="C5161" s="82"/>
    </row>
    <row r="5162" spans="1:3" x14ac:dyDescent="0.2">
      <c r="A5162" s="82"/>
      <c r="B5162" s="82"/>
      <c r="C5162" s="82"/>
    </row>
    <row r="5163" spans="1:3" x14ac:dyDescent="0.2">
      <c r="A5163" s="82"/>
      <c r="B5163" s="82"/>
      <c r="C5163" s="82"/>
    </row>
    <row r="5164" spans="1:3" x14ac:dyDescent="0.2">
      <c r="A5164" s="82"/>
      <c r="B5164" s="82"/>
      <c r="C5164" s="82"/>
    </row>
    <row r="5165" spans="1:3" x14ac:dyDescent="0.2">
      <c r="A5165" s="82"/>
      <c r="B5165" s="82"/>
      <c r="C5165" s="82"/>
    </row>
    <row r="5166" spans="1:3" x14ac:dyDescent="0.2">
      <c r="A5166" s="82"/>
      <c r="B5166" s="82"/>
      <c r="C5166" s="82"/>
    </row>
    <row r="5167" spans="1:3" x14ac:dyDescent="0.2">
      <c r="A5167" s="82"/>
      <c r="B5167" s="82"/>
      <c r="C5167" s="82"/>
    </row>
    <row r="5168" spans="1:3" x14ac:dyDescent="0.2">
      <c r="A5168" s="82"/>
      <c r="B5168" s="82"/>
      <c r="C5168" s="82"/>
    </row>
    <row r="5169" spans="1:3" x14ac:dyDescent="0.2">
      <c r="A5169" s="82"/>
      <c r="B5169" s="82"/>
      <c r="C5169" s="82"/>
    </row>
    <row r="5170" spans="1:3" x14ac:dyDescent="0.2">
      <c r="A5170" s="82"/>
      <c r="B5170" s="82"/>
      <c r="C5170" s="82"/>
    </row>
    <row r="5171" spans="1:3" x14ac:dyDescent="0.2">
      <c r="A5171" s="82"/>
      <c r="B5171" s="82"/>
      <c r="C5171" s="82"/>
    </row>
    <row r="5172" spans="1:3" x14ac:dyDescent="0.2">
      <c r="A5172" s="82"/>
      <c r="B5172" s="82"/>
      <c r="C5172" s="82"/>
    </row>
    <row r="5173" spans="1:3" x14ac:dyDescent="0.2">
      <c r="A5173" s="82"/>
      <c r="B5173" s="82"/>
      <c r="C5173" s="82"/>
    </row>
    <row r="5174" spans="1:3" x14ac:dyDescent="0.2">
      <c r="A5174" s="82"/>
      <c r="B5174" s="82"/>
      <c r="C5174" s="82"/>
    </row>
    <row r="5175" spans="1:3" x14ac:dyDescent="0.2">
      <c r="A5175" s="82"/>
      <c r="B5175" s="82"/>
      <c r="C5175" s="82"/>
    </row>
    <row r="5176" spans="1:3" x14ac:dyDescent="0.2">
      <c r="A5176" s="82"/>
      <c r="B5176" s="82"/>
      <c r="C5176" s="82"/>
    </row>
    <row r="5177" spans="1:3" x14ac:dyDescent="0.2">
      <c r="A5177" s="82"/>
      <c r="B5177" s="82"/>
      <c r="C5177" s="82"/>
    </row>
    <row r="5178" spans="1:3" x14ac:dyDescent="0.2">
      <c r="A5178" s="82"/>
      <c r="B5178" s="82"/>
      <c r="C5178" s="82"/>
    </row>
    <row r="5179" spans="1:3" x14ac:dyDescent="0.2">
      <c r="A5179" s="82"/>
      <c r="B5179" s="82"/>
      <c r="C5179" s="82"/>
    </row>
    <row r="5180" spans="1:3" x14ac:dyDescent="0.2">
      <c r="A5180" s="82"/>
      <c r="B5180" s="82"/>
      <c r="C5180" s="82"/>
    </row>
    <row r="5181" spans="1:3" x14ac:dyDescent="0.2">
      <c r="A5181" s="82"/>
      <c r="B5181" s="82"/>
      <c r="C5181" s="82"/>
    </row>
    <row r="5182" spans="1:3" x14ac:dyDescent="0.2">
      <c r="A5182" s="82"/>
      <c r="B5182" s="82"/>
      <c r="C5182" s="82"/>
    </row>
    <row r="5183" spans="1:3" x14ac:dyDescent="0.2">
      <c r="A5183" s="82"/>
      <c r="B5183" s="82"/>
      <c r="C5183" s="82"/>
    </row>
    <row r="5184" spans="1:3" x14ac:dyDescent="0.2">
      <c r="A5184" s="82"/>
      <c r="B5184" s="82"/>
      <c r="C5184" s="82"/>
    </row>
    <row r="5185" spans="1:3" x14ac:dyDescent="0.2">
      <c r="A5185" s="82"/>
      <c r="B5185" s="82"/>
      <c r="C5185" s="82"/>
    </row>
    <row r="5186" spans="1:3" x14ac:dyDescent="0.2">
      <c r="A5186" s="82"/>
      <c r="B5186" s="82"/>
      <c r="C5186" s="82"/>
    </row>
    <row r="5187" spans="1:3" x14ac:dyDescent="0.2">
      <c r="A5187" s="82"/>
      <c r="B5187" s="82"/>
      <c r="C5187" s="82"/>
    </row>
    <row r="5188" spans="1:3" x14ac:dyDescent="0.2">
      <c r="A5188" s="82"/>
      <c r="B5188" s="82"/>
      <c r="C5188" s="82"/>
    </row>
    <row r="5189" spans="1:3" x14ac:dyDescent="0.2">
      <c r="A5189" s="82"/>
      <c r="B5189" s="82"/>
      <c r="C5189" s="82"/>
    </row>
    <row r="5190" spans="1:3" x14ac:dyDescent="0.2">
      <c r="A5190" s="82"/>
      <c r="B5190" s="82"/>
      <c r="C5190" s="82"/>
    </row>
    <row r="5191" spans="1:3" x14ac:dyDescent="0.2">
      <c r="A5191" s="82"/>
      <c r="B5191" s="82"/>
      <c r="C5191" s="82"/>
    </row>
    <row r="5192" spans="1:3" x14ac:dyDescent="0.2">
      <c r="A5192" s="82"/>
      <c r="B5192" s="82"/>
      <c r="C5192" s="82"/>
    </row>
    <row r="5193" spans="1:3" x14ac:dyDescent="0.2">
      <c r="A5193" s="82"/>
      <c r="B5193" s="82"/>
      <c r="C5193" s="82"/>
    </row>
    <row r="5194" spans="1:3" x14ac:dyDescent="0.2">
      <c r="A5194" s="82"/>
      <c r="B5194" s="82"/>
      <c r="C5194" s="82"/>
    </row>
    <row r="5195" spans="1:3" x14ac:dyDescent="0.2">
      <c r="A5195" s="82"/>
      <c r="B5195" s="82"/>
      <c r="C5195" s="82"/>
    </row>
    <row r="5196" spans="1:3" x14ac:dyDescent="0.2">
      <c r="A5196" s="82"/>
      <c r="B5196" s="82"/>
      <c r="C5196" s="82"/>
    </row>
    <row r="5197" spans="1:3" x14ac:dyDescent="0.2">
      <c r="A5197" s="82"/>
      <c r="B5197" s="82"/>
      <c r="C5197" s="82"/>
    </row>
    <row r="5198" spans="1:3" x14ac:dyDescent="0.2">
      <c r="A5198" s="82"/>
      <c r="B5198" s="82"/>
      <c r="C5198" s="82"/>
    </row>
    <row r="5199" spans="1:3" x14ac:dyDescent="0.2">
      <c r="A5199" s="82"/>
      <c r="B5199" s="82"/>
      <c r="C5199" s="82"/>
    </row>
    <row r="5200" spans="1:3" x14ac:dyDescent="0.2">
      <c r="A5200" s="82"/>
      <c r="B5200" s="82"/>
      <c r="C5200" s="82"/>
    </row>
    <row r="5201" spans="1:3" x14ac:dyDescent="0.2">
      <c r="A5201" s="82"/>
      <c r="B5201" s="82"/>
      <c r="C5201" s="82"/>
    </row>
    <row r="5202" spans="1:3" x14ac:dyDescent="0.2">
      <c r="A5202" s="82"/>
      <c r="B5202" s="82"/>
      <c r="C5202" s="82"/>
    </row>
    <row r="5203" spans="1:3" x14ac:dyDescent="0.2">
      <c r="A5203" s="82"/>
      <c r="B5203" s="82"/>
      <c r="C5203" s="82"/>
    </row>
    <row r="5204" spans="1:3" x14ac:dyDescent="0.2">
      <c r="A5204" s="82"/>
      <c r="B5204" s="82"/>
      <c r="C5204" s="82"/>
    </row>
    <row r="5205" spans="1:3" x14ac:dyDescent="0.2">
      <c r="A5205" s="82"/>
      <c r="B5205" s="82"/>
      <c r="C5205" s="82"/>
    </row>
    <row r="5206" spans="1:3" x14ac:dyDescent="0.2">
      <c r="A5206" s="82"/>
      <c r="B5206" s="82"/>
      <c r="C5206" s="82"/>
    </row>
    <row r="5207" spans="1:3" x14ac:dyDescent="0.2">
      <c r="A5207" s="82"/>
      <c r="B5207" s="82"/>
      <c r="C5207" s="82"/>
    </row>
    <row r="5208" spans="1:3" x14ac:dyDescent="0.2">
      <c r="A5208" s="82"/>
      <c r="B5208" s="82"/>
      <c r="C5208" s="82"/>
    </row>
    <row r="5209" spans="1:3" x14ac:dyDescent="0.2">
      <c r="A5209" s="82"/>
      <c r="B5209" s="82"/>
      <c r="C5209" s="82"/>
    </row>
    <row r="5210" spans="1:3" x14ac:dyDescent="0.2">
      <c r="A5210" s="82"/>
      <c r="B5210" s="82"/>
      <c r="C5210" s="82"/>
    </row>
    <row r="5211" spans="1:3" x14ac:dyDescent="0.2">
      <c r="A5211" s="82"/>
      <c r="B5211" s="82"/>
      <c r="C5211" s="82"/>
    </row>
    <row r="5212" spans="1:3" x14ac:dyDescent="0.2">
      <c r="A5212" s="82"/>
      <c r="B5212" s="82"/>
      <c r="C5212" s="82"/>
    </row>
    <row r="5213" spans="1:3" x14ac:dyDescent="0.2">
      <c r="A5213" s="82"/>
      <c r="B5213" s="82"/>
      <c r="C5213" s="82"/>
    </row>
    <row r="5214" spans="1:3" x14ac:dyDescent="0.2">
      <c r="A5214" s="82"/>
      <c r="B5214" s="82"/>
      <c r="C5214" s="82"/>
    </row>
    <row r="5215" spans="1:3" x14ac:dyDescent="0.2">
      <c r="A5215" s="82"/>
      <c r="B5215" s="82"/>
      <c r="C5215" s="82"/>
    </row>
    <row r="5216" spans="1:3" x14ac:dyDescent="0.2">
      <c r="A5216" s="82"/>
      <c r="B5216" s="82"/>
      <c r="C5216" s="82"/>
    </row>
    <row r="5217" spans="1:3" x14ac:dyDescent="0.2">
      <c r="A5217" s="82"/>
      <c r="B5217" s="82"/>
      <c r="C5217" s="82"/>
    </row>
    <row r="5218" spans="1:3" x14ac:dyDescent="0.2">
      <c r="A5218" s="82"/>
      <c r="B5218" s="82"/>
      <c r="C5218" s="82"/>
    </row>
    <row r="5219" spans="1:3" x14ac:dyDescent="0.2">
      <c r="A5219" s="82"/>
      <c r="B5219" s="82"/>
      <c r="C5219" s="82"/>
    </row>
    <row r="5220" spans="1:3" x14ac:dyDescent="0.2">
      <c r="A5220" s="82"/>
      <c r="B5220" s="82"/>
      <c r="C5220" s="82"/>
    </row>
    <row r="5221" spans="1:3" x14ac:dyDescent="0.2">
      <c r="A5221" s="82"/>
      <c r="B5221" s="82"/>
      <c r="C5221" s="82"/>
    </row>
    <row r="5222" spans="1:3" x14ac:dyDescent="0.2">
      <c r="A5222" s="82"/>
      <c r="B5222" s="82"/>
      <c r="C5222" s="82"/>
    </row>
    <row r="5223" spans="1:3" x14ac:dyDescent="0.2">
      <c r="A5223" s="82"/>
      <c r="B5223" s="82"/>
      <c r="C5223" s="82"/>
    </row>
    <row r="5224" spans="1:3" x14ac:dyDescent="0.2">
      <c r="A5224" s="82"/>
      <c r="B5224" s="82"/>
      <c r="C5224" s="82"/>
    </row>
    <row r="5225" spans="1:3" x14ac:dyDescent="0.2">
      <c r="A5225" s="82"/>
      <c r="B5225" s="82"/>
      <c r="C5225" s="82"/>
    </row>
    <row r="5226" spans="1:3" x14ac:dyDescent="0.2">
      <c r="A5226" s="82"/>
      <c r="B5226" s="82"/>
      <c r="C5226" s="82"/>
    </row>
    <row r="5227" spans="1:3" x14ac:dyDescent="0.2">
      <c r="A5227" s="82"/>
      <c r="B5227" s="82"/>
      <c r="C5227" s="82"/>
    </row>
    <row r="5228" spans="1:3" x14ac:dyDescent="0.2">
      <c r="A5228" s="82"/>
      <c r="B5228" s="82"/>
      <c r="C5228" s="82"/>
    </row>
    <row r="5229" spans="1:3" x14ac:dyDescent="0.2">
      <c r="A5229" s="82"/>
      <c r="B5229" s="82"/>
      <c r="C5229" s="82"/>
    </row>
    <row r="5230" spans="1:3" x14ac:dyDescent="0.2">
      <c r="A5230" s="82"/>
      <c r="B5230" s="82"/>
      <c r="C5230" s="82"/>
    </row>
    <row r="5231" spans="1:3" x14ac:dyDescent="0.2">
      <c r="A5231" s="82"/>
      <c r="B5231" s="82"/>
      <c r="C5231" s="82"/>
    </row>
    <row r="5232" spans="1:3" x14ac:dyDescent="0.2">
      <c r="A5232" s="82"/>
      <c r="B5232" s="82"/>
      <c r="C5232" s="82"/>
    </row>
    <row r="5233" spans="1:3" x14ac:dyDescent="0.2">
      <c r="A5233" s="82"/>
      <c r="B5233" s="82"/>
      <c r="C5233" s="82"/>
    </row>
    <row r="5234" spans="1:3" x14ac:dyDescent="0.2">
      <c r="A5234" s="82"/>
      <c r="B5234" s="82"/>
      <c r="C5234" s="82"/>
    </row>
    <row r="5235" spans="1:3" x14ac:dyDescent="0.2">
      <c r="A5235" s="82"/>
      <c r="B5235" s="82"/>
      <c r="C5235" s="82"/>
    </row>
    <row r="5236" spans="1:3" x14ac:dyDescent="0.2">
      <c r="A5236" s="82"/>
      <c r="B5236" s="82"/>
      <c r="C5236" s="82"/>
    </row>
    <row r="5237" spans="1:3" x14ac:dyDescent="0.2">
      <c r="A5237" s="82"/>
      <c r="B5237" s="82"/>
      <c r="C5237" s="82"/>
    </row>
    <row r="5238" spans="1:3" x14ac:dyDescent="0.2">
      <c r="A5238" s="82"/>
      <c r="B5238" s="82"/>
      <c r="C5238" s="82"/>
    </row>
    <row r="5239" spans="1:3" x14ac:dyDescent="0.2">
      <c r="A5239" s="82"/>
      <c r="B5239" s="82"/>
      <c r="C5239" s="82"/>
    </row>
    <row r="5240" spans="1:3" x14ac:dyDescent="0.2">
      <c r="A5240" s="82"/>
      <c r="B5240" s="82"/>
      <c r="C5240" s="82"/>
    </row>
    <row r="5241" spans="1:3" x14ac:dyDescent="0.2">
      <c r="A5241" s="82"/>
      <c r="B5241" s="82"/>
      <c r="C5241" s="82"/>
    </row>
    <row r="5242" spans="1:3" x14ac:dyDescent="0.2">
      <c r="A5242" s="82"/>
      <c r="B5242" s="82"/>
      <c r="C5242" s="82"/>
    </row>
    <row r="5243" spans="1:3" x14ac:dyDescent="0.2">
      <c r="A5243" s="82"/>
      <c r="B5243" s="82"/>
      <c r="C5243" s="82"/>
    </row>
    <row r="5244" spans="1:3" x14ac:dyDescent="0.2">
      <c r="A5244" s="82"/>
      <c r="B5244" s="82"/>
      <c r="C5244" s="82"/>
    </row>
    <row r="5245" spans="1:3" x14ac:dyDescent="0.2">
      <c r="A5245" s="82"/>
      <c r="B5245" s="82"/>
      <c r="C5245" s="82"/>
    </row>
    <row r="5246" spans="1:3" x14ac:dyDescent="0.2">
      <c r="A5246" s="82"/>
      <c r="B5246" s="82"/>
      <c r="C5246" s="82"/>
    </row>
    <row r="5247" spans="1:3" x14ac:dyDescent="0.2">
      <c r="A5247" s="82"/>
      <c r="B5247" s="82"/>
      <c r="C5247" s="82"/>
    </row>
    <row r="5248" spans="1:3" x14ac:dyDescent="0.2">
      <c r="A5248" s="82"/>
      <c r="B5248" s="82"/>
      <c r="C5248" s="82"/>
    </row>
    <row r="5249" spans="1:3" x14ac:dyDescent="0.2">
      <c r="A5249" s="82"/>
      <c r="B5249" s="82"/>
      <c r="C5249" s="82"/>
    </row>
    <row r="5250" spans="1:3" x14ac:dyDescent="0.2">
      <c r="A5250" s="82"/>
      <c r="B5250" s="82"/>
      <c r="C5250" s="82"/>
    </row>
    <row r="5251" spans="1:3" x14ac:dyDescent="0.2">
      <c r="A5251" s="82"/>
      <c r="B5251" s="82"/>
      <c r="C5251" s="82"/>
    </row>
    <row r="5252" spans="1:3" x14ac:dyDescent="0.2">
      <c r="A5252" s="82"/>
      <c r="B5252" s="82"/>
      <c r="C5252" s="82"/>
    </row>
    <row r="5253" spans="1:3" x14ac:dyDescent="0.2">
      <c r="A5253" s="82"/>
      <c r="B5253" s="82"/>
      <c r="C5253" s="82"/>
    </row>
    <row r="5254" spans="1:3" x14ac:dyDescent="0.2">
      <c r="A5254" s="82"/>
      <c r="B5254" s="82"/>
      <c r="C5254" s="82"/>
    </row>
    <row r="5255" spans="1:3" x14ac:dyDescent="0.2">
      <c r="A5255" s="82"/>
      <c r="B5255" s="82"/>
      <c r="C5255" s="82"/>
    </row>
    <row r="5256" spans="1:3" x14ac:dyDescent="0.2">
      <c r="A5256" s="82"/>
      <c r="B5256" s="82"/>
      <c r="C5256" s="82"/>
    </row>
    <row r="5257" spans="1:3" x14ac:dyDescent="0.2">
      <c r="A5257" s="82"/>
      <c r="B5257" s="82"/>
      <c r="C5257" s="82"/>
    </row>
    <row r="5258" spans="1:3" x14ac:dyDescent="0.2">
      <c r="A5258" s="82"/>
      <c r="B5258" s="82"/>
      <c r="C5258" s="82"/>
    </row>
    <row r="5259" spans="1:3" x14ac:dyDescent="0.2">
      <c r="A5259" s="82"/>
      <c r="B5259" s="82"/>
      <c r="C5259" s="82"/>
    </row>
    <row r="5260" spans="1:3" x14ac:dyDescent="0.2">
      <c r="A5260" s="82"/>
      <c r="B5260" s="82"/>
      <c r="C5260" s="82"/>
    </row>
    <row r="5261" spans="1:3" x14ac:dyDescent="0.2">
      <c r="A5261" s="82"/>
      <c r="B5261" s="82"/>
      <c r="C5261" s="82"/>
    </row>
    <row r="5262" spans="1:3" x14ac:dyDescent="0.2">
      <c r="A5262" s="82"/>
      <c r="B5262" s="82"/>
      <c r="C5262" s="82"/>
    </row>
    <row r="5263" spans="1:3" x14ac:dyDescent="0.2">
      <c r="A5263" s="82"/>
      <c r="B5263" s="82"/>
      <c r="C5263" s="82"/>
    </row>
    <row r="5264" spans="1:3" x14ac:dyDescent="0.2">
      <c r="A5264" s="82"/>
      <c r="B5264" s="82"/>
      <c r="C5264" s="82"/>
    </row>
    <row r="5265" spans="1:3" x14ac:dyDescent="0.2">
      <c r="A5265" s="82"/>
      <c r="B5265" s="82"/>
      <c r="C5265" s="82"/>
    </row>
    <row r="5266" spans="1:3" x14ac:dyDescent="0.2">
      <c r="A5266" s="82"/>
      <c r="B5266" s="82"/>
      <c r="C5266" s="82"/>
    </row>
    <row r="5267" spans="1:3" x14ac:dyDescent="0.2">
      <c r="A5267" s="82"/>
      <c r="B5267" s="82"/>
      <c r="C5267" s="82"/>
    </row>
    <row r="5268" spans="1:3" x14ac:dyDescent="0.2">
      <c r="A5268" s="82"/>
      <c r="B5268" s="82"/>
      <c r="C5268" s="82"/>
    </row>
    <row r="5269" spans="1:3" x14ac:dyDescent="0.2">
      <c r="A5269" s="82"/>
      <c r="B5269" s="82"/>
      <c r="C5269" s="82"/>
    </row>
    <row r="5270" spans="1:3" x14ac:dyDescent="0.2">
      <c r="A5270" s="82"/>
      <c r="B5270" s="82"/>
      <c r="C5270" s="82"/>
    </row>
    <row r="5271" spans="1:3" x14ac:dyDescent="0.2">
      <c r="A5271" s="82"/>
      <c r="B5271" s="82"/>
      <c r="C5271" s="82"/>
    </row>
    <row r="5272" spans="1:3" x14ac:dyDescent="0.2">
      <c r="A5272" s="82"/>
      <c r="B5272" s="82"/>
      <c r="C5272" s="82"/>
    </row>
    <row r="5273" spans="1:3" x14ac:dyDescent="0.2">
      <c r="A5273" s="82"/>
      <c r="B5273" s="82"/>
      <c r="C5273" s="82"/>
    </row>
    <row r="5274" spans="1:3" x14ac:dyDescent="0.2">
      <c r="A5274" s="82"/>
      <c r="B5274" s="82"/>
      <c r="C5274" s="82"/>
    </row>
    <row r="5275" spans="1:3" x14ac:dyDescent="0.2">
      <c r="A5275" s="82"/>
      <c r="B5275" s="82"/>
      <c r="C5275" s="82"/>
    </row>
    <row r="5276" spans="1:3" x14ac:dyDescent="0.2">
      <c r="A5276" s="82"/>
      <c r="B5276" s="82"/>
      <c r="C5276" s="82"/>
    </row>
    <row r="5277" spans="1:3" x14ac:dyDescent="0.2">
      <c r="A5277" s="82"/>
      <c r="B5277" s="82"/>
      <c r="C5277" s="82"/>
    </row>
    <row r="5278" spans="1:3" x14ac:dyDescent="0.2">
      <c r="A5278" s="82"/>
      <c r="B5278" s="82"/>
      <c r="C5278" s="82"/>
    </row>
    <row r="5279" spans="1:3" x14ac:dyDescent="0.2">
      <c r="A5279" s="82"/>
      <c r="B5279" s="82"/>
      <c r="C5279" s="82"/>
    </row>
    <row r="5280" spans="1:3" x14ac:dyDescent="0.2">
      <c r="A5280" s="82"/>
      <c r="B5280" s="82"/>
      <c r="C5280" s="82"/>
    </row>
    <row r="5281" spans="1:3" x14ac:dyDescent="0.2">
      <c r="A5281" s="82"/>
      <c r="B5281" s="82"/>
      <c r="C5281" s="82"/>
    </row>
    <row r="5282" spans="1:3" x14ac:dyDescent="0.2">
      <c r="A5282" s="82"/>
      <c r="B5282" s="82"/>
      <c r="C5282" s="82"/>
    </row>
    <row r="5283" spans="1:3" x14ac:dyDescent="0.2">
      <c r="A5283" s="82"/>
      <c r="B5283" s="82"/>
      <c r="C5283" s="82"/>
    </row>
    <row r="5284" spans="1:3" x14ac:dyDescent="0.2">
      <c r="A5284" s="82"/>
      <c r="B5284" s="82"/>
      <c r="C5284" s="82"/>
    </row>
    <row r="5285" spans="1:3" x14ac:dyDescent="0.2">
      <c r="A5285" s="82"/>
      <c r="B5285" s="82"/>
      <c r="C5285" s="82"/>
    </row>
    <row r="5286" spans="1:3" x14ac:dyDescent="0.2">
      <c r="A5286" s="82"/>
      <c r="B5286" s="82"/>
      <c r="C5286" s="82"/>
    </row>
    <row r="5287" spans="1:3" x14ac:dyDescent="0.2">
      <c r="A5287" s="82"/>
      <c r="B5287" s="82"/>
      <c r="C5287" s="82"/>
    </row>
    <row r="5288" spans="1:3" x14ac:dyDescent="0.2">
      <c r="A5288" s="82"/>
      <c r="B5288" s="82"/>
      <c r="C5288" s="82"/>
    </row>
    <row r="5289" spans="1:3" x14ac:dyDescent="0.2">
      <c r="A5289" s="82"/>
      <c r="B5289" s="82"/>
      <c r="C5289" s="82"/>
    </row>
    <row r="5290" spans="1:3" x14ac:dyDescent="0.2">
      <c r="A5290" s="82"/>
      <c r="B5290" s="82"/>
      <c r="C5290" s="82"/>
    </row>
    <row r="5291" spans="1:3" x14ac:dyDescent="0.2">
      <c r="A5291" s="82"/>
      <c r="B5291" s="82"/>
      <c r="C5291" s="82"/>
    </row>
    <row r="5292" spans="1:3" x14ac:dyDescent="0.2">
      <c r="A5292" s="82"/>
      <c r="B5292" s="82"/>
      <c r="C5292" s="82"/>
    </row>
    <row r="5293" spans="1:3" x14ac:dyDescent="0.2">
      <c r="A5293" s="82"/>
      <c r="B5293" s="82"/>
      <c r="C5293" s="82"/>
    </row>
    <row r="5294" spans="1:3" x14ac:dyDescent="0.2">
      <c r="A5294" s="82"/>
      <c r="B5294" s="82"/>
      <c r="C5294" s="82"/>
    </row>
    <row r="5295" spans="1:3" x14ac:dyDescent="0.2">
      <c r="A5295" s="82"/>
      <c r="B5295" s="82"/>
      <c r="C5295" s="82"/>
    </row>
    <row r="5296" spans="1:3" x14ac:dyDescent="0.2">
      <c r="A5296" s="82"/>
      <c r="B5296" s="82"/>
      <c r="C5296" s="82"/>
    </row>
    <row r="5297" spans="1:3" x14ac:dyDescent="0.2">
      <c r="A5297" s="82"/>
      <c r="B5297" s="82"/>
      <c r="C5297" s="82"/>
    </row>
    <row r="5298" spans="1:3" x14ac:dyDescent="0.2">
      <c r="A5298" s="82"/>
      <c r="B5298" s="82"/>
      <c r="C5298" s="82"/>
    </row>
    <row r="5299" spans="1:3" x14ac:dyDescent="0.2">
      <c r="A5299" s="82"/>
      <c r="B5299" s="82"/>
      <c r="C5299" s="82"/>
    </row>
    <row r="5300" spans="1:3" x14ac:dyDescent="0.2">
      <c r="A5300" s="82"/>
      <c r="B5300" s="82"/>
      <c r="C5300" s="82"/>
    </row>
    <row r="5301" spans="1:3" x14ac:dyDescent="0.2">
      <c r="A5301" s="82"/>
      <c r="B5301" s="82"/>
      <c r="C5301" s="82"/>
    </row>
    <row r="5302" spans="1:3" x14ac:dyDescent="0.2">
      <c r="A5302" s="82"/>
      <c r="B5302" s="82"/>
      <c r="C5302" s="82"/>
    </row>
    <row r="5303" spans="1:3" x14ac:dyDescent="0.2">
      <c r="A5303" s="82"/>
      <c r="B5303" s="82"/>
      <c r="C5303" s="82"/>
    </row>
    <row r="5304" spans="1:3" x14ac:dyDescent="0.2">
      <c r="A5304" s="82"/>
      <c r="B5304" s="82"/>
      <c r="C5304" s="82"/>
    </row>
    <row r="5305" spans="1:3" x14ac:dyDescent="0.2">
      <c r="A5305" s="82"/>
      <c r="B5305" s="82"/>
      <c r="C5305" s="82"/>
    </row>
    <row r="5306" spans="1:3" x14ac:dyDescent="0.2">
      <c r="A5306" s="82"/>
      <c r="B5306" s="82"/>
      <c r="C5306" s="82"/>
    </row>
    <row r="5307" spans="1:3" x14ac:dyDescent="0.2">
      <c r="A5307" s="82"/>
      <c r="B5307" s="82"/>
      <c r="C5307" s="82"/>
    </row>
    <row r="5308" spans="1:3" x14ac:dyDescent="0.2">
      <c r="A5308" s="82"/>
      <c r="B5308" s="82"/>
      <c r="C5308" s="82"/>
    </row>
    <row r="5309" spans="1:3" x14ac:dyDescent="0.2">
      <c r="A5309" s="82"/>
      <c r="B5309" s="82"/>
      <c r="C5309" s="82"/>
    </row>
    <row r="5310" spans="1:3" x14ac:dyDescent="0.2">
      <c r="A5310" s="82"/>
      <c r="B5310" s="82"/>
      <c r="C5310" s="82"/>
    </row>
    <row r="5311" spans="1:3" x14ac:dyDescent="0.2">
      <c r="A5311" s="82"/>
      <c r="B5311" s="82"/>
      <c r="C5311" s="82"/>
    </row>
    <row r="5312" spans="1:3" x14ac:dyDescent="0.2">
      <c r="A5312" s="82"/>
      <c r="B5312" s="82"/>
      <c r="C5312" s="82"/>
    </row>
    <row r="5313" spans="1:3" x14ac:dyDescent="0.2">
      <c r="A5313" s="82"/>
      <c r="B5313" s="82"/>
      <c r="C5313" s="82"/>
    </row>
    <row r="5314" spans="1:3" x14ac:dyDescent="0.2">
      <c r="A5314" s="82"/>
      <c r="B5314" s="82"/>
      <c r="C5314" s="82"/>
    </row>
    <row r="5315" spans="1:3" x14ac:dyDescent="0.2">
      <c r="A5315" s="82"/>
      <c r="B5315" s="82"/>
      <c r="C5315" s="82"/>
    </row>
    <row r="5316" spans="1:3" x14ac:dyDescent="0.2">
      <c r="A5316" s="82"/>
      <c r="B5316" s="82"/>
      <c r="C5316" s="82"/>
    </row>
    <row r="5317" spans="1:3" x14ac:dyDescent="0.2">
      <c r="A5317" s="82"/>
      <c r="B5317" s="82"/>
      <c r="C5317" s="82"/>
    </row>
    <row r="5318" spans="1:3" x14ac:dyDescent="0.2">
      <c r="A5318" s="82"/>
      <c r="B5318" s="82"/>
      <c r="C5318" s="82"/>
    </row>
    <row r="5319" spans="1:3" x14ac:dyDescent="0.2">
      <c r="A5319" s="82"/>
      <c r="B5319" s="82"/>
      <c r="C5319" s="82"/>
    </row>
    <row r="5320" spans="1:3" x14ac:dyDescent="0.2">
      <c r="A5320" s="82"/>
      <c r="B5320" s="82"/>
      <c r="C5320" s="82"/>
    </row>
    <row r="5321" spans="1:3" x14ac:dyDescent="0.2">
      <c r="A5321" s="82"/>
      <c r="B5321" s="82"/>
      <c r="C5321" s="82"/>
    </row>
    <row r="5322" spans="1:3" x14ac:dyDescent="0.2">
      <c r="A5322" s="82"/>
      <c r="B5322" s="82"/>
      <c r="C5322" s="82"/>
    </row>
    <row r="5323" spans="1:3" x14ac:dyDescent="0.2">
      <c r="A5323" s="82"/>
      <c r="B5323" s="82"/>
      <c r="C5323" s="82"/>
    </row>
    <row r="5324" spans="1:3" x14ac:dyDescent="0.2">
      <c r="A5324" s="82"/>
      <c r="B5324" s="82"/>
      <c r="C5324" s="82"/>
    </row>
    <row r="5325" spans="1:3" x14ac:dyDescent="0.2">
      <c r="A5325" s="82"/>
      <c r="B5325" s="82"/>
      <c r="C5325" s="82"/>
    </row>
    <row r="5326" spans="1:3" x14ac:dyDescent="0.2">
      <c r="A5326" s="82"/>
      <c r="B5326" s="82"/>
      <c r="C5326" s="82"/>
    </row>
    <row r="5327" spans="1:3" x14ac:dyDescent="0.2">
      <c r="A5327" s="82"/>
      <c r="B5327" s="82"/>
      <c r="C5327" s="82"/>
    </row>
    <row r="5328" spans="1:3" x14ac:dyDescent="0.2">
      <c r="A5328" s="82"/>
      <c r="B5328" s="82"/>
      <c r="C5328" s="82"/>
    </row>
    <row r="5329" spans="1:3" x14ac:dyDescent="0.2">
      <c r="A5329" s="82"/>
      <c r="B5329" s="82"/>
      <c r="C5329" s="82"/>
    </row>
    <row r="5330" spans="1:3" x14ac:dyDescent="0.2">
      <c r="A5330" s="82"/>
      <c r="B5330" s="82"/>
      <c r="C5330" s="82"/>
    </row>
    <row r="5331" spans="1:3" x14ac:dyDescent="0.2">
      <c r="A5331" s="82"/>
      <c r="B5331" s="82"/>
      <c r="C5331" s="82"/>
    </row>
    <row r="5332" spans="1:3" x14ac:dyDescent="0.2">
      <c r="A5332" s="82"/>
      <c r="B5332" s="82"/>
      <c r="C5332" s="82"/>
    </row>
    <row r="5333" spans="1:3" x14ac:dyDescent="0.2">
      <c r="A5333" s="82"/>
      <c r="B5333" s="82"/>
      <c r="C5333" s="82"/>
    </row>
    <row r="5334" spans="1:3" x14ac:dyDescent="0.2">
      <c r="A5334" s="82"/>
      <c r="B5334" s="82"/>
      <c r="C5334" s="82"/>
    </row>
    <row r="5335" spans="1:3" x14ac:dyDescent="0.2">
      <c r="A5335" s="82"/>
      <c r="B5335" s="82"/>
      <c r="C5335" s="82"/>
    </row>
    <row r="5336" spans="1:3" x14ac:dyDescent="0.2">
      <c r="A5336" s="82"/>
      <c r="B5336" s="82"/>
      <c r="C5336" s="82"/>
    </row>
    <row r="5337" spans="1:3" x14ac:dyDescent="0.2">
      <c r="A5337" s="82"/>
      <c r="B5337" s="82"/>
      <c r="C5337" s="82"/>
    </row>
    <row r="5338" spans="1:3" x14ac:dyDescent="0.2">
      <c r="A5338" s="82"/>
      <c r="B5338" s="82"/>
      <c r="C5338" s="82"/>
    </row>
    <row r="5339" spans="1:3" x14ac:dyDescent="0.2">
      <c r="A5339" s="82"/>
      <c r="B5339" s="82"/>
      <c r="C5339" s="82"/>
    </row>
    <row r="5340" spans="1:3" x14ac:dyDescent="0.2">
      <c r="A5340" s="82"/>
      <c r="B5340" s="82"/>
      <c r="C5340" s="82"/>
    </row>
    <row r="5341" spans="1:3" x14ac:dyDescent="0.2">
      <c r="A5341" s="82"/>
      <c r="B5341" s="82"/>
      <c r="C5341" s="82"/>
    </row>
    <row r="5342" spans="1:3" x14ac:dyDescent="0.2">
      <c r="A5342" s="82"/>
      <c r="B5342" s="82"/>
      <c r="C5342" s="82"/>
    </row>
    <row r="5343" spans="1:3" x14ac:dyDescent="0.2">
      <c r="A5343" s="82"/>
      <c r="B5343" s="82"/>
      <c r="C5343" s="82"/>
    </row>
    <row r="5344" spans="1:3" x14ac:dyDescent="0.2">
      <c r="A5344" s="82"/>
      <c r="B5344" s="82"/>
      <c r="C5344" s="82"/>
    </row>
    <row r="5345" spans="1:3" x14ac:dyDescent="0.2">
      <c r="A5345" s="82"/>
      <c r="B5345" s="82"/>
      <c r="C5345" s="82"/>
    </row>
    <row r="5346" spans="1:3" x14ac:dyDescent="0.2">
      <c r="A5346" s="82"/>
      <c r="B5346" s="82"/>
      <c r="C5346" s="82"/>
    </row>
    <row r="5347" spans="1:3" x14ac:dyDescent="0.2">
      <c r="A5347" s="82"/>
      <c r="B5347" s="82"/>
      <c r="C5347" s="82"/>
    </row>
    <row r="5348" spans="1:3" x14ac:dyDescent="0.2">
      <c r="A5348" s="82"/>
      <c r="B5348" s="82"/>
      <c r="C5348" s="82"/>
    </row>
    <row r="5349" spans="1:3" x14ac:dyDescent="0.2">
      <c r="A5349" s="82"/>
      <c r="B5349" s="82"/>
      <c r="C5349" s="82"/>
    </row>
    <row r="5350" spans="1:3" x14ac:dyDescent="0.2">
      <c r="A5350" s="82"/>
      <c r="B5350" s="82"/>
      <c r="C5350" s="82"/>
    </row>
    <row r="5351" spans="1:3" x14ac:dyDescent="0.2">
      <c r="A5351" s="82"/>
      <c r="B5351" s="82"/>
      <c r="C5351" s="82"/>
    </row>
    <row r="5352" spans="1:3" x14ac:dyDescent="0.2">
      <c r="A5352" s="82"/>
      <c r="B5352" s="82"/>
      <c r="C5352" s="82"/>
    </row>
    <row r="5353" spans="1:3" x14ac:dyDescent="0.2">
      <c r="A5353" s="82"/>
      <c r="B5353" s="82"/>
      <c r="C5353" s="82"/>
    </row>
    <row r="5354" spans="1:3" x14ac:dyDescent="0.2">
      <c r="A5354" s="82"/>
      <c r="B5354" s="82"/>
      <c r="C5354" s="82"/>
    </row>
    <row r="5355" spans="1:3" x14ac:dyDescent="0.2">
      <c r="A5355" s="82"/>
      <c r="B5355" s="82"/>
      <c r="C5355" s="82"/>
    </row>
    <row r="5356" spans="1:3" x14ac:dyDescent="0.2">
      <c r="A5356" s="82"/>
      <c r="B5356" s="82"/>
      <c r="C5356" s="82"/>
    </row>
    <row r="5357" spans="1:3" x14ac:dyDescent="0.2">
      <c r="A5357" s="82"/>
      <c r="B5357" s="82"/>
      <c r="C5357" s="82"/>
    </row>
    <row r="5358" spans="1:3" x14ac:dyDescent="0.2">
      <c r="A5358" s="82"/>
      <c r="B5358" s="82"/>
      <c r="C5358" s="82"/>
    </row>
    <row r="5359" spans="1:3" x14ac:dyDescent="0.2">
      <c r="A5359" s="82"/>
      <c r="B5359" s="82"/>
      <c r="C5359" s="82"/>
    </row>
    <row r="5360" spans="1:3" x14ac:dyDescent="0.2">
      <c r="A5360" s="82"/>
      <c r="B5360" s="82"/>
      <c r="C5360" s="82"/>
    </row>
    <row r="5361" spans="1:3" x14ac:dyDescent="0.2">
      <c r="A5361" s="82"/>
      <c r="B5361" s="82"/>
      <c r="C5361" s="82"/>
    </row>
    <row r="5362" spans="1:3" x14ac:dyDescent="0.2">
      <c r="A5362" s="82"/>
      <c r="B5362" s="82"/>
      <c r="C5362" s="82"/>
    </row>
    <row r="5363" spans="1:3" x14ac:dyDescent="0.2">
      <c r="A5363" s="82"/>
      <c r="B5363" s="82"/>
      <c r="C5363" s="82"/>
    </row>
    <row r="5364" spans="1:3" x14ac:dyDescent="0.2">
      <c r="A5364" s="82"/>
      <c r="B5364" s="82"/>
      <c r="C5364" s="82"/>
    </row>
    <row r="5365" spans="1:3" x14ac:dyDescent="0.2">
      <c r="A5365" s="82"/>
      <c r="B5365" s="82"/>
      <c r="C5365" s="82"/>
    </row>
    <row r="5366" spans="1:3" x14ac:dyDescent="0.2">
      <c r="A5366" s="82"/>
      <c r="B5366" s="82"/>
      <c r="C5366" s="82"/>
    </row>
    <row r="5367" spans="1:3" x14ac:dyDescent="0.2">
      <c r="A5367" s="82"/>
      <c r="B5367" s="82"/>
      <c r="C5367" s="82"/>
    </row>
    <row r="5368" spans="1:3" x14ac:dyDescent="0.2">
      <c r="A5368" s="82"/>
      <c r="B5368" s="82"/>
      <c r="C5368" s="82"/>
    </row>
    <row r="5369" spans="1:3" x14ac:dyDescent="0.2">
      <c r="A5369" s="82"/>
      <c r="B5369" s="82"/>
      <c r="C5369" s="82"/>
    </row>
    <row r="5370" spans="1:3" x14ac:dyDescent="0.2">
      <c r="A5370" s="82"/>
      <c r="B5370" s="82"/>
      <c r="C5370" s="82"/>
    </row>
    <row r="5371" spans="1:3" x14ac:dyDescent="0.2">
      <c r="A5371" s="82"/>
      <c r="B5371" s="82"/>
      <c r="C5371" s="82"/>
    </row>
    <row r="5372" spans="1:3" x14ac:dyDescent="0.2">
      <c r="A5372" s="82"/>
      <c r="B5372" s="82"/>
      <c r="C5372" s="82"/>
    </row>
    <row r="5373" spans="1:3" x14ac:dyDescent="0.2">
      <c r="A5373" s="82"/>
      <c r="B5373" s="82"/>
      <c r="C5373" s="82"/>
    </row>
    <row r="5374" spans="1:3" x14ac:dyDescent="0.2">
      <c r="A5374" s="82"/>
      <c r="B5374" s="82"/>
      <c r="C5374" s="82"/>
    </row>
    <row r="5375" spans="1:3" x14ac:dyDescent="0.2">
      <c r="A5375" s="82"/>
      <c r="B5375" s="82"/>
      <c r="C5375" s="82"/>
    </row>
    <row r="5376" spans="1:3" x14ac:dyDescent="0.2">
      <c r="A5376" s="82"/>
      <c r="B5376" s="82"/>
      <c r="C5376" s="82"/>
    </row>
    <row r="5377" spans="1:3" x14ac:dyDescent="0.2">
      <c r="A5377" s="82"/>
      <c r="B5377" s="82"/>
      <c r="C5377" s="82"/>
    </row>
    <row r="5378" spans="1:3" x14ac:dyDescent="0.2">
      <c r="A5378" s="82"/>
      <c r="B5378" s="82"/>
      <c r="C5378" s="82"/>
    </row>
    <row r="5379" spans="1:3" x14ac:dyDescent="0.2">
      <c r="A5379" s="82"/>
      <c r="B5379" s="82"/>
      <c r="C5379" s="82"/>
    </row>
    <row r="5380" spans="1:3" x14ac:dyDescent="0.2">
      <c r="A5380" s="82"/>
      <c r="B5380" s="82"/>
      <c r="C5380" s="82"/>
    </row>
    <row r="5381" spans="1:3" x14ac:dyDescent="0.2">
      <c r="A5381" s="82"/>
      <c r="B5381" s="82"/>
      <c r="C5381" s="82"/>
    </row>
    <row r="5382" spans="1:3" x14ac:dyDescent="0.2">
      <c r="A5382" s="82"/>
      <c r="B5382" s="82"/>
      <c r="C5382" s="82"/>
    </row>
    <row r="5383" spans="1:3" x14ac:dyDescent="0.2">
      <c r="A5383" s="82"/>
      <c r="B5383" s="82"/>
      <c r="C5383" s="82"/>
    </row>
    <row r="5384" spans="1:3" x14ac:dyDescent="0.2">
      <c r="A5384" s="82"/>
      <c r="B5384" s="82"/>
      <c r="C5384" s="82"/>
    </row>
    <row r="5385" spans="1:3" x14ac:dyDescent="0.2">
      <c r="A5385" s="82"/>
      <c r="B5385" s="82"/>
      <c r="C5385" s="82"/>
    </row>
    <row r="5386" spans="1:3" x14ac:dyDescent="0.2">
      <c r="A5386" s="82"/>
      <c r="B5386" s="82"/>
      <c r="C5386" s="82"/>
    </row>
    <row r="5387" spans="1:3" x14ac:dyDescent="0.2">
      <c r="A5387" s="82"/>
      <c r="B5387" s="82"/>
      <c r="C5387" s="82"/>
    </row>
    <row r="5388" spans="1:3" x14ac:dyDescent="0.2">
      <c r="A5388" s="82"/>
      <c r="B5388" s="82"/>
      <c r="C5388" s="82"/>
    </row>
    <row r="5389" spans="1:3" x14ac:dyDescent="0.2">
      <c r="A5389" s="82"/>
      <c r="B5389" s="82"/>
      <c r="C5389" s="82"/>
    </row>
    <row r="5390" spans="1:3" x14ac:dyDescent="0.2">
      <c r="A5390" s="82"/>
      <c r="B5390" s="82"/>
      <c r="C5390" s="82"/>
    </row>
    <row r="5391" spans="1:3" x14ac:dyDescent="0.2">
      <c r="A5391" s="82"/>
      <c r="B5391" s="82"/>
      <c r="C5391" s="82"/>
    </row>
    <row r="5392" spans="1:3" x14ac:dyDescent="0.2">
      <c r="A5392" s="82"/>
      <c r="B5392" s="82"/>
      <c r="C5392" s="82"/>
    </row>
    <row r="5393" spans="1:3" x14ac:dyDescent="0.2">
      <c r="A5393" s="82"/>
      <c r="B5393" s="82"/>
      <c r="C5393" s="82"/>
    </row>
    <row r="5394" spans="1:3" x14ac:dyDescent="0.2">
      <c r="A5394" s="82"/>
      <c r="B5394" s="82"/>
      <c r="C5394" s="82"/>
    </row>
    <row r="5395" spans="1:3" x14ac:dyDescent="0.2">
      <c r="A5395" s="82"/>
      <c r="B5395" s="82"/>
      <c r="C5395" s="82"/>
    </row>
    <row r="5396" spans="1:3" x14ac:dyDescent="0.2">
      <c r="A5396" s="82"/>
      <c r="B5396" s="82"/>
      <c r="C5396" s="82"/>
    </row>
    <row r="5397" spans="1:3" x14ac:dyDescent="0.2">
      <c r="A5397" s="82"/>
      <c r="B5397" s="82"/>
      <c r="C5397" s="82"/>
    </row>
    <row r="5398" spans="1:3" x14ac:dyDescent="0.2">
      <c r="A5398" s="82"/>
      <c r="B5398" s="82"/>
      <c r="C5398" s="82"/>
    </row>
    <row r="5399" spans="1:3" x14ac:dyDescent="0.2">
      <c r="A5399" s="82"/>
      <c r="B5399" s="82"/>
      <c r="C5399" s="82"/>
    </row>
    <row r="5400" spans="1:3" x14ac:dyDescent="0.2">
      <c r="A5400" s="82"/>
      <c r="B5400" s="82"/>
      <c r="C5400" s="82"/>
    </row>
    <row r="5401" spans="1:3" x14ac:dyDescent="0.2">
      <c r="A5401" s="82"/>
      <c r="B5401" s="82"/>
      <c r="C5401" s="82"/>
    </row>
    <row r="5402" spans="1:3" x14ac:dyDescent="0.2">
      <c r="A5402" s="82"/>
      <c r="B5402" s="82"/>
      <c r="C5402" s="82"/>
    </row>
    <row r="5403" spans="1:3" x14ac:dyDescent="0.2">
      <c r="A5403" s="82"/>
      <c r="B5403" s="82"/>
      <c r="C5403" s="82"/>
    </row>
    <row r="5404" spans="1:3" x14ac:dyDescent="0.2">
      <c r="A5404" s="82"/>
      <c r="B5404" s="82"/>
      <c r="C5404" s="82"/>
    </row>
    <row r="5405" spans="1:3" x14ac:dyDescent="0.2">
      <c r="A5405" s="82"/>
      <c r="B5405" s="82"/>
      <c r="C5405" s="82"/>
    </row>
    <row r="5406" spans="1:3" x14ac:dyDescent="0.2">
      <c r="A5406" s="82"/>
      <c r="B5406" s="82"/>
      <c r="C5406" s="82"/>
    </row>
    <row r="5407" spans="1:3" x14ac:dyDescent="0.2">
      <c r="A5407" s="82"/>
      <c r="B5407" s="82"/>
      <c r="C5407" s="82"/>
    </row>
    <row r="5408" spans="1:3" x14ac:dyDescent="0.2">
      <c r="A5408" s="82"/>
      <c r="B5408" s="82"/>
      <c r="C5408" s="82"/>
    </row>
    <row r="5409" spans="1:3" x14ac:dyDescent="0.2">
      <c r="A5409" s="82"/>
      <c r="B5409" s="82"/>
      <c r="C5409" s="82"/>
    </row>
    <row r="5410" spans="1:3" x14ac:dyDescent="0.2">
      <c r="A5410" s="82"/>
      <c r="B5410" s="82"/>
      <c r="C5410" s="82"/>
    </row>
    <row r="5411" spans="1:3" x14ac:dyDescent="0.2">
      <c r="A5411" s="82"/>
      <c r="B5411" s="82"/>
      <c r="C5411" s="82"/>
    </row>
    <row r="5412" spans="1:3" x14ac:dyDescent="0.2">
      <c r="A5412" s="82"/>
      <c r="B5412" s="82"/>
      <c r="C5412" s="82"/>
    </row>
    <row r="5413" spans="1:3" x14ac:dyDescent="0.2">
      <c r="A5413" s="82"/>
      <c r="B5413" s="82"/>
      <c r="C5413" s="82"/>
    </row>
    <row r="5414" spans="1:3" x14ac:dyDescent="0.2">
      <c r="A5414" s="82"/>
      <c r="B5414" s="82"/>
      <c r="C5414" s="82"/>
    </row>
    <row r="5415" spans="1:3" x14ac:dyDescent="0.2">
      <c r="A5415" s="82"/>
      <c r="B5415" s="82"/>
      <c r="C5415" s="82"/>
    </row>
    <row r="5416" spans="1:3" x14ac:dyDescent="0.2">
      <c r="A5416" s="82"/>
      <c r="B5416" s="82"/>
      <c r="C5416" s="82"/>
    </row>
    <row r="5417" spans="1:3" x14ac:dyDescent="0.2">
      <c r="A5417" s="82"/>
      <c r="B5417" s="82"/>
      <c r="C5417" s="82"/>
    </row>
    <row r="5418" spans="1:3" x14ac:dyDescent="0.2">
      <c r="A5418" s="82"/>
      <c r="B5418" s="82"/>
      <c r="C5418" s="82"/>
    </row>
    <row r="5419" spans="1:3" x14ac:dyDescent="0.2">
      <c r="A5419" s="82"/>
      <c r="B5419" s="82"/>
      <c r="C5419" s="82"/>
    </row>
    <row r="5420" spans="1:3" x14ac:dyDescent="0.2">
      <c r="A5420" s="82"/>
      <c r="B5420" s="82"/>
      <c r="C5420" s="82"/>
    </row>
    <row r="5421" spans="1:3" x14ac:dyDescent="0.2">
      <c r="A5421" s="82"/>
      <c r="B5421" s="82"/>
      <c r="C5421" s="82"/>
    </row>
    <row r="5422" spans="1:3" x14ac:dyDescent="0.2">
      <c r="A5422" s="82"/>
      <c r="B5422" s="82"/>
      <c r="C5422" s="82"/>
    </row>
    <row r="5423" spans="1:3" x14ac:dyDescent="0.2">
      <c r="A5423" s="82"/>
      <c r="B5423" s="82"/>
      <c r="C5423" s="82"/>
    </row>
    <row r="5424" spans="1:3" x14ac:dyDescent="0.2">
      <c r="A5424" s="82"/>
      <c r="B5424" s="82"/>
      <c r="C5424" s="82"/>
    </row>
    <row r="5425" spans="1:3" x14ac:dyDescent="0.2">
      <c r="A5425" s="82"/>
      <c r="B5425" s="82"/>
      <c r="C5425" s="82"/>
    </row>
    <row r="5426" spans="1:3" x14ac:dyDescent="0.2">
      <c r="A5426" s="82"/>
      <c r="B5426" s="82"/>
      <c r="C5426" s="82"/>
    </row>
    <row r="5427" spans="1:3" x14ac:dyDescent="0.2">
      <c r="A5427" s="82"/>
      <c r="B5427" s="82"/>
      <c r="C5427" s="82"/>
    </row>
    <row r="5428" spans="1:3" x14ac:dyDescent="0.2">
      <c r="A5428" s="82"/>
      <c r="B5428" s="82"/>
      <c r="C5428" s="82"/>
    </row>
    <row r="5429" spans="1:3" x14ac:dyDescent="0.2">
      <c r="A5429" s="82"/>
      <c r="B5429" s="82"/>
      <c r="C5429" s="82"/>
    </row>
    <row r="5430" spans="1:3" x14ac:dyDescent="0.2">
      <c r="A5430" s="82"/>
      <c r="B5430" s="82"/>
      <c r="C5430" s="82"/>
    </row>
    <row r="5431" spans="1:3" x14ac:dyDescent="0.2">
      <c r="A5431" s="82"/>
      <c r="B5431" s="82"/>
      <c r="C5431" s="82"/>
    </row>
    <row r="5432" spans="1:3" x14ac:dyDescent="0.2">
      <c r="A5432" s="82"/>
      <c r="B5432" s="82"/>
      <c r="C5432" s="82"/>
    </row>
    <row r="5433" spans="1:3" x14ac:dyDescent="0.2">
      <c r="A5433" s="82"/>
      <c r="B5433" s="82"/>
      <c r="C5433" s="82"/>
    </row>
    <row r="5434" spans="1:3" x14ac:dyDescent="0.2">
      <c r="A5434" s="82"/>
      <c r="B5434" s="82"/>
      <c r="C5434" s="82"/>
    </row>
    <row r="5435" spans="1:3" x14ac:dyDescent="0.2">
      <c r="A5435" s="82"/>
      <c r="B5435" s="82"/>
      <c r="C5435" s="82"/>
    </row>
    <row r="5436" spans="1:3" x14ac:dyDescent="0.2">
      <c r="A5436" s="82"/>
      <c r="B5436" s="82"/>
      <c r="C5436" s="82"/>
    </row>
    <row r="5437" spans="1:3" x14ac:dyDescent="0.2">
      <c r="A5437" s="82"/>
      <c r="B5437" s="82"/>
      <c r="C5437" s="82"/>
    </row>
    <row r="5438" spans="1:3" x14ac:dyDescent="0.2">
      <c r="A5438" s="82"/>
      <c r="B5438" s="82"/>
      <c r="C5438" s="82"/>
    </row>
    <row r="5439" spans="1:3" x14ac:dyDescent="0.2">
      <c r="A5439" s="82"/>
      <c r="B5439" s="82"/>
      <c r="C5439" s="82"/>
    </row>
    <row r="5440" spans="1:3" x14ac:dyDescent="0.2">
      <c r="A5440" s="82"/>
      <c r="B5440" s="82"/>
      <c r="C5440" s="82"/>
    </row>
    <row r="5441" spans="1:3" x14ac:dyDescent="0.2">
      <c r="A5441" s="82"/>
      <c r="B5441" s="82"/>
      <c r="C5441" s="82"/>
    </row>
    <row r="5442" spans="1:3" x14ac:dyDescent="0.2">
      <c r="A5442" s="82"/>
      <c r="B5442" s="82"/>
      <c r="C5442" s="82"/>
    </row>
    <row r="5443" spans="1:3" x14ac:dyDescent="0.2">
      <c r="A5443" s="82"/>
      <c r="B5443" s="82"/>
      <c r="C5443" s="82"/>
    </row>
    <row r="5444" spans="1:3" x14ac:dyDescent="0.2">
      <c r="A5444" s="82"/>
      <c r="B5444" s="82"/>
      <c r="C5444" s="82"/>
    </row>
    <row r="5445" spans="1:3" x14ac:dyDescent="0.2">
      <c r="A5445" s="82"/>
      <c r="B5445" s="82"/>
      <c r="C5445" s="82"/>
    </row>
    <row r="5446" spans="1:3" x14ac:dyDescent="0.2">
      <c r="A5446" s="82"/>
      <c r="B5446" s="82"/>
      <c r="C5446" s="82"/>
    </row>
    <row r="5447" spans="1:3" x14ac:dyDescent="0.2">
      <c r="A5447" s="82"/>
      <c r="B5447" s="82"/>
      <c r="C5447" s="82"/>
    </row>
    <row r="5448" spans="1:3" x14ac:dyDescent="0.2">
      <c r="A5448" s="82"/>
      <c r="B5448" s="82"/>
      <c r="C5448" s="82"/>
    </row>
    <row r="5449" spans="1:3" x14ac:dyDescent="0.2">
      <c r="A5449" s="82"/>
      <c r="B5449" s="82"/>
      <c r="C5449" s="82"/>
    </row>
    <row r="5450" spans="1:3" x14ac:dyDescent="0.2">
      <c r="A5450" s="82"/>
      <c r="B5450" s="82"/>
      <c r="C5450" s="82"/>
    </row>
    <row r="5451" spans="1:3" x14ac:dyDescent="0.2">
      <c r="A5451" s="82"/>
      <c r="B5451" s="82"/>
      <c r="C5451" s="82"/>
    </row>
    <row r="5452" spans="1:3" x14ac:dyDescent="0.2">
      <c r="A5452" s="82"/>
      <c r="B5452" s="82"/>
      <c r="C5452" s="82"/>
    </row>
    <row r="5453" spans="1:3" x14ac:dyDescent="0.2">
      <c r="A5453" s="82"/>
      <c r="B5453" s="82"/>
      <c r="C5453" s="82"/>
    </row>
    <row r="5454" spans="1:3" x14ac:dyDescent="0.2">
      <c r="A5454" s="82"/>
      <c r="B5454" s="82"/>
      <c r="C5454" s="82"/>
    </row>
    <row r="5455" spans="1:3" x14ac:dyDescent="0.2">
      <c r="A5455" s="82"/>
      <c r="B5455" s="82"/>
      <c r="C5455" s="82"/>
    </row>
    <row r="5456" spans="1:3" x14ac:dyDescent="0.2">
      <c r="A5456" s="82"/>
      <c r="B5456" s="82"/>
      <c r="C5456" s="82"/>
    </row>
    <row r="5457" spans="1:3" x14ac:dyDescent="0.2">
      <c r="A5457" s="82"/>
      <c r="B5457" s="82"/>
      <c r="C5457" s="82"/>
    </row>
    <row r="5458" spans="1:3" x14ac:dyDescent="0.2">
      <c r="A5458" s="82"/>
      <c r="B5458" s="82"/>
      <c r="C5458" s="82"/>
    </row>
    <row r="5459" spans="1:3" x14ac:dyDescent="0.2">
      <c r="A5459" s="82"/>
      <c r="B5459" s="82"/>
      <c r="C5459" s="82"/>
    </row>
    <row r="5460" spans="1:3" x14ac:dyDescent="0.2">
      <c r="A5460" s="82"/>
      <c r="B5460" s="82"/>
      <c r="C5460" s="82"/>
    </row>
    <row r="5461" spans="1:3" x14ac:dyDescent="0.2">
      <c r="A5461" s="82"/>
      <c r="B5461" s="82"/>
      <c r="C5461" s="82"/>
    </row>
    <row r="5462" spans="1:3" x14ac:dyDescent="0.2">
      <c r="A5462" s="82"/>
      <c r="B5462" s="82"/>
      <c r="C5462" s="82"/>
    </row>
    <row r="5463" spans="1:3" x14ac:dyDescent="0.2">
      <c r="A5463" s="82"/>
      <c r="B5463" s="82"/>
      <c r="C5463" s="82"/>
    </row>
    <row r="5464" spans="1:3" x14ac:dyDescent="0.2">
      <c r="A5464" s="82"/>
      <c r="B5464" s="82"/>
      <c r="C5464" s="82"/>
    </row>
    <row r="5465" spans="1:3" x14ac:dyDescent="0.2">
      <c r="A5465" s="82"/>
      <c r="B5465" s="82"/>
      <c r="C5465" s="82"/>
    </row>
    <row r="5466" spans="1:3" x14ac:dyDescent="0.2">
      <c r="A5466" s="82"/>
      <c r="B5466" s="82"/>
      <c r="C5466" s="82"/>
    </row>
    <row r="5467" spans="1:3" x14ac:dyDescent="0.2">
      <c r="A5467" s="82"/>
      <c r="B5467" s="82"/>
      <c r="C5467" s="82"/>
    </row>
    <row r="5468" spans="1:3" x14ac:dyDescent="0.2">
      <c r="A5468" s="82"/>
      <c r="B5468" s="82"/>
      <c r="C5468" s="82"/>
    </row>
    <row r="5469" spans="1:3" x14ac:dyDescent="0.2">
      <c r="A5469" s="82"/>
      <c r="B5469" s="82"/>
      <c r="C5469" s="82"/>
    </row>
    <row r="5470" spans="1:3" x14ac:dyDescent="0.2">
      <c r="A5470" s="82"/>
      <c r="B5470" s="82"/>
      <c r="C5470" s="82"/>
    </row>
    <row r="5471" spans="1:3" x14ac:dyDescent="0.2">
      <c r="A5471" s="82"/>
      <c r="B5471" s="82"/>
      <c r="C5471" s="82"/>
    </row>
    <row r="5472" spans="1:3" x14ac:dyDescent="0.2">
      <c r="A5472" s="82"/>
      <c r="B5472" s="82"/>
      <c r="C5472" s="82"/>
    </row>
    <row r="5473" spans="1:3" x14ac:dyDescent="0.2">
      <c r="A5473" s="82"/>
      <c r="B5473" s="82"/>
      <c r="C5473" s="82"/>
    </row>
    <row r="5474" spans="1:3" x14ac:dyDescent="0.2">
      <c r="A5474" s="82"/>
      <c r="B5474" s="82"/>
      <c r="C5474" s="82"/>
    </row>
    <row r="5475" spans="1:3" x14ac:dyDescent="0.2">
      <c r="A5475" s="82"/>
      <c r="B5475" s="82"/>
      <c r="C5475" s="82"/>
    </row>
    <row r="5476" spans="1:3" x14ac:dyDescent="0.2">
      <c r="A5476" s="82"/>
      <c r="B5476" s="82"/>
      <c r="C5476" s="82"/>
    </row>
    <row r="5477" spans="1:3" x14ac:dyDescent="0.2">
      <c r="A5477" s="82"/>
      <c r="B5477" s="82"/>
      <c r="C5477" s="82"/>
    </row>
    <row r="5478" spans="1:3" x14ac:dyDescent="0.2">
      <c r="A5478" s="82"/>
      <c r="B5478" s="82"/>
      <c r="C5478" s="82"/>
    </row>
    <row r="5479" spans="1:3" x14ac:dyDescent="0.2">
      <c r="A5479" s="82"/>
      <c r="B5479" s="82"/>
      <c r="C5479" s="82"/>
    </row>
    <row r="5480" spans="1:3" x14ac:dyDescent="0.2">
      <c r="A5480" s="82"/>
      <c r="B5480" s="82"/>
      <c r="C5480" s="82"/>
    </row>
    <row r="5481" spans="1:3" x14ac:dyDescent="0.2">
      <c r="A5481" s="82"/>
      <c r="B5481" s="82"/>
      <c r="C5481" s="82"/>
    </row>
    <row r="5482" spans="1:3" x14ac:dyDescent="0.2">
      <c r="A5482" s="82"/>
      <c r="B5482" s="82"/>
      <c r="C5482" s="82"/>
    </row>
    <row r="5483" spans="1:3" x14ac:dyDescent="0.2">
      <c r="A5483" s="82"/>
      <c r="B5483" s="82"/>
      <c r="C5483" s="82"/>
    </row>
    <row r="5484" spans="1:3" x14ac:dyDescent="0.2">
      <c r="A5484" s="82"/>
      <c r="B5484" s="82"/>
      <c r="C5484" s="82"/>
    </row>
    <row r="5485" spans="1:3" x14ac:dyDescent="0.2">
      <c r="A5485" s="82"/>
      <c r="B5485" s="82"/>
      <c r="C5485" s="82"/>
    </row>
    <row r="5486" spans="1:3" x14ac:dyDescent="0.2">
      <c r="A5486" s="82"/>
      <c r="B5486" s="82"/>
      <c r="C5486" s="82"/>
    </row>
    <row r="5487" spans="1:3" x14ac:dyDescent="0.2">
      <c r="A5487" s="82"/>
      <c r="B5487" s="82"/>
      <c r="C5487" s="82"/>
    </row>
    <row r="5488" spans="1:3" x14ac:dyDescent="0.2">
      <c r="A5488" s="82"/>
      <c r="B5488" s="82"/>
      <c r="C5488" s="82"/>
    </row>
    <row r="5489" spans="1:3" x14ac:dyDescent="0.2">
      <c r="A5489" s="82"/>
      <c r="B5489" s="82"/>
      <c r="C5489" s="82"/>
    </row>
    <row r="5490" spans="1:3" x14ac:dyDescent="0.2">
      <c r="A5490" s="82"/>
      <c r="B5490" s="82"/>
      <c r="C5490" s="82"/>
    </row>
    <row r="5491" spans="1:3" x14ac:dyDescent="0.2">
      <c r="A5491" s="82"/>
      <c r="B5491" s="82"/>
      <c r="C5491" s="82"/>
    </row>
    <row r="5492" spans="1:3" x14ac:dyDescent="0.2">
      <c r="A5492" s="82"/>
      <c r="B5492" s="82"/>
      <c r="C5492" s="82"/>
    </row>
    <row r="5493" spans="1:3" x14ac:dyDescent="0.2">
      <c r="A5493" s="82"/>
      <c r="B5493" s="82"/>
      <c r="C5493" s="82"/>
    </row>
    <row r="5494" spans="1:3" x14ac:dyDescent="0.2">
      <c r="A5494" s="82"/>
      <c r="B5494" s="82"/>
      <c r="C5494" s="82"/>
    </row>
    <row r="5495" spans="1:3" x14ac:dyDescent="0.2">
      <c r="A5495" s="82"/>
      <c r="B5495" s="82"/>
      <c r="C5495" s="82"/>
    </row>
    <row r="5496" spans="1:3" x14ac:dyDescent="0.2">
      <c r="A5496" s="82"/>
      <c r="B5496" s="82"/>
      <c r="C5496" s="82"/>
    </row>
    <row r="5497" spans="1:3" x14ac:dyDescent="0.2">
      <c r="A5497" s="82"/>
      <c r="B5497" s="82"/>
      <c r="C5497" s="82"/>
    </row>
    <row r="5498" spans="1:3" x14ac:dyDescent="0.2">
      <c r="A5498" s="82"/>
      <c r="B5498" s="82"/>
      <c r="C5498" s="82"/>
    </row>
    <row r="5499" spans="1:3" x14ac:dyDescent="0.2">
      <c r="A5499" s="82"/>
      <c r="B5499" s="82"/>
      <c r="C5499" s="82"/>
    </row>
    <row r="5500" spans="1:3" x14ac:dyDescent="0.2">
      <c r="A5500" s="82"/>
      <c r="B5500" s="82"/>
      <c r="C5500" s="82"/>
    </row>
    <row r="5501" spans="1:3" x14ac:dyDescent="0.2">
      <c r="A5501" s="82"/>
      <c r="B5501" s="82"/>
      <c r="C5501" s="82"/>
    </row>
    <row r="5502" spans="1:3" x14ac:dyDescent="0.2">
      <c r="A5502" s="82"/>
      <c r="B5502" s="82"/>
      <c r="C5502" s="82"/>
    </row>
    <row r="5503" spans="1:3" x14ac:dyDescent="0.2">
      <c r="A5503" s="82"/>
      <c r="B5503" s="82"/>
      <c r="C5503" s="82"/>
    </row>
    <row r="5504" spans="1:3" x14ac:dyDescent="0.2">
      <c r="A5504" s="82"/>
      <c r="B5504" s="82"/>
      <c r="C5504" s="82"/>
    </row>
    <row r="5505" spans="1:3" x14ac:dyDescent="0.2">
      <c r="A5505" s="82"/>
      <c r="B5505" s="82"/>
      <c r="C5505" s="82"/>
    </row>
    <row r="5506" spans="1:3" x14ac:dyDescent="0.2">
      <c r="A5506" s="82"/>
      <c r="B5506" s="82"/>
      <c r="C5506" s="82"/>
    </row>
    <row r="5507" spans="1:3" x14ac:dyDescent="0.2">
      <c r="A5507" s="82"/>
      <c r="B5507" s="82"/>
      <c r="C5507" s="82"/>
    </row>
    <row r="5508" spans="1:3" x14ac:dyDescent="0.2">
      <c r="A5508" s="82"/>
      <c r="B5508" s="82"/>
      <c r="C5508" s="82"/>
    </row>
    <row r="5509" spans="1:3" x14ac:dyDescent="0.2">
      <c r="A5509" s="82"/>
      <c r="B5509" s="82"/>
      <c r="C5509" s="82"/>
    </row>
    <row r="5510" spans="1:3" x14ac:dyDescent="0.2">
      <c r="A5510" s="82"/>
      <c r="B5510" s="82"/>
      <c r="C5510" s="82"/>
    </row>
    <row r="5511" spans="1:3" x14ac:dyDescent="0.2">
      <c r="A5511" s="82"/>
      <c r="B5511" s="82"/>
      <c r="C5511" s="82"/>
    </row>
    <row r="5512" spans="1:3" x14ac:dyDescent="0.2">
      <c r="A5512" s="82"/>
      <c r="B5512" s="82"/>
      <c r="C5512" s="82"/>
    </row>
    <row r="5513" spans="1:3" x14ac:dyDescent="0.2">
      <c r="A5513" s="82"/>
      <c r="B5513" s="82"/>
      <c r="C5513" s="82"/>
    </row>
    <row r="5514" spans="1:3" x14ac:dyDescent="0.2">
      <c r="A5514" s="82"/>
      <c r="B5514" s="82"/>
      <c r="C5514" s="82"/>
    </row>
    <row r="5515" spans="1:3" x14ac:dyDescent="0.2">
      <c r="A5515" s="82"/>
      <c r="B5515" s="82"/>
      <c r="C5515" s="82"/>
    </row>
    <row r="5516" spans="1:3" x14ac:dyDescent="0.2">
      <c r="A5516" s="82"/>
      <c r="B5516" s="82"/>
      <c r="C5516" s="82"/>
    </row>
    <row r="5517" spans="1:3" x14ac:dyDescent="0.2">
      <c r="A5517" s="82"/>
      <c r="B5517" s="82"/>
      <c r="C5517" s="82"/>
    </row>
    <row r="5518" spans="1:3" x14ac:dyDescent="0.2">
      <c r="A5518" s="82"/>
      <c r="B5518" s="82"/>
      <c r="C5518" s="82"/>
    </row>
    <row r="5519" spans="1:3" x14ac:dyDescent="0.2">
      <c r="A5519" s="82"/>
      <c r="B5519" s="82"/>
      <c r="C5519" s="82"/>
    </row>
    <row r="5520" spans="1:3" x14ac:dyDescent="0.2">
      <c r="A5520" s="82"/>
      <c r="B5520" s="82"/>
      <c r="C5520" s="82"/>
    </row>
    <row r="5521" spans="1:3" x14ac:dyDescent="0.2">
      <c r="A5521" s="82"/>
      <c r="B5521" s="82"/>
      <c r="C5521" s="82"/>
    </row>
    <row r="5522" spans="1:3" x14ac:dyDescent="0.2">
      <c r="A5522" s="82"/>
      <c r="B5522" s="82"/>
      <c r="C5522" s="82"/>
    </row>
    <row r="5523" spans="1:3" x14ac:dyDescent="0.2">
      <c r="A5523" s="82"/>
      <c r="B5523" s="82"/>
      <c r="C5523" s="82"/>
    </row>
    <row r="5524" spans="1:3" x14ac:dyDescent="0.2">
      <c r="A5524" s="82"/>
      <c r="B5524" s="82"/>
      <c r="C5524" s="82"/>
    </row>
    <row r="5525" spans="1:3" x14ac:dyDescent="0.2">
      <c r="A5525" s="82"/>
      <c r="B5525" s="82"/>
      <c r="C5525" s="82"/>
    </row>
    <row r="5526" spans="1:3" x14ac:dyDescent="0.2">
      <c r="A5526" s="82"/>
      <c r="B5526" s="82"/>
      <c r="C5526" s="82"/>
    </row>
    <row r="5527" spans="1:3" x14ac:dyDescent="0.2">
      <c r="A5527" s="82"/>
      <c r="B5527" s="82"/>
      <c r="C5527" s="82"/>
    </row>
    <row r="5528" spans="1:3" x14ac:dyDescent="0.2">
      <c r="A5528" s="82"/>
      <c r="B5528" s="82"/>
      <c r="C5528" s="82"/>
    </row>
    <row r="5529" spans="1:3" x14ac:dyDescent="0.2">
      <c r="A5529" s="82"/>
      <c r="B5529" s="82"/>
      <c r="C5529" s="82"/>
    </row>
    <row r="5530" spans="1:3" x14ac:dyDescent="0.2">
      <c r="A5530" s="82"/>
      <c r="B5530" s="82"/>
      <c r="C5530" s="82"/>
    </row>
    <row r="5531" spans="1:3" x14ac:dyDescent="0.2">
      <c r="A5531" s="82"/>
      <c r="B5531" s="82"/>
      <c r="C5531" s="82"/>
    </row>
    <row r="5532" spans="1:3" x14ac:dyDescent="0.2">
      <c r="A5532" s="82"/>
      <c r="B5532" s="82"/>
      <c r="C5532" s="82"/>
    </row>
    <row r="5533" spans="1:3" x14ac:dyDescent="0.2">
      <c r="A5533" s="82"/>
      <c r="B5533" s="82"/>
      <c r="C5533" s="82"/>
    </row>
    <row r="5534" spans="1:3" x14ac:dyDescent="0.2">
      <c r="A5534" s="82"/>
      <c r="B5534" s="82"/>
      <c r="C5534" s="82"/>
    </row>
    <row r="5535" spans="1:3" x14ac:dyDescent="0.2">
      <c r="A5535" s="82"/>
      <c r="B5535" s="82"/>
      <c r="C5535" s="82"/>
    </row>
    <row r="5536" spans="1:3" x14ac:dyDescent="0.2">
      <c r="A5536" s="82"/>
      <c r="B5536" s="82"/>
      <c r="C5536" s="82"/>
    </row>
    <row r="5537" spans="1:3" x14ac:dyDescent="0.2">
      <c r="A5537" s="82"/>
      <c r="B5537" s="82"/>
      <c r="C5537" s="82"/>
    </row>
    <row r="5538" spans="1:3" x14ac:dyDescent="0.2">
      <c r="A5538" s="82"/>
      <c r="B5538" s="82"/>
      <c r="C5538" s="82"/>
    </row>
    <row r="5539" spans="1:3" x14ac:dyDescent="0.2">
      <c r="A5539" s="82"/>
      <c r="B5539" s="82"/>
      <c r="C5539" s="82"/>
    </row>
    <row r="5540" spans="1:3" x14ac:dyDescent="0.2">
      <c r="A5540" s="82"/>
      <c r="B5540" s="82"/>
      <c r="C5540" s="82"/>
    </row>
    <row r="5541" spans="1:3" x14ac:dyDescent="0.2">
      <c r="A5541" s="82"/>
      <c r="B5541" s="82"/>
      <c r="C5541" s="82"/>
    </row>
    <row r="5542" spans="1:3" x14ac:dyDescent="0.2">
      <c r="A5542" s="82"/>
      <c r="B5542" s="82"/>
      <c r="C5542" s="82"/>
    </row>
    <row r="5543" spans="1:3" x14ac:dyDescent="0.2">
      <c r="A5543" s="82"/>
      <c r="B5543" s="82"/>
      <c r="C5543" s="82"/>
    </row>
    <row r="5544" spans="1:3" x14ac:dyDescent="0.2">
      <c r="A5544" s="82"/>
      <c r="B5544" s="82"/>
      <c r="C5544" s="82"/>
    </row>
    <row r="5545" spans="1:3" x14ac:dyDescent="0.2">
      <c r="A5545" s="82"/>
      <c r="B5545" s="82"/>
      <c r="C5545" s="82"/>
    </row>
    <row r="5546" spans="1:3" x14ac:dyDescent="0.2">
      <c r="A5546" s="82"/>
      <c r="B5546" s="82"/>
      <c r="C5546" s="82"/>
    </row>
    <row r="5547" spans="1:3" x14ac:dyDescent="0.2">
      <c r="A5547" s="82"/>
      <c r="B5547" s="82"/>
      <c r="C5547" s="82"/>
    </row>
    <row r="5548" spans="1:3" x14ac:dyDescent="0.2">
      <c r="A5548" s="82"/>
      <c r="B5548" s="82"/>
      <c r="C5548" s="82"/>
    </row>
    <row r="5549" spans="1:3" x14ac:dyDescent="0.2">
      <c r="A5549" s="82"/>
      <c r="B5549" s="82"/>
      <c r="C5549" s="82"/>
    </row>
    <row r="5550" spans="1:3" x14ac:dyDescent="0.2">
      <c r="A5550" s="82"/>
      <c r="B5550" s="82"/>
      <c r="C5550" s="82"/>
    </row>
    <row r="5551" spans="1:3" x14ac:dyDescent="0.2">
      <c r="A5551" s="82"/>
      <c r="B5551" s="82"/>
      <c r="C5551" s="82"/>
    </row>
    <row r="5552" spans="1:3" x14ac:dyDescent="0.2">
      <c r="A5552" s="82"/>
      <c r="B5552" s="82"/>
      <c r="C5552" s="82"/>
    </row>
    <row r="5553" spans="1:3" x14ac:dyDescent="0.2">
      <c r="A5553" s="82"/>
      <c r="B5553" s="82"/>
      <c r="C5553" s="82"/>
    </row>
    <row r="5554" spans="1:3" x14ac:dyDescent="0.2">
      <c r="A5554" s="82"/>
      <c r="B5554" s="82"/>
      <c r="C5554" s="82"/>
    </row>
    <row r="5555" spans="1:3" x14ac:dyDescent="0.2">
      <c r="A5555" s="82"/>
      <c r="B5555" s="82"/>
      <c r="C5555" s="82"/>
    </row>
    <row r="5556" spans="1:3" x14ac:dyDescent="0.2">
      <c r="A5556" s="82"/>
      <c r="B5556" s="82"/>
      <c r="C5556" s="82"/>
    </row>
    <row r="5557" spans="1:3" x14ac:dyDescent="0.2">
      <c r="A5557" s="82"/>
      <c r="B5557" s="82"/>
      <c r="C5557" s="82"/>
    </row>
    <row r="5558" spans="1:3" x14ac:dyDescent="0.2">
      <c r="A5558" s="82"/>
      <c r="B5558" s="82"/>
      <c r="C5558" s="82"/>
    </row>
    <row r="5559" spans="1:3" x14ac:dyDescent="0.2">
      <c r="A5559" s="82"/>
      <c r="B5559" s="82"/>
      <c r="C5559" s="82"/>
    </row>
    <row r="5560" spans="1:3" x14ac:dyDescent="0.2">
      <c r="A5560" s="82"/>
      <c r="B5560" s="82"/>
      <c r="C5560" s="82"/>
    </row>
    <row r="5561" spans="1:3" x14ac:dyDescent="0.2">
      <c r="A5561" s="82"/>
      <c r="B5561" s="82"/>
      <c r="C5561" s="82"/>
    </row>
    <row r="5562" spans="1:3" x14ac:dyDescent="0.2">
      <c r="A5562" s="82"/>
      <c r="B5562" s="82"/>
      <c r="C5562" s="82"/>
    </row>
    <row r="5563" spans="1:3" x14ac:dyDescent="0.2">
      <c r="A5563" s="82"/>
      <c r="B5563" s="82"/>
      <c r="C5563" s="82"/>
    </row>
    <row r="5564" spans="1:3" x14ac:dyDescent="0.2">
      <c r="A5564" s="82"/>
      <c r="B5564" s="82"/>
      <c r="C5564" s="82"/>
    </row>
    <row r="5565" spans="1:3" x14ac:dyDescent="0.2">
      <c r="A5565" s="82"/>
      <c r="B5565" s="82"/>
      <c r="C5565" s="82"/>
    </row>
    <row r="5566" spans="1:3" x14ac:dyDescent="0.2">
      <c r="A5566" s="82"/>
      <c r="B5566" s="82"/>
      <c r="C5566" s="82"/>
    </row>
    <row r="5567" spans="1:3" x14ac:dyDescent="0.2">
      <c r="A5567" s="82"/>
      <c r="B5567" s="82"/>
      <c r="C5567" s="82"/>
    </row>
    <row r="5568" spans="1:3" x14ac:dyDescent="0.2">
      <c r="A5568" s="82"/>
      <c r="B5568" s="82"/>
      <c r="C5568" s="82"/>
    </row>
    <row r="5569" spans="1:3" x14ac:dyDescent="0.2">
      <c r="A5569" s="82"/>
      <c r="B5569" s="82"/>
      <c r="C5569" s="82"/>
    </row>
    <row r="5570" spans="1:3" x14ac:dyDescent="0.2">
      <c r="A5570" s="82"/>
      <c r="B5570" s="82"/>
      <c r="C5570" s="82"/>
    </row>
    <row r="5571" spans="1:3" x14ac:dyDescent="0.2">
      <c r="A5571" s="82"/>
      <c r="B5571" s="82"/>
      <c r="C5571" s="82"/>
    </row>
    <row r="5572" spans="1:3" x14ac:dyDescent="0.2">
      <c r="A5572" s="82"/>
      <c r="B5572" s="82"/>
      <c r="C5572" s="82"/>
    </row>
    <row r="5573" spans="1:3" x14ac:dyDescent="0.2">
      <c r="A5573" s="82"/>
      <c r="B5573" s="82"/>
      <c r="C5573" s="82"/>
    </row>
    <row r="5574" spans="1:3" x14ac:dyDescent="0.2">
      <c r="A5574" s="82"/>
      <c r="B5574" s="82"/>
      <c r="C5574" s="82"/>
    </row>
    <row r="5575" spans="1:3" x14ac:dyDescent="0.2">
      <c r="A5575" s="82"/>
      <c r="B5575" s="82"/>
      <c r="C5575" s="82"/>
    </row>
    <row r="5576" spans="1:3" x14ac:dyDescent="0.2">
      <c r="A5576" s="82"/>
      <c r="B5576" s="82"/>
      <c r="C5576" s="82"/>
    </row>
    <row r="5577" spans="1:3" x14ac:dyDescent="0.2">
      <c r="A5577" s="82"/>
      <c r="B5577" s="82"/>
      <c r="C5577" s="82"/>
    </row>
    <row r="5578" spans="1:3" x14ac:dyDescent="0.2">
      <c r="A5578" s="82"/>
      <c r="B5578" s="82"/>
      <c r="C5578" s="82"/>
    </row>
    <row r="5579" spans="1:3" x14ac:dyDescent="0.2">
      <c r="A5579" s="82"/>
      <c r="B5579" s="82"/>
      <c r="C5579" s="82"/>
    </row>
    <row r="5580" spans="1:3" x14ac:dyDescent="0.2">
      <c r="A5580" s="82"/>
      <c r="B5580" s="82"/>
      <c r="C5580" s="82"/>
    </row>
    <row r="5581" spans="1:3" x14ac:dyDescent="0.2">
      <c r="A5581" s="82"/>
      <c r="B5581" s="82"/>
      <c r="C5581" s="82"/>
    </row>
    <row r="5582" spans="1:3" x14ac:dyDescent="0.2">
      <c r="A5582" s="82"/>
      <c r="B5582" s="82"/>
      <c r="C5582" s="82"/>
    </row>
    <row r="5583" spans="1:3" x14ac:dyDescent="0.2">
      <c r="A5583" s="82"/>
      <c r="B5583" s="82"/>
      <c r="C5583" s="82"/>
    </row>
    <row r="5584" spans="1:3" x14ac:dyDescent="0.2">
      <c r="A5584" s="82"/>
      <c r="B5584" s="82"/>
      <c r="C5584" s="82"/>
    </row>
    <row r="5585" spans="1:3" x14ac:dyDescent="0.2">
      <c r="A5585" s="82"/>
      <c r="B5585" s="82"/>
      <c r="C5585" s="82"/>
    </row>
    <row r="5586" spans="1:3" x14ac:dyDescent="0.2">
      <c r="A5586" s="82"/>
      <c r="B5586" s="82"/>
      <c r="C5586" s="82"/>
    </row>
    <row r="5587" spans="1:3" x14ac:dyDescent="0.2">
      <c r="A5587" s="82"/>
      <c r="B5587" s="82"/>
      <c r="C5587" s="82"/>
    </row>
    <row r="5588" spans="1:3" x14ac:dyDescent="0.2">
      <c r="A5588" s="82"/>
      <c r="B5588" s="82"/>
      <c r="C5588" s="82"/>
    </row>
    <row r="5589" spans="1:3" x14ac:dyDescent="0.2">
      <c r="A5589" s="82"/>
      <c r="B5589" s="82"/>
      <c r="C5589" s="82"/>
    </row>
    <row r="5590" spans="1:3" x14ac:dyDescent="0.2">
      <c r="A5590" s="82"/>
      <c r="B5590" s="82"/>
      <c r="C5590" s="82"/>
    </row>
    <row r="5591" spans="1:3" x14ac:dyDescent="0.2">
      <c r="A5591" s="82"/>
      <c r="B5591" s="82"/>
      <c r="C5591" s="82"/>
    </row>
    <row r="5592" spans="1:3" x14ac:dyDescent="0.2">
      <c r="A5592" s="82"/>
      <c r="B5592" s="82"/>
      <c r="C5592" s="82"/>
    </row>
    <row r="5593" spans="1:3" x14ac:dyDescent="0.2">
      <c r="A5593" s="82"/>
      <c r="B5593" s="82"/>
      <c r="C5593" s="82"/>
    </row>
    <row r="5594" spans="1:3" x14ac:dyDescent="0.2">
      <c r="A5594" s="82"/>
      <c r="B5594" s="82"/>
      <c r="C5594" s="82"/>
    </row>
    <row r="5595" spans="1:3" x14ac:dyDescent="0.2">
      <c r="A5595" s="82"/>
      <c r="B5595" s="82"/>
      <c r="C5595" s="82"/>
    </row>
    <row r="5596" spans="1:3" x14ac:dyDescent="0.2">
      <c r="A5596" s="82"/>
      <c r="B5596" s="82"/>
      <c r="C5596" s="82"/>
    </row>
    <row r="5597" spans="1:3" x14ac:dyDescent="0.2">
      <c r="A5597" s="82"/>
      <c r="B5597" s="82"/>
      <c r="C5597" s="82"/>
    </row>
    <row r="5598" spans="1:3" x14ac:dyDescent="0.2">
      <c r="A5598" s="82"/>
      <c r="B5598" s="82"/>
      <c r="C5598" s="82"/>
    </row>
    <row r="5599" spans="1:3" x14ac:dyDescent="0.2">
      <c r="A5599" s="82"/>
      <c r="B5599" s="82"/>
      <c r="C5599" s="82"/>
    </row>
    <row r="5600" spans="1:3" x14ac:dyDescent="0.2">
      <c r="A5600" s="82"/>
      <c r="B5600" s="82"/>
      <c r="C5600" s="82"/>
    </row>
    <row r="5601" spans="1:3" x14ac:dyDescent="0.2">
      <c r="A5601" s="82"/>
      <c r="B5601" s="82"/>
      <c r="C5601" s="82"/>
    </row>
    <row r="5602" spans="1:3" x14ac:dyDescent="0.2">
      <c r="A5602" s="82"/>
      <c r="B5602" s="82"/>
      <c r="C5602" s="82"/>
    </row>
    <row r="5603" spans="1:3" x14ac:dyDescent="0.2">
      <c r="A5603" s="82"/>
      <c r="B5603" s="82"/>
      <c r="C5603" s="82"/>
    </row>
    <row r="5604" spans="1:3" x14ac:dyDescent="0.2">
      <c r="A5604" s="82"/>
      <c r="B5604" s="82"/>
      <c r="C5604" s="82"/>
    </row>
    <row r="5605" spans="1:3" x14ac:dyDescent="0.2">
      <c r="A5605" s="82"/>
      <c r="B5605" s="82"/>
      <c r="C5605" s="82"/>
    </row>
    <row r="5606" spans="1:3" x14ac:dyDescent="0.2">
      <c r="A5606" s="82"/>
      <c r="B5606" s="82"/>
      <c r="C5606" s="82"/>
    </row>
    <row r="5607" spans="1:3" x14ac:dyDescent="0.2">
      <c r="A5607" s="82"/>
      <c r="B5607" s="82"/>
      <c r="C5607" s="82"/>
    </row>
    <row r="5608" spans="1:3" x14ac:dyDescent="0.2">
      <c r="A5608" s="82"/>
      <c r="B5608" s="82"/>
      <c r="C5608" s="82"/>
    </row>
    <row r="5609" spans="1:3" x14ac:dyDescent="0.2">
      <c r="A5609" s="82"/>
      <c r="B5609" s="82"/>
      <c r="C5609" s="82"/>
    </row>
    <row r="5610" spans="1:3" x14ac:dyDescent="0.2">
      <c r="A5610" s="82"/>
      <c r="B5610" s="82"/>
      <c r="C5610" s="82"/>
    </row>
    <row r="5611" spans="1:3" x14ac:dyDescent="0.2">
      <c r="A5611" s="82"/>
      <c r="B5611" s="82"/>
      <c r="C5611" s="82"/>
    </row>
    <row r="5612" spans="1:3" x14ac:dyDescent="0.2">
      <c r="A5612" s="82"/>
      <c r="B5612" s="82"/>
      <c r="C5612" s="82"/>
    </row>
    <row r="5613" spans="1:3" x14ac:dyDescent="0.2">
      <c r="A5613" s="82"/>
      <c r="B5613" s="82"/>
      <c r="C5613" s="82"/>
    </row>
    <row r="5614" spans="1:3" x14ac:dyDescent="0.2">
      <c r="A5614" s="82"/>
      <c r="B5614" s="82"/>
      <c r="C5614" s="82"/>
    </row>
    <row r="5615" spans="1:3" x14ac:dyDescent="0.2">
      <c r="A5615" s="82"/>
      <c r="B5615" s="82"/>
      <c r="C5615" s="82"/>
    </row>
    <row r="5616" spans="1:3" x14ac:dyDescent="0.2">
      <c r="A5616" s="82"/>
      <c r="B5616" s="82"/>
      <c r="C5616" s="82"/>
    </row>
    <row r="5617" spans="1:3" x14ac:dyDescent="0.2">
      <c r="A5617" s="82"/>
      <c r="B5617" s="82"/>
      <c r="C5617" s="82"/>
    </row>
    <row r="5618" spans="1:3" x14ac:dyDescent="0.2">
      <c r="A5618" s="82"/>
      <c r="B5618" s="82"/>
      <c r="C5618" s="82"/>
    </row>
    <row r="5619" spans="1:3" x14ac:dyDescent="0.2">
      <c r="A5619" s="82"/>
      <c r="B5619" s="82"/>
      <c r="C5619" s="82"/>
    </row>
    <row r="5620" spans="1:3" x14ac:dyDescent="0.2">
      <c r="A5620" s="82"/>
      <c r="B5620" s="82"/>
      <c r="C5620" s="82"/>
    </row>
    <row r="5621" spans="1:3" x14ac:dyDescent="0.2">
      <c r="A5621" s="82"/>
      <c r="B5621" s="82"/>
      <c r="C5621" s="82"/>
    </row>
    <row r="5622" spans="1:3" x14ac:dyDescent="0.2">
      <c r="A5622" s="82"/>
      <c r="B5622" s="82"/>
      <c r="C5622" s="82"/>
    </row>
    <row r="5623" spans="1:3" x14ac:dyDescent="0.2">
      <c r="A5623" s="82"/>
      <c r="B5623" s="82"/>
      <c r="C5623" s="82"/>
    </row>
    <row r="5624" spans="1:3" x14ac:dyDescent="0.2">
      <c r="A5624" s="82"/>
      <c r="B5624" s="82"/>
      <c r="C5624" s="82"/>
    </row>
    <row r="5625" spans="1:3" x14ac:dyDescent="0.2">
      <c r="A5625" s="82"/>
      <c r="B5625" s="82"/>
      <c r="C5625" s="82"/>
    </row>
    <row r="5626" spans="1:3" x14ac:dyDescent="0.2">
      <c r="A5626" s="82"/>
      <c r="B5626" s="82"/>
      <c r="C5626" s="82"/>
    </row>
    <row r="5627" spans="1:3" x14ac:dyDescent="0.2">
      <c r="A5627" s="82"/>
      <c r="B5627" s="82"/>
      <c r="C5627" s="82"/>
    </row>
    <row r="5628" spans="1:3" x14ac:dyDescent="0.2">
      <c r="A5628" s="82"/>
      <c r="B5628" s="82"/>
      <c r="C5628" s="82"/>
    </row>
    <row r="5629" spans="1:3" x14ac:dyDescent="0.2">
      <c r="A5629" s="82"/>
      <c r="B5629" s="82"/>
      <c r="C5629" s="82"/>
    </row>
    <row r="5630" spans="1:3" x14ac:dyDescent="0.2">
      <c r="A5630" s="82"/>
      <c r="B5630" s="82"/>
      <c r="C5630" s="82"/>
    </row>
    <row r="5631" spans="1:3" x14ac:dyDescent="0.2">
      <c r="A5631" s="82"/>
      <c r="B5631" s="82"/>
      <c r="C5631" s="82"/>
    </row>
    <row r="5632" spans="1:3" x14ac:dyDescent="0.2">
      <c r="A5632" s="82"/>
      <c r="B5632" s="82"/>
      <c r="C5632" s="82"/>
    </row>
    <row r="5633" spans="1:3" x14ac:dyDescent="0.2">
      <c r="A5633" s="82"/>
      <c r="B5633" s="82"/>
      <c r="C5633" s="82"/>
    </row>
    <row r="5634" spans="1:3" x14ac:dyDescent="0.2">
      <c r="A5634" s="82"/>
      <c r="B5634" s="82"/>
      <c r="C5634" s="82"/>
    </row>
    <row r="5635" spans="1:3" x14ac:dyDescent="0.2">
      <c r="A5635" s="82"/>
      <c r="B5635" s="82"/>
      <c r="C5635" s="82"/>
    </row>
    <row r="5636" spans="1:3" x14ac:dyDescent="0.2">
      <c r="A5636" s="82"/>
      <c r="B5636" s="82"/>
      <c r="C5636" s="82"/>
    </row>
    <row r="5637" spans="1:3" x14ac:dyDescent="0.2">
      <c r="A5637" s="82"/>
      <c r="B5637" s="82"/>
      <c r="C5637" s="82"/>
    </row>
    <row r="5638" spans="1:3" x14ac:dyDescent="0.2">
      <c r="A5638" s="82"/>
      <c r="B5638" s="82"/>
      <c r="C5638" s="82"/>
    </row>
    <row r="5639" spans="1:3" x14ac:dyDescent="0.2">
      <c r="A5639" s="82"/>
      <c r="B5639" s="82"/>
      <c r="C5639" s="82"/>
    </row>
    <row r="5640" spans="1:3" x14ac:dyDescent="0.2">
      <c r="A5640" s="82"/>
      <c r="B5640" s="82"/>
      <c r="C5640" s="82"/>
    </row>
    <row r="5641" spans="1:3" x14ac:dyDescent="0.2">
      <c r="A5641" s="82"/>
      <c r="B5641" s="82"/>
      <c r="C5641" s="82"/>
    </row>
    <row r="5642" spans="1:3" x14ac:dyDescent="0.2">
      <c r="A5642" s="82"/>
      <c r="B5642" s="82"/>
      <c r="C5642" s="82"/>
    </row>
    <row r="5643" spans="1:3" x14ac:dyDescent="0.2">
      <c r="A5643" s="82"/>
      <c r="B5643" s="82"/>
      <c r="C5643" s="82"/>
    </row>
    <row r="5644" spans="1:3" x14ac:dyDescent="0.2">
      <c r="A5644" s="82"/>
      <c r="B5644" s="82"/>
      <c r="C5644" s="82"/>
    </row>
    <row r="5645" spans="1:3" x14ac:dyDescent="0.2">
      <c r="A5645" s="82"/>
      <c r="B5645" s="82"/>
      <c r="C5645" s="82"/>
    </row>
    <row r="5646" spans="1:3" x14ac:dyDescent="0.2">
      <c r="A5646" s="82"/>
      <c r="B5646" s="82"/>
      <c r="C5646" s="82"/>
    </row>
    <row r="5647" spans="1:3" x14ac:dyDescent="0.2">
      <c r="A5647" s="82"/>
      <c r="B5647" s="82"/>
      <c r="C5647" s="82"/>
    </row>
    <row r="5648" spans="1:3" x14ac:dyDescent="0.2">
      <c r="A5648" s="82"/>
      <c r="B5648" s="82"/>
      <c r="C5648" s="82"/>
    </row>
    <row r="5649" spans="1:3" x14ac:dyDescent="0.2">
      <c r="A5649" s="82"/>
      <c r="B5649" s="82"/>
      <c r="C5649" s="82"/>
    </row>
    <row r="5650" spans="1:3" x14ac:dyDescent="0.2">
      <c r="A5650" s="82"/>
      <c r="B5650" s="82"/>
      <c r="C5650" s="82"/>
    </row>
    <row r="5651" spans="1:3" x14ac:dyDescent="0.2">
      <c r="A5651" s="82"/>
      <c r="B5651" s="82"/>
      <c r="C5651" s="82"/>
    </row>
    <row r="5652" spans="1:3" x14ac:dyDescent="0.2">
      <c r="A5652" s="82"/>
      <c r="B5652" s="82"/>
      <c r="C5652" s="82"/>
    </row>
    <row r="5653" spans="1:3" x14ac:dyDescent="0.2">
      <c r="A5653" s="82"/>
      <c r="B5653" s="82"/>
      <c r="C5653" s="82"/>
    </row>
    <row r="5654" spans="1:3" x14ac:dyDescent="0.2">
      <c r="A5654" s="82"/>
      <c r="B5654" s="82"/>
      <c r="C5654" s="82"/>
    </row>
    <row r="5655" spans="1:3" x14ac:dyDescent="0.2">
      <c r="A5655" s="82"/>
      <c r="B5655" s="82"/>
      <c r="C5655" s="82"/>
    </row>
    <row r="5656" spans="1:3" x14ac:dyDescent="0.2">
      <c r="A5656" s="82"/>
      <c r="B5656" s="82"/>
      <c r="C5656" s="82"/>
    </row>
    <row r="5657" spans="1:3" x14ac:dyDescent="0.2">
      <c r="A5657" s="82"/>
      <c r="B5657" s="82"/>
      <c r="C5657" s="82"/>
    </row>
    <row r="5658" spans="1:3" x14ac:dyDescent="0.2">
      <c r="A5658" s="82"/>
      <c r="B5658" s="82"/>
      <c r="C5658" s="82"/>
    </row>
    <row r="5659" spans="1:3" x14ac:dyDescent="0.2">
      <c r="A5659" s="82"/>
      <c r="B5659" s="82"/>
      <c r="C5659" s="82"/>
    </row>
    <row r="5660" spans="1:3" x14ac:dyDescent="0.2">
      <c r="A5660" s="82"/>
      <c r="B5660" s="82"/>
      <c r="C5660" s="82"/>
    </row>
    <row r="5661" spans="1:3" x14ac:dyDescent="0.2">
      <c r="A5661" s="82"/>
      <c r="B5661" s="82"/>
      <c r="C5661" s="82"/>
    </row>
    <row r="5662" spans="1:3" x14ac:dyDescent="0.2">
      <c r="A5662" s="82"/>
      <c r="B5662" s="82"/>
      <c r="C5662" s="82"/>
    </row>
    <row r="5663" spans="1:3" x14ac:dyDescent="0.2">
      <c r="A5663" s="82"/>
      <c r="B5663" s="82"/>
      <c r="C5663" s="82"/>
    </row>
    <row r="5664" spans="1:3" x14ac:dyDescent="0.2">
      <c r="A5664" s="82"/>
      <c r="B5664" s="82"/>
      <c r="C5664" s="82"/>
    </row>
    <row r="5665" spans="1:3" x14ac:dyDescent="0.2">
      <c r="A5665" s="82"/>
      <c r="B5665" s="82"/>
      <c r="C5665" s="82"/>
    </row>
    <row r="5666" spans="1:3" x14ac:dyDescent="0.2">
      <c r="A5666" s="82"/>
      <c r="B5666" s="82"/>
      <c r="C5666" s="82"/>
    </row>
    <row r="5667" spans="1:3" x14ac:dyDescent="0.2">
      <c r="A5667" s="82"/>
      <c r="B5667" s="82"/>
      <c r="C5667" s="82"/>
    </row>
    <row r="5668" spans="1:3" x14ac:dyDescent="0.2">
      <c r="A5668" s="82"/>
      <c r="B5668" s="82"/>
      <c r="C5668" s="82"/>
    </row>
    <row r="5669" spans="1:3" x14ac:dyDescent="0.2">
      <c r="A5669" s="82"/>
      <c r="B5669" s="82"/>
      <c r="C5669" s="82"/>
    </row>
    <row r="5670" spans="1:3" x14ac:dyDescent="0.2">
      <c r="A5670" s="82"/>
      <c r="B5670" s="82"/>
      <c r="C5670" s="82"/>
    </row>
    <row r="5671" spans="1:3" x14ac:dyDescent="0.2">
      <c r="A5671" s="82"/>
      <c r="B5671" s="82"/>
      <c r="C5671" s="82"/>
    </row>
    <row r="5672" spans="1:3" x14ac:dyDescent="0.2">
      <c r="A5672" s="82"/>
      <c r="B5672" s="82"/>
      <c r="C5672" s="82"/>
    </row>
    <row r="5673" spans="1:3" x14ac:dyDescent="0.2">
      <c r="A5673" s="82"/>
      <c r="B5673" s="82"/>
      <c r="C5673" s="82"/>
    </row>
    <row r="5674" spans="1:3" x14ac:dyDescent="0.2">
      <c r="A5674" s="82"/>
      <c r="B5674" s="82"/>
      <c r="C5674" s="82"/>
    </row>
    <row r="5675" spans="1:3" x14ac:dyDescent="0.2">
      <c r="A5675" s="82"/>
      <c r="B5675" s="82"/>
      <c r="C5675" s="82"/>
    </row>
    <row r="5676" spans="1:3" x14ac:dyDescent="0.2">
      <c r="A5676" s="82"/>
      <c r="B5676" s="82"/>
      <c r="C5676" s="82"/>
    </row>
    <row r="5677" spans="1:3" x14ac:dyDescent="0.2">
      <c r="A5677" s="82"/>
      <c r="B5677" s="82"/>
      <c r="C5677" s="82"/>
    </row>
    <row r="5678" spans="1:3" x14ac:dyDescent="0.2">
      <c r="A5678" s="82"/>
      <c r="B5678" s="82"/>
      <c r="C5678" s="82"/>
    </row>
    <row r="5679" spans="1:3" x14ac:dyDescent="0.2">
      <c r="A5679" s="82"/>
      <c r="B5679" s="82"/>
      <c r="C5679" s="82"/>
    </row>
    <row r="5680" spans="1:3" x14ac:dyDescent="0.2">
      <c r="A5680" s="82"/>
      <c r="B5680" s="82"/>
      <c r="C5680" s="82"/>
    </row>
    <row r="5681" spans="1:3" x14ac:dyDescent="0.2">
      <c r="A5681" s="82"/>
      <c r="B5681" s="82"/>
      <c r="C5681" s="82"/>
    </row>
    <row r="5682" spans="1:3" x14ac:dyDescent="0.2">
      <c r="A5682" s="82"/>
      <c r="B5682" s="82"/>
      <c r="C5682" s="82"/>
    </row>
    <row r="5683" spans="1:3" x14ac:dyDescent="0.2">
      <c r="A5683" s="82"/>
      <c r="B5683" s="82"/>
      <c r="C5683" s="82"/>
    </row>
    <row r="5684" spans="1:3" x14ac:dyDescent="0.2">
      <c r="A5684" s="82"/>
      <c r="B5684" s="82"/>
      <c r="C5684" s="82"/>
    </row>
    <row r="5685" spans="1:3" x14ac:dyDescent="0.2">
      <c r="A5685" s="82"/>
      <c r="B5685" s="82"/>
      <c r="C5685" s="82"/>
    </row>
    <row r="5686" spans="1:3" x14ac:dyDescent="0.2">
      <c r="A5686" s="82"/>
      <c r="B5686" s="82"/>
      <c r="C5686" s="82"/>
    </row>
    <row r="5687" spans="1:3" x14ac:dyDescent="0.2">
      <c r="A5687" s="82"/>
      <c r="B5687" s="82"/>
      <c r="C5687" s="82"/>
    </row>
    <row r="5688" spans="1:3" x14ac:dyDescent="0.2">
      <c r="A5688" s="82"/>
      <c r="B5688" s="82"/>
      <c r="C5688" s="82"/>
    </row>
    <row r="5689" spans="1:3" x14ac:dyDescent="0.2">
      <c r="A5689" s="82"/>
      <c r="B5689" s="82"/>
      <c r="C5689" s="82"/>
    </row>
    <row r="5690" spans="1:3" x14ac:dyDescent="0.2">
      <c r="A5690" s="82"/>
      <c r="B5690" s="82"/>
      <c r="C5690" s="82"/>
    </row>
    <row r="5691" spans="1:3" x14ac:dyDescent="0.2">
      <c r="A5691" s="82"/>
      <c r="B5691" s="82"/>
      <c r="C5691" s="82"/>
    </row>
    <row r="5692" spans="1:3" x14ac:dyDescent="0.2">
      <c r="A5692" s="82"/>
      <c r="B5692" s="82"/>
      <c r="C5692" s="82"/>
    </row>
    <row r="5693" spans="1:3" x14ac:dyDescent="0.2">
      <c r="A5693" s="82"/>
      <c r="B5693" s="82"/>
      <c r="C5693" s="82"/>
    </row>
    <row r="5694" spans="1:3" x14ac:dyDescent="0.2">
      <c r="A5694" s="82"/>
      <c r="B5694" s="82"/>
      <c r="C5694" s="82"/>
    </row>
    <row r="5695" spans="1:3" x14ac:dyDescent="0.2">
      <c r="A5695" s="82"/>
      <c r="B5695" s="82"/>
      <c r="C5695" s="82"/>
    </row>
    <row r="5696" spans="1:3" x14ac:dyDescent="0.2">
      <c r="A5696" s="82"/>
      <c r="B5696" s="82"/>
      <c r="C5696" s="82"/>
    </row>
    <row r="5697" spans="1:3" x14ac:dyDescent="0.2">
      <c r="A5697" s="82"/>
      <c r="B5697" s="82"/>
      <c r="C5697" s="82"/>
    </row>
    <row r="5698" spans="1:3" x14ac:dyDescent="0.2">
      <c r="A5698" s="82"/>
      <c r="B5698" s="82"/>
      <c r="C5698" s="82"/>
    </row>
    <row r="5699" spans="1:3" x14ac:dyDescent="0.2">
      <c r="A5699" s="82"/>
      <c r="B5699" s="82"/>
      <c r="C5699" s="82"/>
    </row>
    <row r="5700" spans="1:3" x14ac:dyDescent="0.2">
      <c r="A5700" s="82"/>
      <c r="B5700" s="82"/>
      <c r="C5700" s="82"/>
    </row>
    <row r="5701" spans="1:3" x14ac:dyDescent="0.2">
      <c r="A5701" s="82"/>
      <c r="B5701" s="82"/>
      <c r="C5701" s="82"/>
    </row>
    <row r="5702" spans="1:3" x14ac:dyDescent="0.2">
      <c r="A5702" s="82"/>
      <c r="B5702" s="82"/>
      <c r="C5702" s="82"/>
    </row>
    <row r="5703" spans="1:3" x14ac:dyDescent="0.2">
      <c r="A5703" s="82"/>
      <c r="B5703" s="82"/>
      <c r="C5703" s="82"/>
    </row>
    <row r="5704" spans="1:3" x14ac:dyDescent="0.2">
      <c r="A5704" s="82"/>
      <c r="B5704" s="82"/>
      <c r="C5704" s="82"/>
    </row>
    <row r="5705" spans="1:3" x14ac:dyDescent="0.2">
      <c r="A5705" s="82"/>
      <c r="B5705" s="82"/>
      <c r="C5705" s="82"/>
    </row>
    <row r="5706" spans="1:3" x14ac:dyDescent="0.2">
      <c r="A5706" s="82"/>
      <c r="B5706" s="82"/>
      <c r="C5706" s="82"/>
    </row>
    <row r="5707" spans="1:3" x14ac:dyDescent="0.2">
      <c r="A5707" s="82"/>
      <c r="B5707" s="82"/>
      <c r="C5707" s="82"/>
    </row>
    <row r="5708" spans="1:3" x14ac:dyDescent="0.2">
      <c r="A5708" s="82"/>
      <c r="B5708" s="82"/>
      <c r="C5708" s="82"/>
    </row>
    <row r="5709" spans="1:3" x14ac:dyDescent="0.2">
      <c r="A5709" s="82"/>
      <c r="B5709" s="82"/>
      <c r="C5709" s="82"/>
    </row>
    <row r="5710" spans="1:3" x14ac:dyDescent="0.2">
      <c r="A5710" s="82"/>
      <c r="B5710" s="82"/>
      <c r="C5710" s="82"/>
    </row>
    <row r="5711" spans="1:3" x14ac:dyDescent="0.2">
      <c r="A5711" s="82"/>
      <c r="B5711" s="82"/>
      <c r="C5711" s="82"/>
    </row>
    <row r="5712" spans="1:3" x14ac:dyDescent="0.2">
      <c r="A5712" s="82"/>
      <c r="B5712" s="82"/>
      <c r="C5712" s="82"/>
    </row>
    <row r="5713" spans="1:3" x14ac:dyDescent="0.2">
      <c r="A5713" s="82"/>
      <c r="B5713" s="82"/>
      <c r="C5713" s="82"/>
    </row>
    <row r="5714" spans="1:3" x14ac:dyDescent="0.2">
      <c r="A5714" s="82"/>
      <c r="B5714" s="82"/>
      <c r="C5714" s="82"/>
    </row>
    <row r="5715" spans="1:3" x14ac:dyDescent="0.2">
      <c r="A5715" s="82"/>
      <c r="B5715" s="82"/>
      <c r="C5715" s="82"/>
    </row>
    <row r="5716" spans="1:3" x14ac:dyDescent="0.2">
      <c r="A5716" s="82"/>
      <c r="B5716" s="82"/>
      <c r="C5716" s="82"/>
    </row>
    <row r="5717" spans="1:3" x14ac:dyDescent="0.2">
      <c r="A5717" s="82"/>
      <c r="B5717" s="82"/>
      <c r="C5717" s="82"/>
    </row>
    <row r="5718" spans="1:3" x14ac:dyDescent="0.2">
      <c r="A5718" s="82"/>
      <c r="B5718" s="82"/>
      <c r="C5718" s="82"/>
    </row>
    <row r="5719" spans="1:3" x14ac:dyDescent="0.2">
      <c r="A5719" s="82"/>
      <c r="B5719" s="82"/>
      <c r="C5719" s="82"/>
    </row>
    <row r="5720" spans="1:3" x14ac:dyDescent="0.2">
      <c r="A5720" s="82"/>
      <c r="B5720" s="82"/>
      <c r="C5720" s="82"/>
    </row>
    <row r="5721" spans="1:3" x14ac:dyDescent="0.2">
      <c r="A5721" s="82"/>
      <c r="B5721" s="82"/>
      <c r="C5721" s="82"/>
    </row>
    <row r="5722" spans="1:3" x14ac:dyDescent="0.2">
      <c r="A5722" s="82"/>
      <c r="B5722" s="82"/>
      <c r="C5722" s="82"/>
    </row>
    <row r="5723" spans="1:3" x14ac:dyDescent="0.2">
      <c r="A5723" s="82"/>
      <c r="B5723" s="82"/>
      <c r="C5723" s="82"/>
    </row>
    <row r="5724" spans="1:3" x14ac:dyDescent="0.2">
      <c r="A5724" s="82"/>
      <c r="B5724" s="82"/>
      <c r="C5724" s="82"/>
    </row>
    <row r="5725" spans="1:3" x14ac:dyDescent="0.2">
      <c r="A5725" s="82"/>
      <c r="B5725" s="82"/>
      <c r="C5725" s="82"/>
    </row>
    <row r="5726" spans="1:3" x14ac:dyDescent="0.2">
      <c r="A5726" s="82"/>
      <c r="B5726" s="82"/>
      <c r="C5726" s="82"/>
    </row>
    <row r="5727" spans="1:3" x14ac:dyDescent="0.2">
      <c r="A5727" s="82"/>
      <c r="B5727" s="82"/>
      <c r="C5727" s="82"/>
    </row>
    <row r="5728" spans="1:3" x14ac:dyDescent="0.2">
      <c r="A5728" s="82"/>
      <c r="B5728" s="82"/>
      <c r="C5728" s="82"/>
    </row>
    <row r="5729" spans="1:3" x14ac:dyDescent="0.2">
      <c r="A5729" s="82"/>
      <c r="B5729" s="82"/>
      <c r="C5729" s="82"/>
    </row>
    <row r="5730" spans="1:3" x14ac:dyDescent="0.2">
      <c r="A5730" s="82"/>
      <c r="B5730" s="82"/>
      <c r="C5730" s="82"/>
    </row>
    <row r="5731" spans="1:3" x14ac:dyDescent="0.2">
      <c r="A5731" s="82"/>
      <c r="B5731" s="82"/>
      <c r="C5731" s="82"/>
    </row>
    <row r="5732" spans="1:3" x14ac:dyDescent="0.2">
      <c r="A5732" s="82"/>
      <c r="B5732" s="82"/>
      <c r="C5732" s="82"/>
    </row>
    <row r="5733" spans="1:3" x14ac:dyDescent="0.2">
      <c r="A5733" s="82"/>
      <c r="B5733" s="82"/>
      <c r="C5733" s="82"/>
    </row>
    <row r="5734" spans="1:3" x14ac:dyDescent="0.2">
      <c r="A5734" s="82"/>
      <c r="B5734" s="82"/>
      <c r="C5734" s="82"/>
    </row>
    <row r="5735" spans="1:3" x14ac:dyDescent="0.2">
      <c r="A5735" s="82"/>
      <c r="B5735" s="82"/>
      <c r="C5735" s="82"/>
    </row>
    <row r="5736" spans="1:3" x14ac:dyDescent="0.2">
      <c r="A5736" s="82"/>
      <c r="B5736" s="82"/>
      <c r="C5736" s="82"/>
    </row>
    <row r="5737" spans="1:3" x14ac:dyDescent="0.2">
      <c r="A5737" s="82"/>
      <c r="B5737" s="82"/>
      <c r="C5737" s="82"/>
    </row>
    <row r="5738" spans="1:3" x14ac:dyDescent="0.2">
      <c r="A5738" s="82"/>
      <c r="B5738" s="82"/>
      <c r="C5738" s="82"/>
    </row>
    <row r="5739" spans="1:3" x14ac:dyDescent="0.2">
      <c r="A5739" s="82"/>
      <c r="B5739" s="82"/>
      <c r="C5739" s="82"/>
    </row>
    <row r="5740" spans="1:3" x14ac:dyDescent="0.2">
      <c r="A5740" s="82"/>
      <c r="B5740" s="82"/>
      <c r="C5740" s="82"/>
    </row>
    <row r="5741" spans="1:3" x14ac:dyDescent="0.2">
      <c r="A5741" s="82"/>
      <c r="B5741" s="82"/>
      <c r="C5741" s="82"/>
    </row>
    <row r="5742" spans="1:3" x14ac:dyDescent="0.2">
      <c r="A5742" s="82"/>
      <c r="B5742" s="82"/>
      <c r="C5742" s="82"/>
    </row>
    <row r="5743" spans="1:3" x14ac:dyDescent="0.2">
      <c r="A5743" s="82"/>
      <c r="B5743" s="82"/>
      <c r="C5743" s="82"/>
    </row>
    <row r="5744" spans="1:3" x14ac:dyDescent="0.2">
      <c r="A5744" s="82"/>
      <c r="B5744" s="82"/>
      <c r="C5744" s="82"/>
    </row>
    <row r="5745" spans="1:3" x14ac:dyDescent="0.2">
      <c r="A5745" s="82"/>
      <c r="B5745" s="82"/>
      <c r="C5745" s="82"/>
    </row>
    <row r="5746" spans="1:3" x14ac:dyDescent="0.2">
      <c r="A5746" s="82"/>
      <c r="B5746" s="82"/>
      <c r="C5746" s="82"/>
    </row>
    <row r="5747" spans="1:3" x14ac:dyDescent="0.2">
      <c r="A5747" s="82"/>
      <c r="B5747" s="82"/>
      <c r="C5747" s="82"/>
    </row>
    <row r="5748" spans="1:3" x14ac:dyDescent="0.2">
      <c r="A5748" s="82"/>
      <c r="B5748" s="82"/>
      <c r="C5748" s="82"/>
    </row>
    <row r="5749" spans="1:3" x14ac:dyDescent="0.2">
      <c r="A5749" s="82"/>
      <c r="B5749" s="82"/>
      <c r="C5749" s="82"/>
    </row>
    <row r="5750" spans="1:3" x14ac:dyDescent="0.2">
      <c r="A5750" s="82"/>
      <c r="B5750" s="82"/>
      <c r="C5750" s="82"/>
    </row>
    <row r="5751" spans="1:3" x14ac:dyDescent="0.2">
      <c r="A5751" s="82"/>
      <c r="B5751" s="82"/>
      <c r="C5751" s="82"/>
    </row>
    <row r="5752" spans="1:3" x14ac:dyDescent="0.2">
      <c r="A5752" s="82"/>
      <c r="B5752" s="82"/>
      <c r="C5752" s="82"/>
    </row>
    <row r="5753" spans="1:3" x14ac:dyDescent="0.2">
      <c r="A5753" s="82"/>
      <c r="B5753" s="82"/>
      <c r="C5753" s="82"/>
    </row>
    <row r="5754" spans="1:3" x14ac:dyDescent="0.2">
      <c r="A5754" s="82"/>
      <c r="B5754" s="82"/>
      <c r="C5754" s="82"/>
    </row>
    <row r="5755" spans="1:3" x14ac:dyDescent="0.2">
      <c r="A5755" s="82"/>
      <c r="B5755" s="82"/>
      <c r="C5755" s="82"/>
    </row>
    <row r="5756" spans="1:3" x14ac:dyDescent="0.2">
      <c r="A5756" s="82"/>
      <c r="B5756" s="82"/>
      <c r="C5756" s="82"/>
    </row>
    <row r="5757" spans="1:3" x14ac:dyDescent="0.2">
      <c r="A5757" s="82"/>
      <c r="B5757" s="82"/>
      <c r="C5757" s="82"/>
    </row>
    <row r="5758" spans="1:3" x14ac:dyDescent="0.2">
      <c r="A5758" s="82"/>
      <c r="B5758" s="82"/>
      <c r="C5758" s="82"/>
    </row>
    <row r="5759" spans="1:3" x14ac:dyDescent="0.2">
      <c r="A5759" s="82"/>
      <c r="B5759" s="82"/>
      <c r="C5759" s="82"/>
    </row>
    <row r="5760" spans="1:3" x14ac:dyDescent="0.2">
      <c r="A5760" s="82"/>
      <c r="B5760" s="82"/>
      <c r="C5760" s="82"/>
    </row>
    <row r="5761" spans="1:3" x14ac:dyDescent="0.2">
      <c r="A5761" s="82"/>
      <c r="B5761" s="82"/>
      <c r="C5761" s="82"/>
    </row>
    <row r="5762" spans="1:3" x14ac:dyDescent="0.2">
      <c r="A5762" s="82"/>
      <c r="B5762" s="82"/>
      <c r="C5762" s="82"/>
    </row>
    <row r="5763" spans="1:3" x14ac:dyDescent="0.2">
      <c r="A5763" s="82"/>
      <c r="B5763" s="82"/>
      <c r="C5763" s="82"/>
    </row>
    <row r="5764" spans="1:3" x14ac:dyDescent="0.2">
      <c r="A5764" s="82"/>
      <c r="B5764" s="82"/>
      <c r="C5764" s="82"/>
    </row>
    <row r="5765" spans="1:3" x14ac:dyDescent="0.2">
      <c r="A5765" s="82"/>
      <c r="B5765" s="82"/>
      <c r="C5765" s="82"/>
    </row>
    <row r="5766" spans="1:3" x14ac:dyDescent="0.2">
      <c r="A5766" s="82"/>
      <c r="B5766" s="82"/>
      <c r="C5766" s="82"/>
    </row>
    <row r="5767" spans="1:3" x14ac:dyDescent="0.2">
      <c r="A5767" s="82"/>
      <c r="B5767" s="82"/>
      <c r="C5767" s="82"/>
    </row>
    <row r="5768" spans="1:3" x14ac:dyDescent="0.2">
      <c r="A5768" s="82"/>
      <c r="B5768" s="82"/>
      <c r="C5768" s="82"/>
    </row>
    <row r="5769" spans="1:3" x14ac:dyDescent="0.2">
      <c r="A5769" s="82"/>
      <c r="B5769" s="82"/>
      <c r="C5769" s="82"/>
    </row>
    <row r="5770" spans="1:3" x14ac:dyDescent="0.2">
      <c r="A5770" s="82"/>
      <c r="B5770" s="82"/>
      <c r="C5770" s="82"/>
    </row>
    <row r="5771" spans="1:3" x14ac:dyDescent="0.2">
      <c r="A5771" s="82"/>
      <c r="B5771" s="82"/>
      <c r="C5771" s="82"/>
    </row>
    <row r="5772" spans="1:3" x14ac:dyDescent="0.2">
      <c r="A5772" s="82"/>
      <c r="B5772" s="82"/>
      <c r="C5772" s="82"/>
    </row>
    <row r="5773" spans="1:3" x14ac:dyDescent="0.2">
      <c r="A5773" s="82"/>
      <c r="B5773" s="82"/>
      <c r="C5773" s="82"/>
    </row>
    <row r="5774" spans="1:3" x14ac:dyDescent="0.2">
      <c r="A5774" s="82"/>
      <c r="B5774" s="82"/>
      <c r="C5774" s="82"/>
    </row>
    <row r="5775" spans="1:3" x14ac:dyDescent="0.2">
      <c r="A5775" s="82"/>
      <c r="B5775" s="82"/>
      <c r="C5775" s="82"/>
    </row>
    <row r="5776" spans="1:3" x14ac:dyDescent="0.2">
      <c r="A5776" s="82"/>
      <c r="B5776" s="82"/>
      <c r="C5776" s="82"/>
    </row>
    <row r="5777" spans="1:3" x14ac:dyDescent="0.2">
      <c r="A5777" s="82"/>
      <c r="B5777" s="82"/>
      <c r="C5777" s="82"/>
    </row>
    <row r="5778" spans="1:3" x14ac:dyDescent="0.2">
      <c r="A5778" s="82"/>
      <c r="B5778" s="82"/>
      <c r="C5778" s="82"/>
    </row>
    <row r="5779" spans="1:3" x14ac:dyDescent="0.2">
      <c r="A5779" s="82"/>
      <c r="B5779" s="82"/>
      <c r="C5779" s="82"/>
    </row>
    <row r="5780" spans="1:3" x14ac:dyDescent="0.2">
      <c r="A5780" s="82"/>
      <c r="B5780" s="82"/>
      <c r="C5780" s="82"/>
    </row>
    <row r="5781" spans="1:3" x14ac:dyDescent="0.2">
      <c r="A5781" s="82"/>
      <c r="B5781" s="82"/>
      <c r="C5781" s="82"/>
    </row>
    <row r="5782" spans="1:3" x14ac:dyDescent="0.2">
      <c r="A5782" s="82"/>
      <c r="B5782" s="82"/>
      <c r="C5782" s="82"/>
    </row>
    <row r="5783" spans="1:3" x14ac:dyDescent="0.2">
      <c r="A5783" s="82"/>
      <c r="B5783" s="82"/>
      <c r="C5783" s="82"/>
    </row>
    <row r="5784" spans="1:3" x14ac:dyDescent="0.2">
      <c r="A5784" s="82"/>
      <c r="B5784" s="82"/>
      <c r="C5784" s="82"/>
    </row>
    <row r="5785" spans="1:3" x14ac:dyDescent="0.2">
      <c r="A5785" s="82"/>
      <c r="B5785" s="82"/>
      <c r="C5785" s="82"/>
    </row>
    <row r="5786" spans="1:3" x14ac:dyDescent="0.2">
      <c r="A5786" s="82"/>
      <c r="B5786" s="82"/>
      <c r="C5786" s="82"/>
    </row>
    <row r="5787" spans="1:3" x14ac:dyDescent="0.2">
      <c r="A5787" s="82"/>
      <c r="B5787" s="82"/>
      <c r="C5787" s="82"/>
    </row>
    <row r="5788" spans="1:3" x14ac:dyDescent="0.2">
      <c r="A5788" s="82"/>
      <c r="B5788" s="82"/>
      <c r="C5788" s="82"/>
    </row>
    <row r="5789" spans="1:3" x14ac:dyDescent="0.2">
      <c r="A5789" s="82"/>
      <c r="B5789" s="82"/>
      <c r="C5789" s="82"/>
    </row>
    <row r="5790" spans="1:3" x14ac:dyDescent="0.2">
      <c r="A5790" s="82"/>
      <c r="B5790" s="82"/>
      <c r="C5790" s="82"/>
    </row>
    <row r="5791" spans="1:3" x14ac:dyDescent="0.2">
      <c r="A5791" s="82"/>
      <c r="B5791" s="82"/>
      <c r="C5791" s="82"/>
    </row>
    <row r="5792" spans="1:3" x14ac:dyDescent="0.2">
      <c r="A5792" s="82"/>
      <c r="B5792" s="82"/>
      <c r="C5792" s="82"/>
    </row>
    <row r="5793" spans="1:3" x14ac:dyDescent="0.2">
      <c r="A5793" s="82"/>
      <c r="B5793" s="82"/>
      <c r="C5793" s="82"/>
    </row>
    <row r="5794" spans="1:3" x14ac:dyDescent="0.2">
      <c r="A5794" s="82"/>
      <c r="B5794" s="82"/>
      <c r="C5794" s="82"/>
    </row>
    <row r="5795" spans="1:3" x14ac:dyDescent="0.2">
      <c r="A5795" s="82"/>
      <c r="B5795" s="82"/>
      <c r="C5795" s="82"/>
    </row>
    <row r="5796" spans="1:3" x14ac:dyDescent="0.2">
      <c r="A5796" s="82"/>
      <c r="B5796" s="82"/>
      <c r="C5796" s="82"/>
    </row>
    <row r="5797" spans="1:3" x14ac:dyDescent="0.2">
      <c r="A5797" s="82"/>
      <c r="B5797" s="82"/>
      <c r="C5797" s="82"/>
    </row>
    <row r="5798" spans="1:3" x14ac:dyDescent="0.2">
      <c r="A5798" s="82"/>
      <c r="B5798" s="82"/>
      <c r="C5798" s="82"/>
    </row>
    <row r="5799" spans="1:3" x14ac:dyDescent="0.2">
      <c r="A5799" s="82"/>
      <c r="B5799" s="82"/>
      <c r="C5799" s="82"/>
    </row>
    <row r="5800" spans="1:3" x14ac:dyDescent="0.2">
      <c r="A5800" s="82"/>
      <c r="B5800" s="82"/>
      <c r="C5800" s="82"/>
    </row>
    <row r="5801" spans="1:3" x14ac:dyDescent="0.2">
      <c r="A5801" s="82"/>
      <c r="B5801" s="82"/>
      <c r="C5801" s="82"/>
    </row>
    <row r="5802" spans="1:3" x14ac:dyDescent="0.2">
      <c r="A5802" s="82"/>
      <c r="B5802" s="82"/>
      <c r="C5802" s="82"/>
    </row>
    <row r="5803" spans="1:3" x14ac:dyDescent="0.2">
      <c r="A5803" s="82"/>
      <c r="B5803" s="82"/>
      <c r="C5803" s="82"/>
    </row>
    <row r="5804" spans="1:3" x14ac:dyDescent="0.2">
      <c r="A5804" s="82"/>
      <c r="B5804" s="82"/>
      <c r="C5804" s="82"/>
    </row>
    <row r="5805" spans="1:3" x14ac:dyDescent="0.2">
      <c r="A5805" s="82"/>
      <c r="B5805" s="82"/>
      <c r="C5805" s="82"/>
    </row>
    <row r="5806" spans="1:3" x14ac:dyDescent="0.2">
      <c r="A5806" s="82"/>
      <c r="B5806" s="82"/>
      <c r="C5806" s="82"/>
    </row>
    <row r="5807" spans="1:3" x14ac:dyDescent="0.2">
      <c r="A5807" s="82"/>
      <c r="B5807" s="82"/>
      <c r="C5807" s="82"/>
    </row>
    <row r="5808" spans="1:3" x14ac:dyDescent="0.2">
      <c r="A5808" s="82"/>
      <c r="B5808" s="82"/>
      <c r="C5808" s="82"/>
    </row>
    <row r="5809" spans="1:3" x14ac:dyDescent="0.2">
      <c r="A5809" s="82"/>
      <c r="B5809" s="82"/>
      <c r="C5809" s="82"/>
    </row>
    <row r="5810" spans="1:3" x14ac:dyDescent="0.2">
      <c r="A5810" s="82"/>
      <c r="B5810" s="82"/>
      <c r="C5810" s="82"/>
    </row>
    <row r="5811" spans="1:3" x14ac:dyDescent="0.2">
      <c r="A5811" s="82"/>
      <c r="B5811" s="82"/>
      <c r="C5811" s="82"/>
    </row>
    <row r="5812" spans="1:3" x14ac:dyDescent="0.2">
      <c r="A5812" s="82"/>
      <c r="B5812" s="82"/>
      <c r="C5812" s="82"/>
    </row>
    <row r="5813" spans="1:3" x14ac:dyDescent="0.2">
      <c r="A5813" s="82"/>
      <c r="B5813" s="82"/>
      <c r="C5813" s="82"/>
    </row>
    <row r="5814" spans="1:3" x14ac:dyDescent="0.2">
      <c r="A5814" s="82"/>
      <c r="B5814" s="82"/>
      <c r="C5814" s="82"/>
    </row>
    <row r="5815" spans="1:3" x14ac:dyDescent="0.2">
      <c r="A5815" s="82"/>
      <c r="B5815" s="82"/>
      <c r="C5815" s="82"/>
    </row>
    <row r="5816" spans="1:3" x14ac:dyDescent="0.2">
      <c r="A5816" s="82"/>
      <c r="B5816" s="82"/>
      <c r="C5816" s="82"/>
    </row>
    <row r="5817" spans="1:3" x14ac:dyDescent="0.2">
      <c r="A5817" s="82"/>
      <c r="B5817" s="82"/>
      <c r="C5817" s="82"/>
    </row>
    <row r="5818" spans="1:3" x14ac:dyDescent="0.2">
      <c r="A5818" s="82"/>
      <c r="B5818" s="82"/>
      <c r="C5818" s="82"/>
    </row>
    <row r="5819" spans="1:3" x14ac:dyDescent="0.2">
      <c r="A5819" s="82"/>
      <c r="B5819" s="82"/>
      <c r="C5819" s="82"/>
    </row>
    <row r="5820" spans="1:3" x14ac:dyDescent="0.2">
      <c r="A5820" s="82"/>
      <c r="B5820" s="82"/>
      <c r="C5820" s="82"/>
    </row>
    <row r="5821" spans="1:3" x14ac:dyDescent="0.2">
      <c r="A5821" s="82"/>
      <c r="B5821" s="82"/>
      <c r="C5821" s="82"/>
    </row>
    <row r="5822" spans="1:3" x14ac:dyDescent="0.2">
      <c r="A5822" s="82"/>
      <c r="B5822" s="82"/>
      <c r="C5822" s="82"/>
    </row>
    <row r="5823" spans="1:3" x14ac:dyDescent="0.2">
      <c r="A5823" s="82"/>
      <c r="B5823" s="82"/>
      <c r="C5823" s="82"/>
    </row>
    <row r="5824" spans="1:3" x14ac:dyDescent="0.2">
      <c r="A5824" s="82"/>
      <c r="B5824" s="82"/>
      <c r="C5824" s="82"/>
    </row>
    <row r="5825" spans="1:3" x14ac:dyDescent="0.2">
      <c r="A5825" s="82"/>
      <c r="B5825" s="82"/>
      <c r="C5825" s="82"/>
    </row>
    <row r="5826" spans="1:3" x14ac:dyDescent="0.2">
      <c r="A5826" s="82"/>
      <c r="B5826" s="82"/>
      <c r="C5826" s="82"/>
    </row>
    <row r="5827" spans="1:3" x14ac:dyDescent="0.2">
      <c r="A5827" s="82"/>
      <c r="B5827" s="82"/>
      <c r="C5827" s="82"/>
    </row>
    <row r="5828" spans="1:3" x14ac:dyDescent="0.2">
      <c r="A5828" s="82"/>
      <c r="B5828" s="82"/>
      <c r="C5828" s="82"/>
    </row>
    <row r="5829" spans="1:3" x14ac:dyDescent="0.2">
      <c r="A5829" s="82"/>
      <c r="B5829" s="82"/>
      <c r="C5829" s="82"/>
    </row>
    <row r="5830" spans="1:3" x14ac:dyDescent="0.2">
      <c r="A5830" s="82"/>
      <c r="B5830" s="82"/>
      <c r="C5830" s="82"/>
    </row>
    <row r="5831" spans="1:3" x14ac:dyDescent="0.2">
      <c r="A5831" s="82"/>
      <c r="B5831" s="82"/>
      <c r="C5831" s="82"/>
    </row>
    <row r="5832" spans="1:3" x14ac:dyDescent="0.2">
      <c r="A5832" s="82"/>
      <c r="B5832" s="82"/>
      <c r="C5832" s="82"/>
    </row>
    <row r="5833" spans="1:3" x14ac:dyDescent="0.2">
      <c r="A5833" s="82"/>
      <c r="B5833" s="82"/>
      <c r="C5833" s="82"/>
    </row>
    <row r="5834" spans="1:3" x14ac:dyDescent="0.2">
      <c r="A5834" s="82"/>
      <c r="B5834" s="82"/>
      <c r="C5834" s="82"/>
    </row>
    <row r="5835" spans="1:3" x14ac:dyDescent="0.2">
      <c r="A5835" s="82"/>
      <c r="B5835" s="82"/>
      <c r="C5835" s="82"/>
    </row>
    <row r="5836" spans="1:3" x14ac:dyDescent="0.2">
      <c r="A5836" s="82"/>
      <c r="B5836" s="82"/>
      <c r="C5836" s="82"/>
    </row>
    <row r="5837" spans="1:3" x14ac:dyDescent="0.2">
      <c r="A5837" s="82"/>
      <c r="B5837" s="82"/>
      <c r="C5837" s="82"/>
    </row>
    <row r="5838" spans="1:3" x14ac:dyDescent="0.2">
      <c r="A5838" s="82"/>
      <c r="B5838" s="82"/>
      <c r="C5838" s="82"/>
    </row>
    <row r="5839" spans="1:3" x14ac:dyDescent="0.2">
      <c r="A5839" s="82"/>
      <c r="B5839" s="82"/>
      <c r="C5839" s="82"/>
    </row>
    <row r="5840" spans="1:3" x14ac:dyDescent="0.2">
      <c r="A5840" s="82"/>
      <c r="B5840" s="82"/>
      <c r="C5840" s="82"/>
    </row>
    <row r="5841" spans="1:3" x14ac:dyDescent="0.2">
      <c r="A5841" s="82"/>
      <c r="B5841" s="82"/>
      <c r="C5841" s="82"/>
    </row>
    <row r="5842" spans="1:3" x14ac:dyDescent="0.2">
      <c r="A5842" s="82"/>
      <c r="B5842" s="82"/>
      <c r="C5842" s="82"/>
    </row>
    <row r="5843" spans="1:3" x14ac:dyDescent="0.2">
      <c r="A5843" s="82"/>
      <c r="B5843" s="82"/>
      <c r="C5843" s="82"/>
    </row>
    <row r="5844" spans="1:3" x14ac:dyDescent="0.2">
      <c r="A5844" s="82"/>
      <c r="B5844" s="82"/>
      <c r="C5844" s="82"/>
    </row>
    <row r="5845" spans="1:3" x14ac:dyDescent="0.2">
      <c r="A5845" s="82"/>
      <c r="B5845" s="82"/>
      <c r="C5845" s="82"/>
    </row>
    <row r="5846" spans="1:3" x14ac:dyDescent="0.2">
      <c r="A5846" s="82"/>
      <c r="B5846" s="82"/>
      <c r="C5846" s="82"/>
    </row>
    <row r="5847" spans="1:3" x14ac:dyDescent="0.2">
      <c r="A5847" s="82"/>
      <c r="B5847" s="82"/>
      <c r="C5847" s="82"/>
    </row>
    <row r="5848" spans="1:3" x14ac:dyDescent="0.2">
      <c r="A5848" s="82"/>
      <c r="B5848" s="82"/>
      <c r="C5848" s="82"/>
    </row>
    <row r="5849" spans="1:3" x14ac:dyDescent="0.2">
      <c r="A5849" s="82"/>
      <c r="B5849" s="82"/>
      <c r="C5849" s="82"/>
    </row>
    <row r="5850" spans="1:3" x14ac:dyDescent="0.2">
      <c r="A5850" s="82"/>
      <c r="B5850" s="82"/>
      <c r="C5850" s="82"/>
    </row>
    <row r="5851" spans="1:3" x14ac:dyDescent="0.2">
      <c r="A5851" s="82"/>
      <c r="B5851" s="82"/>
      <c r="C5851" s="82"/>
    </row>
    <row r="5852" spans="1:3" x14ac:dyDescent="0.2">
      <c r="A5852" s="82"/>
      <c r="B5852" s="82"/>
      <c r="C5852" s="82"/>
    </row>
    <row r="5853" spans="1:3" x14ac:dyDescent="0.2">
      <c r="A5853" s="82"/>
      <c r="B5853" s="82"/>
      <c r="C5853" s="82"/>
    </row>
    <row r="5854" spans="1:3" x14ac:dyDescent="0.2">
      <c r="A5854" s="82"/>
      <c r="B5854" s="82"/>
      <c r="C5854" s="82"/>
    </row>
    <row r="5855" spans="1:3" x14ac:dyDescent="0.2">
      <c r="A5855" s="82"/>
      <c r="B5855" s="82"/>
      <c r="C5855" s="82"/>
    </row>
    <row r="5856" spans="1:3" x14ac:dyDescent="0.2">
      <c r="A5856" s="82"/>
      <c r="B5856" s="82"/>
      <c r="C5856" s="82"/>
    </row>
    <row r="5857" spans="1:3" x14ac:dyDescent="0.2">
      <c r="A5857" s="82"/>
      <c r="B5857" s="82"/>
      <c r="C5857" s="82"/>
    </row>
    <row r="5858" spans="1:3" x14ac:dyDescent="0.2">
      <c r="A5858" s="82"/>
      <c r="B5858" s="82"/>
      <c r="C5858" s="82"/>
    </row>
    <row r="5859" spans="1:3" x14ac:dyDescent="0.2">
      <c r="A5859" s="82"/>
      <c r="B5859" s="82"/>
      <c r="C5859" s="82"/>
    </row>
    <row r="5860" spans="1:3" x14ac:dyDescent="0.2">
      <c r="A5860" s="82"/>
      <c r="B5860" s="82"/>
      <c r="C5860" s="82"/>
    </row>
    <row r="5861" spans="1:3" x14ac:dyDescent="0.2">
      <c r="A5861" s="82"/>
      <c r="B5861" s="82"/>
      <c r="C5861" s="82"/>
    </row>
    <row r="5862" spans="1:3" x14ac:dyDescent="0.2">
      <c r="A5862" s="82"/>
      <c r="B5862" s="82"/>
      <c r="C5862" s="82"/>
    </row>
    <row r="5863" spans="1:3" x14ac:dyDescent="0.2">
      <c r="A5863" s="82"/>
      <c r="B5863" s="82"/>
      <c r="C5863" s="82"/>
    </row>
    <row r="5864" spans="1:3" x14ac:dyDescent="0.2">
      <c r="A5864" s="82"/>
      <c r="B5864" s="82"/>
      <c r="C5864" s="82"/>
    </row>
    <row r="5865" spans="1:3" x14ac:dyDescent="0.2">
      <c r="A5865" s="82"/>
      <c r="B5865" s="82"/>
      <c r="C5865" s="82"/>
    </row>
    <row r="5866" spans="1:3" x14ac:dyDescent="0.2">
      <c r="A5866" s="82"/>
      <c r="B5866" s="82"/>
      <c r="C5866" s="82"/>
    </row>
    <row r="5867" spans="1:3" x14ac:dyDescent="0.2">
      <c r="A5867" s="82"/>
      <c r="B5867" s="82"/>
      <c r="C5867" s="82"/>
    </row>
    <row r="5868" spans="1:3" x14ac:dyDescent="0.2">
      <c r="A5868" s="82"/>
      <c r="B5868" s="82"/>
      <c r="C5868" s="82"/>
    </row>
    <row r="5869" spans="1:3" x14ac:dyDescent="0.2">
      <c r="A5869" s="82"/>
      <c r="B5869" s="82"/>
      <c r="C5869" s="82"/>
    </row>
    <row r="5870" spans="1:3" x14ac:dyDescent="0.2">
      <c r="A5870" s="82"/>
      <c r="B5870" s="82"/>
      <c r="C5870" s="82"/>
    </row>
    <row r="5871" spans="1:3" x14ac:dyDescent="0.2">
      <c r="A5871" s="82"/>
      <c r="B5871" s="82"/>
      <c r="C5871" s="82"/>
    </row>
    <row r="5872" spans="1:3" x14ac:dyDescent="0.2">
      <c r="A5872" s="82"/>
      <c r="B5872" s="82"/>
      <c r="C5872" s="82"/>
    </row>
    <row r="5873" spans="1:3" x14ac:dyDescent="0.2">
      <c r="A5873" s="82"/>
      <c r="B5873" s="82"/>
      <c r="C5873" s="82"/>
    </row>
    <row r="5874" spans="1:3" x14ac:dyDescent="0.2">
      <c r="A5874" s="82"/>
      <c r="B5874" s="82"/>
      <c r="C5874" s="82"/>
    </row>
    <row r="5875" spans="1:3" x14ac:dyDescent="0.2">
      <c r="A5875" s="82"/>
      <c r="B5875" s="82"/>
      <c r="C5875" s="82"/>
    </row>
    <row r="5876" spans="1:3" x14ac:dyDescent="0.2">
      <c r="A5876" s="82"/>
      <c r="B5876" s="82"/>
      <c r="C5876" s="82"/>
    </row>
    <row r="5877" spans="1:3" x14ac:dyDescent="0.2">
      <c r="A5877" s="82"/>
      <c r="B5877" s="82"/>
      <c r="C5877" s="82"/>
    </row>
    <row r="5878" spans="1:3" x14ac:dyDescent="0.2">
      <c r="A5878" s="82"/>
      <c r="B5878" s="82"/>
      <c r="C5878" s="82"/>
    </row>
    <row r="5879" spans="1:3" x14ac:dyDescent="0.2">
      <c r="A5879" s="82"/>
      <c r="B5879" s="82"/>
      <c r="C5879" s="82"/>
    </row>
    <row r="5880" spans="1:3" x14ac:dyDescent="0.2">
      <c r="A5880" s="82"/>
      <c r="B5880" s="82"/>
      <c r="C5880" s="82"/>
    </row>
    <row r="5881" spans="1:3" x14ac:dyDescent="0.2">
      <c r="A5881" s="82"/>
      <c r="B5881" s="82"/>
      <c r="C5881" s="82"/>
    </row>
    <row r="5882" spans="1:3" x14ac:dyDescent="0.2">
      <c r="A5882" s="82"/>
      <c r="B5882" s="82"/>
      <c r="C5882" s="82"/>
    </row>
    <row r="5883" spans="1:3" x14ac:dyDescent="0.2">
      <c r="A5883" s="82"/>
      <c r="B5883" s="82"/>
      <c r="C5883" s="82"/>
    </row>
    <row r="5884" spans="1:3" x14ac:dyDescent="0.2">
      <c r="A5884" s="82"/>
      <c r="B5884" s="82"/>
      <c r="C5884" s="82"/>
    </row>
    <row r="5885" spans="1:3" x14ac:dyDescent="0.2">
      <c r="A5885" s="82"/>
      <c r="B5885" s="82"/>
      <c r="C5885" s="82"/>
    </row>
    <row r="5886" spans="1:3" x14ac:dyDescent="0.2">
      <c r="A5886" s="82"/>
      <c r="B5886" s="82"/>
      <c r="C5886" s="82"/>
    </row>
    <row r="5887" spans="1:3" x14ac:dyDescent="0.2">
      <c r="A5887" s="82"/>
      <c r="B5887" s="82"/>
      <c r="C5887" s="82"/>
    </row>
    <row r="5888" spans="1:3" x14ac:dyDescent="0.2">
      <c r="A5888" s="82"/>
      <c r="B5888" s="82"/>
      <c r="C5888" s="82"/>
    </row>
    <row r="5889" spans="1:3" x14ac:dyDescent="0.2">
      <c r="A5889" s="82"/>
      <c r="B5889" s="82"/>
      <c r="C5889" s="82"/>
    </row>
    <row r="5890" spans="1:3" x14ac:dyDescent="0.2">
      <c r="A5890" s="82"/>
      <c r="B5890" s="82"/>
      <c r="C5890" s="82"/>
    </row>
    <row r="5891" spans="1:3" x14ac:dyDescent="0.2">
      <c r="A5891" s="82"/>
      <c r="B5891" s="82"/>
      <c r="C5891" s="82"/>
    </row>
    <row r="5892" spans="1:3" x14ac:dyDescent="0.2">
      <c r="A5892" s="82"/>
      <c r="B5892" s="82"/>
      <c r="C5892" s="82"/>
    </row>
    <row r="5893" spans="1:3" x14ac:dyDescent="0.2">
      <c r="A5893" s="82"/>
      <c r="B5893" s="82"/>
      <c r="C5893" s="82"/>
    </row>
    <row r="5894" spans="1:3" x14ac:dyDescent="0.2">
      <c r="A5894" s="82"/>
      <c r="B5894" s="82"/>
      <c r="C5894" s="82"/>
    </row>
    <row r="5895" spans="1:3" x14ac:dyDescent="0.2">
      <c r="A5895" s="82"/>
      <c r="B5895" s="82"/>
      <c r="C5895" s="82"/>
    </row>
    <row r="5896" spans="1:3" x14ac:dyDescent="0.2">
      <c r="A5896" s="82"/>
      <c r="B5896" s="82"/>
      <c r="C5896" s="82"/>
    </row>
    <row r="5897" spans="1:3" x14ac:dyDescent="0.2">
      <c r="A5897" s="82"/>
      <c r="B5897" s="82"/>
      <c r="C5897" s="82"/>
    </row>
    <row r="5898" spans="1:3" x14ac:dyDescent="0.2">
      <c r="A5898" s="82"/>
      <c r="B5898" s="82"/>
      <c r="C5898" s="82"/>
    </row>
    <row r="5899" spans="1:3" x14ac:dyDescent="0.2">
      <c r="A5899" s="82"/>
      <c r="B5899" s="82"/>
      <c r="C5899" s="82"/>
    </row>
    <row r="5900" spans="1:3" x14ac:dyDescent="0.2">
      <c r="A5900" s="82"/>
      <c r="B5900" s="82"/>
      <c r="C5900" s="82"/>
    </row>
    <row r="5901" spans="1:3" x14ac:dyDescent="0.2">
      <c r="A5901" s="82"/>
      <c r="B5901" s="82"/>
      <c r="C5901" s="82"/>
    </row>
    <row r="5902" spans="1:3" x14ac:dyDescent="0.2">
      <c r="A5902" s="82"/>
      <c r="B5902" s="82"/>
      <c r="C5902" s="82"/>
    </row>
    <row r="5903" spans="1:3" x14ac:dyDescent="0.2">
      <c r="A5903" s="82"/>
      <c r="B5903" s="82"/>
      <c r="C5903" s="82"/>
    </row>
    <row r="5904" spans="1:3" x14ac:dyDescent="0.2">
      <c r="A5904" s="82"/>
      <c r="B5904" s="82"/>
      <c r="C5904" s="82"/>
    </row>
    <row r="5905" spans="1:3" x14ac:dyDescent="0.2">
      <c r="A5905" s="82"/>
      <c r="B5905" s="82"/>
      <c r="C5905" s="82"/>
    </row>
    <row r="5906" spans="1:3" x14ac:dyDescent="0.2">
      <c r="A5906" s="82"/>
      <c r="B5906" s="82"/>
      <c r="C5906" s="82"/>
    </row>
    <row r="5907" spans="1:3" x14ac:dyDescent="0.2">
      <c r="A5907" s="82"/>
      <c r="B5907" s="82"/>
      <c r="C5907" s="82"/>
    </row>
    <row r="5908" spans="1:3" x14ac:dyDescent="0.2">
      <c r="A5908" s="82"/>
      <c r="B5908" s="82"/>
      <c r="C5908" s="82"/>
    </row>
    <row r="5909" spans="1:3" x14ac:dyDescent="0.2">
      <c r="A5909" s="82"/>
      <c r="B5909" s="82"/>
      <c r="C5909" s="82"/>
    </row>
    <row r="5910" spans="1:3" x14ac:dyDescent="0.2">
      <c r="A5910" s="82"/>
      <c r="B5910" s="82"/>
      <c r="C5910" s="82"/>
    </row>
    <row r="5911" spans="1:3" x14ac:dyDescent="0.2">
      <c r="A5911" s="82"/>
      <c r="B5911" s="82"/>
      <c r="C5911" s="82"/>
    </row>
    <row r="5912" spans="1:3" x14ac:dyDescent="0.2">
      <c r="A5912" s="82"/>
      <c r="B5912" s="82"/>
      <c r="C5912" s="82"/>
    </row>
    <row r="5913" spans="1:3" x14ac:dyDescent="0.2">
      <c r="A5913" s="82"/>
      <c r="B5913" s="82"/>
      <c r="C5913" s="82"/>
    </row>
    <row r="5914" spans="1:3" x14ac:dyDescent="0.2">
      <c r="A5914" s="82"/>
      <c r="B5914" s="82"/>
      <c r="C5914" s="82"/>
    </row>
    <row r="5915" spans="1:3" x14ac:dyDescent="0.2">
      <c r="A5915" s="82"/>
      <c r="B5915" s="82"/>
      <c r="C5915" s="82"/>
    </row>
    <row r="5916" spans="1:3" x14ac:dyDescent="0.2">
      <c r="A5916" s="82"/>
      <c r="B5916" s="82"/>
      <c r="C5916" s="82"/>
    </row>
    <row r="5917" spans="1:3" x14ac:dyDescent="0.2">
      <c r="A5917" s="82"/>
      <c r="B5917" s="82"/>
      <c r="C5917" s="82"/>
    </row>
    <row r="5918" spans="1:3" x14ac:dyDescent="0.2">
      <c r="A5918" s="82"/>
      <c r="B5918" s="82"/>
      <c r="C5918" s="82"/>
    </row>
    <row r="5919" spans="1:3" x14ac:dyDescent="0.2">
      <c r="A5919" s="82"/>
      <c r="B5919" s="82"/>
      <c r="C5919" s="82"/>
    </row>
    <row r="5920" spans="1:3" x14ac:dyDescent="0.2">
      <c r="A5920" s="82"/>
      <c r="B5920" s="82"/>
      <c r="C5920" s="82"/>
    </row>
    <row r="5921" spans="1:3" x14ac:dyDescent="0.2">
      <c r="A5921" s="82"/>
      <c r="B5921" s="82"/>
      <c r="C5921" s="82"/>
    </row>
    <row r="5922" spans="1:3" x14ac:dyDescent="0.2">
      <c r="A5922" s="82"/>
      <c r="B5922" s="82"/>
      <c r="C5922" s="82"/>
    </row>
    <row r="5923" spans="1:3" x14ac:dyDescent="0.2">
      <c r="A5923" s="82"/>
      <c r="B5923" s="82"/>
      <c r="C5923" s="82"/>
    </row>
    <row r="5924" spans="1:3" x14ac:dyDescent="0.2">
      <c r="A5924" s="82"/>
      <c r="B5924" s="82"/>
      <c r="C5924" s="82"/>
    </row>
    <row r="5925" spans="1:3" x14ac:dyDescent="0.2">
      <c r="A5925" s="82"/>
      <c r="B5925" s="82"/>
      <c r="C5925" s="82"/>
    </row>
    <row r="5926" spans="1:3" x14ac:dyDescent="0.2">
      <c r="A5926" s="82"/>
      <c r="B5926" s="82"/>
      <c r="C5926" s="82"/>
    </row>
    <row r="5927" spans="1:3" x14ac:dyDescent="0.2">
      <c r="A5927" s="82"/>
      <c r="B5927" s="82"/>
      <c r="C5927" s="82"/>
    </row>
    <row r="5928" spans="1:3" x14ac:dyDescent="0.2">
      <c r="A5928" s="82"/>
      <c r="B5928" s="82"/>
      <c r="C5928" s="82"/>
    </row>
    <row r="5929" spans="1:3" x14ac:dyDescent="0.2">
      <c r="A5929" s="82"/>
      <c r="B5929" s="82"/>
      <c r="C5929" s="82"/>
    </row>
    <row r="5930" spans="1:3" x14ac:dyDescent="0.2">
      <c r="A5930" s="82"/>
      <c r="B5930" s="82"/>
      <c r="C5930" s="82"/>
    </row>
    <row r="5931" spans="1:3" x14ac:dyDescent="0.2">
      <c r="A5931" s="82"/>
      <c r="B5931" s="82"/>
      <c r="C5931" s="82"/>
    </row>
    <row r="5932" spans="1:3" x14ac:dyDescent="0.2">
      <c r="A5932" s="82"/>
      <c r="B5932" s="82"/>
      <c r="C5932" s="82"/>
    </row>
    <row r="5933" spans="1:3" x14ac:dyDescent="0.2">
      <c r="A5933" s="82"/>
      <c r="B5933" s="82"/>
      <c r="C5933" s="82"/>
    </row>
    <row r="5934" spans="1:3" x14ac:dyDescent="0.2">
      <c r="A5934" s="82"/>
      <c r="B5934" s="82"/>
      <c r="C5934" s="82"/>
    </row>
    <row r="5935" spans="1:3" x14ac:dyDescent="0.2">
      <c r="A5935" s="82"/>
      <c r="B5935" s="82"/>
      <c r="C5935" s="82"/>
    </row>
    <row r="5936" spans="1:3" x14ac:dyDescent="0.2">
      <c r="A5936" s="82"/>
      <c r="B5936" s="82"/>
      <c r="C5936" s="82"/>
    </row>
    <row r="5937" spans="1:3" x14ac:dyDescent="0.2">
      <c r="A5937" s="82"/>
      <c r="B5937" s="82"/>
      <c r="C5937" s="82"/>
    </row>
    <row r="5938" spans="1:3" x14ac:dyDescent="0.2">
      <c r="A5938" s="82"/>
      <c r="B5938" s="82"/>
      <c r="C5938" s="82"/>
    </row>
    <row r="5939" spans="1:3" x14ac:dyDescent="0.2">
      <c r="A5939" s="82"/>
      <c r="B5939" s="82"/>
      <c r="C5939" s="82"/>
    </row>
    <row r="5940" spans="1:3" x14ac:dyDescent="0.2">
      <c r="A5940" s="82"/>
      <c r="B5940" s="82"/>
      <c r="C5940" s="82"/>
    </row>
    <row r="5941" spans="1:3" x14ac:dyDescent="0.2">
      <c r="A5941" s="82"/>
      <c r="B5941" s="82"/>
      <c r="C5941" s="82"/>
    </row>
    <row r="5942" spans="1:3" x14ac:dyDescent="0.2">
      <c r="A5942" s="82"/>
      <c r="B5942" s="82"/>
      <c r="C5942" s="82"/>
    </row>
    <row r="5943" spans="1:3" x14ac:dyDescent="0.2">
      <c r="A5943" s="82"/>
      <c r="B5943" s="82"/>
      <c r="C5943" s="82"/>
    </row>
    <row r="5944" spans="1:3" x14ac:dyDescent="0.2">
      <c r="A5944" s="82"/>
      <c r="B5944" s="82"/>
      <c r="C5944" s="82"/>
    </row>
    <row r="5945" spans="1:3" x14ac:dyDescent="0.2">
      <c r="A5945" s="82"/>
      <c r="B5945" s="82"/>
      <c r="C5945" s="82"/>
    </row>
    <row r="5946" spans="1:3" x14ac:dyDescent="0.2">
      <c r="A5946" s="82"/>
      <c r="B5946" s="82"/>
      <c r="C5946" s="82"/>
    </row>
    <row r="5947" spans="1:3" x14ac:dyDescent="0.2">
      <c r="A5947" s="82"/>
      <c r="B5947" s="82"/>
      <c r="C5947" s="82"/>
    </row>
    <row r="5948" spans="1:3" x14ac:dyDescent="0.2">
      <c r="A5948" s="82"/>
      <c r="B5948" s="82"/>
      <c r="C5948" s="82"/>
    </row>
    <row r="5949" spans="1:3" x14ac:dyDescent="0.2">
      <c r="A5949" s="82"/>
      <c r="B5949" s="82"/>
      <c r="C5949" s="82"/>
    </row>
    <row r="5950" spans="1:3" x14ac:dyDescent="0.2">
      <c r="A5950" s="82"/>
      <c r="B5950" s="82"/>
      <c r="C5950" s="82"/>
    </row>
    <row r="5951" spans="1:3" x14ac:dyDescent="0.2">
      <c r="A5951" s="82"/>
      <c r="B5951" s="82"/>
      <c r="C5951" s="82"/>
    </row>
    <row r="5952" spans="1:3" x14ac:dyDescent="0.2">
      <c r="A5952" s="82"/>
      <c r="B5952" s="82"/>
      <c r="C5952" s="82"/>
    </row>
    <row r="5953" spans="1:3" x14ac:dyDescent="0.2">
      <c r="A5953" s="82"/>
      <c r="B5953" s="82"/>
      <c r="C5953" s="82"/>
    </row>
    <row r="5954" spans="1:3" x14ac:dyDescent="0.2">
      <c r="A5954" s="82"/>
      <c r="B5954" s="82"/>
      <c r="C5954" s="82"/>
    </row>
    <row r="5955" spans="1:3" x14ac:dyDescent="0.2">
      <c r="A5955" s="82"/>
      <c r="B5955" s="82"/>
      <c r="C5955" s="82"/>
    </row>
    <row r="5956" spans="1:3" x14ac:dyDescent="0.2">
      <c r="A5956" s="82"/>
      <c r="B5956" s="82"/>
      <c r="C5956" s="82"/>
    </row>
    <row r="5957" spans="1:3" x14ac:dyDescent="0.2">
      <c r="A5957" s="82"/>
      <c r="B5957" s="82"/>
      <c r="C5957" s="82"/>
    </row>
    <row r="5958" spans="1:3" x14ac:dyDescent="0.2">
      <c r="A5958" s="82"/>
      <c r="B5958" s="82"/>
      <c r="C5958" s="82"/>
    </row>
    <row r="5959" spans="1:3" x14ac:dyDescent="0.2">
      <c r="A5959" s="82"/>
      <c r="B5959" s="82"/>
      <c r="C5959" s="82"/>
    </row>
    <row r="5960" spans="1:3" x14ac:dyDescent="0.2">
      <c r="A5960" s="82"/>
      <c r="B5960" s="82"/>
      <c r="C5960" s="82"/>
    </row>
    <row r="5961" spans="1:3" x14ac:dyDescent="0.2">
      <c r="A5961" s="82"/>
      <c r="B5961" s="82"/>
      <c r="C5961" s="82"/>
    </row>
    <row r="5962" spans="1:3" x14ac:dyDescent="0.2">
      <c r="A5962" s="82"/>
      <c r="B5962" s="82"/>
      <c r="C5962" s="82"/>
    </row>
    <row r="5963" spans="1:3" x14ac:dyDescent="0.2">
      <c r="A5963" s="82"/>
      <c r="B5963" s="82"/>
      <c r="C5963" s="82"/>
    </row>
    <row r="5964" spans="1:3" x14ac:dyDescent="0.2">
      <c r="A5964" s="82"/>
      <c r="B5964" s="82"/>
      <c r="C5964" s="82"/>
    </row>
    <row r="5965" spans="1:3" x14ac:dyDescent="0.2">
      <c r="A5965" s="82"/>
      <c r="B5965" s="82"/>
      <c r="C5965" s="82"/>
    </row>
    <row r="5966" spans="1:3" x14ac:dyDescent="0.2">
      <c r="A5966" s="82"/>
      <c r="B5966" s="82"/>
      <c r="C5966" s="82"/>
    </row>
    <row r="5967" spans="1:3" x14ac:dyDescent="0.2">
      <c r="A5967" s="82"/>
      <c r="B5967" s="82"/>
      <c r="C5967" s="82"/>
    </row>
    <row r="5968" spans="1:3" x14ac:dyDescent="0.2">
      <c r="A5968" s="82"/>
      <c r="B5968" s="82"/>
      <c r="C5968" s="82"/>
    </row>
    <row r="5969" spans="1:3" x14ac:dyDescent="0.2">
      <c r="A5969" s="82"/>
      <c r="B5969" s="82"/>
      <c r="C5969" s="82"/>
    </row>
    <row r="5970" spans="1:3" x14ac:dyDescent="0.2">
      <c r="A5970" s="82"/>
      <c r="B5970" s="82"/>
      <c r="C5970" s="82"/>
    </row>
    <row r="5971" spans="1:3" x14ac:dyDescent="0.2">
      <c r="A5971" s="82"/>
      <c r="B5971" s="82"/>
      <c r="C5971" s="82"/>
    </row>
    <row r="5972" spans="1:3" x14ac:dyDescent="0.2">
      <c r="A5972" s="82"/>
      <c r="B5972" s="82"/>
      <c r="C5972" s="82"/>
    </row>
    <row r="5973" spans="1:3" x14ac:dyDescent="0.2">
      <c r="A5973" s="82"/>
      <c r="B5973" s="82"/>
      <c r="C5973" s="82"/>
    </row>
    <row r="5974" spans="1:3" x14ac:dyDescent="0.2">
      <c r="A5974" s="82"/>
      <c r="B5974" s="82"/>
      <c r="C5974" s="82"/>
    </row>
    <row r="5975" spans="1:3" x14ac:dyDescent="0.2">
      <c r="A5975" s="82"/>
      <c r="B5975" s="82"/>
      <c r="C5975" s="82"/>
    </row>
    <row r="5976" spans="1:3" x14ac:dyDescent="0.2">
      <c r="A5976" s="82"/>
      <c r="B5976" s="82"/>
      <c r="C5976" s="82"/>
    </row>
    <row r="5977" spans="1:3" x14ac:dyDescent="0.2">
      <c r="A5977" s="82"/>
      <c r="B5977" s="82"/>
      <c r="C5977" s="82"/>
    </row>
    <row r="5978" spans="1:3" x14ac:dyDescent="0.2">
      <c r="A5978" s="82"/>
      <c r="B5978" s="82"/>
      <c r="C5978" s="82"/>
    </row>
    <row r="5979" spans="1:3" x14ac:dyDescent="0.2">
      <c r="A5979" s="82"/>
      <c r="B5979" s="82"/>
      <c r="C5979" s="82"/>
    </row>
    <row r="5980" spans="1:3" x14ac:dyDescent="0.2">
      <c r="A5980" s="82"/>
      <c r="B5980" s="82"/>
      <c r="C5980" s="82"/>
    </row>
    <row r="5981" spans="1:3" x14ac:dyDescent="0.2">
      <c r="A5981" s="82"/>
      <c r="B5981" s="82"/>
      <c r="C5981" s="82"/>
    </row>
    <row r="5982" spans="1:3" x14ac:dyDescent="0.2">
      <c r="A5982" s="82"/>
      <c r="B5982" s="82"/>
      <c r="C5982" s="82"/>
    </row>
    <row r="5983" spans="1:3" x14ac:dyDescent="0.2">
      <c r="A5983" s="82"/>
      <c r="B5983" s="82"/>
      <c r="C5983" s="82"/>
    </row>
    <row r="5984" spans="1:3" x14ac:dyDescent="0.2">
      <c r="A5984" s="82"/>
      <c r="B5984" s="82"/>
      <c r="C5984" s="82"/>
    </row>
    <row r="5985" spans="1:3" x14ac:dyDescent="0.2">
      <c r="A5985" s="82"/>
      <c r="B5985" s="82"/>
      <c r="C5985" s="82"/>
    </row>
    <row r="5986" spans="1:3" x14ac:dyDescent="0.2">
      <c r="A5986" s="82"/>
      <c r="B5986" s="82"/>
      <c r="C5986" s="82"/>
    </row>
    <row r="5987" spans="1:3" x14ac:dyDescent="0.2">
      <c r="A5987" s="82"/>
      <c r="B5987" s="82"/>
      <c r="C5987" s="82"/>
    </row>
    <row r="5988" spans="1:3" x14ac:dyDescent="0.2">
      <c r="A5988" s="82"/>
      <c r="B5988" s="82"/>
      <c r="C5988" s="82"/>
    </row>
    <row r="5989" spans="1:3" x14ac:dyDescent="0.2">
      <c r="A5989" s="82"/>
      <c r="B5989" s="82"/>
      <c r="C5989" s="82"/>
    </row>
    <row r="5990" spans="1:3" x14ac:dyDescent="0.2">
      <c r="A5990" s="82"/>
      <c r="B5990" s="82"/>
      <c r="C5990" s="82"/>
    </row>
    <row r="5991" spans="1:3" x14ac:dyDescent="0.2">
      <c r="A5991" s="82"/>
      <c r="B5991" s="82"/>
      <c r="C5991" s="82"/>
    </row>
    <row r="5992" spans="1:3" x14ac:dyDescent="0.2">
      <c r="A5992" s="82"/>
      <c r="B5992" s="82"/>
      <c r="C5992" s="82"/>
    </row>
    <row r="5993" spans="1:3" x14ac:dyDescent="0.2">
      <c r="A5993" s="82"/>
      <c r="B5993" s="82"/>
      <c r="C5993" s="82"/>
    </row>
    <row r="5994" spans="1:3" x14ac:dyDescent="0.2">
      <c r="A5994" s="82"/>
      <c r="B5994" s="82"/>
      <c r="C5994" s="82"/>
    </row>
    <row r="5995" spans="1:3" x14ac:dyDescent="0.2">
      <c r="A5995" s="82"/>
      <c r="B5995" s="82"/>
      <c r="C5995" s="82"/>
    </row>
    <row r="5996" spans="1:3" x14ac:dyDescent="0.2">
      <c r="A5996" s="82"/>
      <c r="B5996" s="82"/>
      <c r="C5996" s="82"/>
    </row>
    <row r="5997" spans="1:3" x14ac:dyDescent="0.2">
      <c r="A5997" s="82"/>
      <c r="B5997" s="82"/>
      <c r="C5997" s="82"/>
    </row>
    <row r="5998" spans="1:3" x14ac:dyDescent="0.2">
      <c r="A5998" s="82"/>
      <c r="B5998" s="82"/>
      <c r="C5998" s="82"/>
    </row>
    <row r="5999" spans="1:3" x14ac:dyDescent="0.2">
      <c r="A5999" s="82"/>
      <c r="B5999" s="82"/>
      <c r="C5999" s="82"/>
    </row>
    <row r="6000" spans="1:3" x14ac:dyDescent="0.2">
      <c r="A6000" s="82"/>
      <c r="B6000" s="82"/>
      <c r="C6000" s="82"/>
    </row>
    <row r="6001" spans="1:3" x14ac:dyDescent="0.2">
      <c r="A6001" s="82"/>
      <c r="B6001" s="82"/>
      <c r="C6001" s="82"/>
    </row>
    <row r="6002" spans="1:3" x14ac:dyDescent="0.2">
      <c r="A6002" s="82"/>
      <c r="B6002" s="82"/>
      <c r="C6002" s="82"/>
    </row>
    <row r="6003" spans="1:3" x14ac:dyDescent="0.2">
      <c r="A6003" s="82"/>
      <c r="B6003" s="82"/>
      <c r="C6003" s="82"/>
    </row>
    <row r="6004" spans="1:3" x14ac:dyDescent="0.2">
      <c r="A6004" s="82"/>
      <c r="B6004" s="82"/>
      <c r="C6004" s="82"/>
    </row>
    <row r="6005" spans="1:3" x14ac:dyDescent="0.2">
      <c r="A6005" s="82"/>
      <c r="B6005" s="82"/>
      <c r="C6005" s="82"/>
    </row>
    <row r="6006" spans="1:3" x14ac:dyDescent="0.2">
      <c r="A6006" s="82"/>
      <c r="B6006" s="82"/>
      <c r="C6006" s="82"/>
    </row>
    <row r="6007" spans="1:3" x14ac:dyDescent="0.2">
      <c r="A6007" s="82"/>
      <c r="B6007" s="82"/>
      <c r="C6007" s="82"/>
    </row>
    <row r="6008" spans="1:3" x14ac:dyDescent="0.2">
      <c r="A6008" s="82"/>
      <c r="B6008" s="82"/>
      <c r="C6008" s="82"/>
    </row>
    <row r="6009" spans="1:3" x14ac:dyDescent="0.2">
      <c r="A6009" s="82"/>
      <c r="B6009" s="82"/>
      <c r="C6009" s="82"/>
    </row>
    <row r="6010" spans="1:3" x14ac:dyDescent="0.2">
      <c r="A6010" s="82"/>
      <c r="B6010" s="82"/>
      <c r="C6010" s="82"/>
    </row>
    <row r="6011" spans="1:3" x14ac:dyDescent="0.2">
      <c r="A6011" s="82"/>
      <c r="B6011" s="82"/>
      <c r="C6011" s="82"/>
    </row>
    <row r="6012" spans="1:3" x14ac:dyDescent="0.2">
      <c r="A6012" s="82"/>
      <c r="B6012" s="82"/>
      <c r="C6012" s="82"/>
    </row>
    <row r="6013" spans="1:3" x14ac:dyDescent="0.2">
      <c r="A6013" s="82"/>
      <c r="B6013" s="82"/>
      <c r="C6013" s="82"/>
    </row>
    <row r="6014" spans="1:3" x14ac:dyDescent="0.2">
      <c r="A6014" s="82"/>
      <c r="B6014" s="82"/>
      <c r="C6014" s="82"/>
    </row>
    <row r="6015" spans="1:3" x14ac:dyDescent="0.2">
      <c r="A6015" s="82"/>
      <c r="B6015" s="82"/>
      <c r="C6015" s="82"/>
    </row>
    <row r="6016" spans="1:3" x14ac:dyDescent="0.2">
      <c r="A6016" s="82"/>
      <c r="B6016" s="82"/>
      <c r="C6016" s="82"/>
    </row>
    <row r="6017" spans="1:3" x14ac:dyDescent="0.2">
      <c r="A6017" s="82"/>
      <c r="B6017" s="82"/>
      <c r="C6017" s="82"/>
    </row>
    <row r="6018" spans="1:3" x14ac:dyDescent="0.2">
      <c r="A6018" s="82"/>
      <c r="B6018" s="82"/>
      <c r="C6018" s="82"/>
    </row>
    <row r="6019" spans="1:3" x14ac:dyDescent="0.2">
      <c r="A6019" s="82"/>
      <c r="B6019" s="82"/>
      <c r="C6019" s="82"/>
    </row>
    <row r="6020" spans="1:3" x14ac:dyDescent="0.2">
      <c r="A6020" s="82"/>
      <c r="B6020" s="82"/>
      <c r="C6020" s="82"/>
    </row>
    <row r="6021" spans="1:3" x14ac:dyDescent="0.2">
      <c r="A6021" s="82"/>
      <c r="B6021" s="82"/>
      <c r="C6021" s="82"/>
    </row>
    <row r="6022" spans="1:3" x14ac:dyDescent="0.2">
      <c r="A6022" s="82"/>
      <c r="B6022" s="82"/>
      <c r="C6022" s="82"/>
    </row>
    <row r="6023" spans="1:3" x14ac:dyDescent="0.2">
      <c r="A6023" s="82"/>
      <c r="B6023" s="82"/>
      <c r="C6023" s="82"/>
    </row>
    <row r="6024" spans="1:3" x14ac:dyDescent="0.2">
      <c r="A6024" s="82"/>
      <c r="B6024" s="82"/>
      <c r="C6024" s="82"/>
    </row>
    <row r="6025" spans="1:3" x14ac:dyDescent="0.2">
      <c r="A6025" s="82"/>
      <c r="B6025" s="82"/>
      <c r="C6025" s="82"/>
    </row>
    <row r="6026" spans="1:3" x14ac:dyDescent="0.2">
      <c r="A6026" s="82"/>
      <c r="B6026" s="82"/>
      <c r="C6026" s="82"/>
    </row>
    <row r="6027" spans="1:3" x14ac:dyDescent="0.2">
      <c r="A6027" s="82"/>
      <c r="B6027" s="82"/>
      <c r="C6027" s="82"/>
    </row>
    <row r="6028" spans="1:3" x14ac:dyDescent="0.2">
      <c r="A6028" s="82"/>
      <c r="B6028" s="82"/>
      <c r="C6028" s="82"/>
    </row>
    <row r="6029" spans="1:3" x14ac:dyDescent="0.2">
      <c r="A6029" s="82"/>
      <c r="B6029" s="82"/>
      <c r="C6029" s="82"/>
    </row>
    <row r="6030" spans="1:3" x14ac:dyDescent="0.2">
      <c r="A6030" s="82"/>
      <c r="B6030" s="82"/>
      <c r="C6030" s="82"/>
    </row>
    <row r="6031" spans="1:3" x14ac:dyDescent="0.2">
      <c r="A6031" s="82"/>
      <c r="B6031" s="82"/>
      <c r="C6031" s="82"/>
    </row>
    <row r="6032" spans="1:3" x14ac:dyDescent="0.2">
      <c r="A6032" s="82"/>
      <c r="B6032" s="82"/>
      <c r="C6032" s="82"/>
    </row>
    <row r="6033" spans="1:3" x14ac:dyDescent="0.2">
      <c r="A6033" s="82"/>
      <c r="B6033" s="82"/>
      <c r="C6033" s="82"/>
    </row>
    <row r="6034" spans="1:3" x14ac:dyDescent="0.2">
      <c r="A6034" s="82"/>
      <c r="B6034" s="82"/>
      <c r="C6034" s="82"/>
    </row>
    <row r="6035" spans="1:3" x14ac:dyDescent="0.2">
      <c r="A6035" s="82"/>
      <c r="B6035" s="82"/>
      <c r="C6035" s="82"/>
    </row>
    <row r="6036" spans="1:3" x14ac:dyDescent="0.2">
      <c r="A6036" s="82"/>
      <c r="B6036" s="82"/>
      <c r="C6036" s="82"/>
    </row>
    <row r="6037" spans="1:3" x14ac:dyDescent="0.2">
      <c r="A6037" s="82"/>
      <c r="B6037" s="82"/>
      <c r="C6037" s="82"/>
    </row>
    <row r="6038" spans="1:3" x14ac:dyDescent="0.2">
      <c r="A6038" s="82"/>
      <c r="B6038" s="82"/>
      <c r="C6038" s="82"/>
    </row>
    <row r="6039" spans="1:3" x14ac:dyDescent="0.2">
      <c r="A6039" s="82"/>
      <c r="B6039" s="82"/>
      <c r="C6039" s="82"/>
    </row>
    <row r="6040" spans="1:3" x14ac:dyDescent="0.2">
      <c r="A6040" s="82"/>
      <c r="B6040" s="82"/>
      <c r="C6040" s="82"/>
    </row>
    <row r="6041" spans="1:3" x14ac:dyDescent="0.2">
      <c r="A6041" s="82"/>
      <c r="B6041" s="82"/>
      <c r="C6041" s="82"/>
    </row>
    <row r="6042" spans="1:3" x14ac:dyDescent="0.2">
      <c r="A6042" s="82"/>
      <c r="B6042" s="82"/>
      <c r="C6042" s="82"/>
    </row>
    <row r="6043" spans="1:3" x14ac:dyDescent="0.2">
      <c r="A6043" s="82"/>
      <c r="B6043" s="82"/>
      <c r="C6043" s="82"/>
    </row>
    <row r="6044" spans="1:3" x14ac:dyDescent="0.2">
      <c r="A6044" s="82"/>
      <c r="B6044" s="82"/>
      <c r="C6044" s="82"/>
    </row>
    <row r="6045" spans="1:3" x14ac:dyDescent="0.2">
      <c r="A6045" s="82"/>
      <c r="B6045" s="82"/>
      <c r="C6045" s="82"/>
    </row>
    <row r="6046" spans="1:3" x14ac:dyDescent="0.2">
      <c r="A6046" s="82"/>
      <c r="B6046" s="82"/>
      <c r="C6046" s="82"/>
    </row>
    <row r="6047" spans="1:3" x14ac:dyDescent="0.2">
      <c r="A6047" s="82"/>
      <c r="B6047" s="82"/>
      <c r="C6047" s="82"/>
    </row>
    <row r="6048" spans="1:3" x14ac:dyDescent="0.2">
      <c r="A6048" s="82"/>
      <c r="B6048" s="82"/>
      <c r="C6048" s="82"/>
    </row>
    <row r="6049" spans="1:3" x14ac:dyDescent="0.2">
      <c r="A6049" s="82"/>
      <c r="B6049" s="82"/>
      <c r="C6049" s="82"/>
    </row>
    <row r="6050" spans="1:3" x14ac:dyDescent="0.2">
      <c r="A6050" s="82"/>
      <c r="B6050" s="82"/>
      <c r="C6050" s="82"/>
    </row>
    <row r="6051" spans="1:3" x14ac:dyDescent="0.2">
      <c r="A6051" s="82"/>
      <c r="B6051" s="82"/>
      <c r="C6051" s="82"/>
    </row>
    <row r="6052" spans="1:3" x14ac:dyDescent="0.2">
      <c r="A6052" s="82"/>
      <c r="B6052" s="82"/>
      <c r="C6052" s="82"/>
    </row>
    <row r="6053" spans="1:3" x14ac:dyDescent="0.2">
      <c r="A6053" s="82"/>
      <c r="B6053" s="82"/>
      <c r="C6053" s="82"/>
    </row>
    <row r="6054" spans="1:3" x14ac:dyDescent="0.2">
      <c r="A6054" s="82"/>
      <c r="B6054" s="82"/>
      <c r="C6054" s="82"/>
    </row>
    <row r="6055" spans="1:3" x14ac:dyDescent="0.2">
      <c r="A6055" s="82"/>
      <c r="B6055" s="82"/>
      <c r="C6055" s="82"/>
    </row>
    <row r="6056" spans="1:3" x14ac:dyDescent="0.2">
      <c r="A6056" s="82"/>
      <c r="B6056" s="82"/>
      <c r="C6056" s="82"/>
    </row>
    <row r="6057" spans="1:3" x14ac:dyDescent="0.2">
      <c r="A6057" s="82"/>
      <c r="B6057" s="82"/>
      <c r="C6057" s="82"/>
    </row>
    <row r="6058" spans="1:3" x14ac:dyDescent="0.2">
      <c r="A6058" s="82"/>
      <c r="B6058" s="82"/>
      <c r="C6058" s="82"/>
    </row>
    <row r="6059" spans="1:3" x14ac:dyDescent="0.2">
      <c r="A6059" s="82"/>
      <c r="B6059" s="82"/>
      <c r="C6059" s="82"/>
    </row>
    <row r="6060" spans="1:3" x14ac:dyDescent="0.2">
      <c r="A6060" s="82"/>
      <c r="B6060" s="82"/>
      <c r="C6060" s="82"/>
    </row>
    <row r="6061" spans="1:3" x14ac:dyDescent="0.2">
      <c r="A6061" s="82"/>
      <c r="B6061" s="82"/>
      <c r="C6061" s="82"/>
    </row>
    <row r="6062" spans="1:3" x14ac:dyDescent="0.2">
      <c r="A6062" s="82"/>
      <c r="B6062" s="82"/>
      <c r="C6062" s="82"/>
    </row>
    <row r="6063" spans="1:3" x14ac:dyDescent="0.2">
      <c r="A6063" s="82"/>
      <c r="B6063" s="82"/>
      <c r="C6063" s="82"/>
    </row>
    <row r="6064" spans="1:3" x14ac:dyDescent="0.2">
      <c r="A6064" s="82"/>
      <c r="B6064" s="82"/>
      <c r="C6064" s="82"/>
    </row>
    <row r="6065" spans="1:3" x14ac:dyDescent="0.2">
      <c r="A6065" s="82"/>
      <c r="B6065" s="82"/>
      <c r="C6065" s="82"/>
    </row>
    <row r="6066" spans="1:3" x14ac:dyDescent="0.2">
      <c r="A6066" s="82"/>
      <c r="B6066" s="82"/>
      <c r="C6066" s="82"/>
    </row>
    <row r="6067" spans="1:3" x14ac:dyDescent="0.2">
      <c r="A6067" s="82"/>
      <c r="B6067" s="82"/>
      <c r="C6067" s="82"/>
    </row>
    <row r="6068" spans="1:3" x14ac:dyDescent="0.2">
      <c r="A6068" s="82"/>
      <c r="B6068" s="82"/>
      <c r="C6068" s="82"/>
    </row>
    <row r="6069" spans="1:3" x14ac:dyDescent="0.2">
      <c r="A6069" s="82"/>
      <c r="B6069" s="82"/>
      <c r="C6069" s="82"/>
    </row>
    <row r="6070" spans="1:3" x14ac:dyDescent="0.2">
      <c r="A6070" s="82"/>
      <c r="B6070" s="82"/>
      <c r="C6070" s="82"/>
    </row>
    <row r="6071" spans="1:3" x14ac:dyDescent="0.2">
      <c r="A6071" s="82"/>
      <c r="B6071" s="82"/>
      <c r="C6071" s="82"/>
    </row>
    <row r="6072" spans="1:3" x14ac:dyDescent="0.2">
      <c r="A6072" s="82"/>
      <c r="B6072" s="82"/>
      <c r="C6072" s="82"/>
    </row>
    <row r="6073" spans="1:3" x14ac:dyDescent="0.2">
      <c r="A6073" s="82"/>
      <c r="B6073" s="82"/>
      <c r="C6073" s="82"/>
    </row>
    <row r="6074" spans="1:3" x14ac:dyDescent="0.2">
      <c r="A6074" s="82"/>
      <c r="B6074" s="82"/>
      <c r="C6074" s="82"/>
    </row>
    <row r="6075" spans="1:3" x14ac:dyDescent="0.2">
      <c r="A6075" s="82"/>
      <c r="B6075" s="82"/>
      <c r="C6075" s="82"/>
    </row>
    <row r="6076" spans="1:3" x14ac:dyDescent="0.2">
      <c r="A6076" s="82"/>
      <c r="B6076" s="82"/>
      <c r="C6076" s="82"/>
    </row>
    <row r="6077" spans="1:3" x14ac:dyDescent="0.2">
      <c r="A6077" s="82"/>
      <c r="B6077" s="82"/>
      <c r="C6077" s="82"/>
    </row>
    <row r="6078" spans="1:3" x14ac:dyDescent="0.2">
      <c r="A6078" s="82"/>
      <c r="B6078" s="82"/>
      <c r="C6078" s="82"/>
    </row>
    <row r="6079" spans="1:3" x14ac:dyDescent="0.2">
      <c r="A6079" s="82"/>
      <c r="B6079" s="82"/>
      <c r="C6079" s="82"/>
    </row>
    <row r="6080" spans="1:3" x14ac:dyDescent="0.2">
      <c r="A6080" s="82"/>
      <c r="B6080" s="82"/>
      <c r="C6080" s="82"/>
    </row>
    <row r="6081" spans="1:3" x14ac:dyDescent="0.2">
      <c r="A6081" s="82"/>
      <c r="B6081" s="82"/>
      <c r="C6081" s="82"/>
    </row>
    <row r="6082" spans="1:3" x14ac:dyDescent="0.2">
      <c r="A6082" s="82"/>
      <c r="B6082" s="82"/>
      <c r="C6082" s="82"/>
    </row>
    <row r="6083" spans="1:3" x14ac:dyDescent="0.2">
      <c r="A6083" s="82"/>
      <c r="B6083" s="82"/>
      <c r="C6083" s="82"/>
    </row>
    <row r="6084" spans="1:3" x14ac:dyDescent="0.2">
      <c r="A6084" s="82"/>
      <c r="B6084" s="82"/>
      <c r="C6084" s="82"/>
    </row>
    <row r="6085" spans="1:3" x14ac:dyDescent="0.2">
      <c r="A6085" s="82"/>
      <c r="B6085" s="82"/>
      <c r="C6085" s="82"/>
    </row>
    <row r="6086" spans="1:3" x14ac:dyDescent="0.2">
      <c r="A6086" s="82"/>
      <c r="B6086" s="82"/>
      <c r="C6086" s="82"/>
    </row>
    <row r="6087" spans="1:3" x14ac:dyDescent="0.2">
      <c r="A6087" s="82"/>
      <c r="B6087" s="82"/>
      <c r="C6087" s="82"/>
    </row>
    <row r="6088" spans="1:3" x14ac:dyDescent="0.2">
      <c r="A6088" s="82"/>
      <c r="B6088" s="82"/>
      <c r="C6088" s="82"/>
    </row>
    <row r="6089" spans="1:3" x14ac:dyDescent="0.2">
      <c r="A6089" s="82"/>
      <c r="B6089" s="82"/>
      <c r="C6089" s="82"/>
    </row>
    <row r="6090" spans="1:3" x14ac:dyDescent="0.2">
      <c r="A6090" s="82"/>
      <c r="B6090" s="82"/>
      <c r="C6090" s="82"/>
    </row>
    <row r="6091" spans="1:3" x14ac:dyDescent="0.2">
      <c r="A6091" s="82"/>
      <c r="B6091" s="82"/>
      <c r="C6091" s="82"/>
    </row>
    <row r="6092" spans="1:3" x14ac:dyDescent="0.2">
      <c r="A6092" s="82"/>
      <c r="B6092" s="82"/>
      <c r="C6092" s="82"/>
    </row>
    <row r="6093" spans="1:3" x14ac:dyDescent="0.2">
      <c r="A6093" s="82"/>
      <c r="B6093" s="82"/>
      <c r="C6093" s="82"/>
    </row>
    <row r="6094" spans="1:3" x14ac:dyDescent="0.2">
      <c r="A6094" s="82"/>
      <c r="B6094" s="82"/>
      <c r="C6094" s="82"/>
    </row>
    <row r="6095" spans="1:3" x14ac:dyDescent="0.2">
      <c r="A6095" s="82"/>
      <c r="B6095" s="82"/>
      <c r="C6095" s="82"/>
    </row>
    <row r="6096" spans="1:3" x14ac:dyDescent="0.2">
      <c r="A6096" s="82"/>
      <c r="B6096" s="82"/>
      <c r="C6096" s="82"/>
    </row>
    <row r="6097" spans="1:3" x14ac:dyDescent="0.2">
      <c r="A6097" s="82"/>
      <c r="B6097" s="82"/>
      <c r="C6097" s="82"/>
    </row>
    <row r="6098" spans="1:3" x14ac:dyDescent="0.2">
      <c r="A6098" s="82"/>
      <c r="B6098" s="82"/>
      <c r="C6098" s="82"/>
    </row>
    <row r="6099" spans="1:3" x14ac:dyDescent="0.2">
      <c r="A6099" s="82"/>
      <c r="B6099" s="82"/>
      <c r="C6099" s="82"/>
    </row>
    <row r="6100" spans="1:3" x14ac:dyDescent="0.2">
      <c r="A6100" s="82"/>
      <c r="B6100" s="82"/>
      <c r="C6100" s="82"/>
    </row>
    <row r="6101" spans="1:3" x14ac:dyDescent="0.2">
      <c r="A6101" s="82"/>
      <c r="B6101" s="82"/>
      <c r="C6101" s="82"/>
    </row>
    <row r="6102" spans="1:3" x14ac:dyDescent="0.2">
      <c r="A6102" s="82"/>
      <c r="B6102" s="82"/>
      <c r="C6102" s="82"/>
    </row>
    <row r="6103" spans="1:3" x14ac:dyDescent="0.2">
      <c r="A6103" s="82"/>
      <c r="B6103" s="82"/>
      <c r="C6103" s="82"/>
    </row>
    <row r="6104" spans="1:3" x14ac:dyDescent="0.2">
      <c r="A6104" s="82"/>
      <c r="B6104" s="82"/>
      <c r="C6104" s="82"/>
    </row>
    <row r="6105" spans="1:3" x14ac:dyDescent="0.2">
      <c r="A6105" s="82"/>
      <c r="B6105" s="82"/>
      <c r="C6105" s="82"/>
    </row>
    <row r="6106" spans="1:3" x14ac:dyDescent="0.2">
      <c r="A6106" s="82"/>
      <c r="B6106" s="82"/>
      <c r="C6106" s="82"/>
    </row>
    <row r="6107" spans="1:3" x14ac:dyDescent="0.2">
      <c r="A6107" s="82"/>
      <c r="B6107" s="82"/>
      <c r="C6107" s="82"/>
    </row>
    <row r="6108" spans="1:3" x14ac:dyDescent="0.2">
      <c r="A6108" s="82"/>
      <c r="B6108" s="82"/>
      <c r="C6108" s="82"/>
    </row>
    <row r="6109" spans="1:3" x14ac:dyDescent="0.2">
      <c r="A6109" s="82"/>
      <c r="B6109" s="82"/>
      <c r="C6109" s="82"/>
    </row>
    <row r="6110" spans="1:3" x14ac:dyDescent="0.2">
      <c r="A6110" s="82"/>
      <c r="B6110" s="82"/>
      <c r="C6110" s="82"/>
    </row>
    <row r="6111" spans="1:3" x14ac:dyDescent="0.2">
      <c r="A6111" s="82"/>
      <c r="B6111" s="82"/>
      <c r="C6111" s="82"/>
    </row>
    <row r="6112" spans="1:3" x14ac:dyDescent="0.2">
      <c r="A6112" s="82"/>
      <c r="B6112" s="82"/>
      <c r="C6112" s="82"/>
    </row>
    <row r="6113" spans="1:3" x14ac:dyDescent="0.2">
      <c r="A6113" s="82"/>
      <c r="B6113" s="82"/>
      <c r="C6113" s="82"/>
    </row>
    <row r="6114" spans="1:3" x14ac:dyDescent="0.2">
      <c r="A6114" s="82"/>
      <c r="B6114" s="82"/>
      <c r="C6114" s="82"/>
    </row>
    <row r="6115" spans="1:3" x14ac:dyDescent="0.2">
      <c r="A6115" s="82"/>
      <c r="B6115" s="82"/>
      <c r="C6115" s="82"/>
    </row>
    <row r="6116" spans="1:3" x14ac:dyDescent="0.2">
      <c r="A6116" s="82"/>
      <c r="B6116" s="82"/>
      <c r="C6116" s="82"/>
    </row>
    <row r="6117" spans="1:3" x14ac:dyDescent="0.2">
      <c r="A6117" s="82"/>
      <c r="B6117" s="82"/>
      <c r="C6117" s="82"/>
    </row>
    <row r="6118" spans="1:3" x14ac:dyDescent="0.2">
      <c r="A6118" s="82"/>
      <c r="B6118" s="82"/>
      <c r="C6118" s="82"/>
    </row>
    <row r="6119" spans="1:3" x14ac:dyDescent="0.2">
      <c r="A6119" s="82"/>
      <c r="B6119" s="82"/>
      <c r="C6119" s="82"/>
    </row>
    <row r="6120" spans="1:3" x14ac:dyDescent="0.2">
      <c r="A6120" s="82"/>
      <c r="B6120" s="82"/>
      <c r="C6120" s="82"/>
    </row>
    <row r="6121" spans="1:3" x14ac:dyDescent="0.2">
      <c r="A6121" s="82"/>
      <c r="B6121" s="82"/>
      <c r="C6121" s="82"/>
    </row>
    <row r="6122" spans="1:3" x14ac:dyDescent="0.2">
      <c r="A6122" s="82"/>
      <c r="B6122" s="82"/>
      <c r="C6122" s="82"/>
    </row>
    <row r="6123" spans="1:3" x14ac:dyDescent="0.2">
      <c r="A6123" s="82"/>
      <c r="B6123" s="82"/>
      <c r="C6123" s="82"/>
    </row>
    <row r="6124" spans="1:3" x14ac:dyDescent="0.2">
      <c r="A6124" s="82"/>
      <c r="B6124" s="82"/>
      <c r="C6124" s="82"/>
    </row>
    <row r="6125" spans="1:3" x14ac:dyDescent="0.2">
      <c r="A6125" s="82"/>
      <c r="B6125" s="82"/>
      <c r="C6125" s="82"/>
    </row>
    <row r="6126" spans="1:3" x14ac:dyDescent="0.2">
      <c r="A6126" s="82"/>
      <c r="B6126" s="82"/>
      <c r="C6126" s="82"/>
    </row>
    <row r="6127" spans="1:3" x14ac:dyDescent="0.2">
      <c r="A6127" s="82"/>
      <c r="B6127" s="82"/>
      <c r="C6127" s="82"/>
    </row>
    <row r="6128" spans="1:3" x14ac:dyDescent="0.2">
      <c r="A6128" s="82"/>
      <c r="B6128" s="82"/>
      <c r="C6128" s="82"/>
    </row>
    <row r="6129" spans="1:3" x14ac:dyDescent="0.2">
      <c r="A6129" s="82"/>
      <c r="B6129" s="82"/>
      <c r="C6129" s="82"/>
    </row>
    <row r="6130" spans="1:3" x14ac:dyDescent="0.2">
      <c r="A6130" s="82"/>
      <c r="B6130" s="82"/>
      <c r="C6130" s="82"/>
    </row>
    <row r="6131" spans="1:3" x14ac:dyDescent="0.2">
      <c r="A6131" s="82"/>
      <c r="B6131" s="82"/>
      <c r="C6131" s="82"/>
    </row>
    <row r="6132" spans="1:3" x14ac:dyDescent="0.2">
      <c r="A6132" s="82"/>
      <c r="B6132" s="82"/>
      <c r="C6132" s="82"/>
    </row>
    <row r="6133" spans="1:3" x14ac:dyDescent="0.2">
      <c r="A6133" s="82"/>
      <c r="B6133" s="82"/>
      <c r="C6133" s="82"/>
    </row>
    <row r="6134" spans="1:3" x14ac:dyDescent="0.2">
      <c r="A6134" s="82"/>
      <c r="B6134" s="82"/>
      <c r="C6134" s="82"/>
    </row>
    <row r="6135" spans="1:3" x14ac:dyDescent="0.2">
      <c r="A6135" s="82"/>
      <c r="B6135" s="82"/>
      <c r="C6135" s="82"/>
    </row>
    <row r="6136" spans="1:3" x14ac:dyDescent="0.2">
      <c r="A6136" s="82"/>
      <c r="B6136" s="82"/>
      <c r="C6136" s="82"/>
    </row>
    <row r="6137" spans="1:3" x14ac:dyDescent="0.2">
      <c r="A6137" s="82"/>
      <c r="B6137" s="82"/>
      <c r="C6137" s="82"/>
    </row>
    <row r="6138" spans="1:3" x14ac:dyDescent="0.2">
      <c r="A6138" s="82"/>
      <c r="B6138" s="82"/>
      <c r="C6138" s="82"/>
    </row>
    <row r="6139" spans="1:3" x14ac:dyDescent="0.2">
      <c r="A6139" s="82"/>
      <c r="B6139" s="82"/>
      <c r="C6139" s="82"/>
    </row>
    <row r="6140" spans="1:3" x14ac:dyDescent="0.2">
      <c r="A6140" s="82"/>
      <c r="B6140" s="82"/>
      <c r="C6140" s="82"/>
    </row>
    <row r="6141" spans="1:3" x14ac:dyDescent="0.2">
      <c r="A6141" s="82"/>
      <c r="B6141" s="82"/>
      <c r="C6141" s="82"/>
    </row>
    <row r="6142" spans="1:3" x14ac:dyDescent="0.2">
      <c r="A6142" s="82"/>
      <c r="B6142" s="82"/>
      <c r="C6142" s="82"/>
    </row>
    <row r="6143" spans="1:3" x14ac:dyDescent="0.2">
      <c r="A6143" s="82"/>
      <c r="B6143" s="82"/>
      <c r="C6143" s="82"/>
    </row>
    <row r="6144" spans="1:3" x14ac:dyDescent="0.2">
      <c r="A6144" s="82"/>
      <c r="B6144" s="82"/>
      <c r="C6144" s="82"/>
    </row>
    <row r="6145" spans="1:3" x14ac:dyDescent="0.2">
      <c r="A6145" s="82"/>
      <c r="B6145" s="82"/>
      <c r="C6145" s="82"/>
    </row>
    <row r="6146" spans="1:3" x14ac:dyDescent="0.2">
      <c r="A6146" s="82"/>
      <c r="B6146" s="82"/>
      <c r="C6146" s="82"/>
    </row>
    <row r="6147" spans="1:3" x14ac:dyDescent="0.2">
      <c r="A6147" s="82"/>
      <c r="B6147" s="82"/>
      <c r="C6147" s="82"/>
    </row>
    <row r="6148" spans="1:3" x14ac:dyDescent="0.2">
      <c r="A6148" s="82"/>
      <c r="B6148" s="82"/>
      <c r="C6148" s="82"/>
    </row>
    <row r="6149" spans="1:3" x14ac:dyDescent="0.2">
      <c r="A6149" s="82"/>
      <c r="B6149" s="82"/>
      <c r="C6149" s="82"/>
    </row>
    <row r="6150" spans="1:3" x14ac:dyDescent="0.2">
      <c r="A6150" s="82"/>
      <c r="B6150" s="82"/>
      <c r="C6150" s="82"/>
    </row>
    <row r="6151" spans="1:3" x14ac:dyDescent="0.2">
      <c r="A6151" s="82"/>
      <c r="B6151" s="82"/>
      <c r="C6151" s="82"/>
    </row>
    <row r="6152" spans="1:3" x14ac:dyDescent="0.2">
      <c r="A6152" s="82"/>
      <c r="B6152" s="82"/>
      <c r="C6152" s="82"/>
    </row>
    <row r="6153" spans="1:3" x14ac:dyDescent="0.2">
      <c r="A6153" s="82"/>
      <c r="B6153" s="82"/>
      <c r="C6153" s="82"/>
    </row>
    <row r="6154" spans="1:3" x14ac:dyDescent="0.2">
      <c r="A6154" s="82"/>
      <c r="B6154" s="82"/>
      <c r="C6154" s="82"/>
    </row>
    <row r="6155" spans="1:3" x14ac:dyDescent="0.2">
      <c r="A6155" s="82"/>
      <c r="B6155" s="82"/>
      <c r="C6155" s="82"/>
    </row>
    <row r="6156" spans="1:3" x14ac:dyDescent="0.2">
      <c r="A6156" s="82"/>
      <c r="B6156" s="82"/>
      <c r="C6156" s="82"/>
    </row>
    <row r="6157" spans="1:3" x14ac:dyDescent="0.2">
      <c r="A6157" s="82"/>
      <c r="B6157" s="82"/>
      <c r="C6157" s="82"/>
    </row>
    <row r="6158" spans="1:3" x14ac:dyDescent="0.2">
      <c r="A6158" s="82"/>
      <c r="B6158" s="82"/>
      <c r="C6158" s="82"/>
    </row>
    <row r="6159" spans="1:3" x14ac:dyDescent="0.2">
      <c r="A6159" s="82"/>
      <c r="B6159" s="82"/>
      <c r="C6159" s="82"/>
    </row>
    <row r="6160" spans="1:3" x14ac:dyDescent="0.2">
      <c r="A6160" s="82"/>
      <c r="B6160" s="82"/>
      <c r="C6160" s="82"/>
    </row>
    <row r="6161" spans="1:3" x14ac:dyDescent="0.2">
      <c r="A6161" s="82"/>
      <c r="B6161" s="82"/>
      <c r="C6161" s="82"/>
    </row>
    <row r="6162" spans="1:3" x14ac:dyDescent="0.2">
      <c r="A6162" s="82"/>
      <c r="B6162" s="82"/>
      <c r="C6162" s="82"/>
    </row>
    <row r="6163" spans="1:3" x14ac:dyDescent="0.2">
      <c r="A6163" s="82"/>
      <c r="B6163" s="82"/>
      <c r="C6163" s="82"/>
    </row>
    <row r="6164" spans="1:3" x14ac:dyDescent="0.2">
      <c r="A6164" s="82"/>
      <c r="B6164" s="82"/>
      <c r="C6164" s="82"/>
    </row>
    <row r="6165" spans="1:3" x14ac:dyDescent="0.2">
      <c r="A6165" s="82"/>
      <c r="B6165" s="82"/>
      <c r="C6165" s="82"/>
    </row>
    <row r="6166" spans="1:3" x14ac:dyDescent="0.2">
      <c r="A6166" s="82"/>
      <c r="B6166" s="82"/>
      <c r="C6166" s="82"/>
    </row>
    <row r="6167" spans="1:3" x14ac:dyDescent="0.2">
      <c r="A6167" s="82"/>
      <c r="B6167" s="82"/>
      <c r="C6167" s="82"/>
    </row>
    <row r="6168" spans="1:3" x14ac:dyDescent="0.2">
      <c r="A6168" s="82"/>
      <c r="B6168" s="82"/>
      <c r="C6168" s="82"/>
    </row>
    <row r="6169" spans="1:3" x14ac:dyDescent="0.2">
      <c r="A6169" s="82"/>
      <c r="B6169" s="82"/>
      <c r="C6169" s="82"/>
    </row>
    <row r="6170" spans="1:3" x14ac:dyDescent="0.2">
      <c r="A6170" s="82"/>
      <c r="B6170" s="82"/>
      <c r="C6170" s="82"/>
    </row>
    <row r="6171" spans="1:3" x14ac:dyDescent="0.2">
      <c r="A6171" s="82"/>
      <c r="B6171" s="82"/>
      <c r="C6171" s="82"/>
    </row>
    <row r="6172" spans="1:3" x14ac:dyDescent="0.2">
      <c r="A6172" s="82"/>
      <c r="B6172" s="82"/>
      <c r="C6172" s="82"/>
    </row>
    <row r="6173" spans="1:3" x14ac:dyDescent="0.2">
      <c r="A6173" s="82"/>
      <c r="B6173" s="82"/>
      <c r="C6173" s="82"/>
    </row>
    <row r="6174" spans="1:3" x14ac:dyDescent="0.2">
      <c r="A6174" s="82"/>
      <c r="B6174" s="82"/>
      <c r="C6174" s="82"/>
    </row>
    <row r="6175" spans="1:3" x14ac:dyDescent="0.2">
      <c r="A6175" s="82"/>
      <c r="B6175" s="82"/>
      <c r="C6175" s="82"/>
    </row>
    <row r="6176" spans="1:3" x14ac:dyDescent="0.2">
      <c r="A6176" s="82"/>
      <c r="B6176" s="82"/>
      <c r="C6176" s="82"/>
    </row>
    <row r="6177" spans="1:3" x14ac:dyDescent="0.2">
      <c r="A6177" s="82"/>
      <c r="B6177" s="82"/>
      <c r="C6177" s="82"/>
    </row>
    <row r="6178" spans="1:3" x14ac:dyDescent="0.2">
      <c r="A6178" s="82"/>
      <c r="B6178" s="82"/>
      <c r="C6178" s="82"/>
    </row>
    <row r="6179" spans="1:3" x14ac:dyDescent="0.2">
      <c r="A6179" s="82"/>
      <c r="B6179" s="82"/>
      <c r="C6179" s="82"/>
    </row>
    <row r="6180" spans="1:3" x14ac:dyDescent="0.2">
      <c r="A6180" s="82"/>
      <c r="B6180" s="82"/>
      <c r="C6180" s="82"/>
    </row>
    <row r="6181" spans="1:3" x14ac:dyDescent="0.2">
      <c r="A6181" s="82"/>
      <c r="B6181" s="82"/>
      <c r="C6181" s="82"/>
    </row>
    <row r="6182" spans="1:3" x14ac:dyDescent="0.2">
      <c r="A6182" s="82"/>
      <c r="B6182" s="82"/>
      <c r="C6182" s="82"/>
    </row>
    <row r="6183" spans="1:3" x14ac:dyDescent="0.2">
      <c r="A6183" s="82"/>
      <c r="B6183" s="82"/>
      <c r="C6183" s="82"/>
    </row>
    <row r="6184" spans="1:3" x14ac:dyDescent="0.2">
      <c r="A6184" s="82"/>
      <c r="B6184" s="82"/>
      <c r="C6184" s="82"/>
    </row>
    <row r="6185" spans="1:3" x14ac:dyDescent="0.2">
      <c r="A6185" s="82"/>
      <c r="B6185" s="82"/>
      <c r="C6185" s="82"/>
    </row>
    <row r="6186" spans="1:3" x14ac:dyDescent="0.2">
      <c r="A6186" s="82"/>
      <c r="B6186" s="82"/>
      <c r="C6186" s="82"/>
    </row>
    <row r="6187" spans="1:3" x14ac:dyDescent="0.2">
      <c r="A6187" s="82"/>
      <c r="B6187" s="82"/>
      <c r="C6187" s="82"/>
    </row>
    <row r="6188" spans="1:3" x14ac:dyDescent="0.2">
      <c r="A6188" s="82"/>
      <c r="B6188" s="82"/>
      <c r="C6188" s="82"/>
    </row>
    <row r="6189" spans="1:3" x14ac:dyDescent="0.2">
      <c r="A6189" s="82"/>
      <c r="B6189" s="82"/>
      <c r="C6189" s="82"/>
    </row>
    <row r="6190" spans="1:3" x14ac:dyDescent="0.2">
      <c r="A6190" s="82"/>
      <c r="B6190" s="82"/>
      <c r="C6190" s="82"/>
    </row>
    <row r="6191" spans="1:3" x14ac:dyDescent="0.2">
      <c r="A6191" s="82"/>
      <c r="B6191" s="82"/>
      <c r="C6191" s="82"/>
    </row>
    <row r="6192" spans="1:3" x14ac:dyDescent="0.2">
      <c r="A6192" s="82"/>
      <c r="B6192" s="82"/>
      <c r="C6192" s="82"/>
    </row>
    <row r="6193" spans="1:3" x14ac:dyDescent="0.2">
      <c r="A6193" s="82"/>
      <c r="B6193" s="82"/>
      <c r="C6193" s="82"/>
    </row>
    <row r="6194" spans="1:3" x14ac:dyDescent="0.2">
      <c r="A6194" s="82"/>
      <c r="B6194" s="82"/>
      <c r="C6194" s="82"/>
    </row>
    <row r="6195" spans="1:3" x14ac:dyDescent="0.2">
      <c r="A6195" s="82"/>
      <c r="B6195" s="82"/>
      <c r="C6195" s="82"/>
    </row>
    <row r="6196" spans="1:3" x14ac:dyDescent="0.2">
      <c r="A6196" s="82"/>
      <c r="B6196" s="82"/>
      <c r="C6196" s="82"/>
    </row>
    <row r="6197" spans="1:3" x14ac:dyDescent="0.2">
      <c r="A6197" s="82"/>
      <c r="B6197" s="82"/>
      <c r="C6197" s="82"/>
    </row>
    <row r="6198" spans="1:3" x14ac:dyDescent="0.2">
      <c r="A6198" s="82"/>
      <c r="B6198" s="82"/>
      <c r="C6198" s="82"/>
    </row>
    <row r="6199" spans="1:3" x14ac:dyDescent="0.2">
      <c r="A6199" s="82"/>
      <c r="B6199" s="82"/>
      <c r="C6199" s="82"/>
    </row>
    <row r="6200" spans="1:3" x14ac:dyDescent="0.2">
      <c r="A6200" s="82"/>
      <c r="B6200" s="82"/>
      <c r="C6200" s="82"/>
    </row>
    <row r="6201" spans="1:3" x14ac:dyDescent="0.2">
      <c r="A6201" s="82"/>
      <c r="B6201" s="82"/>
      <c r="C6201" s="82"/>
    </row>
    <row r="6202" spans="1:3" x14ac:dyDescent="0.2">
      <c r="A6202" s="82"/>
      <c r="B6202" s="82"/>
      <c r="C6202" s="82"/>
    </row>
    <row r="6203" spans="1:3" x14ac:dyDescent="0.2">
      <c r="A6203" s="82"/>
      <c r="B6203" s="82"/>
      <c r="C6203" s="82"/>
    </row>
    <row r="6204" spans="1:3" x14ac:dyDescent="0.2">
      <c r="A6204" s="82"/>
      <c r="B6204" s="82"/>
      <c r="C6204" s="82"/>
    </row>
    <row r="6205" spans="1:3" x14ac:dyDescent="0.2">
      <c r="A6205" s="82"/>
      <c r="B6205" s="82"/>
      <c r="C6205" s="82"/>
    </row>
    <row r="6206" spans="1:3" x14ac:dyDescent="0.2">
      <c r="A6206" s="82"/>
      <c r="B6206" s="82"/>
      <c r="C6206" s="82"/>
    </row>
    <row r="6207" spans="1:3" x14ac:dyDescent="0.2">
      <c r="A6207" s="82"/>
      <c r="B6207" s="82"/>
      <c r="C6207" s="82"/>
    </row>
    <row r="6208" spans="1:3" x14ac:dyDescent="0.2">
      <c r="A6208" s="82"/>
      <c r="B6208" s="82"/>
      <c r="C6208" s="82"/>
    </row>
    <row r="6209" spans="1:3" x14ac:dyDescent="0.2">
      <c r="A6209" s="82"/>
      <c r="B6209" s="82"/>
      <c r="C6209" s="82"/>
    </row>
    <row r="6210" spans="1:3" x14ac:dyDescent="0.2">
      <c r="A6210" s="82"/>
      <c r="B6210" s="82"/>
      <c r="C6210" s="82"/>
    </row>
    <row r="6211" spans="1:3" x14ac:dyDescent="0.2">
      <c r="A6211" s="82"/>
      <c r="B6211" s="82"/>
      <c r="C6211" s="82"/>
    </row>
    <row r="6212" spans="1:3" x14ac:dyDescent="0.2">
      <c r="A6212" s="82"/>
      <c r="B6212" s="82"/>
      <c r="C6212" s="82"/>
    </row>
    <row r="6213" spans="1:3" x14ac:dyDescent="0.2">
      <c r="A6213" s="82"/>
      <c r="B6213" s="82"/>
      <c r="C6213" s="82"/>
    </row>
    <row r="6214" spans="1:3" x14ac:dyDescent="0.2">
      <c r="A6214" s="82"/>
      <c r="B6214" s="82"/>
      <c r="C6214" s="82"/>
    </row>
    <row r="6215" spans="1:3" x14ac:dyDescent="0.2">
      <c r="A6215" s="82"/>
      <c r="B6215" s="82"/>
      <c r="C6215" s="82"/>
    </row>
    <row r="6216" spans="1:3" x14ac:dyDescent="0.2">
      <c r="A6216" s="82"/>
      <c r="B6216" s="82"/>
      <c r="C6216" s="82"/>
    </row>
    <row r="6217" spans="1:3" x14ac:dyDescent="0.2">
      <c r="A6217" s="82"/>
      <c r="B6217" s="82"/>
      <c r="C6217" s="82"/>
    </row>
    <row r="6218" spans="1:3" x14ac:dyDescent="0.2">
      <c r="A6218" s="82"/>
      <c r="B6218" s="82"/>
      <c r="C6218" s="82"/>
    </row>
    <row r="6219" spans="1:3" x14ac:dyDescent="0.2">
      <c r="A6219" s="82"/>
      <c r="B6219" s="82"/>
      <c r="C6219" s="82"/>
    </row>
    <row r="6220" spans="1:3" x14ac:dyDescent="0.2">
      <c r="A6220" s="82"/>
      <c r="B6220" s="82"/>
      <c r="C6220" s="82"/>
    </row>
    <row r="6221" spans="1:3" x14ac:dyDescent="0.2">
      <c r="A6221" s="82"/>
      <c r="B6221" s="82"/>
      <c r="C6221" s="82"/>
    </row>
    <row r="6222" spans="1:3" x14ac:dyDescent="0.2">
      <c r="A6222" s="82"/>
      <c r="B6222" s="82"/>
      <c r="C6222" s="82"/>
    </row>
    <row r="6223" spans="1:3" x14ac:dyDescent="0.2">
      <c r="A6223" s="82"/>
      <c r="B6223" s="82"/>
      <c r="C6223" s="82"/>
    </row>
    <row r="6224" spans="1:3" x14ac:dyDescent="0.2">
      <c r="A6224" s="82"/>
      <c r="B6224" s="82"/>
      <c r="C6224" s="82"/>
    </row>
    <row r="6225" spans="1:3" x14ac:dyDescent="0.2">
      <c r="A6225" s="82"/>
      <c r="B6225" s="82"/>
      <c r="C6225" s="82"/>
    </row>
    <row r="6226" spans="1:3" x14ac:dyDescent="0.2">
      <c r="A6226" s="82"/>
      <c r="B6226" s="82"/>
      <c r="C6226" s="82"/>
    </row>
    <row r="6227" spans="1:3" x14ac:dyDescent="0.2">
      <c r="A6227" s="82"/>
      <c r="B6227" s="82"/>
      <c r="C6227" s="82"/>
    </row>
    <row r="6228" spans="1:3" x14ac:dyDescent="0.2">
      <c r="A6228" s="82"/>
      <c r="B6228" s="82"/>
      <c r="C6228" s="82"/>
    </row>
    <row r="6229" spans="1:3" x14ac:dyDescent="0.2">
      <c r="A6229" s="82"/>
      <c r="B6229" s="82"/>
      <c r="C6229" s="82"/>
    </row>
    <row r="6230" spans="1:3" x14ac:dyDescent="0.2">
      <c r="A6230" s="82"/>
      <c r="B6230" s="82"/>
      <c r="C6230" s="82"/>
    </row>
    <row r="6231" spans="1:3" x14ac:dyDescent="0.2">
      <c r="A6231" s="82"/>
      <c r="B6231" s="82"/>
      <c r="C6231" s="82"/>
    </row>
    <row r="6232" spans="1:3" x14ac:dyDescent="0.2">
      <c r="A6232" s="82"/>
      <c r="B6232" s="82"/>
      <c r="C6232" s="82"/>
    </row>
    <row r="6233" spans="1:3" x14ac:dyDescent="0.2">
      <c r="A6233" s="82"/>
      <c r="B6233" s="82"/>
      <c r="C6233" s="82"/>
    </row>
    <row r="6234" spans="1:3" x14ac:dyDescent="0.2">
      <c r="A6234" s="82"/>
      <c r="B6234" s="82"/>
      <c r="C6234" s="82"/>
    </row>
    <row r="6235" spans="1:3" x14ac:dyDescent="0.2">
      <c r="A6235" s="82"/>
      <c r="B6235" s="82"/>
      <c r="C6235" s="82"/>
    </row>
    <row r="6236" spans="1:3" x14ac:dyDescent="0.2">
      <c r="A6236" s="82"/>
      <c r="B6236" s="82"/>
      <c r="C6236" s="82"/>
    </row>
    <row r="6237" spans="1:3" x14ac:dyDescent="0.2">
      <c r="A6237" s="82"/>
      <c r="B6237" s="82"/>
      <c r="C6237" s="82"/>
    </row>
    <row r="6238" spans="1:3" x14ac:dyDescent="0.2">
      <c r="A6238" s="82"/>
      <c r="B6238" s="82"/>
      <c r="C6238" s="82"/>
    </row>
    <row r="6239" spans="1:3" x14ac:dyDescent="0.2">
      <c r="A6239" s="82"/>
      <c r="B6239" s="82"/>
      <c r="C6239" s="82"/>
    </row>
    <row r="6240" spans="1:3" x14ac:dyDescent="0.2">
      <c r="A6240" s="82"/>
      <c r="B6240" s="82"/>
      <c r="C6240" s="82"/>
    </row>
    <row r="6241" spans="1:3" x14ac:dyDescent="0.2">
      <c r="A6241" s="82"/>
      <c r="B6241" s="82"/>
      <c r="C6241" s="82"/>
    </row>
    <row r="6242" spans="1:3" x14ac:dyDescent="0.2">
      <c r="A6242" s="82"/>
      <c r="B6242" s="82"/>
      <c r="C6242" s="82"/>
    </row>
    <row r="6243" spans="1:3" x14ac:dyDescent="0.2">
      <c r="A6243" s="82"/>
      <c r="B6243" s="82"/>
      <c r="C6243" s="82"/>
    </row>
    <row r="6244" spans="1:3" x14ac:dyDescent="0.2">
      <c r="A6244" s="82"/>
      <c r="B6244" s="82"/>
      <c r="C6244" s="82"/>
    </row>
    <row r="6245" spans="1:3" x14ac:dyDescent="0.2">
      <c r="A6245" s="82"/>
      <c r="B6245" s="82"/>
      <c r="C6245" s="82"/>
    </row>
    <row r="6246" spans="1:3" x14ac:dyDescent="0.2">
      <c r="A6246" s="82"/>
      <c r="B6246" s="82"/>
      <c r="C6246" s="82"/>
    </row>
    <row r="6247" spans="1:3" x14ac:dyDescent="0.2">
      <c r="A6247" s="82"/>
      <c r="B6247" s="82"/>
      <c r="C6247" s="82"/>
    </row>
    <row r="6248" spans="1:3" x14ac:dyDescent="0.2">
      <c r="A6248" s="82"/>
      <c r="B6248" s="82"/>
      <c r="C6248" s="82"/>
    </row>
    <row r="6249" spans="1:3" x14ac:dyDescent="0.2">
      <c r="A6249" s="82"/>
      <c r="B6249" s="82"/>
      <c r="C6249" s="82"/>
    </row>
    <row r="6250" spans="1:3" x14ac:dyDescent="0.2">
      <c r="A6250" s="82"/>
      <c r="B6250" s="82"/>
      <c r="C6250" s="82"/>
    </row>
    <row r="6251" spans="1:3" x14ac:dyDescent="0.2">
      <c r="A6251" s="82"/>
      <c r="B6251" s="82"/>
      <c r="C6251" s="82"/>
    </row>
    <row r="6252" spans="1:3" x14ac:dyDescent="0.2">
      <c r="A6252" s="82"/>
      <c r="B6252" s="82"/>
      <c r="C6252" s="82"/>
    </row>
    <row r="6253" spans="1:3" x14ac:dyDescent="0.2">
      <c r="A6253" s="82"/>
      <c r="B6253" s="82"/>
      <c r="C6253" s="82"/>
    </row>
    <row r="6254" spans="1:3" x14ac:dyDescent="0.2">
      <c r="A6254" s="82"/>
      <c r="B6254" s="82"/>
      <c r="C6254" s="82"/>
    </row>
    <row r="6255" spans="1:3" x14ac:dyDescent="0.2">
      <c r="A6255" s="82"/>
      <c r="B6255" s="82"/>
      <c r="C6255" s="82"/>
    </row>
    <row r="6256" spans="1:3" x14ac:dyDescent="0.2">
      <c r="A6256" s="82"/>
      <c r="B6256" s="82"/>
      <c r="C6256" s="82"/>
    </row>
    <row r="6257" spans="1:3" x14ac:dyDescent="0.2">
      <c r="A6257" s="82"/>
      <c r="B6257" s="82"/>
      <c r="C6257" s="82"/>
    </row>
    <row r="6258" spans="1:3" x14ac:dyDescent="0.2">
      <c r="A6258" s="82"/>
      <c r="B6258" s="82"/>
      <c r="C6258" s="82"/>
    </row>
    <row r="6259" spans="1:3" x14ac:dyDescent="0.2">
      <c r="A6259" s="82"/>
      <c r="B6259" s="82"/>
      <c r="C6259" s="82"/>
    </row>
    <row r="6260" spans="1:3" x14ac:dyDescent="0.2">
      <c r="A6260" s="82"/>
      <c r="B6260" s="82"/>
      <c r="C6260" s="82"/>
    </row>
    <row r="6261" spans="1:3" x14ac:dyDescent="0.2">
      <c r="A6261" s="82"/>
      <c r="B6261" s="82"/>
      <c r="C6261" s="82"/>
    </row>
    <row r="6262" spans="1:3" x14ac:dyDescent="0.2">
      <c r="A6262" s="82"/>
      <c r="B6262" s="82"/>
      <c r="C6262" s="82"/>
    </row>
    <row r="6263" spans="1:3" x14ac:dyDescent="0.2">
      <c r="A6263" s="82"/>
      <c r="B6263" s="82"/>
      <c r="C6263" s="82"/>
    </row>
    <row r="6264" spans="1:3" x14ac:dyDescent="0.2">
      <c r="A6264" s="82"/>
      <c r="B6264" s="82"/>
      <c r="C6264" s="82"/>
    </row>
    <row r="6265" spans="1:3" x14ac:dyDescent="0.2">
      <c r="A6265" s="82"/>
      <c r="B6265" s="82"/>
      <c r="C6265" s="82"/>
    </row>
    <row r="6266" spans="1:3" x14ac:dyDescent="0.2">
      <c r="A6266" s="82"/>
      <c r="B6266" s="82"/>
      <c r="C6266" s="82"/>
    </row>
    <row r="6267" spans="1:3" x14ac:dyDescent="0.2">
      <c r="A6267" s="82"/>
      <c r="B6267" s="82"/>
      <c r="C6267" s="82"/>
    </row>
    <row r="6268" spans="1:3" x14ac:dyDescent="0.2">
      <c r="A6268" s="82"/>
      <c r="B6268" s="82"/>
      <c r="C6268" s="82"/>
    </row>
    <row r="6269" spans="1:3" x14ac:dyDescent="0.2">
      <c r="A6269" s="82"/>
      <c r="B6269" s="82"/>
      <c r="C6269" s="82"/>
    </row>
    <row r="6270" spans="1:3" x14ac:dyDescent="0.2">
      <c r="A6270" s="82"/>
      <c r="B6270" s="82"/>
      <c r="C6270" s="82"/>
    </row>
    <row r="6271" spans="1:3" x14ac:dyDescent="0.2">
      <c r="A6271" s="82"/>
      <c r="B6271" s="82"/>
      <c r="C6271" s="82"/>
    </row>
    <row r="6272" spans="1:3" x14ac:dyDescent="0.2">
      <c r="A6272" s="82"/>
      <c r="B6272" s="82"/>
      <c r="C6272" s="82"/>
    </row>
    <row r="6273" spans="1:3" x14ac:dyDescent="0.2">
      <c r="A6273" s="82"/>
      <c r="B6273" s="82"/>
      <c r="C6273" s="82"/>
    </row>
    <row r="6274" spans="1:3" x14ac:dyDescent="0.2">
      <c r="A6274" s="82"/>
      <c r="B6274" s="82"/>
      <c r="C6274" s="82"/>
    </row>
    <row r="6275" spans="1:3" x14ac:dyDescent="0.2">
      <c r="A6275" s="82"/>
      <c r="B6275" s="82"/>
      <c r="C6275" s="82"/>
    </row>
    <row r="6276" spans="1:3" x14ac:dyDescent="0.2">
      <c r="A6276" s="82"/>
      <c r="B6276" s="82"/>
      <c r="C6276" s="82"/>
    </row>
    <row r="6277" spans="1:3" x14ac:dyDescent="0.2">
      <c r="A6277" s="82"/>
      <c r="B6277" s="82"/>
      <c r="C6277" s="82"/>
    </row>
    <row r="6278" spans="1:3" x14ac:dyDescent="0.2">
      <c r="A6278" s="82"/>
      <c r="B6278" s="82"/>
      <c r="C6278" s="82"/>
    </row>
    <row r="6279" spans="1:3" x14ac:dyDescent="0.2">
      <c r="A6279" s="82"/>
      <c r="B6279" s="82"/>
      <c r="C6279" s="82"/>
    </row>
    <row r="6280" spans="1:3" x14ac:dyDescent="0.2">
      <c r="A6280" s="82"/>
      <c r="B6280" s="82"/>
      <c r="C6280" s="82"/>
    </row>
    <row r="6281" spans="1:3" x14ac:dyDescent="0.2">
      <c r="A6281" s="82"/>
      <c r="B6281" s="82"/>
      <c r="C6281" s="82"/>
    </row>
    <row r="6282" spans="1:3" x14ac:dyDescent="0.2">
      <c r="A6282" s="82"/>
      <c r="B6282" s="82"/>
      <c r="C6282" s="82"/>
    </row>
    <row r="6283" spans="1:3" x14ac:dyDescent="0.2">
      <c r="A6283" s="82"/>
      <c r="B6283" s="82"/>
      <c r="C6283" s="82"/>
    </row>
    <row r="6284" spans="1:3" x14ac:dyDescent="0.2">
      <c r="A6284" s="82"/>
      <c r="B6284" s="82"/>
      <c r="C6284" s="82"/>
    </row>
    <row r="6285" spans="1:3" x14ac:dyDescent="0.2">
      <c r="A6285" s="82"/>
      <c r="B6285" s="82"/>
      <c r="C6285" s="82"/>
    </row>
    <row r="6286" spans="1:3" x14ac:dyDescent="0.2">
      <c r="A6286" s="82"/>
      <c r="B6286" s="82"/>
      <c r="C6286" s="82"/>
    </row>
    <row r="6287" spans="1:3" x14ac:dyDescent="0.2">
      <c r="A6287" s="82"/>
      <c r="B6287" s="82"/>
      <c r="C6287" s="82"/>
    </row>
    <row r="6288" spans="1:3" x14ac:dyDescent="0.2">
      <c r="A6288" s="82"/>
      <c r="B6288" s="82"/>
      <c r="C6288" s="82"/>
    </row>
    <row r="6289" spans="1:3" x14ac:dyDescent="0.2">
      <c r="A6289" s="82"/>
      <c r="B6289" s="82"/>
      <c r="C6289" s="82"/>
    </row>
    <row r="6290" spans="1:3" x14ac:dyDescent="0.2">
      <c r="A6290" s="82"/>
      <c r="B6290" s="82"/>
      <c r="C6290" s="82"/>
    </row>
    <row r="6291" spans="1:3" x14ac:dyDescent="0.2">
      <c r="A6291" s="82"/>
      <c r="B6291" s="82"/>
      <c r="C6291" s="82"/>
    </row>
    <row r="6292" spans="1:3" x14ac:dyDescent="0.2">
      <c r="A6292" s="82"/>
      <c r="B6292" s="82"/>
      <c r="C6292" s="82"/>
    </row>
    <row r="6293" spans="1:3" x14ac:dyDescent="0.2">
      <c r="A6293" s="82"/>
      <c r="B6293" s="82"/>
      <c r="C6293" s="82"/>
    </row>
    <row r="6294" spans="1:3" x14ac:dyDescent="0.2">
      <c r="A6294" s="82"/>
      <c r="B6294" s="82"/>
      <c r="C6294" s="82"/>
    </row>
    <row r="6295" spans="1:3" x14ac:dyDescent="0.2">
      <c r="A6295" s="82"/>
      <c r="B6295" s="82"/>
      <c r="C6295" s="82"/>
    </row>
    <row r="6296" spans="1:3" x14ac:dyDescent="0.2">
      <c r="A6296" s="82"/>
      <c r="B6296" s="82"/>
      <c r="C6296" s="82"/>
    </row>
    <row r="6297" spans="1:3" x14ac:dyDescent="0.2">
      <c r="A6297" s="82"/>
      <c r="B6297" s="82"/>
      <c r="C6297" s="82"/>
    </row>
    <row r="6298" spans="1:3" x14ac:dyDescent="0.2">
      <c r="A6298" s="82"/>
      <c r="B6298" s="82"/>
      <c r="C6298" s="82"/>
    </row>
    <row r="6299" spans="1:3" x14ac:dyDescent="0.2">
      <c r="A6299" s="82"/>
      <c r="B6299" s="82"/>
      <c r="C6299" s="82"/>
    </row>
    <row r="6300" spans="1:3" x14ac:dyDescent="0.2">
      <c r="A6300" s="82"/>
      <c r="B6300" s="82"/>
      <c r="C6300" s="82"/>
    </row>
    <row r="6301" spans="1:3" x14ac:dyDescent="0.2">
      <c r="A6301" s="82"/>
      <c r="B6301" s="82"/>
      <c r="C6301" s="82"/>
    </row>
    <row r="6302" spans="1:3" x14ac:dyDescent="0.2">
      <c r="A6302" s="82"/>
      <c r="B6302" s="82"/>
      <c r="C6302" s="82"/>
    </row>
    <row r="6303" spans="1:3" x14ac:dyDescent="0.2">
      <c r="A6303" s="82"/>
      <c r="B6303" s="82"/>
      <c r="C6303" s="82"/>
    </row>
    <row r="6304" spans="1:3" x14ac:dyDescent="0.2">
      <c r="A6304" s="82"/>
      <c r="B6304" s="82"/>
      <c r="C6304" s="82"/>
    </row>
    <row r="6305" spans="1:3" x14ac:dyDescent="0.2">
      <c r="A6305" s="82"/>
      <c r="B6305" s="82"/>
      <c r="C6305" s="82"/>
    </row>
    <row r="6306" spans="1:3" x14ac:dyDescent="0.2">
      <c r="A6306" s="82"/>
      <c r="B6306" s="82"/>
      <c r="C6306" s="82"/>
    </row>
    <row r="6307" spans="1:3" x14ac:dyDescent="0.2">
      <c r="A6307" s="82"/>
      <c r="B6307" s="82"/>
      <c r="C6307" s="82"/>
    </row>
    <row r="6308" spans="1:3" x14ac:dyDescent="0.2">
      <c r="A6308" s="82"/>
      <c r="B6308" s="82"/>
      <c r="C6308" s="82"/>
    </row>
    <row r="6309" spans="1:3" x14ac:dyDescent="0.2">
      <c r="A6309" s="82"/>
      <c r="B6309" s="82"/>
      <c r="C6309" s="82"/>
    </row>
    <row r="6310" spans="1:3" x14ac:dyDescent="0.2">
      <c r="A6310" s="82"/>
      <c r="B6310" s="82"/>
      <c r="C6310" s="82"/>
    </row>
    <row r="6311" spans="1:3" x14ac:dyDescent="0.2">
      <c r="A6311" s="82"/>
      <c r="B6311" s="82"/>
      <c r="C6311" s="82"/>
    </row>
    <row r="6312" spans="1:3" x14ac:dyDescent="0.2">
      <c r="A6312" s="82"/>
      <c r="B6312" s="82"/>
      <c r="C6312" s="82"/>
    </row>
    <row r="6313" spans="1:3" x14ac:dyDescent="0.2">
      <c r="A6313" s="82"/>
      <c r="B6313" s="82"/>
      <c r="C6313" s="82"/>
    </row>
    <row r="6314" spans="1:3" x14ac:dyDescent="0.2">
      <c r="A6314" s="82"/>
      <c r="B6314" s="82"/>
      <c r="C6314" s="82"/>
    </row>
    <row r="6315" spans="1:3" x14ac:dyDescent="0.2">
      <c r="A6315" s="82"/>
      <c r="B6315" s="82"/>
      <c r="C6315" s="82"/>
    </row>
    <row r="6316" spans="1:3" x14ac:dyDescent="0.2">
      <c r="A6316" s="82"/>
      <c r="B6316" s="82"/>
      <c r="C6316" s="82"/>
    </row>
    <row r="6317" spans="1:3" x14ac:dyDescent="0.2">
      <c r="A6317" s="82"/>
      <c r="B6317" s="82"/>
      <c r="C6317" s="82"/>
    </row>
    <row r="6318" spans="1:3" x14ac:dyDescent="0.2">
      <c r="A6318" s="82"/>
      <c r="B6318" s="82"/>
      <c r="C6318" s="82"/>
    </row>
    <row r="6319" spans="1:3" x14ac:dyDescent="0.2">
      <c r="A6319" s="82"/>
      <c r="B6319" s="82"/>
      <c r="C6319" s="82"/>
    </row>
    <row r="6320" spans="1:3" x14ac:dyDescent="0.2">
      <c r="A6320" s="82"/>
      <c r="B6320" s="82"/>
      <c r="C6320" s="82"/>
    </row>
    <row r="6321" spans="1:3" x14ac:dyDescent="0.2">
      <c r="A6321" s="82"/>
      <c r="B6321" s="82"/>
      <c r="C6321" s="82"/>
    </row>
    <row r="6322" spans="1:3" x14ac:dyDescent="0.2">
      <c r="A6322" s="82"/>
      <c r="B6322" s="82"/>
      <c r="C6322" s="82"/>
    </row>
    <row r="6323" spans="1:3" x14ac:dyDescent="0.2">
      <c r="A6323" s="82"/>
      <c r="B6323" s="82"/>
      <c r="C6323" s="82"/>
    </row>
    <row r="6324" spans="1:3" x14ac:dyDescent="0.2">
      <c r="A6324" s="82"/>
      <c r="B6324" s="82"/>
      <c r="C6324" s="82"/>
    </row>
    <row r="6325" spans="1:3" x14ac:dyDescent="0.2">
      <c r="A6325" s="82"/>
      <c r="B6325" s="82"/>
      <c r="C6325" s="82"/>
    </row>
    <row r="6326" spans="1:3" x14ac:dyDescent="0.2">
      <c r="A6326" s="82"/>
      <c r="B6326" s="82"/>
      <c r="C6326" s="82"/>
    </row>
    <row r="6327" spans="1:3" x14ac:dyDescent="0.2">
      <c r="A6327" s="82"/>
      <c r="B6327" s="82"/>
      <c r="C6327" s="82"/>
    </row>
    <row r="6328" spans="1:3" x14ac:dyDescent="0.2">
      <c r="A6328" s="82"/>
      <c r="B6328" s="82"/>
      <c r="C6328" s="82"/>
    </row>
    <row r="6329" spans="1:3" x14ac:dyDescent="0.2">
      <c r="A6329" s="82"/>
      <c r="B6329" s="82"/>
      <c r="C6329" s="82"/>
    </row>
    <row r="6330" spans="1:3" x14ac:dyDescent="0.2">
      <c r="A6330" s="82"/>
      <c r="B6330" s="82"/>
      <c r="C6330" s="82"/>
    </row>
    <row r="6331" spans="1:3" x14ac:dyDescent="0.2">
      <c r="A6331" s="82"/>
      <c r="B6331" s="82"/>
      <c r="C6331" s="82"/>
    </row>
    <row r="6332" spans="1:3" x14ac:dyDescent="0.2">
      <c r="A6332" s="82"/>
      <c r="B6332" s="82"/>
      <c r="C6332" s="82"/>
    </row>
    <row r="6333" spans="1:3" x14ac:dyDescent="0.2">
      <c r="A6333" s="82"/>
      <c r="B6333" s="82"/>
      <c r="C6333" s="82"/>
    </row>
    <row r="6334" spans="1:3" x14ac:dyDescent="0.2">
      <c r="A6334" s="82"/>
      <c r="B6334" s="82"/>
      <c r="C6334" s="82"/>
    </row>
    <row r="6335" spans="1:3" x14ac:dyDescent="0.2">
      <c r="A6335" s="82"/>
      <c r="B6335" s="82"/>
      <c r="C6335" s="82"/>
    </row>
    <row r="6336" spans="1:3" x14ac:dyDescent="0.2">
      <c r="A6336" s="82"/>
      <c r="B6336" s="82"/>
      <c r="C6336" s="82"/>
    </row>
    <row r="6337" spans="1:3" x14ac:dyDescent="0.2">
      <c r="A6337" s="82"/>
      <c r="B6337" s="82"/>
      <c r="C6337" s="82"/>
    </row>
    <row r="6338" spans="1:3" x14ac:dyDescent="0.2">
      <c r="A6338" s="82"/>
      <c r="B6338" s="82"/>
      <c r="C6338" s="82"/>
    </row>
    <row r="6339" spans="1:3" x14ac:dyDescent="0.2">
      <c r="A6339" s="82"/>
      <c r="B6339" s="82"/>
      <c r="C6339" s="82"/>
    </row>
    <row r="6340" spans="1:3" x14ac:dyDescent="0.2">
      <c r="A6340" s="82"/>
      <c r="B6340" s="82"/>
      <c r="C6340" s="82"/>
    </row>
    <row r="6341" spans="1:3" x14ac:dyDescent="0.2">
      <c r="A6341" s="82"/>
      <c r="B6341" s="82"/>
      <c r="C6341" s="82"/>
    </row>
    <row r="6342" spans="1:3" x14ac:dyDescent="0.2">
      <c r="A6342" s="82"/>
      <c r="B6342" s="82"/>
      <c r="C6342" s="82"/>
    </row>
    <row r="6343" spans="1:3" x14ac:dyDescent="0.2">
      <c r="A6343" s="82"/>
      <c r="B6343" s="82"/>
      <c r="C6343" s="82"/>
    </row>
    <row r="6344" spans="1:3" x14ac:dyDescent="0.2">
      <c r="A6344" s="82"/>
      <c r="B6344" s="82"/>
      <c r="C6344" s="82"/>
    </row>
    <row r="6345" spans="1:3" x14ac:dyDescent="0.2">
      <c r="A6345" s="82"/>
      <c r="B6345" s="82"/>
      <c r="C6345" s="82"/>
    </row>
    <row r="6346" spans="1:3" x14ac:dyDescent="0.2">
      <c r="A6346" s="82"/>
      <c r="B6346" s="82"/>
      <c r="C6346" s="82"/>
    </row>
    <row r="6347" spans="1:3" x14ac:dyDescent="0.2">
      <c r="A6347" s="82"/>
      <c r="B6347" s="82"/>
      <c r="C6347" s="82"/>
    </row>
    <row r="6348" spans="1:3" x14ac:dyDescent="0.2">
      <c r="A6348" s="82"/>
      <c r="B6348" s="82"/>
      <c r="C6348" s="82"/>
    </row>
    <row r="6349" spans="1:3" x14ac:dyDescent="0.2">
      <c r="A6349" s="82"/>
      <c r="B6349" s="82"/>
      <c r="C6349" s="82"/>
    </row>
    <row r="6350" spans="1:3" x14ac:dyDescent="0.2">
      <c r="A6350" s="82"/>
      <c r="B6350" s="82"/>
      <c r="C6350" s="82"/>
    </row>
    <row r="6351" spans="1:3" x14ac:dyDescent="0.2">
      <c r="A6351" s="82"/>
      <c r="B6351" s="82"/>
      <c r="C6351" s="82"/>
    </row>
    <row r="6352" spans="1:3" x14ac:dyDescent="0.2">
      <c r="A6352" s="82"/>
      <c r="B6352" s="82"/>
      <c r="C6352" s="82"/>
    </row>
    <row r="6353" spans="1:3" x14ac:dyDescent="0.2">
      <c r="A6353" s="82"/>
      <c r="B6353" s="82"/>
      <c r="C6353" s="82"/>
    </row>
    <row r="6354" spans="1:3" x14ac:dyDescent="0.2">
      <c r="A6354" s="82"/>
      <c r="B6354" s="82"/>
      <c r="C6354" s="82"/>
    </row>
    <row r="6355" spans="1:3" x14ac:dyDescent="0.2">
      <c r="A6355" s="82"/>
      <c r="B6355" s="82"/>
      <c r="C6355" s="82"/>
    </row>
    <row r="6356" spans="1:3" x14ac:dyDescent="0.2">
      <c r="A6356" s="82"/>
      <c r="B6356" s="82"/>
      <c r="C6356" s="82"/>
    </row>
    <row r="6357" spans="1:3" x14ac:dyDescent="0.2">
      <c r="A6357" s="82"/>
      <c r="B6357" s="82"/>
      <c r="C6357" s="82"/>
    </row>
    <row r="6358" spans="1:3" x14ac:dyDescent="0.2">
      <c r="A6358" s="82"/>
      <c r="B6358" s="82"/>
      <c r="C6358" s="82"/>
    </row>
    <row r="6359" spans="1:3" x14ac:dyDescent="0.2">
      <c r="A6359" s="82"/>
      <c r="B6359" s="82"/>
      <c r="C6359" s="82"/>
    </row>
    <row r="6360" spans="1:3" x14ac:dyDescent="0.2">
      <c r="A6360" s="82"/>
      <c r="B6360" s="82"/>
      <c r="C6360" s="82"/>
    </row>
    <row r="6361" spans="1:3" x14ac:dyDescent="0.2">
      <c r="A6361" s="82"/>
      <c r="B6361" s="82"/>
      <c r="C6361" s="82"/>
    </row>
    <row r="6362" spans="1:3" x14ac:dyDescent="0.2">
      <c r="A6362" s="82"/>
      <c r="B6362" s="82"/>
      <c r="C6362" s="82"/>
    </row>
    <row r="6363" spans="1:3" x14ac:dyDescent="0.2">
      <c r="A6363" s="82"/>
      <c r="B6363" s="82"/>
      <c r="C6363" s="82"/>
    </row>
    <row r="6364" spans="1:3" x14ac:dyDescent="0.2">
      <c r="A6364" s="82"/>
      <c r="B6364" s="82"/>
      <c r="C6364" s="82"/>
    </row>
    <row r="6365" spans="1:3" x14ac:dyDescent="0.2">
      <c r="A6365" s="82"/>
      <c r="B6365" s="82"/>
      <c r="C6365" s="82"/>
    </row>
    <row r="6366" spans="1:3" x14ac:dyDescent="0.2">
      <c r="A6366" s="82"/>
      <c r="B6366" s="82"/>
      <c r="C6366" s="82"/>
    </row>
    <row r="6367" spans="1:3" x14ac:dyDescent="0.2">
      <c r="A6367" s="82"/>
      <c r="B6367" s="82"/>
      <c r="C6367" s="82"/>
    </row>
    <row r="6368" spans="1:3" x14ac:dyDescent="0.2">
      <c r="A6368" s="82"/>
      <c r="B6368" s="82"/>
      <c r="C6368" s="82"/>
    </row>
    <row r="6369" spans="1:3" x14ac:dyDescent="0.2">
      <c r="A6369" s="82"/>
      <c r="B6369" s="82"/>
      <c r="C6369" s="82"/>
    </row>
    <row r="6370" spans="1:3" x14ac:dyDescent="0.2">
      <c r="A6370" s="82"/>
      <c r="B6370" s="82"/>
      <c r="C6370" s="82"/>
    </row>
    <row r="6371" spans="1:3" x14ac:dyDescent="0.2">
      <c r="A6371" s="82"/>
      <c r="B6371" s="82"/>
      <c r="C6371" s="82"/>
    </row>
    <row r="6372" spans="1:3" x14ac:dyDescent="0.2">
      <c r="A6372" s="82"/>
      <c r="B6372" s="82"/>
      <c r="C6372" s="82"/>
    </row>
    <row r="6373" spans="1:3" x14ac:dyDescent="0.2">
      <c r="A6373" s="82"/>
      <c r="B6373" s="82"/>
      <c r="C6373" s="82"/>
    </row>
    <row r="6374" spans="1:3" x14ac:dyDescent="0.2">
      <c r="A6374" s="82"/>
      <c r="B6374" s="82"/>
      <c r="C6374" s="82"/>
    </row>
    <row r="6375" spans="1:3" x14ac:dyDescent="0.2">
      <c r="A6375" s="82"/>
      <c r="B6375" s="82"/>
      <c r="C6375" s="82"/>
    </row>
    <row r="6376" spans="1:3" x14ac:dyDescent="0.2">
      <c r="A6376" s="82"/>
      <c r="B6376" s="82"/>
      <c r="C6376" s="82"/>
    </row>
    <row r="6377" spans="1:3" x14ac:dyDescent="0.2">
      <c r="A6377" s="82"/>
      <c r="B6377" s="82"/>
      <c r="C6377" s="82"/>
    </row>
    <row r="6378" spans="1:3" x14ac:dyDescent="0.2">
      <c r="A6378" s="82"/>
      <c r="B6378" s="82"/>
      <c r="C6378" s="82"/>
    </row>
    <row r="6379" spans="1:3" x14ac:dyDescent="0.2">
      <c r="A6379" s="82"/>
      <c r="B6379" s="82"/>
      <c r="C6379" s="82"/>
    </row>
    <row r="6380" spans="1:3" x14ac:dyDescent="0.2">
      <c r="A6380" s="82"/>
      <c r="B6380" s="82"/>
      <c r="C6380" s="82"/>
    </row>
    <row r="6381" spans="1:3" x14ac:dyDescent="0.2">
      <c r="A6381" s="82"/>
      <c r="B6381" s="82"/>
      <c r="C6381" s="82"/>
    </row>
    <row r="6382" spans="1:3" x14ac:dyDescent="0.2">
      <c r="A6382" s="82"/>
      <c r="B6382" s="82"/>
      <c r="C6382" s="82"/>
    </row>
    <row r="6383" spans="1:3" x14ac:dyDescent="0.2">
      <c r="A6383" s="82"/>
      <c r="B6383" s="82"/>
      <c r="C6383" s="82"/>
    </row>
    <row r="6384" spans="1:3" x14ac:dyDescent="0.2">
      <c r="A6384" s="82"/>
      <c r="B6384" s="82"/>
      <c r="C6384" s="82"/>
    </row>
    <row r="6385" spans="1:3" x14ac:dyDescent="0.2">
      <c r="A6385" s="82"/>
      <c r="B6385" s="82"/>
      <c r="C6385" s="82"/>
    </row>
    <row r="6386" spans="1:3" x14ac:dyDescent="0.2">
      <c r="A6386" s="82"/>
      <c r="B6386" s="82"/>
      <c r="C6386" s="82"/>
    </row>
    <row r="6387" spans="1:3" x14ac:dyDescent="0.2">
      <c r="A6387" s="82"/>
      <c r="B6387" s="82"/>
      <c r="C6387" s="82"/>
    </row>
    <row r="6388" spans="1:3" x14ac:dyDescent="0.2">
      <c r="A6388" s="82"/>
      <c r="B6388" s="82"/>
      <c r="C6388" s="82"/>
    </row>
    <row r="6389" spans="1:3" x14ac:dyDescent="0.2">
      <c r="A6389" s="82"/>
      <c r="B6389" s="82"/>
      <c r="C6389" s="82"/>
    </row>
    <row r="6390" spans="1:3" x14ac:dyDescent="0.2">
      <c r="A6390" s="82"/>
      <c r="B6390" s="82"/>
      <c r="C6390" s="82"/>
    </row>
    <row r="6391" spans="1:3" x14ac:dyDescent="0.2">
      <c r="A6391" s="82"/>
      <c r="B6391" s="82"/>
      <c r="C6391" s="82"/>
    </row>
    <row r="6392" spans="1:3" x14ac:dyDescent="0.2">
      <c r="A6392" s="82"/>
      <c r="B6392" s="82"/>
      <c r="C6392" s="82"/>
    </row>
    <row r="6393" spans="1:3" x14ac:dyDescent="0.2">
      <c r="A6393" s="82"/>
      <c r="B6393" s="82"/>
      <c r="C6393" s="82"/>
    </row>
    <row r="6394" spans="1:3" x14ac:dyDescent="0.2">
      <c r="A6394" s="82"/>
      <c r="B6394" s="82"/>
      <c r="C6394" s="82"/>
    </row>
    <row r="6395" spans="1:3" x14ac:dyDescent="0.2">
      <c r="A6395" s="82"/>
      <c r="B6395" s="82"/>
      <c r="C6395" s="82"/>
    </row>
    <row r="6396" spans="1:3" x14ac:dyDescent="0.2">
      <c r="A6396" s="82"/>
      <c r="B6396" s="82"/>
      <c r="C6396" s="82"/>
    </row>
    <row r="6397" spans="1:3" x14ac:dyDescent="0.2">
      <c r="A6397" s="82"/>
      <c r="B6397" s="82"/>
      <c r="C6397" s="82"/>
    </row>
    <row r="6398" spans="1:3" x14ac:dyDescent="0.2">
      <c r="A6398" s="82"/>
      <c r="B6398" s="82"/>
      <c r="C6398" s="82"/>
    </row>
    <row r="6399" spans="1:3" x14ac:dyDescent="0.2">
      <c r="A6399" s="82"/>
      <c r="B6399" s="82"/>
      <c r="C6399" s="82"/>
    </row>
    <row r="6400" spans="1:3" x14ac:dyDescent="0.2">
      <c r="A6400" s="82"/>
      <c r="B6400" s="82"/>
      <c r="C6400" s="82"/>
    </row>
    <row r="6401" spans="1:3" x14ac:dyDescent="0.2">
      <c r="A6401" s="82"/>
      <c r="B6401" s="82"/>
      <c r="C6401" s="82"/>
    </row>
    <row r="6402" spans="1:3" x14ac:dyDescent="0.2">
      <c r="A6402" s="82"/>
      <c r="B6402" s="82"/>
      <c r="C6402" s="82"/>
    </row>
    <row r="6403" spans="1:3" x14ac:dyDescent="0.2">
      <c r="A6403" s="82"/>
      <c r="B6403" s="82"/>
      <c r="C6403" s="82"/>
    </row>
    <row r="6404" spans="1:3" x14ac:dyDescent="0.2">
      <c r="A6404" s="82"/>
      <c r="B6404" s="82"/>
      <c r="C6404" s="82"/>
    </row>
    <row r="6405" spans="1:3" x14ac:dyDescent="0.2">
      <c r="A6405" s="82"/>
      <c r="B6405" s="82"/>
      <c r="C6405" s="82"/>
    </row>
    <row r="6406" spans="1:3" x14ac:dyDescent="0.2">
      <c r="A6406" s="82"/>
      <c r="B6406" s="82"/>
      <c r="C6406" s="82"/>
    </row>
    <row r="6407" spans="1:3" x14ac:dyDescent="0.2">
      <c r="A6407" s="82"/>
      <c r="B6407" s="82"/>
      <c r="C6407" s="82"/>
    </row>
    <row r="6408" spans="1:3" x14ac:dyDescent="0.2">
      <c r="A6408" s="82"/>
      <c r="B6408" s="82"/>
      <c r="C6408" s="82"/>
    </row>
    <row r="6409" spans="1:3" x14ac:dyDescent="0.2">
      <c r="A6409" s="82"/>
      <c r="B6409" s="82"/>
      <c r="C6409" s="82"/>
    </row>
    <row r="6410" spans="1:3" x14ac:dyDescent="0.2">
      <c r="A6410" s="82"/>
      <c r="B6410" s="82"/>
      <c r="C6410" s="82"/>
    </row>
    <row r="6411" spans="1:3" x14ac:dyDescent="0.2">
      <c r="A6411" s="82"/>
      <c r="B6411" s="82"/>
      <c r="C6411" s="82"/>
    </row>
    <row r="6412" spans="1:3" x14ac:dyDescent="0.2">
      <c r="A6412" s="82"/>
      <c r="B6412" s="82"/>
      <c r="C6412" s="82"/>
    </row>
    <row r="6413" spans="1:3" x14ac:dyDescent="0.2">
      <c r="A6413" s="82"/>
      <c r="B6413" s="82"/>
      <c r="C6413" s="82"/>
    </row>
    <row r="6414" spans="1:3" x14ac:dyDescent="0.2">
      <c r="A6414" s="82"/>
      <c r="B6414" s="82"/>
      <c r="C6414" s="82"/>
    </row>
    <row r="6415" spans="1:3" x14ac:dyDescent="0.2">
      <c r="A6415" s="82"/>
      <c r="B6415" s="82"/>
      <c r="C6415" s="82"/>
    </row>
    <row r="6416" spans="1:3" x14ac:dyDescent="0.2">
      <c r="A6416" s="82"/>
      <c r="B6416" s="82"/>
      <c r="C6416" s="82"/>
    </row>
    <row r="6417" spans="1:3" x14ac:dyDescent="0.2">
      <c r="A6417" s="82"/>
      <c r="B6417" s="82"/>
      <c r="C6417" s="82"/>
    </row>
    <row r="6418" spans="1:3" x14ac:dyDescent="0.2">
      <c r="A6418" s="82"/>
      <c r="B6418" s="82"/>
      <c r="C6418" s="82"/>
    </row>
    <row r="6419" spans="1:3" x14ac:dyDescent="0.2">
      <c r="A6419" s="82"/>
      <c r="B6419" s="82"/>
      <c r="C6419" s="82"/>
    </row>
    <row r="6420" spans="1:3" x14ac:dyDescent="0.2">
      <c r="A6420" s="82"/>
      <c r="B6420" s="82"/>
      <c r="C6420" s="82"/>
    </row>
    <row r="6421" spans="1:3" x14ac:dyDescent="0.2">
      <c r="A6421" s="82"/>
      <c r="B6421" s="82"/>
      <c r="C6421" s="82"/>
    </row>
    <row r="6422" spans="1:3" x14ac:dyDescent="0.2">
      <c r="A6422" s="82"/>
      <c r="B6422" s="82"/>
      <c r="C6422" s="82"/>
    </row>
    <row r="6423" spans="1:3" x14ac:dyDescent="0.2">
      <c r="A6423" s="82"/>
      <c r="B6423" s="82"/>
      <c r="C6423" s="82"/>
    </row>
    <row r="6424" spans="1:3" x14ac:dyDescent="0.2">
      <c r="A6424" s="82"/>
      <c r="B6424" s="82"/>
      <c r="C6424" s="82"/>
    </row>
    <row r="6425" spans="1:3" x14ac:dyDescent="0.2">
      <c r="A6425" s="82"/>
      <c r="B6425" s="82"/>
      <c r="C6425" s="82"/>
    </row>
    <row r="6426" spans="1:3" x14ac:dyDescent="0.2">
      <c r="A6426" s="82"/>
      <c r="B6426" s="82"/>
      <c r="C6426" s="82"/>
    </row>
    <row r="6427" spans="1:3" x14ac:dyDescent="0.2">
      <c r="A6427" s="82"/>
      <c r="B6427" s="82"/>
      <c r="C6427" s="82"/>
    </row>
    <row r="6428" spans="1:3" x14ac:dyDescent="0.2">
      <c r="A6428" s="82"/>
      <c r="B6428" s="82"/>
      <c r="C6428" s="82"/>
    </row>
    <row r="6429" spans="1:3" x14ac:dyDescent="0.2">
      <c r="A6429" s="82"/>
      <c r="B6429" s="82"/>
      <c r="C6429" s="82"/>
    </row>
    <row r="6430" spans="1:3" x14ac:dyDescent="0.2">
      <c r="A6430" s="82"/>
      <c r="B6430" s="82"/>
      <c r="C6430" s="82"/>
    </row>
    <row r="6431" spans="1:3" x14ac:dyDescent="0.2">
      <c r="A6431" s="82"/>
      <c r="B6431" s="82"/>
      <c r="C6431" s="82"/>
    </row>
    <row r="6432" spans="1:3" x14ac:dyDescent="0.2">
      <c r="A6432" s="82"/>
      <c r="B6432" s="82"/>
      <c r="C6432" s="82"/>
    </row>
    <row r="6433" spans="1:3" x14ac:dyDescent="0.2">
      <c r="A6433" s="82"/>
      <c r="B6433" s="82"/>
      <c r="C6433" s="82"/>
    </row>
    <row r="6434" spans="1:3" x14ac:dyDescent="0.2">
      <c r="A6434" s="82"/>
      <c r="B6434" s="82"/>
      <c r="C6434" s="82"/>
    </row>
    <row r="6435" spans="1:3" x14ac:dyDescent="0.2">
      <c r="A6435" s="82"/>
      <c r="B6435" s="82"/>
      <c r="C6435" s="82"/>
    </row>
    <row r="6436" spans="1:3" x14ac:dyDescent="0.2">
      <c r="A6436" s="82"/>
      <c r="B6436" s="82"/>
      <c r="C6436" s="82"/>
    </row>
    <row r="6437" spans="1:3" x14ac:dyDescent="0.2">
      <c r="A6437" s="82"/>
      <c r="B6437" s="82"/>
      <c r="C6437" s="82"/>
    </row>
    <row r="6438" spans="1:3" x14ac:dyDescent="0.2">
      <c r="A6438" s="82"/>
      <c r="B6438" s="82"/>
      <c r="C6438" s="82"/>
    </row>
    <row r="6439" spans="1:3" x14ac:dyDescent="0.2">
      <c r="A6439" s="82"/>
      <c r="B6439" s="82"/>
      <c r="C6439" s="82"/>
    </row>
    <row r="6440" spans="1:3" x14ac:dyDescent="0.2">
      <c r="A6440" s="82"/>
      <c r="B6440" s="82"/>
      <c r="C6440" s="82"/>
    </row>
    <row r="6441" spans="1:3" x14ac:dyDescent="0.2">
      <c r="A6441" s="82"/>
      <c r="B6441" s="82"/>
      <c r="C6441" s="82"/>
    </row>
    <row r="6442" spans="1:3" x14ac:dyDescent="0.2">
      <c r="A6442" s="82"/>
      <c r="B6442" s="82"/>
      <c r="C6442" s="82"/>
    </row>
    <row r="6443" spans="1:3" x14ac:dyDescent="0.2">
      <c r="A6443" s="82"/>
      <c r="B6443" s="82"/>
      <c r="C6443" s="82"/>
    </row>
    <row r="6444" spans="1:3" x14ac:dyDescent="0.2">
      <c r="A6444" s="82"/>
      <c r="B6444" s="82"/>
      <c r="C6444" s="82"/>
    </row>
    <row r="6445" spans="1:3" x14ac:dyDescent="0.2">
      <c r="A6445" s="82"/>
      <c r="B6445" s="82"/>
      <c r="C6445" s="82"/>
    </row>
    <row r="6446" spans="1:3" x14ac:dyDescent="0.2">
      <c r="A6446" s="82"/>
      <c r="B6446" s="82"/>
      <c r="C6446" s="82"/>
    </row>
    <row r="6447" spans="1:3" x14ac:dyDescent="0.2">
      <c r="A6447" s="82"/>
      <c r="B6447" s="82"/>
      <c r="C6447" s="82"/>
    </row>
    <row r="6448" spans="1:3" x14ac:dyDescent="0.2">
      <c r="A6448" s="82"/>
      <c r="B6448" s="82"/>
      <c r="C6448" s="82"/>
    </row>
    <row r="6449" spans="1:3" x14ac:dyDescent="0.2">
      <c r="A6449" s="82"/>
      <c r="B6449" s="82"/>
      <c r="C6449" s="82"/>
    </row>
    <row r="6450" spans="1:3" x14ac:dyDescent="0.2">
      <c r="A6450" s="82"/>
      <c r="B6450" s="82"/>
      <c r="C6450" s="82"/>
    </row>
    <row r="6451" spans="1:3" x14ac:dyDescent="0.2">
      <c r="A6451" s="82"/>
      <c r="B6451" s="82"/>
      <c r="C6451" s="82"/>
    </row>
    <row r="6452" spans="1:3" x14ac:dyDescent="0.2">
      <c r="A6452" s="82"/>
      <c r="B6452" s="82"/>
      <c r="C6452" s="82"/>
    </row>
    <row r="6453" spans="1:3" x14ac:dyDescent="0.2">
      <c r="A6453" s="82"/>
      <c r="B6453" s="82"/>
      <c r="C6453" s="82"/>
    </row>
    <row r="6454" spans="1:3" x14ac:dyDescent="0.2">
      <c r="A6454" s="82"/>
      <c r="B6454" s="82"/>
      <c r="C6454" s="82"/>
    </row>
    <row r="6455" spans="1:3" x14ac:dyDescent="0.2">
      <c r="A6455" s="82"/>
      <c r="B6455" s="82"/>
      <c r="C6455" s="82"/>
    </row>
    <row r="6456" spans="1:3" x14ac:dyDescent="0.2">
      <c r="A6456" s="82"/>
      <c r="B6456" s="82"/>
      <c r="C6456" s="82"/>
    </row>
    <row r="6457" spans="1:3" x14ac:dyDescent="0.2">
      <c r="A6457" s="82"/>
      <c r="B6457" s="82"/>
      <c r="C6457" s="82"/>
    </row>
    <row r="6458" spans="1:3" x14ac:dyDescent="0.2">
      <c r="A6458" s="82"/>
      <c r="B6458" s="82"/>
      <c r="C6458" s="82"/>
    </row>
    <row r="6459" spans="1:3" x14ac:dyDescent="0.2">
      <c r="A6459" s="82"/>
      <c r="B6459" s="82"/>
      <c r="C6459" s="82"/>
    </row>
    <row r="6460" spans="1:3" x14ac:dyDescent="0.2">
      <c r="A6460" s="82"/>
      <c r="B6460" s="82"/>
      <c r="C6460" s="82"/>
    </row>
    <row r="6461" spans="1:3" x14ac:dyDescent="0.2">
      <c r="A6461" s="82"/>
      <c r="B6461" s="82"/>
      <c r="C6461" s="82"/>
    </row>
    <row r="6462" spans="1:3" x14ac:dyDescent="0.2">
      <c r="A6462" s="82"/>
      <c r="B6462" s="82"/>
      <c r="C6462" s="82"/>
    </row>
    <row r="6463" spans="1:3" x14ac:dyDescent="0.2">
      <c r="A6463" s="82"/>
      <c r="B6463" s="82"/>
      <c r="C6463" s="82"/>
    </row>
    <row r="6464" spans="1:3" x14ac:dyDescent="0.2">
      <c r="A6464" s="82"/>
      <c r="B6464" s="82"/>
      <c r="C6464" s="82"/>
    </row>
    <row r="6465" spans="1:3" x14ac:dyDescent="0.2">
      <c r="A6465" s="82"/>
      <c r="B6465" s="82"/>
      <c r="C6465" s="82"/>
    </row>
    <row r="6466" spans="1:3" x14ac:dyDescent="0.2">
      <c r="A6466" s="82"/>
      <c r="B6466" s="82"/>
      <c r="C6466" s="82"/>
    </row>
    <row r="6467" spans="1:3" x14ac:dyDescent="0.2">
      <c r="A6467" s="82"/>
      <c r="B6467" s="82"/>
      <c r="C6467" s="82"/>
    </row>
    <row r="6468" spans="1:3" x14ac:dyDescent="0.2">
      <c r="A6468" s="82"/>
      <c r="B6468" s="82"/>
      <c r="C6468" s="82"/>
    </row>
    <row r="6469" spans="1:3" x14ac:dyDescent="0.2">
      <c r="A6469" s="82"/>
      <c r="B6469" s="82"/>
      <c r="C6469" s="82"/>
    </row>
    <row r="6470" spans="1:3" x14ac:dyDescent="0.2">
      <c r="A6470" s="82"/>
      <c r="B6470" s="82"/>
      <c r="C6470" s="82"/>
    </row>
    <row r="6471" spans="1:3" x14ac:dyDescent="0.2">
      <c r="A6471" s="82"/>
      <c r="B6471" s="82"/>
      <c r="C6471" s="82"/>
    </row>
    <row r="6472" spans="1:3" x14ac:dyDescent="0.2">
      <c r="A6472" s="82"/>
      <c r="B6472" s="82"/>
      <c r="C6472" s="82"/>
    </row>
    <row r="6473" spans="1:3" x14ac:dyDescent="0.2">
      <c r="A6473" s="82"/>
      <c r="B6473" s="82"/>
      <c r="C6473" s="82"/>
    </row>
    <row r="6474" spans="1:3" x14ac:dyDescent="0.2">
      <c r="A6474" s="82"/>
      <c r="B6474" s="82"/>
      <c r="C6474" s="82"/>
    </row>
    <row r="6475" spans="1:3" x14ac:dyDescent="0.2">
      <c r="A6475" s="82"/>
      <c r="B6475" s="82"/>
      <c r="C6475" s="82"/>
    </row>
    <row r="6476" spans="1:3" x14ac:dyDescent="0.2">
      <c r="A6476" s="82"/>
      <c r="B6476" s="82"/>
      <c r="C6476" s="82"/>
    </row>
    <row r="6477" spans="1:3" x14ac:dyDescent="0.2">
      <c r="A6477" s="82"/>
      <c r="B6477" s="82"/>
      <c r="C6477" s="82"/>
    </row>
    <row r="6478" spans="1:3" x14ac:dyDescent="0.2">
      <c r="A6478" s="82"/>
      <c r="B6478" s="82"/>
      <c r="C6478" s="82"/>
    </row>
    <row r="6479" spans="1:3" x14ac:dyDescent="0.2">
      <c r="A6479" s="82"/>
      <c r="B6479" s="82"/>
      <c r="C6479" s="82"/>
    </row>
    <row r="6480" spans="1:3" x14ac:dyDescent="0.2">
      <c r="A6480" s="82"/>
      <c r="B6480" s="82"/>
      <c r="C6480" s="82"/>
    </row>
    <row r="6481" spans="1:3" x14ac:dyDescent="0.2">
      <c r="A6481" s="82"/>
      <c r="B6481" s="82"/>
      <c r="C6481" s="82"/>
    </row>
    <row r="6482" spans="1:3" x14ac:dyDescent="0.2">
      <c r="A6482" s="82"/>
      <c r="B6482" s="82"/>
      <c r="C6482" s="82"/>
    </row>
    <row r="6483" spans="1:3" x14ac:dyDescent="0.2">
      <c r="A6483" s="82"/>
      <c r="B6483" s="82"/>
      <c r="C6483" s="82"/>
    </row>
    <row r="6484" spans="1:3" x14ac:dyDescent="0.2">
      <c r="A6484" s="82"/>
      <c r="B6484" s="82"/>
      <c r="C6484" s="82"/>
    </row>
    <row r="6485" spans="1:3" x14ac:dyDescent="0.2">
      <c r="A6485" s="82"/>
      <c r="B6485" s="82"/>
      <c r="C6485" s="82"/>
    </row>
    <row r="6486" spans="1:3" x14ac:dyDescent="0.2">
      <c r="A6486" s="82"/>
      <c r="B6486" s="82"/>
      <c r="C6486" s="82"/>
    </row>
    <row r="6487" spans="1:3" x14ac:dyDescent="0.2">
      <c r="A6487" s="82"/>
      <c r="B6487" s="82"/>
      <c r="C6487" s="82"/>
    </row>
    <row r="6488" spans="1:3" x14ac:dyDescent="0.2">
      <c r="A6488" s="82"/>
      <c r="B6488" s="82"/>
      <c r="C6488" s="82"/>
    </row>
    <row r="6489" spans="1:3" x14ac:dyDescent="0.2">
      <c r="A6489" s="82"/>
      <c r="B6489" s="82"/>
      <c r="C6489" s="82"/>
    </row>
    <row r="6490" spans="1:3" x14ac:dyDescent="0.2">
      <c r="A6490" s="82"/>
      <c r="B6490" s="82"/>
      <c r="C6490" s="82"/>
    </row>
    <row r="6491" spans="1:3" x14ac:dyDescent="0.2">
      <c r="A6491" s="82"/>
      <c r="B6491" s="82"/>
      <c r="C6491" s="82"/>
    </row>
    <row r="6492" spans="1:3" x14ac:dyDescent="0.2">
      <c r="A6492" s="82"/>
      <c r="B6492" s="82"/>
      <c r="C6492" s="82"/>
    </row>
    <row r="6493" spans="1:3" x14ac:dyDescent="0.2">
      <c r="A6493" s="82"/>
      <c r="B6493" s="82"/>
      <c r="C6493" s="82"/>
    </row>
    <row r="6494" spans="1:3" x14ac:dyDescent="0.2">
      <c r="A6494" s="82"/>
      <c r="B6494" s="82"/>
      <c r="C6494" s="82"/>
    </row>
    <row r="6495" spans="1:3" x14ac:dyDescent="0.2">
      <c r="A6495" s="82"/>
      <c r="B6495" s="82"/>
      <c r="C6495" s="82"/>
    </row>
    <row r="6496" spans="1:3" x14ac:dyDescent="0.2">
      <c r="A6496" s="82"/>
      <c r="B6496" s="82"/>
      <c r="C6496" s="82"/>
    </row>
    <row r="6497" spans="1:3" x14ac:dyDescent="0.2">
      <c r="A6497" s="82"/>
      <c r="B6497" s="82"/>
      <c r="C6497" s="82"/>
    </row>
    <row r="6498" spans="1:3" x14ac:dyDescent="0.2">
      <c r="A6498" s="82"/>
      <c r="B6498" s="82"/>
      <c r="C6498" s="82"/>
    </row>
    <row r="6499" spans="1:3" x14ac:dyDescent="0.2">
      <c r="A6499" s="82"/>
      <c r="B6499" s="82"/>
      <c r="C6499" s="82"/>
    </row>
    <row r="6500" spans="1:3" x14ac:dyDescent="0.2">
      <c r="A6500" s="82"/>
      <c r="B6500" s="82"/>
      <c r="C6500" s="82"/>
    </row>
    <row r="6501" spans="1:3" x14ac:dyDescent="0.2">
      <c r="A6501" s="82"/>
      <c r="B6501" s="82"/>
      <c r="C6501" s="82"/>
    </row>
    <row r="6502" spans="1:3" x14ac:dyDescent="0.2">
      <c r="A6502" s="82"/>
      <c r="B6502" s="82"/>
      <c r="C6502" s="82"/>
    </row>
    <row r="6503" spans="1:3" x14ac:dyDescent="0.2">
      <c r="A6503" s="82"/>
      <c r="B6503" s="82"/>
      <c r="C6503" s="82"/>
    </row>
    <row r="6504" spans="1:3" x14ac:dyDescent="0.2">
      <c r="A6504" s="82"/>
      <c r="B6504" s="82"/>
      <c r="C6504" s="82"/>
    </row>
    <row r="6505" spans="1:3" x14ac:dyDescent="0.2">
      <c r="A6505" s="82"/>
      <c r="B6505" s="82"/>
      <c r="C6505" s="82"/>
    </row>
    <row r="6506" spans="1:3" x14ac:dyDescent="0.2">
      <c r="A6506" s="82"/>
      <c r="B6506" s="82"/>
      <c r="C6506" s="82"/>
    </row>
    <row r="6507" spans="1:3" x14ac:dyDescent="0.2">
      <c r="A6507" s="82"/>
      <c r="B6507" s="82"/>
      <c r="C6507" s="82"/>
    </row>
    <row r="6508" spans="1:3" x14ac:dyDescent="0.2">
      <c r="A6508" s="82"/>
      <c r="B6508" s="82"/>
      <c r="C6508" s="82"/>
    </row>
    <row r="6509" spans="1:3" x14ac:dyDescent="0.2">
      <c r="A6509" s="82"/>
      <c r="B6509" s="82"/>
      <c r="C6509" s="82"/>
    </row>
    <row r="6510" spans="1:3" x14ac:dyDescent="0.2">
      <c r="A6510" s="82"/>
      <c r="B6510" s="82"/>
      <c r="C6510" s="82"/>
    </row>
    <row r="6511" spans="1:3" x14ac:dyDescent="0.2">
      <c r="A6511" s="82"/>
      <c r="B6511" s="82"/>
      <c r="C6511" s="82"/>
    </row>
    <row r="6512" spans="1:3" x14ac:dyDescent="0.2">
      <c r="A6512" s="82"/>
      <c r="B6512" s="82"/>
      <c r="C6512" s="82"/>
    </row>
    <row r="6513" spans="1:3" x14ac:dyDescent="0.2">
      <c r="A6513" s="82"/>
      <c r="B6513" s="82"/>
      <c r="C6513" s="82"/>
    </row>
    <row r="6514" spans="1:3" x14ac:dyDescent="0.2">
      <c r="A6514" s="82"/>
      <c r="B6514" s="82"/>
      <c r="C6514" s="82"/>
    </row>
    <row r="6515" spans="1:3" x14ac:dyDescent="0.2">
      <c r="A6515" s="82"/>
      <c r="B6515" s="82"/>
      <c r="C6515" s="82"/>
    </row>
    <row r="6516" spans="1:3" x14ac:dyDescent="0.2">
      <c r="A6516" s="82"/>
      <c r="B6516" s="82"/>
      <c r="C6516" s="82"/>
    </row>
    <row r="6517" spans="1:3" x14ac:dyDescent="0.2">
      <c r="A6517" s="82"/>
      <c r="B6517" s="82"/>
      <c r="C6517" s="82"/>
    </row>
    <row r="6518" spans="1:3" x14ac:dyDescent="0.2">
      <c r="A6518" s="82"/>
      <c r="B6518" s="82"/>
      <c r="C6518" s="82"/>
    </row>
    <row r="6519" spans="1:3" x14ac:dyDescent="0.2">
      <c r="A6519" s="82"/>
      <c r="B6519" s="82"/>
      <c r="C6519" s="82"/>
    </row>
    <row r="6520" spans="1:3" x14ac:dyDescent="0.2">
      <c r="A6520" s="82"/>
      <c r="B6520" s="82"/>
      <c r="C6520" s="82"/>
    </row>
    <row r="6521" spans="1:3" x14ac:dyDescent="0.2">
      <c r="A6521" s="82"/>
      <c r="B6521" s="82"/>
      <c r="C6521" s="82"/>
    </row>
    <row r="6522" spans="1:3" x14ac:dyDescent="0.2">
      <c r="A6522" s="82"/>
      <c r="B6522" s="82"/>
      <c r="C6522" s="82"/>
    </row>
    <row r="6523" spans="1:3" x14ac:dyDescent="0.2">
      <c r="A6523" s="82"/>
      <c r="B6523" s="82"/>
      <c r="C6523" s="82"/>
    </row>
    <row r="6524" spans="1:3" x14ac:dyDescent="0.2">
      <c r="A6524" s="82"/>
      <c r="B6524" s="82"/>
      <c r="C6524" s="82"/>
    </row>
    <row r="6525" spans="1:3" x14ac:dyDescent="0.2">
      <c r="A6525" s="82"/>
      <c r="B6525" s="82"/>
      <c r="C6525" s="82"/>
    </row>
    <row r="6526" spans="1:3" x14ac:dyDescent="0.2">
      <c r="A6526" s="82"/>
      <c r="B6526" s="82"/>
      <c r="C6526" s="82"/>
    </row>
    <row r="6527" spans="1:3" x14ac:dyDescent="0.2">
      <c r="A6527" s="82"/>
      <c r="B6527" s="82"/>
      <c r="C6527" s="82"/>
    </row>
    <row r="6528" spans="1:3" x14ac:dyDescent="0.2">
      <c r="A6528" s="82"/>
      <c r="B6528" s="82"/>
      <c r="C6528" s="82"/>
    </row>
    <row r="6529" spans="1:3" x14ac:dyDescent="0.2">
      <c r="A6529" s="82"/>
      <c r="B6529" s="82"/>
      <c r="C6529" s="82"/>
    </row>
    <row r="6530" spans="1:3" x14ac:dyDescent="0.2">
      <c r="A6530" s="82"/>
      <c r="B6530" s="82"/>
      <c r="C6530" s="82"/>
    </row>
    <row r="6531" spans="1:3" x14ac:dyDescent="0.2">
      <c r="A6531" s="82"/>
      <c r="B6531" s="82"/>
      <c r="C6531" s="82"/>
    </row>
    <row r="6532" spans="1:3" x14ac:dyDescent="0.2">
      <c r="A6532" s="82"/>
      <c r="B6532" s="82"/>
      <c r="C6532" s="82"/>
    </row>
    <row r="6533" spans="1:3" x14ac:dyDescent="0.2">
      <c r="A6533" s="82"/>
      <c r="B6533" s="82"/>
      <c r="C6533" s="82"/>
    </row>
    <row r="6534" spans="1:3" x14ac:dyDescent="0.2">
      <c r="A6534" s="82"/>
      <c r="B6534" s="82"/>
      <c r="C6534" s="82"/>
    </row>
    <row r="6535" spans="1:3" x14ac:dyDescent="0.2">
      <c r="A6535" s="82"/>
      <c r="B6535" s="82"/>
      <c r="C6535" s="82"/>
    </row>
    <row r="6536" spans="1:3" x14ac:dyDescent="0.2">
      <c r="A6536" s="82"/>
      <c r="B6536" s="82"/>
      <c r="C6536" s="82"/>
    </row>
    <row r="6537" spans="1:3" x14ac:dyDescent="0.2">
      <c r="A6537" s="82"/>
      <c r="B6537" s="82"/>
      <c r="C6537" s="82"/>
    </row>
    <row r="6538" spans="1:3" x14ac:dyDescent="0.2">
      <c r="A6538" s="82"/>
      <c r="B6538" s="82"/>
      <c r="C6538" s="82"/>
    </row>
    <row r="6539" spans="1:3" x14ac:dyDescent="0.2">
      <c r="A6539" s="82"/>
      <c r="B6539" s="82"/>
      <c r="C6539" s="82"/>
    </row>
    <row r="6540" spans="1:3" x14ac:dyDescent="0.2">
      <c r="A6540" s="82"/>
      <c r="B6540" s="82"/>
      <c r="C6540" s="82"/>
    </row>
    <row r="6541" spans="1:3" x14ac:dyDescent="0.2">
      <c r="A6541" s="82"/>
      <c r="B6541" s="82"/>
      <c r="C6541" s="82"/>
    </row>
    <row r="6542" spans="1:3" x14ac:dyDescent="0.2">
      <c r="A6542" s="82"/>
      <c r="B6542" s="82"/>
      <c r="C6542" s="82"/>
    </row>
    <row r="6543" spans="1:3" x14ac:dyDescent="0.2">
      <c r="A6543" s="82"/>
      <c r="B6543" s="82"/>
      <c r="C6543" s="82"/>
    </row>
    <row r="6544" spans="1:3" x14ac:dyDescent="0.2">
      <c r="A6544" s="82"/>
      <c r="B6544" s="82"/>
      <c r="C6544" s="82"/>
    </row>
    <row r="6545" spans="1:3" x14ac:dyDescent="0.2">
      <c r="A6545" s="82"/>
      <c r="B6545" s="82"/>
      <c r="C6545" s="82"/>
    </row>
    <row r="6546" spans="1:3" x14ac:dyDescent="0.2">
      <c r="A6546" s="82"/>
      <c r="B6546" s="82"/>
      <c r="C6546" s="82"/>
    </row>
    <row r="6547" spans="1:3" x14ac:dyDescent="0.2">
      <c r="A6547" s="82"/>
      <c r="B6547" s="82"/>
      <c r="C6547" s="82"/>
    </row>
    <row r="6548" spans="1:3" x14ac:dyDescent="0.2">
      <c r="A6548" s="82"/>
      <c r="B6548" s="82"/>
      <c r="C6548" s="82"/>
    </row>
    <row r="6549" spans="1:3" x14ac:dyDescent="0.2">
      <c r="A6549" s="82"/>
      <c r="B6549" s="82"/>
      <c r="C6549" s="82"/>
    </row>
    <row r="6550" spans="1:3" x14ac:dyDescent="0.2">
      <c r="A6550" s="82"/>
      <c r="B6550" s="82"/>
      <c r="C6550" s="82"/>
    </row>
    <row r="6551" spans="1:3" x14ac:dyDescent="0.2">
      <c r="A6551" s="82"/>
      <c r="B6551" s="82"/>
      <c r="C6551" s="82"/>
    </row>
    <row r="6552" spans="1:3" x14ac:dyDescent="0.2">
      <c r="A6552" s="82"/>
      <c r="B6552" s="82"/>
      <c r="C6552" s="82"/>
    </row>
    <row r="6553" spans="1:3" x14ac:dyDescent="0.2">
      <c r="A6553" s="82"/>
      <c r="B6553" s="82"/>
      <c r="C6553" s="82"/>
    </row>
    <row r="6554" spans="1:3" x14ac:dyDescent="0.2">
      <c r="A6554" s="82"/>
      <c r="B6554" s="82"/>
      <c r="C6554" s="82"/>
    </row>
    <row r="6555" spans="1:3" x14ac:dyDescent="0.2">
      <c r="A6555" s="82"/>
      <c r="B6555" s="82"/>
      <c r="C6555" s="82"/>
    </row>
    <row r="6556" spans="1:3" x14ac:dyDescent="0.2">
      <c r="A6556" s="82"/>
      <c r="B6556" s="82"/>
      <c r="C6556" s="82"/>
    </row>
    <row r="6557" spans="1:3" x14ac:dyDescent="0.2">
      <c r="A6557" s="82"/>
      <c r="B6557" s="82"/>
      <c r="C6557" s="82"/>
    </row>
    <row r="6558" spans="1:3" x14ac:dyDescent="0.2">
      <c r="A6558" s="82"/>
      <c r="B6558" s="82"/>
      <c r="C6558" s="82"/>
    </row>
    <row r="6559" spans="1:3" x14ac:dyDescent="0.2">
      <c r="A6559" s="82"/>
      <c r="B6559" s="82"/>
      <c r="C6559" s="82"/>
    </row>
    <row r="6560" spans="1:3" x14ac:dyDescent="0.2">
      <c r="A6560" s="82"/>
      <c r="B6560" s="82"/>
      <c r="C6560" s="82"/>
    </row>
    <row r="6561" spans="1:3" x14ac:dyDescent="0.2">
      <c r="A6561" s="82"/>
      <c r="B6561" s="82"/>
      <c r="C6561" s="82"/>
    </row>
    <row r="6562" spans="1:3" x14ac:dyDescent="0.2">
      <c r="A6562" s="82"/>
      <c r="B6562" s="82"/>
      <c r="C6562" s="82"/>
    </row>
    <row r="6563" spans="1:3" x14ac:dyDescent="0.2">
      <c r="A6563" s="82"/>
      <c r="B6563" s="82"/>
      <c r="C6563" s="82"/>
    </row>
    <row r="6564" spans="1:3" x14ac:dyDescent="0.2">
      <c r="A6564" s="82"/>
      <c r="B6564" s="82"/>
      <c r="C6564" s="82"/>
    </row>
    <row r="6565" spans="1:3" x14ac:dyDescent="0.2">
      <c r="A6565" s="82"/>
      <c r="B6565" s="82"/>
      <c r="C6565" s="82"/>
    </row>
    <row r="6566" spans="1:3" x14ac:dyDescent="0.2">
      <c r="A6566" s="82"/>
      <c r="B6566" s="82"/>
      <c r="C6566" s="82"/>
    </row>
    <row r="6567" spans="1:3" x14ac:dyDescent="0.2">
      <c r="A6567" s="82"/>
      <c r="B6567" s="82"/>
      <c r="C6567" s="82"/>
    </row>
    <row r="6568" spans="1:3" x14ac:dyDescent="0.2">
      <c r="A6568" s="82"/>
      <c r="B6568" s="82"/>
      <c r="C6568" s="82"/>
    </row>
    <row r="6569" spans="1:3" x14ac:dyDescent="0.2">
      <c r="A6569" s="82"/>
      <c r="B6569" s="82"/>
      <c r="C6569" s="82"/>
    </row>
    <row r="6570" spans="1:3" x14ac:dyDescent="0.2">
      <c r="A6570" s="82"/>
      <c r="B6570" s="82"/>
      <c r="C6570" s="82"/>
    </row>
    <row r="6571" spans="1:3" x14ac:dyDescent="0.2">
      <c r="A6571" s="82"/>
      <c r="B6571" s="82"/>
      <c r="C6571" s="82"/>
    </row>
    <row r="6572" spans="1:3" x14ac:dyDescent="0.2">
      <c r="A6572" s="82"/>
      <c r="B6572" s="82"/>
      <c r="C6572" s="82"/>
    </row>
    <row r="6573" spans="1:3" x14ac:dyDescent="0.2">
      <c r="A6573" s="82"/>
      <c r="B6573" s="82"/>
      <c r="C6573" s="82"/>
    </row>
    <row r="6574" spans="1:3" x14ac:dyDescent="0.2">
      <c r="A6574" s="82"/>
      <c r="B6574" s="82"/>
      <c r="C6574" s="82"/>
    </row>
    <row r="6575" spans="1:3" x14ac:dyDescent="0.2">
      <c r="A6575" s="82"/>
      <c r="B6575" s="82"/>
      <c r="C6575" s="82"/>
    </row>
    <row r="6576" spans="1:3" x14ac:dyDescent="0.2">
      <c r="A6576" s="82"/>
      <c r="B6576" s="82"/>
      <c r="C6576" s="82"/>
    </row>
    <row r="6577" spans="1:3" x14ac:dyDescent="0.2">
      <c r="A6577" s="82"/>
      <c r="B6577" s="82"/>
      <c r="C6577" s="82"/>
    </row>
    <row r="6578" spans="1:3" x14ac:dyDescent="0.2">
      <c r="A6578" s="82"/>
      <c r="B6578" s="82"/>
      <c r="C6578" s="82"/>
    </row>
    <row r="6579" spans="1:3" x14ac:dyDescent="0.2">
      <c r="A6579" s="82"/>
      <c r="B6579" s="82"/>
      <c r="C6579" s="82"/>
    </row>
    <row r="6580" spans="1:3" x14ac:dyDescent="0.2">
      <c r="A6580" s="82"/>
      <c r="B6580" s="82"/>
      <c r="C6580" s="82"/>
    </row>
    <row r="6581" spans="1:3" x14ac:dyDescent="0.2">
      <c r="A6581" s="82"/>
      <c r="B6581" s="82"/>
      <c r="C6581" s="82"/>
    </row>
    <row r="6582" spans="1:3" x14ac:dyDescent="0.2">
      <c r="A6582" s="82"/>
      <c r="B6582" s="82"/>
      <c r="C6582" s="82"/>
    </row>
    <row r="6583" spans="1:3" x14ac:dyDescent="0.2">
      <c r="A6583" s="82"/>
      <c r="B6583" s="82"/>
      <c r="C6583" s="82"/>
    </row>
    <row r="6584" spans="1:3" x14ac:dyDescent="0.2">
      <c r="A6584" s="82"/>
      <c r="B6584" s="82"/>
      <c r="C6584" s="82"/>
    </row>
    <row r="6585" spans="1:3" x14ac:dyDescent="0.2">
      <c r="A6585" s="82"/>
      <c r="B6585" s="82"/>
      <c r="C6585" s="82"/>
    </row>
    <row r="6586" spans="1:3" x14ac:dyDescent="0.2">
      <c r="A6586" s="82"/>
      <c r="B6586" s="82"/>
      <c r="C6586" s="82"/>
    </row>
    <row r="6587" spans="1:3" x14ac:dyDescent="0.2">
      <c r="A6587" s="82"/>
      <c r="B6587" s="82"/>
      <c r="C6587" s="82"/>
    </row>
    <row r="6588" spans="1:3" x14ac:dyDescent="0.2">
      <c r="A6588" s="82"/>
      <c r="B6588" s="82"/>
      <c r="C6588" s="82"/>
    </row>
    <row r="6589" spans="1:3" x14ac:dyDescent="0.2">
      <c r="A6589" s="82"/>
      <c r="B6589" s="82"/>
      <c r="C6589" s="82"/>
    </row>
    <row r="6590" spans="1:3" x14ac:dyDescent="0.2">
      <c r="A6590" s="82"/>
      <c r="B6590" s="82"/>
      <c r="C6590" s="82"/>
    </row>
    <row r="6591" spans="1:3" x14ac:dyDescent="0.2">
      <c r="A6591" s="82"/>
      <c r="B6591" s="82"/>
      <c r="C6591" s="82"/>
    </row>
    <row r="6592" spans="1:3" x14ac:dyDescent="0.2">
      <c r="A6592" s="82"/>
      <c r="B6592" s="82"/>
      <c r="C6592" s="82"/>
    </row>
    <row r="6593" spans="1:3" x14ac:dyDescent="0.2">
      <c r="A6593" s="82"/>
      <c r="B6593" s="82"/>
      <c r="C6593" s="82"/>
    </row>
    <row r="6594" spans="1:3" x14ac:dyDescent="0.2">
      <c r="A6594" s="82"/>
      <c r="B6594" s="82"/>
      <c r="C6594" s="82"/>
    </row>
    <row r="6595" spans="1:3" x14ac:dyDescent="0.2">
      <c r="A6595" s="82"/>
      <c r="B6595" s="82"/>
      <c r="C6595" s="82"/>
    </row>
    <row r="6596" spans="1:3" x14ac:dyDescent="0.2">
      <c r="A6596" s="82"/>
      <c r="B6596" s="82"/>
      <c r="C6596" s="82"/>
    </row>
    <row r="6597" spans="1:3" x14ac:dyDescent="0.2">
      <c r="A6597" s="82"/>
      <c r="B6597" s="82"/>
      <c r="C6597" s="82"/>
    </row>
    <row r="6598" spans="1:3" x14ac:dyDescent="0.2">
      <c r="A6598" s="82"/>
      <c r="B6598" s="82"/>
      <c r="C6598" s="82"/>
    </row>
    <row r="6599" spans="1:3" x14ac:dyDescent="0.2">
      <c r="A6599" s="82"/>
      <c r="B6599" s="82"/>
      <c r="C6599" s="82"/>
    </row>
    <row r="6600" spans="1:3" x14ac:dyDescent="0.2">
      <c r="A6600" s="82"/>
      <c r="B6600" s="82"/>
      <c r="C6600" s="82"/>
    </row>
    <row r="6601" spans="1:3" x14ac:dyDescent="0.2">
      <c r="A6601" s="82"/>
      <c r="B6601" s="82"/>
      <c r="C6601" s="82"/>
    </row>
    <row r="6602" spans="1:3" x14ac:dyDescent="0.2">
      <c r="A6602" s="82"/>
      <c r="B6602" s="82"/>
      <c r="C6602" s="82"/>
    </row>
    <row r="6603" spans="1:3" x14ac:dyDescent="0.2">
      <c r="A6603" s="82"/>
      <c r="B6603" s="82"/>
      <c r="C6603" s="82"/>
    </row>
    <row r="6604" spans="1:3" x14ac:dyDescent="0.2">
      <c r="A6604" s="82"/>
      <c r="B6604" s="82"/>
      <c r="C6604" s="82"/>
    </row>
    <row r="6605" spans="1:3" x14ac:dyDescent="0.2">
      <c r="A6605" s="82"/>
      <c r="B6605" s="82"/>
      <c r="C6605" s="82"/>
    </row>
    <row r="6606" spans="1:3" x14ac:dyDescent="0.2">
      <c r="A6606" s="82"/>
      <c r="B6606" s="82"/>
      <c r="C6606" s="82"/>
    </row>
    <row r="6607" spans="1:3" x14ac:dyDescent="0.2">
      <c r="A6607" s="82"/>
      <c r="B6607" s="82"/>
      <c r="C6607" s="82"/>
    </row>
    <row r="6608" spans="1:3" x14ac:dyDescent="0.2">
      <c r="A6608" s="82"/>
      <c r="B6608" s="82"/>
      <c r="C6608" s="82"/>
    </row>
    <row r="6609" spans="1:3" x14ac:dyDescent="0.2">
      <c r="A6609" s="82"/>
      <c r="B6609" s="82"/>
      <c r="C6609" s="82"/>
    </row>
    <row r="6610" spans="1:3" x14ac:dyDescent="0.2">
      <c r="A6610" s="82"/>
      <c r="B6610" s="82"/>
      <c r="C6610" s="82"/>
    </row>
    <row r="6611" spans="1:3" x14ac:dyDescent="0.2">
      <c r="A6611" s="82"/>
      <c r="B6611" s="82"/>
      <c r="C6611" s="82"/>
    </row>
    <row r="6612" spans="1:3" x14ac:dyDescent="0.2">
      <c r="A6612" s="82"/>
      <c r="B6612" s="82"/>
      <c r="C6612" s="82"/>
    </row>
    <row r="6613" spans="1:3" x14ac:dyDescent="0.2">
      <c r="A6613" s="82"/>
      <c r="B6613" s="82"/>
      <c r="C6613" s="82"/>
    </row>
    <row r="6614" spans="1:3" x14ac:dyDescent="0.2">
      <c r="A6614" s="82"/>
      <c r="B6614" s="82"/>
      <c r="C6614" s="82"/>
    </row>
    <row r="6615" spans="1:3" x14ac:dyDescent="0.2">
      <c r="A6615" s="82"/>
      <c r="B6615" s="82"/>
      <c r="C6615" s="82"/>
    </row>
    <row r="6616" spans="1:3" x14ac:dyDescent="0.2">
      <c r="A6616" s="82"/>
      <c r="B6616" s="82"/>
      <c r="C6616" s="82"/>
    </row>
    <row r="6617" spans="1:3" x14ac:dyDescent="0.2">
      <c r="A6617" s="82"/>
      <c r="B6617" s="82"/>
      <c r="C6617" s="82"/>
    </row>
    <row r="6618" spans="1:3" x14ac:dyDescent="0.2">
      <c r="A6618" s="82"/>
      <c r="B6618" s="82"/>
      <c r="C6618" s="82"/>
    </row>
    <row r="6619" spans="1:3" x14ac:dyDescent="0.2">
      <c r="A6619" s="82"/>
      <c r="B6619" s="82"/>
      <c r="C6619" s="82"/>
    </row>
    <row r="6620" spans="1:3" x14ac:dyDescent="0.2">
      <c r="A6620" s="82"/>
      <c r="B6620" s="82"/>
      <c r="C6620" s="82"/>
    </row>
    <row r="6621" spans="1:3" x14ac:dyDescent="0.2">
      <c r="A6621" s="82"/>
      <c r="B6621" s="82"/>
      <c r="C6621" s="82"/>
    </row>
    <row r="6622" spans="1:3" x14ac:dyDescent="0.2">
      <c r="A6622" s="82"/>
      <c r="B6622" s="82"/>
      <c r="C6622" s="82"/>
    </row>
    <row r="6623" spans="1:3" x14ac:dyDescent="0.2">
      <c r="A6623" s="82"/>
      <c r="B6623" s="82"/>
      <c r="C6623" s="82"/>
    </row>
    <row r="6624" spans="1:3" x14ac:dyDescent="0.2">
      <c r="A6624" s="82"/>
      <c r="B6624" s="82"/>
      <c r="C6624" s="82"/>
    </row>
    <row r="6625" spans="1:3" x14ac:dyDescent="0.2">
      <c r="A6625" s="82"/>
      <c r="B6625" s="82"/>
      <c r="C6625" s="82"/>
    </row>
    <row r="6626" spans="1:3" x14ac:dyDescent="0.2">
      <c r="A6626" s="82"/>
      <c r="B6626" s="82"/>
      <c r="C6626" s="82"/>
    </row>
    <row r="6627" spans="1:3" x14ac:dyDescent="0.2">
      <c r="A6627" s="82"/>
      <c r="B6627" s="82"/>
      <c r="C6627" s="82"/>
    </row>
    <row r="6628" spans="1:3" x14ac:dyDescent="0.2">
      <c r="A6628" s="82"/>
      <c r="B6628" s="82"/>
      <c r="C6628" s="82"/>
    </row>
    <row r="6629" spans="1:3" x14ac:dyDescent="0.2">
      <c r="A6629" s="82"/>
      <c r="B6629" s="82"/>
      <c r="C6629" s="82"/>
    </row>
    <row r="6630" spans="1:3" x14ac:dyDescent="0.2">
      <c r="A6630" s="82"/>
      <c r="B6630" s="82"/>
      <c r="C6630" s="82"/>
    </row>
    <row r="6631" spans="1:3" x14ac:dyDescent="0.2">
      <c r="A6631" s="82"/>
      <c r="B6631" s="82"/>
      <c r="C6631" s="82"/>
    </row>
    <row r="6632" spans="1:3" x14ac:dyDescent="0.2">
      <c r="A6632" s="82"/>
      <c r="B6632" s="82"/>
      <c r="C6632" s="82"/>
    </row>
    <row r="6633" spans="1:3" x14ac:dyDescent="0.2">
      <c r="A6633" s="82"/>
      <c r="B6633" s="82"/>
      <c r="C6633" s="82"/>
    </row>
    <row r="6634" spans="1:3" x14ac:dyDescent="0.2">
      <c r="A6634" s="82"/>
      <c r="B6634" s="82"/>
      <c r="C6634" s="82"/>
    </row>
    <row r="6635" spans="1:3" x14ac:dyDescent="0.2">
      <c r="A6635" s="82"/>
      <c r="B6635" s="82"/>
      <c r="C6635" s="82"/>
    </row>
    <row r="6636" spans="1:3" x14ac:dyDescent="0.2">
      <c r="A6636" s="82"/>
      <c r="B6636" s="82"/>
      <c r="C6636" s="82"/>
    </row>
    <row r="6637" spans="1:3" x14ac:dyDescent="0.2">
      <c r="A6637" s="82"/>
      <c r="B6637" s="82"/>
      <c r="C6637" s="82"/>
    </row>
    <row r="6638" spans="1:3" x14ac:dyDescent="0.2">
      <c r="A6638" s="82"/>
      <c r="B6638" s="82"/>
      <c r="C6638" s="82"/>
    </row>
    <row r="6639" spans="1:3" x14ac:dyDescent="0.2">
      <c r="A6639" s="82"/>
      <c r="B6639" s="82"/>
      <c r="C6639" s="82"/>
    </row>
    <row r="6640" spans="1:3" x14ac:dyDescent="0.2">
      <c r="A6640" s="82"/>
      <c r="B6640" s="82"/>
      <c r="C6640" s="82"/>
    </row>
    <row r="6641" spans="1:3" x14ac:dyDescent="0.2">
      <c r="A6641" s="82"/>
      <c r="B6641" s="82"/>
      <c r="C6641" s="82"/>
    </row>
    <row r="6642" spans="1:3" x14ac:dyDescent="0.2">
      <c r="A6642" s="82"/>
      <c r="B6642" s="82"/>
      <c r="C6642" s="82"/>
    </row>
    <row r="6643" spans="1:3" x14ac:dyDescent="0.2">
      <c r="A6643" s="82"/>
      <c r="B6643" s="82"/>
      <c r="C6643" s="82"/>
    </row>
    <row r="6644" spans="1:3" x14ac:dyDescent="0.2">
      <c r="A6644" s="82"/>
      <c r="B6644" s="82"/>
      <c r="C6644" s="82"/>
    </row>
    <row r="6645" spans="1:3" x14ac:dyDescent="0.2">
      <c r="A6645" s="82"/>
      <c r="B6645" s="82"/>
      <c r="C6645" s="82"/>
    </row>
    <row r="6646" spans="1:3" x14ac:dyDescent="0.2">
      <c r="A6646" s="82"/>
      <c r="B6646" s="82"/>
      <c r="C6646" s="82"/>
    </row>
    <row r="6647" spans="1:3" x14ac:dyDescent="0.2">
      <c r="A6647" s="82"/>
      <c r="B6647" s="82"/>
      <c r="C6647" s="82"/>
    </row>
    <row r="6648" spans="1:3" x14ac:dyDescent="0.2">
      <c r="A6648" s="82"/>
      <c r="B6648" s="82"/>
      <c r="C6648" s="82"/>
    </row>
    <row r="6649" spans="1:3" x14ac:dyDescent="0.2">
      <c r="A6649" s="82"/>
      <c r="B6649" s="82"/>
      <c r="C6649" s="82"/>
    </row>
    <row r="6650" spans="1:3" x14ac:dyDescent="0.2">
      <c r="A6650" s="82"/>
      <c r="B6650" s="82"/>
      <c r="C6650" s="82"/>
    </row>
    <row r="6651" spans="1:3" x14ac:dyDescent="0.2">
      <c r="A6651" s="82"/>
      <c r="B6651" s="82"/>
      <c r="C6651" s="82"/>
    </row>
    <row r="6652" spans="1:3" x14ac:dyDescent="0.2">
      <c r="A6652" s="82"/>
      <c r="B6652" s="82"/>
      <c r="C6652" s="82"/>
    </row>
    <row r="6653" spans="1:3" x14ac:dyDescent="0.2">
      <c r="A6653" s="82"/>
      <c r="B6653" s="82"/>
      <c r="C6653" s="82"/>
    </row>
    <row r="6654" spans="1:3" x14ac:dyDescent="0.2">
      <c r="A6654" s="82"/>
      <c r="B6654" s="82"/>
      <c r="C6654" s="82"/>
    </row>
    <row r="6655" spans="1:3" x14ac:dyDescent="0.2">
      <c r="A6655" s="82"/>
      <c r="B6655" s="82"/>
      <c r="C6655" s="82"/>
    </row>
    <row r="6656" spans="1:3" x14ac:dyDescent="0.2">
      <c r="A6656" s="82"/>
      <c r="B6656" s="82"/>
      <c r="C6656" s="82"/>
    </row>
    <row r="6657" spans="1:3" x14ac:dyDescent="0.2">
      <c r="A6657" s="82"/>
      <c r="B6657" s="82"/>
      <c r="C6657" s="82"/>
    </row>
    <row r="6658" spans="1:3" x14ac:dyDescent="0.2">
      <c r="A6658" s="82"/>
      <c r="B6658" s="82"/>
      <c r="C6658" s="82"/>
    </row>
    <row r="6659" spans="1:3" x14ac:dyDescent="0.2">
      <c r="A6659" s="82"/>
      <c r="B6659" s="82"/>
      <c r="C6659" s="82"/>
    </row>
    <row r="6660" spans="1:3" x14ac:dyDescent="0.2">
      <c r="A6660" s="82"/>
      <c r="B6660" s="82"/>
      <c r="C6660" s="82"/>
    </row>
    <row r="6661" spans="1:3" x14ac:dyDescent="0.2">
      <c r="A6661" s="82"/>
      <c r="B6661" s="82"/>
      <c r="C6661" s="82"/>
    </row>
    <row r="6662" spans="1:3" x14ac:dyDescent="0.2">
      <c r="A6662" s="82"/>
      <c r="B6662" s="82"/>
      <c r="C6662" s="82"/>
    </row>
    <row r="6663" spans="1:3" x14ac:dyDescent="0.2">
      <c r="A6663" s="82"/>
      <c r="B6663" s="82"/>
      <c r="C6663" s="82"/>
    </row>
    <row r="6664" spans="1:3" x14ac:dyDescent="0.2">
      <c r="A6664" s="82"/>
      <c r="B6664" s="82"/>
      <c r="C6664" s="82"/>
    </row>
    <row r="6665" spans="1:3" x14ac:dyDescent="0.2">
      <c r="A6665" s="82"/>
      <c r="B6665" s="82"/>
      <c r="C6665" s="82"/>
    </row>
    <row r="6666" spans="1:3" x14ac:dyDescent="0.2">
      <c r="A6666" s="82"/>
      <c r="B6666" s="82"/>
      <c r="C6666" s="82"/>
    </row>
    <row r="6667" spans="1:3" x14ac:dyDescent="0.2">
      <c r="A6667" s="82"/>
      <c r="B6667" s="82"/>
      <c r="C6667" s="82"/>
    </row>
    <row r="6668" spans="1:3" x14ac:dyDescent="0.2">
      <c r="A6668" s="82"/>
      <c r="B6668" s="82"/>
      <c r="C6668" s="82"/>
    </row>
    <row r="6669" spans="1:3" x14ac:dyDescent="0.2">
      <c r="A6669" s="82"/>
      <c r="B6669" s="82"/>
      <c r="C6669" s="82"/>
    </row>
    <row r="6670" spans="1:3" x14ac:dyDescent="0.2">
      <c r="A6670" s="82"/>
      <c r="B6670" s="82"/>
      <c r="C6670" s="82"/>
    </row>
    <row r="6671" spans="1:3" x14ac:dyDescent="0.2">
      <c r="A6671" s="82"/>
      <c r="B6671" s="82"/>
      <c r="C6671" s="82"/>
    </row>
    <row r="6672" spans="1:3" x14ac:dyDescent="0.2">
      <c r="A6672" s="82"/>
      <c r="B6672" s="82"/>
      <c r="C6672" s="82"/>
    </row>
    <row r="6673" spans="1:3" x14ac:dyDescent="0.2">
      <c r="A6673" s="82"/>
      <c r="B6673" s="82"/>
      <c r="C6673" s="82"/>
    </row>
    <row r="6674" spans="1:3" x14ac:dyDescent="0.2">
      <c r="A6674" s="82"/>
      <c r="B6674" s="82"/>
      <c r="C6674" s="82"/>
    </row>
    <row r="6675" spans="1:3" x14ac:dyDescent="0.2">
      <c r="A6675" s="82"/>
      <c r="B6675" s="82"/>
      <c r="C6675" s="82"/>
    </row>
    <row r="6676" spans="1:3" x14ac:dyDescent="0.2">
      <c r="A6676" s="82"/>
      <c r="B6676" s="82"/>
      <c r="C6676" s="82"/>
    </row>
    <row r="6677" spans="1:3" x14ac:dyDescent="0.2">
      <c r="A6677" s="82"/>
      <c r="B6677" s="82"/>
      <c r="C6677" s="82"/>
    </row>
    <row r="6678" spans="1:3" x14ac:dyDescent="0.2">
      <c r="A6678" s="82"/>
      <c r="B6678" s="82"/>
      <c r="C6678" s="82"/>
    </row>
    <row r="6679" spans="1:3" x14ac:dyDescent="0.2">
      <c r="A6679" s="82"/>
      <c r="B6679" s="82"/>
      <c r="C6679" s="82"/>
    </row>
    <row r="6680" spans="1:3" x14ac:dyDescent="0.2">
      <c r="A6680" s="82"/>
      <c r="B6680" s="82"/>
      <c r="C6680" s="82"/>
    </row>
    <row r="6681" spans="1:3" x14ac:dyDescent="0.2">
      <c r="A6681" s="82"/>
      <c r="B6681" s="82"/>
      <c r="C6681" s="82"/>
    </row>
    <row r="6682" spans="1:3" x14ac:dyDescent="0.2">
      <c r="A6682" s="82"/>
      <c r="B6682" s="82"/>
      <c r="C6682" s="82"/>
    </row>
    <row r="6683" spans="1:3" x14ac:dyDescent="0.2">
      <c r="A6683" s="82"/>
      <c r="B6683" s="82"/>
      <c r="C6683" s="82"/>
    </row>
    <row r="6684" spans="1:3" x14ac:dyDescent="0.2">
      <c r="A6684" s="82"/>
      <c r="B6684" s="82"/>
      <c r="C6684" s="82"/>
    </row>
    <row r="6685" spans="1:3" x14ac:dyDescent="0.2">
      <c r="A6685" s="82"/>
      <c r="B6685" s="82"/>
      <c r="C6685" s="82"/>
    </row>
    <row r="6686" spans="1:3" x14ac:dyDescent="0.2">
      <c r="A6686" s="82"/>
      <c r="B6686" s="82"/>
      <c r="C6686" s="82"/>
    </row>
    <row r="6687" spans="1:3" x14ac:dyDescent="0.2">
      <c r="A6687" s="82"/>
      <c r="B6687" s="82"/>
      <c r="C6687" s="82"/>
    </row>
    <row r="6688" spans="1:3" x14ac:dyDescent="0.2">
      <c r="A6688" s="82"/>
      <c r="B6688" s="82"/>
      <c r="C6688" s="82"/>
    </row>
    <row r="6689" spans="1:3" x14ac:dyDescent="0.2">
      <c r="A6689" s="82"/>
      <c r="B6689" s="82"/>
      <c r="C6689" s="82"/>
    </row>
    <row r="6690" spans="1:3" x14ac:dyDescent="0.2">
      <c r="A6690" s="82"/>
      <c r="B6690" s="82"/>
      <c r="C6690" s="82"/>
    </row>
    <row r="6691" spans="1:3" x14ac:dyDescent="0.2">
      <c r="A6691" s="82"/>
      <c r="B6691" s="82"/>
      <c r="C6691" s="82"/>
    </row>
    <row r="6692" spans="1:3" x14ac:dyDescent="0.2">
      <c r="A6692" s="82"/>
      <c r="B6692" s="82"/>
      <c r="C6692" s="82"/>
    </row>
    <row r="6693" spans="1:3" x14ac:dyDescent="0.2">
      <c r="A6693" s="82"/>
      <c r="B6693" s="82"/>
      <c r="C6693" s="82"/>
    </row>
    <row r="6694" spans="1:3" x14ac:dyDescent="0.2">
      <c r="A6694" s="82"/>
      <c r="B6694" s="82"/>
      <c r="C6694" s="82"/>
    </row>
    <row r="6695" spans="1:3" x14ac:dyDescent="0.2">
      <c r="A6695" s="82"/>
      <c r="B6695" s="82"/>
      <c r="C6695" s="82"/>
    </row>
    <row r="6696" spans="1:3" x14ac:dyDescent="0.2">
      <c r="A6696" s="82"/>
      <c r="B6696" s="82"/>
      <c r="C6696" s="82"/>
    </row>
    <row r="6697" spans="1:3" x14ac:dyDescent="0.2">
      <c r="A6697" s="82"/>
      <c r="B6697" s="82"/>
      <c r="C6697" s="82"/>
    </row>
    <row r="6698" spans="1:3" x14ac:dyDescent="0.2">
      <c r="A6698" s="82"/>
      <c r="B6698" s="82"/>
      <c r="C6698" s="82"/>
    </row>
    <row r="6699" spans="1:3" x14ac:dyDescent="0.2">
      <c r="A6699" s="82"/>
      <c r="B6699" s="82"/>
      <c r="C6699" s="82"/>
    </row>
    <row r="6700" spans="1:3" x14ac:dyDescent="0.2">
      <c r="A6700" s="82"/>
      <c r="B6700" s="82"/>
      <c r="C6700" s="82"/>
    </row>
    <row r="6701" spans="1:3" x14ac:dyDescent="0.2">
      <c r="A6701" s="82"/>
      <c r="B6701" s="82"/>
      <c r="C6701" s="82"/>
    </row>
    <row r="6702" spans="1:3" x14ac:dyDescent="0.2">
      <c r="A6702" s="82"/>
      <c r="B6702" s="82"/>
      <c r="C6702" s="82"/>
    </row>
    <row r="6703" spans="1:3" x14ac:dyDescent="0.2">
      <c r="A6703" s="82"/>
      <c r="B6703" s="82"/>
      <c r="C6703" s="82"/>
    </row>
    <row r="6704" spans="1:3" x14ac:dyDescent="0.2">
      <c r="A6704" s="82"/>
      <c r="B6704" s="82"/>
      <c r="C6704" s="82"/>
    </row>
    <row r="6705" spans="1:3" x14ac:dyDescent="0.2">
      <c r="A6705" s="82"/>
      <c r="B6705" s="82"/>
      <c r="C6705" s="82"/>
    </row>
    <row r="6706" spans="1:3" x14ac:dyDescent="0.2">
      <c r="A6706" s="82"/>
      <c r="B6706" s="82"/>
      <c r="C6706" s="82"/>
    </row>
    <row r="6707" spans="1:3" x14ac:dyDescent="0.2">
      <c r="A6707" s="82"/>
      <c r="B6707" s="82"/>
      <c r="C6707" s="82"/>
    </row>
    <row r="6708" spans="1:3" x14ac:dyDescent="0.2">
      <c r="A6708" s="82"/>
      <c r="B6708" s="82"/>
      <c r="C6708" s="82"/>
    </row>
    <row r="6709" spans="1:3" x14ac:dyDescent="0.2">
      <c r="A6709" s="82"/>
      <c r="B6709" s="82"/>
      <c r="C6709" s="82"/>
    </row>
    <row r="6710" spans="1:3" x14ac:dyDescent="0.2">
      <c r="A6710" s="82"/>
      <c r="B6710" s="82"/>
      <c r="C6710" s="82"/>
    </row>
    <row r="6711" spans="1:3" x14ac:dyDescent="0.2">
      <c r="A6711" s="82"/>
      <c r="B6711" s="82"/>
      <c r="C6711" s="82"/>
    </row>
    <row r="6712" spans="1:3" x14ac:dyDescent="0.2">
      <c r="A6712" s="82"/>
      <c r="B6712" s="82"/>
      <c r="C6712" s="82"/>
    </row>
    <row r="6713" spans="1:3" x14ac:dyDescent="0.2">
      <c r="A6713" s="82"/>
      <c r="B6713" s="82"/>
      <c r="C6713" s="82"/>
    </row>
    <row r="6714" spans="1:3" x14ac:dyDescent="0.2">
      <c r="A6714" s="82"/>
      <c r="B6714" s="82"/>
      <c r="C6714" s="82"/>
    </row>
    <row r="6715" spans="1:3" x14ac:dyDescent="0.2">
      <c r="A6715" s="82"/>
      <c r="B6715" s="82"/>
      <c r="C6715" s="82"/>
    </row>
    <row r="6716" spans="1:3" x14ac:dyDescent="0.2">
      <c r="A6716" s="82"/>
      <c r="B6716" s="82"/>
      <c r="C6716" s="82"/>
    </row>
    <row r="6717" spans="1:3" x14ac:dyDescent="0.2">
      <c r="A6717" s="82"/>
      <c r="B6717" s="82"/>
      <c r="C6717" s="82"/>
    </row>
    <row r="6718" spans="1:3" x14ac:dyDescent="0.2">
      <c r="A6718" s="82"/>
      <c r="B6718" s="82"/>
      <c r="C6718" s="82"/>
    </row>
    <row r="6719" spans="1:3" x14ac:dyDescent="0.2">
      <c r="A6719" s="82"/>
      <c r="B6719" s="82"/>
      <c r="C6719" s="82"/>
    </row>
    <row r="6720" spans="1:3" x14ac:dyDescent="0.2">
      <c r="A6720" s="82"/>
      <c r="B6720" s="82"/>
      <c r="C6720" s="82"/>
    </row>
    <row r="6721" spans="1:3" x14ac:dyDescent="0.2">
      <c r="A6721" s="82"/>
      <c r="B6721" s="82"/>
      <c r="C6721" s="82"/>
    </row>
    <row r="6722" spans="1:3" x14ac:dyDescent="0.2">
      <c r="A6722" s="82"/>
      <c r="B6722" s="82"/>
      <c r="C6722" s="82"/>
    </row>
    <row r="6723" spans="1:3" x14ac:dyDescent="0.2">
      <c r="A6723" s="82"/>
      <c r="B6723" s="82"/>
      <c r="C6723" s="82"/>
    </row>
    <row r="6724" spans="1:3" x14ac:dyDescent="0.2">
      <c r="A6724" s="82"/>
      <c r="B6724" s="82"/>
      <c r="C6724" s="82"/>
    </row>
    <row r="6725" spans="1:3" x14ac:dyDescent="0.2">
      <c r="A6725" s="82"/>
      <c r="B6725" s="82"/>
      <c r="C6725" s="82"/>
    </row>
    <row r="6726" spans="1:3" x14ac:dyDescent="0.2">
      <c r="A6726" s="82"/>
      <c r="B6726" s="82"/>
      <c r="C6726" s="82"/>
    </row>
    <row r="6727" spans="1:3" x14ac:dyDescent="0.2">
      <c r="A6727" s="82"/>
      <c r="B6727" s="82"/>
      <c r="C6727" s="82"/>
    </row>
    <row r="6728" spans="1:3" x14ac:dyDescent="0.2">
      <c r="A6728" s="82"/>
      <c r="B6728" s="82"/>
      <c r="C6728" s="82"/>
    </row>
    <row r="6729" spans="1:3" x14ac:dyDescent="0.2">
      <c r="A6729" s="82"/>
      <c r="B6729" s="82"/>
      <c r="C6729" s="82"/>
    </row>
    <row r="6730" spans="1:3" x14ac:dyDescent="0.2">
      <c r="A6730" s="82"/>
      <c r="B6730" s="82"/>
      <c r="C6730" s="82"/>
    </row>
    <row r="6731" spans="1:3" x14ac:dyDescent="0.2">
      <c r="A6731" s="82"/>
      <c r="B6731" s="82"/>
      <c r="C6731" s="82"/>
    </row>
    <row r="6732" spans="1:3" x14ac:dyDescent="0.2">
      <c r="A6732" s="82"/>
      <c r="B6732" s="82"/>
      <c r="C6732" s="82"/>
    </row>
    <row r="6733" spans="1:3" x14ac:dyDescent="0.2">
      <c r="A6733" s="82"/>
      <c r="B6733" s="82"/>
      <c r="C6733" s="82"/>
    </row>
    <row r="6734" spans="1:3" x14ac:dyDescent="0.2">
      <c r="A6734" s="82"/>
      <c r="B6734" s="82"/>
      <c r="C6734" s="82"/>
    </row>
    <row r="6735" spans="1:3" x14ac:dyDescent="0.2">
      <c r="A6735" s="82"/>
      <c r="B6735" s="82"/>
      <c r="C6735" s="82"/>
    </row>
    <row r="6736" spans="1:3" x14ac:dyDescent="0.2">
      <c r="A6736" s="82"/>
      <c r="B6736" s="82"/>
      <c r="C6736" s="82"/>
    </row>
    <row r="6737" spans="1:3" x14ac:dyDescent="0.2">
      <c r="A6737" s="82"/>
      <c r="B6737" s="82"/>
      <c r="C6737" s="82"/>
    </row>
    <row r="6738" spans="1:3" x14ac:dyDescent="0.2">
      <c r="A6738" s="82"/>
      <c r="B6738" s="82"/>
      <c r="C6738" s="82"/>
    </row>
    <row r="6739" spans="1:3" x14ac:dyDescent="0.2">
      <c r="A6739" s="82"/>
      <c r="B6739" s="82"/>
      <c r="C6739" s="82"/>
    </row>
    <row r="6740" spans="1:3" x14ac:dyDescent="0.2">
      <c r="A6740" s="82"/>
      <c r="B6740" s="82"/>
      <c r="C6740" s="82"/>
    </row>
    <row r="6741" spans="1:3" x14ac:dyDescent="0.2">
      <c r="A6741" s="82"/>
      <c r="B6741" s="82"/>
      <c r="C6741" s="82"/>
    </row>
    <row r="6742" spans="1:3" x14ac:dyDescent="0.2">
      <c r="A6742" s="82"/>
      <c r="B6742" s="82"/>
      <c r="C6742" s="82"/>
    </row>
    <row r="6743" spans="1:3" x14ac:dyDescent="0.2">
      <c r="A6743" s="82"/>
      <c r="B6743" s="82"/>
      <c r="C6743" s="82"/>
    </row>
    <row r="6744" spans="1:3" x14ac:dyDescent="0.2">
      <c r="A6744" s="82"/>
      <c r="B6744" s="82"/>
      <c r="C6744" s="82"/>
    </row>
    <row r="6745" spans="1:3" x14ac:dyDescent="0.2">
      <c r="A6745" s="82"/>
      <c r="B6745" s="82"/>
      <c r="C6745" s="82"/>
    </row>
    <row r="6746" spans="1:3" x14ac:dyDescent="0.2">
      <c r="A6746" s="82"/>
      <c r="B6746" s="82"/>
      <c r="C6746" s="82"/>
    </row>
    <row r="6747" spans="1:3" x14ac:dyDescent="0.2">
      <c r="A6747" s="82"/>
      <c r="B6747" s="82"/>
      <c r="C6747" s="82"/>
    </row>
    <row r="6748" spans="1:3" x14ac:dyDescent="0.2">
      <c r="A6748" s="82"/>
      <c r="B6748" s="82"/>
      <c r="C6748" s="82"/>
    </row>
    <row r="6749" spans="1:3" x14ac:dyDescent="0.2">
      <c r="A6749" s="82"/>
      <c r="B6749" s="82"/>
      <c r="C6749" s="82"/>
    </row>
    <row r="6750" spans="1:3" x14ac:dyDescent="0.2">
      <c r="A6750" s="82"/>
      <c r="B6750" s="82"/>
      <c r="C6750" s="82"/>
    </row>
    <row r="6751" spans="1:3" x14ac:dyDescent="0.2">
      <c r="A6751" s="82"/>
      <c r="B6751" s="82"/>
      <c r="C6751" s="82"/>
    </row>
    <row r="6752" spans="1:3" x14ac:dyDescent="0.2">
      <c r="A6752" s="82"/>
      <c r="B6752" s="82"/>
      <c r="C6752" s="82"/>
    </row>
    <row r="6753" spans="1:3" x14ac:dyDescent="0.2">
      <c r="A6753" s="82"/>
      <c r="B6753" s="82"/>
      <c r="C6753" s="82"/>
    </row>
    <row r="6754" spans="1:3" x14ac:dyDescent="0.2">
      <c r="A6754" s="82"/>
      <c r="B6754" s="82"/>
      <c r="C6754" s="82"/>
    </row>
    <row r="6755" spans="1:3" x14ac:dyDescent="0.2">
      <c r="A6755" s="82"/>
      <c r="B6755" s="82"/>
      <c r="C6755" s="82"/>
    </row>
    <row r="6756" spans="1:3" x14ac:dyDescent="0.2">
      <c r="A6756" s="82"/>
      <c r="B6756" s="82"/>
      <c r="C6756" s="82"/>
    </row>
    <row r="6757" spans="1:3" x14ac:dyDescent="0.2">
      <c r="A6757" s="82"/>
      <c r="B6757" s="82"/>
      <c r="C6757" s="82"/>
    </row>
    <row r="6758" spans="1:3" x14ac:dyDescent="0.2">
      <c r="A6758" s="82"/>
      <c r="B6758" s="82"/>
      <c r="C6758" s="82"/>
    </row>
    <row r="6759" spans="1:3" x14ac:dyDescent="0.2">
      <c r="A6759" s="82"/>
      <c r="B6759" s="82"/>
      <c r="C6759" s="82"/>
    </row>
    <row r="6760" spans="1:3" x14ac:dyDescent="0.2">
      <c r="A6760" s="82"/>
      <c r="B6760" s="82"/>
      <c r="C6760" s="82"/>
    </row>
    <row r="6761" spans="1:3" x14ac:dyDescent="0.2">
      <c r="A6761" s="82"/>
      <c r="B6761" s="82"/>
      <c r="C6761" s="82"/>
    </row>
    <row r="6762" spans="1:3" x14ac:dyDescent="0.2">
      <c r="A6762" s="82"/>
      <c r="B6762" s="82"/>
      <c r="C6762" s="82"/>
    </row>
    <row r="6763" spans="1:3" x14ac:dyDescent="0.2">
      <c r="A6763" s="82"/>
      <c r="B6763" s="82"/>
      <c r="C6763" s="82"/>
    </row>
    <row r="6764" spans="1:3" x14ac:dyDescent="0.2">
      <c r="A6764" s="82"/>
      <c r="B6764" s="82"/>
      <c r="C6764" s="82"/>
    </row>
    <row r="6765" spans="1:3" x14ac:dyDescent="0.2">
      <c r="A6765" s="82"/>
      <c r="B6765" s="82"/>
      <c r="C6765" s="82"/>
    </row>
    <row r="6766" spans="1:3" x14ac:dyDescent="0.2">
      <c r="A6766" s="82"/>
      <c r="B6766" s="82"/>
      <c r="C6766" s="82"/>
    </row>
    <row r="6767" spans="1:3" x14ac:dyDescent="0.2">
      <c r="A6767" s="82"/>
      <c r="B6767" s="82"/>
      <c r="C6767" s="82"/>
    </row>
    <row r="6768" spans="1:3" x14ac:dyDescent="0.2">
      <c r="A6768" s="82"/>
      <c r="B6768" s="82"/>
      <c r="C6768" s="82"/>
    </row>
    <row r="6769" spans="1:3" x14ac:dyDescent="0.2">
      <c r="A6769" s="82"/>
      <c r="B6769" s="82"/>
      <c r="C6769" s="82"/>
    </row>
    <row r="6770" spans="1:3" x14ac:dyDescent="0.2">
      <c r="A6770" s="82"/>
      <c r="B6770" s="82"/>
      <c r="C6770" s="82"/>
    </row>
    <row r="6771" spans="1:3" x14ac:dyDescent="0.2">
      <c r="A6771" s="82"/>
      <c r="B6771" s="82"/>
      <c r="C6771" s="82"/>
    </row>
    <row r="6772" spans="1:3" x14ac:dyDescent="0.2">
      <c r="A6772" s="82"/>
      <c r="B6772" s="82"/>
      <c r="C6772" s="82"/>
    </row>
    <row r="6773" spans="1:3" x14ac:dyDescent="0.2">
      <c r="A6773" s="82"/>
      <c r="B6773" s="82"/>
      <c r="C6773" s="82"/>
    </row>
    <row r="6774" spans="1:3" x14ac:dyDescent="0.2">
      <c r="A6774" s="82"/>
      <c r="B6774" s="82"/>
      <c r="C6774" s="82"/>
    </row>
    <row r="6775" spans="1:3" x14ac:dyDescent="0.2">
      <c r="A6775" s="82"/>
      <c r="B6775" s="82"/>
      <c r="C6775" s="82"/>
    </row>
    <row r="6776" spans="1:3" x14ac:dyDescent="0.2">
      <c r="A6776" s="82"/>
      <c r="B6776" s="82"/>
      <c r="C6776" s="82"/>
    </row>
    <row r="6777" spans="1:3" x14ac:dyDescent="0.2">
      <c r="A6777" s="82"/>
      <c r="B6777" s="82"/>
      <c r="C6777" s="82"/>
    </row>
    <row r="6778" spans="1:3" x14ac:dyDescent="0.2">
      <c r="A6778" s="82"/>
      <c r="B6778" s="82"/>
      <c r="C6778" s="82"/>
    </row>
    <row r="6779" spans="1:3" x14ac:dyDescent="0.2">
      <c r="A6779" s="82"/>
      <c r="B6779" s="82"/>
      <c r="C6779" s="82"/>
    </row>
    <row r="6780" spans="1:3" x14ac:dyDescent="0.2">
      <c r="A6780" s="82"/>
      <c r="B6780" s="82"/>
      <c r="C6780" s="82"/>
    </row>
    <row r="6781" spans="1:3" x14ac:dyDescent="0.2">
      <c r="A6781" s="82"/>
      <c r="B6781" s="82"/>
      <c r="C6781" s="82"/>
    </row>
    <row r="6782" spans="1:3" x14ac:dyDescent="0.2">
      <c r="A6782" s="82"/>
      <c r="B6782" s="82"/>
      <c r="C6782" s="82"/>
    </row>
    <row r="6783" spans="1:3" x14ac:dyDescent="0.2">
      <c r="A6783" s="82"/>
      <c r="B6783" s="82"/>
      <c r="C6783" s="82"/>
    </row>
    <row r="6784" spans="1:3" x14ac:dyDescent="0.2">
      <c r="A6784" s="82"/>
      <c r="B6784" s="82"/>
      <c r="C6784" s="82"/>
    </row>
    <row r="6785" spans="1:3" x14ac:dyDescent="0.2">
      <c r="A6785" s="82"/>
      <c r="B6785" s="82"/>
      <c r="C6785" s="82"/>
    </row>
    <row r="6786" spans="1:3" x14ac:dyDescent="0.2">
      <c r="A6786" s="82"/>
      <c r="B6786" s="82"/>
      <c r="C6786" s="82"/>
    </row>
    <row r="6787" spans="1:3" x14ac:dyDescent="0.2">
      <c r="A6787" s="82"/>
      <c r="B6787" s="82"/>
      <c r="C6787" s="82"/>
    </row>
    <row r="6788" spans="1:3" x14ac:dyDescent="0.2">
      <c r="A6788" s="82"/>
      <c r="B6788" s="82"/>
      <c r="C6788" s="82"/>
    </row>
    <row r="6789" spans="1:3" x14ac:dyDescent="0.2">
      <c r="A6789" s="82"/>
      <c r="B6789" s="82"/>
      <c r="C6789" s="82"/>
    </row>
    <row r="6790" spans="1:3" x14ac:dyDescent="0.2">
      <c r="A6790" s="82"/>
      <c r="B6790" s="82"/>
      <c r="C6790" s="82"/>
    </row>
    <row r="6791" spans="1:3" x14ac:dyDescent="0.2">
      <c r="A6791" s="82"/>
      <c r="B6791" s="82"/>
      <c r="C6791" s="82"/>
    </row>
    <row r="6792" spans="1:3" x14ac:dyDescent="0.2">
      <c r="A6792" s="82"/>
      <c r="B6792" s="82"/>
      <c r="C6792" s="82"/>
    </row>
    <row r="6793" spans="1:3" x14ac:dyDescent="0.2">
      <c r="A6793" s="82"/>
      <c r="B6793" s="82"/>
      <c r="C6793" s="82"/>
    </row>
    <row r="6794" spans="1:3" x14ac:dyDescent="0.2">
      <c r="A6794" s="82"/>
      <c r="B6794" s="82"/>
      <c r="C6794" s="82"/>
    </row>
    <row r="6795" spans="1:3" x14ac:dyDescent="0.2">
      <c r="A6795" s="82"/>
      <c r="B6795" s="82"/>
      <c r="C6795" s="82"/>
    </row>
    <row r="6796" spans="1:3" x14ac:dyDescent="0.2">
      <c r="A6796" s="82"/>
      <c r="B6796" s="82"/>
      <c r="C6796" s="82"/>
    </row>
    <row r="6797" spans="1:3" x14ac:dyDescent="0.2">
      <c r="A6797" s="82"/>
      <c r="B6797" s="82"/>
      <c r="C6797" s="82"/>
    </row>
    <row r="6798" spans="1:3" x14ac:dyDescent="0.2">
      <c r="A6798" s="82"/>
      <c r="B6798" s="82"/>
      <c r="C6798" s="82"/>
    </row>
    <row r="6799" spans="1:3" x14ac:dyDescent="0.2">
      <c r="A6799" s="82"/>
      <c r="B6799" s="82"/>
      <c r="C6799" s="82"/>
    </row>
    <row r="6800" spans="1:3" x14ac:dyDescent="0.2">
      <c r="A6800" s="82"/>
      <c r="B6800" s="82"/>
      <c r="C6800" s="82"/>
    </row>
    <row r="6801" spans="1:3" x14ac:dyDescent="0.2">
      <c r="A6801" s="82"/>
      <c r="B6801" s="82"/>
      <c r="C6801" s="82"/>
    </row>
    <row r="6802" spans="1:3" x14ac:dyDescent="0.2">
      <c r="A6802" s="82"/>
      <c r="B6802" s="82"/>
      <c r="C6802" s="82"/>
    </row>
    <row r="6803" spans="1:3" x14ac:dyDescent="0.2">
      <c r="A6803" s="82"/>
      <c r="B6803" s="82"/>
      <c r="C6803" s="82"/>
    </row>
    <row r="6804" spans="1:3" x14ac:dyDescent="0.2">
      <c r="A6804" s="82"/>
      <c r="B6804" s="82"/>
      <c r="C6804" s="82"/>
    </row>
    <row r="6805" spans="1:3" x14ac:dyDescent="0.2">
      <c r="A6805" s="82"/>
      <c r="B6805" s="82"/>
      <c r="C6805" s="82"/>
    </row>
    <row r="6806" spans="1:3" x14ac:dyDescent="0.2">
      <c r="A6806" s="82"/>
      <c r="B6806" s="82"/>
      <c r="C6806" s="82"/>
    </row>
    <row r="6807" spans="1:3" x14ac:dyDescent="0.2">
      <c r="A6807" s="82"/>
      <c r="B6807" s="82"/>
      <c r="C6807" s="82"/>
    </row>
    <row r="6808" spans="1:3" x14ac:dyDescent="0.2">
      <c r="A6808" s="82"/>
      <c r="B6808" s="82"/>
      <c r="C6808" s="82"/>
    </row>
    <row r="6809" spans="1:3" x14ac:dyDescent="0.2">
      <c r="A6809" s="82"/>
      <c r="B6809" s="82"/>
      <c r="C6809" s="82"/>
    </row>
    <row r="6810" spans="1:3" x14ac:dyDescent="0.2">
      <c r="A6810" s="82"/>
      <c r="B6810" s="82"/>
      <c r="C6810" s="82"/>
    </row>
    <row r="6811" spans="1:3" x14ac:dyDescent="0.2">
      <c r="A6811" s="82"/>
      <c r="B6811" s="82"/>
      <c r="C6811" s="82"/>
    </row>
    <row r="6812" spans="1:3" x14ac:dyDescent="0.2">
      <c r="A6812" s="82"/>
      <c r="B6812" s="82"/>
      <c r="C6812" s="82"/>
    </row>
    <row r="6813" spans="1:3" x14ac:dyDescent="0.2">
      <c r="A6813" s="82"/>
      <c r="B6813" s="82"/>
      <c r="C6813" s="82"/>
    </row>
    <row r="6814" spans="1:3" x14ac:dyDescent="0.2">
      <c r="A6814" s="82"/>
      <c r="B6814" s="82"/>
      <c r="C6814" s="82"/>
    </row>
    <row r="6815" spans="1:3" x14ac:dyDescent="0.2">
      <c r="A6815" s="82"/>
      <c r="B6815" s="82"/>
      <c r="C6815" s="82"/>
    </row>
    <row r="6816" spans="1:3" x14ac:dyDescent="0.2">
      <c r="A6816" s="82"/>
      <c r="B6816" s="82"/>
      <c r="C6816" s="82"/>
    </row>
    <row r="6817" spans="1:3" x14ac:dyDescent="0.2">
      <c r="A6817" s="82"/>
      <c r="B6817" s="82"/>
      <c r="C6817" s="82"/>
    </row>
    <row r="6818" spans="1:3" x14ac:dyDescent="0.2">
      <c r="A6818" s="82"/>
      <c r="B6818" s="82"/>
      <c r="C6818" s="82"/>
    </row>
    <row r="6819" spans="1:3" x14ac:dyDescent="0.2">
      <c r="A6819" s="82"/>
      <c r="B6819" s="82"/>
      <c r="C6819" s="82"/>
    </row>
    <row r="6820" spans="1:3" x14ac:dyDescent="0.2">
      <c r="A6820" s="82"/>
      <c r="B6820" s="82"/>
      <c r="C6820" s="82"/>
    </row>
    <row r="6821" spans="1:3" x14ac:dyDescent="0.2">
      <c r="A6821" s="82"/>
      <c r="B6821" s="82"/>
      <c r="C6821" s="82"/>
    </row>
    <row r="6822" spans="1:3" x14ac:dyDescent="0.2">
      <c r="A6822" s="82"/>
      <c r="B6822" s="82"/>
      <c r="C6822" s="82"/>
    </row>
    <row r="6823" spans="1:3" x14ac:dyDescent="0.2">
      <c r="A6823" s="82"/>
      <c r="B6823" s="82"/>
      <c r="C6823" s="82"/>
    </row>
    <row r="6824" spans="1:3" x14ac:dyDescent="0.2">
      <c r="A6824" s="82"/>
      <c r="B6824" s="82"/>
      <c r="C6824" s="82"/>
    </row>
    <row r="6825" spans="1:3" x14ac:dyDescent="0.2">
      <c r="A6825" s="82"/>
      <c r="B6825" s="82"/>
      <c r="C6825" s="82"/>
    </row>
    <row r="6826" spans="1:3" x14ac:dyDescent="0.2">
      <c r="A6826" s="82"/>
      <c r="B6826" s="82"/>
      <c r="C6826" s="82"/>
    </row>
    <row r="6827" spans="1:3" x14ac:dyDescent="0.2">
      <c r="A6827" s="82"/>
      <c r="B6827" s="82"/>
      <c r="C6827" s="82"/>
    </row>
    <row r="6828" spans="1:3" x14ac:dyDescent="0.2">
      <c r="A6828" s="82"/>
      <c r="B6828" s="82"/>
      <c r="C6828" s="82"/>
    </row>
    <row r="6829" spans="1:3" x14ac:dyDescent="0.2">
      <c r="A6829" s="82"/>
      <c r="B6829" s="82"/>
      <c r="C6829" s="82"/>
    </row>
    <row r="6830" spans="1:3" x14ac:dyDescent="0.2">
      <c r="A6830" s="82"/>
      <c r="B6830" s="82"/>
      <c r="C6830" s="82"/>
    </row>
    <row r="6831" spans="1:3" x14ac:dyDescent="0.2">
      <c r="A6831" s="82"/>
      <c r="B6831" s="82"/>
      <c r="C6831" s="82"/>
    </row>
    <row r="6832" spans="1:3" x14ac:dyDescent="0.2">
      <c r="A6832" s="82"/>
      <c r="B6832" s="82"/>
      <c r="C6832" s="82"/>
    </row>
    <row r="6833" spans="1:3" x14ac:dyDescent="0.2">
      <c r="A6833" s="82"/>
      <c r="B6833" s="82"/>
      <c r="C6833" s="82"/>
    </row>
    <row r="6834" spans="1:3" x14ac:dyDescent="0.2">
      <c r="A6834" s="82"/>
      <c r="B6834" s="82"/>
      <c r="C6834" s="82"/>
    </row>
    <row r="6835" spans="1:3" x14ac:dyDescent="0.2">
      <c r="A6835" s="82"/>
      <c r="B6835" s="82"/>
      <c r="C6835" s="82"/>
    </row>
    <row r="6836" spans="1:3" x14ac:dyDescent="0.2">
      <c r="A6836" s="82"/>
      <c r="B6836" s="82"/>
      <c r="C6836" s="82"/>
    </row>
    <row r="6837" spans="1:3" x14ac:dyDescent="0.2">
      <c r="A6837" s="82"/>
      <c r="B6837" s="82"/>
      <c r="C6837" s="82"/>
    </row>
    <row r="6838" spans="1:3" x14ac:dyDescent="0.2">
      <c r="A6838" s="82"/>
      <c r="B6838" s="82"/>
      <c r="C6838" s="82"/>
    </row>
    <row r="6839" spans="1:3" x14ac:dyDescent="0.2">
      <c r="A6839" s="82"/>
      <c r="B6839" s="82"/>
      <c r="C6839" s="82"/>
    </row>
    <row r="6840" spans="1:3" x14ac:dyDescent="0.2">
      <c r="A6840" s="82"/>
      <c r="B6840" s="82"/>
      <c r="C6840" s="82"/>
    </row>
    <row r="6841" spans="1:3" x14ac:dyDescent="0.2">
      <c r="A6841" s="82"/>
      <c r="B6841" s="82"/>
      <c r="C6841" s="82"/>
    </row>
    <row r="6842" spans="1:3" x14ac:dyDescent="0.2">
      <c r="A6842" s="82"/>
      <c r="B6842" s="82"/>
      <c r="C6842" s="82"/>
    </row>
    <row r="6843" spans="1:3" x14ac:dyDescent="0.2">
      <c r="A6843" s="82"/>
      <c r="B6843" s="82"/>
      <c r="C6843" s="82"/>
    </row>
    <row r="6844" spans="1:3" x14ac:dyDescent="0.2">
      <c r="A6844" s="82"/>
      <c r="B6844" s="82"/>
      <c r="C6844" s="82"/>
    </row>
    <row r="6845" spans="1:3" x14ac:dyDescent="0.2">
      <c r="A6845" s="82"/>
      <c r="B6845" s="82"/>
      <c r="C6845" s="82"/>
    </row>
    <row r="6846" spans="1:3" x14ac:dyDescent="0.2">
      <c r="A6846" s="82"/>
      <c r="B6846" s="82"/>
      <c r="C6846" s="82"/>
    </row>
    <row r="6847" spans="1:3" x14ac:dyDescent="0.2">
      <c r="A6847" s="82"/>
      <c r="B6847" s="82"/>
      <c r="C6847" s="82"/>
    </row>
    <row r="6848" spans="1:3" x14ac:dyDescent="0.2">
      <c r="A6848" s="82"/>
      <c r="B6848" s="82"/>
      <c r="C6848" s="82"/>
    </row>
    <row r="6849" spans="1:3" x14ac:dyDescent="0.2">
      <c r="A6849" s="82"/>
      <c r="B6849" s="82"/>
      <c r="C6849" s="82"/>
    </row>
    <row r="6850" spans="1:3" x14ac:dyDescent="0.2">
      <c r="A6850" s="82"/>
      <c r="B6850" s="82"/>
      <c r="C6850" s="82"/>
    </row>
    <row r="6851" spans="1:3" x14ac:dyDescent="0.2">
      <c r="A6851" s="82"/>
      <c r="B6851" s="82"/>
      <c r="C6851" s="82"/>
    </row>
    <row r="6852" spans="1:3" x14ac:dyDescent="0.2">
      <c r="A6852" s="82"/>
      <c r="B6852" s="82"/>
      <c r="C6852" s="82"/>
    </row>
    <row r="6853" spans="1:3" x14ac:dyDescent="0.2">
      <c r="A6853" s="82"/>
      <c r="B6853" s="82"/>
      <c r="C6853" s="82"/>
    </row>
    <row r="6854" spans="1:3" x14ac:dyDescent="0.2">
      <c r="A6854" s="82"/>
      <c r="B6854" s="82"/>
      <c r="C6854" s="82"/>
    </row>
    <row r="6855" spans="1:3" x14ac:dyDescent="0.2">
      <c r="A6855" s="82"/>
      <c r="B6855" s="82"/>
      <c r="C6855" s="82"/>
    </row>
    <row r="6856" spans="1:3" x14ac:dyDescent="0.2">
      <c r="A6856" s="82"/>
      <c r="B6856" s="82"/>
      <c r="C6856" s="82"/>
    </row>
    <row r="6857" spans="1:3" x14ac:dyDescent="0.2">
      <c r="A6857" s="82"/>
      <c r="B6857" s="82"/>
      <c r="C6857" s="82"/>
    </row>
    <row r="6858" spans="1:3" x14ac:dyDescent="0.2">
      <c r="A6858" s="82"/>
      <c r="B6858" s="82"/>
      <c r="C6858" s="82"/>
    </row>
    <row r="6859" spans="1:3" x14ac:dyDescent="0.2">
      <c r="A6859" s="82"/>
      <c r="B6859" s="82"/>
      <c r="C6859" s="82"/>
    </row>
    <row r="6860" spans="1:3" x14ac:dyDescent="0.2">
      <c r="A6860" s="82"/>
      <c r="B6860" s="82"/>
      <c r="C6860" s="82"/>
    </row>
    <row r="6861" spans="1:3" x14ac:dyDescent="0.2">
      <c r="A6861" s="82"/>
      <c r="B6861" s="82"/>
      <c r="C6861" s="82"/>
    </row>
    <row r="6862" spans="1:3" x14ac:dyDescent="0.2">
      <c r="A6862" s="82"/>
      <c r="B6862" s="82"/>
      <c r="C6862" s="82"/>
    </row>
    <row r="6863" spans="1:3" x14ac:dyDescent="0.2">
      <c r="A6863" s="82"/>
      <c r="B6863" s="82"/>
      <c r="C6863" s="82"/>
    </row>
    <row r="6864" spans="1:3" x14ac:dyDescent="0.2">
      <c r="A6864" s="82"/>
      <c r="B6864" s="82"/>
      <c r="C6864" s="82"/>
    </row>
    <row r="6865" spans="1:3" x14ac:dyDescent="0.2">
      <c r="A6865" s="82"/>
      <c r="B6865" s="82"/>
      <c r="C6865" s="82"/>
    </row>
    <row r="6866" spans="1:3" x14ac:dyDescent="0.2">
      <c r="A6866" s="82"/>
      <c r="B6866" s="82"/>
      <c r="C6866" s="82"/>
    </row>
    <row r="6867" spans="1:3" x14ac:dyDescent="0.2">
      <c r="A6867" s="82"/>
      <c r="B6867" s="82"/>
      <c r="C6867" s="82"/>
    </row>
    <row r="6868" spans="1:3" x14ac:dyDescent="0.2">
      <c r="A6868" s="82"/>
      <c r="B6868" s="82"/>
      <c r="C6868" s="82"/>
    </row>
    <row r="6869" spans="1:3" x14ac:dyDescent="0.2">
      <c r="A6869" s="82"/>
      <c r="B6869" s="82"/>
      <c r="C6869" s="82"/>
    </row>
    <row r="6870" spans="1:3" x14ac:dyDescent="0.2">
      <c r="A6870" s="82"/>
      <c r="B6870" s="82"/>
      <c r="C6870" s="82"/>
    </row>
    <row r="6871" spans="1:3" x14ac:dyDescent="0.2">
      <c r="A6871" s="82"/>
      <c r="B6871" s="82"/>
      <c r="C6871" s="82"/>
    </row>
    <row r="6872" spans="1:3" x14ac:dyDescent="0.2">
      <c r="A6872" s="82"/>
      <c r="B6872" s="82"/>
      <c r="C6872" s="82"/>
    </row>
    <row r="6873" spans="1:3" x14ac:dyDescent="0.2">
      <c r="A6873" s="82"/>
      <c r="B6873" s="82"/>
      <c r="C6873" s="82"/>
    </row>
    <row r="6874" spans="1:3" x14ac:dyDescent="0.2">
      <c r="A6874" s="82"/>
      <c r="B6874" s="82"/>
      <c r="C6874" s="82"/>
    </row>
    <row r="6875" spans="1:3" x14ac:dyDescent="0.2">
      <c r="A6875" s="82"/>
      <c r="B6875" s="82"/>
      <c r="C6875" s="82"/>
    </row>
    <row r="6876" spans="1:3" x14ac:dyDescent="0.2">
      <c r="A6876" s="82"/>
      <c r="B6876" s="82"/>
      <c r="C6876" s="82"/>
    </row>
    <row r="6877" spans="1:3" x14ac:dyDescent="0.2">
      <c r="A6877" s="82"/>
      <c r="B6877" s="82"/>
      <c r="C6877" s="82"/>
    </row>
    <row r="6878" spans="1:3" x14ac:dyDescent="0.2">
      <c r="A6878" s="82"/>
      <c r="B6878" s="82"/>
      <c r="C6878" s="82"/>
    </row>
    <row r="6879" spans="1:3" x14ac:dyDescent="0.2">
      <c r="A6879" s="82"/>
      <c r="B6879" s="82"/>
      <c r="C6879" s="82"/>
    </row>
    <row r="6880" spans="1:3" x14ac:dyDescent="0.2">
      <c r="A6880" s="82"/>
      <c r="B6880" s="82"/>
      <c r="C6880" s="82"/>
    </row>
    <row r="6881" spans="1:3" x14ac:dyDescent="0.2">
      <c r="A6881" s="82"/>
      <c r="B6881" s="82"/>
      <c r="C6881" s="82"/>
    </row>
    <row r="6882" spans="1:3" x14ac:dyDescent="0.2">
      <c r="A6882" s="82"/>
      <c r="B6882" s="82"/>
      <c r="C6882" s="82"/>
    </row>
    <row r="6883" spans="1:3" x14ac:dyDescent="0.2">
      <c r="A6883" s="82"/>
      <c r="B6883" s="82"/>
      <c r="C6883" s="82"/>
    </row>
    <row r="6884" spans="1:3" x14ac:dyDescent="0.2">
      <c r="A6884" s="82"/>
      <c r="B6884" s="82"/>
      <c r="C6884" s="82"/>
    </row>
    <row r="6885" spans="1:3" x14ac:dyDescent="0.2">
      <c r="A6885" s="82"/>
      <c r="B6885" s="82"/>
      <c r="C6885" s="82"/>
    </row>
    <row r="6886" spans="1:3" x14ac:dyDescent="0.2">
      <c r="A6886" s="82"/>
      <c r="B6886" s="82"/>
      <c r="C6886" s="82"/>
    </row>
    <row r="6887" spans="1:3" x14ac:dyDescent="0.2">
      <c r="A6887" s="82"/>
      <c r="B6887" s="82"/>
      <c r="C6887" s="82"/>
    </row>
    <row r="6888" spans="1:3" x14ac:dyDescent="0.2">
      <c r="A6888" s="82"/>
      <c r="B6888" s="82"/>
      <c r="C6888" s="82"/>
    </row>
    <row r="6889" spans="1:3" x14ac:dyDescent="0.2">
      <c r="A6889" s="82"/>
      <c r="B6889" s="82"/>
      <c r="C6889" s="82"/>
    </row>
    <row r="6890" spans="1:3" x14ac:dyDescent="0.2">
      <c r="A6890" s="82"/>
      <c r="B6890" s="82"/>
      <c r="C6890" s="82"/>
    </row>
    <row r="6891" spans="1:3" x14ac:dyDescent="0.2">
      <c r="A6891" s="82"/>
      <c r="B6891" s="82"/>
      <c r="C6891" s="82"/>
    </row>
    <row r="6892" spans="1:3" x14ac:dyDescent="0.2">
      <c r="A6892" s="82"/>
      <c r="B6892" s="82"/>
      <c r="C6892" s="82"/>
    </row>
    <row r="6893" spans="1:3" x14ac:dyDescent="0.2">
      <c r="A6893" s="82"/>
      <c r="B6893" s="82"/>
      <c r="C6893" s="82"/>
    </row>
    <row r="6894" spans="1:3" x14ac:dyDescent="0.2">
      <c r="A6894" s="82"/>
      <c r="B6894" s="82"/>
      <c r="C6894" s="82"/>
    </row>
    <row r="6895" spans="1:3" x14ac:dyDescent="0.2">
      <c r="A6895" s="82"/>
      <c r="B6895" s="82"/>
      <c r="C6895" s="82"/>
    </row>
    <row r="6896" spans="1:3" x14ac:dyDescent="0.2">
      <c r="A6896" s="82"/>
      <c r="B6896" s="82"/>
      <c r="C6896" s="82"/>
    </row>
    <row r="6897" spans="1:3" x14ac:dyDescent="0.2">
      <c r="A6897" s="82"/>
      <c r="B6897" s="82"/>
      <c r="C6897" s="82"/>
    </row>
    <row r="6898" spans="1:3" x14ac:dyDescent="0.2">
      <c r="A6898" s="82"/>
      <c r="B6898" s="82"/>
      <c r="C6898" s="82"/>
    </row>
    <row r="6899" spans="1:3" x14ac:dyDescent="0.2">
      <c r="A6899" s="82"/>
      <c r="B6899" s="82"/>
      <c r="C6899" s="82"/>
    </row>
    <row r="6900" spans="1:3" x14ac:dyDescent="0.2">
      <c r="A6900" s="82"/>
      <c r="B6900" s="82"/>
      <c r="C6900" s="82"/>
    </row>
    <row r="6901" spans="1:3" x14ac:dyDescent="0.2">
      <c r="A6901" s="82"/>
      <c r="B6901" s="82"/>
      <c r="C6901" s="82"/>
    </row>
    <row r="6902" spans="1:3" x14ac:dyDescent="0.2">
      <c r="A6902" s="82"/>
      <c r="B6902" s="82"/>
      <c r="C6902" s="82"/>
    </row>
    <row r="6903" spans="1:3" x14ac:dyDescent="0.2">
      <c r="A6903" s="82"/>
      <c r="B6903" s="82"/>
      <c r="C6903" s="82"/>
    </row>
    <row r="6904" spans="1:3" x14ac:dyDescent="0.2">
      <c r="A6904" s="82"/>
      <c r="B6904" s="82"/>
      <c r="C6904" s="82"/>
    </row>
    <row r="6905" spans="1:3" x14ac:dyDescent="0.2">
      <c r="A6905" s="82"/>
      <c r="B6905" s="82"/>
      <c r="C6905" s="82"/>
    </row>
    <row r="6906" spans="1:3" x14ac:dyDescent="0.2">
      <c r="A6906" s="82"/>
      <c r="B6906" s="82"/>
      <c r="C6906" s="82"/>
    </row>
    <row r="6907" spans="1:3" x14ac:dyDescent="0.2">
      <c r="A6907" s="82"/>
      <c r="B6907" s="82"/>
      <c r="C6907" s="82"/>
    </row>
    <row r="6908" spans="1:3" x14ac:dyDescent="0.2">
      <c r="A6908" s="82"/>
      <c r="B6908" s="82"/>
      <c r="C6908" s="82"/>
    </row>
    <row r="6909" spans="1:3" x14ac:dyDescent="0.2">
      <c r="A6909" s="82"/>
      <c r="B6909" s="82"/>
      <c r="C6909" s="82"/>
    </row>
    <row r="6910" spans="1:3" x14ac:dyDescent="0.2">
      <c r="A6910" s="82"/>
      <c r="B6910" s="82"/>
      <c r="C6910" s="82"/>
    </row>
    <row r="6911" spans="1:3" x14ac:dyDescent="0.2">
      <c r="A6911" s="82"/>
      <c r="B6911" s="82"/>
      <c r="C6911" s="82"/>
    </row>
    <row r="6912" spans="1:3" x14ac:dyDescent="0.2">
      <c r="A6912" s="82"/>
      <c r="B6912" s="82"/>
      <c r="C6912" s="82"/>
    </row>
    <row r="6913" spans="1:3" x14ac:dyDescent="0.2">
      <c r="A6913" s="82"/>
      <c r="B6913" s="82"/>
      <c r="C6913" s="82"/>
    </row>
    <row r="6914" spans="1:3" x14ac:dyDescent="0.2">
      <c r="A6914" s="82"/>
      <c r="B6914" s="82"/>
      <c r="C6914" s="82"/>
    </row>
    <row r="6915" spans="1:3" x14ac:dyDescent="0.2">
      <c r="A6915" s="82"/>
      <c r="B6915" s="82"/>
      <c r="C6915" s="82"/>
    </row>
    <row r="6916" spans="1:3" x14ac:dyDescent="0.2">
      <c r="A6916" s="82"/>
      <c r="B6916" s="82"/>
      <c r="C6916" s="82"/>
    </row>
    <row r="6917" spans="1:3" x14ac:dyDescent="0.2">
      <c r="A6917" s="82"/>
      <c r="B6917" s="82"/>
      <c r="C6917" s="82"/>
    </row>
    <row r="6918" spans="1:3" x14ac:dyDescent="0.2">
      <c r="A6918" s="82"/>
      <c r="B6918" s="82"/>
      <c r="C6918" s="82"/>
    </row>
    <row r="6919" spans="1:3" x14ac:dyDescent="0.2">
      <c r="A6919" s="82"/>
      <c r="B6919" s="82"/>
      <c r="C6919" s="82"/>
    </row>
    <row r="6920" spans="1:3" x14ac:dyDescent="0.2">
      <c r="A6920" s="82"/>
      <c r="B6920" s="82"/>
      <c r="C6920" s="82"/>
    </row>
    <row r="6921" spans="1:3" x14ac:dyDescent="0.2">
      <c r="A6921" s="82"/>
      <c r="B6921" s="82"/>
      <c r="C6921" s="82"/>
    </row>
    <row r="6922" spans="1:3" x14ac:dyDescent="0.2">
      <c r="A6922" s="82"/>
      <c r="B6922" s="82"/>
      <c r="C6922" s="82"/>
    </row>
    <row r="6923" spans="1:3" x14ac:dyDescent="0.2">
      <c r="A6923" s="82"/>
      <c r="B6923" s="82"/>
      <c r="C6923" s="82"/>
    </row>
    <row r="6924" spans="1:3" x14ac:dyDescent="0.2">
      <c r="A6924" s="82"/>
      <c r="B6924" s="82"/>
      <c r="C6924" s="82"/>
    </row>
    <row r="6925" spans="1:3" x14ac:dyDescent="0.2">
      <c r="A6925" s="82"/>
      <c r="B6925" s="82"/>
      <c r="C6925" s="82"/>
    </row>
    <row r="6926" spans="1:3" x14ac:dyDescent="0.2">
      <c r="A6926" s="82"/>
      <c r="B6926" s="82"/>
      <c r="C6926" s="82"/>
    </row>
    <row r="6927" spans="1:3" x14ac:dyDescent="0.2">
      <c r="A6927" s="82"/>
      <c r="B6927" s="82"/>
      <c r="C6927" s="82"/>
    </row>
    <row r="6928" spans="1:3" x14ac:dyDescent="0.2">
      <c r="A6928" s="82"/>
      <c r="B6928" s="82"/>
      <c r="C6928" s="82"/>
    </row>
    <row r="6929" spans="1:3" x14ac:dyDescent="0.2">
      <c r="A6929" s="82"/>
      <c r="B6929" s="82"/>
      <c r="C6929" s="82"/>
    </row>
    <row r="6930" spans="1:3" x14ac:dyDescent="0.2">
      <c r="A6930" s="82"/>
      <c r="B6930" s="82"/>
      <c r="C6930" s="82"/>
    </row>
    <row r="6931" spans="1:3" x14ac:dyDescent="0.2">
      <c r="A6931" s="82"/>
      <c r="B6931" s="82"/>
      <c r="C6931" s="82"/>
    </row>
    <row r="6932" spans="1:3" x14ac:dyDescent="0.2">
      <c r="A6932" s="82"/>
      <c r="B6932" s="82"/>
      <c r="C6932" s="82"/>
    </row>
    <row r="6933" spans="1:3" x14ac:dyDescent="0.2">
      <c r="A6933" s="82"/>
      <c r="B6933" s="82"/>
      <c r="C6933" s="82"/>
    </row>
    <row r="6934" spans="1:3" x14ac:dyDescent="0.2">
      <c r="A6934" s="82"/>
      <c r="B6934" s="82"/>
      <c r="C6934" s="82"/>
    </row>
    <row r="6935" spans="1:3" x14ac:dyDescent="0.2">
      <c r="A6935" s="82"/>
      <c r="B6935" s="82"/>
      <c r="C6935" s="82"/>
    </row>
    <row r="6936" spans="1:3" x14ac:dyDescent="0.2">
      <c r="A6936" s="82"/>
      <c r="B6936" s="82"/>
      <c r="C6936" s="82"/>
    </row>
    <row r="6937" spans="1:3" x14ac:dyDescent="0.2">
      <c r="A6937" s="82"/>
      <c r="B6937" s="82"/>
      <c r="C6937" s="82"/>
    </row>
    <row r="6938" spans="1:3" x14ac:dyDescent="0.2">
      <c r="A6938" s="82"/>
      <c r="B6938" s="82"/>
      <c r="C6938" s="82"/>
    </row>
    <row r="6939" spans="1:3" x14ac:dyDescent="0.2">
      <c r="A6939" s="82"/>
      <c r="B6939" s="82"/>
      <c r="C6939" s="82"/>
    </row>
    <row r="6940" spans="1:3" x14ac:dyDescent="0.2">
      <c r="A6940" s="82"/>
      <c r="B6940" s="82"/>
      <c r="C6940" s="82"/>
    </row>
    <row r="6941" spans="1:3" x14ac:dyDescent="0.2">
      <c r="A6941" s="82"/>
      <c r="B6941" s="82"/>
      <c r="C6941" s="82"/>
    </row>
    <row r="6942" spans="1:3" x14ac:dyDescent="0.2">
      <c r="A6942" s="82"/>
      <c r="B6942" s="82"/>
      <c r="C6942" s="82"/>
    </row>
    <row r="6943" spans="1:3" x14ac:dyDescent="0.2">
      <c r="A6943" s="82"/>
      <c r="B6943" s="82"/>
      <c r="C6943" s="82"/>
    </row>
    <row r="6944" spans="1:3" x14ac:dyDescent="0.2">
      <c r="A6944" s="82"/>
      <c r="B6944" s="82"/>
      <c r="C6944" s="82"/>
    </row>
    <row r="6945" spans="1:3" x14ac:dyDescent="0.2">
      <c r="A6945" s="82"/>
      <c r="B6945" s="82"/>
      <c r="C6945" s="82"/>
    </row>
    <row r="6946" spans="1:3" x14ac:dyDescent="0.2">
      <c r="A6946" s="82"/>
      <c r="B6946" s="82"/>
      <c r="C6946" s="82"/>
    </row>
    <row r="6947" spans="1:3" x14ac:dyDescent="0.2">
      <c r="A6947" s="82"/>
      <c r="B6947" s="82"/>
      <c r="C6947" s="82"/>
    </row>
    <row r="6948" spans="1:3" x14ac:dyDescent="0.2">
      <c r="A6948" s="82"/>
      <c r="B6948" s="82"/>
      <c r="C6948" s="82"/>
    </row>
    <row r="6949" spans="1:3" x14ac:dyDescent="0.2">
      <c r="A6949" s="82"/>
      <c r="B6949" s="82"/>
      <c r="C6949" s="82"/>
    </row>
    <row r="6950" spans="1:3" x14ac:dyDescent="0.2">
      <c r="A6950" s="82"/>
      <c r="B6950" s="82"/>
      <c r="C6950" s="82"/>
    </row>
    <row r="6951" spans="1:3" x14ac:dyDescent="0.2">
      <c r="A6951" s="82"/>
      <c r="B6951" s="82"/>
      <c r="C6951" s="82"/>
    </row>
    <row r="6952" spans="1:3" x14ac:dyDescent="0.2">
      <c r="A6952" s="82"/>
      <c r="B6952" s="82"/>
      <c r="C6952" s="82"/>
    </row>
    <row r="6953" spans="1:3" x14ac:dyDescent="0.2">
      <c r="A6953" s="82"/>
      <c r="B6953" s="82"/>
      <c r="C6953" s="82"/>
    </row>
    <row r="6954" spans="1:3" x14ac:dyDescent="0.2">
      <c r="A6954" s="82"/>
      <c r="B6954" s="82"/>
      <c r="C6954" s="82"/>
    </row>
    <row r="6955" spans="1:3" x14ac:dyDescent="0.2">
      <c r="A6955" s="82"/>
      <c r="B6955" s="82"/>
      <c r="C6955" s="82"/>
    </row>
    <row r="6956" spans="1:3" x14ac:dyDescent="0.2">
      <c r="A6956" s="82"/>
      <c r="B6956" s="82"/>
      <c r="C6956" s="82"/>
    </row>
    <row r="6957" spans="1:3" x14ac:dyDescent="0.2">
      <c r="A6957" s="82"/>
      <c r="B6957" s="82"/>
      <c r="C6957" s="82"/>
    </row>
    <row r="6958" spans="1:3" x14ac:dyDescent="0.2">
      <c r="A6958" s="82"/>
      <c r="B6958" s="82"/>
      <c r="C6958" s="82"/>
    </row>
    <row r="6959" spans="1:3" x14ac:dyDescent="0.2">
      <c r="A6959" s="82"/>
      <c r="B6959" s="82"/>
      <c r="C6959" s="82"/>
    </row>
    <row r="6960" spans="1:3" x14ac:dyDescent="0.2">
      <c r="A6960" s="82"/>
      <c r="B6960" s="82"/>
      <c r="C6960" s="82"/>
    </row>
    <row r="6961" spans="1:3" x14ac:dyDescent="0.2">
      <c r="A6961" s="82"/>
      <c r="B6961" s="82"/>
      <c r="C6961" s="82"/>
    </row>
    <row r="6962" spans="1:3" x14ac:dyDescent="0.2">
      <c r="A6962" s="82"/>
      <c r="B6962" s="82"/>
      <c r="C6962" s="82"/>
    </row>
    <row r="6963" spans="1:3" x14ac:dyDescent="0.2">
      <c r="A6963" s="82"/>
      <c r="B6963" s="82"/>
      <c r="C6963" s="82"/>
    </row>
    <row r="6964" spans="1:3" x14ac:dyDescent="0.2">
      <c r="A6964" s="82"/>
      <c r="B6964" s="82"/>
      <c r="C6964" s="82"/>
    </row>
    <row r="6965" spans="1:3" x14ac:dyDescent="0.2">
      <c r="A6965" s="82"/>
      <c r="B6965" s="82"/>
      <c r="C6965" s="82"/>
    </row>
    <row r="6966" spans="1:3" x14ac:dyDescent="0.2">
      <c r="A6966" s="82"/>
      <c r="B6966" s="82"/>
      <c r="C6966" s="82"/>
    </row>
    <row r="6967" spans="1:3" x14ac:dyDescent="0.2">
      <c r="A6967" s="82"/>
      <c r="B6967" s="82"/>
      <c r="C6967" s="82"/>
    </row>
    <row r="6968" spans="1:3" x14ac:dyDescent="0.2">
      <c r="A6968" s="82"/>
      <c r="B6968" s="82"/>
      <c r="C6968" s="82"/>
    </row>
    <row r="6969" spans="1:3" x14ac:dyDescent="0.2">
      <c r="A6969" s="82"/>
      <c r="B6969" s="82"/>
      <c r="C6969" s="82"/>
    </row>
    <row r="6970" spans="1:3" x14ac:dyDescent="0.2">
      <c r="A6970" s="82"/>
      <c r="B6970" s="82"/>
      <c r="C6970" s="82"/>
    </row>
    <row r="6971" spans="1:3" x14ac:dyDescent="0.2">
      <c r="A6971" s="82"/>
      <c r="B6971" s="82"/>
      <c r="C6971" s="82"/>
    </row>
    <row r="6972" spans="1:3" x14ac:dyDescent="0.2">
      <c r="A6972" s="82"/>
      <c r="B6972" s="82"/>
      <c r="C6972" s="82"/>
    </row>
    <row r="6973" spans="1:3" x14ac:dyDescent="0.2">
      <c r="A6973" s="82"/>
      <c r="B6973" s="82"/>
      <c r="C6973" s="82"/>
    </row>
    <row r="6974" spans="1:3" x14ac:dyDescent="0.2">
      <c r="A6974" s="82"/>
      <c r="B6974" s="82"/>
      <c r="C6974" s="82"/>
    </row>
    <row r="6975" spans="1:3" x14ac:dyDescent="0.2">
      <c r="A6975" s="82"/>
      <c r="B6975" s="82"/>
      <c r="C6975" s="82"/>
    </row>
    <row r="6976" spans="1:3" x14ac:dyDescent="0.2">
      <c r="A6976" s="82"/>
      <c r="B6976" s="82"/>
      <c r="C6976" s="82"/>
    </row>
    <row r="6977" spans="1:3" x14ac:dyDescent="0.2">
      <c r="A6977" s="82"/>
      <c r="B6977" s="82"/>
      <c r="C6977" s="82"/>
    </row>
    <row r="6978" spans="1:3" x14ac:dyDescent="0.2">
      <c r="A6978" s="82"/>
      <c r="B6978" s="82"/>
      <c r="C6978" s="82"/>
    </row>
    <row r="6979" spans="1:3" x14ac:dyDescent="0.2">
      <c r="A6979" s="82"/>
      <c r="B6979" s="82"/>
      <c r="C6979" s="82"/>
    </row>
    <row r="6980" spans="1:3" x14ac:dyDescent="0.2">
      <c r="A6980" s="82"/>
      <c r="B6980" s="82"/>
      <c r="C6980" s="82"/>
    </row>
    <row r="6981" spans="1:3" x14ac:dyDescent="0.2">
      <c r="A6981" s="82"/>
      <c r="B6981" s="82"/>
      <c r="C6981" s="82"/>
    </row>
    <row r="6982" spans="1:3" x14ac:dyDescent="0.2">
      <c r="A6982" s="82"/>
      <c r="B6982" s="82"/>
      <c r="C6982" s="82"/>
    </row>
    <row r="6983" spans="1:3" x14ac:dyDescent="0.2">
      <c r="A6983" s="82"/>
      <c r="B6983" s="82"/>
      <c r="C6983" s="82"/>
    </row>
    <row r="6984" spans="1:3" x14ac:dyDescent="0.2">
      <c r="A6984" s="82"/>
      <c r="B6984" s="82"/>
      <c r="C6984" s="82"/>
    </row>
    <row r="6985" spans="1:3" x14ac:dyDescent="0.2">
      <c r="A6985" s="82"/>
      <c r="B6985" s="82"/>
      <c r="C6985" s="82"/>
    </row>
    <row r="6986" spans="1:3" x14ac:dyDescent="0.2">
      <c r="A6986" s="82"/>
      <c r="B6986" s="82"/>
      <c r="C6986" s="82"/>
    </row>
    <row r="6987" spans="1:3" x14ac:dyDescent="0.2">
      <c r="A6987" s="82"/>
      <c r="B6987" s="82"/>
      <c r="C6987" s="82"/>
    </row>
    <row r="6988" spans="1:3" x14ac:dyDescent="0.2">
      <c r="A6988" s="82"/>
      <c r="B6988" s="82"/>
      <c r="C6988" s="82"/>
    </row>
    <row r="6989" spans="1:3" x14ac:dyDescent="0.2">
      <c r="A6989" s="82"/>
      <c r="B6989" s="82"/>
      <c r="C6989" s="82"/>
    </row>
    <row r="6990" spans="1:3" x14ac:dyDescent="0.2">
      <c r="A6990" s="82"/>
      <c r="B6990" s="82"/>
      <c r="C6990" s="82"/>
    </row>
    <row r="6991" spans="1:3" x14ac:dyDescent="0.2">
      <c r="A6991" s="82"/>
      <c r="B6991" s="82"/>
      <c r="C6991" s="82"/>
    </row>
    <row r="6992" spans="1:3" x14ac:dyDescent="0.2">
      <c r="A6992" s="82"/>
      <c r="B6992" s="82"/>
      <c r="C6992" s="82"/>
    </row>
    <row r="6993" spans="1:3" x14ac:dyDescent="0.2">
      <c r="A6993" s="82"/>
      <c r="B6993" s="82"/>
      <c r="C6993" s="82"/>
    </row>
    <row r="6994" spans="1:3" x14ac:dyDescent="0.2">
      <c r="A6994" s="82"/>
      <c r="B6994" s="82"/>
      <c r="C6994" s="82"/>
    </row>
    <row r="6995" spans="1:3" x14ac:dyDescent="0.2">
      <c r="A6995" s="82"/>
      <c r="B6995" s="82"/>
      <c r="C6995" s="82"/>
    </row>
    <row r="6996" spans="1:3" x14ac:dyDescent="0.2">
      <c r="A6996" s="82"/>
      <c r="B6996" s="82"/>
      <c r="C6996" s="82"/>
    </row>
    <row r="6997" spans="1:3" x14ac:dyDescent="0.2">
      <c r="A6997" s="82"/>
      <c r="B6997" s="82"/>
      <c r="C6997" s="82"/>
    </row>
    <row r="6998" spans="1:3" x14ac:dyDescent="0.2">
      <c r="A6998" s="82"/>
      <c r="B6998" s="82"/>
      <c r="C6998" s="82"/>
    </row>
    <row r="6999" spans="1:3" x14ac:dyDescent="0.2">
      <c r="A6999" s="82"/>
      <c r="B6999" s="82"/>
      <c r="C6999" s="82"/>
    </row>
    <row r="7000" spans="1:3" x14ac:dyDescent="0.2">
      <c r="A7000" s="82"/>
      <c r="B7000" s="82"/>
      <c r="C7000" s="82"/>
    </row>
    <row r="7001" spans="1:3" x14ac:dyDescent="0.2">
      <c r="A7001" s="82"/>
      <c r="B7001" s="82"/>
      <c r="C7001" s="82"/>
    </row>
    <row r="7002" spans="1:3" x14ac:dyDescent="0.2">
      <c r="A7002" s="82"/>
      <c r="B7002" s="82"/>
      <c r="C7002" s="82"/>
    </row>
    <row r="7003" spans="1:3" x14ac:dyDescent="0.2">
      <c r="A7003" s="82"/>
      <c r="B7003" s="82"/>
      <c r="C7003" s="82"/>
    </row>
    <row r="7004" spans="1:3" x14ac:dyDescent="0.2">
      <c r="A7004" s="82"/>
      <c r="B7004" s="82"/>
      <c r="C7004" s="82"/>
    </row>
    <row r="7005" spans="1:3" x14ac:dyDescent="0.2">
      <c r="A7005" s="82"/>
      <c r="B7005" s="82"/>
      <c r="C7005" s="82"/>
    </row>
    <row r="7006" spans="1:3" x14ac:dyDescent="0.2">
      <c r="A7006" s="82"/>
      <c r="B7006" s="82"/>
      <c r="C7006" s="82"/>
    </row>
    <row r="7007" spans="1:3" x14ac:dyDescent="0.2">
      <c r="A7007" s="82"/>
      <c r="B7007" s="82"/>
      <c r="C7007" s="82"/>
    </row>
    <row r="7008" spans="1:3" x14ac:dyDescent="0.2">
      <c r="A7008" s="82"/>
      <c r="B7008" s="82"/>
      <c r="C7008" s="82"/>
    </row>
    <row r="7009" spans="1:3" x14ac:dyDescent="0.2">
      <c r="A7009" s="82"/>
      <c r="B7009" s="82"/>
      <c r="C7009" s="82"/>
    </row>
    <row r="7010" spans="1:3" x14ac:dyDescent="0.2">
      <c r="A7010" s="82"/>
      <c r="B7010" s="82"/>
      <c r="C7010" s="82"/>
    </row>
    <row r="7011" spans="1:3" x14ac:dyDescent="0.2">
      <c r="A7011" s="82"/>
      <c r="B7011" s="82"/>
      <c r="C7011" s="82"/>
    </row>
    <row r="7012" spans="1:3" x14ac:dyDescent="0.2">
      <c r="A7012" s="82"/>
      <c r="B7012" s="82"/>
      <c r="C7012" s="82"/>
    </row>
    <row r="7013" spans="1:3" x14ac:dyDescent="0.2">
      <c r="A7013" s="82"/>
      <c r="B7013" s="82"/>
      <c r="C7013" s="82"/>
    </row>
    <row r="7014" spans="1:3" x14ac:dyDescent="0.2">
      <c r="A7014" s="82"/>
      <c r="B7014" s="82"/>
      <c r="C7014" s="82"/>
    </row>
    <row r="7015" spans="1:3" x14ac:dyDescent="0.2">
      <c r="A7015" s="82"/>
      <c r="B7015" s="82"/>
      <c r="C7015" s="82"/>
    </row>
    <row r="7016" spans="1:3" x14ac:dyDescent="0.2">
      <c r="A7016" s="82"/>
      <c r="B7016" s="82"/>
      <c r="C7016" s="82"/>
    </row>
    <row r="7017" spans="1:3" x14ac:dyDescent="0.2">
      <c r="A7017" s="82"/>
      <c r="B7017" s="82"/>
      <c r="C7017" s="82"/>
    </row>
    <row r="7018" spans="1:3" x14ac:dyDescent="0.2">
      <c r="A7018" s="82"/>
      <c r="B7018" s="82"/>
      <c r="C7018" s="82"/>
    </row>
    <row r="7019" spans="1:3" x14ac:dyDescent="0.2">
      <c r="A7019" s="82"/>
      <c r="B7019" s="82"/>
      <c r="C7019" s="82"/>
    </row>
    <row r="7020" spans="1:3" x14ac:dyDescent="0.2">
      <c r="A7020" s="82"/>
      <c r="B7020" s="82"/>
      <c r="C7020" s="82"/>
    </row>
    <row r="7021" spans="1:3" x14ac:dyDescent="0.2">
      <c r="A7021" s="82"/>
      <c r="B7021" s="82"/>
      <c r="C7021" s="82"/>
    </row>
    <row r="7022" spans="1:3" x14ac:dyDescent="0.2">
      <c r="A7022" s="82"/>
      <c r="B7022" s="82"/>
      <c r="C7022" s="82"/>
    </row>
    <row r="7023" spans="1:3" x14ac:dyDescent="0.2">
      <c r="A7023" s="82"/>
      <c r="B7023" s="82"/>
      <c r="C7023" s="82"/>
    </row>
    <row r="7024" spans="1:3" x14ac:dyDescent="0.2">
      <c r="A7024" s="82"/>
      <c r="B7024" s="82"/>
      <c r="C7024" s="82"/>
    </row>
    <row r="7025" spans="1:3" x14ac:dyDescent="0.2">
      <c r="A7025" s="82"/>
      <c r="B7025" s="82"/>
      <c r="C7025" s="82"/>
    </row>
    <row r="7026" spans="1:3" x14ac:dyDescent="0.2">
      <c r="A7026" s="82"/>
      <c r="B7026" s="82"/>
      <c r="C7026" s="82"/>
    </row>
    <row r="7027" spans="1:3" x14ac:dyDescent="0.2">
      <c r="A7027" s="82"/>
      <c r="B7027" s="82"/>
      <c r="C7027" s="82"/>
    </row>
    <row r="7028" spans="1:3" x14ac:dyDescent="0.2">
      <c r="A7028" s="82"/>
      <c r="B7028" s="82"/>
      <c r="C7028" s="82"/>
    </row>
    <row r="7029" spans="1:3" x14ac:dyDescent="0.2">
      <c r="A7029" s="82"/>
      <c r="B7029" s="82"/>
      <c r="C7029" s="82"/>
    </row>
    <row r="7030" spans="1:3" x14ac:dyDescent="0.2">
      <c r="A7030" s="82"/>
      <c r="B7030" s="82"/>
      <c r="C7030" s="82"/>
    </row>
    <row r="7031" spans="1:3" x14ac:dyDescent="0.2">
      <c r="A7031" s="82"/>
      <c r="B7031" s="82"/>
      <c r="C7031" s="82"/>
    </row>
    <row r="7032" spans="1:3" x14ac:dyDescent="0.2">
      <c r="A7032" s="82"/>
      <c r="B7032" s="82"/>
      <c r="C7032" s="82"/>
    </row>
    <row r="7033" spans="1:3" x14ac:dyDescent="0.2">
      <c r="A7033" s="82"/>
      <c r="B7033" s="82"/>
      <c r="C7033" s="82"/>
    </row>
    <row r="7034" spans="1:3" x14ac:dyDescent="0.2">
      <c r="A7034" s="82"/>
      <c r="B7034" s="82"/>
      <c r="C7034" s="82"/>
    </row>
    <row r="7035" spans="1:3" x14ac:dyDescent="0.2">
      <c r="A7035" s="82"/>
      <c r="B7035" s="82"/>
      <c r="C7035" s="82"/>
    </row>
    <row r="7036" spans="1:3" x14ac:dyDescent="0.2">
      <c r="A7036" s="82"/>
      <c r="B7036" s="82"/>
      <c r="C7036" s="82"/>
    </row>
    <row r="7037" spans="1:3" x14ac:dyDescent="0.2">
      <c r="A7037" s="82"/>
      <c r="B7037" s="82"/>
      <c r="C7037" s="82"/>
    </row>
    <row r="7038" spans="1:3" x14ac:dyDescent="0.2">
      <c r="A7038" s="82"/>
      <c r="B7038" s="82"/>
      <c r="C7038" s="82"/>
    </row>
    <row r="7039" spans="1:3" x14ac:dyDescent="0.2">
      <c r="A7039" s="82"/>
      <c r="B7039" s="82"/>
      <c r="C7039" s="82"/>
    </row>
    <row r="7040" spans="1:3" x14ac:dyDescent="0.2">
      <c r="A7040" s="82"/>
      <c r="B7040" s="82"/>
      <c r="C7040" s="82"/>
    </row>
    <row r="7041" spans="1:3" x14ac:dyDescent="0.2">
      <c r="A7041" s="82"/>
      <c r="B7041" s="82"/>
      <c r="C7041" s="82"/>
    </row>
    <row r="7042" spans="1:3" x14ac:dyDescent="0.2">
      <c r="A7042" s="82"/>
      <c r="B7042" s="82"/>
      <c r="C7042" s="82"/>
    </row>
    <row r="7043" spans="1:3" x14ac:dyDescent="0.2">
      <c r="A7043" s="82"/>
      <c r="B7043" s="82"/>
      <c r="C7043" s="82"/>
    </row>
    <row r="7044" spans="1:3" x14ac:dyDescent="0.2">
      <c r="A7044" s="82"/>
      <c r="B7044" s="82"/>
      <c r="C7044" s="82"/>
    </row>
    <row r="7045" spans="1:3" x14ac:dyDescent="0.2">
      <c r="A7045" s="82"/>
      <c r="B7045" s="82"/>
      <c r="C7045" s="82"/>
    </row>
    <row r="7046" spans="1:3" x14ac:dyDescent="0.2">
      <c r="A7046" s="82"/>
      <c r="B7046" s="82"/>
      <c r="C7046" s="82"/>
    </row>
    <row r="7047" spans="1:3" x14ac:dyDescent="0.2">
      <c r="A7047" s="82"/>
      <c r="B7047" s="82"/>
      <c r="C7047" s="82"/>
    </row>
    <row r="7048" spans="1:3" x14ac:dyDescent="0.2">
      <c r="A7048" s="82"/>
      <c r="B7048" s="82"/>
      <c r="C7048" s="82"/>
    </row>
    <row r="7049" spans="1:3" x14ac:dyDescent="0.2">
      <c r="A7049" s="82"/>
      <c r="B7049" s="82"/>
      <c r="C7049" s="82"/>
    </row>
    <row r="7050" spans="1:3" x14ac:dyDescent="0.2">
      <c r="A7050" s="82"/>
      <c r="B7050" s="82"/>
      <c r="C7050" s="82"/>
    </row>
    <row r="7051" spans="1:3" x14ac:dyDescent="0.2">
      <c r="A7051" s="82"/>
      <c r="B7051" s="82"/>
      <c r="C7051" s="82"/>
    </row>
    <row r="7052" spans="1:3" x14ac:dyDescent="0.2">
      <c r="A7052" s="82"/>
      <c r="B7052" s="82"/>
      <c r="C7052" s="82"/>
    </row>
    <row r="7053" spans="1:3" x14ac:dyDescent="0.2">
      <c r="A7053" s="82"/>
      <c r="B7053" s="82"/>
      <c r="C7053" s="82"/>
    </row>
    <row r="7054" spans="1:3" x14ac:dyDescent="0.2">
      <c r="A7054" s="82"/>
      <c r="B7054" s="82"/>
      <c r="C7054" s="82"/>
    </row>
    <row r="7055" spans="1:3" x14ac:dyDescent="0.2">
      <c r="A7055" s="82"/>
      <c r="B7055" s="82"/>
      <c r="C7055" s="82"/>
    </row>
    <row r="7056" spans="1:3" x14ac:dyDescent="0.2">
      <c r="A7056" s="82"/>
      <c r="B7056" s="82"/>
      <c r="C7056" s="82"/>
    </row>
    <row r="7057" spans="1:3" x14ac:dyDescent="0.2">
      <c r="A7057" s="82"/>
      <c r="B7057" s="82"/>
      <c r="C7057" s="82"/>
    </row>
    <row r="7058" spans="1:3" x14ac:dyDescent="0.2">
      <c r="A7058" s="82"/>
      <c r="B7058" s="82"/>
      <c r="C7058" s="82"/>
    </row>
    <row r="7059" spans="1:3" x14ac:dyDescent="0.2">
      <c r="A7059" s="82"/>
      <c r="B7059" s="82"/>
      <c r="C7059" s="82"/>
    </row>
    <row r="7060" spans="1:3" x14ac:dyDescent="0.2">
      <c r="A7060" s="82"/>
      <c r="B7060" s="82"/>
      <c r="C7060" s="82"/>
    </row>
    <row r="7061" spans="1:3" x14ac:dyDescent="0.2">
      <c r="A7061" s="82"/>
      <c r="B7061" s="82"/>
      <c r="C7061" s="82"/>
    </row>
    <row r="7062" spans="1:3" x14ac:dyDescent="0.2">
      <c r="A7062" s="82"/>
      <c r="B7062" s="82"/>
      <c r="C7062" s="82"/>
    </row>
    <row r="7063" spans="1:3" x14ac:dyDescent="0.2">
      <c r="A7063" s="82"/>
      <c r="B7063" s="82"/>
      <c r="C7063" s="82"/>
    </row>
    <row r="7064" spans="1:3" x14ac:dyDescent="0.2">
      <c r="A7064" s="82"/>
      <c r="B7064" s="82"/>
      <c r="C7064" s="82"/>
    </row>
    <row r="7065" spans="1:3" x14ac:dyDescent="0.2">
      <c r="A7065" s="82"/>
      <c r="B7065" s="82"/>
      <c r="C7065" s="82"/>
    </row>
    <row r="7066" spans="1:3" x14ac:dyDescent="0.2">
      <c r="A7066" s="82"/>
      <c r="B7066" s="82"/>
      <c r="C7066" s="82"/>
    </row>
    <row r="7067" spans="1:3" x14ac:dyDescent="0.2">
      <c r="A7067" s="82"/>
      <c r="B7067" s="82"/>
      <c r="C7067" s="82"/>
    </row>
    <row r="7068" spans="1:3" x14ac:dyDescent="0.2">
      <c r="A7068" s="82"/>
      <c r="B7068" s="82"/>
      <c r="C7068" s="82"/>
    </row>
    <row r="7069" spans="1:3" x14ac:dyDescent="0.2">
      <c r="A7069" s="82"/>
      <c r="B7069" s="82"/>
      <c r="C7069" s="82"/>
    </row>
    <row r="7070" spans="1:3" x14ac:dyDescent="0.2">
      <c r="A7070" s="82"/>
      <c r="B7070" s="82"/>
      <c r="C7070" s="82"/>
    </row>
    <row r="7071" spans="1:3" x14ac:dyDescent="0.2">
      <c r="A7071" s="82"/>
      <c r="B7071" s="82"/>
      <c r="C7071" s="82"/>
    </row>
    <row r="7072" spans="1:3" x14ac:dyDescent="0.2">
      <c r="A7072" s="82"/>
      <c r="B7072" s="82"/>
      <c r="C7072" s="82"/>
    </row>
    <row r="7073" spans="1:3" x14ac:dyDescent="0.2">
      <c r="A7073" s="82"/>
      <c r="B7073" s="82"/>
      <c r="C7073" s="82"/>
    </row>
    <row r="7074" spans="1:3" x14ac:dyDescent="0.2">
      <c r="A7074" s="82"/>
      <c r="B7074" s="82"/>
      <c r="C7074" s="82"/>
    </row>
    <row r="7075" spans="1:3" x14ac:dyDescent="0.2">
      <c r="A7075" s="82"/>
      <c r="B7075" s="82"/>
      <c r="C7075" s="82"/>
    </row>
    <row r="7076" spans="1:3" x14ac:dyDescent="0.2">
      <c r="A7076" s="82"/>
      <c r="B7076" s="82"/>
      <c r="C7076" s="82"/>
    </row>
    <row r="7077" spans="1:3" x14ac:dyDescent="0.2">
      <c r="A7077" s="82"/>
      <c r="B7077" s="82"/>
      <c r="C7077" s="82"/>
    </row>
    <row r="7078" spans="1:3" x14ac:dyDescent="0.2">
      <c r="A7078" s="82"/>
      <c r="B7078" s="82"/>
      <c r="C7078" s="82"/>
    </row>
    <row r="7079" spans="1:3" x14ac:dyDescent="0.2">
      <c r="A7079" s="82"/>
      <c r="B7079" s="82"/>
      <c r="C7079" s="82"/>
    </row>
    <row r="7080" spans="1:3" x14ac:dyDescent="0.2">
      <c r="A7080" s="82"/>
      <c r="B7080" s="82"/>
      <c r="C7080" s="82"/>
    </row>
    <row r="7081" spans="1:3" x14ac:dyDescent="0.2">
      <c r="A7081" s="82"/>
      <c r="B7081" s="82"/>
      <c r="C7081" s="82"/>
    </row>
    <row r="7082" spans="1:3" x14ac:dyDescent="0.2">
      <c r="A7082" s="82"/>
      <c r="B7082" s="82"/>
      <c r="C7082" s="82"/>
    </row>
    <row r="7083" spans="1:3" x14ac:dyDescent="0.2">
      <c r="A7083" s="82"/>
      <c r="B7083" s="82"/>
      <c r="C7083" s="82"/>
    </row>
    <row r="7084" spans="1:3" x14ac:dyDescent="0.2">
      <c r="A7084" s="82"/>
      <c r="B7084" s="82"/>
      <c r="C7084" s="82"/>
    </row>
    <row r="7085" spans="1:3" x14ac:dyDescent="0.2">
      <c r="A7085" s="82"/>
      <c r="B7085" s="82"/>
      <c r="C7085" s="82"/>
    </row>
    <row r="7086" spans="1:3" x14ac:dyDescent="0.2">
      <c r="A7086" s="82"/>
      <c r="B7086" s="82"/>
      <c r="C7086" s="82"/>
    </row>
    <row r="7087" spans="1:3" x14ac:dyDescent="0.2">
      <c r="A7087" s="82"/>
      <c r="B7087" s="82"/>
      <c r="C7087" s="82"/>
    </row>
    <row r="7088" spans="1:3" x14ac:dyDescent="0.2">
      <c r="A7088" s="82"/>
      <c r="B7088" s="82"/>
      <c r="C7088" s="82"/>
    </row>
    <row r="7089" spans="1:3" x14ac:dyDescent="0.2">
      <c r="A7089" s="82"/>
      <c r="B7089" s="82"/>
      <c r="C7089" s="82"/>
    </row>
    <row r="7090" spans="1:3" x14ac:dyDescent="0.2">
      <c r="A7090" s="82"/>
      <c r="B7090" s="82"/>
      <c r="C7090" s="82"/>
    </row>
    <row r="7091" spans="1:3" x14ac:dyDescent="0.2">
      <c r="A7091" s="82"/>
      <c r="B7091" s="82"/>
      <c r="C7091" s="82"/>
    </row>
    <row r="7092" spans="1:3" x14ac:dyDescent="0.2">
      <c r="A7092" s="82"/>
      <c r="B7092" s="82"/>
      <c r="C7092" s="82"/>
    </row>
    <row r="7093" spans="1:3" x14ac:dyDescent="0.2">
      <c r="A7093" s="82"/>
      <c r="B7093" s="82"/>
      <c r="C7093" s="82"/>
    </row>
    <row r="7094" spans="1:3" x14ac:dyDescent="0.2">
      <c r="A7094" s="82"/>
      <c r="B7094" s="82"/>
      <c r="C7094" s="82"/>
    </row>
    <row r="7095" spans="1:3" x14ac:dyDescent="0.2">
      <c r="A7095" s="82"/>
      <c r="B7095" s="82"/>
      <c r="C7095" s="82"/>
    </row>
    <row r="7096" spans="1:3" x14ac:dyDescent="0.2">
      <c r="A7096" s="82"/>
      <c r="B7096" s="82"/>
      <c r="C7096" s="82"/>
    </row>
    <row r="7097" spans="1:3" x14ac:dyDescent="0.2">
      <c r="A7097" s="82"/>
      <c r="B7097" s="82"/>
      <c r="C7097" s="82"/>
    </row>
    <row r="7098" spans="1:3" x14ac:dyDescent="0.2">
      <c r="A7098" s="82"/>
      <c r="B7098" s="82"/>
      <c r="C7098" s="82"/>
    </row>
    <row r="7099" spans="1:3" x14ac:dyDescent="0.2">
      <c r="A7099" s="82"/>
      <c r="B7099" s="82"/>
      <c r="C7099" s="82"/>
    </row>
    <row r="7100" spans="1:3" x14ac:dyDescent="0.2">
      <c r="A7100" s="82"/>
      <c r="B7100" s="82"/>
      <c r="C7100" s="82"/>
    </row>
    <row r="7101" spans="1:3" x14ac:dyDescent="0.2">
      <c r="A7101" s="82"/>
      <c r="B7101" s="82"/>
      <c r="C7101" s="82"/>
    </row>
    <row r="7102" spans="1:3" x14ac:dyDescent="0.2">
      <c r="A7102" s="82"/>
      <c r="B7102" s="82"/>
      <c r="C7102" s="82"/>
    </row>
    <row r="7103" spans="1:3" x14ac:dyDescent="0.2">
      <c r="A7103" s="82"/>
      <c r="B7103" s="82"/>
      <c r="C7103" s="82"/>
    </row>
    <row r="7104" spans="1:3" x14ac:dyDescent="0.2">
      <c r="A7104" s="82"/>
      <c r="B7104" s="82"/>
      <c r="C7104" s="82"/>
    </row>
    <row r="7105" spans="1:3" x14ac:dyDescent="0.2">
      <c r="A7105" s="82"/>
      <c r="B7105" s="82"/>
      <c r="C7105" s="82"/>
    </row>
    <row r="7106" spans="1:3" x14ac:dyDescent="0.2">
      <c r="A7106" s="82"/>
      <c r="B7106" s="82"/>
      <c r="C7106" s="82"/>
    </row>
    <row r="7107" spans="1:3" x14ac:dyDescent="0.2">
      <c r="A7107" s="82"/>
      <c r="B7107" s="82"/>
      <c r="C7107" s="82"/>
    </row>
    <row r="7108" spans="1:3" x14ac:dyDescent="0.2">
      <c r="A7108" s="82"/>
      <c r="B7108" s="82"/>
      <c r="C7108" s="82"/>
    </row>
    <row r="7109" spans="1:3" x14ac:dyDescent="0.2">
      <c r="A7109" s="82"/>
      <c r="B7109" s="82"/>
      <c r="C7109" s="82"/>
    </row>
    <row r="7110" spans="1:3" x14ac:dyDescent="0.2">
      <c r="A7110" s="82"/>
      <c r="B7110" s="82"/>
      <c r="C7110" s="82"/>
    </row>
    <row r="7111" spans="1:3" x14ac:dyDescent="0.2">
      <c r="A7111" s="82"/>
      <c r="B7111" s="82"/>
      <c r="C7111" s="82"/>
    </row>
    <row r="7112" spans="1:3" x14ac:dyDescent="0.2">
      <c r="A7112" s="82"/>
      <c r="B7112" s="82"/>
      <c r="C7112" s="82"/>
    </row>
    <row r="7113" spans="1:3" x14ac:dyDescent="0.2">
      <c r="A7113" s="82"/>
      <c r="B7113" s="82"/>
      <c r="C7113" s="82"/>
    </row>
    <row r="7114" spans="1:3" x14ac:dyDescent="0.2">
      <c r="A7114" s="82"/>
      <c r="B7114" s="82"/>
      <c r="C7114" s="82"/>
    </row>
    <row r="7115" spans="1:3" x14ac:dyDescent="0.2">
      <c r="A7115" s="82"/>
      <c r="B7115" s="82"/>
      <c r="C7115" s="82"/>
    </row>
    <row r="7116" spans="1:3" x14ac:dyDescent="0.2">
      <c r="A7116" s="82"/>
      <c r="B7116" s="82"/>
      <c r="C7116" s="82"/>
    </row>
    <row r="7117" spans="1:3" x14ac:dyDescent="0.2">
      <c r="A7117" s="82"/>
      <c r="B7117" s="82"/>
      <c r="C7117" s="82"/>
    </row>
    <row r="7118" spans="1:3" x14ac:dyDescent="0.2">
      <c r="A7118" s="82"/>
      <c r="B7118" s="82"/>
      <c r="C7118" s="82"/>
    </row>
    <row r="7119" spans="1:3" x14ac:dyDescent="0.2">
      <c r="A7119" s="82"/>
      <c r="B7119" s="82"/>
      <c r="C7119" s="82"/>
    </row>
    <row r="7120" spans="1:3" x14ac:dyDescent="0.2">
      <c r="A7120" s="82"/>
      <c r="B7120" s="82"/>
      <c r="C7120" s="82"/>
    </row>
    <row r="7121" spans="1:3" x14ac:dyDescent="0.2">
      <c r="A7121" s="82"/>
      <c r="B7121" s="82"/>
      <c r="C7121" s="82"/>
    </row>
    <row r="7122" spans="1:3" x14ac:dyDescent="0.2">
      <c r="A7122" s="82"/>
      <c r="B7122" s="82"/>
      <c r="C7122" s="82"/>
    </row>
    <row r="7123" spans="1:3" x14ac:dyDescent="0.2">
      <c r="A7123" s="82"/>
      <c r="B7123" s="82"/>
      <c r="C7123" s="82"/>
    </row>
    <row r="7124" spans="1:3" x14ac:dyDescent="0.2">
      <c r="A7124" s="82"/>
      <c r="B7124" s="82"/>
      <c r="C7124" s="82"/>
    </row>
    <row r="7125" spans="1:3" x14ac:dyDescent="0.2">
      <c r="A7125" s="82"/>
      <c r="B7125" s="82"/>
      <c r="C7125" s="82"/>
    </row>
    <row r="7126" spans="1:3" x14ac:dyDescent="0.2">
      <c r="A7126" s="82"/>
      <c r="B7126" s="82"/>
      <c r="C7126" s="82"/>
    </row>
    <row r="7127" spans="1:3" x14ac:dyDescent="0.2">
      <c r="A7127" s="82"/>
      <c r="B7127" s="82"/>
      <c r="C7127" s="82"/>
    </row>
    <row r="7128" spans="1:3" x14ac:dyDescent="0.2">
      <c r="A7128" s="82"/>
      <c r="B7128" s="82"/>
      <c r="C7128" s="82"/>
    </row>
    <row r="7129" spans="1:3" x14ac:dyDescent="0.2">
      <c r="A7129" s="82"/>
      <c r="B7129" s="82"/>
      <c r="C7129" s="82"/>
    </row>
    <row r="7130" spans="1:3" x14ac:dyDescent="0.2">
      <c r="A7130" s="82"/>
      <c r="B7130" s="82"/>
      <c r="C7130" s="82"/>
    </row>
    <row r="7131" spans="1:3" x14ac:dyDescent="0.2">
      <c r="A7131" s="82"/>
      <c r="B7131" s="82"/>
      <c r="C7131" s="82"/>
    </row>
    <row r="7132" spans="1:3" x14ac:dyDescent="0.2">
      <c r="A7132" s="82"/>
      <c r="B7132" s="82"/>
      <c r="C7132" s="82"/>
    </row>
    <row r="7133" spans="1:3" x14ac:dyDescent="0.2">
      <c r="A7133" s="82"/>
      <c r="B7133" s="82"/>
      <c r="C7133" s="82"/>
    </row>
    <row r="7134" spans="1:3" x14ac:dyDescent="0.2">
      <c r="A7134" s="82"/>
      <c r="B7134" s="82"/>
      <c r="C7134" s="82"/>
    </row>
    <row r="7135" spans="1:3" x14ac:dyDescent="0.2">
      <c r="A7135" s="82"/>
      <c r="B7135" s="82"/>
      <c r="C7135" s="82"/>
    </row>
    <row r="7136" spans="1:3" x14ac:dyDescent="0.2">
      <c r="A7136" s="82"/>
      <c r="B7136" s="82"/>
      <c r="C7136" s="82"/>
    </row>
    <row r="7137" spans="1:3" x14ac:dyDescent="0.2">
      <c r="A7137" s="82"/>
      <c r="B7137" s="82"/>
      <c r="C7137" s="82"/>
    </row>
    <row r="7138" spans="1:3" x14ac:dyDescent="0.2">
      <c r="A7138" s="82"/>
      <c r="B7138" s="82"/>
      <c r="C7138" s="82"/>
    </row>
    <row r="7139" spans="1:3" x14ac:dyDescent="0.2">
      <c r="A7139" s="82"/>
      <c r="B7139" s="82"/>
      <c r="C7139" s="82"/>
    </row>
    <row r="7140" spans="1:3" x14ac:dyDescent="0.2">
      <c r="A7140" s="82"/>
      <c r="B7140" s="82"/>
      <c r="C7140" s="82"/>
    </row>
    <row r="7141" spans="1:3" x14ac:dyDescent="0.2">
      <c r="A7141" s="82"/>
      <c r="B7141" s="82"/>
      <c r="C7141" s="82"/>
    </row>
    <row r="7142" spans="1:3" x14ac:dyDescent="0.2">
      <c r="A7142" s="82"/>
      <c r="B7142" s="82"/>
      <c r="C7142" s="82"/>
    </row>
    <row r="7143" spans="1:3" x14ac:dyDescent="0.2">
      <c r="A7143" s="82"/>
      <c r="B7143" s="82"/>
      <c r="C7143" s="82"/>
    </row>
    <row r="7144" spans="1:3" x14ac:dyDescent="0.2">
      <c r="A7144" s="82"/>
      <c r="B7144" s="82"/>
      <c r="C7144" s="82"/>
    </row>
    <row r="7145" spans="1:3" x14ac:dyDescent="0.2">
      <c r="A7145" s="82"/>
      <c r="B7145" s="82"/>
      <c r="C7145" s="82"/>
    </row>
    <row r="7146" spans="1:3" x14ac:dyDescent="0.2">
      <c r="A7146" s="82"/>
      <c r="B7146" s="82"/>
      <c r="C7146" s="82"/>
    </row>
    <row r="7147" spans="1:3" x14ac:dyDescent="0.2">
      <c r="A7147" s="82"/>
      <c r="B7147" s="82"/>
      <c r="C7147" s="82"/>
    </row>
    <row r="7148" spans="1:3" x14ac:dyDescent="0.2">
      <c r="A7148" s="82"/>
      <c r="B7148" s="82"/>
      <c r="C7148" s="82"/>
    </row>
    <row r="7149" spans="1:3" x14ac:dyDescent="0.2">
      <c r="A7149" s="82"/>
      <c r="B7149" s="82"/>
      <c r="C7149" s="82"/>
    </row>
    <row r="7150" spans="1:3" x14ac:dyDescent="0.2">
      <c r="A7150" s="82"/>
      <c r="B7150" s="82"/>
      <c r="C7150" s="82"/>
    </row>
    <row r="7151" spans="1:3" x14ac:dyDescent="0.2">
      <c r="A7151" s="82"/>
      <c r="B7151" s="82"/>
      <c r="C7151" s="82"/>
    </row>
    <row r="7152" spans="1:3" x14ac:dyDescent="0.2">
      <c r="A7152" s="82"/>
      <c r="B7152" s="82"/>
      <c r="C7152" s="82"/>
    </row>
    <row r="7153" spans="1:3" x14ac:dyDescent="0.2">
      <c r="A7153" s="82"/>
      <c r="B7153" s="82"/>
      <c r="C7153" s="82"/>
    </row>
    <row r="7154" spans="1:3" x14ac:dyDescent="0.2">
      <c r="A7154" s="82"/>
      <c r="B7154" s="82"/>
      <c r="C7154" s="82"/>
    </row>
    <row r="7155" spans="1:3" x14ac:dyDescent="0.2">
      <c r="A7155" s="82"/>
      <c r="B7155" s="82"/>
      <c r="C7155" s="82"/>
    </row>
    <row r="7156" spans="1:3" x14ac:dyDescent="0.2">
      <c r="A7156" s="82"/>
      <c r="B7156" s="82"/>
      <c r="C7156" s="82"/>
    </row>
    <row r="7157" spans="1:3" x14ac:dyDescent="0.2">
      <c r="A7157" s="82"/>
      <c r="B7157" s="82"/>
      <c r="C7157" s="82"/>
    </row>
    <row r="7158" spans="1:3" x14ac:dyDescent="0.2">
      <c r="A7158" s="82"/>
      <c r="B7158" s="82"/>
      <c r="C7158" s="82"/>
    </row>
    <row r="7159" spans="1:3" x14ac:dyDescent="0.2">
      <c r="A7159" s="82"/>
      <c r="B7159" s="82"/>
      <c r="C7159" s="82"/>
    </row>
    <row r="7160" spans="1:3" x14ac:dyDescent="0.2">
      <c r="A7160" s="82"/>
      <c r="B7160" s="82"/>
      <c r="C7160" s="82"/>
    </row>
    <row r="7161" spans="1:3" x14ac:dyDescent="0.2">
      <c r="A7161" s="82"/>
      <c r="B7161" s="82"/>
      <c r="C7161" s="82"/>
    </row>
    <row r="7162" spans="1:3" x14ac:dyDescent="0.2">
      <c r="A7162" s="82"/>
      <c r="B7162" s="82"/>
      <c r="C7162" s="82"/>
    </row>
    <row r="7163" spans="1:3" x14ac:dyDescent="0.2">
      <c r="A7163" s="82"/>
      <c r="B7163" s="82"/>
      <c r="C7163" s="82"/>
    </row>
    <row r="7164" spans="1:3" x14ac:dyDescent="0.2">
      <c r="A7164" s="82"/>
      <c r="B7164" s="82"/>
      <c r="C7164" s="82"/>
    </row>
    <row r="7165" spans="1:3" x14ac:dyDescent="0.2">
      <c r="A7165" s="82"/>
      <c r="B7165" s="82"/>
      <c r="C7165" s="82"/>
    </row>
    <row r="7166" spans="1:3" x14ac:dyDescent="0.2">
      <c r="A7166" s="82"/>
      <c r="B7166" s="82"/>
      <c r="C7166" s="82"/>
    </row>
    <row r="7167" spans="1:3" x14ac:dyDescent="0.2">
      <c r="A7167" s="82"/>
      <c r="B7167" s="82"/>
      <c r="C7167" s="82"/>
    </row>
    <row r="7168" spans="1:3" x14ac:dyDescent="0.2">
      <c r="A7168" s="82"/>
      <c r="B7168" s="82"/>
      <c r="C7168" s="82"/>
    </row>
    <row r="7169" spans="1:3" x14ac:dyDescent="0.2">
      <c r="A7169" s="82"/>
      <c r="B7169" s="82"/>
      <c r="C7169" s="82"/>
    </row>
    <row r="7170" spans="1:3" x14ac:dyDescent="0.2">
      <c r="A7170" s="82"/>
      <c r="B7170" s="82"/>
      <c r="C7170" s="82"/>
    </row>
    <row r="7171" spans="1:3" x14ac:dyDescent="0.2">
      <c r="A7171" s="82"/>
      <c r="B7171" s="82"/>
      <c r="C7171" s="82"/>
    </row>
    <row r="7172" spans="1:3" x14ac:dyDescent="0.2">
      <c r="A7172" s="82"/>
      <c r="B7172" s="82"/>
      <c r="C7172" s="82"/>
    </row>
    <row r="7173" spans="1:3" x14ac:dyDescent="0.2">
      <c r="A7173" s="82"/>
      <c r="B7173" s="82"/>
      <c r="C7173" s="82"/>
    </row>
    <row r="7174" spans="1:3" x14ac:dyDescent="0.2">
      <c r="A7174" s="82"/>
      <c r="B7174" s="82"/>
      <c r="C7174" s="82"/>
    </row>
    <row r="7175" spans="1:3" x14ac:dyDescent="0.2">
      <c r="A7175" s="82"/>
      <c r="B7175" s="82"/>
      <c r="C7175" s="82"/>
    </row>
    <row r="7176" spans="1:3" x14ac:dyDescent="0.2">
      <c r="A7176" s="82"/>
      <c r="B7176" s="82"/>
      <c r="C7176" s="82"/>
    </row>
    <row r="7177" spans="1:3" x14ac:dyDescent="0.2">
      <c r="A7177" s="82"/>
      <c r="B7177" s="82"/>
      <c r="C7177" s="82"/>
    </row>
    <row r="7178" spans="1:3" x14ac:dyDescent="0.2">
      <c r="A7178" s="82"/>
      <c r="B7178" s="82"/>
      <c r="C7178" s="82"/>
    </row>
    <row r="7179" spans="1:3" x14ac:dyDescent="0.2">
      <c r="A7179" s="82"/>
      <c r="B7179" s="82"/>
      <c r="C7179" s="82"/>
    </row>
    <row r="7180" spans="1:3" x14ac:dyDescent="0.2">
      <c r="A7180" s="82"/>
      <c r="B7180" s="82"/>
      <c r="C7180" s="82"/>
    </row>
    <row r="7181" spans="1:3" x14ac:dyDescent="0.2">
      <c r="A7181" s="82"/>
      <c r="B7181" s="82"/>
      <c r="C7181" s="82"/>
    </row>
    <row r="7182" spans="1:3" x14ac:dyDescent="0.2">
      <c r="A7182" s="82"/>
      <c r="B7182" s="82"/>
      <c r="C7182" s="82"/>
    </row>
    <row r="7183" spans="1:3" x14ac:dyDescent="0.2">
      <c r="A7183" s="82"/>
      <c r="B7183" s="82"/>
      <c r="C7183" s="82"/>
    </row>
    <row r="7184" spans="1:3" x14ac:dyDescent="0.2">
      <c r="A7184" s="82"/>
      <c r="B7184" s="82"/>
      <c r="C7184" s="82"/>
    </row>
    <row r="7185" spans="1:3" x14ac:dyDescent="0.2">
      <c r="A7185" s="82"/>
      <c r="B7185" s="82"/>
      <c r="C7185" s="82"/>
    </row>
    <row r="7186" spans="1:3" x14ac:dyDescent="0.2">
      <c r="A7186" s="82"/>
      <c r="B7186" s="82"/>
      <c r="C7186" s="82"/>
    </row>
    <row r="7187" spans="1:3" x14ac:dyDescent="0.2">
      <c r="A7187" s="82"/>
      <c r="B7187" s="82"/>
      <c r="C7187" s="82"/>
    </row>
    <row r="7188" spans="1:3" x14ac:dyDescent="0.2">
      <c r="A7188" s="82"/>
      <c r="B7188" s="82"/>
      <c r="C7188" s="82"/>
    </row>
    <row r="7189" spans="1:3" x14ac:dyDescent="0.2">
      <c r="A7189" s="82"/>
      <c r="B7189" s="82"/>
      <c r="C7189" s="82"/>
    </row>
    <row r="7190" spans="1:3" x14ac:dyDescent="0.2">
      <c r="A7190" s="82"/>
      <c r="B7190" s="82"/>
      <c r="C7190" s="82"/>
    </row>
    <row r="7191" spans="1:3" x14ac:dyDescent="0.2">
      <c r="A7191" s="82"/>
      <c r="B7191" s="82"/>
      <c r="C7191" s="82"/>
    </row>
    <row r="7192" spans="1:3" x14ac:dyDescent="0.2">
      <c r="A7192" s="82"/>
      <c r="B7192" s="82"/>
      <c r="C7192" s="82"/>
    </row>
    <row r="7193" spans="1:3" x14ac:dyDescent="0.2">
      <c r="A7193" s="82"/>
      <c r="B7193" s="82"/>
      <c r="C7193" s="82"/>
    </row>
    <row r="7194" spans="1:3" x14ac:dyDescent="0.2">
      <c r="A7194" s="82"/>
      <c r="B7194" s="82"/>
      <c r="C7194" s="82"/>
    </row>
    <row r="7195" spans="1:3" x14ac:dyDescent="0.2">
      <c r="A7195" s="82"/>
      <c r="B7195" s="82"/>
      <c r="C7195" s="82"/>
    </row>
    <row r="7196" spans="1:3" x14ac:dyDescent="0.2">
      <c r="A7196" s="82"/>
      <c r="B7196" s="82"/>
      <c r="C7196" s="82"/>
    </row>
    <row r="7197" spans="1:3" x14ac:dyDescent="0.2">
      <c r="A7197" s="82"/>
      <c r="B7197" s="82"/>
      <c r="C7197" s="82"/>
    </row>
    <row r="7198" spans="1:3" x14ac:dyDescent="0.2">
      <c r="A7198" s="82"/>
      <c r="B7198" s="82"/>
      <c r="C7198" s="82"/>
    </row>
    <row r="7199" spans="1:3" x14ac:dyDescent="0.2">
      <c r="A7199" s="82"/>
      <c r="B7199" s="82"/>
      <c r="C7199" s="82"/>
    </row>
    <row r="7200" spans="1:3" x14ac:dyDescent="0.2">
      <c r="A7200" s="82"/>
      <c r="B7200" s="82"/>
      <c r="C7200" s="82"/>
    </row>
    <row r="7201" spans="1:3" x14ac:dyDescent="0.2">
      <c r="A7201" s="82"/>
      <c r="B7201" s="82"/>
      <c r="C7201" s="82"/>
    </row>
    <row r="7202" spans="1:3" x14ac:dyDescent="0.2">
      <c r="A7202" s="82"/>
      <c r="B7202" s="82"/>
      <c r="C7202" s="82"/>
    </row>
    <row r="7203" spans="1:3" x14ac:dyDescent="0.2">
      <c r="A7203" s="82"/>
      <c r="B7203" s="82"/>
      <c r="C7203" s="82"/>
    </row>
    <row r="7204" spans="1:3" x14ac:dyDescent="0.2">
      <c r="A7204" s="82"/>
      <c r="B7204" s="82"/>
      <c r="C7204" s="82"/>
    </row>
    <row r="7205" spans="1:3" x14ac:dyDescent="0.2">
      <c r="A7205" s="82"/>
      <c r="B7205" s="82"/>
      <c r="C7205" s="82"/>
    </row>
    <row r="7206" spans="1:3" x14ac:dyDescent="0.2">
      <c r="A7206" s="82"/>
      <c r="B7206" s="82"/>
      <c r="C7206" s="82"/>
    </row>
    <row r="7207" spans="1:3" x14ac:dyDescent="0.2">
      <c r="A7207" s="82"/>
      <c r="B7207" s="82"/>
      <c r="C7207" s="82"/>
    </row>
    <row r="7208" spans="1:3" x14ac:dyDescent="0.2">
      <c r="A7208" s="82"/>
      <c r="B7208" s="82"/>
      <c r="C7208" s="82"/>
    </row>
    <row r="7209" spans="1:3" x14ac:dyDescent="0.2">
      <c r="A7209" s="82"/>
      <c r="B7209" s="82"/>
      <c r="C7209" s="82"/>
    </row>
    <row r="7210" spans="1:3" x14ac:dyDescent="0.2">
      <c r="A7210" s="82"/>
      <c r="B7210" s="82"/>
      <c r="C7210" s="82"/>
    </row>
    <row r="7211" spans="1:3" x14ac:dyDescent="0.2">
      <c r="A7211" s="82"/>
      <c r="B7211" s="82"/>
      <c r="C7211" s="82"/>
    </row>
    <row r="7212" spans="1:3" x14ac:dyDescent="0.2">
      <c r="A7212" s="82"/>
      <c r="B7212" s="82"/>
      <c r="C7212" s="82"/>
    </row>
    <row r="7213" spans="1:3" x14ac:dyDescent="0.2">
      <c r="A7213" s="82"/>
      <c r="B7213" s="82"/>
      <c r="C7213" s="82"/>
    </row>
    <row r="7214" spans="1:3" x14ac:dyDescent="0.2">
      <c r="A7214" s="82"/>
      <c r="B7214" s="82"/>
      <c r="C7214" s="82"/>
    </row>
    <row r="7215" spans="1:3" x14ac:dyDescent="0.2">
      <c r="A7215" s="82"/>
      <c r="B7215" s="82"/>
      <c r="C7215" s="82"/>
    </row>
    <row r="7216" spans="1:3" x14ac:dyDescent="0.2">
      <c r="A7216" s="82"/>
      <c r="B7216" s="82"/>
      <c r="C7216" s="82"/>
    </row>
    <row r="7217" spans="1:3" x14ac:dyDescent="0.2">
      <c r="A7217" s="82"/>
      <c r="B7217" s="82"/>
      <c r="C7217" s="82"/>
    </row>
    <row r="7218" spans="1:3" x14ac:dyDescent="0.2">
      <c r="A7218" s="82"/>
      <c r="B7218" s="82"/>
      <c r="C7218" s="82"/>
    </row>
    <row r="7219" spans="1:3" x14ac:dyDescent="0.2">
      <c r="A7219" s="82"/>
      <c r="B7219" s="82"/>
      <c r="C7219" s="82"/>
    </row>
    <row r="7220" spans="1:3" x14ac:dyDescent="0.2">
      <c r="A7220" s="82"/>
      <c r="B7220" s="82"/>
      <c r="C7220" s="82"/>
    </row>
    <row r="7221" spans="1:3" x14ac:dyDescent="0.2">
      <c r="A7221" s="82"/>
      <c r="B7221" s="82"/>
      <c r="C7221" s="82"/>
    </row>
    <row r="7222" spans="1:3" x14ac:dyDescent="0.2">
      <c r="A7222" s="82"/>
      <c r="B7222" s="82"/>
      <c r="C7222" s="82"/>
    </row>
    <row r="7223" spans="1:3" x14ac:dyDescent="0.2">
      <c r="A7223" s="82"/>
      <c r="B7223" s="82"/>
      <c r="C7223" s="82"/>
    </row>
    <row r="7224" spans="1:3" x14ac:dyDescent="0.2">
      <c r="A7224" s="82"/>
      <c r="B7224" s="82"/>
      <c r="C7224" s="82"/>
    </row>
    <row r="7225" spans="1:3" x14ac:dyDescent="0.2">
      <c r="A7225" s="82"/>
      <c r="B7225" s="82"/>
      <c r="C7225" s="82"/>
    </row>
    <row r="7226" spans="1:3" x14ac:dyDescent="0.2">
      <c r="A7226" s="82"/>
      <c r="B7226" s="82"/>
      <c r="C7226" s="82"/>
    </row>
    <row r="7227" spans="1:3" x14ac:dyDescent="0.2">
      <c r="A7227" s="82"/>
      <c r="B7227" s="82"/>
      <c r="C7227" s="82"/>
    </row>
    <row r="7228" spans="1:3" x14ac:dyDescent="0.2">
      <c r="A7228" s="82"/>
      <c r="B7228" s="82"/>
      <c r="C7228" s="82"/>
    </row>
    <row r="7229" spans="1:3" x14ac:dyDescent="0.2">
      <c r="A7229" s="82"/>
      <c r="B7229" s="82"/>
      <c r="C7229" s="82"/>
    </row>
    <row r="7230" spans="1:3" x14ac:dyDescent="0.2">
      <c r="A7230" s="82"/>
      <c r="B7230" s="82"/>
      <c r="C7230" s="82"/>
    </row>
    <row r="7231" spans="1:3" x14ac:dyDescent="0.2">
      <c r="A7231" s="82"/>
      <c r="B7231" s="82"/>
      <c r="C7231" s="82"/>
    </row>
    <row r="7232" spans="1:3" x14ac:dyDescent="0.2">
      <c r="A7232" s="82"/>
      <c r="B7232" s="82"/>
      <c r="C7232" s="82"/>
    </row>
    <row r="7233" spans="1:3" x14ac:dyDescent="0.2">
      <c r="A7233" s="82"/>
      <c r="B7233" s="82"/>
      <c r="C7233" s="82"/>
    </row>
    <row r="7234" spans="1:3" x14ac:dyDescent="0.2">
      <c r="A7234" s="82"/>
      <c r="B7234" s="82"/>
      <c r="C7234" s="82"/>
    </row>
    <row r="7235" spans="1:3" x14ac:dyDescent="0.2">
      <c r="A7235" s="82"/>
      <c r="B7235" s="82"/>
      <c r="C7235" s="82"/>
    </row>
    <row r="7236" spans="1:3" x14ac:dyDescent="0.2">
      <c r="A7236" s="82"/>
      <c r="B7236" s="82"/>
      <c r="C7236" s="82"/>
    </row>
    <row r="7237" spans="1:3" x14ac:dyDescent="0.2">
      <c r="A7237" s="82"/>
      <c r="B7237" s="82"/>
      <c r="C7237" s="82"/>
    </row>
    <row r="7238" spans="1:3" x14ac:dyDescent="0.2">
      <c r="A7238" s="82"/>
      <c r="B7238" s="82"/>
      <c r="C7238" s="82"/>
    </row>
    <row r="7239" spans="1:3" x14ac:dyDescent="0.2">
      <c r="A7239" s="82"/>
      <c r="B7239" s="82"/>
      <c r="C7239" s="82"/>
    </row>
    <row r="7240" spans="1:3" x14ac:dyDescent="0.2">
      <c r="A7240" s="82"/>
      <c r="B7240" s="82"/>
      <c r="C7240" s="82"/>
    </row>
    <row r="7241" spans="1:3" x14ac:dyDescent="0.2">
      <c r="A7241" s="82"/>
      <c r="B7241" s="82"/>
      <c r="C7241" s="82"/>
    </row>
    <row r="7242" spans="1:3" x14ac:dyDescent="0.2">
      <c r="A7242" s="82"/>
      <c r="B7242" s="82"/>
      <c r="C7242" s="82"/>
    </row>
    <row r="7243" spans="1:3" x14ac:dyDescent="0.2">
      <c r="A7243" s="82"/>
      <c r="B7243" s="82"/>
      <c r="C7243" s="82"/>
    </row>
    <row r="7244" spans="1:3" x14ac:dyDescent="0.2">
      <c r="A7244" s="82"/>
      <c r="B7244" s="82"/>
      <c r="C7244" s="82"/>
    </row>
    <row r="7245" spans="1:3" x14ac:dyDescent="0.2">
      <c r="A7245" s="82"/>
      <c r="B7245" s="82"/>
      <c r="C7245" s="82"/>
    </row>
    <row r="7246" spans="1:3" x14ac:dyDescent="0.2">
      <c r="A7246" s="82"/>
      <c r="B7246" s="82"/>
      <c r="C7246" s="82"/>
    </row>
    <row r="7247" spans="1:3" x14ac:dyDescent="0.2">
      <c r="A7247" s="82"/>
      <c r="B7247" s="82"/>
      <c r="C7247" s="82"/>
    </row>
    <row r="7248" spans="1:3" x14ac:dyDescent="0.2">
      <c r="A7248" s="82"/>
      <c r="B7248" s="82"/>
      <c r="C7248" s="82"/>
    </row>
    <row r="7249" spans="1:3" x14ac:dyDescent="0.2">
      <c r="A7249" s="82"/>
      <c r="B7249" s="82"/>
      <c r="C7249" s="82"/>
    </row>
    <row r="7250" spans="1:3" x14ac:dyDescent="0.2">
      <c r="A7250" s="82"/>
      <c r="B7250" s="82"/>
      <c r="C7250" s="82"/>
    </row>
    <row r="7251" spans="1:3" x14ac:dyDescent="0.2">
      <c r="A7251" s="82"/>
      <c r="B7251" s="82"/>
      <c r="C7251" s="82"/>
    </row>
    <row r="7252" spans="1:3" x14ac:dyDescent="0.2">
      <c r="A7252" s="82"/>
      <c r="B7252" s="82"/>
      <c r="C7252" s="82"/>
    </row>
    <row r="7253" spans="1:3" x14ac:dyDescent="0.2">
      <c r="A7253" s="82"/>
      <c r="B7253" s="82"/>
      <c r="C7253" s="82"/>
    </row>
    <row r="7254" spans="1:3" x14ac:dyDescent="0.2">
      <c r="A7254" s="82"/>
      <c r="B7254" s="82"/>
      <c r="C7254" s="82"/>
    </row>
    <row r="7255" spans="1:3" x14ac:dyDescent="0.2">
      <c r="A7255" s="82"/>
      <c r="B7255" s="82"/>
      <c r="C7255" s="82"/>
    </row>
    <row r="7256" spans="1:3" x14ac:dyDescent="0.2">
      <c r="A7256" s="82"/>
      <c r="B7256" s="82"/>
      <c r="C7256" s="82"/>
    </row>
    <row r="7257" spans="1:3" x14ac:dyDescent="0.2">
      <c r="A7257" s="82"/>
      <c r="B7257" s="82"/>
      <c r="C7257" s="82"/>
    </row>
    <row r="7258" spans="1:3" x14ac:dyDescent="0.2">
      <c r="A7258" s="82"/>
      <c r="B7258" s="82"/>
      <c r="C7258" s="82"/>
    </row>
    <row r="7259" spans="1:3" x14ac:dyDescent="0.2">
      <c r="A7259" s="82"/>
      <c r="B7259" s="82"/>
      <c r="C7259" s="82"/>
    </row>
    <row r="7260" spans="1:3" x14ac:dyDescent="0.2">
      <c r="A7260" s="82"/>
      <c r="B7260" s="82"/>
      <c r="C7260" s="82"/>
    </row>
    <row r="7261" spans="1:3" x14ac:dyDescent="0.2">
      <c r="A7261" s="82"/>
      <c r="B7261" s="82"/>
      <c r="C7261" s="82"/>
    </row>
    <row r="7262" spans="1:3" x14ac:dyDescent="0.2">
      <c r="A7262" s="82"/>
      <c r="B7262" s="82"/>
      <c r="C7262" s="82"/>
    </row>
    <row r="7263" spans="1:3" x14ac:dyDescent="0.2">
      <c r="A7263" s="82"/>
      <c r="B7263" s="82"/>
      <c r="C7263" s="82"/>
    </row>
    <row r="7264" spans="1:3" x14ac:dyDescent="0.2">
      <c r="A7264" s="82"/>
      <c r="B7264" s="82"/>
      <c r="C7264" s="82"/>
    </row>
    <row r="7265" spans="1:3" x14ac:dyDescent="0.2">
      <c r="A7265" s="82"/>
      <c r="B7265" s="82"/>
      <c r="C7265" s="82"/>
    </row>
    <row r="7266" spans="1:3" x14ac:dyDescent="0.2">
      <c r="A7266" s="82"/>
      <c r="B7266" s="82"/>
      <c r="C7266" s="82"/>
    </row>
    <row r="7267" spans="1:3" x14ac:dyDescent="0.2">
      <c r="A7267" s="82"/>
      <c r="B7267" s="82"/>
      <c r="C7267" s="82"/>
    </row>
    <row r="7268" spans="1:3" x14ac:dyDescent="0.2">
      <c r="A7268" s="82"/>
      <c r="B7268" s="82"/>
      <c r="C7268" s="82"/>
    </row>
    <row r="7269" spans="1:3" x14ac:dyDescent="0.2">
      <c r="A7269" s="82"/>
      <c r="B7269" s="82"/>
      <c r="C7269" s="82"/>
    </row>
    <row r="7270" spans="1:3" x14ac:dyDescent="0.2">
      <c r="A7270" s="82"/>
      <c r="B7270" s="82"/>
      <c r="C7270" s="82"/>
    </row>
    <row r="7271" spans="1:3" x14ac:dyDescent="0.2">
      <c r="A7271" s="82"/>
      <c r="B7271" s="82"/>
      <c r="C7271" s="82"/>
    </row>
    <row r="7272" spans="1:3" x14ac:dyDescent="0.2">
      <c r="A7272" s="82"/>
      <c r="B7272" s="82"/>
      <c r="C7272" s="82"/>
    </row>
    <row r="7273" spans="1:3" x14ac:dyDescent="0.2">
      <c r="A7273" s="82"/>
      <c r="B7273" s="82"/>
      <c r="C7273" s="82"/>
    </row>
    <row r="7274" spans="1:3" x14ac:dyDescent="0.2">
      <c r="A7274" s="82"/>
      <c r="B7274" s="82"/>
      <c r="C7274" s="82"/>
    </row>
    <row r="7275" spans="1:3" x14ac:dyDescent="0.2">
      <c r="A7275" s="82"/>
      <c r="B7275" s="82"/>
      <c r="C7275" s="82"/>
    </row>
    <row r="7276" spans="1:3" x14ac:dyDescent="0.2">
      <c r="A7276" s="82"/>
      <c r="B7276" s="82"/>
      <c r="C7276" s="82"/>
    </row>
    <row r="7277" spans="1:3" x14ac:dyDescent="0.2">
      <c r="A7277" s="82"/>
      <c r="B7277" s="82"/>
      <c r="C7277" s="82"/>
    </row>
    <row r="7278" spans="1:3" x14ac:dyDescent="0.2">
      <c r="A7278" s="82"/>
      <c r="B7278" s="82"/>
      <c r="C7278" s="82"/>
    </row>
    <row r="7279" spans="1:3" x14ac:dyDescent="0.2">
      <c r="A7279" s="82"/>
      <c r="B7279" s="82"/>
      <c r="C7279" s="82"/>
    </row>
    <row r="7280" spans="1:3" x14ac:dyDescent="0.2">
      <c r="A7280" s="82"/>
      <c r="B7280" s="82"/>
      <c r="C7280" s="82"/>
    </row>
    <row r="7281" spans="1:3" x14ac:dyDescent="0.2">
      <c r="A7281" s="82"/>
      <c r="B7281" s="82"/>
      <c r="C7281" s="82"/>
    </row>
    <row r="7282" spans="1:3" x14ac:dyDescent="0.2">
      <c r="A7282" s="82"/>
      <c r="B7282" s="82"/>
      <c r="C7282" s="82"/>
    </row>
    <row r="7283" spans="1:3" x14ac:dyDescent="0.2">
      <c r="A7283" s="82"/>
      <c r="B7283" s="82"/>
      <c r="C7283" s="82"/>
    </row>
    <row r="7284" spans="1:3" x14ac:dyDescent="0.2">
      <c r="A7284" s="82"/>
      <c r="B7284" s="82"/>
      <c r="C7284" s="82"/>
    </row>
    <row r="7285" spans="1:3" x14ac:dyDescent="0.2">
      <c r="A7285" s="82"/>
      <c r="B7285" s="82"/>
      <c r="C7285" s="82"/>
    </row>
    <row r="7286" spans="1:3" x14ac:dyDescent="0.2">
      <c r="A7286" s="82"/>
      <c r="B7286" s="82"/>
      <c r="C7286" s="82"/>
    </row>
    <row r="7287" spans="1:3" x14ac:dyDescent="0.2">
      <c r="A7287" s="82"/>
      <c r="B7287" s="82"/>
      <c r="C7287" s="82"/>
    </row>
    <row r="7288" spans="1:3" x14ac:dyDescent="0.2">
      <c r="A7288" s="82"/>
      <c r="B7288" s="82"/>
      <c r="C7288" s="82"/>
    </row>
    <row r="7289" spans="1:3" x14ac:dyDescent="0.2">
      <c r="A7289" s="82"/>
      <c r="B7289" s="82"/>
      <c r="C7289" s="82"/>
    </row>
    <row r="7290" spans="1:3" x14ac:dyDescent="0.2">
      <c r="A7290" s="82"/>
      <c r="B7290" s="82"/>
      <c r="C7290" s="82"/>
    </row>
    <row r="7291" spans="1:3" x14ac:dyDescent="0.2">
      <c r="A7291" s="82"/>
      <c r="B7291" s="82"/>
      <c r="C7291" s="82"/>
    </row>
    <row r="7292" spans="1:3" x14ac:dyDescent="0.2">
      <c r="A7292" s="82"/>
      <c r="B7292" s="82"/>
      <c r="C7292" s="82"/>
    </row>
    <row r="7293" spans="1:3" x14ac:dyDescent="0.2">
      <c r="A7293" s="82"/>
      <c r="B7293" s="82"/>
      <c r="C7293" s="82"/>
    </row>
    <row r="7294" spans="1:3" x14ac:dyDescent="0.2">
      <c r="A7294" s="82"/>
      <c r="B7294" s="82"/>
      <c r="C7294" s="82"/>
    </row>
    <row r="7295" spans="1:3" x14ac:dyDescent="0.2">
      <c r="A7295" s="82"/>
      <c r="B7295" s="82"/>
      <c r="C7295" s="82"/>
    </row>
    <row r="7296" spans="1:3" x14ac:dyDescent="0.2">
      <c r="A7296" s="82"/>
      <c r="B7296" s="82"/>
      <c r="C7296" s="82"/>
    </row>
    <row r="7297" spans="1:3" x14ac:dyDescent="0.2">
      <c r="A7297" s="82"/>
      <c r="B7297" s="82"/>
      <c r="C7297" s="82"/>
    </row>
    <row r="7298" spans="1:3" x14ac:dyDescent="0.2">
      <c r="A7298" s="82"/>
      <c r="B7298" s="82"/>
      <c r="C7298" s="82"/>
    </row>
    <row r="7299" spans="1:3" x14ac:dyDescent="0.2">
      <c r="A7299" s="82"/>
      <c r="B7299" s="82"/>
      <c r="C7299" s="82"/>
    </row>
    <row r="7300" spans="1:3" x14ac:dyDescent="0.2">
      <c r="A7300" s="82"/>
      <c r="B7300" s="82"/>
      <c r="C7300" s="82"/>
    </row>
    <row r="7301" spans="1:3" x14ac:dyDescent="0.2">
      <c r="A7301" s="82"/>
      <c r="B7301" s="82"/>
      <c r="C7301" s="82"/>
    </row>
    <row r="7302" spans="1:3" x14ac:dyDescent="0.2">
      <c r="A7302" s="82"/>
      <c r="B7302" s="82"/>
      <c r="C7302" s="82"/>
    </row>
    <row r="7303" spans="1:3" x14ac:dyDescent="0.2">
      <c r="A7303" s="82"/>
      <c r="B7303" s="82"/>
      <c r="C7303" s="82"/>
    </row>
    <row r="7304" spans="1:3" x14ac:dyDescent="0.2">
      <c r="A7304" s="82"/>
      <c r="B7304" s="82"/>
      <c r="C7304" s="82"/>
    </row>
    <row r="7305" spans="1:3" x14ac:dyDescent="0.2">
      <c r="A7305" s="82"/>
      <c r="B7305" s="82"/>
      <c r="C7305" s="82"/>
    </row>
    <row r="7306" spans="1:3" x14ac:dyDescent="0.2">
      <c r="A7306" s="82"/>
      <c r="B7306" s="82"/>
      <c r="C7306" s="82"/>
    </row>
    <row r="7307" spans="1:3" x14ac:dyDescent="0.2">
      <c r="A7307" s="82"/>
      <c r="B7307" s="82"/>
      <c r="C7307" s="82"/>
    </row>
    <row r="7308" spans="1:3" x14ac:dyDescent="0.2">
      <c r="A7308" s="82"/>
      <c r="B7308" s="82"/>
      <c r="C7308" s="82"/>
    </row>
    <row r="7309" spans="1:3" x14ac:dyDescent="0.2">
      <c r="A7309" s="82"/>
      <c r="B7309" s="82"/>
      <c r="C7309" s="82"/>
    </row>
    <row r="7310" spans="1:3" x14ac:dyDescent="0.2">
      <c r="A7310" s="82"/>
      <c r="B7310" s="82"/>
      <c r="C7310" s="82"/>
    </row>
    <row r="7311" spans="1:3" x14ac:dyDescent="0.2">
      <c r="A7311" s="82"/>
      <c r="B7311" s="82"/>
      <c r="C7311" s="82"/>
    </row>
    <row r="7312" spans="1:3" x14ac:dyDescent="0.2">
      <c r="A7312" s="82"/>
      <c r="B7312" s="82"/>
      <c r="C7312" s="82"/>
    </row>
    <row r="7313" spans="1:3" x14ac:dyDescent="0.2">
      <c r="A7313" s="82"/>
      <c r="B7313" s="82"/>
      <c r="C7313" s="82"/>
    </row>
    <row r="7314" spans="1:3" x14ac:dyDescent="0.2">
      <c r="A7314" s="82"/>
      <c r="B7314" s="82"/>
      <c r="C7314" s="82"/>
    </row>
    <row r="7315" spans="1:3" x14ac:dyDescent="0.2">
      <c r="A7315" s="82"/>
      <c r="B7315" s="82"/>
      <c r="C7315" s="82"/>
    </row>
    <row r="7316" spans="1:3" x14ac:dyDescent="0.2">
      <c r="A7316" s="82"/>
      <c r="B7316" s="82"/>
      <c r="C7316" s="82"/>
    </row>
    <row r="7317" spans="1:3" x14ac:dyDescent="0.2">
      <c r="A7317" s="82"/>
      <c r="B7317" s="82"/>
      <c r="C7317" s="82"/>
    </row>
    <row r="7318" spans="1:3" x14ac:dyDescent="0.2">
      <c r="A7318" s="82"/>
      <c r="B7318" s="82"/>
      <c r="C7318" s="82"/>
    </row>
    <row r="7319" spans="1:3" x14ac:dyDescent="0.2">
      <c r="A7319" s="82"/>
      <c r="B7319" s="82"/>
      <c r="C7319" s="82"/>
    </row>
    <row r="7320" spans="1:3" x14ac:dyDescent="0.2">
      <c r="A7320" s="82"/>
      <c r="B7320" s="82"/>
      <c r="C7320" s="82"/>
    </row>
    <row r="7321" spans="1:3" x14ac:dyDescent="0.2">
      <c r="A7321" s="82"/>
      <c r="B7321" s="82"/>
      <c r="C7321" s="82"/>
    </row>
    <row r="7322" spans="1:3" x14ac:dyDescent="0.2">
      <c r="A7322" s="82"/>
      <c r="B7322" s="82"/>
      <c r="C7322" s="82"/>
    </row>
    <row r="7323" spans="1:3" x14ac:dyDescent="0.2">
      <c r="A7323" s="82"/>
      <c r="B7323" s="82"/>
      <c r="C7323" s="82"/>
    </row>
    <row r="7324" spans="1:3" x14ac:dyDescent="0.2">
      <c r="A7324" s="82"/>
      <c r="B7324" s="82"/>
      <c r="C7324" s="82"/>
    </row>
    <row r="7325" spans="1:3" x14ac:dyDescent="0.2">
      <c r="A7325" s="82"/>
      <c r="B7325" s="82"/>
      <c r="C7325" s="82"/>
    </row>
    <row r="7326" spans="1:3" x14ac:dyDescent="0.2">
      <c r="A7326" s="82"/>
      <c r="B7326" s="82"/>
      <c r="C7326" s="82"/>
    </row>
    <row r="7327" spans="1:3" x14ac:dyDescent="0.2">
      <c r="A7327" s="82"/>
      <c r="B7327" s="82"/>
      <c r="C7327" s="82"/>
    </row>
    <row r="7328" spans="1:3" x14ac:dyDescent="0.2">
      <c r="A7328" s="82"/>
      <c r="B7328" s="82"/>
      <c r="C7328" s="82"/>
    </row>
    <row r="7329" spans="1:3" x14ac:dyDescent="0.2">
      <c r="A7329" s="82"/>
      <c r="B7329" s="82"/>
      <c r="C7329" s="82"/>
    </row>
    <row r="7330" spans="1:3" x14ac:dyDescent="0.2">
      <c r="A7330" s="82"/>
      <c r="B7330" s="82"/>
      <c r="C7330" s="82"/>
    </row>
    <row r="7331" spans="1:3" x14ac:dyDescent="0.2">
      <c r="A7331" s="82"/>
      <c r="B7331" s="82"/>
      <c r="C7331" s="82"/>
    </row>
    <row r="7332" spans="1:3" x14ac:dyDescent="0.2">
      <c r="A7332" s="82"/>
      <c r="B7332" s="82"/>
      <c r="C7332" s="82"/>
    </row>
    <row r="7333" spans="1:3" x14ac:dyDescent="0.2">
      <c r="A7333" s="82"/>
      <c r="B7333" s="82"/>
      <c r="C7333" s="82"/>
    </row>
    <row r="7334" spans="1:3" x14ac:dyDescent="0.2">
      <c r="A7334" s="82"/>
      <c r="B7334" s="82"/>
      <c r="C7334" s="82"/>
    </row>
    <row r="7335" spans="1:3" x14ac:dyDescent="0.2">
      <c r="A7335" s="82"/>
      <c r="B7335" s="82"/>
      <c r="C7335" s="82"/>
    </row>
    <row r="7336" spans="1:3" x14ac:dyDescent="0.2">
      <c r="A7336" s="82"/>
      <c r="B7336" s="82"/>
      <c r="C7336" s="82"/>
    </row>
    <row r="7337" spans="1:3" x14ac:dyDescent="0.2">
      <c r="A7337" s="82"/>
      <c r="B7337" s="82"/>
      <c r="C7337" s="82"/>
    </row>
    <row r="7338" spans="1:3" x14ac:dyDescent="0.2">
      <c r="A7338" s="82"/>
      <c r="B7338" s="82"/>
      <c r="C7338" s="82"/>
    </row>
    <row r="7339" spans="1:3" x14ac:dyDescent="0.2">
      <c r="A7339" s="82"/>
      <c r="B7339" s="82"/>
      <c r="C7339" s="82"/>
    </row>
    <row r="7340" spans="1:3" x14ac:dyDescent="0.2">
      <c r="A7340" s="82"/>
      <c r="B7340" s="82"/>
      <c r="C7340" s="82"/>
    </row>
    <row r="7341" spans="1:3" x14ac:dyDescent="0.2">
      <c r="A7341" s="82"/>
      <c r="B7341" s="82"/>
      <c r="C7341" s="82"/>
    </row>
    <row r="7342" spans="1:3" x14ac:dyDescent="0.2">
      <c r="A7342" s="82"/>
      <c r="B7342" s="82"/>
      <c r="C7342" s="82"/>
    </row>
    <row r="7343" spans="1:3" x14ac:dyDescent="0.2">
      <c r="A7343" s="82"/>
      <c r="B7343" s="82"/>
      <c r="C7343" s="82"/>
    </row>
    <row r="7344" spans="1:3" x14ac:dyDescent="0.2">
      <c r="A7344" s="82"/>
      <c r="B7344" s="82"/>
      <c r="C7344" s="82"/>
    </row>
    <row r="7345" spans="1:3" x14ac:dyDescent="0.2">
      <c r="A7345" s="82"/>
      <c r="B7345" s="82"/>
      <c r="C7345" s="82"/>
    </row>
    <row r="7346" spans="1:3" x14ac:dyDescent="0.2">
      <c r="A7346" s="82"/>
      <c r="B7346" s="82"/>
      <c r="C7346" s="82"/>
    </row>
    <row r="7347" spans="1:3" x14ac:dyDescent="0.2">
      <c r="A7347" s="82"/>
      <c r="B7347" s="82"/>
      <c r="C7347" s="82"/>
    </row>
    <row r="7348" spans="1:3" x14ac:dyDescent="0.2">
      <c r="A7348" s="82"/>
      <c r="B7348" s="82"/>
      <c r="C7348" s="82"/>
    </row>
    <row r="7349" spans="1:3" x14ac:dyDescent="0.2">
      <c r="A7349" s="82"/>
      <c r="B7349" s="82"/>
      <c r="C7349" s="82"/>
    </row>
    <row r="7350" spans="1:3" x14ac:dyDescent="0.2">
      <c r="A7350" s="82"/>
      <c r="B7350" s="82"/>
      <c r="C7350" s="82"/>
    </row>
    <row r="7351" spans="1:3" x14ac:dyDescent="0.2">
      <c r="A7351" s="82"/>
      <c r="B7351" s="82"/>
      <c r="C7351" s="82"/>
    </row>
    <row r="7352" spans="1:3" x14ac:dyDescent="0.2">
      <c r="A7352" s="82"/>
      <c r="B7352" s="82"/>
      <c r="C7352" s="82"/>
    </row>
    <row r="7353" spans="1:3" x14ac:dyDescent="0.2">
      <c r="A7353" s="82"/>
      <c r="B7353" s="82"/>
      <c r="C7353" s="82"/>
    </row>
    <row r="7354" spans="1:3" x14ac:dyDescent="0.2">
      <c r="A7354" s="82"/>
      <c r="B7354" s="82"/>
      <c r="C7354" s="82"/>
    </row>
    <row r="7355" spans="1:3" x14ac:dyDescent="0.2">
      <c r="A7355" s="82"/>
      <c r="B7355" s="82"/>
      <c r="C7355" s="82"/>
    </row>
    <row r="7356" spans="1:3" x14ac:dyDescent="0.2">
      <c r="A7356" s="82"/>
      <c r="B7356" s="82"/>
      <c r="C7356" s="82"/>
    </row>
    <row r="7357" spans="1:3" x14ac:dyDescent="0.2">
      <c r="A7357" s="82"/>
      <c r="B7357" s="82"/>
      <c r="C7357" s="82"/>
    </row>
    <row r="7358" spans="1:3" x14ac:dyDescent="0.2">
      <c r="A7358" s="82"/>
      <c r="B7358" s="82"/>
      <c r="C7358" s="82"/>
    </row>
    <row r="7359" spans="1:3" x14ac:dyDescent="0.2">
      <c r="A7359" s="82"/>
      <c r="B7359" s="82"/>
      <c r="C7359" s="82"/>
    </row>
    <row r="7360" spans="1:3" x14ac:dyDescent="0.2">
      <c r="A7360" s="82"/>
      <c r="B7360" s="82"/>
      <c r="C7360" s="82"/>
    </row>
    <row r="7361" spans="1:3" x14ac:dyDescent="0.2">
      <c r="A7361" s="82"/>
      <c r="B7361" s="82"/>
      <c r="C7361" s="82"/>
    </row>
    <row r="7362" spans="1:3" x14ac:dyDescent="0.2">
      <c r="A7362" s="82"/>
      <c r="B7362" s="82"/>
      <c r="C7362" s="82"/>
    </row>
    <row r="7363" spans="1:3" x14ac:dyDescent="0.2">
      <c r="A7363" s="82"/>
      <c r="B7363" s="82"/>
      <c r="C7363" s="82"/>
    </row>
    <row r="7364" spans="1:3" x14ac:dyDescent="0.2">
      <c r="A7364" s="82"/>
      <c r="B7364" s="82"/>
      <c r="C7364" s="82"/>
    </row>
    <row r="7365" spans="1:3" x14ac:dyDescent="0.2">
      <c r="A7365" s="82"/>
      <c r="B7365" s="82"/>
      <c r="C7365" s="82"/>
    </row>
    <row r="7366" spans="1:3" x14ac:dyDescent="0.2">
      <c r="A7366" s="82"/>
      <c r="B7366" s="82"/>
      <c r="C7366" s="82"/>
    </row>
    <row r="7367" spans="1:3" x14ac:dyDescent="0.2">
      <c r="A7367" s="82"/>
      <c r="B7367" s="82"/>
      <c r="C7367" s="82"/>
    </row>
    <row r="7368" spans="1:3" x14ac:dyDescent="0.2">
      <c r="A7368" s="82"/>
      <c r="B7368" s="82"/>
      <c r="C7368" s="82"/>
    </row>
    <row r="7369" spans="1:3" x14ac:dyDescent="0.2">
      <c r="A7369" s="82"/>
      <c r="B7369" s="82"/>
      <c r="C7369" s="82"/>
    </row>
    <row r="7370" spans="1:3" x14ac:dyDescent="0.2">
      <c r="A7370" s="82"/>
      <c r="B7370" s="82"/>
      <c r="C7370" s="82"/>
    </row>
    <row r="7371" spans="1:3" x14ac:dyDescent="0.2">
      <c r="A7371" s="82"/>
      <c r="B7371" s="82"/>
      <c r="C7371" s="82"/>
    </row>
    <row r="7372" spans="1:3" x14ac:dyDescent="0.2">
      <c r="A7372" s="82"/>
      <c r="B7372" s="82"/>
      <c r="C7372" s="82"/>
    </row>
    <row r="7373" spans="1:3" x14ac:dyDescent="0.2">
      <c r="A7373" s="82"/>
      <c r="B7373" s="82"/>
      <c r="C7373" s="82"/>
    </row>
    <row r="7374" spans="1:3" x14ac:dyDescent="0.2">
      <c r="A7374" s="82"/>
      <c r="B7374" s="82"/>
      <c r="C7374" s="82"/>
    </row>
    <row r="7375" spans="1:3" x14ac:dyDescent="0.2">
      <c r="A7375" s="82"/>
      <c r="B7375" s="82"/>
      <c r="C7375" s="82"/>
    </row>
    <row r="7376" spans="1:3" x14ac:dyDescent="0.2">
      <c r="A7376" s="82"/>
      <c r="B7376" s="82"/>
      <c r="C7376" s="82"/>
    </row>
    <row r="7377" spans="1:3" x14ac:dyDescent="0.2">
      <c r="A7377" s="82"/>
      <c r="B7377" s="82"/>
      <c r="C7377" s="82"/>
    </row>
    <row r="7378" spans="1:3" x14ac:dyDescent="0.2">
      <c r="A7378" s="82"/>
      <c r="B7378" s="82"/>
      <c r="C7378" s="82"/>
    </row>
    <row r="7379" spans="1:3" x14ac:dyDescent="0.2">
      <c r="A7379" s="82"/>
      <c r="B7379" s="82"/>
      <c r="C7379" s="82"/>
    </row>
    <row r="7380" spans="1:3" x14ac:dyDescent="0.2">
      <c r="A7380" s="82"/>
      <c r="B7380" s="82"/>
      <c r="C7380" s="82"/>
    </row>
    <row r="7381" spans="1:3" x14ac:dyDescent="0.2">
      <c r="A7381" s="82"/>
      <c r="B7381" s="82"/>
      <c r="C7381" s="82"/>
    </row>
    <row r="7382" spans="1:3" x14ac:dyDescent="0.2">
      <c r="A7382" s="82"/>
      <c r="B7382" s="82"/>
      <c r="C7382" s="82"/>
    </row>
    <row r="7383" spans="1:3" x14ac:dyDescent="0.2">
      <c r="A7383" s="82"/>
      <c r="B7383" s="82"/>
      <c r="C7383" s="82"/>
    </row>
    <row r="7384" spans="1:3" x14ac:dyDescent="0.2">
      <c r="A7384" s="82"/>
      <c r="B7384" s="82"/>
      <c r="C7384" s="82"/>
    </row>
    <row r="7385" spans="1:3" x14ac:dyDescent="0.2">
      <c r="A7385" s="82"/>
      <c r="B7385" s="82"/>
      <c r="C7385" s="82"/>
    </row>
    <row r="7386" spans="1:3" x14ac:dyDescent="0.2">
      <c r="A7386" s="82"/>
      <c r="B7386" s="82"/>
      <c r="C7386" s="82"/>
    </row>
    <row r="7387" spans="1:3" x14ac:dyDescent="0.2">
      <c r="A7387" s="82"/>
      <c r="B7387" s="82"/>
      <c r="C7387" s="82"/>
    </row>
    <row r="7388" spans="1:3" x14ac:dyDescent="0.2">
      <c r="A7388" s="82"/>
      <c r="B7388" s="82"/>
      <c r="C7388" s="82"/>
    </row>
    <row r="7389" spans="1:3" x14ac:dyDescent="0.2">
      <c r="A7389" s="82"/>
      <c r="B7389" s="82"/>
      <c r="C7389" s="82"/>
    </row>
    <row r="7390" spans="1:3" x14ac:dyDescent="0.2">
      <c r="A7390" s="82"/>
      <c r="B7390" s="82"/>
      <c r="C7390" s="82"/>
    </row>
    <row r="7391" spans="1:3" x14ac:dyDescent="0.2">
      <c r="A7391" s="82"/>
      <c r="B7391" s="82"/>
      <c r="C7391" s="82"/>
    </row>
    <row r="7392" spans="1:3" x14ac:dyDescent="0.2">
      <c r="A7392" s="82"/>
      <c r="B7392" s="82"/>
      <c r="C7392" s="82"/>
    </row>
    <row r="7393" spans="1:3" x14ac:dyDescent="0.2">
      <c r="A7393" s="82"/>
      <c r="B7393" s="82"/>
      <c r="C7393" s="82"/>
    </row>
    <row r="7394" spans="1:3" x14ac:dyDescent="0.2">
      <c r="A7394" s="82"/>
      <c r="B7394" s="82"/>
      <c r="C7394" s="82"/>
    </row>
    <row r="7395" spans="1:3" x14ac:dyDescent="0.2">
      <c r="A7395" s="82"/>
      <c r="B7395" s="82"/>
      <c r="C7395" s="82"/>
    </row>
    <row r="7396" spans="1:3" x14ac:dyDescent="0.2">
      <c r="A7396" s="82"/>
      <c r="B7396" s="82"/>
      <c r="C7396" s="82"/>
    </row>
    <row r="7397" spans="1:3" x14ac:dyDescent="0.2">
      <c r="A7397" s="82"/>
      <c r="B7397" s="82"/>
      <c r="C7397" s="82"/>
    </row>
    <row r="7398" spans="1:3" x14ac:dyDescent="0.2">
      <c r="A7398" s="82"/>
      <c r="B7398" s="82"/>
      <c r="C7398" s="82"/>
    </row>
    <row r="7399" spans="1:3" x14ac:dyDescent="0.2">
      <c r="A7399" s="82"/>
      <c r="B7399" s="82"/>
      <c r="C7399" s="82"/>
    </row>
    <row r="7400" spans="1:3" x14ac:dyDescent="0.2">
      <c r="A7400" s="82"/>
      <c r="B7400" s="82"/>
      <c r="C7400" s="82"/>
    </row>
    <row r="7401" spans="1:3" x14ac:dyDescent="0.2">
      <c r="A7401" s="82"/>
      <c r="B7401" s="82"/>
      <c r="C7401" s="82"/>
    </row>
    <row r="7402" spans="1:3" x14ac:dyDescent="0.2">
      <c r="A7402" s="82"/>
      <c r="B7402" s="82"/>
      <c r="C7402" s="82"/>
    </row>
    <row r="7403" spans="1:3" x14ac:dyDescent="0.2">
      <c r="A7403" s="82"/>
      <c r="B7403" s="82"/>
      <c r="C7403" s="82"/>
    </row>
    <row r="7404" spans="1:3" x14ac:dyDescent="0.2">
      <c r="A7404" s="82"/>
      <c r="B7404" s="82"/>
      <c r="C7404" s="82"/>
    </row>
    <row r="7405" spans="1:3" x14ac:dyDescent="0.2">
      <c r="A7405" s="82"/>
      <c r="B7405" s="82"/>
      <c r="C7405" s="82"/>
    </row>
    <row r="7406" spans="1:3" x14ac:dyDescent="0.2">
      <c r="A7406" s="82"/>
      <c r="B7406" s="82"/>
      <c r="C7406" s="82"/>
    </row>
    <row r="7407" spans="1:3" x14ac:dyDescent="0.2">
      <c r="A7407" s="82"/>
      <c r="B7407" s="82"/>
      <c r="C7407" s="82"/>
    </row>
    <row r="7408" spans="1:3" x14ac:dyDescent="0.2">
      <c r="A7408" s="82"/>
      <c r="B7408" s="82"/>
      <c r="C7408" s="82"/>
    </row>
    <row r="7409" spans="1:3" x14ac:dyDescent="0.2">
      <c r="A7409" s="82"/>
      <c r="B7409" s="82"/>
      <c r="C7409" s="82"/>
    </row>
    <row r="7410" spans="1:3" x14ac:dyDescent="0.2">
      <c r="A7410" s="82"/>
      <c r="B7410" s="82"/>
      <c r="C7410" s="82"/>
    </row>
    <row r="7411" spans="1:3" x14ac:dyDescent="0.2">
      <c r="A7411" s="82"/>
      <c r="B7411" s="82"/>
      <c r="C7411" s="82"/>
    </row>
    <row r="7412" spans="1:3" x14ac:dyDescent="0.2">
      <c r="A7412" s="82"/>
      <c r="B7412" s="82"/>
      <c r="C7412" s="82"/>
    </row>
    <row r="7413" spans="1:3" x14ac:dyDescent="0.2">
      <c r="A7413" s="82"/>
      <c r="B7413" s="82"/>
      <c r="C7413" s="82"/>
    </row>
    <row r="7414" spans="1:3" x14ac:dyDescent="0.2">
      <c r="A7414" s="82"/>
      <c r="B7414" s="82"/>
      <c r="C7414" s="82"/>
    </row>
    <row r="7415" spans="1:3" x14ac:dyDescent="0.2">
      <c r="A7415" s="82"/>
      <c r="B7415" s="82"/>
      <c r="C7415" s="82"/>
    </row>
    <row r="7416" spans="1:3" x14ac:dyDescent="0.2">
      <c r="A7416" s="82"/>
      <c r="B7416" s="82"/>
      <c r="C7416" s="82"/>
    </row>
    <row r="7417" spans="1:3" x14ac:dyDescent="0.2">
      <c r="A7417" s="82"/>
      <c r="B7417" s="82"/>
      <c r="C7417" s="82"/>
    </row>
    <row r="7418" spans="1:3" x14ac:dyDescent="0.2">
      <c r="A7418" s="82"/>
      <c r="B7418" s="82"/>
      <c r="C7418" s="82"/>
    </row>
    <row r="7419" spans="1:3" x14ac:dyDescent="0.2">
      <c r="A7419" s="82"/>
      <c r="B7419" s="82"/>
      <c r="C7419" s="82"/>
    </row>
    <row r="7420" spans="1:3" x14ac:dyDescent="0.2">
      <c r="A7420" s="82"/>
      <c r="B7420" s="82"/>
      <c r="C7420" s="82"/>
    </row>
    <row r="7421" spans="1:3" x14ac:dyDescent="0.2">
      <c r="A7421" s="82"/>
      <c r="B7421" s="82"/>
      <c r="C7421" s="82"/>
    </row>
    <row r="7422" spans="1:3" x14ac:dyDescent="0.2">
      <c r="A7422" s="82"/>
      <c r="B7422" s="82"/>
      <c r="C7422" s="82"/>
    </row>
    <row r="7423" spans="1:3" x14ac:dyDescent="0.2">
      <c r="A7423" s="82"/>
      <c r="B7423" s="82"/>
      <c r="C7423" s="82"/>
    </row>
    <row r="7424" spans="1:3" x14ac:dyDescent="0.2">
      <c r="A7424" s="82"/>
      <c r="B7424" s="82"/>
      <c r="C7424" s="82"/>
    </row>
    <row r="7425" spans="1:3" x14ac:dyDescent="0.2">
      <c r="A7425" s="82"/>
      <c r="B7425" s="82"/>
      <c r="C7425" s="82"/>
    </row>
    <row r="7426" spans="1:3" x14ac:dyDescent="0.2">
      <c r="A7426" s="82"/>
      <c r="B7426" s="82"/>
      <c r="C7426" s="82"/>
    </row>
    <row r="7427" spans="1:3" x14ac:dyDescent="0.2">
      <c r="A7427" s="82"/>
      <c r="B7427" s="82"/>
      <c r="C7427" s="82"/>
    </row>
    <row r="7428" spans="1:3" x14ac:dyDescent="0.2">
      <c r="A7428" s="82"/>
      <c r="B7428" s="82"/>
      <c r="C7428" s="82"/>
    </row>
    <row r="7429" spans="1:3" x14ac:dyDescent="0.2">
      <c r="A7429" s="82"/>
      <c r="B7429" s="82"/>
      <c r="C7429" s="82"/>
    </row>
    <row r="7430" spans="1:3" x14ac:dyDescent="0.2">
      <c r="A7430" s="82"/>
      <c r="B7430" s="82"/>
      <c r="C7430" s="82"/>
    </row>
    <row r="7431" spans="1:3" x14ac:dyDescent="0.2">
      <c r="A7431" s="82"/>
      <c r="B7431" s="82"/>
      <c r="C7431" s="82"/>
    </row>
    <row r="7432" spans="1:3" x14ac:dyDescent="0.2">
      <c r="A7432" s="82"/>
      <c r="B7432" s="82"/>
      <c r="C7432" s="82"/>
    </row>
    <row r="7433" spans="1:3" x14ac:dyDescent="0.2">
      <c r="A7433" s="82"/>
      <c r="B7433" s="82"/>
      <c r="C7433" s="82"/>
    </row>
    <row r="7434" spans="1:3" x14ac:dyDescent="0.2">
      <c r="A7434" s="82"/>
      <c r="B7434" s="82"/>
      <c r="C7434" s="82"/>
    </row>
    <row r="7435" spans="1:3" x14ac:dyDescent="0.2">
      <c r="A7435" s="82"/>
      <c r="B7435" s="82"/>
      <c r="C7435" s="82"/>
    </row>
    <row r="7436" spans="1:3" x14ac:dyDescent="0.2">
      <c r="A7436" s="82"/>
      <c r="B7436" s="82"/>
      <c r="C7436" s="82"/>
    </row>
    <row r="7437" spans="1:3" x14ac:dyDescent="0.2">
      <c r="A7437" s="82"/>
      <c r="B7437" s="82"/>
      <c r="C7437" s="82"/>
    </row>
    <row r="7438" spans="1:3" x14ac:dyDescent="0.2">
      <c r="A7438" s="82"/>
      <c r="B7438" s="82"/>
      <c r="C7438" s="82"/>
    </row>
    <row r="7439" spans="1:3" x14ac:dyDescent="0.2">
      <c r="A7439" s="82"/>
      <c r="B7439" s="82"/>
      <c r="C7439" s="82"/>
    </row>
    <row r="7440" spans="1:3" x14ac:dyDescent="0.2">
      <c r="A7440" s="82"/>
      <c r="B7440" s="82"/>
      <c r="C7440" s="82"/>
    </row>
    <row r="7441" spans="1:3" x14ac:dyDescent="0.2">
      <c r="A7441" s="82"/>
      <c r="B7441" s="82"/>
      <c r="C7441" s="82"/>
    </row>
    <row r="7442" spans="1:3" x14ac:dyDescent="0.2">
      <c r="A7442" s="82"/>
      <c r="B7442" s="82"/>
      <c r="C7442" s="82"/>
    </row>
    <row r="7443" spans="1:3" x14ac:dyDescent="0.2">
      <c r="A7443" s="82"/>
      <c r="B7443" s="82"/>
      <c r="C7443" s="82"/>
    </row>
    <row r="7444" spans="1:3" x14ac:dyDescent="0.2">
      <c r="A7444" s="82"/>
      <c r="B7444" s="82"/>
      <c r="C7444" s="82"/>
    </row>
    <row r="7445" spans="1:3" x14ac:dyDescent="0.2">
      <c r="A7445" s="82"/>
      <c r="B7445" s="82"/>
      <c r="C7445" s="82"/>
    </row>
    <row r="7446" spans="1:3" x14ac:dyDescent="0.2">
      <c r="A7446" s="82"/>
      <c r="B7446" s="82"/>
      <c r="C7446" s="82"/>
    </row>
    <row r="7447" spans="1:3" x14ac:dyDescent="0.2">
      <c r="A7447" s="82"/>
      <c r="B7447" s="82"/>
      <c r="C7447" s="82"/>
    </row>
    <row r="7448" spans="1:3" x14ac:dyDescent="0.2">
      <c r="A7448" s="82"/>
      <c r="B7448" s="82"/>
      <c r="C7448" s="82"/>
    </row>
    <row r="7449" spans="1:3" x14ac:dyDescent="0.2">
      <c r="A7449" s="82"/>
      <c r="B7449" s="82"/>
      <c r="C7449" s="82"/>
    </row>
    <row r="7450" spans="1:3" x14ac:dyDescent="0.2">
      <c r="A7450" s="82"/>
      <c r="B7450" s="82"/>
      <c r="C7450" s="82"/>
    </row>
    <row r="7451" spans="1:3" x14ac:dyDescent="0.2">
      <c r="A7451" s="82"/>
      <c r="B7451" s="82"/>
      <c r="C7451" s="82"/>
    </row>
    <row r="7452" spans="1:3" x14ac:dyDescent="0.2">
      <c r="A7452" s="82"/>
      <c r="B7452" s="82"/>
      <c r="C7452" s="82"/>
    </row>
    <row r="7453" spans="1:3" x14ac:dyDescent="0.2">
      <c r="A7453" s="82"/>
      <c r="B7453" s="82"/>
      <c r="C7453" s="82"/>
    </row>
    <row r="7454" spans="1:3" x14ac:dyDescent="0.2">
      <c r="A7454" s="82"/>
      <c r="B7454" s="82"/>
      <c r="C7454" s="82"/>
    </row>
    <row r="7455" spans="1:3" x14ac:dyDescent="0.2">
      <c r="A7455" s="82"/>
      <c r="B7455" s="82"/>
      <c r="C7455" s="82"/>
    </row>
    <row r="7456" spans="1:3" x14ac:dyDescent="0.2">
      <c r="A7456" s="82"/>
      <c r="B7456" s="82"/>
      <c r="C7456" s="82"/>
    </row>
    <row r="7457" spans="1:3" x14ac:dyDescent="0.2">
      <c r="A7457" s="82"/>
      <c r="B7457" s="82"/>
      <c r="C7457" s="82"/>
    </row>
    <row r="7458" spans="1:3" x14ac:dyDescent="0.2">
      <c r="A7458" s="82"/>
      <c r="B7458" s="82"/>
      <c r="C7458" s="82"/>
    </row>
    <row r="7459" spans="1:3" x14ac:dyDescent="0.2">
      <c r="A7459" s="82"/>
      <c r="B7459" s="82"/>
      <c r="C7459" s="82"/>
    </row>
    <row r="7460" spans="1:3" x14ac:dyDescent="0.2">
      <c r="A7460" s="82"/>
      <c r="B7460" s="82"/>
      <c r="C7460" s="82"/>
    </row>
    <row r="7461" spans="1:3" x14ac:dyDescent="0.2">
      <c r="A7461" s="82"/>
      <c r="B7461" s="82"/>
      <c r="C7461" s="82"/>
    </row>
    <row r="7462" spans="1:3" x14ac:dyDescent="0.2">
      <c r="A7462" s="82"/>
      <c r="B7462" s="82"/>
      <c r="C7462" s="82"/>
    </row>
    <row r="7463" spans="1:3" x14ac:dyDescent="0.2">
      <c r="A7463" s="82"/>
      <c r="B7463" s="82"/>
      <c r="C7463" s="82"/>
    </row>
    <row r="7464" spans="1:3" x14ac:dyDescent="0.2">
      <c r="A7464" s="82"/>
      <c r="B7464" s="82"/>
      <c r="C7464" s="82"/>
    </row>
    <row r="7465" spans="1:3" x14ac:dyDescent="0.2">
      <c r="A7465" s="82"/>
      <c r="B7465" s="82"/>
      <c r="C7465" s="82"/>
    </row>
    <row r="7466" spans="1:3" x14ac:dyDescent="0.2">
      <c r="A7466" s="82"/>
      <c r="B7466" s="82"/>
      <c r="C7466" s="82"/>
    </row>
    <row r="7467" spans="1:3" x14ac:dyDescent="0.2">
      <c r="A7467" s="82"/>
      <c r="B7467" s="82"/>
      <c r="C7467" s="82"/>
    </row>
    <row r="7468" spans="1:3" x14ac:dyDescent="0.2">
      <c r="A7468" s="82"/>
      <c r="B7468" s="82"/>
      <c r="C7468" s="82"/>
    </row>
    <row r="7469" spans="1:3" x14ac:dyDescent="0.2">
      <c r="A7469" s="82"/>
      <c r="B7469" s="82"/>
      <c r="C7469" s="82"/>
    </row>
    <row r="7470" spans="1:3" x14ac:dyDescent="0.2">
      <c r="A7470" s="82"/>
      <c r="B7470" s="82"/>
      <c r="C7470" s="82"/>
    </row>
    <row r="7471" spans="1:3" x14ac:dyDescent="0.2">
      <c r="A7471" s="82"/>
      <c r="B7471" s="82"/>
      <c r="C7471" s="82"/>
    </row>
    <row r="7472" spans="1:3" x14ac:dyDescent="0.2">
      <c r="A7472" s="82"/>
      <c r="B7472" s="82"/>
      <c r="C7472" s="82"/>
    </row>
    <row r="7473" spans="1:3" x14ac:dyDescent="0.2">
      <c r="A7473" s="82"/>
      <c r="B7473" s="82"/>
      <c r="C7473" s="82"/>
    </row>
    <row r="7474" spans="1:3" x14ac:dyDescent="0.2">
      <c r="A7474" s="82"/>
      <c r="B7474" s="82"/>
      <c r="C7474" s="82"/>
    </row>
    <row r="7475" spans="1:3" x14ac:dyDescent="0.2">
      <c r="A7475" s="82"/>
      <c r="B7475" s="82"/>
      <c r="C7475" s="82"/>
    </row>
    <row r="7476" spans="1:3" x14ac:dyDescent="0.2">
      <c r="A7476" s="82"/>
      <c r="B7476" s="82"/>
      <c r="C7476" s="82"/>
    </row>
    <row r="7477" spans="1:3" x14ac:dyDescent="0.2">
      <c r="A7477" s="82"/>
      <c r="B7477" s="82"/>
      <c r="C7477" s="82"/>
    </row>
    <row r="7478" spans="1:3" x14ac:dyDescent="0.2">
      <c r="A7478" s="82"/>
      <c r="B7478" s="82"/>
      <c r="C7478" s="82"/>
    </row>
    <row r="7479" spans="1:3" x14ac:dyDescent="0.2">
      <c r="A7479" s="82"/>
      <c r="B7479" s="82"/>
      <c r="C7479" s="82"/>
    </row>
    <row r="7480" spans="1:3" x14ac:dyDescent="0.2">
      <c r="A7480" s="82"/>
      <c r="B7480" s="82"/>
      <c r="C7480" s="82"/>
    </row>
    <row r="7481" spans="1:3" x14ac:dyDescent="0.2">
      <c r="A7481" s="82"/>
      <c r="B7481" s="82"/>
      <c r="C7481" s="82"/>
    </row>
    <row r="7482" spans="1:3" x14ac:dyDescent="0.2">
      <c r="A7482" s="82"/>
      <c r="B7482" s="82"/>
      <c r="C7482" s="82"/>
    </row>
    <row r="7483" spans="1:3" x14ac:dyDescent="0.2">
      <c r="A7483" s="82"/>
      <c r="B7483" s="82"/>
      <c r="C7483" s="82"/>
    </row>
    <row r="7484" spans="1:3" x14ac:dyDescent="0.2">
      <c r="A7484" s="82"/>
      <c r="B7484" s="82"/>
      <c r="C7484" s="82"/>
    </row>
    <row r="7485" spans="1:3" x14ac:dyDescent="0.2">
      <c r="A7485" s="82"/>
      <c r="B7485" s="82"/>
      <c r="C7485" s="82"/>
    </row>
    <row r="7486" spans="1:3" x14ac:dyDescent="0.2">
      <c r="A7486" s="82"/>
      <c r="B7486" s="82"/>
      <c r="C7486" s="82"/>
    </row>
    <row r="7487" spans="1:3" x14ac:dyDescent="0.2">
      <c r="A7487" s="82"/>
      <c r="B7487" s="82"/>
      <c r="C7487" s="82"/>
    </row>
    <row r="7488" spans="1:3" x14ac:dyDescent="0.2">
      <c r="A7488" s="82"/>
      <c r="B7488" s="82"/>
      <c r="C7488" s="82"/>
    </row>
    <row r="7489" spans="1:3" x14ac:dyDescent="0.2">
      <c r="A7489" s="82"/>
      <c r="B7489" s="82"/>
      <c r="C7489" s="82"/>
    </row>
    <row r="7490" spans="1:3" x14ac:dyDescent="0.2">
      <c r="A7490" s="82"/>
      <c r="B7490" s="82"/>
      <c r="C7490" s="82"/>
    </row>
    <row r="7491" spans="1:3" x14ac:dyDescent="0.2">
      <c r="A7491" s="82"/>
      <c r="B7491" s="82"/>
      <c r="C7491" s="82"/>
    </row>
    <row r="7492" spans="1:3" x14ac:dyDescent="0.2">
      <c r="A7492" s="82"/>
      <c r="B7492" s="82"/>
      <c r="C7492" s="82"/>
    </row>
    <row r="7493" spans="1:3" x14ac:dyDescent="0.2">
      <c r="A7493" s="82"/>
      <c r="B7493" s="82"/>
      <c r="C7493" s="82"/>
    </row>
    <row r="7494" spans="1:3" x14ac:dyDescent="0.2">
      <c r="A7494" s="82"/>
      <c r="B7494" s="82"/>
      <c r="C7494" s="82"/>
    </row>
    <row r="7495" spans="1:3" x14ac:dyDescent="0.2">
      <c r="A7495" s="82"/>
      <c r="B7495" s="82"/>
      <c r="C7495" s="82"/>
    </row>
    <row r="7496" spans="1:3" x14ac:dyDescent="0.2">
      <c r="A7496" s="82"/>
      <c r="B7496" s="82"/>
      <c r="C7496" s="82"/>
    </row>
    <row r="7497" spans="1:3" x14ac:dyDescent="0.2">
      <c r="A7497" s="82"/>
      <c r="B7497" s="82"/>
      <c r="C7497" s="82"/>
    </row>
    <row r="7498" spans="1:3" x14ac:dyDescent="0.2">
      <c r="A7498" s="82"/>
      <c r="B7498" s="82"/>
      <c r="C7498" s="82"/>
    </row>
    <row r="7499" spans="1:3" x14ac:dyDescent="0.2">
      <c r="A7499" s="82"/>
      <c r="B7499" s="82"/>
      <c r="C7499" s="82"/>
    </row>
    <row r="7500" spans="1:3" x14ac:dyDescent="0.2">
      <c r="A7500" s="82"/>
      <c r="B7500" s="82"/>
      <c r="C7500" s="82"/>
    </row>
    <row r="7501" spans="1:3" x14ac:dyDescent="0.2">
      <c r="A7501" s="82"/>
      <c r="B7501" s="82"/>
      <c r="C7501" s="82"/>
    </row>
    <row r="7502" spans="1:3" x14ac:dyDescent="0.2">
      <c r="A7502" s="82"/>
      <c r="B7502" s="82"/>
      <c r="C7502" s="82"/>
    </row>
    <row r="7503" spans="1:3" x14ac:dyDescent="0.2">
      <c r="A7503" s="82"/>
      <c r="B7503" s="82"/>
      <c r="C7503" s="82"/>
    </row>
    <row r="7504" spans="1:3" x14ac:dyDescent="0.2">
      <c r="A7504" s="82"/>
      <c r="B7504" s="82"/>
      <c r="C7504" s="82"/>
    </row>
    <row r="7505" spans="1:3" x14ac:dyDescent="0.2">
      <c r="A7505" s="82"/>
      <c r="B7505" s="82"/>
      <c r="C7505" s="82"/>
    </row>
    <row r="7506" spans="1:3" x14ac:dyDescent="0.2">
      <c r="A7506" s="82"/>
      <c r="B7506" s="82"/>
      <c r="C7506" s="82"/>
    </row>
    <row r="7507" spans="1:3" x14ac:dyDescent="0.2">
      <c r="A7507" s="82"/>
      <c r="B7507" s="82"/>
      <c r="C7507" s="82"/>
    </row>
    <row r="7508" spans="1:3" x14ac:dyDescent="0.2">
      <c r="A7508" s="82"/>
      <c r="B7508" s="82"/>
      <c r="C7508" s="82"/>
    </row>
    <row r="7509" spans="1:3" x14ac:dyDescent="0.2">
      <c r="A7509" s="82"/>
      <c r="B7509" s="82"/>
      <c r="C7509" s="82"/>
    </row>
    <row r="7510" spans="1:3" x14ac:dyDescent="0.2">
      <c r="A7510" s="82"/>
      <c r="B7510" s="82"/>
      <c r="C7510" s="82"/>
    </row>
    <row r="7511" spans="1:3" x14ac:dyDescent="0.2">
      <c r="A7511" s="82"/>
      <c r="B7511" s="82"/>
      <c r="C7511" s="82"/>
    </row>
    <row r="7512" spans="1:3" x14ac:dyDescent="0.2">
      <c r="A7512" s="82"/>
      <c r="B7512" s="82"/>
      <c r="C7512" s="82"/>
    </row>
    <row r="7513" spans="1:3" x14ac:dyDescent="0.2">
      <c r="A7513" s="82"/>
      <c r="B7513" s="82"/>
      <c r="C7513" s="82"/>
    </row>
    <row r="7514" spans="1:3" x14ac:dyDescent="0.2">
      <c r="A7514" s="82"/>
      <c r="B7514" s="82"/>
      <c r="C7514" s="82"/>
    </row>
    <row r="7515" spans="1:3" x14ac:dyDescent="0.2">
      <c r="A7515" s="82"/>
      <c r="B7515" s="82"/>
      <c r="C7515" s="82"/>
    </row>
    <row r="7516" spans="1:3" x14ac:dyDescent="0.2">
      <c r="A7516" s="82"/>
      <c r="B7516" s="82"/>
      <c r="C7516" s="82"/>
    </row>
    <row r="7517" spans="1:3" x14ac:dyDescent="0.2">
      <c r="A7517" s="82"/>
      <c r="B7517" s="82"/>
      <c r="C7517" s="82"/>
    </row>
    <row r="7518" spans="1:3" x14ac:dyDescent="0.2">
      <c r="A7518" s="82"/>
      <c r="B7518" s="82"/>
      <c r="C7518" s="82"/>
    </row>
    <row r="7519" spans="1:3" x14ac:dyDescent="0.2">
      <c r="A7519" s="82"/>
      <c r="B7519" s="82"/>
      <c r="C7519" s="82"/>
    </row>
    <row r="7520" spans="1:3" x14ac:dyDescent="0.2">
      <c r="A7520" s="82"/>
      <c r="B7520" s="82"/>
      <c r="C7520" s="82"/>
    </row>
    <row r="7521" spans="1:3" x14ac:dyDescent="0.2">
      <c r="A7521" s="82"/>
      <c r="B7521" s="82"/>
      <c r="C7521" s="82"/>
    </row>
    <row r="7522" spans="1:3" x14ac:dyDescent="0.2">
      <c r="A7522" s="82"/>
      <c r="B7522" s="82"/>
      <c r="C7522" s="82"/>
    </row>
    <row r="7523" spans="1:3" x14ac:dyDescent="0.2">
      <c r="A7523" s="82"/>
      <c r="B7523" s="82"/>
      <c r="C7523" s="82"/>
    </row>
    <row r="7524" spans="1:3" x14ac:dyDescent="0.2">
      <c r="A7524" s="82"/>
      <c r="B7524" s="82"/>
      <c r="C7524" s="82"/>
    </row>
    <row r="7525" spans="1:3" x14ac:dyDescent="0.2">
      <c r="A7525" s="82"/>
      <c r="B7525" s="82"/>
      <c r="C7525" s="82"/>
    </row>
    <row r="7526" spans="1:3" x14ac:dyDescent="0.2">
      <c r="A7526" s="82"/>
      <c r="B7526" s="82"/>
      <c r="C7526" s="82"/>
    </row>
    <row r="7527" spans="1:3" x14ac:dyDescent="0.2">
      <c r="A7527" s="82"/>
      <c r="B7527" s="82"/>
      <c r="C7527" s="82"/>
    </row>
    <row r="7528" spans="1:3" x14ac:dyDescent="0.2">
      <c r="A7528" s="82"/>
      <c r="B7528" s="82"/>
      <c r="C7528" s="82"/>
    </row>
    <row r="7529" spans="1:3" x14ac:dyDescent="0.2">
      <c r="A7529" s="82"/>
      <c r="B7529" s="82"/>
      <c r="C7529" s="82"/>
    </row>
    <row r="7530" spans="1:3" x14ac:dyDescent="0.2">
      <c r="A7530" s="82"/>
      <c r="B7530" s="82"/>
      <c r="C7530" s="82"/>
    </row>
    <row r="7531" spans="1:3" x14ac:dyDescent="0.2">
      <c r="A7531" s="82"/>
      <c r="B7531" s="82"/>
      <c r="C7531" s="82"/>
    </row>
    <row r="7532" spans="1:3" x14ac:dyDescent="0.2">
      <c r="A7532" s="82"/>
      <c r="B7532" s="82"/>
      <c r="C7532" s="82"/>
    </row>
    <row r="7533" spans="1:3" x14ac:dyDescent="0.2">
      <c r="A7533" s="82"/>
      <c r="B7533" s="82"/>
      <c r="C7533" s="82"/>
    </row>
    <row r="7534" spans="1:3" x14ac:dyDescent="0.2">
      <c r="A7534" s="82"/>
      <c r="B7534" s="82"/>
      <c r="C7534" s="82"/>
    </row>
    <row r="7535" spans="1:3" x14ac:dyDescent="0.2">
      <c r="A7535" s="82"/>
      <c r="B7535" s="82"/>
      <c r="C7535" s="82"/>
    </row>
    <row r="7536" spans="1:3" x14ac:dyDescent="0.2">
      <c r="A7536" s="82"/>
      <c r="B7536" s="82"/>
      <c r="C7536" s="82"/>
    </row>
    <row r="7537" spans="1:3" x14ac:dyDescent="0.2">
      <c r="A7537" s="82"/>
      <c r="B7537" s="82"/>
      <c r="C7537" s="82"/>
    </row>
    <row r="7538" spans="1:3" x14ac:dyDescent="0.2">
      <c r="A7538" s="82"/>
      <c r="B7538" s="82"/>
      <c r="C7538" s="82"/>
    </row>
    <row r="7539" spans="1:3" x14ac:dyDescent="0.2">
      <c r="A7539" s="82"/>
      <c r="B7539" s="82"/>
      <c r="C7539" s="82"/>
    </row>
    <row r="7540" spans="1:3" x14ac:dyDescent="0.2">
      <c r="A7540" s="82"/>
      <c r="B7540" s="82"/>
      <c r="C7540" s="82"/>
    </row>
    <row r="7541" spans="1:3" x14ac:dyDescent="0.2">
      <c r="A7541" s="82"/>
      <c r="B7541" s="82"/>
      <c r="C7541" s="82"/>
    </row>
    <row r="7542" spans="1:3" x14ac:dyDescent="0.2">
      <c r="A7542" s="82"/>
      <c r="B7542" s="82"/>
      <c r="C7542" s="82"/>
    </row>
    <row r="7543" spans="1:3" x14ac:dyDescent="0.2">
      <c r="A7543" s="82"/>
      <c r="B7543" s="82"/>
      <c r="C7543" s="82"/>
    </row>
    <row r="7544" spans="1:3" x14ac:dyDescent="0.2">
      <c r="A7544" s="82"/>
      <c r="B7544" s="82"/>
      <c r="C7544" s="82"/>
    </row>
    <row r="7545" spans="1:3" x14ac:dyDescent="0.2">
      <c r="A7545" s="82"/>
      <c r="B7545" s="82"/>
      <c r="C7545" s="82"/>
    </row>
    <row r="7546" spans="1:3" x14ac:dyDescent="0.2">
      <c r="A7546" s="82"/>
      <c r="B7546" s="82"/>
      <c r="C7546" s="82"/>
    </row>
    <row r="7547" spans="1:3" x14ac:dyDescent="0.2">
      <c r="A7547" s="82"/>
      <c r="B7547" s="82"/>
      <c r="C7547" s="82"/>
    </row>
    <row r="7548" spans="1:3" x14ac:dyDescent="0.2">
      <c r="A7548" s="82"/>
      <c r="B7548" s="82"/>
      <c r="C7548" s="82"/>
    </row>
    <row r="7549" spans="1:3" x14ac:dyDescent="0.2">
      <c r="A7549" s="82"/>
      <c r="B7549" s="82"/>
      <c r="C7549" s="82"/>
    </row>
    <row r="7550" spans="1:3" x14ac:dyDescent="0.2">
      <c r="A7550" s="82"/>
      <c r="B7550" s="82"/>
      <c r="C7550" s="82"/>
    </row>
    <row r="7551" spans="1:3" x14ac:dyDescent="0.2">
      <c r="A7551" s="82"/>
      <c r="B7551" s="82"/>
      <c r="C7551" s="82"/>
    </row>
    <row r="7552" spans="1:3" x14ac:dyDescent="0.2">
      <c r="A7552" s="82"/>
      <c r="B7552" s="82"/>
      <c r="C7552" s="82"/>
    </row>
    <row r="7553" spans="1:3" x14ac:dyDescent="0.2">
      <c r="A7553" s="82"/>
      <c r="B7553" s="82"/>
      <c r="C7553" s="82"/>
    </row>
    <row r="7554" spans="1:3" x14ac:dyDescent="0.2">
      <c r="A7554" s="82"/>
      <c r="B7554" s="82"/>
      <c r="C7554" s="82"/>
    </row>
    <row r="7555" spans="1:3" x14ac:dyDescent="0.2">
      <c r="A7555" s="82"/>
      <c r="B7555" s="82"/>
      <c r="C7555" s="82"/>
    </row>
    <row r="7556" spans="1:3" x14ac:dyDescent="0.2">
      <c r="A7556" s="82"/>
      <c r="B7556" s="82"/>
      <c r="C7556" s="82"/>
    </row>
    <row r="7557" spans="1:3" x14ac:dyDescent="0.2">
      <c r="A7557" s="82"/>
      <c r="B7557" s="82"/>
      <c r="C7557" s="82"/>
    </row>
    <row r="7558" spans="1:3" x14ac:dyDescent="0.2">
      <c r="A7558" s="82"/>
      <c r="B7558" s="82"/>
      <c r="C7558" s="82"/>
    </row>
    <row r="7559" spans="1:3" x14ac:dyDescent="0.2">
      <c r="A7559" s="82"/>
      <c r="B7559" s="82"/>
      <c r="C7559" s="82"/>
    </row>
    <row r="7560" spans="1:3" x14ac:dyDescent="0.2">
      <c r="A7560" s="82"/>
      <c r="B7560" s="82"/>
      <c r="C7560" s="82"/>
    </row>
    <row r="7561" spans="1:3" x14ac:dyDescent="0.2">
      <c r="A7561" s="82"/>
      <c r="B7561" s="82"/>
      <c r="C7561" s="82"/>
    </row>
    <row r="7562" spans="1:3" x14ac:dyDescent="0.2">
      <c r="A7562" s="82"/>
      <c r="B7562" s="82"/>
      <c r="C7562" s="82"/>
    </row>
    <row r="7563" spans="1:3" x14ac:dyDescent="0.2">
      <c r="A7563" s="82"/>
      <c r="B7563" s="82"/>
      <c r="C7563" s="82"/>
    </row>
    <row r="7564" spans="1:3" x14ac:dyDescent="0.2">
      <c r="A7564" s="82"/>
      <c r="B7564" s="82"/>
      <c r="C7564" s="82"/>
    </row>
    <row r="7565" spans="1:3" x14ac:dyDescent="0.2">
      <c r="A7565" s="82"/>
      <c r="B7565" s="82"/>
      <c r="C7565" s="82"/>
    </row>
    <row r="7566" spans="1:3" x14ac:dyDescent="0.2">
      <c r="A7566" s="82"/>
      <c r="B7566" s="82"/>
      <c r="C7566" s="82"/>
    </row>
    <row r="7567" spans="1:3" x14ac:dyDescent="0.2">
      <c r="A7567" s="82"/>
      <c r="B7567" s="82"/>
      <c r="C7567" s="82"/>
    </row>
    <row r="7568" spans="1:3" x14ac:dyDescent="0.2">
      <c r="A7568" s="82"/>
      <c r="B7568" s="82"/>
      <c r="C7568" s="82"/>
    </row>
    <row r="7569" spans="1:3" x14ac:dyDescent="0.2">
      <c r="A7569" s="82"/>
      <c r="B7569" s="82"/>
      <c r="C7569" s="82"/>
    </row>
    <row r="7570" spans="1:3" x14ac:dyDescent="0.2">
      <c r="A7570" s="82"/>
      <c r="B7570" s="82"/>
      <c r="C7570" s="82"/>
    </row>
    <row r="7571" spans="1:3" x14ac:dyDescent="0.2">
      <c r="A7571" s="82"/>
      <c r="B7571" s="82"/>
      <c r="C7571" s="82"/>
    </row>
    <row r="7572" spans="1:3" x14ac:dyDescent="0.2">
      <c r="A7572" s="82"/>
      <c r="B7572" s="82"/>
      <c r="C7572" s="82"/>
    </row>
    <row r="7573" spans="1:3" x14ac:dyDescent="0.2">
      <c r="A7573" s="82"/>
      <c r="B7573" s="82"/>
      <c r="C7573" s="82"/>
    </row>
    <row r="7574" spans="1:3" x14ac:dyDescent="0.2">
      <c r="A7574" s="82"/>
      <c r="B7574" s="82"/>
      <c r="C7574" s="82"/>
    </row>
    <row r="7575" spans="1:3" x14ac:dyDescent="0.2">
      <c r="A7575" s="82"/>
      <c r="B7575" s="82"/>
      <c r="C7575" s="82"/>
    </row>
    <row r="7576" spans="1:3" x14ac:dyDescent="0.2">
      <c r="A7576" s="82"/>
      <c r="B7576" s="82"/>
      <c r="C7576" s="82"/>
    </row>
    <row r="7577" spans="1:3" x14ac:dyDescent="0.2">
      <c r="A7577" s="82"/>
      <c r="B7577" s="82"/>
      <c r="C7577" s="82"/>
    </row>
    <row r="7578" spans="1:3" x14ac:dyDescent="0.2">
      <c r="A7578" s="82"/>
      <c r="B7578" s="82"/>
      <c r="C7578" s="82"/>
    </row>
    <row r="7579" spans="1:3" x14ac:dyDescent="0.2">
      <c r="A7579" s="82"/>
      <c r="B7579" s="82"/>
      <c r="C7579" s="82"/>
    </row>
    <row r="7580" spans="1:3" x14ac:dyDescent="0.2">
      <c r="A7580" s="82"/>
      <c r="B7580" s="82"/>
      <c r="C7580" s="82"/>
    </row>
    <row r="7581" spans="1:3" x14ac:dyDescent="0.2">
      <c r="A7581" s="82"/>
      <c r="B7581" s="82"/>
      <c r="C7581" s="82"/>
    </row>
    <row r="7582" spans="1:3" x14ac:dyDescent="0.2">
      <c r="A7582" s="82"/>
      <c r="B7582" s="82"/>
      <c r="C7582" s="82"/>
    </row>
    <row r="7583" spans="1:3" x14ac:dyDescent="0.2">
      <c r="A7583" s="82"/>
      <c r="B7583" s="82"/>
      <c r="C7583" s="82"/>
    </row>
    <row r="7584" spans="1:3" x14ac:dyDescent="0.2">
      <c r="A7584" s="82"/>
      <c r="B7584" s="82"/>
      <c r="C7584" s="82"/>
    </row>
    <row r="7585" spans="1:3" x14ac:dyDescent="0.2">
      <c r="A7585" s="82"/>
      <c r="B7585" s="82"/>
      <c r="C7585" s="82"/>
    </row>
    <row r="7586" spans="1:3" x14ac:dyDescent="0.2">
      <c r="A7586" s="82"/>
      <c r="B7586" s="82"/>
      <c r="C7586" s="82"/>
    </row>
    <row r="7587" spans="1:3" x14ac:dyDescent="0.2">
      <c r="A7587" s="82"/>
      <c r="B7587" s="82"/>
      <c r="C7587" s="82"/>
    </row>
    <row r="7588" spans="1:3" x14ac:dyDescent="0.2">
      <c r="A7588" s="82"/>
      <c r="B7588" s="82"/>
      <c r="C7588" s="82"/>
    </row>
    <row r="7589" spans="1:3" x14ac:dyDescent="0.2">
      <c r="A7589" s="82"/>
      <c r="B7589" s="82"/>
      <c r="C7589" s="82"/>
    </row>
    <row r="7590" spans="1:3" x14ac:dyDescent="0.2">
      <c r="A7590" s="82"/>
      <c r="B7590" s="82"/>
      <c r="C7590" s="82"/>
    </row>
    <row r="7591" spans="1:3" x14ac:dyDescent="0.2">
      <c r="A7591" s="82"/>
      <c r="B7591" s="82"/>
      <c r="C7591" s="82"/>
    </row>
    <row r="7592" spans="1:3" x14ac:dyDescent="0.2">
      <c r="A7592" s="82"/>
      <c r="B7592" s="82"/>
      <c r="C7592" s="82"/>
    </row>
    <row r="7593" spans="1:3" x14ac:dyDescent="0.2">
      <c r="A7593" s="82"/>
      <c r="B7593" s="82"/>
      <c r="C7593" s="82"/>
    </row>
    <row r="7594" spans="1:3" x14ac:dyDescent="0.2">
      <c r="A7594" s="82"/>
      <c r="B7594" s="82"/>
      <c r="C7594" s="82"/>
    </row>
    <row r="7595" spans="1:3" x14ac:dyDescent="0.2">
      <c r="A7595" s="82"/>
      <c r="B7595" s="82"/>
      <c r="C7595" s="82"/>
    </row>
    <row r="7596" spans="1:3" x14ac:dyDescent="0.2">
      <c r="A7596" s="82"/>
      <c r="B7596" s="82"/>
      <c r="C7596" s="82"/>
    </row>
    <row r="7597" spans="1:3" x14ac:dyDescent="0.2">
      <c r="A7597" s="82"/>
      <c r="B7597" s="82"/>
      <c r="C7597" s="82"/>
    </row>
    <row r="7598" spans="1:3" x14ac:dyDescent="0.2">
      <c r="A7598" s="82"/>
      <c r="B7598" s="82"/>
      <c r="C7598" s="82"/>
    </row>
    <row r="7599" spans="1:3" x14ac:dyDescent="0.2">
      <c r="A7599" s="82"/>
      <c r="B7599" s="82"/>
      <c r="C7599" s="82"/>
    </row>
    <row r="7600" spans="1:3" x14ac:dyDescent="0.2">
      <c r="A7600" s="82"/>
      <c r="B7600" s="82"/>
      <c r="C7600" s="82"/>
    </row>
    <row r="7601" spans="1:3" x14ac:dyDescent="0.2">
      <c r="A7601" s="82"/>
      <c r="B7601" s="82"/>
      <c r="C7601" s="82"/>
    </row>
    <row r="7602" spans="1:3" x14ac:dyDescent="0.2">
      <c r="A7602" s="82"/>
      <c r="B7602" s="82"/>
      <c r="C7602" s="82"/>
    </row>
    <row r="7603" spans="1:3" x14ac:dyDescent="0.2">
      <c r="A7603" s="82"/>
      <c r="B7603" s="82"/>
      <c r="C7603" s="82"/>
    </row>
    <row r="7604" spans="1:3" x14ac:dyDescent="0.2">
      <c r="A7604" s="82"/>
      <c r="B7604" s="82"/>
      <c r="C7604" s="82"/>
    </row>
    <row r="7605" spans="1:3" x14ac:dyDescent="0.2">
      <c r="A7605" s="82"/>
      <c r="B7605" s="82"/>
      <c r="C7605" s="82"/>
    </row>
    <row r="7606" spans="1:3" x14ac:dyDescent="0.2">
      <c r="A7606" s="82"/>
      <c r="B7606" s="82"/>
      <c r="C7606" s="82"/>
    </row>
    <row r="7607" spans="1:3" x14ac:dyDescent="0.2">
      <c r="A7607" s="82"/>
      <c r="B7607" s="82"/>
      <c r="C7607" s="82"/>
    </row>
    <row r="7608" spans="1:3" x14ac:dyDescent="0.2">
      <c r="A7608" s="82"/>
      <c r="B7608" s="82"/>
      <c r="C7608" s="82"/>
    </row>
    <row r="7609" spans="1:3" x14ac:dyDescent="0.2">
      <c r="A7609" s="82"/>
      <c r="B7609" s="82"/>
      <c r="C7609" s="82"/>
    </row>
    <row r="7610" spans="1:3" x14ac:dyDescent="0.2">
      <c r="A7610" s="82"/>
      <c r="B7610" s="82"/>
      <c r="C7610" s="82"/>
    </row>
    <row r="7611" spans="1:3" x14ac:dyDescent="0.2">
      <c r="A7611" s="82"/>
      <c r="B7611" s="82"/>
      <c r="C7611" s="82"/>
    </row>
    <row r="7612" spans="1:3" x14ac:dyDescent="0.2">
      <c r="A7612" s="82"/>
      <c r="B7612" s="82"/>
      <c r="C7612" s="82"/>
    </row>
    <row r="7613" spans="1:3" x14ac:dyDescent="0.2">
      <c r="A7613" s="82"/>
      <c r="B7613" s="82"/>
      <c r="C7613" s="82"/>
    </row>
    <row r="7614" spans="1:3" x14ac:dyDescent="0.2">
      <c r="A7614" s="82"/>
      <c r="B7614" s="82"/>
      <c r="C7614" s="82"/>
    </row>
    <row r="7615" spans="1:3" x14ac:dyDescent="0.2">
      <c r="A7615" s="82"/>
      <c r="B7615" s="82"/>
      <c r="C7615" s="82"/>
    </row>
    <row r="7616" spans="1:3" x14ac:dyDescent="0.2">
      <c r="A7616" s="82"/>
      <c r="B7616" s="82"/>
      <c r="C7616" s="82"/>
    </row>
    <row r="7617" spans="1:3" x14ac:dyDescent="0.2">
      <c r="A7617" s="82"/>
      <c r="B7617" s="82"/>
      <c r="C7617" s="82"/>
    </row>
    <row r="7618" spans="1:3" x14ac:dyDescent="0.2">
      <c r="A7618" s="82"/>
      <c r="B7618" s="82"/>
      <c r="C7618" s="82"/>
    </row>
    <row r="7619" spans="1:3" x14ac:dyDescent="0.2">
      <c r="A7619" s="82"/>
      <c r="B7619" s="82"/>
      <c r="C7619" s="82"/>
    </row>
    <row r="7620" spans="1:3" x14ac:dyDescent="0.2">
      <c r="A7620" s="82"/>
      <c r="B7620" s="82"/>
      <c r="C7620" s="82"/>
    </row>
    <row r="7621" spans="1:3" x14ac:dyDescent="0.2">
      <c r="A7621" s="82"/>
      <c r="B7621" s="82"/>
      <c r="C7621" s="82"/>
    </row>
    <row r="7622" spans="1:3" x14ac:dyDescent="0.2">
      <c r="A7622" s="82"/>
      <c r="B7622" s="82"/>
      <c r="C7622" s="82"/>
    </row>
    <row r="7623" spans="1:3" x14ac:dyDescent="0.2">
      <c r="A7623" s="82"/>
      <c r="B7623" s="82"/>
      <c r="C7623" s="82"/>
    </row>
    <row r="7624" spans="1:3" x14ac:dyDescent="0.2">
      <c r="A7624" s="82"/>
      <c r="B7624" s="82"/>
      <c r="C7624" s="82"/>
    </row>
    <row r="7625" spans="1:3" x14ac:dyDescent="0.2">
      <c r="A7625" s="82"/>
      <c r="B7625" s="82"/>
      <c r="C7625" s="82"/>
    </row>
    <row r="7626" spans="1:3" x14ac:dyDescent="0.2">
      <c r="A7626" s="82"/>
      <c r="B7626" s="82"/>
      <c r="C7626" s="82"/>
    </row>
    <row r="7627" spans="1:3" x14ac:dyDescent="0.2">
      <c r="A7627" s="82"/>
      <c r="B7627" s="82"/>
      <c r="C7627" s="82"/>
    </row>
    <row r="7628" spans="1:3" x14ac:dyDescent="0.2">
      <c r="A7628" s="82"/>
      <c r="B7628" s="82"/>
      <c r="C7628" s="82"/>
    </row>
    <row r="7629" spans="1:3" x14ac:dyDescent="0.2">
      <c r="A7629" s="82"/>
      <c r="B7629" s="82"/>
      <c r="C7629" s="82"/>
    </row>
    <row r="7630" spans="1:3" x14ac:dyDescent="0.2">
      <c r="A7630" s="82"/>
      <c r="B7630" s="82"/>
      <c r="C7630" s="82"/>
    </row>
    <row r="7631" spans="1:3" x14ac:dyDescent="0.2">
      <c r="A7631" s="82"/>
      <c r="B7631" s="82"/>
      <c r="C7631" s="82"/>
    </row>
    <row r="7632" spans="1:3" x14ac:dyDescent="0.2">
      <c r="A7632" s="82"/>
      <c r="B7632" s="82"/>
      <c r="C7632" s="82"/>
    </row>
    <row r="7633" spans="1:3" x14ac:dyDescent="0.2">
      <c r="A7633" s="82"/>
      <c r="B7633" s="82"/>
      <c r="C7633" s="82"/>
    </row>
    <row r="7634" spans="1:3" x14ac:dyDescent="0.2">
      <c r="A7634" s="82"/>
      <c r="B7634" s="82"/>
      <c r="C7634" s="82"/>
    </row>
    <row r="7635" spans="1:3" x14ac:dyDescent="0.2">
      <c r="A7635" s="82"/>
      <c r="B7635" s="82"/>
      <c r="C7635" s="82"/>
    </row>
    <row r="7636" spans="1:3" x14ac:dyDescent="0.2">
      <c r="A7636" s="82"/>
      <c r="B7636" s="82"/>
      <c r="C7636" s="82"/>
    </row>
    <row r="7637" spans="1:3" x14ac:dyDescent="0.2">
      <c r="A7637" s="82"/>
      <c r="B7637" s="82"/>
      <c r="C7637" s="82"/>
    </row>
    <row r="7638" spans="1:3" x14ac:dyDescent="0.2">
      <c r="A7638" s="82"/>
      <c r="B7638" s="82"/>
      <c r="C7638" s="82"/>
    </row>
    <row r="7639" spans="1:3" x14ac:dyDescent="0.2">
      <c r="A7639" s="82"/>
      <c r="B7639" s="82"/>
      <c r="C7639" s="82"/>
    </row>
    <row r="7640" spans="1:3" x14ac:dyDescent="0.2">
      <c r="A7640" s="82"/>
      <c r="B7640" s="82"/>
      <c r="C7640" s="82"/>
    </row>
    <row r="7641" spans="1:3" x14ac:dyDescent="0.2">
      <c r="A7641" s="82"/>
      <c r="B7641" s="82"/>
      <c r="C7641" s="82"/>
    </row>
    <row r="7642" spans="1:3" x14ac:dyDescent="0.2">
      <c r="A7642" s="82"/>
      <c r="B7642" s="82"/>
      <c r="C7642" s="82"/>
    </row>
    <row r="7643" spans="1:3" x14ac:dyDescent="0.2">
      <c r="A7643" s="82"/>
      <c r="B7643" s="82"/>
      <c r="C7643" s="82"/>
    </row>
    <row r="7644" spans="1:3" x14ac:dyDescent="0.2">
      <c r="A7644" s="82"/>
      <c r="B7644" s="82"/>
      <c r="C7644" s="82"/>
    </row>
    <row r="7645" spans="1:3" x14ac:dyDescent="0.2">
      <c r="A7645" s="82"/>
      <c r="B7645" s="82"/>
      <c r="C7645" s="82"/>
    </row>
    <row r="7646" spans="1:3" x14ac:dyDescent="0.2">
      <c r="A7646" s="82"/>
      <c r="B7646" s="82"/>
      <c r="C7646" s="82"/>
    </row>
    <row r="7647" spans="1:3" x14ac:dyDescent="0.2">
      <c r="A7647" s="82"/>
      <c r="B7647" s="82"/>
      <c r="C7647" s="82"/>
    </row>
    <row r="7648" spans="1:3" x14ac:dyDescent="0.2">
      <c r="A7648" s="82"/>
      <c r="B7648" s="82"/>
      <c r="C7648" s="82"/>
    </row>
    <row r="7649" spans="1:3" x14ac:dyDescent="0.2">
      <c r="A7649" s="82"/>
      <c r="B7649" s="82"/>
      <c r="C7649" s="82"/>
    </row>
    <row r="7650" spans="1:3" x14ac:dyDescent="0.2">
      <c r="A7650" s="82"/>
      <c r="B7650" s="82"/>
      <c r="C7650" s="82"/>
    </row>
    <row r="7651" spans="1:3" x14ac:dyDescent="0.2">
      <c r="A7651" s="82"/>
      <c r="B7651" s="82"/>
      <c r="C7651" s="82"/>
    </row>
    <row r="7652" spans="1:3" x14ac:dyDescent="0.2">
      <c r="A7652" s="82"/>
      <c r="B7652" s="82"/>
      <c r="C7652" s="82"/>
    </row>
    <row r="7653" spans="1:3" x14ac:dyDescent="0.2">
      <c r="A7653" s="82"/>
      <c r="B7653" s="82"/>
      <c r="C7653" s="82"/>
    </row>
    <row r="7654" spans="1:3" x14ac:dyDescent="0.2">
      <c r="A7654" s="82"/>
      <c r="B7654" s="82"/>
      <c r="C7654" s="82"/>
    </row>
    <row r="7655" spans="1:3" x14ac:dyDescent="0.2">
      <c r="A7655" s="82"/>
      <c r="B7655" s="82"/>
      <c r="C7655" s="82"/>
    </row>
    <row r="7656" spans="1:3" x14ac:dyDescent="0.2">
      <c r="A7656" s="82"/>
      <c r="B7656" s="82"/>
      <c r="C7656" s="82"/>
    </row>
    <row r="7657" spans="1:3" x14ac:dyDescent="0.2">
      <c r="A7657" s="82"/>
      <c r="B7657" s="82"/>
      <c r="C7657" s="82"/>
    </row>
    <row r="7658" spans="1:3" x14ac:dyDescent="0.2">
      <c r="A7658" s="82"/>
      <c r="B7658" s="82"/>
      <c r="C7658" s="82"/>
    </row>
    <row r="7659" spans="1:3" x14ac:dyDescent="0.2">
      <c r="A7659" s="82"/>
      <c r="B7659" s="82"/>
      <c r="C7659" s="82"/>
    </row>
    <row r="7660" spans="1:3" x14ac:dyDescent="0.2">
      <c r="A7660" s="82"/>
      <c r="B7660" s="82"/>
      <c r="C7660" s="82"/>
    </row>
    <row r="7661" spans="1:3" x14ac:dyDescent="0.2">
      <c r="A7661" s="82"/>
      <c r="B7661" s="82"/>
      <c r="C7661" s="82"/>
    </row>
    <row r="7662" spans="1:3" x14ac:dyDescent="0.2">
      <c r="A7662" s="82"/>
      <c r="B7662" s="82"/>
      <c r="C7662" s="82"/>
    </row>
    <row r="7663" spans="1:3" x14ac:dyDescent="0.2">
      <c r="A7663" s="82"/>
      <c r="B7663" s="82"/>
      <c r="C7663" s="82"/>
    </row>
    <row r="7664" spans="1:3" x14ac:dyDescent="0.2">
      <c r="A7664" s="82"/>
      <c r="B7664" s="82"/>
      <c r="C7664" s="82"/>
    </row>
    <row r="7665" spans="1:3" x14ac:dyDescent="0.2">
      <c r="A7665" s="82"/>
      <c r="B7665" s="82"/>
      <c r="C7665" s="82"/>
    </row>
    <row r="7666" spans="1:3" x14ac:dyDescent="0.2">
      <c r="A7666" s="82"/>
      <c r="B7666" s="82"/>
      <c r="C7666" s="82"/>
    </row>
    <row r="7667" spans="1:3" x14ac:dyDescent="0.2">
      <c r="A7667" s="82"/>
      <c r="B7667" s="82"/>
      <c r="C7667" s="82"/>
    </row>
    <row r="7668" spans="1:3" x14ac:dyDescent="0.2">
      <c r="A7668" s="82"/>
      <c r="B7668" s="82"/>
      <c r="C7668" s="82"/>
    </row>
    <row r="7669" spans="1:3" x14ac:dyDescent="0.2">
      <c r="A7669" s="82"/>
      <c r="B7669" s="82"/>
      <c r="C7669" s="82"/>
    </row>
    <row r="7670" spans="1:3" x14ac:dyDescent="0.2">
      <c r="A7670" s="82"/>
      <c r="B7670" s="82"/>
      <c r="C7670" s="82"/>
    </row>
    <row r="7671" spans="1:3" x14ac:dyDescent="0.2">
      <c r="A7671" s="82"/>
      <c r="B7671" s="82"/>
      <c r="C7671" s="82"/>
    </row>
    <row r="7672" spans="1:3" x14ac:dyDescent="0.2">
      <c r="A7672" s="82"/>
      <c r="B7672" s="82"/>
      <c r="C7672" s="82"/>
    </row>
    <row r="7673" spans="1:3" x14ac:dyDescent="0.2">
      <c r="A7673" s="82"/>
      <c r="B7673" s="82"/>
      <c r="C7673" s="82"/>
    </row>
    <row r="7674" spans="1:3" x14ac:dyDescent="0.2">
      <c r="A7674" s="82"/>
      <c r="B7674" s="82"/>
      <c r="C7674" s="82"/>
    </row>
    <row r="7675" spans="1:3" x14ac:dyDescent="0.2">
      <c r="A7675" s="82"/>
      <c r="B7675" s="82"/>
      <c r="C7675" s="82"/>
    </row>
    <row r="7676" spans="1:3" x14ac:dyDescent="0.2">
      <c r="A7676" s="82"/>
      <c r="B7676" s="82"/>
      <c r="C7676" s="82"/>
    </row>
    <row r="7677" spans="1:3" x14ac:dyDescent="0.2">
      <c r="A7677" s="82"/>
      <c r="B7677" s="82"/>
      <c r="C7677" s="82"/>
    </row>
    <row r="7678" spans="1:3" x14ac:dyDescent="0.2">
      <c r="A7678" s="82"/>
      <c r="B7678" s="82"/>
      <c r="C7678" s="82"/>
    </row>
    <row r="7679" spans="1:3" x14ac:dyDescent="0.2">
      <c r="A7679" s="82"/>
      <c r="B7679" s="82"/>
      <c r="C7679" s="82"/>
    </row>
    <row r="7680" spans="1:3" x14ac:dyDescent="0.2">
      <c r="A7680" s="82"/>
      <c r="B7680" s="82"/>
      <c r="C7680" s="82"/>
    </row>
    <row r="7681" spans="1:3" x14ac:dyDescent="0.2">
      <c r="A7681" s="82"/>
      <c r="B7681" s="82"/>
      <c r="C7681" s="82"/>
    </row>
    <row r="7682" spans="1:3" x14ac:dyDescent="0.2">
      <c r="A7682" s="82"/>
      <c r="B7682" s="82"/>
      <c r="C7682" s="82"/>
    </row>
    <row r="7683" spans="1:3" x14ac:dyDescent="0.2">
      <c r="A7683" s="82"/>
      <c r="B7683" s="82"/>
      <c r="C7683" s="82"/>
    </row>
    <row r="7684" spans="1:3" x14ac:dyDescent="0.2">
      <c r="A7684" s="82"/>
      <c r="B7684" s="82"/>
      <c r="C7684" s="82"/>
    </row>
    <row r="7685" spans="1:3" x14ac:dyDescent="0.2">
      <c r="A7685" s="82"/>
      <c r="B7685" s="82"/>
      <c r="C7685" s="82"/>
    </row>
    <row r="7686" spans="1:3" x14ac:dyDescent="0.2">
      <c r="A7686" s="82"/>
      <c r="B7686" s="82"/>
      <c r="C7686" s="82"/>
    </row>
    <row r="7687" spans="1:3" x14ac:dyDescent="0.2">
      <c r="A7687" s="82"/>
      <c r="B7687" s="82"/>
      <c r="C7687" s="82"/>
    </row>
    <row r="7688" spans="1:3" x14ac:dyDescent="0.2">
      <c r="A7688" s="82"/>
      <c r="B7688" s="82"/>
      <c r="C7688" s="82"/>
    </row>
    <row r="7689" spans="1:3" x14ac:dyDescent="0.2">
      <c r="A7689" s="82"/>
      <c r="B7689" s="82"/>
      <c r="C7689" s="82"/>
    </row>
    <row r="7690" spans="1:3" x14ac:dyDescent="0.2">
      <c r="A7690" s="82"/>
      <c r="B7690" s="82"/>
      <c r="C7690" s="82"/>
    </row>
    <row r="7691" spans="1:3" x14ac:dyDescent="0.2">
      <c r="A7691" s="82"/>
      <c r="B7691" s="82"/>
      <c r="C7691" s="82"/>
    </row>
    <row r="7692" spans="1:3" x14ac:dyDescent="0.2">
      <c r="A7692" s="82"/>
      <c r="B7692" s="82"/>
      <c r="C7692" s="82"/>
    </row>
    <row r="7693" spans="1:3" x14ac:dyDescent="0.2">
      <c r="A7693" s="82"/>
      <c r="B7693" s="82"/>
      <c r="C7693" s="82"/>
    </row>
    <row r="7694" spans="1:3" x14ac:dyDescent="0.2">
      <c r="A7694" s="82"/>
      <c r="B7694" s="82"/>
      <c r="C7694" s="82"/>
    </row>
    <row r="7695" spans="1:3" x14ac:dyDescent="0.2">
      <c r="A7695" s="82"/>
      <c r="B7695" s="82"/>
      <c r="C7695" s="82"/>
    </row>
    <row r="7696" spans="1:3" x14ac:dyDescent="0.2">
      <c r="A7696" s="82"/>
      <c r="B7696" s="82"/>
      <c r="C7696" s="82"/>
    </row>
    <row r="7697" spans="1:3" x14ac:dyDescent="0.2">
      <c r="A7697" s="82"/>
      <c r="B7697" s="82"/>
      <c r="C7697" s="82"/>
    </row>
    <row r="7698" spans="1:3" x14ac:dyDescent="0.2">
      <c r="A7698" s="82"/>
      <c r="B7698" s="82"/>
      <c r="C7698" s="82"/>
    </row>
    <row r="7699" spans="1:3" x14ac:dyDescent="0.2">
      <c r="A7699" s="82"/>
      <c r="B7699" s="82"/>
      <c r="C7699" s="82"/>
    </row>
    <row r="7700" spans="1:3" x14ac:dyDescent="0.2">
      <c r="A7700" s="82"/>
      <c r="B7700" s="82"/>
      <c r="C7700" s="82"/>
    </row>
    <row r="7701" spans="1:3" x14ac:dyDescent="0.2">
      <c r="A7701" s="82"/>
      <c r="B7701" s="82"/>
      <c r="C7701" s="82"/>
    </row>
    <row r="7702" spans="1:3" x14ac:dyDescent="0.2">
      <c r="A7702" s="82"/>
      <c r="B7702" s="82"/>
      <c r="C7702" s="82"/>
    </row>
    <row r="7703" spans="1:3" x14ac:dyDescent="0.2">
      <c r="A7703" s="82"/>
      <c r="B7703" s="82"/>
      <c r="C7703" s="82"/>
    </row>
    <row r="7704" spans="1:3" x14ac:dyDescent="0.2">
      <c r="A7704" s="82"/>
      <c r="B7704" s="82"/>
      <c r="C7704" s="82"/>
    </row>
    <row r="7705" spans="1:3" x14ac:dyDescent="0.2">
      <c r="A7705" s="82"/>
      <c r="B7705" s="82"/>
      <c r="C7705" s="82"/>
    </row>
    <row r="7706" spans="1:3" x14ac:dyDescent="0.2">
      <c r="A7706" s="82"/>
      <c r="B7706" s="82"/>
      <c r="C7706" s="82"/>
    </row>
    <row r="7707" spans="1:3" x14ac:dyDescent="0.2">
      <c r="A7707" s="82"/>
      <c r="B7707" s="82"/>
      <c r="C7707" s="82"/>
    </row>
    <row r="7708" spans="1:3" x14ac:dyDescent="0.2">
      <c r="A7708" s="82"/>
      <c r="B7708" s="82"/>
      <c r="C7708" s="82"/>
    </row>
    <row r="7709" spans="1:3" x14ac:dyDescent="0.2">
      <c r="A7709" s="82"/>
      <c r="B7709" s="82"/>
      <c r="C7709" s="82"/>
    </row>
    <row r="7710" spans="1:3" x14ac:dyDescent="0.2">
      <c r="A7710" s="82"/>
      <c r="B7710" s="82"/>
      <c r="C7710" s="82"/>
    </row>
    <row r="7711" spans="1:3" x14ac:dyDescent="0.2">
      <c r="A7711" s="82"/>
      <c r="B7711" s="82"/>
      <c r="C7711" s="82"/>
    </row>
    <row r="7712" spans="1:3" x14ac:dyDescent="0.2">
      <c r="A7712" s="82"/>
      <c r="B7712" s="82"/>
      <c r="C7712" s="82"/>
    </row>
    <row r="7713" spans="1:3" x14ac:dyDescent="0.2">
      <c r="A7713" s="82"/>
      <c r="B7713" s="82"/>
      <c r="C7713" s="82"/>
    </row>
    <row r="7714" spans="1:3" x14ac:dyDescent="0.2">
      <c r="A7714" s="82"/>
      <c r="B7714" s="82"/>
      <c r="C7714" s="82"/>
    </row>
    <row r="7715" spans="1:3" x14ac:dyDescent="0.2">
      <c r="A7715" s="82"/>
      <c r="B7715" s="82"/>
      <c r="C7715" s="82"/>
    </row>
    <row r="7716" spans="1:3" x14ac:dyDescent="0.2">
      <c r="A7716" s="82"/>
      <c r="B7716" s="82"/>
      <c r="C7716" s="82"/>
    </row>
    <row r="7717" spans="1:3" x14ac:dyDescent="0.2">
      <c r="A7717" s="82"/>
      <c r="B7717" s="82"/>
      <c r="C7717" s="82"/>
    </row>
    <row r="7718" spans="1:3" x14ac:dyDescent="0.2">
      <c r="A7718" s="82"/>
      <c r="B7718" s="82"/>
      <c r="C7718" s="82"/>
    </row>
    <row r="7719" spans="1:3" x14ac:dyDescent="0.2">
      <c r="A7719" s="82"/>
      <c r="B7719" s="82"/>
      <c r="C7719" s="82"/>
    </row>
    <row r="7720" spans="1:3" x14ac:dyDescent="0.2">
      <c r="A7720" s="82"/>
      <c r="B7720" s="82"/>
      <c r="C7720" s="82"/>
    </row>
    <row r="7721" spans="1:3" x14ac:dyDescent="0.2">
      <c r="A7721" s="82"/>
      <c r="B7721" s="82"/>
      <c r="C7721" s="82"/>
    </row>
    <row r="7722" spans="1:3" x14ac:dyDescent="0.2">
      <c r="A7722" s="82"/>
      <c r="B7722" s="82"/>
      <c r="C7722" s="82"/>
    </row>
    <row r="7723" spans="1:3" x14ac:dyDescent="0.2">
      <c r="A7723" s="82"/>
      <c r="B7723" s="82"/>
      <c r="C7723" s="82"/>
    </row>
    <row r="7724" spans="1:3" x14ac:dyDescent="0.2">
      <c r="A7724" s="82"/>
      <c r="B7724" s="82"/>
      <c r="C7724" s="82"/>
    </row>
    <row r="7725" spans="1:3" x14ac:dyDescent="0.2">
      <c r="A7725" s="82"/>
      <c r="B7725" s="82"/>
      <c r="C7725" s="82"/>
    </row>
    <row r="7726" spans="1:3" x14ac:dyDescent="0.2">
      <c r="A7726" s="82"/>
      <c r="B7726" s="82"/>
      <c r="C7726" s="82"/>
    </row>
    <row r="7727" spans="1:3" x14ac:dyDescent="0.2">
      <c r="A7727" s="82"/>
      <c r="B7727" s="82"/>
      <c r="C7727" s="82"/>
    </row>
    <row r="7728" spans="1:3" x14ac:dyDescent="0.2">
      <c r="A7728" s="82"/>
      <c r="B7728" s="82"/>
      <c r="C7728" s="82"/>
    </row>
    <row r="7729" spans="1:3" x14ac:dyDescent="0.2">
      <c r="A7729" s="82"/>
      <c r="B7729" s="82"/>
      <c r="C7729" s="82"/>
    </row>
    <row r="7730" spans="1:3" x14ac:dyDescent="0.2">
      <c r="A7730" s="82"/>
      <c r="B7730" s="82"/>
      <c r="C7730" s="82"/>
    </row>
    <row r="7731" spans="1:3" x14ac:dyDescent="0.2">
      <c r="A7731" s="82"/>
      <c r="B7731" s="82"/>
      <c r="C7731" s="82"/>
    </row>
    <row r="7732" spans="1:3" x14ac:dyDescent="0.2">
      <c r="A7732" s="82"/>
      <c r="B7732" s="82"/>
      <c r="C7732" s="82"/>
    </row>
    <row r="7733" spans="1:3" x14ac:dyDescent="0.2">
      <c r="A7733" s="82"/>
      <c r="B7733" s="82"/>
      <c r="C7733" s="82"/>
    </row>
    <row r="7734" spans="1:3" x14ac:dyDescent="0.2">
      <c r="A7734" s="82"/>
      <c r="B7734" s="82"/>
      <c r="C7734" s="82"/>
    </row>
    <row r="7735" spans="1:3" x14ac:dyDescent="0.2">
      <c r="A7735" s="82"/>
      <c r="B7735" s="82"/>
      <c r="C7735" s="82"/>
    </row>
    <row r="7736" spans="1:3" x14ac:dyDescent="0.2">
      <c r="A7736" s="82"/>
      <c r="B7736" s="82"/>
      <c r="C7736" s="82"/>
    </row>
    <row r="7737" spans="1:3" x14ac:dyDescent="0.2">
      <c r="A7737" s="82"/>
      <c r="B7737" s="82"/>
      <c r="C7737" s="82"/>
    </row>
    <row r="7738" spans="1:3" x14ac:dyDescent="0.2">
      <c r="A7738" s="82"/>
      <c r="B7738" s="82"/>
      <c r="C7738" s="82"/>
    </row>
    <row r="7739" spans="1:3" x14ac:dyDescent="0.2">
      <c r="A7739" s="82"/>
      <c r="B7739" s="82"/>
      <c r="C7739" s="82"/>
    </row>
    <row r="7740" spans="1:3" x14ac:dyDescent="0.2">
      <c r="A7740" s="82"/>
      <c r="B7740" s="82"/>
      <c r="C7740" s="82"/>
    </row>
    <row r="7741" spans="1:3" x14ac:dyDescent="0.2">
      <c r="A7741" s="82"/>
      <c r="B7741" s="82"/>
      <c r="C7741" s="82"/>
    </row>
    <row r="7742" spans="1:3" x14ac:dyDescent="0.2">
      <c r="A7742" s="82"/>
      <c r="B7742" s="82"/>
      <c r="C7742" s="82"/>
    </row>
    <row r="7743" spans="1:3" x14ac:dyDescent="0.2">
      <c r="A7743" s="82"/>
      <c r="B7743" s="82"/>
      <c r="C7743" s="82"/>
    </row>
    <row r="7744" spans="1:3" x14ac:dyDescent="0.2">
      <c r="A7744" s="82"/>
      <c r="B7744" s="82"/>
      <c r="C7744" s="82"/>
    </row>
    <row r="7745" spans="1:3" x14ac:dyDescent="0.2">
      <c r="A7745" s="82"/>
      <c r="B7745" s="82"/>
      <c r="C7745" s="82"/>
    </row>
    <row r="7746" spans="1:3" x14ac:dyDescent="0.2">
      <c r="A7746" s="82"/>
      <c r="B7746" s="82"/>
      <c r="C7746" s="82"/>
    </row>
    <row r="7747" spans="1:3" x14ac:dyDescent="0.2">
      <c r="A7747" s="82"/>
      <c r="B7747" s="82"/>
      <c r="C7747" s="82"/>
    </row>
    <row r="7748" spans="1:3" x14ac:dyDescent="0.2">
      <c r="A7748" s="82"/>
      <c r="B7748" s="82"/>
      <c r="C7748" s="82"/>
    </row>
    <row r="7749" spans="1:3" x14ac:dyDescent="0.2">
      <c r="A7749" s="82"/>
      <c r="B7749" s="82"/>
      <c r="C7749" s="82"/>
    </row>
    <row r="7750" spans="1:3" x14ac:dyDescent="0.2">
      <c r="A7750" s="82"/>
      <c r="B7750" s="82"/>
      <c r="C7750" s="82"/>
    </row>
    <row r="7751" spans="1:3" x14ac:dyDescent="0.2">
      <c r="A7751" s="82"/>
      <c r="B7751" s="82"/>
      <c r="C7751" s="82"/>
    </row>
    <row r="7752" spans="1:3" x14ac:dyDescent="0.2">
      <c r="A7752" s="82"/>
      <c r="B7752" s="82"/>
      <c r="C7752" s="82"/>
    </row>
    <row r="7753" spans="1:3" x14ac:dyDescent="0.2">
      <c r="A7753" s="82"/>
      <c r="B7753" s="82"/>
      <c r="C7753" s="82"/>
    </row>
    <row r="7754" spans="1:3" x14ac:dyDescent="0.2">
      <c r="A7754" s="82"/>
      <c r="B7754" s="82"/>
      <c r="C7754" s="82"/>
    </row>
    <row r="7755" spans="1:3" x14ac:dyDescent="0.2">
      <c r="A7755" s="82"/>
      <c r="B7755" s="82"/>
      <c r="C7755" s="82"/>
    </row>
    <row r="7756" spans="1:3" x14ac:dyDescent="0.2">
      <c r="A7756" s="82"/>
      <c r="B7756" s="82"/>
      <c r="C7756" s="82"/>
    </row>
    <row r="7757" spans="1:3" x14ac:dyDescent="0.2">
      <c r="A7757" s="82"/>
      <c r="B7757" s="82"/>
      <c r="C7757" s="82"/>
    </row>
    <row r="7758" spans="1:3" x14ac:dyDescent="0.2">
      <c r="A7758" s="82"/>
      <c r="B7758" s="82"/>
      <c r="C7758" s="82"/>
    </row>
    <row r="7759" spans="1:3" x14ac:dyDescent="0.2">
      <c r="A7759" s="82"/>
      <c r="B7759" s="82"/>
      <c r="C7759" s="82"/>
    </row>
    <row r="7760" spans="1:3" x14ac:dyDescent="0.2">
      <c r="A7760" s="82"/>
      <c r="B7760" s="82"/>
      <c r="C7760" s="82"/>
    </row>
    <row r="7761" spans="1:3" x14ac:dyDescent="0.2">
      <c r="A7761" s="82"/>
      <c r="B7761" s="82"/>
      <c r="C7761" s="82"/>
    </row>
    <row r="7762" spans="1:3" x14ac:dyDescent="0.2">
      <c r="A7762" s="82"/>
      <c r="B7762" s="82"/>
      <c r="C7762" s="82"/>
    </row>
    <row r="7763" spans="1:3" x14ac:dyDescent="0.2">
      <c r="A7763" s="82"/>
      <c r="B7763" s="82"/>
      <c r="C7763" s="82"/>
    </row>
    <row r="7764" spans="1:3" x14ac:dyDescent="0.2">
      <c r="A7764" s="82"/>
      <c r="B7764" s="82"/>
      <c r="C7764" s="82"/>
    </row>
    <row r="7765" spans="1:3" x14ac:dyDescent="0.2">
      <c r="A7765" s="82"/>
      <c r="B7765" s="82"/>
      <c r="C7765" s="82"/>
    </row>
    <row r="7766" spans="1:3" x14ac:dyDescent="0.2">
      <c r="A7766" s="82"/>
      <c r="B7766" s="82"/>
      <c r="C7766" s="82"/>
    </row>
    <row r="7767" spans="1:3" x14ac:dyDescent="0.2">
      <c r="A7767" s="82"/>
      <c r="B7767" s="82"/>
      <c r="C7767" s="82"/>
    </row>
    <row r="7768" spans="1:3" x14ac:dyDescent="0.2">
      <c r="A7768" s="82"/>
      <c r="B7768" s="82"/>
      <c r="C7768" s="82"/>
    </row>
    <row r="7769" spans="1:3" x14ac:dyDescent="0.2">
      <c r="A7769" s="82"/>
      <c r="B7769" s="82"/>
      <c r="C7769" s="82"/>
    </row>
    <row r="7770" spans="1:3" x14ac:dyDescent="0.2">
      <c r="A7770" s="82"/>
      <c r="B7770" s="82"/>
      <c r="C7770" s="82"/>
    </row>
    <row r="7771" spans="1:3" x14ac:dyDescent="0.2">
      <c r="A7771" s="82"/>
      <c r="B7771" s="82"/>
      <c r="C7771" s="82"/>
    </row>
    <row r="7772" spans="1:3" x14ac:dyDescent="0.2">
      <c r="A7772" s="82"/>
      <c r="B7772" s="82"/>
      <c r="C7772" s="82"/>
    </row>
    <row r="7773" spans="1:3" x14ac:dyDescent="0.2">
      <c r="A7773" s="82"/>
      <c r="B7773" s="82"/>
      <c r="C7773" s="82"/>
    </row>
    <row r="7774" spans="1:3" x14ac:dyDescent="0.2">
      <c r="A7774" s="82"/>
      <c r="B7774" s="82"/>
      <c r="C7774" s="82"/>
    </row>
    <row r="7775" spans="1:3" x14ac:dyDescent="0.2">
      <c r="A7775" s="82"/>
      <c r="B7775" s="82"/>
      <c r="C7775" s="82"/>
    </row>
    <row r="7776" spans="1:3" x14ac:dyDescent="0.2">
      <c r="A7776" s="82"/>
      <c r="B7776" s="82"/>
      <c r="C7776" s="82"/>
    </row>
    <row r="7777" spans="1:3" x14ac:dyDescent="0.2">
      <c r="A7777" s="82"/>
      <c r="B7777" s="82"/>
      <c r="C7777" s="82"/>
    </row>
    <row r="7778" spans="1:3" x14ac:dyDescent="0.2">
      <c r="A7778" s="82"/>
      <c r="B7778" s="82"/>
      <c r="C7778" s="82"/>
    </row>
    <row r="7779" spans="1:3" x14ac:dyDescent="0.2">
      <c r="A7779" s="82"/>
      <c r="B7779" s="82"/>
      <c r="C7779" s="82"/>
    </row>
    <row r="7780" spans="1:3" x14ac:dyDescent="0.2">
      <c r="A7780" s="82"/>
      <c r="B7780" s="82"/>
      <c r="C7780" s="82"/>
    </row>
    <row r="7781" spans="1:3" x14ac:dyDescent="0.2">
      <c r="A7781" s="82"/>
      <c r="B7781" s="82"/>
      <c r="C7781" s="82"/>
    </row>
    <row r="7782" spans="1:3" x14ac:dyDescent="0.2">
      <c r="A7782" s="82"/>
      <c r="B7782" s="82"/>
      <c r="C7782" s="82"/>
    </row>
    <row r="7783" spans="1:3" x14ac:dyDescent="0.2">
      <c r="A7783" s="82"/>
      <c r="B7783" s="82"/>
      <c r="C7783" s="82"/>
    </row>
    <row r="7784" spans="1:3" x14ac:dyDescent="0.2">
      <c r="A7784" s="82"/>
      <c r="B7784" s="82"/>
      <c r="C7784" s="82"/>
    </row>
    <row r="7785" spans="1:3" x14ac:dyDescent="0.2">
      <c r="A7785" s="82"/>
      <c r="B7785" s="82"/>
      <c r="C7785" s="82"/>
    </row>
    <row r="7786" spans="1:3" x14ac:dyDescent="0.2">
      <c r="A7786" s="82"/>
      <c r="B7786" s="82"/>
      <c r="C7786" s="82"/>
    </row>
    <row r="7787" spans="1:3" x14ac:dyDescent="0.2">
      <c r="A7787" s="82"/>
      <c r="B7787" s="82"/>
      <c r="C7787" s="82"/>
    </row>
    <row r="7788" spans="1:3" x14ac:dyDescent="0.2">
      <c r="A7788" s="82"/>
      <c r="B7788" s="82"/>
      <c r="C7788" s="82"/>
    </row>
    <row r="7789" spans="1:3" x14ac:dyDescent="0.2">
      <c r="A7789" s="82"/>
      <c r="B7789" s="82"/>
      <c r="C7789" s="82"/>
    </row>
    <row r="7790" spans="1:3" x14ac:dyDescent="0.2">
      <c r="A7790" s="82"/>
      <c r="B7790" s="82"/>
      <c r="C7790" s="82"/>
    </row>
    <row r="7791" spans="1:3" x14ac:dyDescent="0.2">
      <c r="A7791" s="82"/>
      <c r="B7791" s="82"/>
      <c r="C7791" s="82"/>
    </row>
    <row r="7792" spans="1:3" x14ac:dyDescent="0.2">
      <c r="A7792" s="82"/>
      <c r="B7792" s="82"/>
      <c r="C7792" s="82"/>
    </row>
    <row r="7793" spans="1:3" x14ac:dyDescent="0.2">
      <c r="A7793" s="82"/>
      <c r="B7793" s="82"/>
      <c r="C7793" s="82"/>
    </row>
    <row r="7794" spans="1:3" x14ac:dyDescent="0.2">
      <c r="A7794" s="82"/>
      <c r="B7794" s="82"/>
      <c r="C7794" s="82"/>
    </row>
    <row r="7795" spans="1:3" x14ac:dyDescent="0.2">
      <c r="A7795" s="82"/>
      <c r="B7795" s="82"/>
      <c r="C7795" s="82"/>
    </row>
    <row r="7796" spans="1:3" x14ac:dyDescent="0.2">
      <c r="A7796" s="82"/>
      <c r="B7796" s="82"/>
      <c r="C7796" s="82"/>
    </row>
    <row r="7797" spans="1:3" x14ac:dyDescent="0.2">
      <c r="A7797" s="82"/>
      <c r="B7797" s="82"/>
      <c r="C7797" s="82"/>
    </row>
    <row r="7798" spans="1:3" x14ac:dyDescent="0.2">
      <c r="A7798" s="82"/>
      <c r="B7798" s="82"/>
      <c r="C7798" s="82"/>
    </row>
    <row r="7799" spans="1:3" x14ac:dyDescent="0.2">
      <c r="A7799" s="82"/>
      <c r="B7799" s="82"/>
      <c r="C7799" s="82"/>
    </row>
    <row r="7800" spans="1:3" x14ac:dyDescent="0.2">
      <c r="A7800" s="82"/>
      <c r="B7800" s="82"/>
      <c r="C7800" s="82"/>
    </row>
    <row r="7801" spans="1:3" x14ac:dyDescent="0.2">
      <c r="A7801" s="82"/>
      <c r="B7801" s="82"/>
      <c r="C7801" s="82"/>
    </row>
    <row r="7802" spans="1:3" x14ac:dyDescent="0.2">
      <c r="A7802" s="82"/>
      <c r="B7802" s="82"/>
      <c r="C7802" s="82"/>
    </row>
    <row r="7803" spans="1:3" x14ac:dyDescent="0.2">
      <c r="A7803" s="82"/>
      <c r="B7803" s="82"/>
      <c r="C7803" s="82"/>
    </row>
    <row r="7804" spans="1:3" x14ac:dyDescent="0.2">
      <c r="A7804" s="82"/>
      <c r="B7804" s="82"/>
      <c r="C7804" s="82"/>
    </row>
    <row r="7805" spans="1:3" x14ac:dyDescent="0.2">
      <c r="A7805" s="82"/>
      <c r="B7805" s="82"/>
      <c r="C7805" s="82"/>
    </row>
    <row r="7806" spans="1:3" x14ac:dyDescent="0.2">
      <c r="A7806" s="82"/>
      <c r="B7806" s="82"/>
      <c r="C7806" s="82"/>
    </row>
    <row r="7807" spans="1:3" x14ac:dyDescent="0.2">
      <c r="A7807" s="82"/>
      <c r="B7807" s="82"/>
      <c r="C7807" s="82"/>
    </row>
    <row r="7808" spans="1:3" x14ac:dyDescent="0.2">
      <c r="A7808" s="82"/>
      <c r="B7808" s="82"/>
      <c r="C7808" s="82"/>
    </row>
    <row r="7809" spans="1:3" x14ac:dyDescent="0.2">
      <c r="A7809" s="82"/>
      <c r="B7809" s="82"/>
      <c r="C7809" s="82"/>
    </row>
    <row r="7810" spans="1:3" x14ac:dyDescent="0.2">
      <c r="A7810" s="82"/>
      <c r="B7810" s="82"/>
      <c r="C7810" s="82"/>
    </row>
    <row r="7811" spans="1:3" x14ac:dyDescent="0.2">
      <c r="A7811" s="82"/>
      <c r="B7811" s="82"/>
      <c r="C7811" s="82"/>
    </row>
    <row r="7812" spans="1:3" x14ac:dyDescent="0.2">
      <c r="A7812" s="82"/>
      <c r="B7812" s="82"/>
      <c r="C7812" s="82"/>
    </row>
    <row r="7813" spans="1:3" x14ac:dyDescent="0.2">
      <c r="A7813" s="82"/>
      <c r="B7813" s="82"/>
      <c r="C7813" s="82"/>
    </row>
    <row r="7814" spans="1:3" x14ac:dyDescent="0.2">
      <c r="A7814" s="82"/>
      <c r="B7814" s="82"/>
      <c r="C7814" s="82"/>
    </row>
    <row r="7815" spans="1:3" x14ac:dyDescent="0.2">
      <c r="A7815" s="82"/>
      <c r="B7815" s="82"/>
      <c r="C7815" s="82"/>
    </row>
    <row r="7816" spans="1:3" x14ac:dyDescent="0.2">
      <c r="A7816" s="82"/>
      <c r="B7816" s="82"/>
      <c r="C7816" s="82"/>
    </row>
    <row r="7817" spans="1:3" x14ac:dyDescent="0.2">
      <c r="A7817" s="82"/>
      <c r="B7817" s="82"/>
      <c r="C7817" s="82"/>
    </row>
    <row r="7818" spans="1:3" x14ac:dyDescent="0.2">
      <c r="A7818" s="82"/>
      <c r="B7818" s="82"/>
      <c r="C7818" s="82"/>
    </row>
    <row r="7819" spans="1:3" x14ac:dyDescent="0.2">
      <c r="A7819" s="82"/>
      <c r="B7819" s="82"/>
      <c r="C7819" s="82"/>
    </row>
    <row r="7820" spans="1:3" x14ac:dyDescent="0.2">
      <c r="A7820" s="82"/>
      <c r="B7820" s="82"/>
      <c r="C7820" s="82"/>
    </row>
    <row r="7821" spans="1:3" x14ac:dyDescent="0.2">
      <c r="A7821" s="82"/>
      <c r="B7821" s="82"/>
      <c r="C7821" s="82"/>
    </row>
    <row r="7822" spans="1:3" x14ac:dyDescent="0.2">
      <c r="A7822" s="82"/>
      <c r="B7822" s="82"/>
      <c r="C7822" s="82"/>
    </row>
    <row r="7823" spans="1:3" x14ac:dyDescent="0.2">
      <c r="A7823" s="82"/>
      <c r="B7823" s="82"/>
      <c r="C7823" s="82"/>
    </row>
    <row r="7824" spans="1:3" x14ac:dyDescent="0.2">
      <c r="A7824" s="82"/>
      <c r="B7824" s="82"/>
      <c r="C7824" s="82"/>
    </row>
    <row r="7825" spans="1:3" x14ac:dyDescent="0.2">
      <c r="A7825" s="82"/>
      <c r="B7825" s="82"/>
      <c r="C7825" s="82"/>
    </row>
    <row r="7826" spans="1:3" x14ac:dyDescent="0.2">
      <c r="A7826" s="82"/>
      <c r="B7826" s="82"/>
      <c r="C7826" s="82"/>
    </row>
    <row r="7827" spans="1:3" x14ac:dyDescent="0.2">
      <c r="A7827" s="82"/>
      <c r="B7827" s="82"/>
      <c r="C7827" s="82"/>
    </row>
    <row r="7828" spans="1:3" x14ac:dyDescent="0.2">
      <c r="A7828" s="82"/>
      <c r="B7828" s="82"/>
      <c r="C7828" s="82"/>
    </row>
    <row r="7829" spans="1:3" x14ac:dyDescent="0.2">
      <c r="A7829" s="82"/>
      <c r="B7829" s="82"/>
      <c r="C7829" s="82"/>
    </row>
    <row r="7830" spans="1:3" x14ac:dyDescent="0.2">
      <c r="A7830" s="82"/>
      <c r="B7830" s="82"/>
      <c r="C7830" s="82"/>
    </row>
    <row r="7831" spans="1:3" x14ac:dyDescent="0.2">
      <c r="A7831" s="82"/>
      <c r="B7831" s="82"/>
      <c r="C7831" s="82"/>
    </row>
    <row r="7832" spans="1:3" x14ac:dyDescent="0.2">
      <c r="A7832" s="82"/>
      <c r="B7832" s="82"/>
      <c r="C7832" s="82"/>
    </row>
    <row r="7833" spans="1:3" x14ac:dyDescent="0.2">
      <c r="A7833" s="82"/>
      <c r="B7833" s="82"/>
      <c r="C7833" s="82"/>
    </row>
    <row r="7834" spans="1:3" x14ac:dyDescent="0.2">
      <c r="A7834" s="82"/>
      <c r="B7834" s="82"/>
      <c r="C7834" s="82"/>
    </row>
    <row r="7835" spans="1:3" x14ac:dyDescent="0.2">
      <c r="A7835" s="82"/>
      <c r="B7835" s="82"/>
      <c r="C7835" s="82"/>
    </row>
    <row r="7836" spans="1:3" x14ac:dyDescent="0.2">
      <c r="A7836" s="82"/>
      <c r="B7836" s="82"/>
      <c r="C7836" s="82"/>
    </row>
    <row r="7837" spans="1:3" x14ac:dyDescent="0.2">
      <c r="A7837" s="82"/>
      <c r="B7837" s="82"/>
      <c r="C7837" s="82"/>
    </row>
    <row r="7838" spans="1:3" x14ac:dyDescent="0.2">
      <c r="A7838" s="82"/>
      <c r="B7838" s="82"/>
      <c r="C7838" s="82"/>
    </row>
    <row r="7839" spans="1:3" x14ac:dyDescent="0.2">
      <c r="A7839" s="82"/>
      <c r="B7839" s="82"/>
      <c r="C7839" s="82"/>
    </row>
    <row r="7840" spans="1:3" x14ac:dyDescent="0.2">
      <c r="A7840" s="82"/>
      <c r="B7840" s="82"/>
      <c r="C7840" s="82"/>
    </row>
    <row r="7841" spans="1:3" x14ac:dyDescent="0.2">
      <c r="A7841" s="82"/>
      <c r="B7841" s="82"/>
      <c r="C7841" s="82"/>
    </row>
    <row r="7842" spans="1:3" x14ac:dyDescent="0.2">
      <c r="A7842" s="82"/>
      <c r="B7842" s="82"/>
      <c r="C7842" s="82"/>
    </row>
    <row r="7843" spans="1:3" x14ac:dyDescent="0.2">
      <c r="A7843" s="82"/>
      <c r="B7843" s="82"/>
      <c r="C7843" s="82"/>
    </row>
    <row r="7844" spans="1:3" x14ac:dyDescent="0.2">
      <c r="A7844" s="82"/>
      <c r="B7844" s="82"/>
      <c r="C7844" s="82"/>
    </row>
    <row r="7845" spans="1:3" x14ac:dyDescent="0.2">
      <c r="A7845" s="82"/>
      <c r="B7845" s="82"/>
      <c r="C7845" s="82"/>
    </row>
    <row r="7846" spans="1:3" x14ac:dyDescent="0.2">
      <c r="A7846" s="82"/>
      <c r="B7846" s="82"/>
      <c r="C7846" s="82"/>
    </row>
    <row r="7847" spans="1:3" x14ac:dyDescent="0.2">
      <c r="A7847" s="82"/>
      <c r="B7847" s="82"/>
      <c r="C7847" s="82"/>
    </row>
    <row r="7848" spans="1:3" x14ac:dyDescent="0.2">
      <c r="A7848" s="82"/>
      <c r="B7848" s="82"/>
      <c r="C7848" s="82"/>
    </row>
    <row r="7849" spans="1:3" x14ac:dyDescent="0.2">
      <c r="A7849" s="82"/>
      <c r="B7849" s="82"/>
      <c r="C7849" s="82"/>
    </row>
    <row r="7850" spans="1:3" x14ac:dyDescent="0.2">
      <c r="A7850" s="82"/>
      <c r="B7850" s="82"/>
      <c r="C7850" s="82"/>
    </row>
    <row r="7851" spans="1:3" x14ac:dyDescent="0.2">
      <c r="A7851" s="82"/>
      <c r="B7851" s="82"/>
      <c r="C7851" s="82"/>
    </row>
    <row r="7852" spans="1:3" x14ac:dyDescent="0.2">
      <c r="A7852" s="82"/>
      <c r="B7852" s="82"/>
      <c r="C7852" s="82"/>
    </row>
    <row r="7853" spans="1:3" x14ac:dyDescent="0.2">
      <c r="A7853" s="82"/>
      <c r="B7853" s="82"/>
      <c r="C7853" s="82"/>
    </row>
    <row r="7854" spans="1:3" x14ac:dyDescent="0.2">
      <c r="A7854" s="82"/>
      <c r="B7854" s="82"/>
      <c r="C7854" s="82"/>
    </row>
    <row r="7855" spans="1:3" x14ac:dyDescent="0.2">
      <c r="A7855" s="82"/>
      <c r="B7855" s="82"/>
      <c r="C7855" s="82"/>
    </row>
    <row r="7856" spans="1:3" x14ac:dyDescent="0.2">
      <c r="A7856" s="82"/>
      <c r="B7856" s="82"/>
      <c r="C7856" s="82"/>
    </row>
    <row r="7857" spans="1:3" x14ac:dyDescent="0.2">
      <c r="A7857" s="82"/>
      <c r="B7857" s="82"/>
      <c r="C7857" s="82"/>
    </row>
    <row r="7858" spans="1:3" x14ac:dyDescent="0.2">
      <c r="A7858" s="82"/>
      <c r="B7858" s="82"/>
      <c r="C7858" s="82"/>
    </row>
    <row r="7859" spans="1:3" x14ac:dyDescent="0.2">
      <c r="A7859" s="82"/>
      <c r="B7859" s="82"/>
      <c r="C7859" s="82"/>
    </row>
    <row r="7860" spans="1:3" x14ac:dyDescent="0.2">
      <c r="A7860" s="82"/>
      <c r="B7860" s="82"/>
      <c r="C7860" s="82"/>
    </row>
    <row r="7861" spans="1:3" x14ac:dyDescent="0.2">
      <c r="A7861" s="82"/>
      <c r="B7861" s="82"/>
      <c r="C7861" s="82"/>
    </row>
    <row r="7862" spans="1:3" x14ac:dyDescent="0.2">
      <c r="A7862" s="82"/>
      <c r="B7862" s="82"/>
      <c r="C7862" s="82"/>
    </row>
    <row r="7863" spans="1:3" x14ac:dyDescent="0.2">
      <c r="A7863" s="82"/>
      <c r="B7863" s="82"/>
      <c r="C7863" s="82"/>
    </row>
    <row r="7864" spans="1:3" x14ac:dyDescent="0.2">
      <c r="A7864" s="82"/>
      <c r="B7864" s="82"/>
      <c r="C7864" s="82"/>
    </row>
    <row r="7865" spans="1:3" x14ac:dyDescent="0.2">
      <c r="A7865" s="82"/>
      <c r="B7865" s="82"/>
      <c r="C7865" s="82"/>
    </row>
    <row r="7866" spans="1:3" x14ac:dyDescent="0.2">
      <c r="A7866" s="82"/>
      <c r="B7866" s="82"/>
      <c r="C7866" s="82"/>
    </row>
    <row r="7867" spans="1:3" x14ac:dyDescent="0.2">
      <c r="A7867" s="82"/>
      <c r="B7867" s="82"/>
      <c r="C7867" s="82"/>
    </row>
    <row r="7868" spans="1:3" x14ac:dyDescent="0.2">
      <c r="A7868" s="82"/>
      <c r="B7868" s="82"/>
      <c r="C7868" s="82"/>
    </row>
    <row r="7869" spans="1:3" x14ac:dyDescent="0.2">
      <c r="A7869" s="82"/>
      <c r="B7869" s="82"/>
      <c r="C7869" s="82"/>
    </row>
    <row r="7870" spans="1:3" x14ac:dyDescent="0.2">
      <c r="A7870" s="82"/>
      <c r="B7870" s="82"/>
      <c r="C7870" s="82"/>
    </row>
    <row r="7871" spans="1:3" x14ac:dyDescent="0.2">
      <c r="A7871" s="82"/>
      <c r="B7871" s="82"/>
      <c r="C7871" s="82"/>
    </row>
    <row r="7872" spans="1:3" x14ac:dyDescent="0.2">
      <c r="A7872" s="82"/>
      <c r="B7872" s="82"/>
      <c r="C7872" s="82"/>
    </row>
    <row r="7873" spans="1:3" x14ac:dyDescent="0.2">
      <c r="A7873" s="82"/>
      <c r="B7873" s="82"/>
      <c r="C7873" s="82"/>
    </row>
    <row r="7874" spans="1:3" x14ac:dyDescent="0.2">
      <c r="A7874" s="82"/>
      <c r="B7874" s="82"/>
      <c r="C7874" s="82"/>
    </row>
    <row r="7875" spans="1:3" x14ac:dyDescent="0.2">
      <c r="A7875" s="82"/>
      <c r="B7875" s="82"/>
      <c r="C7875" s="82"/>
    </row>
    <row r="7876" spans="1:3" x14ac:dyDescent="0.2">
      <c r="A7876" s="82"/>
      <c r="B7876" s="82"/>
      <c r="C7876" s="82"/>
    </row>
    <row r="7877" spans="1:3" x14ac:dyDescent="0.2">
      <c r="A7877" s="82"/>
      <c r="B7877" s="82"/>
      <c r="C7877" s="82"/>
    </row>
    <row r="7878" spans="1:3" x14ac:dyDescent="0.2">
      <c r="A7878" s="82"/>
      <c r="B7878" s="82"/>
      <c r="C7878" s="82"/>
    </row>
    <row r="7879" spans="1:3" x14ac:dyDescent="0.2">
      <c r="A7879" s="82"/>
      <c r="B7879" s="82"/>
      <c r="C7879" s="82"/>
    </row>
    <row r="7880" spans="1:3" x14ac:dyDescent="0.2">
      <c r="A7880" s="82"/>
      <c r="B7880" s="82"/>
      <c r="C7880" s="82"/>
    </row>
    <row r="7881" spans="1:3" x14ac:dyDescent="0.2">
      <c r="A7881" s="82"/>
      <c r="B7881" s="82"/>
      <c r="C7881" s="82"/>
    </row>
    <row r="7882" spans="1:3" x14ac:dyDescent="0.2">
      <c r="A7882" s="82"/>
      <c r="B7882" s="82"/>
      <c r="C7882" s="82"/>
    </row>
    <row r="7883" spans="1:3" x14ac:dyDescent="0.2">
      <c r="A7883" s="82"/>
      <c r="B7883" s="82"/>
      <c r="C7883" s="82"/>
    </row>
    <row r="7884" spans="1:3" x14ac:dyDescent="0.2">
      <c r="A7884" s="82"/>
      <c r="B7884" s="82"/>
      <c r="C7884" s="82"/>
    </row>
    <row r="7885" spans="1:3" x14ac:dyDescent="0.2">
      <c r="A7885" s="82"/>
      <c r="B7885" s="82"/>
      <c r="C7885" s="82"/>
    </row>
    <row r="7886" spans="1:3" x14ac:dyDescent="0.2">
      <c r="A7886" s="82"/>
      <c r="B7886" s="82"/>
      <c r="C7886" s="82"/>
    </row>
    <row r="7887" spans="1:3" x14ac:dyDescent="0.2">
      <c r="A7887" s="82"/>
      <c r="B7887" s="82"/>
      <c r="C7887" s="82"/>
    </row>
    <row r="7888" spans="1:3" x14ac:dyDescent="0.2">
      <c r="A7888" s="82"/>
      <c r="B7888" s="82"/>
      <c r="C7888" s="82"/>
    </row>
    <row r="7889" spans="1:3" x14ac:dyDescent="0.2">
      <c r="A7889" s="82"/>
      <c r="B7889" s="82"/>
      <c r="C7889" s="82"/>
    </row>
    <row r="7890" spans="1:3" x14ac:dyDescent="0.2">
      <c r="A7890" s="82"/>
      <c r="B7890" s="82"/>
      <c r="C7890" s="82"/>
    </row>
    <row r="7891" spans="1:3" x14ac:dyDescent="0.2">
      <c r="A7891" s="82"/>
      <c r="B7891" s="82"/>
      <c r="C7891" s="82"/>
    </row>
    <row r="7892" spans="1:3" x14ac:dyDescent="0.2">
      <c r="A7892" s="82"/>
      <c r="B7892" s="82"/>
      <c r="C7892" s="82"/>
    </row>
    <row r="7893" spans="1:3" x14ac:dyDescent="0.2">
      <c r="A7893" s="82"/>
      <c r="B7893" s="82"/>
      <c r="C7893" s="82"/>
    </row>
    <row r="7894" spans="1:3" x14ac:dyDescent="0.2">
      <c r="A7894" s="82"/>
      <c r="B7894" s="82"/>
      <c r="C7894" s="82"/>
    </row>
    <row r="7895" spans="1:3" x14ac:dyDescent="0.2">
      <c r="A7895" s="82"/>
      <c r="B7895" s="82"/>
      <c r="C7895" s="82"/>
    </row>
    <row r="7896" spans="1:3" x14ac:dyDescent="0.2">
      <c r="A7896" s="82"/>
      <c r="B7896" s="82"/>
      <c r="C7896" s="82"/>
    </row>
    <row r="7897" spans="1:3" x14ac:dyDescent="0.2">
      <c r="A7897" s="82"/>
      <c r="B7897" s="82"/>
      <c r="C7897" s="82"/>
    </row>
    <row r="7898" spans="1:3" x14ac:dyDescent="0.2">
      <c r="A7898" s="82"/>
      <c r="B7898" s="82"/>
      <c r="C7898" s="82"/>
    </row>
    <row r="7899" spans="1:3" x14ac:dyDescent="0.2">
      <c r="A7899" s="82"/>
      <c r="B7899" s="82"/>
      <c r="C7899" s="82"/>
    </row>
    <row r="7900" spans="1:3" x14ac:dyDescent="0.2">
      <c r="A7900" s="82"/>
      <c r="B7900" s="82"/>
      <c r="C7900" s="82"/>
    </row>
    <row r="7901" spans="1:3" x14ac:dyDescent="0.2">
      <c r="A7901" s="82"/>
      <c r="B7901" s="82"/>
      <c r="C7901" s="82"/>
    </row>
    <row r="7902" spans="1:3" x14ac:dyDescent="0.2">
      <c r="A7902" s="82"/>
      <c r="B7902" s="82"/>
      <c r="C7902" s="82"/>
    </row>
    <row r="7903" spans="1:3" x14ac:dyDescent="0.2">
      <c r="A7903" s="82"/>
      <c r="B7903" s="82"/>
      <c r="C7903" s="82"/>
    </row>
    <row r="7904" spans="1:3" x14ac:dyDescent="0.2">
      <c r="A7904" s="82"/>
      <c r="B7904" s="82"/>
      <c r="C7904" s="82"/>
    </row>
    <row r="7905" spans="1:3" x14ac:dyDescent="0.2">
      <c r="A7905" s="82"/>
      <c r="B7905" s="82"/>
      <c r="C7905" s="82"/>
    </row>
    <row r="7906" spans="1:3" x14ac:dyDescent="0.2">
      <c r="A7906" s="82"/>
      <c r="B7906" s="82"/>
      <c r="C7906" s="82"/>
    </row>
    <row r="7907" spans="1:3" x14ac:dyDescent="0.2">
      <c r="A7907" s="82"/>
      <c r="B7907" s="82"/>
      <c r="C7907" s="82"/>
    </row>
    <row r="7908" spans="1:3" x14ac:dyDescent="0.2">
      <c r="A7908" s="82"/>
      <c r="B7908" s="82"/>
      <c r="C7908" s="82"/>
    </row>
    <row r="7909" spans="1:3" x14ac:dyDescent="0.2">
      <c r="A7909" s="82"/>
      <c r="B7909" s="82"/>
      <c r="C7909" s="82"/>
    </row>
    <row r="7910" spans="1:3" x14ac:dyDescent="0.2">
      <c r="A7910" s="82"/>
      <c r="B7910" s="82"/>
      <c r="C7910" s="82"/>
    </row>
    <row r="7911" spans="1:3" x14ac:dyDescent="0.2">
      <c r="A7911" s="82"/>
      <c r="B7911" s="82"/>
      <c r="C7911" s="82"/>
    </row>
    <row r="7912" spans="1:3" x14ac:dyDescent="0.2">
      <c r="A7912" s="82"/>
      <c r="B7912" s="82"/>
      <c r="C7912" s="82"/>
    </row>
    <row r="7913" spans="1:3" x14ac:dyDescent="0.2">
      <c r="A7913" s="82"/>
      <c r="B7913" s="82"/>
      <c r="C7913" s="82"/>
    </row>
    <row r="7914" spans="1:3" x14ac:dyDescent="0.2">
      <c r="A7914" s="82"/>
      <c r="B7914" s="82"/>
      <c r="C7914" s="82"/>
    </row>
    <row r="7915" spans="1:3" x14ac:dyDescent="0.2">
      <c r="A7915" s="82"/>
      <c r="B7915" s="82"/>
      <c r="C7915" s="82"/>
    </row>
    <row r="7916" spans="1:3" x14ac:dyDescent="0.2">
      <c r="A7916" s="82"/>
      <c r="B7916" s="82"/>
      <c r="C7916" s="82"/>
    </row>
    <row r="7917" spans="1:3" x14ac:dyDescent="0.2">
      <c r="A7917" s="82"/>
      <c r="B7917" s="82"/>
      <c r="C7917" s="82"/>
    </row>
    <row r="7918" spans="1:3" x14ac:dyDescent="0.2">
      <c r="A7918" s="82"/>
      <c r="B7918" s="82"/>
      <c r="C7918" s="82"/>
    </row>
    <row r="7919" spans="1:3" x14ac:dyDescent="0.2">
      <c r="A7919" s="82"/>
      <c r="B7919" s="82"/>
      <c r="C7919" s="82"/>
    </row>
    <row r="7920" spans="1:3" x14ac:dyDescent="0.2">
      <c r="A7920" s="82"/>
      <c r="B7920" s="82"/>
      <c r="C7920" s="82"/>
    </row>
    <row r="7921" spans="1:3" x14ac:dyDescent="0.2">
      <c r="A7921" s="82"/>
      <c r="B7921" s="82"/>
      <c r="C7921" s="82"/>
    </row>
    <row r="7922" spans="1:3" x14ac:dyDescent="0.2">
      <c r="A7922" s="82"/>
      <c r="B7922" s="82"/>
      <c r="C7922" s="82"/>
    </row>
    <row r="7923" spans="1:3" x14ac:dyDescent="0.2">
      <c r="A7923" s="82"/>
      <c r="B7923" s="82"/>
      <c r="C7923" s="82"/>
    </row>
    <row r="7924" spans="1:3" x14ac:dyDescent="0.2">
      <c r="A7924" s="82"/>
      <c r="B7924" s="82"/>
      <c r="C7924" s="82"/>
    </row>
    <row r="7925" spans="1:3" x14ac:dyDescent="0.2">
      <c r="A7925" s="82"/>
      <c r="B7925" s="82"/>
      <c r="C7925" s="82"/>
    </row>
    <row r="7926" spans="1:3" x14ac:dyDescent="0.2">
      <c r="A7926" s="82"/>
      <c r="B7926" s="82"/>
      <c r="C7926" s="82"/>
    </row>
    <row r="7927" spans="1:3" x14ac:dyDescent="0.2">
      <c r="A7927" s="82"/>
      <c r="B7927" s="82"/>
      <c r="C7927" s="82"/>
    </row>
    <row r="7928" spans="1:3" x14ac:dyDescent="0.2">
      <c r="A7928" s="82"/>
      <c r="B7928" s="82"/>
      <c r="C7928" s="82"/>
    </row>
    <row r="7929" spans="1:3" x14ac:dyDescent="0.2">
      <c r="A7929" s="82"/>
      <c r="B7929" s="82"/>
      <c r="C7929" s="82"/>
    </row>
    <row r="7930" spans="1:3" x14ac:dyDescent="0.2">
      <c r="A7930" s="82"/>
      <c r="B7930" s="82"/>
      <c r="C7930" s="82"/>
    </row>
    <row r="7931" spans="1:3" x14ac:dyDescent="0.2">
      <c r="A7931" s="82"/>
      <c r="B7931" s="82"/>
      <c r="C7931" s="82"/>
    </row>
    <row r="7932" spans="1:3" x14ac:dyDescent="0.2">
      <c r="A7932" s="82"/>
      <c r="B7932" s="82"/>
      <c r="C7932" s="82"/>
    </row>
    <row r="7933" spans="1:3" x14ac:dyDescent="0.2">
      <c r="A7933" s="82"/>
      <c r="B7933" s="82"/>
      <c r="C7933" s="82"/>
    </row>
    <row r="7934" spans="1:3" x14ac:dyDescent="0.2">
      <c r="A7934" s="82"/>
      <c r="B7934" s="82"/>
      <c r="C7934" s="82"/>
    </row>
    <row r="7935" spans="1:3" x14ac:dyDescent="0.2">
      <c r="A7935" s="82"/>
      <c r="B7935" s="82"/>
      <c r="C7935" s="82"/>
    </row>
    <row r="7936" spans="1:3" x14ac:dyDescent="0.2">
      <c r="A7936" s="82"/>
      <c r="B7936" s="82"/>
      <c r="C7936" s="82"/>
    </row>
    <row r="7937" spans="1:3" x14ac:dyDescent="0.2">
      <c r="A7937" s="82"/>
      <c r="B7937" s="82"/>
      <c r="C7937" s="82"/>
    </row>
    <row r="7938" spans="1:3" x14ac:dyDescent="0.2">
      <c r="A7938" s="82"/>
      <c r="B7938" s="82"/>
      <c r="C7938" s="82"/>
    </row>
    <row r="7939" spans="1:3" x14ac:dyDescent="0.2">
      <c r="A7939" s="82"/>
      <c r="B7939" s="82"/>
      <c r="C7939" s="82"/>
    </row>
    <row r="7940" spans="1:3" x14ac:dyDescent="0.2">
      <c r="A7940" s="82"/>
      <c r="B7940" s="82"/>
      <c r="C7940" s="82"/>
    </row>
    <row r="7941" spans="1:3" x14ac:dyDescent="0.2">
      <c r="A7941" s="82"/>
      <c r="B7941" s="82"/>
      <c r="C7941" s="82"/>
    </row>
    <row r="7942" spans="1:3" x14ac:dyDescent="0.2">
      <c r="A7942" s="82"/>
      <c r="B7942" s="82"/>
      <c r="C7942" s="82"/>
    </row>
    <row r="7943" spans="1:3" x14ac:dyDescent="0.2">
      <c r="A7943" s="82"/>
      <c r="B7943" s="82"/>
      <c r="C7943" s="82"/>
    </row>
    <row r="7944" spans="1:3" x14ac:dyDescent="0.2">
      <c r="A7944" s="82"/>
      <c r="B7944" s="82"/>
      <c r="C7944" s="82"/>
    </row>
    <row r="7945" spans="1:3" x14ac:dyDescent="0.2">
      <c r="A7945" s="82"/>
      <c r="B7945" s="82"/>
      <c r="C7945" s="82"/>
    </row>
    <row r="7946" spans="1:3" x14ac:dyDescent="0.2">
      <c r="A7946" s="82"/>
      <c r="B7946" s="82"/>
      <c r="C7946" s="82"/>
    </row>
    <row r="7947" spans="1:3" x14ac:dyDescent="0.2">
      <c r="A7947" s="82"/>
      <c r="B7947" s="82"/>
      <c r="C7947" s="82"/>
    </row>
    <row r="7948" spans="1:3" x14ac:dyDescent="0.2">
      <c r="A7948" s="82"/>
      <c r="B7948" s="82"/>
      <c r="C7948" s="82"/>
    </row>
    <row r="7949" spans="1:3" x14ac:dyDescent="0.2">
      <c r="A7949" s="82"/>
      <c r="B7949" s="82"/>
      <c r="C7949" s="82"/>
    </row>
    <row r="7950" spans="1:3" x14ac:dyDescent="0.2">
      <c r="A7950" s="82"/>
      <c r="B7950" s="82"/>
      <c r="C7950" s="82"/>
    </row>
    <row r="7951" spans="1:3" x14ac:dyDescent="0.2">
      <c r="A7951" s="82"/>
      <c r="B7951" s="82"/>
      <c r="C7951" s="82"/>
    </row>
    <row r="7952" spans="1:3" x14ac:dyDescent="0.2">
      <c r="A7952" s="82"/>
      <c r="B7952" s="82"/>
      <c r="C7952" s="82"/>
    </row>
    <row r="7953" spans="1:3" x14ac:dyDescent="0.2">
      <c r="A7953" s="82"/>
      <c r="B7953" s="82"/>
      <c r="C7953" s="82"/>
    </row>
    <row r="7954" spans="1:3" x14ac:dyDescent="0.2">
      <c r="A7954" s="82"/>
      <c r="B7954" s="82"/>
      <c r="C7954" s="82"/>
    </row>
    <row r="7955" spans="1:3" x14ac:dyDescent="0.2">
      <c r="A7955" s="82"/>
      <c r="B7955" s="82"/>
      <c r="C7955" s="82"/>
    </row>
    <row r="7956" spans="1:3" x14ac:dyDescent="0.2">
      <c r="A7956" s="82"/>
      <c r="B7956" s="82"/>
      <c r="C7956" s="82"/>
    </row>
    <row r="7957" spans="1:3" x14ac:dyDescent="0.2">
      <c r="A7957" s="82"/>
      <c r="B7957" s="82"/>
      <c r="C7957" s="82"/>
    </row>
    <row r="7958" spans="1:3" x14ac:dyDescent="0.2">
      <c r="A7958" s="82"/>
      <c r="B7958" s="82"/>
      <c r="C7958" s="82"/>
    </row>
    <row r="7959" spans="1:3" x14ac:dyDescent="0.2">
      <c r="A7959" s="82"/>
      <c r="B7959" s="82"/>
      <c r="C7959" s="82"/>
    </row>
    <row r="7960" spans="1:3" x14ac:dyDescent="0.2">
      <c r="A7960" s="82"/>
      <c r="B7960" s="82"/>
      <c r="C7960" s="82"/>
    </row>
    <row r="7961" spans="1:3" x14ac:dyDescent="0.2">
      <c r="A7961" s="82"/>
      <c r="B7961" s="82"/>
      <c r="C7961" s="82"/>
    </row>
    <row r="7962" spans="1:3" x14ac:dyDescent="0.2">
      <c r="A7962" s="82"/>
      <c r="B7962" s="82"/>
      <c r="C7962" s="82"/>
    </row>
    <row r="7963" spans="1:3" x14ac:dyDescent="0.2">
      <c r="A7963" s="82"/>
      <c r="B7963" s="82"/>
      <c r="C7963" s="82"/>
    </row>
    <row r="7964" spans="1:3" x14ac:dyDescent="0.2">
      <c r="A7964" s="82"/>
      <c r="B7964" s="82"/>
      <c r="C7964" s="82"/>
    </row>
    <row r="7965" spans="1:3" x14ac:dyDescent="0.2">
      <c r="A7965" s="82"/>
      <c r="B7965" s="82"/>
      <c r="C7965" s="82"/>
    </row>
    <row r="7966" spans="1:3" x14ac:dyDescent="0.2">
      <c r="A7966" s="82"/>
      <c r="B7966" s="82"/>
      <c r="C7966" s="82"/>
    </row>
    <row r="7967" spans="1:3" x14ac:dyDescent="0.2">
      <c r="A7967" s="82"/>
      <c r="B7967" s="82"/>
      <c r="C7967" s="82"/>
    </row>
    <row r="7968" spans="1:3" x14ac:dyDescent="0.2">
      <c r="A7968" s="82"/>
      <c r="B7968" s="82"/>
      <c r="C7968" s="82"/>
    </row>
    <row r="7969" spans="1:3" x14ac:dyDescent="0.2">
      <c r="A7969" s="82"/>
      <c r="B7969" s="82"/>
      <c r="C7969" s="82"/>
    </row>
    <row r="7970" spans="1:3" x14ac:dyDescent="0.2">
      <c r="A7970" s="82"/>
      <c r="B7970" s="82"/>
      <c r="C7970" s="82"/>
    </row>
    <row r="7971" spans="1:3" x14ac:dyDescent="0.2">
      <c r="A7971" s="82"/>
      <c r="B7971" s="82"/>
      <c r="C7971" s="82"/>
    </row>
    <row r="7972" spans="1:3" x14ac:dyDescent="0.2">
      <c r="A7972" s="82"/>
      <c r="B7972" s="82"/>
      <c r="C7972" s="82"/>
    </row>
    <row r="7973" spans="1:3" x14ac:dyDescent="0.2">
      <c r="A7973" s="82"/>
      <c r="B7973" s="82"/>
      <c r="C7973" s="82"/>
    </row>
    <row r="7974" spans="1:3" x14ac:dyDescent="0.2">
      <c r="A7974" s="82"/>
      <c r="B7974" s="82"/>
      <c r="C7974" s="82"/>
    </row>
    <row r="7975" spans="1:3" x14ac:dyDescent="0.2">
      <c r="A7975" s="82"/>
      <c r="B7975" s="82"/>
      <c r="C7975" s="82"/>
    </row>
    <row r="7976" spans="1:3" x14ac:dyDescent="0.2">
      <c r="A7976" s="82"/>
      <c r="B7976" s="82"/>
      <c r="C7976" s="82"/>
    </row>
    <row r="7977" spans="1:3" x14ac:dyDescent="0.2">
      <c r="A7977" s="82"/>
      <c r="B7977" s="82"/>
      <c r="C7977" s="82"/>
    </row>
    <row r="7978" spans="1:3" x14ac:dyDescent="0.2">
      <c r="A7978" s="82"/>
      <c r="B7978" s="82"/>
      <c r="C7978" s="82"/>
    </row>
    <row r="7979" spans="1:3" x14ac:dyDescent="0.2">
      <c r="A7979" s="82"/>
      <c r="B7979" s="82"/>
      <c r="C7979" s="82"/>
    </row>
    <row r="7980" spans="1:3" x14ac:dyDescent="0.2">
      <c r="A7980" s="82"/>
      <c r="B7980" s="82"/>
      <c r="C7980" s="82"/>
    </row>
    <row r="7981" spans="1:3" x14ac:dyDescent="0.2">
      <c r="A7981" s="82"/>
      <c r="B7981" s="82"/>
      <c r="C7981" s="82"/>
    </row>
    <row r="7982" spans="1:3" x14ac:dyDescent="0.2">
      <c r="A7982" s="82"/>
      <c r="B7982" s="82"/>
      <c r="C7982" s="82"/>
    </row>
    <row r="7983" spans="1:3" x14ac:dyDescent="0.2">
      <c r="A7983" s="82"/>
      <c r="B7983" s="82"/>
      <c r="C7983" s="82"/>
    </row>
    <row r="7984" spans="1:3" x14ac:dyDescent="0.2">
      <c r="A7984" s="82"/>
      <c r="B7984" s="82"/>
      <c r="C7984" s="82"/>
    </row>
    <row r="7985" spans="1:3" x14ac:dyDescent="0.2">
      <c r="A7985" s="82"/>
      <c r="B7985" s="82"/>
      <c r="C7985" s="82"/>
    </row>
    <row r="7986" spans="1:3" x14ac:dyDescent="0.2">
      <c r="A7986" s="82"/>
      <c r="B7986" s="82"/>
      <c r="C7986" s="82"/>
    </row>
    <row r="7987" spans="1:3" x14ac:dyDescent="0.2">
      <c r="A7987" s="82"/>
      <c r="B7987" s="82"/>
      <c r="C7987" s="82"/>
    </row>
    <row r="7988" spans="1:3" x14ac:dyDescent="0.2">
      <c r="A7988" s="82"/>
      <c r="B7988" s="82"/>
      <c r="C7988" s="82"/>
    </row>
    <row r="7989" spans="1:3" x14ac:dyDescent="0.2">
      <c r="A7989" s="82"/>
      <c r="B7989" s="82"/>
      <c r="C7989" s="82"/>
    </row>
    <row r="7990" spans="1:3" x14ac:dyDescent="0.2">
      <c r="A7990" s="82"/>
      <c r="B7990" s="82"/>
      <c r="C7990" s="82"/>
    </row>
    <row r="7991" spans="1:3" x14ac:dyDescent="0.2">
      <c r="A7991" s="82"/>
      <c r="B7991" s="82"/>
      <c r="C7991" s="82"/>
    </row>
    <row r="7992" spans="1:3" x14ac:dyDescent="0.2">
      <c r="A7992" s="82"/>
      <c r="B7992" s="82"/>
      <c r="C7992" s="82"/>
    </row>
    <row r="7993" spans="1:3" x14ac:dyDescent="0.2">
      <c r="A7993" s="82"/>
      <c r="B7993" s="82"/>
      <c r="C7993" s="82"/>
    </row>
    <row r="7994" spans="1:3" x14ac:dyDescent="0.2">
      <c r="A7994" s="82"/>
      <c r="B7994" s="82"/>
      <c r="C7994" s="82"/>
    </row>
    <row r="7995" spans="1:3" x14ac:dyDescent="0.2">
      <c r="A7995" s="82"/>
      <c r="B7995" s="82"/>
      <c r="C7995" s="82"/>
    </row>
    <row r="7996" spans="1:3" x14ac:dyDescent="0.2">
      <c r="A7996" s="82"/>
      <c r="B7996" s="82"/>
      <c r="C7996" s="82"/>
    </row>
    <row r="7997" spans="1:3" x14ac:dyDescent="0.2">
      <c r="A7997" s="82"/>
      <c r="B7997" s="82"/>
      <c r="C7997" s="82"/>
    </row>
    <row r="7998" spans="1:3" x14ac:dyDescent="0.2">
      <c r="A7998" s="82"/>
      <c r="B7998" s="82"/>
      <c r="C7998" s="82"/>
    </row>
    <row r="7999" spans="1:3" x14ac:dyDescent="0.2">
      <c r="A7999" s="82"/>
      <c r="B7999" s="82"/>
      <c r="C7999" s="82"/>
    </row>
    <row r="8000" spans="1:3" x14ac:dyDescent="0.2">
      <c r="A8000" s="82"/>
      <c r="B8000" s="82"/>
      <c r="C8000" s="82"/>
    </row>
    <row r="8001" spans="1:3" x14ac:dyDescent="0.2">
      <c r="A8001" s="82"/>
      <c r="B8001" s="82"/>
      <c r="C8001" s="82"/>
    </row>
    <row r="8002" spans="1:3" x14ac:dyDescent="0.2">
      <c r="A8002" s="82"/>
      <c r="B8002" s="82"/>
      <c r="C8002" s="82"/>
    </row>
    <row r="8003" spans="1:3" x14ac:dyDescent="0.2">
      <c r="A8003" s="82"/>
      <c r="B8003" s="82"/>
      <c r="C8003" s="82"/>
    </row>
    <row r="8004" spans="1:3" x14ac:dyDescent="0.2">
      <c r="A8004" s="82"/>
      <c r="B8004" s="82"/>
      <c r="C8004" s="82"/>
    </row>
    <row r="8005" spans="1:3" x14ac:dyDescent="0.2">
      <c r="A8005" s="82"/>
      <c r="B8005" s="82"/>
      <c r="C8005" s="82"/>
    </row>
    <row r="8006" spans="1:3" x14ac:dyDescent="0.2">
      <c r="A8006" s="82"/>
      <c r="B8006" s="82"/>
      <c r="C8006" s="82"/>
    </row>
    <row r="8007" spans="1:3" x14ac:dyDescent="0.2">
      <c r="A8007" s="82"/>
      <c r="B8007" s="82"/>
      <c r="C8007" s="82"/>
    </row>
    <row r="8008" spans="1:3" x14ac:dyDescent="0.2">
      <c r="A8008" s="82"/>
      <c r="B8008" s="82"/>
      <c r="C8008" s="82"/>
    </row>
    <row r="8009" spans="1:3" x14ac:dyDescent="0.2">
      <c r="A8009" s="82"/>
      <c r="B8009" s="82"/>
      <c r="C8009" s="82"/>
    </row>
    <row r="8010" spans="1:3" x14ac:dyDescent="0.2">
      <c r="A8010" s="82"/>
      <c r="B8010" s="82"/>
      <c r="C8010" s="82"/>
    </row>
    <row r="8011" spans="1:3" x14ac:dyDescent="0.2">
      <c r="A8011" s="82"/>
      <c r="B8011" s="82"/>
      <c r="C8011" s="82"/>
    </row>
    <row r="8012" spans="1:3" x14ac:dyDescent="0.2">
      <c r="A8012" s="82"/>
      <c r="B8012" s="82"/>
      <c r="C8012" s="82"/>
    </row>
    <row r="8013" spans="1:3" x14ac:dyDescent="0.2">
      <c r="A8013" s="82"/>
      <c r="B8013" s="82"/>
      <c r="C8013" s="82"/>
    </row>
    <row r="8014" spans="1:3" x14ac:dyDescent="0.2">
      <c r="A8014" s="82"/>
      <c r="B8014" s="82"/>
      <c r="C8014" s="82"/>
    </row>
    <row r="8015" spans="1:3" x14ac:dyDescent="0.2">
      <c r="A8015" s="82"/>
      <c r="B8015" s="82"/>
      <c r="C8015" s="82"/>
    </row>
    <row r="8016" spans="1:3" x14ac:dyDescent="0.2">
      <c r="A8016" s="82"/>
      <c r="B8016" s="82"/>
      <c r="C8016" s="82"/>
    </row>
    <row r="8017" spans="1:3" x14ac:dyDescent="0.2">
      <c r="A8017" s="82"/>
      <c r="B8017" s="82"/>
      <c r="C8017" s="82"/>
    </row>
    <row r="8018" spans="1:3" x14ac:dyDescent="0.2">
      <c r="A8018" s="82"/>
      <c r="B8018" s="82"/>
      <c r="C8018" s="82"/>
    </row>
    <row r="8019" spans="1:3" x14ac:dyDescent="0.2">
      <c r="A8019" s="82"/>
      <c r="B8019" s="82"/>
      <c r="C8019" s="82"/>
    </row>
    <row r="8020" spans="1:3" x14ac:dyDescent="0.2">
      <c r="A8020" s="82"/>
      <c r="B8020" s="82"/>
      <c r="C8020" s="82"/>
    </row>
    <row r="8021" spans="1:3" x14ac:dyDescent="0.2">
      <c r="A8021" s="82"/>
      <c r="B8021" s="82"/>
      <c r="C8021" s="82"/>
    </row>
    <row r="8022" spans="1:3" x14ac:dyDescent="0.2">
      <c r="A8022" s="82"/>
      <c r="B8022" s="82"/>
      <c r="C8022" s="82"/>
    </row>
    <row r="8023" spans="1:3" x14ac:dyDescent="0.2">
      <c r="A8023" s="82"/>
      <c r="B8023" s="82"/>
      <c r="C8023" s="82"/>
    </row>
    <row r="8024" spans="1:3" x14ac:dyDescent="0.2">
      <c r="A8024" s="82"/>
      <c r="B8024" s="82"/>
      <c r="C8024" s="82"/>
    </row>
    <row r="8025" spans="1:3" x14ac:dyDescent="0.2">
      <c r="A8025" s="82"/>
      <c r="B8025" s="82"/>
      <c r="C8025" s="82"/>
    </row>
    <row r="8026" spans="1:3" x14ac:dyDescent="0.2">
      <c r="A8026" s="82"/>
      <c r="B8026" s="82"/>
      <c r="C8026" s="82"/>
    </row>
    <row r="8027" spans="1:3" x14ac:dyDescent="0.2">
      <c r="A8027" s="82"/>
      <c r="B8027" s="82"/>
      <c r="C8027" s="82"/>
    </row>
    <row r="8028" spans="1:3" x14ac:dyDescent="0.2">
      <c r="A8028" s="82"/>
      <c r="B8028" s="82"/>
      <c r="C8028" s="82"/>
    </row>
    <row r="8029" spans="1:3" x14ac:dyDescent="0.2">
      <c r="A8029" s="82"/>
      <c r="B8029" s="82"/>
      <c r="C8029" s="82"/>
    </row>
    <row r="8030" spans="1:3" x14ac:dyDescent="0.2">
      <c r="A8030" s="82"/>
      <c r="B8030" s="82"/>
      <c r="C8030" s="82"/>
    </row>
    <row r="8031" spans="1:3" x14ac:dyDescent="0.2">
      <c r="A8031" s="82"/>
      <c r="B8031" s="82"/>
      <c r="C8031" s="82"/>
    </row>
    <row r="8032" spans="1:3" x14ac:dyDescent="0.2">
      <c r="A8032" s="82"/>
      <c r="B8032" s="82"/>
      <c r="C8032" s="82"/>
    </row>
    <row r="8033" spans="1:3" x14ac:dyDescent="0.2">
      <c r="A8033" s="82"/>
      <c r="B8033" s="82"/>
      <c r="C8033" s="82"/>
    </row>
    <row r="8034" spans="1:3" x14ac:dyDescent="0.2">
      <c r="A8034" s="82"/>
      <c r="B8034" s="82"/>
      <c r="C8034" s="82"/>
    </row>
    <row r="8035" spans="1:3" x14ac:dyDescent="0.2">
      <c r="A8035" s="82"/>
      <c r="B8035" s="82"/>
      <c r="C8035" s="82"/>
    </row>
    <row r="8036" spans="1:3" x14ac:dyDescent="0.2">
      <c r="A8036" s="82"/>
      <c r="B8036" s="82"/>
      <c r="C8036" s="82"/>
    </row>
    <row r="8037" spans="1:3" x14ac:dyDescent="0.2">
      <c r="A8037" s="82"/>
      <c r="B8037" s="82"/>
      <c r="C8037" s="82"/>
    </row>
    <row r="8038" spans="1:3" x14ac:dyDescent="0.2">
      <c r="A8038" s="82"/>
      <c r="B8038" s="82"/>
      <c r="C8038" s="82"/>
    </row>
    <row r="8039" spans="1:3" x14ac:dyDescent="0.2">
      <c r="A8039" s="82"/>
      <c r="B8039" s="82"/>
      <c r="C8039" s="82"/>
    </row>
    <row r="8040" spans="1:3" x14ac:dyDescent="0.2">
      <c r="A8040" s="82"/>
      <c r="B8040" s="82"/>
      <c r="C8040" s="82"/>
    </row>
    <row r="8041" spans="1:3" x14ac:dyDescent="0.2">
      <c r="A8041" s="82"/>
      <c r="B8041" s="82"/>
      <c r="C8041" s="82"/>
    </row>
    <row r="8042" spans="1:3" x14ac:dyDescent="0.2">
      <c r="A8042" s="82"/>
      <c r="B8042" s="82"/>
      <c r="C8042" s="82"/>
    </row>
    <row r="8043" spans="1:3" x14ac:dyDescent="0.2">
      <c r="A8043" s="82"/>
      <c r="B8043" s="82"/>
      <c r="C8043" s="82"/>
    </row>
    <row r="8044" spans="1:3" x14ac:dyDescent="0.2">
      <c r="A8044" s="82"/>
      <c r="B8044" s="82"/>
      <c r="C8044" s="82"/>
    </row>
    <row r="8045" spans="1:3" x14ac:dyDescent="0.2">
      <c r="A8045" s="82"/>
      <c r="B8045" s="82"/>
      <c r="C8045" s="82"/>
    </row>
    <row r="8046" spans="1:3" x14ac:dyDescent="0.2">
      <c r="A8046" s="82"/>
      <c r="B8046" s="82"/>
      <c r="C8046" s="82"/>
    </row>
    <row r="8047" spans="1:3" x14ac:dyDescent="0.2">
      <c r="A8047" s="82"/>
      <c r="B8047" s="82"/>
      <c r="C8047" s="82"/>
    </row>
    <row r="8048" spans="1:3" x14ac:dyDescent="0.2">
      <c r="A8048" s="82"/>
      <c r="B8048" s="82"/>
      <c r="C8048" s="82"/>
    </row>
    <row r="8049" spans="1:3" x14ac:dyDescent="0.2">
      <c r="A8049" s="82"/>
      <c r="B8049" s="82"/>
      <c r="C8049" s="82"/>
    </row>
    <row r="8050" spans="1:3" x14ac:dyDescent="0.2">
      <c r="A8050" s="82"/>
      <c r="B8050" s="82"/>
      <c r="C8050" s="82"/>
    </row>
    <row r="8051" spans="1:3" x14ac:dyDescent="0.2">
      <c r="A8051" s="82"/>
      <c r="B8051" s="82"/>
      <c r="C8051" s="82"/>
    </row>
    <row r="8052" spans="1:3" x14ac:dyDescent="0.2">
      <c r="A8052" s="82"/>
      <c r="B8052" s="82"/>
      <c r="C8052" s="82"/>
    </row>
    <row r="8053" spans="1:3" x14ac:dyDescent="0.2">
      <c r="A8053" s="82"/>
      <c r="B8053" s="82"/>
      <c r="C8053" s="82"/>
    </row>
    <row r="8054" spans="1:3" x14ac:dyDescent="0.2">
      <c r="A8054" s="82"/>
      <c r="B8054" s="82"/>
      <c r="C8054" s="82"/>
    </row>
    <row r="8055" spans="1:3" x14ac:dyDescent="0.2">
      <c r="A8055" s="82"/>
      <c r="B8055" s="82"/>
      <c r="C8055" s="82"/>
    </row>
    <row r="8056" spans="1:3" x14ac:dyDescent="0.2">
      <c r="A8056" s="82"/>
      <c r="B8056" s="82"/>
      <c r="C8056" s="82"/>
    </row>
    <row r="8057" spans="1:3" x14ac:dyDescent="0.2">
      <c r="A8057" s="82"/>
      <c r="B8057" s="82"/>
      <c r="C8057" s="82"/>
    </row>
    <row r="8058" spans="1:3" x14ac:dyDescent="0.2">
      <c r="A8058" s="82"/>
      <c r="B8058" s="82"/>
      <c r="C8058" s="82"/>
    </row>
    <row r="8059" spans="1:3" x14ac:dyDescent="0.2">
      <c r="A8059" s="82"/>
      <c r="B8059" s="82"/>
      <c r="C8059" s="82"/>
    </row>
    <row r="8060" spans="1:3" x14ac:dyDescent="0.2">
      <c r="A8060" s="82"/>
      <c r="B8060" s="82"/>
      <c r="C8060" s="82"/>
    </row>
    <row r="8061" spans="1:3" x14ac:dyDescent="0.2">
      <c r="A8061" s="82"/>
      <c r="B8061" s="82"/>
      <c r="C8061" s="82"/>
    </row>
    <row r="8062" spans="1:3" x14ac:dyDescent="0.2">
      <c r="A8062" s="82"/>
      <c r="B8062" s="82"/>
      <c r="C8062" s="82"/>
    </row>
    <row r="8063" spans="1:3" x14ac:dyDescent="0.2">
      <c r="A8063" s="82"/>
      <c r="B8063" s="82"/>
      <c r="C8063" s="82"/>
    </row>
    <row r="8064" spans="1:3" x14ac:dyDescent="0.2">
      <c r="A8064" s="82"/>
      <c r="B8064" s="82"/>
      <c r="C8064" s="82"/>
    </row>
    <row r="8065" spans="1:3" x14ac:dyDescent="0.2">
      <c r="A8065" s="82"/>
      <c r="B8065" s="82"/>
      <c r="C8065" s="82"/>
    </row>
    <row r="8066" spans="1:3" x14ac:dyDescent="0.2">
      <c r="A8066" s="82"/>
      <c r="B8066" s="82"/>
      <c r="C8066" s="82"/>
    </row>
    <row r="8067" spans="1:3" x14ac:dyDescent="0.2">
      <c r="A8067" s="82"/>
      <c r="B8067" s="82"/>
      <c r="C8067" s="82"/>
    </row>
    <row r="8068" spans="1:3" x14ac:dyDescent="0.2">
      <c r="A8068" s="82"/>
      <c r="B8068" s="82"/>
      <c r="C8068" s="82"/>
    </row>
    <row r="8069" spans="1:3" x14ac:dyDescent="0.2">
      <c r="A8069" s="82"/>
      <c r="B8069" s="82"/>
      <c r="C8069" s="82"/>
    </row>
    <row r="8070" spans="1:3" x14ac:dyDescent="0.2">
      <c r="A8070" s="82"/>
      <c r="B8070" s="82"/>
      <c r="C8070" s="82"/>
    </row>
    <row r="8071" spans="1:3" x14ac:dyDescent="0.2">
      <c r="A8071" s="82"/>
      <c r="B8071" s="82"/>
      <c r="C8071" s="82"/>
    </row>
    <row r="8072" spans="1:3" x14ac:dyDescent="0.2">
      <c r="A8072" s="82"/>
      <c r="B8072" s="82"/>
      <c r="C8072" s="82"/>
    </row>
    <row r="8073" spans="1:3" x14ac:dyDescent="0.2">
      <c r="A8073" s="82"/>
      <c r="B8073" s="82"/>
      <c r="C8073" s="82"/>
    </row>
    <row r="8074" spans="1:3" x14ac:dyDescent="0.2">
      <c r="A8074" s="82"/>
      <c r="B8074" s="82"/>
      <c r="C8074" s="82"/>
    </row>
    <row r="8075" spans="1:3" x14ac:dyDescent="0.2">
      <c r="A8075" s="82"/>
      <c r="B8075" s="82"/>
      <c r="C8075" s="82"/>
    </row>
    <row r="8076" spans="1:3" x14ac:dyDescent="0.2">
      <c r="A8076" s="82"/>
      <c r="B8076" s="82"/>
      <c r="C8076" s="82"/>
    </row>
    <row r="8077" spans="1:3" x14ac:dyDescent="0.2">
      <c r="A8077" s="82"/>
      <c r="B8077" s="82"/>
      <c r="C8077" s="82"/>
    </row>
    <row r="8078" spans="1:3" x14ac:dyDescent="0.2">
      <c r="A8078" s="82"/>
      <c r="B8078" s="82"/>
      <c r="C8078" s="82"/>
    </row>
    <row r="8079" spans="1:3" x14ac:dyDescent="0.2">
      <c r="A8079" s="82"/>
      <c r="B8079" s="82"/>
      <c r="C8079" s="82"/>
    </row>
    <row r="8080" spans="1:3" x14ac:dyDescent="0.2">
      <c r="A8080" s="82"/>
      <c r="B8080" s="82"/>
      <c r="C8080" s="82"/>
    </row>
    <row r="8081" spans="1:3" x14ac:dyDescent="0.2">
      <c r="A8081" s="82"/>
      <c r="B8081" s="82"/>
      <c r="C8081" s="82"/>
    </row>
    <row r="8082" spans="1:3" x14ac:dyDescent="0.2">
      <c r="A8082" s="82"/>
      <c r="B8082" s="82"/>
      <c r="C8082" s="82"/>
    </row>
    <row r="8083" spans="1:3" x14ac:dyDescent="0.2">
      <c r="A8083" s="82"/>
      <c r="B8083" s="82"/>
      <c r="C8083" s="82"/>
    </row>
    <row r="8084" spans="1:3" x14ac:dyDescent="0.2">
      <c r="A8084" s="82"/>
      <c r="B8084" s="82"/>
      <c r="C8084" s="82"/>
    </row>
    <row r="8085" spans="1:3" x14ac:dyDescent="0.2">
      <c r="A8085" s="82"/>
      <c r="B8085" s="82"/>
      <c r="C8085" s="82"/>
    </row>
    <row r="8086" spans="1:3" x14ac:dyDescent="0.2">
      <c r="A8086" s="82"/>
      <c r="B8086" s="82"/>
      <c r="C8086" s="82"/>
    </row>
    <row r="8087" spans="1:3" x14ac:dyDescent="0.2">
      <c r="A8087" s="82"/>
      <c r="B8087" s="82"/>
      <c r="C8087" s="82"/>
    </row>
    <row r="8088" spans="1:3" x14ac:dyDescent="0.2">
      <c r="A8088" s="82"/>
      <c r="B8088" s="82"/>
      <c r="C8088" s="82"/>
    </row>
    <row r="8089" spans="1:3" x14ac:dyDescent="0.2">
      <c r="A8089" s="82"/>
      <c r="B8089" s="82"/>
      <c r="C8089" s="82"/>
    </row>
    <row r="8090" spans="1:3" x14ac:dyDescent="0.2">
      <c r="A8090" s="82"/>
      <c r="B8090" s="82"/>
      <c r="C8090" s="82"/>
    </row>
    <row r="8091" spans="1:3" x14ac:dyDescent="0.2">
      <c r="A8091" s="82"/>
      <c r="B8091" s="82"/>
      <c r="C8091" s="82"/>
    </row>
    <row r="8092" spans="1:3" x14ac:dyDescent="0.2">
      <c r="A8092" s="82"/>
      <c r="B8092" s="82"/>
      <c r="C8092" s="82"/>
    </row>
    <row r="8093" spans="1:3" x14ac:dyDescent="0.2">
      <c r="A8093" s="82"/>
      <c r="B8093" s="82"/>
      <c r="C8093" s="82"/>
    </row>
    <row r="8094" spans="1:3" x14ac:dyDescent="0.2">
      <c r="A8094" s="82"/>
      <c r="B8094" s="82"/>
      <c r="C8094" s="82"/>
    </row>
    <row r="8095" spans="1:3" x14ac:dyDescent="0.2">
      <c r="A8095" s="82"/>
      <c r="B8095" s="82"/>
      <c r="C8095" s="82"/>
    </row>
    <row r="8096" spans="1:3" x14ac:dyDescent="0.2">
      <c r="A8096" s="82"/>
      <c r="B8096" s="82"/>
      <c r="C8096" s="82"/>
    </row>
    <row r="8097" spans="1:3" x14ac:dyDescent="0.2">
      <c r="A8097" s="82"/>
      <c r="B8097" s="82"/>
      <c r="C8097" s="82"/>
    </row>
    <row r="8098" spans="1:3" x14ac:dyDescent="0.2">
      <c r="A8098" s="82"/>
      <c r="B8098" s="82"/>
      <c r="C8098" s="82"/>
    </row>
    <row r="8099" spans="1:3" x14ac:dyDescent="0.2">
      <c r="A8099" s="82"/>
      <c r="B8099" s="82"/>
      <c r="C8099" s="82"/>
    </row>
    <row r="8100" spans="1:3" x14ac:dyDescent="0.2">
      <c r="A8100" s="82"/>
      <c r="B8100" s="82"/>
      <c r="C8100" s="82"/>
    </row>
    <row r="8101" spans="1:3" x14ac:dyDescent="0.2">
      <c r="A8101" s="82"/>
      <c r="B8101" s="82"/>
      <c r="C8101" s="82"/>
    </row>
    <row r="8102" spans="1:3" x14ac:dyDescent="0.2">
      <c r="A8102" s="82"/>
      <c r="B8102" s="82"/>
      <c r="C8102" s="82"/>
    </row>
    <row r="8103" spans="1:3" x14ac:dyDescent="0.2">
      <c r="A8103" s="82"/>
      <c r="B8103" s="82"/>
      <c r="C8103" s="82"/>
    </row>
    <row r="8104" spans="1:3" x14ac:dyDescent="0.2">
      <c r="A8104" s="82"/>
      <c r="B8104" s="82"/>
      <c r="C8104" s="82"/>
    </row>
    <row r="8105" spans="1:3" x14ac:dyDescent="0.2">
      <c r="A8105" s="82"/>
      <c r="B8105" s="82"/>
      <c r="C8105" s="82"/>
    </row>
    <row r="8106" spans="1:3" x14ac:dyDescent="0.2">
      <c r="A8106" s="82"/>
      <c r="B8106" s="82"/>
      <c r="C8106" s="82"/>
    </row>
    <row r="8107" spans="1:3" x14ac:dyDescent="0.2">
      <c r="A8107" s="82"/>
      <c r="B8107" s="82"/>
      <c r="C8107" s="82"/>
    </row>
    <row r="8108" spans="1:3" x14ac:dyDescent="0.2">
      <c r="A8108" s="82"/>
      <c r="B8108" s="82"/>
      <c r="C8108" s="82"/>
    </row>
    <row r="8109" spans="1:3" x14ac:dyDescent="0.2">
      <c r="A8109" s="82"/>
      <c r="B8109" s="82"/>
      <c r="C8109" s="82"/>
    </row>
    <row r="8110" spans="1:3" x14ac:dyDescent="0.2">
      <c r="A8110" s="82"/>
      <c r="B8110" s="82"/>
      <c r="C8110" s="82"/>
    </row>
    <row r="8111" spans="1:3" x14ac:dyDescent="0.2">
      <c r="A8111" s="82"/>
      <c r="B8111" s="82"/>
      <c r="C8111" s="82"/>
    </row>
    <row r="8112" spans="1:3" x14ac:dyDescent="0.2">
      <c r="A8112" s="82"/>
      <c r="B8112" s="82"/>
      <c r="C8112" s="82"/>
    </row>
    <row r="8113" spans="1:3" x14ac:dyDescent="0.2">
      <c r="A8113" s="82"/>
      <c r="B8113" s="82"/>
      <c r="C8113" s="82"/>
    </row>
    <row r="8114" spans="1:3" x14ac:dyDescent="0.2">
      <c r="A8114" s="82"/>
      <c r="B8114" s="82"/>
      <c r="C8114" s="82"/>
    </row>
    <row r="8115" spans="1:3" x14ac:dyDescent="0.2">
      <c r="A8115" s="82"/>
      <c r="B8115" s="82"/>
      <c r="C8115" s="82"/>
    </row>
    <row r="8116" spans="1:3" x14ac:dyDescent="0.2">
      <c r="A8116" s="82"/>
      <c r="B8116" s="82"/>
      <c r="C8116" s="82"/>
    </row>
    <row r="8117" spans="1:3" x14ac:dyDescent="0.2">
      <c r="A8117" s="82"/>
      <c r="B8117" s="82"/>
      <c r="C8117" s="82"/>
    </row>
    <row r="8118" spans="1:3" x14ac:dyDescent="0.2">
      <c r="A8118" s="82"/>
      <c r="B8118" s="82"/>
      <c r="C8118" s="82"/>
    </row>
    <row r="8119" spans="1:3" x14ac:dyDescent="0.2">
      <c r="A8119" s="82"/>
      <c r="B8119" s="82"/>
      <c r="C8119" s="82"/>
    </row>
    <row r="8120" spans="1:3" x14ac:dyDescent="0.2">
      <c r="A8120" s="82"/>
      <c r="B8120" s="82"/>
      <c r="C8120" s="82"/>
    </row>
    <row r="8121" spans="1:3" x14ac:dyDescent="0.2">
      <c r="A8121" s="82"/>
      <c r="B8121" s="82"/>
      <c r="C8121" s="82"/>
    </row>
    <row r="8122" spans="1:3" x14ac:dyDescent="0.2">
      <c r="A8122" s="82"/>
      <c r="B8122" s="82"/>
      <c r="C8122" s="82"/>
    </row>
    <row r="8123" spans="1:3" x14ac:dyDescent="0.2">
      <c r="A8123" s="82"/>
      <c r="B8123" s="82"/>
      <c r="C8123" s="82"/>
    </row>
    <row r="8124" spans="1:3" x14ac:dyDescent="0.2">
      <c r="A8124" s="82"/>
      <c r="B8124" s="82"/>
      <c r="C8124" s="82"/>
    </row>
    <row r="8125" spans="1:3" x14ac:dyDescent="0.2">
      <c r="A8125" s="82"/>
      <c r="B8125" s="82"/>
      <c r="C8125" s="82"/>
    </row>
    <row r="8126" spans="1:3" x14ac:dyDescent="0.2">
      <c r="A8126" s="82"/>
      <c r="B8126" s="82"/>
      <c r="C8126" s="82"/>
    </row>
    <row r="8127" spans="1:3" x14ac:dyDescent="0.2">
      <c r="A8127" s="82"/>
      <c r="B8127" s="82"/>
      <c r="C8127" s="82"/>
    </row>
    <row r="8128" spans="1:3" x14ac:dyDescent="0.2">
      <c r="A8128" s="82"/>
      <c r="B8128" s="82"/>
      <c r="C8128" s="82"/>
    </row>
    <row r="8129" spans="1:3" x14ac:dyDescent="0.2">
      <c r="A8129" s="82"/>
      <c r="B8129" s="82"/>
      <c r="C8129" s="82"/>
    </row>
    <row r="8130" spans="1:3" x14ac:dyDescent="0.2">
      <c r="A8130" s="82"/>
      <c r="B8130" s="82"/>
      <c r="C8130" s="82"/>
    </row>
    <row r="8131" spans="1:3" x14ac:dyDescent="0.2">
      <c r="A8131" s="82"/>
      <c r="B8131" s="82"/>
      <c r="C8131" s="82"/>
    </row>
    <row r="8132" spans="1:3" x14ac:dyDescent="0.2">
      <c r="A8132" s="82"/>
      <c r="B8132" s="82"/>
      <c r="C8132" s="82"/>
    </row>
    <row r="8133" spans="1:3" x14ac:dyDescent="0.2">
      <c r="A8133" s="82"/>
      <c r="B8133" s="82"/>
      <c r="C8133" s="82"/>
    </row>
    <row r="8134" spans="1:3" x14ac:dyDescent="0.2">
      <c r="A8134" s="82"/>
      <c r="B8134" s="82"/>
      <c r="C8134" s="82"/>
    </row>
    <row r="8135" spans="1:3" x14ac:dyDescent="0.2">
      <c r="A8135" s="82"/>
      <c r="B8135" s="82"/>
      <c r="C8135" s="82"/>
    </row>
    <row r="8136" spans="1:3" x14ac:dyDescent="0.2">
      <c r="A8136" s="82"/>
      <c r="B8136" s="82"/>
      <c r="C8136" s="82"/>
    </row>
    <row r="8137" spans="1:3" x14ac:dyDescent="0.2">
      <c r="A8137" s="82"/>
      <c r="B8137" s="82"/>
      <c r="C8137" s="82"/>
    </row>
    <row r="8138" spans="1:3" x14ac:dyDescent="0.2">
      <c r="A8138" s="82"/>
      <c r="B8138" s="82"/>
      <c r="C8138" s="82"/>
    </row>
    <row r="8139" spans="1:3" x14ac:dyDescent="0.2">
      <c r="A8139" s="82"/>
      <c r="B8139" s="82"/>
      <c r="C8139" s="82"/>
    </row>
    <row r="8140" spans="1:3" x14ac:dyDescent="0.2">
      <c r="A8140" s="82"/>
      <c r="B8140" s="82"/>
      <c r="C8140" s="82"/>
    </row>
    <row r="8141" spans="1:3" x14ac:dyDescent="0.2">
      <c r="A8141" s="82"/>
      <c r="B8141" s="82"/>
      <c r="C8141" s="82"/>
    </row>
    <row r="8142" spans="1:3" x14ac:dyDescent="0.2">
      <c r="A8142" s="82"/>
      <c r="B8142" s="82"/>
      <c r="C8142" s="82"/>
    </row>
    <row r="8143" spans="1:3" x14ac:dyDescent="0.2">
      <c r="A8143" s="82"/>
      <c r="B8143" s="82"/>
      <c r="C8143" s="82"/>
    </row>
    <row r="8144" spans="1:3" x14ac:dyDescent="0.2">
      <c r="A8144" s="82"/>
      <c r="B8144" s="82"/>
      <c r="C8144" s="82"/>
    </row>
    <row r="8145" spans="1:3" x14ac:dyDescent="0.2">
      <c r="A8145" s="82"/>
      <c r="B8145" s="82"/>
      <c r="C8145" s="82"/>
    </row>
    <row r="8146" spans="1:3" x14ac:dyDescent="0.2">
      <c r="A8146" s="82"/>
      <c r="B8146" s="82"/>
      <c r="C8146" s="82"/>
    </row>
    <row r="8147" spans="1:3" x14ac:dyDescent="0.2">
      <c r="A8147" s="82"/>
      <c r="B8147" s="82"/>
      <c r="C8147" s="82"/>
    </row>
    <row r="8148" spans="1:3" x14ac:dyDescent="0.2">
      <c r="A8148" s="82"/>
      <c r="B8148" s="82"/>
      <c r="C8148" s="82"/>
    </row>
    <row r="8149" spans="1:3" x14ac:dyDescent="0.2">
      <c r="A8149" s="82"/>
      <c r="B8149" s="82"/>
      <c r="C8149" s="82"/>
    </row>
    <row r="8150" spans="1:3" x14ac:dyDescent="0.2">
      <c r="A8150" s="82"/>
      <c r="B8150" s="82"/>
      <c r="C8150" s="82"/>
    </row>
    <row r="8151" spans="1:3" x14ac:dyDescent="0.2">
      <c r="A8151" s="82"/>
      <c r="B8151" s="82"/>
      <c r="C8151" s="82"/>
    </row>
    <row r="8152" spans="1:3" x14ac:dyDescent="0.2">
      <c r="A8152" s="82"/>
      <c r="B8152" s="82"/>
      <c r="C8152" s="82"/>
    </row>
    <row r="8153" spans="1:3" x14ac:dyDescent="0.2">
      <c r="A8153" s="82"/>
      <c r="B8153" s="82"/>
      <c r="C8153" s="82"/>
    </row>
    <row r="8154" spans="1:3" x14ac:dyDescent="0.2">
      <c r="A8154" s="82"/>
      <c r="B8154" s="82"/>
      <c r="C8154" s="82"/>
    </row>
    <row r="8155" spans="1:3" x14ac:dyDescent="0.2">
      <c r="A8155" s="82"/>
      <c r="B8155" s="82"/>
      <c r="C8155" s="82"/>
    </row>
    <row r="8156" spans="1:3" x14ac:dyDescent="0.2">
      <c r="A8156" s="82"/>
      <c r="B8156" s="82"/>
      <c r="C8156" s="82"/>
    </row>
    <row r="8157" spans="1:3" x14ac:dyDescent="0.2">
      <c r="A8157" s="82"/>
      <c r="B8157" s="82"/>
      <c r="C8157" s="82"/>
    </row>
    <row r="8158" spans="1:3" x14ac:dyDescent="0.2">
      <c r="A8158" s="82"/>
      <c r="B8158" s="82"/>
      <c r="C8158" s="82"/>
    </row>
    <row r="8159" spans="1:3" x14ac:dyDescent="0.2">
      <c r="A8159" s="82"/>
      <c r="B8159" s="82"/>
      <c r="C8159" s="82"/>
    </row>
    <row r="8160" spans="1:3" x14ac:dyDescent="0.2">
      <c r="A8160" s="82"/>
      <c r="B8160" s="82"/>
      <c r="C8160" s="82"/>
    </row>
    <row r="8161" spans="1:3" x14ac:dyDescent="0.2">
      <c r="A8161" s="82"/>
      <c r="B8161" s="82"/>
      <c r="C8161" s="82"/>
    </row>
    <row r="8162" spans="1:3" x14ac:dyDescent="0.2">
      <c r="A8162" s="82"/>
      <c r="B8162" s="82"/>
      <c r="C8162" s="82"/>
    </row>
    <row r="8163" spans="1:3" x14ac:dyDescent="0.2">
      <c r="A8163" s="82"/>
      <c r="B8163" s="82"/>
      <c r="C8163" s="82"/>
    </row>
    <row r="8164" spans="1:3" x14ac:dyDescent="0.2">
      <c r="A8164" s="82"/>
      <c r="B8164" s="82"/>
      <c r="C8164" s="82"/>
    </row>
    <row r="8165" spans="1:3" x14ac:dyDescent="0.2">
      <c r="A8165" s="82"/>
      <c r="B8165" s="82"/>
      <c r="C8165" s="82"/>
    </row>
    <row r="8166" spans="1:3" x14ac:dyDescent="0.2">
      <c r="A8166" s="82"/>
      <c r="B8166" s="82"/>
      <c r="C8166" s="82"/>
    </row>
    <row r="8167" spans="1:3" x14ac:dyDescent="0.2">
      <c r="A8167" s="82"/>
      <c r="B8167" s="82"/>
      <c r="C8167" s="82"/>
    </row>
    <row r="8168" spans="1:3" x14ac:dyDescent="0.2">
      <c r="A8168" s="82"/>
      <c r="B8168" s="82"/>
      <c r="C8168" s="82"/>
    </row>
    <row r="8169" spans="1:3" x14ac:dyDescent="0.2">
      <c r="A8169" s="82"/>
      <c r="B8169" s="82"/>
      <c r="C8169" s="82"/>
    </row>
    <row r="8170" spans="1:3" x14ac:dyDescent="0.2">
      <c r="A8170" s="82"/>
      <c r="B8170" s="82"/>
      <c r="C8170" s="82"/>
    </row>
    <row r="8171" spans="1:3" x14ac:dyDescent="0.2">
      <c r="A8171" s="82"/>
      <c r="B8171" s="82"/>
      <c r="C8171" s="82"/>
    </row>
    <row r="8172" spans="1:3" x14ac:dyDescent="0.2">
      <c r="A8172" s="82"/>
      <c r="B8172" s="82"/>
      <c r="C8172" s="82"/>
    </row>
    <row r="8173" spans="1:3" x14ac:dyDescent="0.2">
      <c r="A8173" s="82"/>
      <c r="B8173" s="82"/>
      <c r="C8173" s="82"/>
    </row>
    <row r="8174" spans="1:3" x14ac:dyDescent="0.2">
      <c r="A8174" s="82"/>
      <c r="B8174" s="82"/>
      <c r="C8174" s="82"/>
    </row>
    <row r="8175" spans="1:3" x14ac:dyDescent="0.2">
      <c r="A8175" s="82"/>
      <c r="B8175" s="82"/>
      <c r="C8175" s="82"/>
    </row>
    <row r="8176" spans="1:3" x14ac:dyDescent="0.2">
      <c r="A8176" s="82"/>
      <c r="B8176" s="82"/>
      <c r="C8176" s="82"/>
    </row>
    <row r="8177" spans="1:3" x14ac:dyDescent="0.2">
      <c r="A8177" s="82"/>
      <c r="B8177" s="82"/>
      <c r="C8177" s="82"/>
    </row>
    <row r="8178" spans="1:3" x14ac:dyDescent="0.2">
      <c r="A8178" s="82"/>
      <c r="B8178" s="82"/>
      <c r="C8178" s="82"/>
    </row>
    <row r="8179" spans="1:3" x14ac:dyDescent="0.2">
      <c r="A8179" s="82"/>
      <c r="B8179" s="82"/>
      <c r="C8179" s="82"/>
    </row>
    <row r="8180" spans="1:3" x14ac:dyDescent="0.2">
      <c r="A8180" s="82"/>
      <c r="B8180" s="82"/>
      <c r="C8180" s="82"/>
    </row>
    <row r="8181" spans="1:3" x14ac:dyDescent="0.2">
      <c r="A8181" s="82"/>
      <c r="B8181" s="82"/>
      <c r="C8181" s="82"/>
    </row>
    <row r="8182" spans="1:3" x14ac:dyDescent="0.2">
      <c r="A8182" s="82"/>
      <c r="B8182" s="82"/>
      <c r="C8182" s="82"/>
    </row>
    <row r="8183" spans="1:3" x14ac:dyDescent="0.2">
      <c r="A8183" s="82"/>
      <c r="B8183" s="82"/>
      <c r="C8183" s="82"/>
    </row>
    <row r="8184" spans="1:3" x14ac:dyDescent="0.2">
      <c r="A8184" s="82"/>
      <c r="B8184" s="82"/>
      <c r="C8184" s="82"/>
    </row>
    <row r="8185" spans="1:3" x14ac:dyDescent="0.2">
      <c r="A8185" s="82"/>
      <c r="B8185" s="82"/>
      <c r="C8185" s="82"/>
    </row>
    <row r="8186" spans="1:3" x14ac:dyDescent="0.2">
      <c r="A8186" s="82"/>
      <c r="B8186" s="82"/>
      <c r="C8186" s="82"/>
    </row>
    <row r="8187" spans="1:3" x14ac:dyDescent="0.2">
      <c r="A8187" s="82"/>
      <c r="B8187" s="82"/>
      <c r="C8187" s="82"/>
    </row>
    <row r="8188" spans="1:3" x14ac:dyDescent="0.2">
      <c r="A8188" s="82"/>
      <c r="B8188" s="82"/>
      <c r="C8188" s="82"/>
    </row>
    <row r="8189" spans="1:3" x14ac:dyDescent="0.2">
      <c r="A8189" s="82"/>
      <c r="B8189" s="82"/>
      <c r="C8189" s="82"/>
    </row>
    <row r="8190" spans="1:3" x14ac:dyDescent="0.2">
      <c r="A8190" s="82"/>
      <c r="B8190" s="82"/>
      <c r="C8190" s="82"/>
    </row>
    <row r="8191" spans="1:3" x14ac:dyDescent="0.2">
      <c r="A8191" s="82"/>
      <c r="B8191" s="82"/>
      <c r="C8191" s="82"/>
    </row>
    <row r="8192" spans="1:3" x14ac:dyDescent="0.2">
      <c r="A8192" s="82"/>
      <c r="B8192" s="82"/>
      <c r="C8192" s="82"/>
    </row>
    <row r="8193" spans="1:3" x14ac:dyDescent="0.2">
      <c r="A8193" s="82"/>
      <c r="B8193" s="82"/>
      <c r="C8193" s="82"/>
    </row>
    <row r="8194" spans="1:3" x14ac:dyDescent="0.2">
      <c r="A8194" s="82"/>
      <c r="B8194" s="82"/>
      <c r="C8194" s="82"/>
    </row>
    <row r="8195" spans="1:3" x14ac:dyDescent="0.2">
      <c r="A8195" s="82"/>
      <c r="B8195" s="82"/>
      <c r="C8195" s="82"/>
    </row>
    <row r="8196" spans="1:3" x14ac:dyDescent="0.2">
      <c r="A8196" s="82"/>
      <c r="B8196" s="82"/>
      <c r="C8196" s="82"/>
    </row>
    <row r="8197" spans="1:3" x14ac:dyDescent="0.2">
      <c r="A8197" s="82"/>
      <c r="B8197" s="82"/>
      <c r="C8197" s="82"/>
    </row>
    <row r="8198" spans="1:3" x14ac:dyDescent="0.2">
      <c r="A8198" s="82"/>
      <c r="B8198" s="82"/>
      <c r="C8198" s="82"/>
    </row>
    <row r="8199" spans="1:3" x14ac:dyDescent="0.2">
      <c r="A8199" s="82"/>
      <c r="B8199" s="82"/>
      <c r="C8199" s="82"/>
    </row>
    <row r="8200" spans="1:3" x14ac:dyDescent="0.2">
      <c r="A8200" s="82"/>
      <c r="B8200" s="82"/>
      <c r="C8200" s="82"/>
    </row>
    <row r="8201" spans="1:3" x14ac:dyDescent="0.2">
      <c r="A8201" s="82"/>
      <c r="B8201" s="82"/>
      <c r="C8201" s="82"/>
    </row>
    <row r="8202" spans="1:3" x14ac:dyDescent="0.2">
      <c r="A8202" s="82"/>
      <c r="B8202" s="82"/>
      <c r="C8202" s="82"/>
    </row>
    <row r="8203" spans="1:3" x14ac:dyDescent="0.2">
      <c r="A8203" s="82"/>
      <c r="B8203" s="82"/>
      <c r="C8203" s="82"/>
    </row>
    <row r="8204" spans="1:3" x14ac:dyDescent="0.2">
      <c r="A8204" s="82"/>
      <c r="B8204" s="82"/>
      <c r="C8204" s="82"/>
    </row>
    <row r="8205" spans="1:3" x14ac:dyDescent="0.2">
      <c r="A8205" s="82"/>
      <c r="B8205" s="82"/>
      <c r="C8205" s="82"/>
    </row>
    <row r="8206" spans="1:3" x14ac:dyDescent="0.2">
      <c r="A8206" s="82"/>
      <c r="B8206" s="82"/>
      <c r="C8206" s="82"/>
    </row>
    <row r="8207" spans="1:3" x14ac:dyDescent="0.2">
      <c r="A8207" s="82"/>
      <c r="B8207" s="82"/>
      <c r="C8207" s="82"/>
    </row>
    <row r="8208" spans="1:3" x14ac:dyDescent="0.2">
      <c r="A8208" s="82"/>
      <c r="B8208" s="82"/>
      <c r="C8208" s="82"/>
    </row>
    <row r="8209" spans="1:3" x14ac:dyDescent="0.2">
      <c r="A8209" s="82"/>
      <c r="B8209" s="82"/>
      <c r="C8209" s="82"/>
    </row>
    <row r="8210" spans="1:3" x14ac:dyDescent="0.2">
      <c r="A8210" s="82"/>
      <c r="B8210" s="82"/>
      <c r="C8210" s="82"/>
    </row>
    <row r="8211" spans="1:3" x14ac:dyDescent="0.2">
      <c r="A8211" s="82"/>
      <c r="B8211" s="82"/>
      <c r="C8211" s="82"/>
    </row>
    <row r="8212" spans="1:3" x14ac:dyDescent="0.2">
      <c r="A8212" s="82"/>
      <c r="B8212" s="82"/>
      <c r="C8212" s="82"/>
    </row>
    <row r="8213" spans="1:3" x14ac:dyDescent="0.2">
      <c r="A8213" s="82"/>
      <c r="B8213" s="82"/>
      <c r="C8213" s="82"/>
    </row>
    <row r="8214" spans="1:3" x14ac:dyDescent="0.2">
      <c r="A8214" s="82"/>
      <c r="B8214" s="82"/>
      <c r="C8214" s="82"/>
    </row>
    <row r="8215" spans="1:3" x14ac:dyDescent="0.2">
      <c r="A8215" s="82"/>
      <c r="B8215" s="82"/>
      <c r="C8215" s="82"/>
    </row>
    <row r="8216" spans="1:3" x14ac:dyDescent="0.2">
      <c r="A8216" s="82"/>
      <c r="B8216" s="82"/>
      <c r="C8216" s="82"/>
    </row>
    <row r="8217" spans="1:3" x14ac:dyDescent="0.2">
      <c r="A8217" s="82"/>
      <c r="B8217" s="82"/>
      <c r="C8217" s="82"/>
    </row>
    <row r="8218" spans="1:3" x14ac:dyDescent="0.2">
      <c r="A8218" s="82"/>
      <c r="B8218" s="82"/>
      <c r="C8218" s="82"/>
    </row>
    <row r="8219" spans="1:3" x14ac:dyDescent="0.2">
      <c r="A8219" s="82"/>
      <c r="B8219" s="82"/>
      <c r="C8219" s="82"/>
    </row>
    <row r="8220" spans="1:3" x14ac:dyDescent="0.2">
      <c r="A8220" s="82"/>
      <c r="B8220" s="82"/>
      <c r="C8220" s="82"/>
    </row>
    <row r="8221" spans="1:3" x14ac:dyDescent="0.2">
      <c r="A8221" s="82"/>
      <c r="B8221" s="82"/>
      <c r="C8221" s="82"/>
    </row>
    <row r="8222" spans="1:3" x14ac:dyDescent="0.2">
      <c r="A8222" s="82"/>
      <c r="B8222" s="82"/>
      <c r="C8222" s="82"/>
    </row>
    <row r="8223" spans="1:3" x14ac:dyDescent="0.2">
      <c r="A8223" s="82"/>
      <c r="B8223" s="82"/>
      <c r="C8223" s="82"/>
    </row>
    <row r="8224" spans="1:3" x14ac:dyDescent="0.2">
      <c r="A8224" s="82"/>
      <c r="B8224" s="82"/>
      <c r="C8224" s="82"/>
    </row>
    <row r="8225" spans="1:3" x14ac:dyDescent="0.2">
      <c r="A8225" s="82"/>
      <c r="B8225" s="82"/>
      <c r="C8225" s="82"/>
    </row>
    <row r="8226" spans="1:3" x14ac:dyDescent="0.2">
      <c r="A8226" s="82"/>
      <c r="B8226" s="82"/>
      <c r="C8226" s="82"/>
    </row>
    <row r="8227" spans="1:3" x14ac:dyDescent="0.2">
      <c r="A8227" s="82"/>
      <c r="B8227" s="82"/>
      <c r="C8227" s="82"/>
    </row>
    <row r="8228" spans="1:3" x14ac:dyDescent="0.2">
      <c r="A8228" s="82"/>
      <c r="B8228" s="82"/>
      <c r="C8228" s="82"/>
    </row>
    <row r="8229" spans="1:3" x14ac:dyDescent="0.2">
      <c r="A8229" s="82"/>
      <c r="B8229" s="82"/>
      <c r="C8229" s="82"/>
    </row>
    <row r="8230" spans="1:3" x14ac:dyDescent="0.2">
      <c r="A8230" s="82"/>
      <c r="B8230" s="82"/>
      <c r="C8230" s="82"/>
    </row>
    <row r="8231" spans="1:3" x14ac:dyDescent="0.2">
      <c r="A8231" s="82"/>
      <c r="B8231" s="82"/>
      <c r="C8231" s="82"/>
    </row>
    <row r="8232" spans="1:3" x14ac:dyDescent="0.2">
      <c r="A8232" s="82"/>
      <c r="B8232" s="82"/>
      <c r="C8232" s="82"/>
    </row>
    <row r="8233" spans="1:3" x14ac:dyDescent="0.2">
      <c r="A8233" s="82"/>
      <c r="B8233" s="82"/>
      <c r="C8233" s="82"/>
    </row>
    <row r="8234" spans="1:3" x14ac:dyDescent="0.2">
      <c r="A8234" s="82"/>
      <c r="B8234" s="82"/>
      <c r="C8234" s="82"/>
    </row>
    <row r="8235" spans="1:3" x14ac:dyDescent="0.2">
      <c r="A8235" s="82"/>
      <c r="B8235" s="82"/>
      <c r="C8235" s="82"/>
    </row>
    <row r="8236" spans="1:3" x14ac:dyDescent="0.2">
      <c r="A8236" s="82"/>
      <c r="B8236" s="82"/>
      <c r="C8236" s="82"/>
    </row>
    <row r="8237" spans="1:3" x14ac:dyDescent="0.2">
      <c r="A8237" s="82"/>
      <c r="B8237" s="82"/>
      <c r="C8237" s="82"/>
    </row>
    <row r="8238" spans="1:3" x14ac:dyDescent="0.2">
      <c r="A8238" s="82"/>
      <c r="B8238" s="82"/>
      <c r="C8238" s="82"/>
    </row>
    <row r="8239" spans="1:3" x14ac:dyDescent="0.2">
      <c r="A8239" s="82"/>
      <c r="B8239" s="82"/>
      <c r="C8239" s="82"/>
    </row>
    <row r="8240" spans="1:3" x14ac:dyDescent="0.2">
      <c r="A8240" s="82"/>
      <c r="B8240" s="82"/>
      <c r="C8240" s="82"/>
    </row>
    <row r="8241" spans="1:3" x14ac:dyDescent="0.2">
      <c r="A8241" s="82"/>
      <c r="B8241" s="82"/>
      <c r="C8241" s="82"/>
    </row>
    <row r="8242" spans="1:3" x14ac:dyDescent="0.2">
      <c r="A8242" s="82"/>
      <c r="B8242" s="82"/>
      <c r="C8242" s="82"/>
    </row>
    <row r="8243" spans="1:3" x14ac:dyDescent="0.2">
      <c r="A8243" s="82"/>
      <c r="B8243" s="82"/>
      <c r="C8243" s="82"/>
    </row>
    <row r="8244" spans="1:3" x14ac:dyDescent="0.2">
      <c r="A8244" s="82"/>
      <c r="B8244" s="82"/>
      <c r="C8244" s="82"/>
    </row>
    <row r="8245" spans="1:3" x14ac:dyDescent="0.2">
      <c r="A8245" s="82"/>
      <c r="B8245" s="82"/>
      <c r="C8245" s="82"/>
    </row>
    <row r="8246" spans="1:3" x14ac:dyDescent="0.2">
      <c r="A8246" s="82"/>
      <c r="B8246" s="82"/>
      <c r="C8246" s="82"/>
    </row>
    <row r="8247" spans="1:3" x14ac:dyDescent="0.2">
      <c r="A8247" s="82"/>
      <c r="B8247" s="82"/>
      <c r="C8247" s="82"/>
    </row>
    <row r="8248" spans="1:3" x14ac:dyDescent="0.2">
      <c r="A8248" s="82"/>
      <c r="B8248" s="82"/>
      <c r="C8248" s="82"/>
    </row>
    <row r="8249" spans="1:3" x14ac:dyDescent="0.2">
      <c r="A8249" s="82"/>
      <c r="B8249" s="82"/>
      <c r="C8249" s="82"/>
    </row>
    <row r="8250" spans="1:3" x14ac:dyDescent="0.2">
      <c r="A8250" s="82"/>
      <c r="B8250" s="82"/>
      <c r="C8250" s="82"/>
    </row>
    <row r="8251" spans="1:3" x14ac:dyDescent="0.2">
      <c r="A8251" s="82"/>
      <c r="B8251" s="82"/>
      <c r="C8251" s="82"/>
    </row>
    <row r="8252" spans="1:3" x14ac:dyDescent="0.2">
      <c r="A8252" s="82"/>
      <c r="B8252" s="82"/>
      <c r="C8252" s="82"/>
    </row>
    <row r="8253" spans="1:3" x14ac:dyDescent="0.2">
      <c r="A8253" s="82"/>
      <c r="B8253" s="82"/>
      <c r="C8253" s="82"/>
    </row>
    <row r="8254" spans="1:3" x14ac:dyDescent="0.2">
      <c r="A8254" s="82"/>
      <c r="B8254" s="82"/>
      <c r="C8254" s="82"/>
    </row>
    <row r="8255" spans="1:3" x14ac:dyDescent="0.2">
      <c r="A8255" s="82"/>
      <c r="B8255" s="82"/>
      <c r="C8255" s="82"/>
    </row>
    <row r="8256" spans="1:3" x14ac:dyDescent="0.2">
      <c r="A8256" s="82"/>
      <c r="B8256" s="82"/>
      <c r="C8256" s="82"/>
    </row>
    <row r="8257" spans="1:3" x14ac:dyDescent="0.2">
      <c r="A8257" s="82"/>
      <c r="B8257" s="82"/>
      <c r="C8257" s="82"/>
    </row>
    <row r="8258" spans="1:3" x14ac:dyDescent="0.2">
      <c r="A8258" s="82"/>
      <c r="B8258" s="82"/>
      <c r="C8258" s="82"/>
    </row>
    <row r="8259" spans="1:3" x14ac:dyDescent="0.2">
      <c r="A8259" s="82"/>
      <c r="B8259" s="82"/>
      <c r="C8259" s="82"/>
    </row>
    <row r="8260" spans="1:3" x14ac:dyDescent="0.2">
      <c r="A8260" s="82"/>
      <c r="B8260" s="82"/>
      <c r="C8260" s="82"/>
    </row>
    <row r="8261" spans="1:3" x14ac:dyDescent="0.2">
      <c r="A8261" s="82"/>
      <c r="B8261" s="82"/>
      <c r="C8261" s="82"/>
    </row>
    <row r="8262" spans="1:3" x14ac:dyDescent="0.2">
      <c r="A8262" s="82"/>
      <c r="B8262" s="82"/>
      <c r="C8262" s="82"/>
    </row>
    <row r="8263" spans="1:3" x14ac:dyDescent="0.2">
      <c r="A8263" s="82"/>
      <c r="B8263" s="82"/>
      <c r="C8263" s="82"/>
    </row>
    <row r="8264" spans="1:3" x14ac:dyDescent="0.2">
      <c r="A8264" s="82"/>
      <c r="B8264" s="82"/>
      <c r="C8264" s="82"/>
    </row>
    <row r="8265" spans="1:3" x14ac:dyDescent="0.2">
      <c r="A8265" s="82"/>
      <c r="B8265" s="82"/>
      <c r="C8265" s="82"/>
    </row>
    <row r="8266" spans="1:3" x14ac:dyDescent="0.2">
      <c r="A8266" s="82"/>
      <c r="B8266" s="82"/>
      <c r="C8266" s="82"/>
    </row>
    <row r="8267" spans="1:3" x14ac:dyDescent="0.2">
      <c r="A8267" s="82"/>
      <c r="B8267" s="82"/>
      <c r="C8267" s="82"/>
    </row>
    <row r="8268" spans="1:3" x14ac:dyDescent="0.2">
      <c r="A8268" s="82"/>
      <c r="B8268" s="82"/>
      <c r="C8268" s="82"/>
    </row>
    <row r="8269" spans="1:3" x14ac:dyDescent="0.2">
      <c r="A8269" s="82"/>
      <c r="B8269" s="82"/>
      <c r="C8269" s="82"/>
    </row>
    <row r="8270" spans="1:3" x14ac:dyDescent="0.2">
      <c r="A8270" s="82"/>
      <c r="B8270" s="82"/>
      <c r="C8270" s="82"/>
    </row>
    <row r="8271" spans="1:3" x14ac:dyDescent="0.2">
      <c r="A8271" s="82"/>
      <c r="B8271" s="82"/>
      <c r="C8271" s="82"/>
    </row>
    <row r="8272" spans="1:3" x14ac:dyDescent="0.2">
      <c r="A8272" s="82"/>
      <c r="B8272" s="82"/>
      <c r="C8272" s="82"/>
    </row>
    <row r="8273" spans="1:3" x14ac:dyDescent="0.2">
      <c r="A8273" s="82"/>
      <c r="B8273" s="82"/>
      <c r="C8273" s="82"/>
    </row>
    <row r="8274" spans="1:3" x14ac:dyDescent="0.2">
      <c r="A8274" s="82"/>
      <c r="B8274" s="82"/>
      <c r="C8274" s="82"/>
    </row>
    <row r="8275" spans="1:3" x14ac:dyDescent="0.2">
      <c r="A8275" s="82"/>
      <c r="B8275" s="82"/>
      <c r="C8275" s="82"/>
    </row>
    <row r="8276" spans="1:3" x14ac:dyDescent="0.2">
      <c r="A8276" s="82"/>
      <c r="B8276" s="82"/>
      <c r="C8276" s="82"/>
    </row>
    <row r="8277" spans="1:3" x14ac:dyDescent="0.2">
      <c r="A8277" s="82"/>
      <c r="B8277" s="82"/>
      <c r="C8277" s="82"/>
    </row>
    <row r="8278" spans="1:3" x14ac:dyDescent="0.2">
      <c r="A8278" s="82"/>
      <c r="B8278" s="82"/>
      <c r="C8278" s="82"/>
    </row>
    <row r="8279" spans="1:3" x14ac:dyDescent="0.2">
      <c r="A8279" s="82"/>
      <c r="B8279" s="82"/>
      <c r="C8279" s="82"/>
    </row>
    <row r="8280" spans="1:3" x14ac:dyDescent="0.2">
      <c r="A8280" s="82"/>
      <c r="B8280" s="82"/>
      <c r="C8280" s="82"/>
    </row>
    <row r="8281" spans="1:3" x14ac:dyDescent="0.2">
      <c r="A8281" s="82"/>
      <c r="B8281" s="82"/>
      <c r="C8281" s="82"/>
    </row>
    <row r="8282" spans="1:3" x14ac:dyDescent="0.2">
      <c r="A8282" s="82"/>
      <c r="B8282" s="82"/>
      <c r="C8282" s="82"/>
    </row>
    <row r="8283" spans="1:3" x14ac:dyDescent="0.2">
      <c r="A8283" s="82"/>
      <c r="B8283" s="82"/>
      <c r="C8283" s="82"/>
    </row>
    <row r="8284" spans="1:3" x14ac:dyDescent="0.2">
      <c r="A8284" s="82"/>
      <c r="B8284" s="82"/>
      <c r="C8284" s="82"/>
    </row>
    <row r="8285" spans="1:3" x14ac:dyDescent="0.2">
      <c r="A8285" s="82"/>
      <c r="B8285" s="82"/>
      <c r="C8285" s="82"/>
    </row>
    <row r="8286" spans="1:3" x14ac:dyDescent="0.2">
      <c r="A8286" s="82"/>
      <c r="B8286" s="82"/>
      <c r="C8286" s="82"/>
    </row>
    <row r="8287" spans="1:3" x14ac:dyDescent="0.2">
      <c r="A8287" s="82"/>
      <c r="B8287" s="82"/>
      <c r="C8287" s="82"/>
    </row>
    <row r="8288" spans="1:3" x14ac:dyDescent="0.2">
      <c r="A8288" s="82"/>
      <c r="B8288" s="82"/>
      <c r="C8288" s="82"/>
    </row>
    <row r="8289" spans="1:3" x14ac:dyDescent="0.2">
      <c r="A8289" s="82"/>
      <c r="B8289" s="82"/>
      <c r="C8289" s="82"/>
    </row>
    <row r="8290" spans="1:3" x14ac:dyDescent="0.2">
      <c r="A8290" s="82"/>
      <c r="B8290" s="82"/>
      <c r="C8290" s="82"/>
    </row>
    <row r="8291" spans="1:3" x14ac:dyDescent="0.2">
      <c r="A8291" s="82"/>
      <c r="B8291" s="82"/>
      <c r="C8291" s="82"/>
    </row>
    <row r="8292" spans="1:3" x14ac:dyDescent="0.2">
      <c r="A8292" s="82"/>
      <c r="B8292" s="82"/>
      <c r="C8292" s="82"/>
    </row>
    <row r="8293" spans="1:3" x14ac:dyDescent="0.2">
      <c r="A8293" s="82"/>
      <c r="B8293" s="82"/>
      <c r="C8293" s="82"/>
    </row>
    <row r="8294" spans="1:3" x14ac:dyDescent="0.2">
      <c r="A8294" s="82"/>
      <c r="B8294" s="82"/>
      <c r="C8294" s="82"/>
    </row>
    <row r="8295" spans="1:3" x14ac:dyDescent="0.2">
      <c r="A8295" s="82"/>
      <c r="B8295" s="82"/>
      <c r="C8295" s="82"/>
    </row>
    <row r="8296" spans="1:3" x14ac:dyDescent="0.2">
      <c r="A8296" s="82"/>
      <c r="B8296" s="82"/>
      <c r="C8296" s="82"/>
    </row>
    <row r="8297" spans="1:3" x14ac:dyDescent="0.2">
      <c r="A8297" s="82"/>
      <c r="B8297" s="82"/>
      <c r="C8297" s="82"/>
    </row>
    <row r="8298" spans="1:3" x14ac:dyDescent="0.2">
      <c r="A8298" s="82"/>
      <c r="B8298" s="82"/>
      <c r="C8298" s="82"/>
    </row>
    <row r="8299" spans="1:3" x14ac:dyDescent="0.2">
      <c r="A8299" s="82"/>
      <c r="B8299" s="82"/>
      <c r="C8299" s="82"/>
    </row>
    <row r="8300" spans="1:3" x14ac:dyDescent="0.2">
      <c r="A8300" s="82"/>
      <c r="B8300" s="82"/>
      <c r="C8300" s="82"/>
    </row>
    <row r="8301" spans="1:3" x14ac:dyDescent="0.2">
      <c r="A8301" s="82"/>
      <c r="B8301" s="82"/>
      <c r="C8301" s="82"/>
    </row>
    <row r="8302" spans="1:3" x14ac:dyDescent="0.2">
      <c r="A8302" s="82"/>
      <c r="B8302" s="82"/>
      <c r="C8302" s="82"/>
    </row>
    <row r="8303" spans="1:3" x14ac:dyDescent="0.2">
      <c r="A8303" s="82"/>
      <c r="B8303" s="82"/>
      <c r="C8303" s="82"/>
    </row>
    <row r="8304" spans="1:3" x14ac:dyDescent="0.2">
      <c r="A8304" s="82"/>
      <c r="B8304" s="82"/>
      <c r="C8304" s="82"/>
    </row>
    <row r="8305" spans="1:3" x14ac:dyDescent="0.2">
      <c r="A8305" s="82"/>
      <c r="B8305" s="82"/>
      <c r="C8305" s="82"/>
    </row>
    <row r="8306" spans="1:3" x14ac:dyDescent="0.2">
      <c r="A8306" s="82"/>
      <c r="B8306" s="82"/>
      <c r="C8306" s="82"/>
    </row>
    <row r="8307" spans="1:3" x14ac:dyDescent="0.2">
      <c r="A8307" s="82"/>
      <c r="B8307" s="82"/>
      <c r="C8307" s="82"/>
    </row>
    <row r="8308" spans="1:3" x14ac:dyDescent="0.2">
      <c r="A8308" s="82"/>
      <c r="B8308" s="82"/>
      <c r="C8308" s="82"/>
    </row>
    <row r="8309" spans="1:3" x14ac:dyDescent="0.2">
      <c r="A8309" s="82"/>
      <c r="B8309" s="82"/>
      <c r="C8309" s="82"/>
    </row>
    <row r="8310" spans="1:3" x14ac:dyDescent="0.2">
      <c r="A8310" s="82"/>
      <c r="B8310" s="82"/>
      <c r="C8310" s="82"/>
    </row>
    <row r="8311" spans="1:3" x14ac:dyDescent="0.2">
      <c r="A8311" s="82"/>
      <c r="B8311" s="82"/>
      <c r="C8311" s="82"/>
    </row>
    <row r="8312" spans="1:3" x14ac:dyDescent="0.2">
      <c r="A8312" s="82"/>
      <c r="B8312" s="82"/>
      <c r="C8312" s="82"/>
    </row>
    <row r="8313" spans="1:3" x14ac:dyDescent="0.2">
      <c r="A8313" s="82"/>
      <c r="B8313" s="82"/>
      <c r="C8313" s="82"/>
    </row>
    <row r="8314" spans="1:3" x14ac:dyDescent="0.2">
      <c r="A8314" s="82"/>
      <c r="B8314" s="82"/>
      <c r="C8314" s="82"/>
    </row>
    <row r="8315" spans="1:3" x14ac:dyDescent="0.2">
      <c r="A8315" s="82"/>
      <c r="B8315" s="82"/>
      <c r="C8315" s="82"/>
    </row>
    <row r="8316" spans="1:3" x14ac:dyDescent="0.2">
      <c r="A8316" s="82"/>
      <c r="B8316" s="82"/>
      <c r="C8316" s="82"/>
    </row>
    <row r="8317" spans="1:3" x14ac:dyDescent="0.2">
      <c r="A8317" s="82"/>
      <c r="B8317" s="82"/>
      <c r="C8317" s="82"/>
    </row>
    <row r="8318" spans="1:3" x14ac:dyDescent="0.2">
      <c r="A8318" s="82"/>
      <c r="B8318" s="82"/>
      <c r="C8318" s="82"/>
    </row>
    <row r="8319" spans="1:3" x14ac:dyDescent="0.2">
      <c r="A8319" s="82"/>
      <c r="B8319" s="82"/>
      <c r="C8319" s="82"/>
    </row>
    <row r="8320" spans="1:3" x14ac:dyDescent="0.2">
      <c r="A8320" s="82"/>
      <c r="B8320" s="82"/>
      <c r="C8320" s="82"/>
    </row>
    <row r="8321" spans="1:3" x14ac:dyDescent="0.2">
      <c r="A8321" s="82"/>
      <c r="B8321" s="82"/>
      <c r="C8321" s="82"/>
    </row>
    <row r="8322" spans="1:3" x14ac:dyDescent="0.2">
      <c r="A8322" s="82"/>
      <c r="B8322" s="82"/>
      <c r="C8322" s="82"/>
    </row>
    <row r="8323" spans="1:3" x14ac:dyDescent="0.2">
      <c r="A8323" s="82"/>
      <c r="B8323" s="82"/>
      <c r="C8323" s="82"/>
    </row>
    <row r="8324" spans="1:3" x14ac:dyDescent="0.2">
      <c r="A8324" s="82"/>
      <c r="B8324" s="82"/>
      <c r="C8324" s="82"/>
    </row>
    <row r="8325" spans="1:3" x14ac:dyDescent="0.2">
      <c r="A8325" s="82"/>
      <c r="B8325" s="82"/>
      <c r="C8325" s="82"/>
    </row>
    <row r="8326" spans="1:3" x14ac:dyDescent="0.2">
      <c r="A8326" s="82"/>
      <c r="B8326" s="82"/>
      <c r="C8326" s="82"/>
    </row>
    <row r="8327" spans="1:3" x14ac:dyDescent="0.2">
      <c r="A8327" s="82"/>
      <c r="B8327" s="82"/>
      <c r="C8327" s="82"/>
    </row>
    <row r="8328" spans="1:3" x14ac:dyDescent="0.2">
      <c r="A8328" s="82"/>
      <c r="B8328" s="82"/>
      <c r="C8328" s="82"/>
    </row>
    <row r="8329" spans="1:3" x14ac:dyDescent="0.2">
      <c r="A8329" s="82"/>
      <c r="B8329" s="82"/>
      <c r="C8329" s="82"/>
    </row>
    <row r="8330" spans="1:3" x14ac:dyDescent="0.2">
      <c r="A8330" s="82"/>
      <c r="B8330" s="82"/>
      <c r="C8330" s="82"/>
    </row>
    <row r="8331" spans="1:3" x14ac:dyDescent="0.2">
      <c r="A8331" s="82"/>
      <c r="B8331" s="82"/>
      <c r="C8331" s="82"/>
    </row>
    <row r="8332" spans="1:3" x14ac:dyDescent="0.2">
      <c r="A8332" s="82"/>
      <c r="B8332" s="82"/>
      <c r="C8332" s="82"/>
    </row>
    <row r="8333" spans="1:3" x14ac:dyDescent="0.2">
      <c r="A8333" s="82"/>
      <c r="B8333" s="82"/>
      <c r="C8333" s="82"/>
    </row>
    <row r="8334" spans="1:3" x14ac:dyDescent="0.2">
      <c r="A8334" s="82"/>
      <c r="B8334" s="82"/>
      <c r="C8334" s="82"/>
    </row>
    <row r="8335" spans="1:3" x14ac:dyDescent="0.2">
      <c r="A8335" s="82"/>
      <c r="B8335" s="82"/>
      <c r="C8335" s="82"/>
    </row>
    <row r="8336" spans="1:3" x14ac:dyDescent="0.2">
      <c r="A8336" s="82"/>
      <c r="B8336" s="82"/>
      <c r="C8336" s="82"/>
    </row>
    <row r="8337" spans="1:3" x14ac:dyDescent="0.2">
      <c r="A8337" s="82"/>
      <c r="B8337" s="82"/>
      <c r="C8337" s="82"/>
    </row>
    <row r="8338" spans="1:3" x14ac:dyDescent="0.2">
      <c r="A8338" s="82"/>
      <c r="B8338" s="82"/>
      <c r="C8338" s="82"/>
    </row>
    <row r="8339" spans="1:3" x14ac:dyDescent="0.2">
      <c r="A8339" s="82"/>
      <c r="B8339" s="82"/>
      <c r="C8339" s="82"/>
    </row>
    <row r="8340" spans="1:3" x14ac:dyDescent="0.2">
      <c r="A8340" s="82"/>
      <c r="B8340" s="82"/>
      <c r="C8340" s="82"/>
    </row>
    <row r="8341" spans="1:3" x14ac:dyDescent="0.2">
      <c r="A8341" s="82"/>
      <c r="B8341" s="82"/>
      <c r="C8341" s="82"/>
    </row>
    <row r="8342" spans="1:3" x14ac:dyDescent="0.2">
      <c r="A8342" s="82"/>
      <c r="B8342" s="82"/>
      <c r="C8342" s="82"/>
    </row>
    <row r="8343" spans="1:3" x14ac:dyDescent="0.2">
      <c r="A8343" s="82"/>
      <c r="B8343" s="82"/>
      <c r="C8343" s="82"/>
    </row>
    <row r="8344" spans="1:3" x14ac:dyDescent="0.2">
      <c r="A8344" s="82"/>
      <c r="B8344" s="82"/>
      <c r="C8344" s="82"/>
    </row>
    <row r="8345" spans="1:3" x14ac:dyDescent="0.2">
      <c r="A8345" s="82"/>
      <c r="B8345" s="82"/>
      <c r="C8345" s="82"/>
    </row>
    <row r="8346" spans="1:3" x14ac:dyDescent="0.2">
      <c r="A8346" s="82"/>
      <c r="B8346" s="82"/>
      <c r="C8346" s="82"/>
    </row>
    <row r="8347" spans="1:3" x14ac:dyDescent="0.2">
      <c r="A8347" s="82"/>
      <c r="B8347" s="82"/>
      <c r="C8347" s="82"/>
    </row>
    <row r="8348" spans="1:3" x14ac:dyDescent="0.2">
      <c r="A8348" s="82"/>
      <c r="B8348" s="82"/>
      <c r="C8348" s="82"/>
    </row>
    <row r="8349" spans="1:3" x14ac:dyDescent="0.2">
      <c r="A8349" s="82"/>
      <c r="B8349" s="82"/>
      <c r="C8349" s="82"/>
    </row>
    <row r="8350" spans="1:3" x14ac:dyDescent="0.2">
      <c r="A8350" s="82"/>
      <c r="B8350" s="82"/>
      <c r="C8350" s="82"/>
    </row>
    <row r="8351" spans="1:3" x14ac:dyDescent="0.2">
      <c r="A8351" s="82"/>
      <c r="B8351" s="82"/>
      <c r="C8351" s="82"/>
    </row>
    <row r="8352" spans="1:3" x14ac:dyDescent="0.2">
      <c r="A8352" s="82"/>
      <c r="B8352" s="82"/>
      <c r="C8352" s="82"/>
    </row>
    <row r="8353" spans="1:3" x14ac:dyDescent="0.2">
      <c r="A8353" s="82"/>
      <c r="B8353" s="82"/>
      <c r="C8353" s="82"/>
    </row>
    <row r="8354" spans="1:3" x14ac:dyDescent="0.2">
      <c r="A8354" s="82"/>
      <c r="B8354" s="82"/>
      <c r="C8354" s="82"/>
    </row>
    <row r="8355" spans="1:3" x14ac:dyDescent="0.2">
      <c r="A8355" s="82"/>
      <c r="B8355" s="82"/>
      <c r="C8355" s="82"/>
    </row>
    <row r="8356" spans="1:3" x14ac:dyDescent="0.2">
      <c r="A8356" s="82"/>
      <c r="B8356" s="82"/>
      <c r="C8356" s="82"/>
    </row>
    <row r="8357" spans="1:3" x14ac:dyDescent="0.2">
      <c r="A8357" s="82"/>
      <c r="B8357" s="82"/>
      <c r="C8357" s="82"/>
    </row>
    <row r="8358" spans="1:3" x14ac:dyDescent="0.2">
      <c r="A8358" s="82"/>
      <c r="B8358" s="82"/>
      <c r="C8358" s="82"/>
    </row>
    <row r="8359" spans="1:3" x14ac:dyDescent="0.2">
      <c r="A8359" s="82"/>
      <c r="B8359" s="82"/>
      <c r="C8359" s="82"/>
    </row>
    <row r="8360" spans="1:3" x14ac:dyDescent="0.2">
      <c r="A8360" s="82"/>
      <c r="B8360" s="82"/>
      <c r="C8360" s="82"/>
    </row>
    <row r="8361" spans="1:3" x14ac:dyDescent="0.2">
      <c r="A8361" s="82"/>
      <c r="B8361" s="82"/>
      <c r="C8361" s="82"/>
    </row>
    <row r="8362" spans="1:3" x14ac:dyDescent="0.2">
      <c r="A8362" s="82"/>
      <c r="B8362" s="82"/>
      <c r="C8362" s="82"/>
    </row>
    <row r="8363" spans="1:3" x14ac:dyDescent="0.2">
      <c r="A8363" s="82"/>
      <c r="B8363" s="82"/>
      <c r="C8363" s="82"/>
    </row>
    <row r="8364" spans="1:3" x14ac:dyDescent="0.2">
      <c r="A8364" s="82"/>
      <c r="B8364" s="82"/>
      <c r="C8364" s="82"/>
    </row>
    <row r="8365" spans="1:3" x14ac:dyDescent="0.2">
      <c r="A8365" s="82"/>
      <c r="B8365" s="82"/>
      <c r="C8365" s="82"/>
    </row>
    <row r="8366" spans="1:3" x14ac:dyDescent="0.2">
      <c r="A8366" s="82"/>
      <c r="B8366" s="82"/>
      <c r="C8366" s="82"/>
    </row>
    <row r="8367" spans="1:3" x14ac:dyDescent="0.2">
      <c r="A8367" s="82"/>
      <c r="B8367" s="82"/>
      <c r="C8367" s="82"/>
    </row>
    <row r="8368" spans="1:3" x14ac:dyDescent="0.2">
      <c r="A8368" s="82"/>
      <c r="B8368" s="82"/>
      <c r="C8368" s="82"/>
    </row>
    <row r="8369" spans="1:3" x14ac:dyDescent="0.2">
      <c r="A8369" s="82"/>
      <c r="B8369" s="82"/>
      <c r="C8369" s="82"/>
    </row>
    <row r="8370" spans="1:3" x14ac:dyDescent="0.2">
      <c r="A8370" s="82"/>
      <c r="B8370" s="82"/>
      <c r="C8370" s="82"/>
    </row>
    <row r="8371" spans="1:3" x14ac:dyDescent="0.2">
      <c r="A8371" s="82"/>
      <c r="B8371" s="82"/>
      <c r="C8371" s="82"/>
    </row>
    <row r="8372" spans="1:3" x14ac:dyDescent="0.2">
      <c r="A8372" s="82"/>
      <c r="B8372" s="82"/>
      <c r="C8372" s="82"/>
    </row>
    <row r="8373" spans="1:3" x14ac:dyDescent="0.2">
      <c r="A8373" s="82"/>
      <c r="B8373" s="82"/>
      <c r="C8373" s="82"/>
    </row>
    <row r="8374" spans="1:3" x14ac:dyDescent="0.2">
      <c r="A8374" s="82"/>
      <c r="B8374" s="82"/>
      <c r="C8374" s="82"/>
    </row>
    <row r="8375" spans="1:3" x14ac:dyDescent="0.2">
      <c r="A8375" s="82"/>
      <c r="B8375" s="82"/>
      <c r="C8375" s="82"/>
    </row>
    <row r="8376" spans="1:3" x14ac:dyDescent="0.2">
      <c r="A8376" s="82"/>
      <c r="B8376" s="82"/>
      <c r="C8376" s="82"/>
    </row>
    <row r="8377" spans="1:3" x14ac:dyDescent="0.2">
      <c r="A8377" s="82"/>
      <c r="B8377" s="82"/>
      <c r="C8377" s="82"/>
    </row>
    <row r="8378" spans="1:3" x14ac:dyDescent="0.2">
      <c r="A8378" s="82"/>
      <c r="B8378" s="82"/>
      <c r="C8378" s="82"/>
    </row>
    <row r="8379" spans="1:3" x14ac:dyDescent="0.2">
      <c r="A8379" s="82"/>
      <c r="B8379" s="82"/>
      <c r="C8379" s="82"/>
    </row>
    <row r="8380" spans="1:3" x14ac:dyDescent="0.2">
      <c r="A8380" s="82"/>
      <c r="B8380" s="82"/>
      <c r="C8380" s="82"/>
    </row>
    <row r="8381" spans="1:3" x14ac:dyDescent="0.2">
      <c r="A8381" s="82"/>
      <c r="B8381" s="82"/>
      <c r="C8381" s="82"/>
    </row>
    <row r="8382" spans="1:3" x14ac:dyDescent="0.2">
      <c r="A8382" s="82"/>
      <c r="B8382" s="82"/>
      <c r="C8382" s="82"/>
    </row>
    <row r="8383" spans="1:3" x14ac:dyDescent="0.2">
      <c r="A8383" s="82"/>
      <c r="B8383" s="82"/>
      <c r="C8383" s="82"/>
    </row>
    <row r="8384" spans="1:3" x14ac:dyDescent="0.2">
      <c r="A8384" s="82"/>
      <c r="B8384" s="82"/>
      <c r="C8384" s="82"/>
    </row>
    <row r="8385" spans="1:3" x14ac:dyDescent="0.2">
      <c r="A8385" s="82"/>
      <c r="B8385" s="82"/>
      <c r="C8385" s="82"/>
    </row>
    <row r="8386" spans="1:3" x14ac:dyDescent="0.2">
      <c r="A8386" s="82"/>
      <c r="B8386" s="82"/>
      <c r="C8386" s="82"/>
    </row>
    <row r="8387" spans="1:3" x14ac:dyDescent="0.2">
      <c r="A8387" s="82"/>
      <c r="B8387" s="82"/>
      <c r="C8387" s="82"/>
    </row>
    <row r="8388" spans="1:3" x14ac:dyDescent="0.2">
      <c r="A8388" s="82"/>
      <c r="B8388" s="82"/>
      <c r="C8388" s="82"/>
    </row>
    <row r="8389" spans="1:3" x14ac:dyDescent="0.2">
      <c r="A8389" s="82"/>
      <c r="B8389" s="82"/>
      <c r="C8389" s="82"/>
    </row>
    <row r="8390" spans="1:3" x14ac:dyDescent="0.2">
      <c r="A8390" s="82"/>
      <c r="B8390" s="82"/>
      <c r="C8390" s="82"/>
    </row>
    <row r="8391" spans="1:3" x14ac:dyDescent="0.2">
      <c r="A8391" s="82"/>
      <c r="B8391" s="82"/>
      <c r="C8391" s="82"/>
    </row>
    <row r="8392" spans="1:3" x14ac:dyDescent="0.2">
      <c r="A8392" s="82"/>
      <c r="B8392" s="82"/>
      <c r="C8392" s="82"/>
    </row>
    <row r="8393" spans="1:3" x14ac:dyDescent="0.2">
      <c r="A8393" s="82"/>
      <c r="B8393" s="82"/>
      <c r="C8393" s="82"/>
    </row>
    <row r="8394" spans="1:3" x14ac:dyDescent="0.2">
      <c r="A8394" s="82"/>
      <c r="B8394" s="82"/>
      <c r="C8394" s="82"/>
    </row>
    <row r="8395" spans="1:3" x14ac:dyDescent="0.2">
      <c r="A8395" s="82"/>
      <c r="B8395" s="82"/>
      <c r="C8395" s="82"/>
    </row>
    <row r="8396" spans="1:3" x14ac:dyDescent="0.2">
      <c r="A8396" s="82"/>
      <c r="B8396" s="82"/>
      <c r="C8396" s="82"/>
    </row>
    <row r="8397" spans="1:3" x14ac:dyDescent="0.2">
      <c r="A8397" s="82"/>
      <c r="B8397" s="82"/>
      <c r="C8397" s="82"/>
    </row>
    <row r="8398" spans="1:3" x14ac:dyDescent="0.2">
      <c r="A8398" s="82"/>
      <c r="B8398" s="82"/>
      <c r="C8398" s="82"/>
    </row>
    <row r="8399" spans="1:3" x14ac:dyDescent="0.2">
      <c r="A8399" s="82"/>
      <c r="B8399" s="82"/>
      <c r="C8399" s="82"/>
    </row>
    <row r="8400" spans="1:3" x14ac:dyDescent="0.2">
      <c r="A8400" s="82"/>
      <c r="B8400" s="82"/>
      <c r="C8400" s="82"/>
    </row>
    <row r="8401" spans="1:3" x14ac:dyDescent="0.2">
      <c r="A8401" s="82"/>
      <c r="B8401" s="82"/>
      <c r="C8401" s="82"/>
    </row>
    <row r="8402" spans="1:3" x14ac:dyDescent="0.2">
      <c r="A8402" s="82"/>
      <c r="B8402" s="82"/>
      <c r="C8402" s="82"/>
    </row>
    <row r="8403" spans="1:3" x14ac:dyDescent="0.2">
      <c r="A8403" s="82"/>
      <c r="B8403" s="82"/>
      <c r="C8403" s="82"/>
    </row>
    <row r="8404" spans="1:3" x14ac:dyDescent="0.2">
      <c r="A8404" s="82"/>
      <c r="B8404" s="82"/>
      <c r="C8404" s="82"/>
    </row>
    <row r="8405" spans="1:3" x14ac:dyDescent="0.2">
      <c r="A8405" s="82"/>
      <c r="B8405" s="82"/>
      <c r="C8405" s="82"/>
    </row>
    <row r="8406" spans="1:3" x14ac:dyDescent="0.2">
      <c r="A8406" s="82"/>
      <c r="B8406" s="82"/>
      <c r="C8406" s="82"/>
    </row>
    <row r="8407" spans="1:3" x14ac:dyDescent="0.2">
      <c r="A8407" s="82"/>
      <c r="B8407" s="82"/>
      <c r="C8407" s="82"/>
    </row>
    <row r="8408" spans="1:3" x14ac:dyDescent="0.2">
      <c r="A8408" s="82"/>
      <c r="B8408" s="82"/>
      <c r="C8408" s="82"/>
    </row>
    <row r="8409" spans="1:3" x14ac:dyDescent="0.2">
      <c r="A8409" s="82"/>
      <c r="B8409" s="82"/>
      <c r="C8409" s="82"/>
    </row>
    <row r="8410" spans="1:3" x14ac:dyDescent="0.2">
      <c r="A8410" s="82"/>
      <c r="B8410" s="82"/>
      <c r="C8410" s="82"/>
    </row>
    <row r="8411" spans="1:3" x14ac:dyDescent="0.2">
      <c r="A8411" s="82"/>
      <c r="B8411" s="82"/>
      <c r="C8411" s="82"/>
    </row>
    <row r="8412" spans="1:3" x14ac:dyDescent="0.2">
      <c r="A8412" s="82"/>
      <c r="B8412" s="82"/>
      <c r="C8412" s="82"/>
    </row>
    <row r="8413" spans="1:3" x14ac:dyDescent="0.2">
      <c r="A8413" s="82"/>
      <c r="B8413" s="82"/>
      <c r="C8413" s="82"/>
    </row>
    <row r="8414" spans="1:3" x14ac:dyDescent="0.2">
      <c r="A8414" s="82"/>
      <c r="B8414" s="82"/>
      <c r="C8414" s="82"/>
    </row>
    <row r="8415" spans="1:3" x14ac:dyDescent="0.2">
      <c r="A8415" s="82"/>
      <c r="B8415" s="82"/>
      <c r="C8415" s="82"/>
    </row>
    <row r="8416" spans="1:3" x14ac:dyDescent="0.2">
      <c r="A8416" s="82"/>
      <c r="B8416" s="82"/>
      <c r="C8416" s="82"/>
    </row>
    <row r="8417" spans="1:3" x14ac:dyDescent="0.2">
      <c r="A8417" s="82"/>
      <c r="B8417" s="82"/>
      <c r="C8417" s="82"/>
    </row>
    <row r="8418" spans="1:3" x14ac:dyDescent="0.2">
      <c r="A8418" s="82"/>
      <c r="B8418" s="82"/>
      <c r="C8418" s="82"/>
    </row>
    <row r="8419" spans="1:3" x14ac:dyDescent="0.2">
      <c r="A8419" s="82"/>
      <c r="B8419" s="82"/>
      <c r="C8419" s="82"/>
    </row>
    <row r="8420" spans="1:3" x14ac:dyDescent="0.2">
      <c r="A8420" s="82"/>
      <c r="B8420" s="82"/>
      <c r="C8420" s="82"/>
    </row>
    <row r="8421" spans="1:3" x14ac:dyDescent="0.2">
      <c r="A8421" s="82"/>
      <c r="B8421" s="82"/>
      <c r="C8421" s="82"/>
    </row>
    <row r="8422" spans="1:3" x14ac:dyDescent="0.2">
      <c r="A8422" s="82"/>
      <c r="B8422" s="82"/>
      <c r="C8422" s="82"/>
    </row>
    <row r="8423" spans="1:3" x14ac:dyDescent="0.2">
      <c r="A8423" s="82"/>
      <c r="B8423" s="82"/>
      <c r="C8423" s="82"/>
    </row>
    <row r="8424" spans="1:3" x14ac:dyDescent="0.2">
      <c r="A8424" s="82"/>
      <c r="B8424" s="82"/>
      <c r="C8424" s="82"/>
    </row>
    <row r="8425" spans="1:3" x14ac:dyDescent="0.2">
      <c r="A8425" s="82"/>
      <c r="B8425" s="82"/>
      <c r="C8425" s="82"/>
    </row>
    <row r="8426" spans="1:3" x14ac:dyDescent="0.2">
      <c r="A8426" s="82"/>
      <c r="B8426" s="82"/>
      <c r="C8426" s="82"/>
    </row>
    <row r="8427" spans="1:3" x14ac:dyDescent="0.2">
      <c r="A8427" s="82"/>
      <c r="B8427" s="82"/>
      <c r="C8427" s="82"/>
    </row>
    <row r="8428" spans="1:3" x14ac:dyDescent="0.2">
      <c r="A8428" s="82"/>
      <c r="B8428" s="82"/>
      <c r="C8428" s="82"/>
    </row>
    <row r="8429" spans="1:3" x14ac:dyDescent="0.2">
      <c r="A8429" s="82"/>
      <c r="B8429" s="82"/>
      <c r="C8429" s="82"/>
    </row>
    <row r="8430" spans="1:3" x14ac:dyDescent="0.2">
      <c r="A8430" s="82"/>
      <c r="B8430" s="82"/>
      <c r="C8430" s="82"/>
    </row>
    <row r="8431" spans="1:3" x14ac:dyDescent="0.2">
      <c r="A8431" s="82"/>
      <c r="B8431" s="82"/>
      <c r="C8431" s="82"/>
    </row>
    <row r="8432" spans="1:3" x14ac:dyDescent="0.2">
      <c r="A8432" s="82"/>
      <c r="B8432" s="82"/>
      <c r="C8432" s="82"/>
    </row>
    <row r="8433" spans="1:3" x14ac:dyDescent="0.2">
      <c r="A8433" s="82"/>
      <c r="B8433" s="82"/>
      <c r="C8433" s="82"/>
    </row>
    <row r="8434" spans="1:3" x14ac:dyDescent="0.2">
      <c r="A8434" s="82"/>
      <c r="B8434" s="82"/>
      <c r="C8434" s="82"/>
    </row>
    <row r="8435" spans="1:3" x14ac:dyDescent="0.2">
      <c r="A8435" s="82"/>
      <c r="B8435" s="82"/>
      <c r="C8435" s="82"/>
    </row>
    <row r="8436" spans="1:3" x14ac:dyDescent="0.2">
      <c r="A8436" s="82"/>
      <c r="B8436" s="82"/>
      <c r="C8436" s="82"/>
    </row>
    <row r="8437" spans="1:3" x14ac:dyDescent="0.2">
      <c r="A8437" s="82"/>
      <c r="B8437" s="82"/>
      <c r="C8437" s="82"/>
    </row>
    <row r="8438" spans="1:3" x14ac:dyDescent="0.2">
      <c r="A8438" s="82"/>
      <c r="B8438" s="82"/>
      <c r="C8438" s="82"/>
    </row>
    <row r="8439" spans="1:3" x14ac:dyDescent="0.2">
      <c r="A8439" s="82"/>
      <c r="B8439" s="82"/>
      <c r="C8439" s="82"/>
    </row>
    <row r="8440" spans="1:3" x14ac:dyDescent="0.2">
      <c r="A8440" s="82"/>
      <c r="B8440" s="82"/>
      <c r="C8440" s="82"/>
    </row>
    <row r="8441" spans="1:3" x14ac:dyDescent="0.2">
      <c r="A8441" s="82"/>
      <c r="B8441" s="82"/>
      <c r="C8441" s="82"/>
    </row>
    <row r="8442" spans="1:3" x14ac:dyDescent="0.2">
      <c r="A8442" s="82"/>
      <c r="B8442" s="82"/>
      <c r="C8442" s="82"/>
    </row>
    <row r="8443" spans="1:3" x14ac:dyDescent="0.2">
      <c r="A8443" s="82"/>
      <c r="B8443" s="82"/>
      <c r="C8443" s="82"/>
    </row>
    <row r="8444" spans="1:3" x14ac:dyDescent="0.2">
      <c r="A8444" s="82"/>
      <c r="B8444" s="82"/>
      <c r="C8444" s="82"/>
    </row>
    <row r="8445" spans="1:3" x14ac:dyDescent="0.2">
      <c r="A8445" s="82"/>
      <c r="B8445" s="82"/>
      <c r="C8445" s="82"/>
    </row>
    <row r="8446" spans="1:3" x14ac:dyDescent="0.2">
      <c r="A8446" s="82"/>
      <c r="B8446" s="82"/>
      <c r="C8446" s="82"/>
    </row>
    <row r="8447" spans="1:3" x14ac:dyDescent="0.2">
      <c r="A8447" s="82"/>
      <c r="B8447" s="82"/>
      <c r="C8447" s="82"/>
    </row>
    <row r="8448" spans="1:3" x14ac:dyDescent="0.2">
      <c r="A8448" s="82"/>
      <c r="B8448" s="82"/>
      <c r="C8448" s="82"/>
    </row>
    <row r="8449" spans="1:3" x14ac:dyDescent="0.2">
      <c r="A8449" s="82"/>
      <c r="B8449" s="82"/>
      <c r="C8449" s="82"/>
    </row>
    <row r="8450" spans="1:3" x14ac:dyDescent="0.2">
      <c r="A8450" s="82"/>
      <c r="B8450" s="82"/>
      <c r="C8450" s="82"/>
    </row>
    <row r="8451" spans="1:3" x14ac:dyDescent="0.2">
      <c r="A8451" s="82"/>
      <c r="B8451" s="82"/>
      <c r="C8451" s="82"/>
    </row>
    <row r="8452" spans="1:3" x14ac:dyDescent="0.2">
      <c r="A8452" s="82"/>
      <c r="B8452" s="82"/>
      <c r="C8452" s="82"/>
    </row>
    <row r="8453" spans="1:3" x14ac:dyDescent="0.2">
      <c r="A8453" s="82"/>
      <c r="B8453" s="82"/>
      <c r="C8453" s="82"/>
    </row>
    <row r="8454" spans="1:3" x14ac:dyDescent="0.2">
      <c r="A8454" s="82"/>
      <c r="B8454" s="82"/>
      <c r="C8454" s="82"/>
    </row>
    <row r="8455" spans="1:3" x14ac:dyDescent="0.2">
      <c r="A8455" s="82"/>
      <c r="B8455" s="82"/>
      <c r="C8455" s="82"/>
    </row>
    <row r="8456" spans="1:3" x14ac:dyDescent="0.2">
      <c r="A8456" s="82"/>
      <c r="B8456" s="82"/>
      <c r="C8456" s="82"/>
    </row>
    <row r="8457" spans="1:3" x14ac:dyDescent="0.2">
      <c r="A8457" s="82"/>
      <c r="B8457" s="82"/>
      <c r="C8457" s="82"/>
    </row>
    <row r="8458" spans="1:3" x14ac:dyDescent="0.2">
      <c r="A8458" s="82"/>
      <c r="B8458" s="82"/>
      <c r="C8458" s="82"/>
    </row>
    <row r="8459" spans="1:3" x14ac:dyDescent="0.2">
      <c r="A8459" s="82"/>
      <c r="B8459" s="82"/>
      <c r="C8459" s="82"/>
    </row>
    <row r="8460" spans="1:3" x14ac:dyDescent="0.2">
      <c r="A8460" s="82"/>
      <c r="B8460" s="82"/>
      <c r="C8460" s="82"/>
    </row>
    <row r="8461" spans="1:3" x14ac:dyDescent="0.2">
      <c r="A8461" s="82"/>
      <c r="B8461" s="82"/>
      <c r="C8461" s="82"/>
    </row>
    <row r="8462" spans="1:3" x14ac:dyDescent="0.2">
      <c r="A8462" s="82"/>
      <c r="B8462" s="82"/>
      <c r="C8462" s="82"/>
    </row>
    <row r="8463" spans="1:3" x14ac:dyDescent="0.2">
      <c r="A8463" s="82"/>
      <c r="B8463" s="82"/>
      <c r="C8463" s="82"/>
    </row>
    <row r="8464" spans="1:3" x14ac:dyDescent="0.2">
      <c r="A8464" s="82"/>
      <c r="B8464" s="82"/>
      <c r="C8464" s="82"/>
    </row>
    <row r="8465" spans="1:3" x14ac:dyDescent="0.2">
      <c r="A8465" s="82"/>
      <c r="B8465" s="82"/>
      <c r="C8465" s="82"/>
    </row>
    <row r="8466" spans="1:3" x14ac:dyDescent="0.2">
      <c r="A8466" s="82"/>
      <c r="B8466" s="82"/>
      <c r="C8466" s="82"/>
    </row>
    <row r="8467" spans="1:3" x14ac:dyDescent="0.2">
      <c r="A8467" s="82"/>
      <c r="B8467" s="82"/>
      <c r="C8467" s="82"/>
    </row>
    <row r="8468" spans="1:3" x14ac:dyDescent="0.2">
      <c r="A8468" s="82"/>
      <c r="B8468" s="82"/>
      <c r="C8468" s="82"/>
    </row>
    <row r="8469" spans="1:3" x14ac:dyDescent="0.2">
      <c r="A8469" s="82"/>
      <c r="B8469" s="82"/>
      <c r="C8469" s="82"/>
    </row>
    <row r="8470" spans="1:3" x14ac:dyDescent="0.2">
      <c r="A8470" s="82"/>
      <c r="B8470" s="82"/>
      <c r="C8470" s="82"/>
    </row>
    <row r="8471" spans="1:3" x14ac:dyDescent="0.2">
      <c r="A8471" s="82"/>
      <c r="B8471" s="82"/>
      <c r="C8471" s="82"/>
    </row>
    <row r="8472" spans="1:3" x14ac:dyDescent="0.2">
      <c r="A8472" s="82"/>
      <c r="B8472" s="82"/>
      <c r="C8472" s="82"/>
    </row>
    <row r="8473" spans="1:3" x14ac:dyDescent="0.2">
      <c r="A8473" s="82"/>
      <c r="B8473" s="82"/>
      <c r="C8473" s="82"/>
    </row>
    <row r="8474" spans="1:3" x14ac:dyDescent="0.2">
      <c r="A8474" s="82"/>
      <c r="B8474" s="82"/>
      <c r="C8474" s="82"/>
    </row>
    <row r="8475" spans="1:3" x14ac:dyDescent="0.2">
      <c r="A8475" s="82"/>
      <c r="B8475" s="82"/>
      <c r="C8475" s="82"/>
    </row>
    <row r="8476" spans="1:3" x14ac:dyDescent="0.2">
      <c r="A8476" s="82"/>
      <c r="B8476" s="82"/>
      <c r="C8476" s="82"/>
    </row>
    <row r="8477" spans="1:3" x14ac:dyDescent="0.2">
      <c r="A8477" s="82"/>
      <c r="B8477" s="82"/>
      <c r="C8477" s="82"/>
    </row>
    <row r="8478" spans="1:3" x14ac:dyDescent="0.2">
      <c r="A8478" s="82"/>
      <c r="B8478" s="82"/>
      <c r="C8478" s="82"/>
    </row>
    <row r="8479" spans="1:3" x14ac:dyDescent="0.2">
      <c r="A8479" s="82"/>
      <c r="B8479" s="82"/>
      <c r="C8479" s="82"/>
    </row>
    <row r="8480" spans="1:3" x14ac:dyDescent="0.2">
      <c r="A8480" s="82"/>
      <c r="B8480" s="82"/>
      <c r="C8480" s="82"/>
    </row>
    <row r="8481" spans="1:3" x14ac:dyDescent="0.2">
      <c r="A8481" s="82"/>
      <c r="B8481" s="82"/>
      <c r="C8481" s="82"/>
    </row>
    <row r="8482" spans="1:3" x14ac:dyDescent="0.2">
      <c r="A8482" s="82"/>
      <c r="B8482" s="82"/>
      <c r="C8482" s="82"/>
    </row>
    <row r="8483" spans="1:3" x14ac:dyDescent="0.2">
      <c r="A8483" s="82"/>
      <c r="B8483" s="82"/>
      <c r="C8483" s="82"/>
    </row>
    <row r="8484" spans="1:3" x14ac:dyDescent="0.2">
      <c r="A8484" s="82"/>
      <c r="B8484" s="82"/>
      <c r="C8484" s="82"/>
    </row>
    <row r="8485" spans="1:3" x14ac:dyDescent="0.2">
      <c r="A8485" s="82"/>
      <c r="B8485" s="82"/>
      <c r="C8485" s="82"/>
    </row>
    <row r="8486" spans="1:3" x14ac:dyDescent="0.2">
      <c r="A8486" s="82"/>
      <c r="B8486" s="82"/>
      <c r="C8486" s="82"/>
    </row>
    <row r="8487" spans="1:3" x14ac:dyDescent="0.2">
      <c r="A8487" s="82"/>
      <c r="B8487" s="82"/>
      <c r="C8487" s="82"/>
    </row>
    <row r="8488" spans="1:3" x14ac:dyDescent="0.2">
      <c r="A8488" s="82"/>
      <c r="B8488" s="82"/>
      <c r="C8488" s="82"/>
    </row>
    <row r="8489" spans="1:3" x14ac:dyDescent="0.2">
      <c r="A8489" s="82"/>
      <c r="B8489" s="82"/>
      <c r="C8489" s="82"/>
    </row>
    <row r="8490" spans="1:3" x14ac:dyDescent="0.2">
      <c r="A8490" s="82"/>
      <c r="B8490" s="82"/>
      <c r="C8490" s="82"/>
    </row>
    <row r="8491" spans="1:3" x14ac:dyDescent="0.2">
      <c r="A8491" s="82"/>
      <c r="B8491" s="82"/>
      <c r="C8491" s="82"/>
    </row>
    <row r="8492" spans="1:3" x14ac:dyDescent="0.2">
      <c r="A8492" s="82"/>
      <c r="B8492" s="82"/>
      <c r="C8492" s="82"/>
    </row>
    <row r="8493" spans="1:3" x14ac:dyDescent="0.2">
      <c r="A8493" s="82"/>
      <c r="B8493" s="82"/>
      <c r="C8493" s="82"/>
    </row>
    <row r="8494" spans="1:3" x14ac:dyDescent="0.2">
      <c r="A8494" s="82"/>
      <c r="B8494" s="82"/>
      <c r="C8494" s="82"/>
    </row>
    <row r="8495" spans="1:3" x14ac:dyDescent="0.2">
      <c r="A8495" s="82"/>
      <c r="B8495" s="82"/>
      <c r="C8495" s="82"/>
    </row>
    <row r="8496" spans="1:3" x14ac:dyDescent="0.2">
      <c r="A8496" s="82"/>
      <c r="B8496" s="82"/>
      <c r="C8496" s="82"/>
    </row>
    <row r="8497" spans="1:3" x14ac:dyDescent="0.2">
      <c r="A8497" s="82"/>
      <c r="B8497" s="82"/>
      <c r="C8497" s="82"/>
    </row>
    <row r="8498" spans="1:3" x14ac:dyDescent="0.2">
      <c r="A8498" s="82"/>
      <c r="B8498" s="82"/>
      <c r="C8498" s="82"/>
    </row>
    <row r="8499" spans="1:3" x14ac:dyDescent="0.2">
      <c r="A8499" s="82"/>
      <c r="B8499" s="82"/>
      <c r="C8499" s="82"/>
    </row>
    <row r="8500" spans="1:3" x14ac:dyDescent="0.2">
      <c r="A8500" s="82"/>
      <c r="B8500" s="82"/>
      <c r="C8500" s="82"/>
    </row>
    <row r="8501" spans="1:3" x14ac:dyDescent="0.2">
      <c r="A8501" s="82"/>
      <c r="B8501" s="82"/>
      <c r="C8501" s="82"/>
    </row>
    <row r="8502" spans="1:3" x14ac:dyDescent="0.2">
      <c r="A8502" s="82"/>
      <c r="B8502" s="82"/>
      <c r="C8502" s="82"/>
    </row>
    <row r="8503" spans="1:3" x14ac:dyDescent="0.2">
      <c r="A8503" s="82"/>
      <c r="B8503" s="82"/>
      <c r="C8503" s="82"/>
    </row>
    <row r="8504" spans="1:3" x14ac:dyDescent="0.2">
      <c r="A8504" s="82"/>
      <c r="B8504" s="82"/>
      <c r="C8504" s="82"/>
    </row>
    <row r="8505" spans="1:3" x14ac:dyDescent="0.2">
      <c r="A8505" s="82"/>
      <c r="B8505" s="82"/>
      <c r="C8505" s="82"/>
    </row>
    <row r="8506" spans="1:3" x14ac:dyDescent="0.2">
      <c r="A8506" s="82"/>
      <c r="B8506" s="82"/>
      <c r="C8506" s="82"/>
    </row>
    <row r="8507" spans="1:3" x14ac:dyDescent="0.2">
      <c r="A8507" s="82"/>
      <c r="B8507" s="82"/>
      <c r="C8507" s="82"/>
    </row>
    <row r="8508" spans="1:3" x14ac:dyDescent="0.2">
      <c r="A8508" s="82"/>
      <c r="B8508" s="82"/>
      <c r="C8508" s="82"/>
    </row>
    <row r="8509" spans="1:3" x14ac:dyDescent="0.2">
      <c r="A8509" s="82"/>
      <c r="B8509" s="82"/>
      <c r="C8509" s="82"/>
    </row>
    <row r="8510" spans="1:3" x14ac:dyDescent="0.2">
      <c r="A8510" s="82"/>
      <c r="B8510" s="82"/>
      <c r="C8510" s="82"/>
    </row>
    <row r="8511" spans="1:3" x14ac:dyDescent="0.2">
      <c r="A8511" s="82"/>
      <c r="B8511" s="82"/>
      <c r="C8511" s="82"/>
    </row>
    <row r="8512" spans="1:3" x14ac:dyDescent="0.2">
      <c r="A8512" s="82"/>
      <c r="B8512" s="82"/>
      <c r="C8512" s="82"/>
    </row>
    <row r="8513" spans="1:3" x14ac:dyDescent="0.2">
      <c r="A8513" s="82"/>
      <c r="B8513" s="82"/>
      <c r="C8513" s="82"/>
    </row>
    <row r="8514" spans="1:3" x14ac:dyDescent="0.2">
      <c r="A8514" s="82"/>
      <c r="B8514" s="82"/>
      <c r="C8514" s="82"/>
    </row>
    <row r="8515" spans="1:3" x14ac:dyDescent="0.2">
      <c r="A8515" s="82"/>
      <c r="B8515" s="82"/>
      <c r="C8515" s="82"/>
    </row>
    <row r="8516" spans="1:3" x14ac:dyDescent="0.2">
      <c r="A8516" s="82"/>
      <c r="B8516" s="82"/>
      <c r="C8516" s="82"/>
    </row>
    <row r="8517" spans="1:3" x14ac:dyDescent="0.2">
      <c r="A8517" s="82"/>
      <c r="B8517" s="82"/>
      <c r="C8517" s="82"/>
    </row>
    <row r="8518" spans="1:3" x14ac:dyDescent="0.2">
      <c r="A8518" s="82"/>
      <c r="B8518" s="82"/>
      <c r="C8518" s="82"/>
    </row>
    <row r="8519" spans="1:3" x14ac:dyDescent="0.2">
      <c r="A8519" s="82"/>
      <c r="B8519" s="82"/>
      <c r="C8519" s="82"/>
    </row>
    <row r="8520" spans="1:3" x14ac:dyDescent="0.2">
      <c r="A8520" s="82"/>
      <c r="B8520" s="82"/>
      <c r="C8520" s="82"/>
    </row>
    <row r="8521" spans="1:3" x14ac:dyDescent="0.2">
      <c r="A8521" s="82"/>
      <c r="B8521" s="82"/>
      <c r="C8521" s="82"/>
    </row>
    <row r="8522" spans="1:3" x14ac:dyDescent="0.2">
      <c r="A8522" s="82"/>
      <c r="B8522" s="82"/>
      <c r="C8522" s="82"/>
    </row>
    <row r="8523" spans="1:3" x14ac:dyDescent="0.2">
      <c r="A8523" s="82"/>
      <c r="B8523" s="82"/>
      <c r="C8523" s="82"/>
    </row>
    <row r="8524" spans="1:3" x14ac:dyDescent="0.2">
      <c r="A8524" s="82"/>
      <c r="B8524" s="82"/>
      <c r="C8524" s="82"/>
    </row>
    <row r="8525" spans="1:3" x14ac:dyDescent="0.2">
      <c r="A8525" s="82"/>
      <c r="B8525" s="82"/>
      <c r="C8525" s="82"/>
    </row>
    <row r="8526" spans="1:3" x14ac:dyDescent="0.2">
      <c r="A8526" s="82"/>
      <c r="B8526" s="82"/>
      <c r="C8526" s="82"/>
    </row>
    <row r="8527" spans="1:3" x14ac:dyDescent="0.2">
      <c r="A8527" s="82"/>
      <c r="B8527" s="82"/>
      <c r="C8527" s="82"/>
    </row>
    <row r="8528" spans="1:3" x14ac:dyDescent="0.2">
      <c r="A8528" s="82"/>
      <c r="B8528" s="82"/>
      <c r="C8528" s="82"/>
    </row>
    <row r="8529" spans="1:3" x14ac:dyDescent="0.2">
      <c r="A8529" s="82"/>
      <c r="B8529" s="82"/>
      <c r="C8529" s="82"/>
    </row>
    <row r="8530" spans="1:3" x14ac:dyDescent="0.2">
      <c r="A8530" s="82"/>
      <c r="B8530" s="82"/>
      <c r="C8530" s="82"/>
    </row>
    <row r="8531" spans="1:3" x14ac:dyDescent="0.2">
      <c r="A8531" s="82"/>
      <c r="B8531" s="82"/>
      <c r="C8531" s="82"/>
    </row>
    <row r="8532" spans="1:3" x14ac:dyDescent="0.2">
      <c r="A8532" s="82"/>
      <c r="B8532" s="82"/>
      <c r="C8532" s="82"/>
    </row>
    <row r="8533" spans="1:3" x14ac:dyDescent="0.2">
      <c r="A8533" s="82"/>
      <c r="B8533" s="82"/>
      <c r="C8533" s="82"/>
    </row>
    <row r="8534" spans="1:3" x14ac:dyDescent="0.2">
      <c r="A8534" s="82"/>
      <c r="B8534" s="82"/>
      <c r="C8534" s="82"/>
    </row>
    <row r="8535" spans="1:3" x14ac:dyDescent="0.2">
      <c r="A8535" s="82"/>
      <c r="B8535" s="82"/>
      <c r="C8535" s="82"/>
    </row>
    <row r="8536" spans="1:3" x14ac:dyDescent="0.2">
      <c r="A8536" s="82"/>
      <c r="B8536" s="82"/>
      <c r="C8536" s="82"/>
    </row>
    <row r="8537" spans="1:3" x14ac:dyDescent="0.2">
      <c r="A8537" s="82"/>
      <c r="B8537" s="82"/>
      <c r="C8537" s="82"/>
    </row>
    <row r="8538" spans="1:3" x14ac:dyDescent="0.2">
      <c r="A8538" s="82"/>
      <c r="B8538" s="82"/>
      <c r="C8538" s="82"/>
    </row>
    <row r="8539" spans="1:3" x14ac:dyDescent="0.2">
      <c r="A8539" s="82"/>
      <c r="B8539" s="82"/>
      <c r="C8539" s="82"/>
    </row>
    <row r="8540" spans="1:3" x14ac:dyDescent="0.2">
      <c r="A8540" s="82"/>
      <c r="B8540" s="82"/>
      <c r="C8540" s="82"/>
    </row>
    <row r="8541" spans="1:3" x14ac:dyDescent="0.2">
      <c r="A8541" s="82"/>
      <c r="B8541" s="82"/>
      <c r="C8541" s="82"/>
    </row>
    <row r="8542" spans="1:3" x14ac:dyDescent="0.2">
      <c r="A8542" s="82"/>
      <c r="B8542" s="82"/>
      <c r="C8542" s="82"/>
    </row>
    <row r="8543" spans="1:3" x14ac:dyDescent="0.2">
      <c r="A8543" s="82"/>
      <c r="B8543" s="82"/>
      <c r="C8543" s="82"/>
    </row>
    <row r="8544" spans="1:3" x14ac:dyDescent="0.2">
      <c r="A8544" s="82"/>
      <c r="B8544" s="82"/>
      <c r="C8544" s="82"/>
    </row>
    <row r="8545" spans="1:3" x14ac:dyDescent="0.2">
      <c r="A8545" s="82"/>
      <c r="B8545" s="82"/>
      <c r="C8545" s="82"/>
    </row>
    <row r="8546" spans="1:3" x14ac:dyDescent="0.2">
      <c r="A8546" s="82"/>
      <c r="B8546" s="82"/>
      <c r="C8546" s="82"/>
    </row>
    <row r="8547" spans="1:3" x14ac:dyDescent="0.2">
      <c r="A8547" s="82"/>
      <c r="B8547" s="82"/>
      <c r="C8547" s="82"/>
    </row>
    <row r="8548" spans="1:3" x14ac:dyDescent="0.2">
      <c r="A8548" s="82"/>
      <c r="B8548" s="82"/>
      <c r="C8548" s="82"/>
    </row>
    <row r="8549" spans="1:3" x14ac:dyDescent="0.2">
      <c r="A8549" s="82"/>
      <c r="B8549" s="82"/>
      <c r="C8549" s="82"/>
    </row>
    <row r="8550" spans="1:3" x14ac:dyDescent="0.2">
      <c r="A8550" s="82"/>
      <c r="B8550" s="82"/>
      <c r="C8550" s="82"/>
    </row>
    <row r="8551" spans="1:3" x14ac:dyDescent="0.2">
      <c r="A8551" s="82"/>
      <c r="B8551" s="82"/>
      <c r="C8551" s="82"/>
    </row>
    <row r="8552" spans="1:3" x14ac:dyDescent="0.2">
      <c r="A8552" s="82"/>
      <c r="B8552" s="82"/>
      <c r="C8552" s="82"/>
    </row>
    <row r="8553" spans="1:3" x14ac:dyDescent="0.2">
      <c r="A8553" s="82"/>
      <c r="B8553" s="82"/>
      <c r="C8553" s="82"/>
    </row>
    <row r="8554" spans="1:3" x14ac:dyDescent="0.2">
      <c r="A8554" s="82"/>
      <c r="B8554" s="82"/>
      <c r="C8554" s="82"/>
    </row>
    <row r="8555" spans="1:3" x14ac:dyDescent="0.2">
      <c r="A8555" s="82"/>
      <c r="B8555" s="82"/>
      <c r="C8555" s="82"/>
    </row>
    <row r="8556" spans="1:3" x14ac:dyDescent="0.2">
      <c r="A8556" s="82"/>
      <c r="B8556" s="82"/>
      <c r="C8556" s="82"/>
    </row>
    <row r="8557" spans="1:3" x14ac:dyDescent="0.2">
      <c r="A8557" s="82"/>
      <c r="B8557" s="82"/>
      <c r="C8557" s="82"/>
    </row>
    <row r="8558" spans="1:3" x14ac:dyDescent="0.2">
      <c r="A8558" s="82"/>
      <c r="B8558" s="82"/>
      <c r="C8558" s="82"/>
    </row>
    <row r="8559" spans="1:3" x14ac:dyDescent="0.2">
      <c r="A8559" s="82"/>
      <c r="B8559" s="82"/>
      <c r="C8559" s="82"/>
    </row>
    <row r="8560" spans="1:3" x14ac:dyDescent="0.2">
      <c r="A8560" s="82"/>
      <c r="B8560" s="82"/>
      <c r="C8560" s="82"/>
    </row>
    <row r="8561" spans="1:3" x14ac:dyDescent="0.2">
      <c r="A8561" s="82"/>
      <c r="B8561" s="82"/>
      <c r="C8561" s="82"/>
    </row>
    <row r="8562" spans="1:3" x14ac:dyDescent="0.2">
      <c r="A8562" s="82"/>
      <c r="B8562" s="82"/>
      <c r="C8562" s="82"/>
    </row>
    <row r="8563" spans="1:3" x14ac:dyDescent="0.2">
      <c r="A8563" s="82"/>
      <c r="B8563" s="82"/>
      <c r="C8563" s="82"/>
    </row>
    <row r="8564" spans="1:3" x14ac:dyDescent="0.2">
      <c r="A8564" s="82"/>
      <c r="B8564" s="82"/>
      <c r="C8564" s="82"/>
    </row>
    <row r="8565" spans="1:3" x14ac:dyDescent="0.2">
      <c r="A8565" s="82"/>
      <c r="B8565" s="82"/>
      <c r="C8565" s="82"/>
    </row>
    <row r="8566" spans="1:3" x14ac:dyDescent="0.2">
      <c r="A8566" s="82"/>
      <c r="B8566" s="82"/>
      <c r="C8566" s="82"/>
    </row>
    <row r="8567" spans="1:3" x14ac:dyDescent="0.2">
      <c r="A8567" s="82"/>
      <c r="B8567" s="82"/>
      <c r="C8567" s="82"/>
    </row>
    <row r="8568" spans="1:3" x14ac:dyDescent="0.2">
      <c r="A8568" s="82"/>
      <c r="B8568" s="82"/>
      <c r="C8568" s="82"/>
    </row>
    <row r="8569" spans="1:3" x14ac:dyDescent="0.2">
      <c r="A8569" s="82"/>
      <c r="B8569" s="82"/>
      <c r="C8569" s="82"/>
    </row>
    <row r="8570" spans="1:3" x14ac:dyDescent="0.2">
      <c r="A8570" s="82"/>
      <c r="B8570" s="82"/>
      <c r="C8570" s="82"/>
    </row>
    <row r="8571" spans="1:3" x14ac:dyDescent="0.2">
      <c r="A8571" s="82"/>
      <c r="B8571" s="82"/>
      <c r="C8571" s="82"/>
    </row>
    <row r="8572" spans="1:3" x14ac:dyDescent="0.2">
      <c r="A8572" s="82"/>
      <c r="B8572" s="82"/>
      <c r="C8572" s="82"/>
    </row>
    <row r="8573" spans="1:3" x14ac:dyDescent="0.2">
      <c r="A8573" s="82"/>
      <c r="B8573" s="82"/>
      <c r="C8573" s="82"/>
    </row>
    <row r="8574" spans="1:3" x14ac:dyDescent="0.2">
      <c r="A8574" s="82"/>
      <c r="B8574" s="82"/>
      <c r="C8574" s="82"/>
    </row>
    <row r="8575" spans="1:3" x14ac:dyDescent="0.2">
      <c r="A8575" s="82"/>
      <c r="B8575" s="82"/>
      <c r="C8575" s="82"/>
    </row>
    <row r="8576" spans="1:3" x14ac:dyDescent="0.2">
      <c r="A8576" s="82"/>
      <c r="B8576" s="82"/>
      <c r="C8576" s="82"/>
    </row>
    <row r="8577" spans="1:3" x14ac:dyDescent="0.2">
      <c r="A8577" s="82"/>
      <c r="B8577" s="82"/>
      <c r="C8577" s="82"/>
    </row>
    <row r="8578" spans="1:3" x14ac:dyDescent="0.2">
      <c r="A8578" s="82"/>
      <c r="B8578" s="82"/>
      <c r="C8578" s="82"/>
    </row>
    <row r="8579" spans="1:3" x14ac:dyDescent="0.2">
      <c r="A8579" s="82"/>
      <c r="B8579" s="82"/>
      <c r="C8579" s="82"/>
    </row>
    <row r="8580" spans="1:3" x14ac:dyDescent="0.2">
      <c r="A8580" s="82"/>
      <c r="B8580" s="82"/>
      <c r="C8580" s="82"/>
    </row>
    <row r="8581" spans="1:3" x14ac:dyDescent="0.2">
      <c r="A8581" s="82"/>
      <c r="B8581" s="82"/>
      <c r="C8581" s="82"/>
    </row>
    <row r="8582" spans="1:3" x14ac:dyDescent="0.2">
      <c r="A8582" s="82"/>
      <c r="B8582" s="82"/>
      <c r="C8582" s="82"/>
    </row>
    <row r="8583" spans="1:3" x14ac:dyDescent="0.2">
      <c r="A8583" s="82"/>
      <c r="B8583" s="82"/>
      <c r="C8583" s="82"/>
    </row>
    <row r="8584" spans="1:3" x14ac:dyDescent="0.2">
      <c r="A8584" s="82"/>
      <c r="B8584" s="82"/>
      <c r="C8584" s="82"/>
    </row>
    <row r="8585" spans="1:3" x14ac:dyDescent="0.2">
      <c r="A8585" s="82"/>
      <c r="B8585" s="82"/>
      <c r="C8585" s="82"/>
    </row>
    <row r="8586" spans="1:3" x14ac:dyDescent="0.2">
      <c r="A8586" s="82"/>
      <c r="B8586" s="82"/>
      <c r="C8586" s="82"/>
    </row>
    <row r="8587" spans="1:3" x14ac:dyDescent="0.2">
      <c r="A8587" s="82"/>
      <c r="B8587" s="82"/>
      <c r="C8587" s="82"/>
    </row>
    <row r="8588" spans="1:3" x14ac:dyDescent="0.2">
      <c r="A8588" s="82"/>
      <c r="B8588" s="82"/>
      <c r="C8588" s="82"/>
    </row>
    <row r="8589" spans="1:3" x14ac:dyDescent="0.2">
      <c r="A8589" s="82"/>
      <c r="B8589" s="82"/>
      <c r="C8589" s="82"/>
    </row>
    <row r="8590" spans="1:3" x14ac:dyDescent="0.2">
      <c r="A8590" s="82"/>
      <c r="B8590" s="82"/>
      <c r="C8590" s="82"/>
    </row>
    <row r="8591" spans="1:3" x14ac:dyDescent="0.2">
      <c r="A8591" s="82"/>
      <c r="B8591" s="82"/>
      <c r="C8591" s="82"/>
    </row>
    <row r="8592" spans="1:3" x14ac:dyDescent="0.2">
      <c r="A8592" s="82"/>
      <c r="B8592" s="82"/>
      <c r="C8592" s="82"/>
    </row>
    <row r="8593" spans="1:3" x14ac:dyDescent="0.2">
      <c r="A8593" s="82"/>
      <c r="B8593" s="82"/>
      <c r="C8593" s="82"/>
    </row>
    <row r="8594" spans="1:3" x14ac:dyDescent="0.2">
      <c r="A8594" s="82"/>
      <c r="B8594" s="82"/>
      <c r="C8594" s="82"/>
    </row>
    <row r="8595" spans="1:3" x14ac:dyDescent="0.2">
      <c r="A8595" s="82"/>
      <c r="B8595" s="82"/>
      <c r="C8595" s="82"/>
    </row>
    <row r="8596" spans="1:3" x14ac:dyDescent="0.2">
      <c r="A8596" s="82"/>
      <c r="B8596" s="82"/>
      <c r="C8596" s="82"/>
    </row>
    <row r="8597" spans="1:3" x14ac:dyDescent="0.2">
      <c r="A8597" s="82"/>
      <c r="B8597" s="82"/>
      <c r="C8597" s="82"/>
    </row>
    <row r="8598" spans="1:3" x14ac:dyDescent="0.2">
      <c r="A8598" s="82"/>
      <c r="B8598" s="82"/>
      <c r="C8598" s="82"/>
    </row>
    <row r="8599" spans="1:3" x14ac:dyDescent="0.2">
      <c r="A8599" s="82"/>
      <c r="B8599" s="82"/>
      <c r="C8599" s="82"/>
    </row>
    <row r="8600" spans="1:3" x14ac:dyDescent="0.2">
      <c r="A8600" s="82"/>
      <c r="B8600" s="82"/>
      <c r="C8600" s="82"/>
    </row>
    <row r="8601" spans="1:3" x14ac:dyDescent="0.2">
      <c r="A8601" s="82"/>
      <c r="B8601" s="82"/>
      <c r="C8601" s="82"/>
    </row>
    <row r="8602" spans="1:3" x14ac:dyDescent="0.2">
      <c r="A8602" s="82"/>
      <c r="B8602" s="82"/>
      <c r="C8602" s="82"/>
    </row>
    <row r="8603" spans="1:3" x14ac:dyDescent="0.2">
      <c r="A8603" s="82"/>
      <c r="B8603" s="82"/>
      <c r="C8603" s="82"/>
    </row>
    <row r="8604" spans="1:3" x14ac:dyDescent="0.2">
      <c r="A8604" s="82"/>
      <c r="B8604" s="82"/>
      <c r="C8604" s="82"/>
    </row>
    <row r="8605" spans="1:3" x14ac:dyDescent="0.2">
      <c r="A8605" s="82"/>
      <c r="B8605" s="82"/>
      <c r="C8605" s="82"/>
    </row>
    <row r="8606" spans="1:3" x14ac:dyDescent="0.2">
      <c r="A8606" s="82"/>
      <c r="B8606" s="82"/>
      <c r="C8606" s="82"/>
    </row>
    <row r="8607" spans="1:3" x14ac:dyDescent="0.2">
      <c r="A8607" s="82"/>
      <c r="B8607" s="82"/>
      <c r="C8607" s="82"/>
    </row>
    <row r="8608" spans="1:3" x14ac:dyDescent="0.2">
      <c r="A8608" s="82"/>
      <c r="B8608" s="82"/>
      <c r="C8608" s="82"/>
    </row>
    <row r="8609" spans="1:3" x14ac:dyDescent="0.2">
      <c r="A8609" s="82"/>
      <c r="B8609" s="82"/>
      <c r="C8609" s="82"/>
    </row>
    <row r="8610" spans="1:3" x14ac:dyDescent="0.2">
      <c r="A8610" s="82"/>
      <c r="B8610" s="82"/>
      <c r="C8610" s="82"/>
    </row>
    <row r="8611" spans="1:3" x14ac:dyDescent="0.2">
      <c r="A8611" s="82"/>
      <c r="B8611" s="82"/>
      <c r="C8611" s="82"/>
    </row>
    <row r="8612" spans="1:3" x14ac:dyDescent="0.2">
      <c r="A8612" s="82"/>
      <c r="B8612" s="82"/>
      <c r="C8612" s="82"/>
    </row>
    <row r="8613" spans="1:3" x14ac:dyDescent="0.2">
      <c r="A8613" s="82"/>
      <c r="B8613" s="82"/>
      <c r="C8613" s="82"/>
    </row>
    <row r="8614" spans="1:3" x14ac:dyDescent="0.2">
      <c r="A8614" s="82"/>
      <c r="B8614" s="82"/>
      <c r="C8614" s="82"/>
    </row>
    <row r="8615" spans="1:3" x14ac:dyDescent="0.2">
      <c r="A8615" s="82"/>
      <c r="B8615" s="82"/>
      <c r="C8615" s="82"/>
    </row>
    <row r="8616" spans="1:3" x14ac:dyDescent="0.2">
      <c r="A8616" s="82"/>
      <c r="B8616" s="82"/>
      <c r="C8616" s="82"/>
    </row>
    <row r="8617" spans="1:3" x14ac:dyDescent="0.2">
      <c r="A8617" s="82"/>
      <c r="B8617" s="82"/>
      <c r="C8617" s="82"/>
    </row>
    <row r="8618" spans="1:3" x14ac:dyDescent="0.2">
      <c r="A8618" s="82"/>
      <c r="B8618" s="82"/>
      <c r="C8618" s="82"/>
    </row>
    <row r="8619" spans="1:3" x14ac:dyDescent="0.2">
      <c r="A8619" s="82"/>
      <c r="B8619" s="82"/>
      <c r="C8619" s="82"/>
    </row>
    <row r="8620" spans="1:3" x14ac:dyDescent="0.2">
      <c r="A8620" s="82"/>
      <c r="B8620" s="82"/>
      <c r="C8620" s="82"/>
    </row>
    <row r="8621" spans="1:3" x14ac:dyDescent="0.2">
      <c r="A8621" s="82"/>
      <c r="B8621" s="82"/>
      <c r="C8621" s="82"/>
    </row>
    <row r="8622" spans="1:3" x14ac:dyDescent="0.2">
      <c r="A8622" s="82"/>
      <c r="B8622" s="82"/>
      <c r="C8622" s="82"/>
    </row>
    <row r="8623" spans="1:3" x14ac:dyDescent="0.2">
      <c r="A8623" s="82"/>
      <c r="B8623" s="82"/>
      <c r="C8623" s="82"/>
    </row>
    <row r="8624" spans="1:3" x14ac:dyDescent="0.2">
      <c r="A8624" s="82"/>
      <c r="B8624" s="82"/>
      <c r="C8624" s="82"/>
    </row>
    <row r="8625" spans="1:3" x14ac:dyDescent="0.2">
      <c r="A8625" s="82"/>
      <c r="B8625" s="82"/>
      <c r="C8625" s="82"/>
    </row>
    <row r="8626" spans="1:3" x14ac:dyDescent="0.2">
      <c r="A8626" s="82"/>
      <c r="B8626" s="82"/>
      <c r="C8626" s="82"/>
    </row>
    <row r="8627" spans="1:3" x14ac:dyDescent="0.2">
      <c r="A8627" s="82"/>
      <c r="B8627" s="82"/>
      <c r="C8627" s="82"/>
    </row>
    <row r="8628" spans="1:3" x14ac:dyDescent="0.2">
      <c r="A8628" s="82"/>
      <c r="B8628" s="82"/>
      <c r="C8628" s="82"/>
    </row>
    <row r="8629" spans="1:3" x14ac:dyDescent="0.2">
      <c r="A8629" s="82"/>
      <c r="B8629" s="82"/>
      <c r="C8629" s="82"/>
    </row>
    <row r="8630" spans="1:3" x14ac:dyDescent="0.2">
      <c r="A8630" s="82"/>
      <c r="B8630" s="82"/>
      <c r="C8630" s="82"/>
    </row>
    <row r="8631" spans="1:3" x14ac:dyDescent="0.2">
      <c r="A8631" s="82"/>
      <c r="B8631" s="82"/>
      <c r="C8631" s="82"/>
    </row>
    <row r="8632" spans="1:3" x14ac:dyDescent="0.2">
      <c r="A8632" s="82"/>
      <c r="B8632" s="82"/>
      <c r="C8632" s="82"/>
    </row>
    <row r="8633" spans="1:3" x14ac:dyDescent="0.2">
      <c r="A8633" s="82"/>
      <c r="B8633" s="82"/>
      <c r="C8633" s="82"/>
    </row>
    <row r="8634" spans="1:3" x14ac:dyDescent="0.2">
      <c r="A8634" s="82"/>
      <c r="B8634" s="82"/>
      <c r="C8634" s="82"/>
    </row>
    <row r="8635" spans="1:3" x14ac:dyDescent="0.2">
      <c r="A8635" s="82"/>
      <c r="B8635" s="82"/>
      <c r="C8635" s="82"/>
    </row>
    <row r="8636" spans="1:3" x14ac:dyDescent="0.2">
      <c r="A8636" s="82"/>
      <c r="B8636" s="82"/>
      <c r="C8636" s="82"/>
    </row>
    <row r="8637" spans="1:3" x14ac:dyDescent="0.2">
      <c r="A8637" s="82"/>
      <c r="B8637" s="82"/>
      <c r="C8637" s="82"/>
    </row>
    <row r="8638" spans="1:3" x14ac:dyDescent="0.2">
      <c r="A8638" s="82"/>
      <c r="B8638" s="82"/>
      <c r="C8638" s="82"/>
    </row>
    <row r="8639" spans="1:3" x14ac:dyDescent="0.2">
      <c r="A8639" s="82"/>
      <c r="B8639" s="82"/>
      <c r="C8639" s="82"/>
    </row>
    <row r="8640" spans="1:3" x14ac:dyDescent="0.2">
      <c r="A8640" s="82"/>
      <c r="B8640" s="82"/>
      <c r="C8640" s="82"/>
    </row>
    <row r="8641" spans="1:3" x14ac:dyDescent="0.2">
      <c r="A8641" s="82"/>
      <c r="B8641" s="82"/>
      <c r="C8641" s="82"/>
    </row>
    <row r="8642" spans="1:3" x14ac:dyDescent="0.2">
      <c r="A8642" s="82"/>
      <c r="B8642" s="82"/>
      <c r="C8642" s="82"/>
    </row>
    <row r="8643" spans="1:3" x14ac:dyDescent="0.2">
      <c r="A8643" s="82"/>
      <c r="B8643" s="82"/>
      <c r="C8643" s="82"/>
    </row>
    <row r="8644" spans="1:3" x14ac:dyDescent="0.2">
      <c r="A8644" s="82"/>
      <c r="B8644" s="82"/>
      <c r="C8644" s="82"/>
    </row>
    <row r="8645" spans="1:3" x14ac:dyDescent="0.2">
      <c r="A8645" s="82"/>
      <c r="B8645" s="82"/>
      <c r="C8645" s="82"/>
    </row>
    <row r="8646" spans="1:3" x14ac:dyDescent="0.2">
      <c r="A8646" s="82"/>
      <c r="B8646" s="82"/>
      <c r="C8646" s="82"/>
    </row>
    <row r="8647" spans="1:3" x14ac:dyDescent="0.2">
      <c r="A8647" s="82"/>
      <c r="B8647" s="82"/>
      <c r="C8647" s="82"/>
    </row>
    <row r="8648" spans="1:3" x14ac:dyDescent="0.2">
      <c r="A8648" s="82"/>
      <c r="B8648" s="82"/>
      <c r="C8648" s="82"/>
    </row>
    <row r="8649" spans="1:3" x14ac:dyDescent="0.2">
      <c r="A8649" s="82"/>
      <c r="B8649" s="82"/>
      <c r="C8649" s="82"/>
    </row>
    <row r="8650" spans="1:3" x14ac:dyDescent="0.2">
      <c r="A8650" s="82"/>
      <c r="B8650" s="82"/>
      <c r="C8650" s="82"/>
    </row>
    <row r="8651" spans="1:3" x14ac:dyDescent="0.2">
      <c r="A8651" s="82"/>
      <c r="B8651" s="82"/>
      <c r="C8651" s="82"/>
    </row>
    <row r="8652" spans="1:3" x14ac:dyDescent="0.2">
      <c r="A8652" s="82"/>
      <c r="B8652" s="82"/>
      <c r="C8652" s="82"/>
    </row>
    <row r="8653" spans="1:3" x14ac:dyDescent="0.2">
      <c r="A8653" s="82"/>
      <c r="B8653" s="82"/>
      <c r="C8653" s="82"/>
    </row>
    <row r="8654" spans="1:3" x14ac:dyDescent="0.2">
      <c r="A8654" s="82"/>
      <c r="B8654" s="82"/>
      <c r="C8654" s="82"/>
    </row>
    <row r="8655" spans="1:3" x14ac:dyDescent="0.2">
      <c r="A8655" s="82"/>
      <c r="B8655" s="82"/>
      <c r="C8655" s="82"/>
    </row>
    <row r="8656" spans="1:3" x14ac:dyDescent="0.2">
      <c r="A8656" s="82"/>
      <c r="B8656" s="82"/>
      <c r="C8656" s="82"/>
    </row>
    <row r="8657" spans="1:3" x14ac:dyDescent="0.2">
      <c r="A8657" s="82"/>
      <c r="B8657" s="82"/>
      <c r="C8657" s="82"/>
    </row>
    <row r="8658" spans="1:3" x14ac:dyDescent="0.2">
      <c r="A8658" s="82"/>
      <c r="B8658" s="82"/>
      <c r="C8658" s="82"/>
    </row>
    <row r="8659" spans="1:3" x14ac:dyDescent="0.2">
      <c r="A8659" s="82"/>
      <c r="B8659" s="82"/>
      <c r="C8659" s="82"/>
    </row>
    <row r="8660" spans="1:3" x14ac:dyDescent="0.2">
      <c r="A8660" s="82"/>
      <c r="B8660" s="82"/>
      <c r="C8660" s="82"/>
    </row>
    <row r="8661" spans="1:3" x14ac:dyDescent="0.2">
      <c r="A8661" s="82"/>
      <c r="B8661" s="82"/>
      <c r="C8661" s="82"/>
    </row>
    <row r="8662" spans="1:3" x14ac:dyDescent="0.2">
      <c r="A8662" s="82"/>
      <c r="B8662" s="82"/>
      <c r="C8662" s="82"/>
    </row>
    <row r="8663" spans="1:3" x14ac:dyDescent="0.2">
      <c r="A8663" s="82"/>
      <c r="B8663" s="82"/>
      <c r="C8663" s="82"/>
    </row>
    <row r="8664" spans="1:3" x14ac:dyDescent="0.2">
      <c r="A8664" s="82"/>
      <c r="B8664" s="82"/>
      <c r="C8664" s="82"/>
    </row>
    <row r="8665" spans="1:3" x14ac:dyDescent="0.2">
      <c r="A8665" s="82"/>
      <c r="B8665" s="82"/>
      <c r="C8665" s="82"/>
    </row>
    <row r="8666" spans="1:3" x14ac:dyDescent="0.2">
      <c r="A8666" s="82"/>
      <c r="B8666" s="82"/>
      <c r="C8666" s="82"/>
    </row>
    <row r="8667" spans="1:3" x14ac:dyDescent="0.2">
      <c r="A8667" s="82"/>
      <c r="B8667" s="82"/>
      <c r="C8667" s="82"/>
    </row>
    <row r="8668" spans="1:3" x14ac:dyDescent="0.2">
      <c r="A8668" s="82"/>
      <c r="B8668" s="82"/>
      <c r="C8668" s="82"/>
    </row>
    <row r="8669" spans="1:3" x14ac:dyDescent="0.2">
      <c r="A8669" s="82"/>
      <c r="B8669" s="82"/>
      <c r="C8669" s="82"/>
    </row>
    <row r="8670" spans="1:3" x14ac:dyDescent="0.2">
      <c r="A8670" s="82"/>
      <c r="B8670" s="82"/>
      <c r="C8670" s="82"/>
    </row>
    <row r="8671" spans="1:3" x14ac:dyDescent="0.2">
      <c r="A8671" s="82"/>
      <c r="B8671" s="82"/>
      <c r="C8671" s="82"/>
    </row>
    <row r="8672" spans="1:3" x14ac:dyDescent="0.2">
      <c r="A8672" s="82"/>
      <c r="B8672" s="82"/>
      <c r="C8672" s="82"/>
    </row>
    <row r="8673" spans="1:3" x14ac:dyDescent="0.2">
      <c r="A8673" s="82"/>
      <c r="B8673" s="82"/>
      <c r="C8673" s="82"/>
    </row>
    <row r="8674" spans="1:3" x14ac:dyDescent="0.2">
      <c r="A8674" s="82"/>
      <c r="B8674" s="82"/>
      <c r="C8674" s="82"/>
    </row>
    <row r="8675" spans="1:3" x14ac:dyDescent="0.2">
      <c r="A8675" s="82"/>
      <c r="B8675" s="82"/>
      <c r="C8675" s="82"/>
    </row>
    <row r="8676" spans="1:3" x14ac:dyDescent="0.2">
      <c r="A8676" s="82"/>
      <c r="B8676" s="82"/>
      <c r="C8676" s="82"/>
    </row>
    <row r="8677" spans="1:3" x14ac:dyDescent="0.2">
      <c r="A8677" s="82"/>
      <c r="B8677" s="82"/>
      <c r="C8677" s="82"/>
    </row>
    <row r="8678" spans="1:3" x14ac:dyDescent="0.2">
      <c r="A8678" s="82"/>
      <c r="B8678" s="82"/>
      <c r="C8678" s="82"/>
    </row>
    <row r="8679" spans="1:3" x14ac:dyDescent="0.2">
      <c r="A8679" s="82"/>
      <c r="B8679" s="82"/>
      <c r="C8679" s="82"/>
    </row>
    <row r="8680" spans="1:3" x14ac:dyDescent="0.2">
      <c r="A8680" s="82"/>
      <c r="B8680" s="82"/>
      <c r="C8680" s="82"/>
    </row>
    <row r="8681" spans="1:3" x14ac:dyDescent="0.2">
      <c r="A8681" s="82"/>
      <c r="B8681" s="82"/>
      <c r="C8681" s="82"/>
    </row>
    <row r="8682" spans="1:3" x14ac:dyDescent="0.2">
      <c r="A8682" s="82"/>
      <c r="B8682" s="82"/>
      <c r="C8682" s="82"/>
    </row>
    <row r="8683" spans="1:3" x14ac:dyDescent="0.2">
      <c r="A8683" s="82"/>
      <c r="B8683" s="82"/>
      <c r="C8683" s="82"/>
    </row>
    <row r="8684" spans="1:3" x14ac:dyDescent="0.2">
      <c r="A8684" s="82"/>
      <c r="B8684" s="82"/>
      <c r="C8684" s="82"/>
    </row>
    <row r="8685" spans="1:3" x14ac:dyDescent="0.2">
      <c r="A8685" s="82"/>
      <c r="B8685" s="82"/>
      <c r="C8685" s="82"/>
    </row>
    <row r="8686" spans="1:3" x14ac:dyDescent="0.2">
      <c r="A8686" s="82"/>
      <c r="B8686" s="82"/>
      <c r="C8686" s="82"/>
    </row>
    <row r="8687" spans="1:3" x14ac:dyDescent="0.2">
      <c r="A8687" s="82"/>
      <c r="B8687" s="82"/>
      <c r="C8687" s="82"/>
    </row>
    <row r="8688" spans="1:3" x14ac:dyDescent="0.2">
      <c r="A8688" s="82"/>
      <c r="B8688" s="82"/>
      <c r="C8688" s="82"/>
    </row>
    <row r="8689" spans="1:3" x14ac:dyDescent="0.2">
      <c r="A8689" s="82"/>
      <c r="B8689" s="82"/>
      <c r="C8689" s="82"/>
    </row>
    <row r="8690" spans="1:3" x14ac:dyDescent="0.2">
      <c r="A8690" s="82"/>
      <c r="B8690" s="82"/>
      <c r="C8690" s="82"/>
    </row>
    <row r="8691" spans="1:3" x14ac:dyDescent="0.2">
      <c r="A8691" s="82"/>
      <c r="B8691" s="82"/>
      <c r="C8691" s="82"/>
    </row>
    <row r="8692" spans="1:3" x14ac:dyDescent="0.2">
      <c r="A8692" s="82"/>
      <c r="B8692" s="82"/>
      <c r="C8692" s="82"/>
    </row>
    <row r="8693" spans="1:3" x14ac:dyDescent="0.2">
      <c r="A8693" s="82"/>
      <c r="B8693" s="82"/>
      <c r="C8693" s="82"/>
    </row>
    <row r="8694" spans="1:3" x14ac:dyDescent="0.2">
      <c r="A8694" s="82"/>
      <c r="B8694" s="82"/>
      <c r="C8694" s="82"/>
    </row>
    <row r="8695" spans="1:3" x14ac:dyDescent="0.2">
      <c r="A8695" s="82"/>
      <c r="B8695" s="82"/>
      <c r="C8695" s="82"/>
    </row>
    <row r="8696" spans="1:3" x14ac:dyDescent="0.2">
      <c r="A8696" s="82"/>
      <c r="B8696" s="82"/>
      <c r="C8696" s="82"/>
    </row>
    <row r="8697" spans="1:3" x14ac:dyDescent="0.2">
      <c r="A8697" s="82"/>
      <c r="B8697" s="82"/>
      <c r="C8697" s="82"/>
    </row>
    <row r="8698" spans="1:3" x14ac:dyDescent="0.2">
      <c r="A8698" s="82"/>
      <c r="B8698" s="82"/>
      <c r="C8698" s="82"/>
    </row>
    <row r="8699" spans="1:3" x14ac:dyDescent="0.2">
      <c r="A8699" s="82"/>
      <c r="B8699" s="82"/>
      <c r="C8699" s="82"/>
    </row>
    <row r="8700" spans="1:3" x14ac:dyDescent="0.2">
      <c r="A8700" s="82"/>
      <c r="B8700" s="82"/>
      <c r="C8700" s="82"/>
    </row>
    <row r="8701" spans="1:3" x14ac:dyDescent="0.2">
      <c r="A8701" s="82"/>
      <c r="B8701" s="82"/>
      <c r="C8701" s="82"/>
    </row>
    <row r="8702" spans="1:3" x14ac:dyDescent="0.2">
      <c r="A8702" s="82"/>
      <c r="B8702" s="82"/>
      <c r="C8702" s="82"/>
    </row>
    <row r="8703" spans="1:3" x14ac:dyDescent="0.2">
      <c r="A8703" s="82"/>
      <c r="B8703" s="82"/>
      <c r="C8703" s="82"/>
    </row>
    <row r="8704" spans="1:3" x14ac:dyDescent="0.2">
      <c r="A8704" s="82"/>
      <c r="B8704" s="82"/>
      <c r="C8704" s="82"/>
    </row>
    <row r="8705" spans="1:3" x14ac:dyDescent="0.2">
      <c r="A8705" s="82"/>
      <c r="B8705" s="82"/>
      <c r="C8705" s="82"/>
    </row>
    <row r="8706" spans="1:3" x14ac:dyDescent="0.2">
      <c r="A8706" s="82"/>
      <c r="B8706" s="82"/>
      <c r="C8706" s="82"/>
    </row>
    <row r="8707" spans="1:3" x14ac:dyDescent="0.2">
      <c r="A8707" s="82"/>
      <c r="B8707" s="82"/>
      <c r="C8707" s="82"/>
    </row>
    <row r="8708" spans="1:3" x14ac:dyDescent="0.2">
      <c r="A8708" s="82"/>
      <c r="B8708" s="82"/>
      <c r="C8708" s="82"/>
    </row>
    <row r="8709" spans="1:3" x14ac:dyDescent="0.2">
      <c r="A8709" s="82"/>
      <c r="B8709" s="82"/>
      <c r="C8709" s="82"/>
    </row>
    <row r="8710" spans="1:3" x14ac:dyDescent="0.2">
      <c r="A8710" s="82"/>
      <c r="B8710" s="82"/>
      <c r="C8710" s="82"/>
    </row>
    <row r="8711" spans="1:3" x14ac:dyDescent="0.2">
      <c r="A8711" s="82"/>
      <c r="B8711" s="82"/>
      <c r="C8711" s="82"/>
    </row>
    <row r="8712" spans="1:3" x14ac:dyDescent="0.2">
      <c r="A8712" s="82"/>
      <c r="B8712" s="82"/>
      <c r="C8712" s="82"/>
    </row>
    <row r="8713" spans="1:3" x14ac:dyDescent="0.2">
      <c r="A8713" s="82"/>
      <c r="B8713" s="82"/>
      <c r="C8713" s="82"/>
    </row>
    <row r="8714" spans="1:3" x14ac:dyDescent="0.2">
      <c r="A8714" s="82"/>
      <c r="B8714" s="82"/>
      <c r="C8714" s="82"/>
    </row>
    <row r="8715" spans="1:3" x14ac:dyDescent="0.2">
      <c r="A8715" s="82"/>
      <c r="B8715" s="82"/>
      <c r="C8715" s="82"/>
    </row>
    <row r="8716" spans="1:3" x14ac:dyDescent="0.2">
      <c r="A8716" s="82"/>
      <c r="B8716" s="82"/>
      <c r="C8716" s="82"/>
    </row>
    <row r="8717" spans="1:3" x14ac:dyDescent="0.2">
      <c r="A8717" s="82"/>
      <c r="B8717" s="82"/>
      <c r="C8717" s="82"/>
    </row>
    <row r="8718" spans="1:3" x14ac:dyDescent="0.2">
      <c r="A8718" s="82"/>
      <c r="B8718" s="82"/>
      <c r="C8718" s="82"/>
    </row>
    <row r="8719" spans="1:3" x14ac:dyDescent="0.2">
      <c r="A8719" s="82"/>
      <c r="B8719" s="82"/>
      <c r="C8719" s="82"/>
    </row>
    <row r="8720" spans="1:3" x14ac:dyDescent="0.2">
      <c r="A8720" s="82"/>
      <c r="B8720" s="82"/>
      <c r="C8720" s="82"/>
    </row>
    <row r="8721" spans="1:3" x14ac:dyDescent="0.2">
      <c r="A8721" s="82"/>
      <c r="B8721" s="82"/>
      <c r="C8721" s="82"/>
    </row>
    <row r="8722" spans="1:3" x14ac:dyDescent="0.2">
      <c r="A8722" s="82"/>
      <c r="B8722" s="82"/>
      <c r="C8722" s="82"/>
    </row>
    <row r="8723" spans="1:3" x14ac:dyDescent="0.2">
      <c r="A8723" s="82"/>
      <c r="B8723" s="82"/>
      <c r="C8723" s="82"/>
    </row>
    <row r="8724" spans="1:3" x14ac:dyDescent="0.2">
      <c r="A8724" s="82"/>
      <c r="B8724" s="82"/>
      <c r="C8724" s="82"/>
    </row>
    <row r="8725" spans="1:3" x14ac:dyDescent="0.2">
      <c r="A8725" s="82"/>
      <c r="B8725" s="82"/>
      <c r="C8725" s="82"/>
    </row>
    <row r="8726" spans="1:3" x14ac:dyDescent="0.2">
      <c r="A8726" s="82"/>
      <c r="B8726" s="82"/>
      <c r="C8726" s="82"/>
    </row>
    <row r="8727" spans="1:3" x14ac:dyDescent="0.2">
      <c r="A8727" s="82"/>
      <c r="B8727" s="82"/>
      <c r="C8727" s="82"/>
    </row>
    <row r="8728" spans="1:3" x14ac:dyDescent="0.2">
      <c r="A8728" s="82"/>
      <c r="B8728" s="82"/>
      <c r="C8728" s="82"/>
    </row>
    <row r="8729" spans="1:3" x14ac:dyDescent="0.2">
      <c r="A8729" s="82"/>
      <c r="B8729" s="82"/>
      <c r="C8729" s="82"/>
    </row>
    <row r="8730" spans="1:3" x14ac:dyDescent="0.2">
      <c r="A8730" s="82"/>
      <c r="B8730" s="82"/>
      <c r="C8730" s="82"/>
    </row>
    <row r="8731" spans="1:3" x14ac:dyDescent="0.2">
      <c r="A8731" s="82"/>
      <c r="B8731" s="82"/>
      <c r="C8731" s="82"/>
    </row>
    <row r="8732" spans="1:3" x14ac:dyDescent="0.2">
      <c r="A8732" s="82"/>
      <c r="B8732" s="82"/>
      <c r="C8732" s="82"/>
    </row>
    <row r="8733" spans="1:3" x14ac:dyDescent="0.2">
      <c r="A8733" s="82"/>
      <c r="B8733" s="82"/>
      <c r="C8733" s="82"/>
    </row>
    <row r="8734" spans="1:3" x14ac:dyDescent="0.2">
      <c r="A8734" s="82"/>
      <c r="B8734" s="82"/>
      <c r="C8734" s="82"/>
    </row>
    <row r="8735" spans="1:3" x14ac:dyDescent="0.2">
      <c r="A8735" s="82"/>
      <c r="B8735" s="82"/>
      <c r="C8735" s="82"/>
    </row>
    <row r="8736" spans="1:3" x14ac:dyDescent="0.2">
      <c r="A8736" s="82"/>
      <c r="B8736" s="82"/>
      <c r="C8736" s="82"/>
    </row>
    <row r="8737" spans="1:3" x14ac:dyDescent="0.2">
      <c r="A8737" s="82"/>
      <c r="B8737" s="82"/>
      <c r="C8737" s="82"/>
    </row>
    <row r="8738" spans="1:3" x14ac:dyDescent="0.2">
      <c r="A8738" s="82"/>
      <c r="B8738" s="82"/>
      <c r="C8738" s="82"/>
    </row>
    <row r="8739" spans="1:3" x14ac:dyDescent="0.2">
      <c r="A8739" s="82"/>
      <c r="B8739" s="82"/>
      <c r="C8739" s="82"/>
    </row>
    <row r="8740" spans="1:3" x14ac:dyDescent="0.2">
      <c r="A8740" s="82"/>
      <c r="B8740" s="82"/>
      <c r="C8740" s="82"/>
    </row>
    <row r="8741" spans="1:3" x14ac:dyDescent="0.2">
      <c r="A8741" s="82"/>
      <c r="B8741" s="82"/>
      <c r="C8741" s="82"/>
    </row>
    <row r="8742" spans="1:3" x14ac:dyDescent="0.2">
      <c r="A8742" s="82"/>
      <c r="B8742" s="82"/>
      <c r="C8742" s="82"/>
    </row>
    <row r="8743" spans="1:3" x14ac:dyDescent="0.2">
      <c r="A8743" s="82"/>
      <c r="B8743" s="82"/>
      <c r="C8743" s="82"/>
    </row>
    <row r="8744" spans="1:3" x14ac:dyDescent="0.2">
      <c r="A8744" s="82"/>
      <c r="B8744" s="82"/>
      <c r="C8744" s="82"/>
    </row>
    <row r="8745" spans="1:3" x14ac:dyDescent="0.2">
      <c r="A8745" s="82"/>
      <c r="B8745" s="82"/>
      <c r="C8745" s="82"/>
    </row>
    <row r="8746" spans="1:3" x14ac:dyDescent="0.2">
      <c r="A8746" s="82"/>
      <c r="B8746" s="82"/>
      <c r="C8746" s="82"/>
    </row>
    <row r="8747" spans="1:3" x14ac:dyDescent="0.2">
      <c r="A8747" s="82"/>
      <c r="B8747" s="82"/>
      <c r="C8747" s="82"/>
    </row>
    <row r="8748" spans="1:3" x14ac:dyDescent="0.2">
      <c r="A8748" s="82"/>
      <c r="B8748" s="82"/>
      <c r="C8748" s="82"/>
    </row>
    <row r="8749" spans="1:3" x14ac:dyDescent="0.2">
      <c r="A8749" s="82"/>
      <c r="B8749" s="82"/>
      <c r="C8749" s="82"/>
    </row>
    <row r="8750" spans="1:3" x14ac:dyDescent="0.2">
      <c r="A8750" s="82"/>
      <c r="B8750" s="82"/>
      <c r="C8750" s="82"/>
    </row>
    <row r="8751" spans="1:3" x14ac:dyDescent="0.2">
      <c r="A8751" s="82"/>
      <c r="B8751" s="82"/>
      <c r="C8751" s="82"/>
    </row>
    <row r="8752" spans="1:3" x14ac:dyDescent="0.2">
      <c r="A8752" s="82"/>
      <c r="B8752" s="82"/>
      <c r="C8752" s="82"/>
    </row>
    <row r="8753" spans="1:3" x14ac:dyDescent="0.2">
      <c r="A8753" s="82"/>
      <c r="B8753" s="82"/>
      <c r="C8753" s="82"/>
    </row>
    <row r="8754" spans="1:3" x14ac:dyDescent="0.2">
      <c r="A8754" s="82"/>
      <c r="B8754" s="82"/>
      <c r="C8754" s="82"/>
    </row>
    <row r="8755" spans="1:3" x14ac:dyDescent="0.2">
      <c r="A8755" s="82"/>
      <c r="B8755" s="82"/>
      <c r="C8755" s="82"/>
    </row>
    <row r="8756" spans="1:3" x14ac:dyDescent="0.2">
      <c r="A8756" s="82"/>
      <c r="B8756" s="82"/>
      <c r="C8756" s="82"/>
    </row>
    <row r="8757" spans="1:3" x14ac:dyDescent="0.2">
      <c r="A8757" s="82"/>
      <c r="B8757" s="82"/>
      <c r="C8757" s="82"/>
    </row>
    <row r="8758" spans="1:3" x14ac:dyDescent="0.2">
      <c r="A8758" s="82"/>
      <c r="B8758" s="82"/>
      <c r="C8758" s="82"/>
    </row>
    <row r="8759" spans="1:3" x14ac:dyDescent="0.2">
      <c r="A8759" s="82"/>
      <c r="B8759" s="82"/>
      <c r="C8759" s="82"/>
    </row>
    <row r="8760" spans="1:3" x14ac:dyDescent="0.2">
      <c r="A8760" s="82"/>
      <c r="B8760" s="82"/>
      <c r="C8760" s="82"/>
    </row>
    <row r="8761" spans="1:3" x14ac:dyDescent="0.2">
      <c r="A8761" s="82"/>
      <c r="B8761" s="82"/>
      <c r="C8761" s="82"/>
    </row>
    <row r="8762" spans="1:3" x14ac:dyDescent="0.2">
      <c r="A8762" s="82"/>
      <c r="B8762" s="82"/>
      <c r="C8762" s="82"/>
    </row>
    <row r="8763" spans="1:3" x14ac:dyDescent="0.2">
      <c r="A8763" s="82"/>
      <c r="B8763" s="82"/>
      <c r="C8763" s="82"/>
    </row>
    <row r="8764" spans="1:3" x14ac:dyDescent="0.2">
      <c r="A8764" s="82"/>
      <c r="B8764" s="82"/>
      <c r="C8764" s="82"/>
    </row>
    <row r="8765" spans="1:3" x14ac:dyDescent="0.2">
      <c r="A8765" s="82"/>
      <c r="B8765" s="82"/>
      <c r="C8765" s="82"/>
    </row>
    <row r="8766" spans="1:3" x14ac:dyDescent="0.2">
      <c r="A8766" s="82"/>
      <c r="B8766" s="82"/>
      <c r="C8766" s="82"/>
    </row>
    <row r="8767" spans="1:3" x14ac:dyDescent="0.2">
      <c r="A8767" s="82"/>
      <c r="B8767" s="82"/>
      <c r="C8767" s="82"/>
    </row>
    <row r="8768" spans="1:3" x14ac:dyDescent="0.2">
      <c r="A8768" s="82"/>
      <c r="B8768" s="82"/>
      <c r="C8768" s="82"/>
    </row>
    <row r="8769" spans="1:3" x14ac:dyDescent="0.2">
      <c r="A8769" s="82"/>
      <c r="B8769" s="82"/>
      <c r="C8769" s="82"/>
    </row>
    <row r="8770" spans="1:3" x14ac:dyDescent="0.2">
      <c r="A8770" s="82"/>
      <c r="B8770" s="82"/>
      <c r="C8770" s="82"/>
    </row>
    <row r="8771" spans="1:3" x14ac:dyDescent="0.2">
      <c r="A8771" s="82"/>
      <c r="B8771" s="82"/>
      <c r="C8771" s="82"/>
    </row>
    <row r="8772" spans="1:3" x14ac:dyDescent="0.2">
      <c r="A8772" s="82"/>
      <c r="B8772" s="82"/>
      <c r="C8772" s="82"/>
    </row>
    <row r="8773" spans="1:3" x14ac:dyDescent="0.2">
      <c r="A8773" s="82"/>
      <c r="B8773" s="82"/>
      <c r="C8773" s="82"/>
    </row>
    <row r="8774" spans="1:3" x14ac:dyDescent="0.2">
      <c r="A8774" s="82"/>
      <c r="B8774" s="82"/>
      <c r="C8774" s="82"/>
    </row>
    <row r="8775" spans="1:3" x14ac:dyDescent="0.2">
      <c r="A8775" s="82"/>
      <c r="B8775" s="82"/>
      <c r="C8775" s="82"/>
    </row>
    <row r="8776" spans="1:3" x14ac:dyDescent="0.2">
      <c r="A8776" s="82"/>
      <c r="B8776" s="82"/>
      <c r="C8776" s="82"/>
    </row>
    <row r="8777" spans="1:3" x14ac:dyDescent="0.2">
      <c r="A8777" s="82"/>
      <c r="B8777" s="82"/>
      <c r="C8777" s="82"/>
    </row>
    <row r="8778" spans="1:3" x14ac:dyDescent="0.2">
      <c r="A8778" s="82"/>
      <c r="B8778" s="82"/>
      <c r="C8778" s="82"/>
    </row>
    <row r="8779" spans="1:3" x14ac:dyDescent="0.2">
      <c r="A8779" s="82"/>
      <c r="B8779" s="82"/>
      <c r="C8779" s="82"/>
    </row>
    <row r="8780" spans="1:3" x14ac:dyDescent="0.2">
      <c r="A8780" s="82"/>
      <c r="B8780" s="82"/>
      <c r="C8780" s="82"/>
    </row>
    <row r="8781" spans="1:3" x14ac:dyDescent="0.2">
      <c r="A8781" s="82"/>
      <c r="B8781" s="82"/>
      <c r="C8781" s="82"/>
    </row>
    <row r="8782" spans="1:3" x14ac:dyDescent="0.2">
      <c r="A8782" s="82"/>
      <c r="B8782" s="82"/>
      <c r="C8782" s="82"/>
    </row>
    <row r="8783" spans="1:3" x14ac:dyDescent="0.2">
      <c r="A8783" s="82"/>
      <c r="B8783" s="82"/>
      <c r="C8783" s="82"/>
    </row>
    <row r="8784" spans="1:3" x14ac:dyDescent="0.2">
      <c r="A8784" s="82"/>
      <c r="B8784" s="82"/>
      <c r="C8784" s="82"/>
    </row>
    <row r="8785" spans="1:3" x14ac:dyDescent="0.2">
      <c r="A8785" s="82"/>
      <c r="B8785" s="82"/>
      <c r="C8785" s="82"/>
    </row>
    <row r="8786" spans="1:3" x14ac:dyDescent="0.2">
      <c r="A8786" s="82"/>
      <c r="B8786" s="82"/>
      <c r="C8786" s="82"/>
    </row>
    <row r="8787" spans="1:3" x14ac:dyDescent="0.2">
      <c r="A8787" s="82"/>
      <c r="B8787" s="82"/>
      <c r="C8787" s="82"/>
    </row>
    <row r="8788" spans="1:3" x14ac:dyDescent="0.2">
      <c r="A8788" s="82"/>
      <c r="B8788" s="82"/>
      <c r="C8788" s="82"/>
    </row>
    <row r="8789" spans="1:3" x14ac:dyDescent="0.2">
      <c r="A8789" s="82"/>
      <c r="B8789" s="82"/>
      <c r="C8789" s="82"/>
    </row>
    <row r="8790" spans="1:3" x14ac:dyDescent="0.2">
      <c r="A8790" s="82"/>
      <c r="B8790" s="82"/>
      <c r="C8790" s="82"/>
    </row>
    <row r="8791" spans="1:3" x14ac:dyDescent="0.2">
      <c r="A8791" s="82"/>
      <c r="B8791" s="82"/>
      <c r="C8791" s="82"/>
    </row>
    <row r="8792" spans="1:3" x14ac:dyDescent="0.2">
      <c r="A8792" s="82"/>
      <c r="B8792" s="82"/>
      <c r="C8792" s="82"/>
    </row>
    <row r="8793" spans="1:3" x14ac:dyDescent="0.2">
      <c r="A8793" s="82"/>
      <c r="B8793" s="82"/>
      <c r="C8793" s="82"/>
    </row>
    <row r="8794" spans="1:3" x14ac:dyDescent="0.2">
      <c r="A8794" s="82"/>
      <c r="B8794" s="82"/>
      <c r="C8794" s="82"/>
    </row>
    <row r="8795" spans="1:3" x14ac:dyDescent="0.2">
      <c r="A8795" s="82"/>
      <c r="B8795" s="82"/>
      <c r="C8795" s="82"/>
    </row>
    <row r="8796" spans="1:3" x14ac:dyDescent="0.2">
      <c r="A8796" s="82"/>
      <c r="B8796" s="82"/>
      <c r="C8796" s="82"/>
    </row>
    <row r="8797" spans="1:3" x14ac:dyDescent="0.2">
      <c r="A8797" s="82"/>
      <c r="B8797" s="82"/>
      <c r="C8797" s="82"/>
    </row>
    <row r="8798" spans="1:3" x14ac:dyDescent="0.2">
      <c r="A8798" s="82"/>
      <c r="B8798" s="82"/>
      <c r="C8798" s="82"/>
    </row>
    <row r="8799" spans="1:3" x14ac:dyDescent="0.2">
      <c r="A8799" s="82"/>
      <c r="B8799" s="82"/>
      <c r="C8799" s="82"/>
    </row>
    <row r="8800" spans="1:3" x14ac:dyDescent="0.2">
      <c r="A8800" s="82"/>
      <c r="B8800" s="82"/>
      <c r="C8800" s="82"/>
    </row>
    <row r="8801" spans="1:3" x14ac:dyDescent="0.2">
      <c r="A8801" s="82"/>
      <c r="B8801" s="82"/>
      <c r="C8801" s="82"/>
    </row>
    <row r="8802" spans="1:3" x14ac:dyDescent="0.2">
      <c r="A8802" s="82"/>
      <c r="B8802" s="82"/>
      <c r="C8802" s="82"/>
    </row>
    <row r="8803" spans="1:3" x14ac:dyDescent="0.2">
      <c r="A8803" s="82"/>
      <c r="B8803" s="82"/>
      <c r="C8803" s="82"/>
    </row>
    <row r="8804" spans="1:3" x14ac:dyDescent="0.2">
      <c r="A8804" s="82"/>
      <c r="B8804" s="82"/>
      <c r="C8804" s="82"/>
    </row>
    <row r="8805" spans="1:3" x14ac:dyDescent="0.2">
      <c r="A8805" s="82"/>
      <c r="B8805" s="82"/>
      <c r="C8805" s="82"/>
    </row>
    <row r="8806" spans="1:3" x14ac:dyDescent="0.2">
      <c r="A8806" s="82"/>
      <c r="B8806" s="82"/>
      <c r="C8806" s="82"/>
    </row>
    <row r="8807" spans="1:3" x14ac:dyDescent="0.2">
      <c r="A8807" s="82"/>
      <c r="B8807" s="82"/>
      <c r="C8807" s="82"/>
    </row>
    <row r="8808" spans="1:3" x14ac:dyDescent="0.2">
      <c r="A8808" s="82"/>
      <c r="B8808" s="82"/>
      <c r="C8808" s="82"/>
    </row>
    <row r="8809" spans="1:3" x14ac:dyDescent="0.2">
      <c r="A8809" s="82"/>
      <c r="B8809" s="82"/>
      <c r="C8809" s="82"/>
    </row>
    <row r="8810" spans="1:3" x14ac:dyDescent="0.2">
      <c r="A8810" s="82"/>
      <c r="B8810" s="82"/>
      <c r="C8810" s="82"/>
    </row>
    <row r="8811" spans="1:3" x14ac:dyDescent="0.2">
      <c r="A8811" s="82"/>
      <c r="B8811" s="82"/>
      <c r="C8811" s="82"/>
    </row>
    <row r="8812" spans="1:3" x14ac:dyDescent="0.2">
      <c r="A8812" s="82"/>
      <c r="B8812" s="82"/>
      <c r="C8812" s="82"/>
    </row>
    <row r="8813" spans="1:3" x14ac:dyDescent="0.2">
      <c r="A8813" s="82"/>
      <c r="B8813" s="82"/>
      <c r="C8813" s="82"/>
    </row>
    <row r="8814" spans="1:3" x14ac:dyDescent="0.2">
      <c r="A8814" s="82"/>
      <c r="B8814" s="82"/>
      <c r="C8814" s="82"/>
    </row>
    <row r="8815" spans="1:3" x14ac:dyDescent="0.2">
      <c r="A8815" s="82"/>
      <c r="B8815" s="82"/>
      <c r="C8815" s="82"/>
    </row>
    <row r="8816" spans="1:3" x14ac:dyDescent="0.2">
      <c r="A8816" s="82"/>
      <c r="B8816" s="82"/>
      <c r="C8816" s="82"/>
    </row>
    <row r="8817" spans="1:3" x14ac:dyDescent="0.2">
      <c r="A8817" s="82"/>
      <c r="B8817" s="82"/>
      <c r="C8817" s="82"/>
    </row>
    <row r="8818" spans="1:3" x14ac:dyDescent="0.2">
      <c r="A8818" s="82"/>
      <c r="B8818" s="82"/>
      <c r="C8818" s="82"/>
    </row>
    <row r="8819" spans="1:3" x14ac:dyDescent="0.2">
      <c r="A8819" s="82"/>
      <c r="B8819" s="82"/>
      <c r="C8819" s="82"/>
    </row>
    <row r="8820" spans="1:3" x14ac:dyDescent="0.2">
      <c r="A8820" s="82"/>
      <c r="B8820" s="82"/>
      <c r="C8820" s="82"/>
    </row>
    <row r="8821" spans="1:3" x14ac:dyDescent="0.2">
      <c r="A8821" s="82"/>
      <c r="B8821" s="82"/>
      <c r="C8821" s="82"/>
    </row>
    <row r="8822" spans="1:3" x14ac:dyDescent="0.2">
      <c r="A8822" s="82"/>
      <c r="B8822" s="82"/>
      <c r="C8822" s="82"/>
    </row>
    <row r="8823" spans="1:3" x14ac:dyDescent="0.2">
      <c r="A8823" s="82"/>
      <c r="B8823" s="82"/>
      <c r="C8823" s="82"/>
    </row>
    <row r="8824" spans="1:3" x14ac:dyDescent="0.2">
      <c r="A8824" s="82"/>
      <c r="B8824" s="82"/>
      <c r="C8824" s="82"/>
    </row>
    <row r="8825" spans="1:3" x14ac:dyDescent="0.2">
      <c r="A8825" s="82"/>
      <c r="B8825" s="82"/>
      <c r="C8825" s="82"/>
    </row>
    <row r="8826" spans="1:3" x14ac:dyDescent="0.2">
      <c r="A8826" s="82"/>
      <c r="B8826" s="82"/>
      <c r="C8826" s="82"/>
    </row>
    <row r="8827" spans="1:3" x14ac:dyDescent="0.2">
      <c r="A8827" s="82"/>
      <c r="B8827" s="82"/>
      <c r="C8827" s="82"/>
    </row>
    <row r="8828" spans="1:3" x14ac:dyDescent="0.2">
      <c r="A8828" s="82"/>
      <c r="B8828" s="82"/>
      <c r="C8828" s="82"/>
    </row>
    <row r="8829" spans="1:3" x14ac:dyDescent="0.2">
      <c r="A8829" s="82"/>
      <c r="B8829" s="82"/>
      <c r="C8829" s="82"/>
    </row>
    <row r="8830" spans="1:3" x14ac:dyDescent="0.2">
      <c r="A8830" s="82"/>
      <c r="B8830" s="82"/>
      <c r="C8830" s="82"/>
    </row>
    <row r="8831" spans="1:3" x14ac:dyDescent="0.2">
      <c r="A8831" s="82"/>
      <c r="B8831" s="82"/>
      <c r="C8831" s="82"/>
    </row>
    <row r="8832" spans="1:3" x14ac:dyDescent="0.2">
      <c r="A8832" s="82"/>
      <c r="B8832" s="82"/>
      <c r="C8832" s="82"/>
    </row>
    <row r="8833" spans="1:3" x14ac:dyDescent="0.2">
      <c r="A8833" s="82"/>
      <c r="B8833" s="82"/>
      <c r="C8833" s="82"/>
    </row>
    <row r="8834" spans="1:3" x14ac:dyDescent="0.2">
      <c r="A8834" s="82"/>
      <c r="B8834" s="82"/>
      <c r="C8834" s="82"/>
    </row>
    <row r="8835" spans="1:3" x14ac:dyDescent="0.2">
      <c r="A8835" s="82"/>
      <c r="B8835" s="82"/>
      <c r="C8835" s="82"/>
    </row>
    <row r="8836" spans="1:3" x14ac:dyDescent="0.2">
      <c r="A8836" s="82"/>
      <c r="B8836" s="82"/>
      <c r="C8836" s="82"/>
    </row>
    <row r="8837" spans="1:3" x14ac:dyDescent="0.2">
      <c r="A8837" s="82"/>
      <c r="B8837" s="82"/>
      <c r="C8837" s="82"/>
    </row>
    <row r="8838" spans="1:3" x14ac:dyDescent="0.2">
      <c r="A8838" s="82"/>
      <c r="B8838" s="82"/>
      <c r="C8838" s="82"/>
    </row>
    <row r="8839" spans="1:3" x14ac:dyDescent="0.2">
      <c r="A8839" s="82"/>
      <c r="B8839" s="82"/>
      <c r="C8839" s="82"/>
    </row>
    <row r="8840" spans="1:3" x14ac:dyDescent="0.2">
      <c r="A8840" s="82"/>
      <c r="B8840" s="82"/>
      <c r="C8840" s="82"/>
    </row>
    <row r="8841" spans="1:3" x14ac:dyDescent="0.2">
      <c r="A8841" s="82"/>
      <c r="B8841" s="82"/>
      <c r="C8841" s="82"/>
    </row>
    <row r="8842" spans="1:3" x14ac:dyDescent="0.2">
      <c r="A8842" s="82"/>
      <c r="B8842" s="82"/>
      <c r="C8842" s="82"/>
    </row>
    <row r="8843" spans="1:3" x14ac:dyDescent="0.2">
      <c r="A8843" s="82"/>
      <c r="B8843" s="82"/>
      <c r="C8843" s="82"/>
    </row>
    <row r="8844" spans="1:3" x14ac:dyDescent="0.2">
      <c r="A8844" s="82"/>
      <c r="B8844" s="82"/>
      <c r="C8844" s="82"/>
    </row>
    <row r="8845" spans="1:3" x14ac:dyDescent="0.2">
      <c r="A8845" s="82"/>
      <c r="B8845" s="82"/>
      <c r="C8845" s="82"/>
    </row>
    <row r="8846" spans="1:3" x14ac:dyDescent="0.2">
      <c r="A8846" s="82"/>
      <c r="B8846" s="82"/>
      <c r="C8846" s="82"/>
    </row>
    <row r="8847" spans="1:3" x14ac:dyDescent="0.2">
      <c r="A8847" s="82"/>
      <c r="B8847" s="82"/>
      <c r="C8847" s="82"/>
    </row>
    <row r="8848" spans="1:3" x14ac:dyDescent="0.2">
      <c r="A8848" s="82"/>
      <c r="B8848" s="82"/>
      <c r="C8848" s="82"/>
    </row>
    <row r="8849" spans="1:3" x14ac:dyDescent="0.2">
      <c r="A8849" s="82"/>
      <c r="B8849" s="82"/>
      <c r="C8849" s="82"/>
    </row>
    <row r="8850" spans="1:3" x14ac:dyDescent="0.2">
      <c r="A8850" s="82"/>
      <c r="B8850" s="82"/>
      <c r="C8850" s="82"/>
    </row>
    <row r="8851" spans="1:3" x14ac:dyDescent="0.2">
      <c r="A8851" s="82"/>
      <c r="B8851" s="82"/>
      <c r="C8851" s="82"/>
    </row>
    <row r="8852" spans="1:3" x14ac:dyDescent="0.2">
      <c r="A8852" s="82"/>
      <c r="B8852" s="82"/>
      <c r="C8852" s="82"/>
    </row>
    <row r="8853" spans="1:3" x14ac:dyDescent="0.2">
      <c r="A8853" s="82"/>
      <c r="B8853" s="82"/>
      <c r="C8853" s="82"/>
    </row>
    <row r="8854" spans="1:3" x14ac:dyDescent="0.2">
      <c r="A8854" s="82"/>
      <c r="B8854" s="82"/>
      <c r="C8854" s="82"/>
    </row>
    <row r="8855" spans="1:3" x14ac:dyDescent="0.2">
      <c r="A8855" s="82"/>
      <c r="B8855" s="82"/>
      <c r="C8855" s="82"/>
    </row>
    <row r="8856" spans="1:3" x14ac:dyDescent="0.2">
      <c r="A8856" s="82"/>
      <c r="B8856" s="82"/>
      <c r="C8856" s="82"/>
    </row>
    <row r="8857" spans="1:3" x14ac:dyDescent="0.2">
      <c r="A8857" s="82"/>
      <c r="B8857" s="82"/>
      <c r="C8857" s="82"/>
    </row>
    <row r="8858" spans="1:3" x14ac:dyDescent="0.2">
      <c r="A8858" s="82"/>
      <c r="B8858" s="82"/>
      <c r="C8858" s="82"/>
    </row>
    <row r="8859" spans="1:3" x14ac:dyDescent="0.2">
      <c r="A8859" s="82"/>
      <c r="B8859" s="82"/>
      <c r="C8859" s="82"/>
    </row>
    <row r="8860" spans="1:3" x14ac:dyDescent="0.2">
      <c r="A8860" s="82"/>
      <c r="B8860" s="82"/>
      <c r="C8860" s="82"/>
    </row>
    <row r="8861" spans="1:3" x14ac:dyDescent="0.2">
      <c r="A8861" s="82"/>
      <c r="B8861" s="82"/>
      <c r="C8861" s="82"/>
    </row>
    <row r="8862" spans="1:3" x14ac:dyDescent="0.2">
      <c r="A8862" s="82"/>
      <c r="B8862" s="82"/>
      <c r="C8862" s="82"/>
    </row>
    <row r="8863" spans="1:3" x14ac:dyDescent="0.2">
      <c r="A8863" s="82"/>
      <c r="B8863" s="82"/>
      <c r="C8863" s="82"/>
    </row>
    <row r="8864" spans="1:3" x14ac:dyDescent="0.2">
      <c r="A8864" s="82"/>
      <c r="B8864" s="82"/>
      <c r="C8864" s="82"/>
    </row>
    <row r="8865" spans="1:3" x14ac:dyDescent="0.2">
      <c r="A8865" s="82"/>
      <c r="B8865" s="82"/>
      <c r="C8865" s="82"/>
    </row>
    <row r="8866" spans="1:3" x14ac:dyDescent="0.2">
      <c r="A8866" s="82"/>
      <c r="B8866" s="82"/>
      <c r="C8866" s="82"/>
    </row>
    <row r="8867" spans="1:3" x14ac:dyDescent="0.2">
      <c r="A8867" s="82"/>
      <c r="B8867" s="82"/>
      <c r="C8867" s="82"/>
    </row>
    <row r="8868" spans="1:3" x14ac:dyDescent="0.2">
      <c r="A8868" s="82"/>
      <c r="B8868" s="82"/>
      <c r="C8868" s="82"/>
    </row>
    <row r="8869" spans="1:3" x14ac:dyDescent="0.2">
      <c r="A8869" s="82"/>
      <c r="B8869" s="82"/>
      <c r="C8869" s="82"/>
    </row>
    <row r="8870" spans="1:3" x14ac:dyDescent="0.2">
      <c r="A8870" s="82"/>
      <c r="B8870" s="82"/>
      <c r="C8870" s="82"/>
    </row>
    <row r="8871" spans="1:3" x14ac:dyDescent="0.2">
      <c r="A8871" s="82"/>
      <c r="B8871" s="82"/>
      <c r="C8871" s="82"/>
    </row>
    <row r="8872" spans="1:3" x14ac:dyDescent="0.2">
      <c r="A8872" s="82"/>
      <c r="B8872" s="82"/>
      <c r="C8872" s="82"/>
    </row>
    <row r="8873" spans="1:3" x14ac:dyDescent="0.2">
      <c r="A8873" s="82"/>
      <c r="B8873" s="82"/>
      <c r="C8873" s="82"/>
    </row>
    <row r="8874" spans="1:3" x14ac:dyDescent="0.2">
      <c r="A8874" s="82"/>
      <c r="B8874" s="82"/>
      <c r="C8874" s="82"/>
    </row>
    <row r="8875" spans="1:3" x14ac:dyDescent="0.2">
      <c r="A8875" s="82"/>
      <c r="B8875" s="82"/>
      <c r="C8875" s="82"/>
    </row>
    <row r="8876" spans="1:3" x14ac:dyDescent="0.2">
      <c r="A8876" s="82"/>
      <c r="B8876" s="82"/>
      <c r="C8876" s="82"/>
    </row>
    <row r="8877" spans="1:3" x14ac:dyDescent="0.2">
      <c r="A8877" s="82"/>
      <c r="B8877" s="82"/>
      <c r="C8877" s="82"/>
    </row>
    <row r="8878" spans="1:3" x14ac:dyDescent="0.2">
      <c r="A8878" s="82"/>
      <c r="B8878" s="82"/>
      <c r="C8878" s="82"/>
    </row>
    <row r="8879" spans="1:3" x14ac:dyDescent="0.2">
      <c r="A8879" s="82"/>
      <c r="B8879" s="82"/>
      <c r="C8879" s="82"/>
    </row>
    <row r="8880" spans="1:3" x14ac:dyDescent="0.2">
      <c r="A8880" s="82"/>
      <c r="B8880" s="82"/>
      <c r="C8880" s="82"/>
    </row>
    <row r="8881" spans="1:3" x14ac:dyDescent="0.2">
      <c r="A8881" s="82"/>
      <c r="B8881" s="82"/>
      <c r="C8881" s="82"/>
    </row>
    <row r="8882" spans="1:3" x14ac:dyDescent="0.2">
      <c r="A8882" s="82"/>
      <c r="B8882" s="82"/>
      <c r="C8882" s="82"/>
    </row>
    <row r="8883" spans="1:3" x14ac:dyDescent="0.2">
      <c r="A8883" s="82"/>
      <c r="B8883" s="82"/>
      <c r="C8883" s="82"/>
    </row>
    <row r="8884" spans="1:3" x14ac:dyDescent="0.2">
      <c r="A8884" s="82"/>
      <c r="B8884" s="82"/>
      <c r="C8884" s="82"/>
    </row>
    <row r="8885" spans="1:3" x14ac:dyDescent="0.2">
      <c r="A8885" s="82"/>
      <c r="B8885" s="82"/>
      <c r="C8885" s="82"/>
    </row>
    <row r="8886" spans="1:3" x14ac:dyDescent="0.2">
      <c r="A8886" s="82"/>
      <c r="B8886" s="82"/>
      <c r="C8886" s="82"/>
    </row>
    <row r="8887" spans="1:3" x14ac:dyDescent="0.2">
      <c r="A8887" s="82"/>
      <c r="B8887" s="82"/>
      <c r="C8887" s="82"/>
    </row>
    <row r="8888" spans="1:3" x14ac:dyDescent="0.2">
      <c r="A8888" s="82"/>
      <c r="B8888" s="82"/>
      <c r="C8888" s="82"/>
    </row>
    <row r="8889" spans="1:3" x14ac:dyDescent="0.2">
      <c r="A8889" s="82"/>
      <c r="B8889" s="82"/>
      <c r="C8889" s="82"/>
    </row>
    <row r="8890" spans="1:3" x14ac:dyDescent="0.2">
      <c r="A8890" s="82"/>
      <c r="B8890" s="82"/>
      <c r="C8890" s="82"/>
    </row>
    <row r="8891" spans="1:3" x14ac:dyDescent="0.2">
      <c r="A8891" s="82"/>
      <c r="B8891" s="82"/>
      <c r="C8891" s="82"/>
    </row>
    <row r="8892" spans="1:3" x14ac:dyDescent="0.2">
      <c r="A8892" s="82"/>
      <c r="B8892" s="82"/>
      <c r="C8892" s="82"/>
    </row>
    <row r="8893" spans="1:3" x14ac:dyDescent="0.2">
      <c r="A8893" s="82"/>
      <c r="B8893" s="82"/>
      <c r="C8893" s="82"/>
    </row>
    <row r="8894" spans="1:3" x14ac:dyDescent="0.2">
      <c r="A8894" s="82"/>
      <c r="B8894" s="82"/>
      <c r="C8894" s="82"/>
    </row>
    <row r="8895" spans="1:3" x14ac:dyDescent="0.2">
      <c r="A8895" s="82"/>
      <c r="B8895" s="82"/>
      <c r="C8895" s="82"/>
    </row>
    <row r="8896" spans="1:3" x14ac:dyDescent="0.2">
      <c r="A8896" s="82"/>
      <c r="B8896" s="82"/>
      <c r="C8896" s="82"/>
    </row>
    <row r="8897" spans="1:3" x14ac:dyDescent="0.2">
      <c r="A8897" s="82"/>
      <c r="B8897" s="82"/>
      <c r="C8897" s="82"/>
    </row>
    <row r="8898" spans="1:3" x14ac:dyDescent="0.2">
      <c r="A8898" s="82"/>
      <c r="B8898" s="82"/>
      <c r="C8898" s="82"/>
    </row>
    <row r="8899" spans="1:3" x14ac:dyDescent="0.2">
      <c r="A8899" s="82"/>
      <c r="B8899" s="82"/>
      <c r="C8899" s="82"/>
    </row>
    <row r="8900" spans="1:3" x14ac:dyDescent="0.2">
      <c r="A8900" s="82"/>
      <c r="B8900" s="82"/>
      <c r="C8900" s="82"/>
    </row>
    <row r="8901" spans="1:3" x14ac:dyDescent="0.2">
      <c r="A8901" s="82"/>
      <c r="B8901" s="82"/>
      <c r="C8901" s="82"/>
    </row>
    <row r="8902" spans="1:3" x14ac:dyDescent="0.2">
      <c r="A8902" s="82"/>
      <c r="B8902" s="82"/>
      <c r="C8902" s="82"/>
    </row>
    <row r="8903" spans="1:3" x14ac:dyDescent="0.2">
      <c r="A8903" s="82"/>
      <c r="B8903" s="82"/>
      <c r="C8903" s="82"/>
    </row>
    <row r="8904" spans="1:3" x14ac:dyDescent="0.2">
      <c r="A8904" s="82"/>
      <c r="B8904" s="82"/>
      <c r="C8904" s="82"/>
    </row>
    <row r="8905" spans="1:3" x14ac:dyDescent="0.2">
      <c r="A8905" s="82"/>
      <c r="B8905" s="82"/>
      <c r="C8905" s="82"/>
    </row>
    <row r="8906" spans="1:3" x14ac:dyDescent="0.2">
      <c r="A8906" s="82"/>
      <c r="B8906" s="82"/>
      <c r="C8906" s="82"/>
    </row>
    <row r="8907" spans="1:3" x14ac:dyDescent="0.2">
      <c r="A8907" s="82"/>
      <c r="B8907" s="82"/>
      <c r="C8907" s="82"/>
    </row>
    <row r="8908" spans="1:3" x14ac:dyDescent="0.2">
      <c r="A8908" s="82"/>
      <c r="B8908" s="82"/>
      <c r="C8908" s="82"/>
    </row>
    <row r="8909" spans="1:3" x14ac:dyDescent="0.2">
      <c r="A8909" s="82"/>
      <c r="B8909" s="82"/>
      <c r="C8909" s="82"/>
    </row>
    <row r="8910" spans="1:3" x14ac:dyDescent="0.2">
      <c r="A8910" s="82"/>
      <c r="B8910" s="82"/>
      <c r="C8910" s="82"/>
    </row>
    <row r="8911" spans="1:3" x14ac:dyDescent="0.2">
      <c r="A8911" s="82"/>
      <c r="B8911" s="82"/>
      <c r="C8911" s="82"/>
    </row>
    <row r="8912" spans="1:3" x14ac:dyDescent="0.2">
      <c r="A8912" s="82"/>
      <c r="B8912" s="82"/>
      <c r="C8912" s="82"/>
    </row>
    <row r="8913" spans="1:3" x14ac:dyDescent="0.2">
      <c r="A8913" s="82"/>
      <c r="B8913" s="82"/>
      <c r="C8913" s="82"/>
    </row>
    <row r="8914" spans="1:3" x14ac:dyDescent="0.2">
      <c r="A8914" s="82"/>
      <c r="B8914" s="82"/>
      <c r="C8914" s="82"/>
    </row>
    <row r="8915" spans="1:3" x14ac:dyDescent="0.2">
      <c r="A8915" s="82"/>
      <c r="B8915" s="82"/>
      <c r="C8915" s="82"/>
    </row>
    <row r="8916" spans="1:3" x14ac:dyDescent="0.2">
      <c r="A8916" s="82"/>
      <c r="B8916" s="82"/>
      <c r="C8916" s="82"/>
    </row>
    <row r="8917" spans="1:3" x14ac:dyDescent="0.2">
      <c r="A8917" s="82"/>
      <c r="B8917" s="82"/>
      <c r="C8917" s="82"/>
    </row>
    <row r="8918" spans="1:3" x14ac:dyDescent="0.2">
      <c r="A8918" s="82"/>
      <c r="B8918" s="82"/>
      <c r="C8918" s="82"/>
    </row>
    <row r="8919" spans="1:3" x14ac:dyDescent="0.2">
      <c r="A8919" s="82"/>
      <c r="B8919" s="82"/>
      <c r="C8919" s="82"/>
    </row>
    <row r="8920" spans="1:3" x14ac:dyDescent="0.2">
      <c r="A8920" s="82"/>
      <c r="B8920" s="82"/>
      <c r="C8920" s="82"/>
    </row>
    <row r="8921" spans="1:3" x14ac:dyDescent="0.2">
      <c r="A8921" s="82"/>
      <c r="B8921" s="82"/>
      <c r="C8921" s="82"/>
    </row>
    <row r="8922" spans="1:3" x14ac:dyDescent="0.2">
      <c r="A8922" s="82"/>
      <c r="B8922" s="82"/>
      <c r="C8922" s="82"/>
    </row>
    <row r="8923" spans="1:3" x14ac:dyDescent="0.2">
      <c r="A8923" s="82"/>
      <c r="B8923" s="82"/>
      <c r="C8923" s="82"/>
    </row>
    <row r="8924" spans="1:3" x14ac:dyDescent="0.2">
      <c r="A8924" s="82"/>
      <c r="B8924" s="82"/>
      <c r="C8924" s="82"/>
    </row>
    <row r="8925" spans="1:3" x14ac:dyDescent="0.2">
      <c r="A8925" s="82"/>
      <c r="B8925" s="82"/>
      <c r="C8925" s="82"/>
    </row>
    <row r="8926" spans="1:3" x14ac:dyDescent="0.2">
      <c r="A8926" s="82"/>
      <c r="B8926" s="82"/>
      <c r="C8926" s="82"/>
    </row>
    <row r="8927" spans="1:3" x14ac:dyDescent="0.2">
      <c r="A8927" s="82"/>
      <c r="B8927" s="82"/>
      <c r="C8927" s="82"/>
    </row>
    <row r="8928" spans="1:3" x14ac:dyDescent="0.2">
      <c r="A8928" s="82"/>
      <c r="B8928" s="82"/>
      <c r="C8928" s="82"/>
    </row>
    <row r="8929" spans="1:3" x14ac:dyDescent="0.2">
      <c r="A8929" s="82"/>
      <c r="B8929" s="82"/>
      <c r="C8929" s="82"/>
    </row>
    <row r="8930" spans="1:3" x14ac:dyDescent="0.2">
      <c r="A8930" s="82"/>
      <c r="B8930" s="82"/>
      <c r="C8930" s="82"/>
    </row>
    <row r="8931" spans="1:3" x14ac:dyDescent="0.2">
      <c r="A8931" s="82"/>
      <c r="B8931" s="82"/>
      <c r="C8931" s="82"/>
    </row>
    <row r="8932" spans="1:3" x14ac:dyDescent="0.2">
      <c r="A8932" s="82"/>
      <c r="B8932" s="82"/>
      <c r="C8932" s="82"/>
    </row>
    <row r="8933" spans="1:3" x14ac:dyDescent="0.2">
      <c r="A8933" s="82"/>
      <c r="B8933" s="82"/>
      <c r="C8933" s="82"/>
    </row>
    <row r="8934" spans="1:3" x14ac:dyDescent="0.2">
      <c r="A8934" s="82"/>
      <c r="B8934" s="82"/>
      <c r="C8934" s="82"/>
    </row>
    <row r="8935" spans="1:3" x14ac:dyDescent="0.2">
      <c r="A8935" s="82"/>
      <c r="B8935" s="82"/>
      <c r="C8935" s="82"/>
    </row>
    <row r="8936" spans="1:3" x14ac:dyDescent="0.2">
      <c r="A8936" s="82"/>
      <c r="B8936" s="82"/>
      <c r="C8936" s="82"/>
    </row>
    <row r="8937" spans="1:3" x14ac:dyDescent="0.2">
      <c r="A8937" s="82"/>
      <c r="B8937" s="82"/>
      <c r="C8937" s="82"/>
    </row>
    <row r="8938" spans="1:3" x14ac:dyDescent="0.2">
      <c r="A8938" s="82"/>
      <c r="B8938" s="82"/>
      <c r="C8938" s="82"/>
    </row>
    <row r="8939" spans="1:3" x14ac:dyDescent="0.2">
      <c r="A8939" s="82"/>
      <c r="B8939" s="82"/>
      <c r="C8939" s="82"/>
    </row>
    <row r="8940" spans="1:3" x14ac:dyDescent="0.2">
      <c r="A8940" s="82"/>
      <c r="B8940" s="82"/>
      <c r="C8940" s="82"/>
    </row>
    <row r="8941" spans="1:3" x14ac:dyDescent="0.2">
      <c r="A8941" s="82"/>
      <c r="B8941" s="82"/>
      <c r="C8941" s="82"/>
    </row>
    <row r="8942" spans="1:3" x14ac:dyDescent="0.2">
      <c r="A8942" s="82"/>
      <c r="B8942" s="82"/>
      <c r="C8942" s="82"/>
    </row>
    <row r="8943" spans="1:3" x14ac:dyDescent="0.2">
      <c r="A8943" s="82"/>
      <c r="B8943" s="82"/>
      <c r="C8943" s="82"/>
    </row>
    <row r="8944" spans="1:3" x14ac:dyDescent="0.2">
      <c r="A8944" s="82"/>
      <c r="B8944" s="82"/>
      <c r="C8944" s="82"/>
    </row>
    <row r="8945" spans="1:3" x14ac:dyDescent="0.2">
      <c r="A8945" s="82"/>
      <c r="B8945" s="82"/>
      <c r="C8945" s="82"/>
    </row>
    <row r="8946" spans="1:3" x14ac:dyDescent="0.2">
      <c r="A8946" s="82"/>
      <c r="B8946" s="82"/>
      <c r="C8946" s="82"/>
    </row>
    <row r="8947" spans="1:3" x14ac:dyDescent="0.2">
      <c r="A8947" s="82"/>
      <c r="B8947" s="82"/>
      <c r="C8947" s="82"/>
    </row>
    <row r="8948" spans="1:3" x14ac:dyDescent="0.2">
      <c r="A8948" s="82"/>
      <c r="B8948" s="82"/>
      <c r="C8948" s="82"/>
    </row>
    <row r="8949" spans="1:3" x14ac:dyDescent="0.2">
      <c r="A8949" s="82"/>
      <c r="B8949" s="82"/>
      <c r="C8949" s="82"/>
    </row>
    <row r="8950" spans="1:3" x14ac:dyDescent="0.2">
      <c r="A8950" s="82"/>
      <c r="B8950" s="82"/>
      <c r="C8950" s="82"/>
    </row>
    <row r="8951" spans="1:3" x14ac:dyDescent="0.2">
      <c r="A8951" s="82"/>
      <c r="B8951" s="82"/>
      <c r="C8951" s="82"/>
    </row>
    <row r="8952" spans="1:3" x14ac:dyDescent="0.2">
      <c r="A8952" s="82"/>
      <c r="B8952" s="82"/>
      <c r="C8952" s="82"/>
    </row>
    <row r="8953" spans="1:3" x14ac:dyDescent="0.2">
      <c r="A8953" s="82"/>
      <c r="B8953" s="82"/>
      <c r="C8953" s="82"/>
    </row>
    <row r="8954" spans="1:3" x14ac:dyDescent="0.2">
      <c r="A8954" s="82"/>
      <c r="B8954" s="82"/>
      <c r="C8954" s="82"/>
    </row>
    <row r="8955" spans="1:3" x14ac:dyDescent="0.2">
      <c r="A8955" s="82"/>
      <c r="B8955" s="82"/>
      <c r="C8955" s="82"/>
    </row>
    <row r="8956" spans="1:3" x14ac:dyDescent="0.2">
      <c r="A8956" s="82"/>
      <c r="B8956" s="82"/>
      <c r="C8956" s="82"/>
    </row>
    <row r="8957" spans="1:3" x14ac:dyDescent="0.2">
      <c r="A8957" s="82"/>
      <c r="B8957" s="82"/>
      <c r="C8957" s="82"/>
    </row>
    <row r="8958" spans="1:3" x14ac:dyDescent="0.2">
      <c r="A8958" s="82"/>
      <c r="B8958" s="82"/>
      <c r="C8958" s="82"/>
    </row>
    <row r="8959" spans="1:3" x14ac:dyDescent="0.2">
      <c r="A8959" s="82"/>
      <c r="B8959" s="82"/>
      <c r="C8959" s="82"/>
    </row>
    <row r="8960" spans="1:3" x14ac:dyDescent="0.2">
      <c r="A8960" s="82"/>
      <c r="B8960" s="82"/>
      <c r="C8960" s="82"/>
    </row>
    <row r="8961" spans="1:3" x14ac:dyDescent="0.2">
      <c r="A8961" s="82"/>
      <c r="B8961" s="82"/>
      <c r="C8961" s="82"/>
    </row>
    <row r="8962" spans="1:3" x14ac:dyDescent="0.2">
      <c r="A8962" s="82"/>
      <c r="B8962" s="82"/>
      <c r="C8962" s="82"/>
    </row>
    <row r="8963" spans="1:3" x14ac:dyDescent="0.2">
      <c r="A8963" s="82"/>
      <c r="B8963" s="82"/>
      <c r="C8963" s="82"/>
    </row>
    <row r="8964" spans="1:3" x14ac:dyDescent="0.2">
      <c r="A8964" s="82"/>
      <c r="B8964" s="82"/>
      <c r="C8964" s="82"/>
    </row>
    <row r="8965" spans="1:3" x14ac:dyDescent="0.2">
      <c r="A8965" s="82"/>
      <c r="B8965" s="82"/>
      <c r="C8965" s="82"/>
    </row>
    <row r="8966" spans="1:3" x14ac:dyDescent="0.2">
      <c r="A8966" s="82"/>
      <c r="B8966" s="82"/>
      <c r="C8966" s="82"/>
    </row>
    <row r="8967" spans="1:3" x14ac:dyDescent="0.2">
      <c r="A8967" s="82"/>
      <c r="B8967" s="82"/>
      <c r="C8967" s="82"/>
    </row>
    <row r="8968" spans="1:3" x14ac:dyDescent="0.2">
      <c r="A8968" s="82"/>
      <c r="B8968" s="82"/>
      <c r="C8968" s="82"/>
    </row>
    <row r="8969" spans="1:3" x14ac:dyDescent="0.2">
      <c r="A8969" s="82"/>
      <c r="B8969" s="82"/>
      <c r="C8969" s="82"/>
    </row>
    <row r="8970" spans="1:3" x14ac:dyDescent="0.2">
      <c r="A8970" s="82"/>
      <c r="B8970" s="82"/>
      <c r="C8970" s="82"/>
    </row>
    <row r="8971" spans="1:3" x14ac:dyDescent="0.2">
      <c r="A8971" s="82"/>
      <c r="B8971" s="82"/>
      <c r="C8971" s="82"/>
    </row>
    <row r="8972" spans="1:3" x14ac:dyDescent="0.2">
      <c r="A8972" s="82"/>
      <c r="B8972" s="82"/>
      <c r="C8972" s="82"/>
    </row>
    <row r="8973" spans="1:3" x14ac:dyDescent="0.2">
      <c r="A8973" s="82"/>
      <c r="B8973" s="82"/>
      <c r="C8973" s="82"/>
    </row>
    <row r="8974" spans="1:3" x14ac:dyDescent="0.2">
      <c r="A8974" s="82"/>
      <c r="B8974" s="82"/>
      <c r="C8974" s="82"/>
    </row>
    <row r="8975" spans="1:3" x14ac:dyDescent="0.2">
      <c r="A8975" s="82"/>
      <c r="B8975" s="82"/>
      <c r="C8975" s="82"/>
    </row>
    <row r="8976" spans="1:3" x14ac:dyDescent="0.2">
      <c r="A8976" s="82"/>
      <c r="B8976" s="82"/>
      <c r="C8976" s="82"/>
    </row>
    <row r="8977" spans="1:3" x14ac:dyDescent="0.2">
      <c r="A8977" s="82"/>
      <c r="B8977" s="82"/>
      <c r="C8977" s="82"/>
    </row>
    <row r="8978" spans="1:3" x14ac:dyDescent="0.2">
      <c r="A8978" s="82"/>
      <c r="B8978" s="82"/>
      <c r="C8978" s="82"/>
    </row>
    <row r="8979" spans="1:3" x14ac:dyDescent="0.2">
      <c r="A8979" s="82"/>
      <c r="B8979" s="82"/>
      <c r="C8979" s="82"/>
    </row>
    <row r="8980" spans="1:3" x14ac:dyDescent="0.2">
      <c r="A8980" s="82"/>
      <c r="B8980" s="82"/>
      <c r="C8980" s="82"/>
    </row>
    <row r="8981" spans="1:3" x14ac:dyDescent="0.2">
      <c r="A8981" s="82"/>
      <c r="B8981" s="82"/>
      <c r="C8981" s="82"/>
    </row>
    <row r="8982" spans="1:3" x14ac:dyDescent="0.2">
      <c r="A8982" s="82"/>
      <c r="B8982" s="82"/>
      <c r="C8982" s="82"/>
    </row>
    <row r="8983" spans="1:3" x14ac:dyDescent="0.2">
      <c r="A8983" s="82"/>
      <c r="B8983" s="82"/>
      <c r="C8983" s="82"/>
    </row>
    <row r="8984" spans="1:3" x14ac:dyDescent="0.2">
      <c r="A8984" s="82"/>
      <c r="B8984" s="82"/>
      <c r="C8984" s="82"/>
    </row>
    <row r="8985" spans="1:3" x14ac:dyDescent="0.2">
      <c r="A8985" s="82"/>
      <c r="B8985" s="82"/>
      <c r="C8985" s="82"/>
    </row>
    <row r="8986" spans="1:3" x14ac:dyDescent="0.2">
      <c r="A8986" s="82"/>
      <c r="B8986" s="82"/>
      <c r="C8986" s="82"/>
    </row>
    <row r="8987" spans="1:3" x14ac:dyDescent="0.2">
      <c r="A8987" s="82"/>
      <c r="B8987" s="82"/>
      <c r="C8987" s="82"/>
    </row>
    <row r="8988" spans="1:3" x14ac:dyDescent="0.2">
      <c r="A8988" s="82"/>
      <c r="B8988" s="82"/>
      <c r="C8988" s="82"/>
    </row>
    <row r="8989" spans="1:3" x14ac:dyDescent="0.2">
      <c r="A8989" s="82"/>
      <c r="B8989" s="82"/>
      <c r="C8989" s="82"/>
    </row>
    <row r="8990" spans="1:3" x14ac:dyDescent="0.2">
      <c r="A8990" s="82"/>
      <c r="B8990" s="82"/>
      <c r="C8990" s="82"/>
    </row>
    <row r="8991" spans="1:3" x14ac:dyDescent="0.2">
      <c r="A8991" s="82"/>
      <c r="B8991" s="82"/>
      <c r="C8991" s="82"/>
    </row>
    <row r="8992" spans="1:3" x14ac:dyDescent="0.2">
      <c r="A8992" s="82"/>
      <c r="B8992" s="82"/>
      <c r="C8992" s="82"/>
    </row>
    <row r="8993" spans="1:3" x14ac:dyDescent="0.2">
      <c r="A8993" s="82"/>
      <c r="B8993" s="82"/>
      <c r="C8993" s="82"/>
    </row>
    <row r="8994" spans="1:3" x14ac:dyDescent="0.2">
      <c r="A8994" s="82"/>
      <c r="B8994" s="82"/>
      <c r="C8994" s="82"/>
    </row>
    <row r="8995" spans="1:3" x14ac:dyDescent="0.2">
      <c r="A8995" s="82"/>
      <c r="B8995" s="82"/>
      <c r="C8995" s="82"/>
    </row>
    <row r="8996" spans="1:3" x14ac:dyDescent="0.2">
      <c r="A8996" s="82"/>
      <c r="B8996" s="82"/>
      <c r="C8996" s="82"/>
    </row>
    <row r="8997" spans="1:3" x14ac:dyDescent="0.2">
      <c r="A8997" s="82"/>
      <c r="B8997" s="82"/>
      <c r="C8997" s="82"/>
    </row>
    <row r="8998" spans="1:3" x14ac:dyDescent="0.2">
      <c r="A8998" s="82"/>
      <c r="B8998" s="82"/>
      <c r="C8998" s="82"/>
    </row>
    <row r="8999" spans="1:3" x14ac:dyDescent="0.2">
      <c r="A8999" s="82"/>
      <c r="B8999" s="82"/>
      <c r="C8999" s="82"/>
    </row>
    <row r="9000" spans="1:3" x14ac:dyDescent="0.2">
      <c r="A9000" s="82"/>
      <c r="B9000" s="82"/>
      <c r="C9000" s="82"/>
    </row>
    <row r="9001" spans="1:3" x14ac:dyDescent="0.2">
      <c r="A9001" s="82"/>
      <c r="B9001" s="82"/>
      <c r="C9001" s="82"/>
    </row>
    <row r="9002" spans="1:3" x14ac:dyDescent="0.2">
      <c r="A9002" s="82"/>
      <c r="B9002" s="82"/>
      <c r="C9002" s="82"/>
    </row>
    <row r="9003" spans="1:3" x14ac:dyDescent="0.2">
      <c r="A9003" s="82"/>
      <c r="B9003" s="82"/>
      <c r="C9003" s="82"/>
    </row>
    <row r="9004" spans="1:3" x14ac:dyDescent="0.2">
      <c r="A9004" s="82"/>
      <c r="B9004" s="82"/>
      <c r="C9004" s="82"/>
    </row>
    <row r="9005" spans="1:3" x14ac:dyDescent="0.2">
      <c r="A9005" s="82"/>
      <c r="B9005" s="82"/>
      <c r="C9005" s="82"/>
    </row>
    <row r="9006" spans="1:3" x14ac:dyDescent="0.2">
      <c r="A9006" s="82"/>
      <c r="B9006" s="82"/>
      <c r="C9006" s="82"/>
    </row>
    <row r="9007" spans="1:3" x14ac:dyDescent="0.2">
      <c r="A9007" s="82"/>
      <c r="B9007" s="82"/>
      <c r="C9007" s="82"/>
    </row>
    <row r="9008" spans="1:3" x14ac:dyDescent="0.2">
      <c r="A9008" s="82"/>
      <c r="B9008" s="82"/>
      <c r="C9008" s="82"/>
    </row>
    <row r="9009" spans="1:3" x14ac:dyDescent="0.2">
      <c r="A9009" s="82"/>
      <c r="B9009" s="82"/>
      <c r="C9009" s="82"/>
    </row>
    <row r="9010" spans="1:3" x14ac:dyDescent="0.2">
      <c r="A9010" s="82"/>
      <c r="B9010" s="82"/>
      <c r="C9010" s="82"/>
    </row>
    <row r="9011" spans="1:3" x14ac:dyDescent="0.2">
      <c r="A9011" s="82"/>
      <c r="B9011" s="82"/>
      <c r="C9011" s="82"/>
    </row>
    <row r="9012" spans="1:3" x14ac:dyDescent="0.2">
      <c r="A9012" s="82"/>
      <c r="B9012" s="82"/>
      <c r="C9012" s="82"/>
    </row>
    <row r="9013" spans="1:3" x14ac:dyDescent="0.2">
      <c r="A9013" s="82"/>
      <c r="B9013" s="82"/>
      <c r="C9013" s="82"/>
    </row>
    <row r="9014" spans="1:3" x14ac:dyDescent="0.2">
      <c r="A9014" s="82"/>
      <c r="B9014" s="82"/>
      <c r="C9014" s="82"/>
    </row>
    <row r="9015" spans="1:3" x14ac:dyDescent="0.2">
      <c r="A9015" s="82"/>
      <c r="B9015" s="82"/>
      <c r="C9015" s="82"/>
    </row>
    <row r="9016" spans="1:3" x14ac:dyDescent="0.2">
      <c r="A9016" s="82"/>
      <c r="B9016" s="82"/>
      <c r="C9016" s="82"/>
    </row>
    <row r="9017" spans="1:3" x14ac:dyDescent="0.2">
      <c r="A9017" s="82"/>
      <c r="B9017" s="82"/>
      <c r="C9017" s="82"/>
    </row>
    <row r="9018" spans="1:3" x14ac:dyDescent="0.2">
      <c r="A9018" s="82"/>
      <c r="B9018" s="82"/>
      <c r="C9018" s="82"/>
    </row>
    <row r="9019" spans="1:3" x14ac:dyDescent="0.2">
      <c r="A9019" s="82"/>
      <c r="B9019" s="82"/>
      <c r="C9019" s="82"/>
    </row>
    <row r="9020" spans="1:3" x14ac:dyDescent="0.2">
      <c r="A9020" s="82"/>
      <c r="B9020" s="82"/>
      <c r="C9020" s="82"/>
    </row>
    <row r="9021" spans="1:3" x14ac:dyDescent="0.2">
      <c r="A9021" s="82"/>
      <c r="B9021" s="82"/>
      <c r="C9021" s="82"/>
    </row>
    <row r="9022" spans="1:3" x14ac:dyDescent="0.2">
      <c r="A9022" s="82"/>
      <c r="B9022" s="82"/>
      <c r="C9022" s="82"/>
    </row>
    <row r="9023" spans="1:3" x14ac:dyDescent="0.2">
      <c r="A9023" s="82"/>
      <c r="B9023" s="82"/>
      <c r="C9023" s="82"/>
    </row>
    <row r="9024" spans="1:3" x14ac:dyDescent="0.2">
      <c r="A9024" s="82"/>
      <c r="B9024" s="82"/>
      <c r="C9024" s="82"/>
    </row>
    <row r="9025" spans="1:3" x14ac:dyDescent="0.2">
      <c r="A9025" s="82"/>
      <c r="B9025" s="82"/>
      <c r="C9025" s="82"/>
    </row>
    <row r="9026" spans="1:3" x14ac:dyDescent="0.2">
      <c r="A9026" s="82"/>
      <c r="B9026" s="82"/>
      <c r="C9026" s="82"/>
    </row>
    <row r="9027" spans="1:3" x14ac:dyDescent="0.2">
      <c r="A9027" s="82"/>
      <c r="B9027" s="82"/>
      <c r="C9027" s="82"/>
    </row>
    <row r="9028" spans="1:3" x14ac:dyDescent="0.2">
      <c r="A9028" s="82"/>
      <c r="B9028" s="82"/>
      <c r="C9028" s="82"/>
    </row>
    <row r="9029" spans="1:3" x14ac:dyDescent="0.2">
      <c r="A9029" s="82"/>
      <c r="B9029" s="82"/>
      <c r="C9029" s="82"/>
    </row>
    <row r="9030" spans="1:3" x14ac:dyDescent="0.2">
      <c r="A9030" s="82"/>
      <c r="B9030" s="82"/>
      <c r="C9030" s="82"/>
    </row>
    <row r="9031" spans="1:3" x14ac:dyDescent="0.2">
      <c r="A9031" s="82"/>
      <c r="B9031" s="82"/>
      <c r="C9031" s="82"/>
    </row>
    <row r="9032" spans="1:3" x14ac:dyDescent="0.2">
      <c r="A9032" s="82"/>
      <c r="B9032" s="82"/>
      <c r="C9032" s="82"/>
    </row>
    <row r="9033" spans="1:3" x14ac:dyDescent="0.2">
      <c r="A9033" s="82"/>
      <c r="B9033" s="82"/>
      <c r="C9033" s="82"/>
    </row>
    <row r="9034" spans="1:3" x14ac:dyDescent="0.2">
      <c r="A9034" s="82"/>
      <c r="B9034" s="82"/>
      <c r="C9034" s="82"/>
    </row>
    <row r="9035" spans="1:3" x14ac:dyDescent="0.2">
      <c r="A9035" s="82"/>
      <c r="B9035" s="82"/>
      <c r="C9035" s="82"/>
    </row>
    <row r="9036" spans="1:3" x14ac:dyDescent="0.2">
      <c r="A9036" s="82"/>
      <c r="B9036" s="82"/>
      <c r="C9036" s="82"/>
    </row>
    <row r="9037" spans="1:3" x14ac:dyDescent="0.2">
      <c r="A9037" s="82"/>
      <c r="B9037" s="82"/>
      <c r="C9037" s="82"/>
    </row>
    <row r="9038" spans="1:3" x14ac:dyDescent="0.2">
      <c r="A9038" s="82"/>
      <c r="B9038" s="82"/>
      <c r="C9038" s="82"/>
    </row>
    <row r="9039" spans="1:3" x14ac:dyDescent="0.2">
      <c r="A9039" s="82"/>
      <c r="B9039" s="82"/>
      <c r="C9039" s="82"/>
    </row>
    <row r="9040" spans="1:3" x14ac:dyDescent="0.2">
      <c r="A9040" s="82"/>
      <c r="B9040" s="82"/>
      <c r="C9040" s="82"/>
    </row>
    <row r="9041" spans="1:3" x14ac:dyDescent="0.2">
      <c r="A9041" s="82"/>
      <c r="B9041" s="82"/>
      <c r="C9041" s="82"/>
    </row>
    <row r="9042" spans="1:3" x14ac:dyDescent="0.2">
      <c r="A9042" s="82"/>
      <c r="B9042" s="82"/>
      <c r="C9042" s="82"/>
    </row>
    <row r="9043" spans="1:3" x14ac:dyDescent="0.2">
      <c r="A9043" s="82"/>
      <c r="B9043" s="82"/>
      <c r="C9043" s="82"/>
    </row>
    <row r="9044" spans="1:3" x14ac:dyDescent="0.2">
      <c r="A9044" s="82"/>
      <c r="B9044" s="82"/>
      <c r="C9044" s="82"/>
    </row>
    <row r="9045" spans="1:3" x14ac:dyDescent="0.2">
      <c r="A9045" s="82"/>
      <c r="B9045" s="82"/>
      <c r="C9045" s="82"/>
    </row>
    <row r="9046" spans="1:3" x14ac:dyDescent="0.2">
      <c r="A9046" s="82"/>
      <c r="B9046" s="82"/>
      <c r="C9046" s="82"/>
    </row>
    <row r="9047" spans="1:3" x14ac:dyDescent="0.2">
      <c r="A9047" s="82"/>
      <c r="B9047" s="82"/>
      <c r="C9047" s="82"/>
    </row>
    <row r="9048" spans="1:3" x14ac:dyDescent="0.2">
      <c r="A9048" s="82"/>
      <c r="B9048" s="82"/>
      <c r="C9048" s="82"/>
    </row>
    <row r="9049" spans="1:3" x14ac:dyDescent="0.2">
      <c r="A9049" s="82"/>
      <c r="B9049" s="82"/>
      <c r="C9049" s="82"/>
    </row>
    <row r="9050" spans="1:3" x14ac:dyDescent="0.2">
      <c r="A9050" s="82"/>
      <c r="B9050" s="82"/>
      <c r="C9050" s="82"/>
    </row>
    <row r="9051" spans="1:3" x14ac:dyDescent="0.2">
      <c r="A9051" s="82"/>
      <c r="B9051" s="82"/>
      <c r="C9051" s="82"/>
    </row>
    <row r="9052" spans="1:3" x14ac:dyDescent="0.2">
      <c r="A9052" s="82"/>
      <c r="B9052" s="82"/>
      <c r="C9052" s="82"/>
    </row>
    <row r="9053" spans="1:3" x14ac:dyDescent="0.2">
      <c r="A9053" s="82"/>
      <c r="B9053" s="82"/>
      <c r="C9053" s="82"/>
    </row>
    <row r="9054" spans="1:3" x14ac:dyDescent="0.2">
      <c r="A9054" s="82"/>
      <c r="B9054" s="82"/>
      <c r="C9054" s="82"/>
    </row>
    <row r="9055" spans="1:3" x14ac:dyDescent="0.2">
      <c r="A9055" s="82"/>
      <c r="B9055" s="82"/>
      <c r="C9055" s="82"/>
    </row>
    <row r="9056" spans="1:3" x14ac:dyDescent="0.2">
      <c r="A9056" s="82"/>
      <c r="B9056" s="82"/>
      <c r="C9056" s="82"/>
    </row>
    <row r="9057" spans="1:3" x14ac:dyDescent="0.2">
      <c r="A9057" s="82"/>
      <c r="B9057" s="82"/>
      <c r="C9057" s="82"/>
    </row>
    <row r="9058" spans="1:3" x14ac:dyDescent="0.2">
      <c r="A9058" s="82"/>
      <c r="B9058" s="82"/>
      <c r="C9058" s="82"/>
    </row>
    <row r="9059" spans="1:3" x14ac:dyDescent="0.2">
      <c r="A9059" s="82"/>
      <c r="B9059" s="82"/>
      <c r="C9059" s="82"/>
    </row>
    <row r="9060" spans="1:3" x14ac:dyDescent="0.2">
      <c r="A9060" s="82"/>
      <c r="B9060" s="82"/>
      <c r="C9060" s="82"/>
    </row>
    <row r="9061" spans="1:3" x14ac:dyDescent="0.2">
      <c r="A9061" s="82"/>
      <c r="B9061" s="82"/>
      <c r="C9061" s="82"/>
    </row>
    <row r="9062" spans="1:3" x14ac:dyDescent="0.2">
      <c r="A9062" s="82"/>
      <c r="B9062" s="82"/>
      <c r="C9062" s="82"/>
    </row>
    <row r="9063" spans="1:3" x14ac:dyDescent="0.2">
      <c r="A9063" s="82"/>
      <c r="B9063" s="82"/>
      <c r="C9063" s="82"/>
    </row>
    <row r="9064" spans="1:3" x14ac:dyDescent="0.2">
      <c r="A9064" s="82"/>
      <c r="B9064" s="82"/>
      <c r="C9064" s="82"/>
    </row>
    <row r="9065" spans="1:3" x14ac:dyDescent="0.2">
      <c r="A9065" s="82"/>
      <c r="B9065" s="82"/>
      <c r="C9065" s="82"/>
    </row>
    <row r="9066" spans="1:3" x14ac:dyDescent="0.2">
      <c r="A9066" s="82"/>
      <c r="B9066" s="82"/>
      <c r="C9066" s="82"/>
    </row>
    <row r="9067" spans="1:3" x14ac:dyDescent="0.2">
      <c r="A9067" s="82"/>
      <c r="B9067" s="82"/>
      <c r="C9067" s="82"/>
    </row>
    <row r="9068" spans="1:3" x14ac:dyDescent="0.2">
      <c r="A9068" s="82"/>
      <c r="B9068" s="82"/>
      <c r="C9068" s="82"/>
    </row>
    <row r="9069" spans="1:3" x14ac:dyDescent="0.2">
      <c r="A9069" s="82"/>
      <c r="B9069" s="82"/>
      <c r="C9069" s="82"/>
    </row>
    <row r="9070" spans="1:3" x14ac:dyDescent="0.2">
      <c r="A9070" s="82"/>
      <c r="B9070" s="82"/>
      <c r="C9070" s="82"/>
    </row>
    <row r="9071" spans="1:3" x14ac:dyDescent="0.2">
      <c r="A9071" s="82"/>
      <c r="B9071" s="82"/>
      <c r="C9071" s="82"/>
    </row>
    <row r="9072" spans="1:3" x14ac:dyDescent="0.2">
      <c r="A9072" s="82"/>
      <c r="B9072" s="82"/>
      <c r="C9072" s="82"/>
    </row>
    <row r="9073" spans="1:3" x14ac:dyDescent="0.2">
      <c r="A9073" s="82"/>
      <c r="B9073" s="82"/>
      <c r="C9073" s="82"/>
    </row>
    <row r="9074" spans="1:3" x14ac:dyDescent="0.2">
      <c r="A9074" s="82"/>
      <c r="B9074" s="82"/>
      <c r="C9074" s="82"/>
    </row>
    <row r="9075" spans="1:3" x14ac:dyDescent="0.2">
      <c r="A9075" s="82"/>
      <c r="B9075" s="82"/>
      <c r="C9075" s="82"/>
    </row>
    <row r="9076" spans="1:3" x14ac:dyDescent="0.2">
      <c r="A9076" s="82"/>
      <c r="B9076" s="82"/>
      <c r="C9076" s="82"/>
    </row>
    <row r="9077" spans="1:3" x14ac:dyDescent="0.2">
      <c r="A9077" s="82"/>
      <c r="B9077" s="82"/>
      <c r="C9077" s="82"/>
    </row>
    <row r="9078" spans="1:3" x14ac:dyDescent="0.2">
      <c r="A9078" s="82"/>
      <c r="B9078" s="82"/>
      <c r="C9078" s="82"/>
    </row>
    <row r="9079" spans="1:3" x14ac:dyDescent="0.2">
      <c r="A9079" s="82"/>
      <c r="B9079" s="82"/>
      <c r="C9079" s="82"/>
    </row>
    <row r="9080" spans="1:3" x14ac:dyDescent="0.2">
      <c r="A9080" s="82"/>
      <c r="B9080" s="82"/>
      <c r="C9080" s="82"/>
    </row>
    <row r="9081" spans="1:3" x14ac:dyDescent="0.2">
      <c r="A9081" s="82"/>
      <c r="B9081" s="82"/>
      <c r="C9081" s="82"/>
    </row>
    <row r="9082" spans="1:3" x14ac:dyDescent="0.2">
      <c r="A9082" s="82"/>
      <c r="B9082" s="82"/>
      <c r="C9082" s="82"/>
    </row>
    <row r="9083" spans="1:3" x14ac:dyDescent="0.2">
      <c r="A9083" s="82"/>
      <c r="B9083" s="82"/>
      <c r="C9083" s="82"/>
    </row>
    <row r="9084" spans="1:3" x14ac:dyDescent="0.2">
      <c r="A9084" s="82"/>
      <c r="B9084" s="82"/>
      <c r="C9084" s="82"/>
    </row>
    <row r="9085" spans="1:3" x14ac:dyDescent="0.2">
      <c r="A9085" s="82"/>
      <c r="B9085" s="82"/>
      <c r="C9085" s="82"/>
    </row>
    <row r="9086" spans="1:3" x14ac:dyDescent="0.2">
      <c r="A9086" s="82"/>
      <c r="B9086" s="82"/>
      <c r="C9086" s="82"/>
    </row>
    <row r="9087" spans="1:3" x14ac:dyDescent="0.2">
      <c r="A9087" s="82"/>
      <c r="B9087" s="82"/>
      <c r="C9087" s="82"/>
    </row>
    <row r="9088" spans="1:3" x14ac:dyDescent="0.2">
      <c r="A9088" s="82"/>
      <c r="B9088" s="82"/>
      <c r="C9088" s="82"/>
    </row>
    <row r="9089" spans="1:3" x14ac:dyDescent="0.2">
      <c r="A9089" s="82"/>
      <c r="B9089" s="82"/>
      <c r="C9089" s="82"/>
    </row>
    <row r="9090" spans="1:3" x14ac:dyDescent="0.2">
      <c r="A9090" s="82"/>
      <c r="B9090" s="82"/>
      <c r="C9090" s="82"/>
    </row>
    <row r="9091" spans="1:3" x14ac:dyDescent="0.2">
      <c r="A9091" s="82"/>
      <c r="B9091" s="82"/>
      <c r="C9091" s="82"/>
    </row>
    <row r="9092" spans="1:3" x14ac:dyDescent="0.2">
      <c r="A9092" s="82"/>
      <c r="B9092" s="82"/>
      <c r="C9092" s="82"/>
    </row>
    <row r="9093" spans="1:3" x14ac:dyDescent="0.2">
      <c r="A9093" s="82"/>
      <c r="B9093" s="82"/>
      <c r="C9093" s="82"/>
    </row>
    <row r="9094" spans="1:3" x14ac:dyDescent="0.2">
      <c r="A9094" s="82"/>
      <c r="B9094" s="82"/>
      <c r="C9094" s="82"/>
    </row>
    <row r="9095" spans="1:3" x14ac:dyDescent="0.2">
      <c r="A9095" s="82"/>
      <c r="B9095" s="82"/>
      <c r="C9095" s="82"/>
    </row>
    <row r="9096" spans="1:3" x14ac:dyDescent="0.2">
      <c r="A9096" s="82"/>
      <c r="B9096" s="82"/>
      <c r="C9096" s="82"/>
    </row>
    <row r="9097" spans="1:3" x14ac:dyDescent="0.2">
      <c r="A9097" s="82"/>
      <c r="B9097" s="82"/>
      <c r="C9097" s="82"/>
    </row>
    <row r="9098" spans="1:3" x14ac:dyDescent="0.2">
      <c r="A9098" s="82"/>
      <c r="B9098" s="82"/>
      <c r="C9098" s="82"/>
    </row>
    <row r="9099" spans="1:3" x14ac:dyDescent="0.2">
      <c r="A9099" s="82"/>
      <c r="B9099" s="82"/>
      <c r="C9099" s="82"/>
    </row>
    <row r="9100" spans="1:3" x14ac:dyDescent="0.2">
      <c r="A9100" s="82"/>
      <c r="B9100" s="82"/>
      <c r="C9100" s="82"/>
    </row>
    <row r="9101" spans="1:3" x14ac:dyDescent="0.2">
      <c r="A9101" s="82"/>
      <c r="B9101" s="82"/>
      <c r="C9101" s="82"/>
    </row>
    <row r="9102" spans="1:3" x14ac:dyDescent="0.2">
      <c r="A9102" s="82"/>
      <c r="B9102" s="82"/>
      <c r="C9102" s="82"/>
    </row>
    <row r="9103" spans="1:3" x14ac:dyDescent="0.2">
      <c r="A9103" s="82"/>
      <c r="B9103" s="82"/>
      <c r="C9103" s="82"/>
    </row>
    <row r="9104" spans="1:3" x14ac:dyDescent="0.2">
      <c r="A9104" s="82"/>
      <c r="B9104" s="82"/>
      <c r="C9104" s="82"/>
    </row>
    <row r="9105" spans="1:3" x14ac:dyDescent="0.2">
      <c r="A9105" s="82"/>
      <c r="B9105" s="82"/>
      <c r="C9105" s="82"/>
    </row>
    <row r="9106" spans="1:3" x14ac:dyDescent="0.2">
      <c r="A9106" s="82"/>
      <c r="B9106" s="82"/>
      <c r="C9106" s="82"/>
    </row>
    <row r="9107" spans="1:3" x14ac:dyDescent="0.2">
      <c r="A9107" s="82"/>
      <c r="B9107" s="82"/>
      <c r="C9107" s="82"/>
    </row>
    <row r="9108" spans="1:3" x14ac:dyDescent="0.2">
      <c r="A9108" s="82"/>
      <c r="B9108" s="82"/>
      <c r="C9108" s="82"/>
    </row>
    <row r="9109" spans="1:3" x14ac:dyDescent="0.2">
      <c r="A9109" s="82"/>
      <c r="B9109" s="82"/>
      <c r="C9109" s="82"/>
    </row>
    <row r="9110" spans="1:3" x14ac:dyDescent="0.2">
      <c r="A9110" s="82"/>
      <c r="B9110" s="82"/>
      <c r="C9110" s="82"/>
    </row>
    <row r="9111" spans="1:3" x14ac:dyDescent="0.2">
      <c r="A9111" s="82"/>
      <c r="B9111" s="82"/>
      <c r="C9111" s="82"/>
    </row>
    <row r="9112" spans="1:3" x14ac:dyDescent="0.2">
      <c r="A9112" s="82"/>
      <c r="B9112" s="82"/>
      <c r="C9112" s="82"/>
    </row>
    <row r="9113" spans="1:3" x14ac:dyDescent="0.2">
      <c r="A9113" s="82"/>
      <c r="B9113" s="82"/>
      <c r="C9113" s="82"/>
    </row>
    <row r="9114" spans="1:3" x14ac:dyDescent="0.2">
      <c r="A9114" s="82"/>
      <c r="B9114" s="82"/>
      <c r="C9114" s="82"/>
    </row>
    <row r="9115" spans="1:3" x14ac:dyDescent="0.2">
      <c r="A9115" s="82"/>
      <c r="B9115" s="82"/>
      <c r="C9115" s="82"/>
    </row>
    <row r="9116" spans="1:3" x14ac:dyDescent="0.2">
      <c r="A9116" s="82"/>
      <c r="B9116" s="82"/>
      <c r="C9116" s="82"/>
    </row>
    <row r="9117" spans="1:3" x14ac:dyDescent="0.2">
      <c r="A9117" s="82"/>
      <c r="B9117" s="82"/>
      <c r="C9117" s="82"/>
    </row>
    <row r="9118" spans="1:3" x14ac:dyDescent="0.2">
      <c r="A9118" s="82"/>
      <c r="B9118" s="82"/>
      <c r="C9118" s="82"/>
    </row>
    <row r="9119" spans="1:3" x14ac:dyDescent="0.2">
      <c r="A9119" s="82"/>
      <c r="B9119" s="82"/>
      <c r="C9119" s="82"/>
    </row>
    <row r="9120" spans="1:3" x14ac:dyDescent="0.2">
      <c r="A9120" s="82"/>
      <c r="B9120" s="82"/>
      <c r="C9120" s="82"/>
    </row>
    <row r="9121" spans="1:3" x14ac:dyDescent="0.2">
      <c r="A9121" s="82"/>
      <c r="B9121" s="82"/>
      <c r="C9121" s="82"/>
    </row>
    <row r="9122" spans="1:3" x14ac:dyDescent="0.2">
      <c r="A9122" s="82"/>
      <c r="B9122" s="82"/>
      <c r="C9122" s="82"/>
    </row>
    <row r="9123" spans="1:3" x14ac:dyDescent="0.2">
      <c r="A9123" s="82"/>
      <c r="B9123" s="82"/>
      <c r="C9123" s="82"/>
    </row>
    <row r="9124" spans="1:3" x14ac:dyDescent="0.2">
      <c r="A9124" s="82"/>
      <c r="B9124" s="82"/>
      <c r="C9124" s="82"/>
    </row>
    <row r="9125" spans="1:3" x14ac:dyDescent="0.2">
      <c r="A9125" s="82"/>
      <c r="B9125" s="82"/>
      <c r="C9125" s="82"/>
    </row>
    <row r="9126" spans="1:3" x14ac:dyDescent="0.2">
      <c r="A9126" s="82"/>
      <c r="B9126" s="82"/>
      <c r="C9126" s="82"/>
    </row>
    <row r="9127" spans="1:3" x14ac:dyDescent="0.2">
      <c r="A9127" s="82"/>
      <c r="B9127" s="82"/>
      <c r="C9127" s="82"/>
    </row>
    <row r="9128" spans="1:3" x14ac:dyDescent="0.2">
      <c r="A9128" s="82"/>
      <c r="B9128" s="82"/>
      <c r="C9128" s="82"/>
    </row>
    <row r="9129" spans="1:3" x14ac:dyDescent="0.2">
      <c r="A9129" s="82"/>
      <c r="B9129" s="82"/>
      <c r="C9129" s="82"/>
    </row>
    <row r="9130" spans="1:3" x14ac:dyDescent="0.2">
      <c r="A9130" s="82"/>
      <c r="B9130" s="82"/>
      <c r="C9130" s="82"/>
    </row>
    <row r="9131" spans="1:3" x14ac:dyDescent="0.2">
      <c r="A9131" s="82"/>
      <c r="B9131" s="82"/>
      <c r="C9131" s="82"/>
    </row>
    <row r="9132" spans="1:3" x14ac:dyDescent="0.2">
      <c r="A9132" s="82"/>
      <c r="B9132" s="82"/>
      <c r="C9132" s="82"/>
    </row>
    <row r="9133" spans="1:3" x14ac:dyDescent="0.2">
      <c r="A9133" s="82"/>
      <c r="B9133" s="82"/>
      <c r="C9133" s="82"/>
    </row>
    <row r="9134" spans="1:3" x14ac:dyDescent="0.2">
      <c r="A9134" s="82"/>
      <c r="B9134" s="82"/>
      <c r="C9134" s="82"/>
    </row>
    <row r="9135" spans="1:3" x14ac:dyDescent="0.2">
      <c r="A9135" s="82"/>
      <c r="B9135" s="82"/>
      <c r="C9135" s="82"/>
    </row>
    <row r="9136" spans="1:3" x14ac:dyDescent="0.2">
      <c r="A9136" s="82"/>
      <c r="B9136" s="82"/>
      <c r="C9136" s="82"/>
    </row>
    <row r="9137" spans="1:3" x14ac:dyDescent="0.2">
      <c r="A9137" s="82"/>
      <c r="B9137" s="82"/>
      <c r="C9137" s="82"/>
    </row>
    <row r="9138" spans="1:3" x14ac:dyDescent="0.2">
      <c r="A9138" s="82"/>
      <c r="B9138" s="82"/>
      <c r="C9138" s="82"/>
    </row>
    <row r="9139" spans="1:3" x14ac:dyDescent="0.2">
      <c r="A9139" s="82"/>
      <c r="B9139" s="82"/>
      <c r="C9139" s="82"/>
    </row>
    <row r="9140" spans="1:3" x14ac:dyDescent="0.2">
      <c r="A9140" s="82"/>
      <c r="B9140" s="82"/>
      <c r="C9140" s="82"/>
    </row>
    <row r="9141" spans="1:3" x14ac:dyDescent="0.2">
      <c r="A9141" s="82"/>
      <c r="B9141" s="82"/>
      <c r="C9141" s="82"/>
    </row>
    <row r="9142" spans="1:3" x14ac:dyDescent="0.2">
      <c r="A9142" s="82"/>
      <c r="B9142" s="82"/>
      <c r="C9142" s="82"/>
    </row>
    <row r="9143" spans="1:3" x14ac:dyDescent="0.2">
      <c r="A9143" s="82"/>
      <c r="B9143" s="82"/>
      <c r="C9143" s="82"/>
    </row>
    <row r="9144" spans="1:3" x14ac:dyDescent="0.2">
      <c r="A9144" s="82"/>
      <c r="B9144" s="82"/>
      <c r="C9144" s="82"/>
    </row>
    <row r="9145" spans="1:3" x14ac:dyDescent="0.2">
      <c r="A9145" s="82"/>
      <c r="B9145" s="82"/>
      <c r="C9145" s="82"/>
    </row>
    <row r="9146" spans="1:3" x14ac:dyDescent="0.2">
      <c r="A9146" s="82"/>
      <c r="B9146" s="82"/>
      <c r="C9146" s="82"/>
    </row>
    <row r="9147" spans="1:3" x14ac:dyDescent="0.2">
      <c r="A9147" s="82"/>
      <c r="B9147" s="82"/>
      <c r="C9147" s="82"/>
    </row>
    <row r="9148" spans="1:3" x14ac:dyDescent="0.2">
      <c r="A9148" s="82"/>
      <c r="B9148" s="82"/>
      <c r="C9148" s="82"/>
    </row>
    <row r="9149" spans="1:3" x14ac:dyDescent="0.2">
      <c r="A9149" s="82"/>
      <c r="B9149" s="82"/>
      <c r="C9149" s="82"/>
    </row>
    <row r="9150" spans="1:3" x14ac:dyDescent="0.2">
      <c r="A9150" s="82"/>
      <c r="B9150" s="82"/>
      <c r="C9150" s="82"/>
    </row>
    <row r="9151" spans="1:3" x14ac:dyDescent="0.2">
      <c r="A9151" s="82"/>
      <c r="B9151" s="82"/>
      <c r="C9151" s="82"/>
    </row>
    <row r="9152" spans="1:3" x14ac:dyDescent="0.2">
      <c r="A9152" s="82"/>
      <c r="B9152" s="82"/>
      <c r="C9152" s="82"/>
    </row>
    <row r="9153" spans="1:3" x14ac:dyDescent="0.2">
      <c r="A9153" s="82"/>
      <c r="B9153" s="82"/>
      <c r="C9153" s="82"/>
    </row>
    <row r="9154" spans="1:3" x14ac:dyDescent="0.2">
      <c r="A9154" s="82"/>
      <c r="B9154" s="82"/>
      <c r="C9154" s="82"/>
    </row>
    <row r="9155" spans="1:3" x14ac:dyDescent="0.2">
      <c r="A9155" s="82"/>
      <c r="B9155" s="82"/>
      <c r="C9155" s="82"/>
    </row>
    <row r="9156" spans="1:3" x14ac:dyDescent="0.2">
      <c r="A9156" s="82"/>
      <c r="B9156" s="82"/>
      <c r="C9156" s="82"/>
    </row>
    <row r="9157" spans="1:3" x14ac:dyDescent="0.2">
      <c r="A9157" s="82"/>
      <c r="B9157" s="82"/>
      <c r="C9157" s="82"/>
    </row>
    <row r="9158" spans="1:3" x14ac:dyDescent="0.2">
      <c r="A9158" s="82"/>
      <c r="B9158" s="82"/>
      <c r="C9158" s="82"/>
    </row>
    <row r="9159" spans="1:3" x14ac:dyDescent="0.2">
      <c r="A9159" s="82"/>
      <c r="B9159" s="82"/>
      <c r="C9159" s="82"/>
    </row>
    <row r="9160" spans="1:3" x14ac:dyDescent="0.2">
      <c r="A9160" s="82"/>
      <c r="B9160" s="82"/>
      <c r="C9160" s="82"/>
    </row>
    <row r="9161" spans="1:3" x14ac:dyDescent="0.2">
      <c r="A9161" s="82"/>
      <c r="B9161" s="82"/>
      <c r="C9161" s="82"/>
    </row>
    <row r="9162" spans="1:3" x14ac:dyDescent="0.2">
      <c r="A9162" s="82"/>
      <c r="B9162" s="82"/>
      <c r="C9162" s="82"/>
    </row>
    <row r="9163" spans="1:3" x14ac:dyDescent="0.2">
      <c r="A9163" s="82"/>
      <c r="B9163" s="82"/>
      <c r="C9163" s="82"/>
    </row>
    <row r="9164" spans="1:3" x14ac:dyDescent="0.2">
      <c r="A9164" s="82"/>
      <c r="B9164" s="82"/>
      <c r="C9164" s="82"/>
    </row>
    <row r="9165" spans="1:3" x14ac:dyDescent="0.2">
      <c r="A9165" s="82"/>
      <c r="B9165" s="82"/>
      <c r="C9165" s="82"/>
    </row>
    <row r="9166" spans="1:3" x14ac:dyDescent="0.2">
      <c r="A9166" s="82"/>
      <c r="B9166" s="82"/>
      <c r="C9166" s="82"/>
    </row>
    <row r="9167" spans="1:3" x14ac:dyDescent="0.2">
      <c r="A9167" s="82"/>
      <c r="B9167" s="82"/>
      <c r="C9167" s="82"/>
    </row>
    <row r="9168" spans="1:3" x14ac:dyDescent="0.2">
      <c r="A9168" s="82"/>
      <c r="B9168" s="82"/>
      <c r="C9168" s="82"/>
    </row>
    <row r="9169" spans="1:3" x14ac:dyDescent="0.2">
      <c r="A9169" s="82"/>
      <c r="B9169" s="82"/>
      <c r="C9169" s="82"/>
    </row>
    <row r="9170" spans="1:3" x14ac:dyDescent="0.2">
      <c r="A9170" s="82"/>
      <c r="B9170" s="82"/>
      <c r="C9170" s="82"/>
    </row>
    <row r="9171" spans="1:3" x14ac:dyDescent="0.2">
      <c r="A9171" s="82"/>
      <c r="B9171" s="82"/>
      <c r="C9171" s="82"/>
    </row>
    <row r="9172" spans="1:3" x14ac:dyDescent="0.2">
      <c r="A9172" s="82"/>
      <c r="B9172" s="82"/>
      <c r="C9172" s="82"/>
    </row>
    <row r="9173" spans="1:3" x14ac:dyDescent="0.2">
      <c r="A9173" s="82"/>
      <c r="B9173" s="82"/>
      <c r="C9173" s="82"/>
    </row>
    <row r="9174" spans="1:3" x14ac:dyDescent="0.2">
      <c r="A9174" s="82"/>
      <c r="B9174" s="82"/>
      <c r="C9174" s="82"/>
    </row>
    <row r="9175" spans="1:3" x14ac:dyDescent="0.2">
      <c r="A9175" s="82"/>
      <c r="B9175" s="82"/>
      <c r="C9175" s="82"/>
    </row>
    <row r="9176" spans="1:3" x14ac:dyDescent="0.2">
      <c r="A9176" s="82"/>
      <c r="B9176" s="82"/>
      <c r="C9176" s="82"/>
    </row>
    <row r="9177" spans="1:3" x14ac:dyDescent="0.2">
      <c r="A9177" s="82"/>
      <c r="B9177" s="82"/>
      <c r="C9177" s="82"/>
    </row>
    <row r="9178" spans="1:3" x14ac:dyDescent="0.2">
      <c r="A9178" s="82"/>
      <c r="B9178" s="82"/>
      <c r="C9178" s="82"/>
    </row>
    <row r="9179" spans="1:3" x14ac:dyDescent="0.2">
      <c r="A9179" s="82"/>
      <c r="B9179" s="82"/>
      <c r="C9179" s="82"/>
    </row>
    <row r="9180" spans="1:3" x14ac:dyDescent="0.2">
      <c r="A9180" s="82"/>
      <c r="B9180" s="82"/>
      <c r="C9180" s="82"/>
    </row>
    <row r="9181" spans="1:3" x14ac:dyDescent="0.2">
      <c r="A9181" s="82"/>
      <c r="B9181" s="82"/>
      <c r="C9181" s="82"/>
    </row>
    <row r="9182" spans="1:3" x14ac:dyDescent="0.2">
      <c r="A9182" s="82"/>
      <c r="B9182" s="82"/>
      <c r="C9182" s="82"/>
    </row>
    <row r="9183" spans="1:3" x14ac:dyDescent="0.2">
      <c r="A9183" s="82"/>
      <c r="B9183" s="82"/>
      <c r="C9183" s="82"/>
    </row>
    <row r="9184" spans="1:3" x14ac:dyDescent="0.2">
      <c r="A9184" s="82"/>
      <c r="B9184" s="82"/>
      <c r="C9184" s="82"/>
    </row>
    <row r="9185" spans="1:3" x14ac:dyDescent="0.2">
      <c r="A9185" s="82"/>
      <c r="B9185" s="82"/>
      <c r="C9185" s="82"/>
    </row>
    <row r="9186" spans="1:3" x14ac:dyDescent="0.2">
      <c r="A9186" s="82"/>
      <c r="B9186" s="82"/>
      <c r="C9186" s="82"/>
    </row>
    <row r="9187" spans="1:3" x14ac:dyDescent="0.2">
      <c r="A9187" s="82"/>
      <c r="B9187" s="82"/>
      <c r="C9187" s="82"/>
    </row>
    <row r="9188" spans="1:3" x14ac:dyDescent="0.2">
      <c r="A9188" s="82"/>
      <c r="B9188" s="82"/>
      <c r="C9188" s="82"/>
    </row>
    <row r="9189" spans="1:3" x14ac:dyDescent="0.2">
      <c r="A9189" s="82"/>
      <c r="B9189" s="82"/>
      <c r="C9189" s="82"/>
    </row>
    <row r="9190" spans="1:3" x14ac:dyDescent="0.2">
      <c r="A9190" s="82"/>
      <c r="B9190" s="82"/>
      <c r="C9190" s="82"/>
    </row>
    <row r="9191" spans="1:3" x14ac:dyDescent="0.2">
      <c r="A9191" s="82"/>
      <c r="B9191" s="82"/>
      <c r="C9191" s="82"/>
    </row>
    <row r="9192" spans="1:3" x14ac:dyDescent="0.2">
      <c r="A9192" s="82"/>
      <c r="B9192" s="82"/>
      <c r="C9192" s="82"/>
    </row>
    <row r="9193" spans="1:3" x14ac:dyDescent="0.2">
      <c r="A9193" s="82"/>
      <c r="B9193" s="82"/>
      <c r="C9193" s="82"/>
    </row>
    <row r="9194" spans="1:3" x14ac:dyDescent="0.2">
      <c r="A9194" s="82"/>
      <c r="B9194" s="82"/>
      <c r="C9194" s="82"/>
    </row>
    <row r="9195" spans="1:3" x14ac:dyDescent="0.2">
      <c r="A9195" s="82"/>
      <c r="B9195" s="82"/>
      <c r="C9195" s="82"/>
    </row>
    <row r="9196" spans="1:3" x14ac:dyDescent="0.2">
      <c r="A9196" s="82"/>
      <c r="B9196" s="82"/>
      <c r="C9196" s="82"/>
    </row>
    <row r="9197" spans="1:3" x14ac:dyDescent="0.2">
      <c r="A9197" s="82"/>
      <c r="B9197" s="82"/>
      <c r="C9197" s="82"/>
    </row>
    <row r="9198" spans="1:3" x14ac:dyDescent="0.2">
      <c r="A9198" s="82"/>
      <c r="B9198" s="82"/>
      <c r="C9198" s="82"/>
    </row>
    <row r="9199" spans="1:3" x14ac:dyDescent="0.2">
      <c r="A9199" s="82"/>
      <c r="B9199" s="82"/>
      <c r="C9199" s="82"/>
    </row>
    <row r="9200" spans="1:3" x14ac:dyDescent="0.2">
      <c r="A9200" s="82"/>
      <c r="B9200" s="82"/>
      <c r="C9200" s="82"/>
    </row>
    <row r="9201" spans="1:3" x14ac:dyDescent="0.2">
      <c r="A9201" s="82"/>
      <c r="B9201" s="82"/>
      <c r="C9201" s="82"/>
    </row>
    <row r="9202" spans="1:3" x14ac:dyDescent="0.2">
      <c r="A9202" s="82"/>
      <c r="B9202" s="82"/>
      <c r="C9202" s="82"/>
    </row>
    <row r="9203" spans="1:3" x14ac:dyDescent="0.2">
      <c r="A9203" s="82"/>
      <c r="B9203" s="82"/>
      <c r="C9203" s="82"/>
    </row>
    <row r="9204" spans="1:3" x14ac:dyDescent="0.2">
      <c r="A9204" s="82"/>
      <c r="B9204" s="82"/>
      <c r="C9204" s="82"/>
    </row>
    <row r="9205" spans="1:3" x14ac:dyDescent="0.2">
      <c r="A9205" s="82"/>
      <c r="B9205" s="82"/>
      <c r="C9205" s="82"/>
    </row>
    <row r="9206" spans="1:3" x14ac:dyDescent="0.2">
      <c r="A9206" s="82"/>
      <c r="B9206" s="82"/>
      <c r="C9206" s="82"/>
    </row>
    <row r="9207" spans="1:3" x14ac:dyDescent="0.2">
      <c r="A9207" s="82"/>
      <c r="B9207" s="82"/>
      <c r="C9207" s="82"/>
    </row>
    <row r="9208" spans="1:3" x14ac:dyDescent="0.2">
      <c r="A9208" s="82"/>
      <c r="B9208" s="82"/>
      <c r="C9208" s="82"/>
    </row>
    <row r="9209" spans="1:3" x14ac:dyDescent="0.2">
      <c r="A9209" s="82"/>
      <c r="B9209" s="82"/>
      <c r="C9209" s="82"/>
    </row>
    <row r="9210" spans="1:3" x14ac:dyDescent="0.2">
      <c r="A9210" s="82"/>
      <c r="B9210" s="82"/>
      <c r="C9210" s="82"/>
    </row>
    <row r="9211" spans="1:3" x14ac:dyDescent="0.2">
      <c r="A9211" s="82"/>
      <c r="B9211" s="82"/>
      <c r="C9211" s="82"/>
    </row>
    <row r="9212" spans="1:3" x14ac:dyDescent="0.2">
      <c r="A9212" s="82"/>
      <c r="B9212" s="82"/>
      <c r="C9212" s="82"/>
    </row>
    <row r="9213" spans="1:3" x14ac:dyDescent="0.2">
      <c r="A9213" s="82"/>
      <c r="B9213" s="82"/>
      <c r="C9213" s="82"/>
    </row>
    <row r="9214" spans="1:3" x14ac:dyDescent="0.2">
      <c r="A9214" s="82"/>
      <c r="B9214" s="82"/>
      <c r="C9214" s="82"/>
    </row>
    <row r="9215" spans="1:3" x14ac:dyDescent="0.2">
      <c r="A9215" s="82"/>
      <c r="B9215" s="82"/>
      <c r="C9215" s="82"/>
    </row>
    <row r="9216" spans="1:3" x14ac:dyDescent="0.2">
      <c r="A9216" s="82"/>
      <c r="B9216" s="82"/>
      <c r="C9216" s="82"/>
    </row>
    <row r="9217" spans="1:3" x14ac:dyDescent="0.2">
      <c r="A9217" s="82"/>
      <c r="B9217" s="82"/>
      <c r="C9217" s="82"/>
    </row>
    <row r="9218" spans="1:3" x14ac:dyDescent="0.2">
      <c r="A9218" s="82"/>
      <c r="B9218" s="82"/>
      <c r="C9218" s="82"/>
    </row>
    <row r="9219" spans="1:3" x14ac:dyDescent="0.2">
      <c r="A9219" s="82"/>
      <c r="B9219" s="82"/>
      <c r="C9219" s="82"/>
    </row>
    <row r="9220" spans="1:3" x14ac:dyDescent="0.2">
      <c r="A9220" s="82"/>
      <c r="B9220" s="82"/>
      <c r="C9220" s="82"/>
    </row>
    <row r="9221" spans="1:3" x14ac:dyDescent="0.2">
      <c r="A9221" s="82"/>
      <c r="B9221" s="82"/>
      <c r="C9221" s="82"/>
    </row>
    <row r="9222" spans="1:3" x14ac:dyDescent="0.2">
      <c r="A9222" s="82"/>
      <c r="B9222" s="82"/>
      <c r="C9222" s="82"/>
    </row>
    <row r="9223" spans="1:3" x14ac:dyDescent="0.2">
      <c r="A9223" s="82"/>
      <c r="B9223" s="82"/>
      <c r="C9223" s="82"/>
    </row>
    <row r="9224" spans="1:3" x14ac:dyDescent="0.2">
      <c r="A9224" s="82"/>
      <c r="B9224" s="82"/>
      <c r="C9224" s="82"/>
    </row>
    <row r="9225" spans="1:3" x14ac:dyDescent="0.2">
      <c r="A9225" s="82"/>
      <c r="B9225" s="82"/>
      <c r="C9225" s="82"/>
    </row>
    <row r="9226" spans="1:3" x14ac:dyDescent="0.2">
      <c r="A9226" s="82"/>
      <c r="B9226" s="82"/>
      <c r="C9226" s="82"/>
    </row>
    <row r="9227" spans="1:3" x14ac:dyDescent="0.2">
      <c r="A9227" s="82"/>
      <c r="B9227" s="82"/>
      <c r="C9227" s="82"/>
    </row>
    <row r="9228" spans="1:3" x14ac:dyDescent="0.2">
      <c r="A9228" s="82"/>
      <c r="B9228" s="82"/>
      <c r="C9228" s="82"/>
    </row>
    <row r="9229" spans="1:3" x14ac:dyDescent="0.2">
      <c r="A9229" s="82"/>
      <c r="B9229" s="82"/>
      <c r="C9229" s="82"/>
    </row>
    <row r="9230" spans="1:3" x14ac:dyDescent="0.2">
      <c r="A9230" s="82"/>
      <c r="B9230" s="82"/>
      <c r="C9230" s="82"/>
    </row>
    <row r="9231" spans="1:3" x14ac:dyDescent="0.2">
      <c r="A9231" s="82"/>
      <c r="B9231" s="82"/>
      <c r="C9231" s="82"/>
    </row>
    <row r="9232" spans="1:3" x14ac:dyDescent="0.2">
      <c r="A9232" s="82"/>
      <c r="B9232" s="82"/>
      <c r="C9232" s="82"/>
    </row>
    <row r="9233" spans="1:3" x14ac:dyDescent="0.2">
      <c r="A9233" s="82"/>
      <c r="B9233" s="82"/>
      <c r="C9233" s="82"/>
    </row>
    <row r="9234" spans="1:3" x14ac:dyDescent="0.2">
      <c r="A9234" s="82"/>
      <c r="B9234" s="82"/>
      <c r="C9234" s="82"/>
    </row>
    <row r="9235" spans="1:3" x14ac:dyDescent="0.2">
      <c r="A9235" s="82"/>
      <c r="B9235" s="82"/>
      <c r="C9235" s="82"/>
    </row>
    <row r="9236" spans="1:3" x14ac:dyDescent="0.2">
      <c r="A9236" s="82"/>
      <c r="B9236" s="82"/>
      <c r="C9236" s="82"/>
    </row>
    <row r="9237" spans="1:3" x14ac:dyDescent="0.2">
      <c r="A9237" s="82"/>
      <c r="B9237" s="82"/>
      <c r="C9237" s="82"/>
    </row>
    <row r="9238" spans="1:3" x14ac:dyDescent="0.2">
      <c r="A9238" s="82"/>
      <c r="B9238" s="82"/>
      <c r="C9238" s="82"/>
    </row>
    <row r="9239" spans="1:3" x14ac:dyDescent="0.2">
      <c r="A9239" s="82"/>
      <c r="B9239" s="82"/>
      <c r="C9239" s="82"/>
    </row>
    <row r="9240" spans="1:3" x14ac:dyDescent="0.2">
      <c r="A9240" s="82"/>
      <c r="B9240" s="82"/>
      <c r="C9240" s="82"/>
    </row>
    <row r="9241" spans="1:3" x14ac:dyDescent="0.2">
      <c r="A9241" s="82"/>
      <c r="B9241" s="82"/>
      <c r="C9241" s="82"/>
    </row>
    <row r="9242" spans="1:3" x14ac:dyDescent="0.2">
      <c r="A9242" s="82"/>
      <c r="B9242" s="82"/>
      <c r="C9242" s="82"/>
    </row>
    <row r="9243" spans="1:3" x14ac:dyDescent="0.2">
      <c r="A9243" s="82"/>
      <c r="B9243" s="82"/>
      <c r="C9243" s="82"/>
    </row>
    <row r="9244" spans="1:3" x14ac:dyDescent="0.2">
      <c r="A9244" s="82"/>
      <c r="B9244" s="82"/>
      <c r="C9244" s="82"/>
    </row>
    <row r="9245" spans="1:3" x14ac:dyDescent="0.2">
      <c r="A9245" s="82"/>
      <c r="B9245" s="82"/>
      <c r="C9245" s="82"/>
    </row>
    <row r="9246" spans="1:3" x14ac:dyDescent="0.2">
      <c r="A9246" s="82"/>
      <c r="B9246" s="82"/>
      <c r="C9246" s="82"/>
    </row>
    <row r="9247" spans="1:3" x14ac:dyDescent="0.2">
      <c r="A9247" s="82"/>
      <c r="B9247" s="82"/>
      <c r="C9247" s="82"/>
    </row>
    <row r="9248" spans="1:3" x14ac:dyDescent="0.2">
      <c r="A9248" s="82"/>
      <c r="B9248" s="82"/>
      <c r="C9248" s="82"/>
    </row>
    <row r="9249" spans="1:3" x14ac:dyDescent="0.2">
      <c r="A9249" s="82"/>
      <c r="B9249" s="82"/>
      <c r="C9249" s="82"/>
    </row>
    <row r="9250" spans="1:3" x14ac:dyDescent="0.2">
      <c r="A9250" s="82"/>
      <c r="B9250" s="82"/>
      <c r="C9250" s="82"/>
    </row>
    <row r="9251" spans="1:3" x14ac:dyDescent="0.2">
      <c r="A9251" s="82"/>
      <c r="B9251" s="82"/>
      <c r="C9251" s="82"/>
    </row>
    <row r="9252" spans="1:3" x14ac:dyDescent="0.2">
      <c r="A9252" s="82"/>
      <c r="B9252" s="82"/>
      <c r="C9252" s="82"/>
    </row>
    <row r="9253" spans="1:3" x14ac:dyDescent="0.2">
      <c r="A9253" s="82"/>
      <c r="B9253" s="82"/>
      <c r="C9253" s="82"/>
    </row>
    <row r="9254" spans="1:3" x14ac:dyDescent="0.2">
      <c r="A9254" s="82"/>
      <c r="B9254" s="82"/>
      <c r="C9254" s="82"/>
    </row>
    <row r="9255" spans="1:3" x14ac:dyDescent="0.2">
      <c r="A9255" s="82"/>
      <c r="B9255" s="82"/>
      <c r="C9255" s="82"/>
    </row>
    <row r="9256" spans="1:3" x14ac:dyDescent="0.2">
      <c r="A9256" s="82"/>
      <c r="B9256" s="82"/>
      <c r="C9256" s="82"/>
    </row>
    <row r="9257" spans="1:3" x14ac:dyDescent="0.2">
      <c r="A9257" s="82"/>
      <c r="B9257" s="82"/>
      <c r="C9257" s="82"/>
    </row>
    <row r="9258" spans="1:3" x14ac:dyDescent="0.2">
      <c r="A9258" s="82"/>
      <c r="B9258" s="82"/>
      <c r="C9258" s="82"/>
    </row>
    <row r="9259" spans="1:3" x14ac:dyDescent="0.2">
      <c r="A9259" s="82"/>
      <c r="B9259" s="82"/>
      <c r="C9259" s="82"/>
    </row>
    <row r="9260" spans="1:3" x14ac:dyDescent="0.2">
      <c r="A9260" s="82"/>
      <c r="B9260" s="82"/>
      <c r="C9260" s="82"/>
    </row>
    <row r="9261" spans="1:3" x14ac:dyDescent="0.2">
      <c r="A9261" s="82"/>
      <c r="B9261" s="82"/>
      <c r="C9261" s="82"/>
    </row>
    <row r="9262" spans="1:3" x14ac:dyDescent="0.2">
      <c r="A9262" s="82"/>
      <c r="B9262" s="82"/>
      <c r="C9262" s="82"/>
    </row>
    <row r="9263" spans="1:3" x14ac:dyDescent="0.2">
      <c r="A9263" s="82"/>
      <c r="B9263" s="82"/>
      <c r="C9263" s="82"/>
    </row>
    <row r="9264" spans="1:3" x14ac:dyDescent="0.2">
      <c r="A9264" s="82"/>
      <c r="B9264" s="82"/>
      <c r="C9264" s="82"/>
    </row>
    <row r="9265" spans="1:3" x14ac:dyDescent="0.2">
      <c r="A9265" s="82"/>
      <c r="B9265" s="82"/>
      <c r="C9265" s="82"/>
    </row>
    <row r="9266" spans="1:3" x14ac:dyDescent="0.2">
      <c r="A9266" s="82"/>
      <c r="B9266" s="82"/>
      <c r="C9266" s="82"/>
    </row>
    <row r="9267" spans="1:3" x14ac:dyDescent="0.2">
      <c r="A9267" s="82"/>
      <c r="B9267" s="82"/>
      <c r="C9267" s="82"/>
    </row>
    <row r="9268" spans="1:3" x14ac:dyDescent="0.2">
      <c r="A9268" s="82"/>
      <c r="B9268" s="82"/>
      <c r="C9268" s="82"/>
    </row>
    <row r="9269" spans="1:3" x14ac:dyDescent="0.2">
      <c r="A9269" s="82"/>
      <c r="B9269" s="82"/>
      <c r="C9269" s="82"/>
    </row>
    <row r="9270" spans="1:3" x14ac:dyDescent="0.2">
      <c r="A9270" s="82"/>
      <c r="B9270" s="82"/>
      <c r="C9270" s="82"/>
    </row>
    <row r="9271" spans="1:3" x14ac:dyDescent="0.2">
      <c r="A9271" s="82"/>
      <c r="B9271" s="82"/>
      <c r="C9271" s="82"/>
    </row>
    <row r="9272" spans="1:3" x14ac:dyDescent="0.2">
      <c r="A9272" s="82"/>
      <c r="B9272" s="82"/>
      <c r="C9272" s="82"/>
    </row>
    <row r="9273" spans="1:3" x14ac:dyDescent="0.2">
      <c r="A9273" s="82"/>
      <c r="B9273" s="82"/>
      <c r="C9273" s="82"/>
    </row>
    <row r="9274" spans="1:3" x14ac:dyDescent="0.2">
      <c r="A9274" s="82"/>
      <c r="B9274" s="82"/>
      <c r="C9274" s="82"/>
    </row>
    <row r="9275" spans="1:3" x14ac:dyDescent="0.2">
      <c r="A9275" s="82"/>
      <c r="B9275" s="82"/>
      <c r="C9275" s="82"/>
    </row>
    <row r="9276" spans="1:3" x14ac:dyDescent="0.2">
      <c r="A9276" s="82"/>
      <c r="B9276" s="82"/>
      <c r="C9276" s="82"/>
    </row>
    <row r="9277" spans="1:3" x14ac:dyDescent="0.2">
      <c r="A9277" s="82"/>
      <c r="B9277" s="82"/>
      <c r="C9277" s="82"/>
    </row>
    <row r="9278" spans="1:3" x14ac:dyDescent="0.2">
      <c r="A9278" s="82"/>
      <c r="B9278" s="82"/>
      <c r="C9278" s="82"/>
    </row>
    <row r="9279" spans="1:3" x14ac:dyDescent="0.2">
      <c r="A9279" s="82"/>
      <c r="B9279" s="82"/>
      <c r="C9279" s="82"/>
    </row>
    <row r="9280" spans="1:3" x14ac:dyDescent="0.2">
      <c r="A9280" s="82"/>
      <c r="B9280" s="82"/>
      <c r="C9280" s="82"/>
    </row>
    <row r="9281" spans="1:3" x14ac:dyDescent="0.2">
      <c r="A9281" s="82"/>
      <c r="B9281" s="82"/>
      <c r="C9281" s="82"/>
    </row>
    <row r="9282" spans="1:3" x14ac:dyDescent="0.2">
      <c r="A9282" s="82"/>
      <c r="B9282" s="82"/>
      <c r="C9282" s="82"/>
    </row>
    <row r="9283" spans="1:3" x14ac:dyDescent="0.2">
      <c r="A9283" s="82"/>
      <c r="B9283" s="82"/>
      <c r="C9283" s="82"/>
    </row>
    <row r="9284" spans="1:3" x14ac:dyDescent="0.2">
      <c r="A9284" s="82"/>
      <c r="B9284" s="82"/>
      <c r="C9284" s="82"/>
    </row>
    <row r="9285" spans="1:3" x14ac:dyDescent="0.2">
      <c r="A9285" s="82"/>
      <c r="B9285" s="82"/>
      <c r="C9285" s="82"/>
    </row>
    <row r="9286" spans="1:3" x14ac:dyDescent="0.2">
      <c r="A9286" s="82"/>
      <c r="B9286" s="82"/>
      <c r="C9286" s="82"/>
    </row>
    <row r="9287" spans="1:3" x14ac:dyDescent="0.2">
      <c r="A9287" s="82"/>
      <c r="B9287" s="82"/>
      <c r="C9287" s="82"/>
    </row>
    <row r="9288" spans="1:3" x14ac:dyDescent="0.2">
      <c r="A9288" s="82"/>
      <c r="B9288" s="82"/>
      <c r="C9288" s="82"/>
    </row>
    <row r="9289" spans="1:3" x14ac:dyDescent="0.2">
      <c r="A9289" s="82"/>
      <c r="B9289" s="82"/>
      <c r="C9289" s="82"/>
    </row>
    <row r="9290" spans="1:3" x14ac:dyDescent="0.2">
      <c r="A9290" s="82"/>
      <c r="B9290" s="82"/>
      <c r="C9290" s="82"/>
    </row>
    <row r="9291" spans="1:3" x14ac:dyDescent="0.2">
      <c r="A9291" s="82"/>
      <c r="B9291" s="82"/>
      <c r="C9291" s="82"/>
    </row>
    <row r="9292" spans="1:3" x14ac:dyDescent="0.2">
      <c r="A9292" s="82"/>
      <c r="B9292" s="82"/>
      <c r="C9292" s="82"/>
    </row>
    <row r="9293" spans="1:3" x14ac:dyDescent="0.2">
      <c r="A9293" s="82"/>
      <c r="B9293" s="82"/>
      <c r="C9293" s="82"/>
    </row>
    <row r="9294" spans="1:3" x14ac:dyDescent="0.2">
      <c r="A9294" s="82"/>
      <c r="B9294" s="82"/>
      <c r="C9294" s="82"/>
    </row>
    <row r="9295" spans="1:3" x14ac:dyDescent="0.2">
      <c r="A9295" s="82"/>
      <c r="B9295" s="82"/>
      <c r="C9295" s="82"/>
    </row>
    <row r="9296" spans="1:3" x14ac:dyDescent="0.2">
      <c r="A9296" s="82"/>
      <c r="B9296" s="82"/>
      <c r="C9296" s="82"/>
    </row>
    <row r="9297" spans="1:3" x14ac:dyDescent="0.2">
      <c r="A9297" s="82"/>
      <c r="B9297" s="82"/>
      <c r="C9297" s="82"/>
    </row>
    <row r="9298" spans="1:3" x14ac:dyDescent="0.2">
      <c r="A9298" s="82"/>
      <c r="B9298" s="82"/>
      <c r="C9298" s="82"/>
    </row>
    <row r="9299" spans="1:3" x14ac:dyDescent="0.2">
      <c r="A9299" s="82"/>
      <c r="B9299" s="82"/>
      <c r="C9299" s="82"/>
    </row>
    <row r="9300" spans="1:3" x14ac:dyDescent="0.2">
      <c r="A9300" s="82"/>
      <c r="B9300" s="82"/>
      <c r="C9300" s="82"/>
    </row>
    <row r="9301" spans="1:3" x14ac:dyDescent="0.2">
      <c r="A9301" s="82"/>
      <c r="B9301" s="82"/>
      <c r="C9301" s="82"/>
    </row>
    <row r="9302" spans="1:3" x14ac:dyDescent="0.2">
      <c r="A9302" s="82"/>
      <c r="B9302" s="82"/>
      <c r="C9302" s="82"/>
    </row>
    <row r="9303" spans="1:3" x14ac:dyDescent="0.2">
      <c r="A9303" s="82"/>
      <c r="B9303" s="82"/>
      <c r="C9303" s="82"/>
    </row>
    <row r="9304" spans="1:3" x14ac:dyDescent="0.2">
      <c r="A9304" s="82"/>
      <c r="B9304" s="82"/>
      <c r="C9304" s="82"/>
    </row>
    <row r="9305" spans="1:3" x14ac:dyDescent="0.2">
      <c r="A9305" s="82"/>
      <c r="B9305" s="82"/>
      <c r="C9305" s="82"/>
    </row>
    <row r="9306" spans="1:3" x14ac:dyDescent="0.2">
      <c r="A9306" s="82"/>
      <c r="B9306" s="82"/>
      <c r="C9306" s="82"/>
    </row>
    <row r="9307" spans="1:3" x14ac:dyDescent="0.2">
      <c r="A9307" s="82"/>
      <c r="B9307" s="82"/>
      <c r="C9307" s="82"/>
    </row>
    <row r="9308" spans="1:3" x14ac:dyDescent="0.2">
      <c r="A9308" s="82"/>
      <c r="B9308" s="82"/>
      <c r="C9308" s="82"/>
    </row>
    <row r="9309" spans="1:3" x14ac:dyDescent="0.2">
      <c r="A9309" s="82"/>
      <c r="B9309" s="82"/>
      <c r="C9309" s="82"/>
    </row>
    <row r="9310" spans="1:3" x14ac:dyDescent="0.2">
      <c r="A9310" s="82"/>
      <c r="B9310" s="82"/>
      <c r="C9310" s="82"/>
    </row>
    <row r="9311" spans="1:3" x14ac:dyDescent="0.2">
      <c r="A9311" s="82"/>
      <c r="B9311" s="82"/>
      <c r="C9311" s="82"/>
    </row>
    <row r="9312" spans="1:3" x14ac:dyDescent="0.2">
      <c r="A9312" s="82"/>
      <c r="B9312" s="82"/>
      <c r="C9312" s="82"/>
    </row>
    <row r="9313" spans="1:3" x14ac:dyDescent="0.2">
      <c r="A9313" s="82"/>
      <c r="B9313" s="82"/>
      <c r="C9313" s="82"/>
    </row>
    <row r="9314" spans="1:3" x14ac:dyDescent="0.2">
      <c r="A9314" s="82"/>
      <c r="B9314" s="82"/>
      <c r="C9314" s="82"/>
    </row>
    <row r="9315" spans="1:3" x14ac:dyDescent="0.2">
      <c r="A9315" s="82"/>
      <c r="B9315" s="82"/>
      <c r="C9315" s="82"/>
    </row>
    <row r="9316" spans="1:3" x14ac:dyDescent="0.2">
      <c r="A9316" s="82"/>
      <c r="B9316" s="82"/>
      <c r="C9316" s="82"/>
    </row>
    <row r="9317" spans="1:3" x14ac:dyDescent="0.2">
      <c r="A9317" s="82"/>
      <c r="B9317" s="82"/>
      <c r="C9317" s="82"/>
    </row>
    <row r="9318" spans="1:3" x14ac:dyDescent="0.2">
      <c r="A9318" s="82"/>
      <c r="B9318" s="82"/>
      <c r="C9318" s="82"/>
    </row>
    <row r="9319" spans="1:3" x14ac:dyDescent="0.2">
      <c r="A9319" s="82"/>
      <c r="B9319" s="82"/>
      <c r="C9319" s="82"/>
    </row>
    <row r="9320" spans="1:3" x14ac:dyDescent="0.2">
      <c r="A9320" s="82"/>
      <c r="B9320" s="82"/>
      <c r="C9320" s="82"/>
    </row>
    <row r="9321" spans="1:3" x14ac:dyDescent="0.2">
      <c r="A9321" s="82"/>
      <c r="B9321" s="82"/>
      <c r="C9321" s="82"/>
    </row>
    <row r="9322" spans="1:3" x14ac:dyDescent="0.2">
      <c r="A9322" s="82"/>
      <c r="B9322" s="82"/>
      <c r="C9322" s="82"/>
    </row>
    <row r="9323" spans="1:3" x14ac:dyDescent="0.2">
      <c r="A9323" s="82"/>
      <c r="B9323" s="82"/>
      <c r="C9323" s="82"/>
    </row>
    <row r="9324" spans="1:3" x14ac:dyDescent="0.2">
      <c r="A9324" s="82"/>
      <c r="B9324" s="82"/>
      <c r="C9324" s="82"/>
    </row>
    <row r="9325" spans="1:3" x14ac:dyDescent="0.2">
      <c r="A9325" s="82"/>
      <c r="B9325" s="82"/>
      <c r="C9325" s="82"/>
    </row>
    <row r="9326" spans="1:3" x14ac:dyDescent="0.2">
      <c r="A9326" s="82"/>
      <c r="B9326" s="82"/>
      <c r="C9326" s="82"/>
    </row>
    <row r="9327" spans="1:3" x14ac:dyDescent="0.2">
      <c r="A9327" s="82"/>
      <c r="B9327" s="82"/>
      <c r="C9327" s="82"/>
    </row>
    <row r="9328" spans="1:3" x14ac:dyDescent="0.2">
      <c r="A9328" s="82"/>
      <c r="B9328" s="82"/>
      <c r="C9328" s="82"/>
    </row>
    <row r="9329" spans="1:3" x14ac:dyDescent="0.2">
      <c r="A9329" s="82"/>
      <c r="B9329" s="82"/>
      <c r="C9329" s="82"/>
    </row>
    <row r="9330" spans="1:3" x14ac:dyDescent="0.2">
      <c r="A9330" s="82"/>
      <c r="B9330" s="82"/>
      <c r="C9330" s="82"/>
    </row>
    <row r="9331" spans="1:3" x14ac:dyDescent="0.2">
      <c r="A9331" s="82"/>
      <c r="B9331" s="82"/>
      <c r="C9331" s="82"/>
    </row>
    <row r="9332" spans="1:3" x14ac:dyDescent="0.2">
      <c r="A9332" s="82"/>
      <c r="B9332" s="82"/>
      <c r="C9332" s="82"/>
    </row>
    <row r="9333" spans="1:3" x14ac:dyDescent="0.2">
      <c r="A9333" s="82"/>
      <c r="B9333" s="82"/>
      <c r="C9333" s="82"/>
    </row>
    <row r="9334" spans="1:3" x14ac:dyDescent="0.2">
      <c r="A9334" s="82"/>
      <c r="B9334" s="82"/>
      <c r="C9334" s="82"/>
    </row>
    <row r="9335" spans="1:3" x14ac:dyDescent="0.2">
      <c r="A9335" s="82"/>
      <c r="B9335" s="82"/>
      <c r="C9335" s="82"/>
    </row>
    <row r="9336" spans="1:3" x14ac:dyDescent="0.2">
      <c r="A9336" s="82"/>
      <c r="B9336" s="82"/>
      <c r="C9336" s="82"/>
    </row>
    <row r="9337" spans="1:3" x14ac:dyDescent="0.2">
      <c r="A9337" s="82"/>
      <c r="B9337" s="82"/>
      <c r="C9337" s="82"/>
    </row>
    <row r="9338" spans="1:3" x14ac:dyDescent="0.2">
      <c r="A9338" s="82"/>
      <c r="B9338" s="82"/>
      <c r="C9338" s="82"/>
    </row>
    <row r="9339" spans="1:3" x14ac:dyDescent="0.2">
      <c r="A9339" s="82"/>
      <c r="B9339" s="82"/>
      <c r="C9339" s="82"/>
    </row>
    <row r="9340" spans="1:3" x14ac:dyDescent="0.2">
      <c r="A9340" s="82"/>
      <c r="B9340" s="82"/>
      <c r="C9340" s="82"/>
    </row>
    <row r="9341" spans="1:3" x14ac:dyDescent="0.2">
      <c r="A9341" s="82"/>
      <c r="B9341" s="82"/>
      <c r="C9341" s="82"/>
    </row>
    <row r="9342" spans="1:3" x14ac:dyDescent="0.2">
      <c r="A9342" s="82"/>
      <c r="B9342" s="82"/>
      <c r="C9342" s="82"/>
    </row>
    <row r="9343" spans="1:3" x14ac:dyDescent="0.2">
      <c r="A9343" s="82"/>
      <c r="B9343" s="82"/>
      <c r="C9343" s="82"/>
    </row>
    <row r="9344" spans="1:3" x14ac:dyDescent="0.2">
      <c r="A9344" s="82"/>
      <c r="B9344" s="82"/>
      <c r="C9344" s="82"/>
    </row>
    <row r="9345" spans="1:3" x14ac:dyDescent="0.2">
      <c r="A9345" s="82"/>
      <c r="B9345" s="82"/>
      <c r="C9345" s="82"/>
    </row>
    <row r="9346" spans="1:3" x14ac:dyDescent="0.2">
      <c r="A9346" s="82"/>
      <c r="B9346" s="82"/>
      <c r="C9346" s="82"/>
    </row>
    <row r="9347" spans="1:3" x14ac:dyDescent="0.2">
      <c r="A9347" s="82"/>
      <c r="B9347" s="82"/>
      <c r="C9347" s="82"/>
    </row>
    <row r="9348" spans="1:3" x14ac:dyDescent="0.2">
      <c r="A9348" s="82"/>
      <c r="B9348" s="82"/>
      <c r="C9348" s="82"/>
    </row>
    <row r="9349" spans="1:3" x14ac:dyDescent="0.2">
      <c r="A9349" s="82"/>
      <c r="B9349" s="82"/>
      <c r="C9349" s="82"/>
    </row>
    <row r="9350" spans="1:3" x14ac:dyDescent="0.2">
      <c r="A9350" s="82"/>
      <c r="B9350" s="82"/>
      <c r="C9350" s="82"/>
    </row>
    <row r="9351" spans="1:3" x14ac:dyDescent="0.2">
      <c r="A9351" s="82"/>
      <c r="B9351" s="82"/>
      <c r="C9351" s="82"/>
    </row>
    <row r="9352" spans="1:3" x14ac:dyDescent="0.2">
      <c r="A9352" s="82"/>
      <c r="B9352" s="82"/>
      <c r="C9352" s="82"/>
    </row>
    <row r="9353" spans="1:3" x14ac:dyDescent="0.2">
      <c r="A9353" s="82"/>
      <c r="B9353" s="82"/>
      <c r="C9353" s="82"/>
    </row>
    <row r="9354" spans="1:3" x14ac:dyDescent="0.2">
      <c r="A9354" s="82"/>
      <c r="B9354" s="82"/>
      <c r="C9354" s="82"/>
    </row>
    <row r="9355" spans="1:3" x14ac:dyDescent="0.2">
      <c r="A9355" s="82"/>
      <c r="B9355" s="82"/>
      <c r="C9355" s="82"/>
    </row>
    <row r="9356" spans="1:3" x14ac:dyDescent="0.2">
      <c r="A9356" s="82"/>
      <c r="B9356" s="82"/>
      <c r="C9356" s="82"/>
    </row>
    <row r="9357" spans="1:3" x14ac:dyDescent="0.2">
      <c r="A9357" s="82"/>
      <c r="B9357" s="82"/>
      <c r="C9357" s="82"/>
    </row>
    <row r="9358" spans="1:3" x14ac:dyDescent="0.2">
      <c r="A9358" s="82"/>
      <c r="B9358" s="82"/>
      <c r="C9358" s="82"/>
    </row>
    <row r="9359" spans="1:3" x14ac:dyDescent="0.2">
      <c r="A9359" s="82"/>
      <c r="B9359" s="82"/>
      <c r="C9359" s="82"/>
    </row>
    <row r="9360" spans="1:3" x14ac:dyDescent="0.2">
      <c r="A9360" s="82"/>
      <c r="B9360" s="82"/>
      <c r="C9360" s="82"/>
    </row>
    <row r="9361" spans="1:3" x14ac:dyDescent="0.2">
      <c r="A9361" s="82"/>
      <c r="B9361" s="82"/>
      <c r="C9361" s="82"/>
    </row>
    <row r="9362" spans="1:3" x14ac:dyDescent="0.2">
      <c r="A9362" s="82"/>
      <c r="B9362" s="82"/>
      <c r="C9362" s="82"/>
    </row>
    <row r="9363" spans="1:3" x14ac:dyDescent="0.2">
      <c r="A9363" s="82"/>
      <c r="B9363" s="82"/>
      <c r="C9363" s="82"/>
    </row>
    <row r="9364" spans="1:3" x14ac:dyDescent="0.2">
      <c r="A9364" s="82"/>
      <c r="B9364" s="82"/>
      <c r="C9364" s="82"/>
    </row>
    <row r="9365" spans="1:3" x14ac:dyDescent="0.2">
      <c r="A9365" s="82"/>
      <c r="B9365" s="82"/>
      <c r="C9365" s="82"/>
    </row>
    <row r="9366" spans="1:3" x14ac:dyDescent="0.2">
      <c r="A9366" s="82"/>
      <c r="B9366" s="82"/>
      <c r="C9366" s="82"/>
    </row>
    <row r="9367" spans="1:3" x14ac:dyDescent="0.2">
      <c r="A9367" s="82"/>
      <c r="B9367" s="82"/>
      <c r="C9367" s="82"/>
    </row>
    <row r="9368" spans="1:3" x14ac:dyDescent="0.2">
      <c r="A9368" s="82"/>
      <c r="B9368" s="82"/>
      <c r="C9368" s="82"/>
    </row>
    <row r="9369" spans="1:3" x14ac:dyDescent="0.2">
      <c r="A9369" s="82"/>
      <c r="B9369" s="82"/>
      <c r="C9369" s="82"/>
    </row>
    <row r="9370" spans="1:3" x14ac:dyDescent="0.2">
      <c r="A9370" s="82"/>
      <c r="B9370" s="82"/>
      <c r="C9370" s="82"/>
    </row>
    <row r="9371" spans="1:3" x14ac:dyDescent="0.2">
      <c r="A9371" s="82"/>
      <c r="B9371" s="82"/>
      <c r="C9371" s="82"/>
    </row>
    <row r="9372" spans="1:3" x14ac:dyDescent="0.2">
      <c r="A9372" s="82"/>
      <c r="B9372" s="82"/>
      <c r="C9372" s="82"/>
    </row>
    <row r="9373" spans="1:3" x14ac:dyDescent="0.2">
      <c r="A9373" s="82"/>
      <c r="B9373" s="82"/>
      <c r="C9373" s="82"/>
    </row>
    <row r="9374" spans="1:3" x14ac:dyDescent="0.2">
      <c r="A9374" s="82"/>
      <c r="B9374" s="82"/>
      <c r="C9374" s="82"/>
    </row>
    <row r="9375" spans="1:3" x14ac:dyDescent="0.2">
      <c r="A9375" s="82"/>
      <c r="B9375" s="82"/>
      <c r="C9375" s="82"/>
    </row>
    <row r="9376" spans="1:3" x14ac:dyDescent="0.2">
      <c r="A9376" s="82"/>
      <c r="B9376" s="82"/>
      <c r="C9376" s="82"/>
    </row>
    <row r="9377" spans="1:3" x14ac:dyDescent="0.2">
      <c r="A9377" s="82"/>
      <c r="B9377" s="82"/>
      <c r="C9377" s="82"/>
    </row>
    <row r="9378" spans="1:3" x14ac:dyDescent="0.2">
      <c r="A9378" s="82"/>
      <c r="B9378" s="82"/>
      <c r="C9378" s="82"/>
    </row>
    <row r="9379" spans="1:3" x14ac:dyDescent="0.2">
      <c r="A9379" s="82"/>
      <c r="B9379" s="82"/>
      <c r="C9379" s="82"/>
    </row>
    <row r="9380" spans="1:3" x14ac:dyDescent="0.2">
      <c r="A9380" s="82"/>
      <c r="B9380" s="82"/>
      <c r="C9380" s="82"/>
    </row>
    <row r="9381" spans="1:3" x14ac:dyDescent="0.2">
      <c r="A9381" s="82"/>
      <c r="B9381" s="82"/>
      <c r="C9381" s="82"/>
    </row>
    <row r="9382" spans="1:3" x14ac:dyDescent="0.2">
      <c r="A9382" s="82"/>
      <c r="B9382" s="82"/>
      <c r="C9382" s="82"/>
    </row>
    <row r="9383" spans="1:3" x14ac:dyDescent="0.2">
      <c r="A9383" s="82"/>
      <c r="B9383" s="82"/>
      <c r="C9383" s="82"/>
    </row>
    <row r="9384" spans="1:3" x14ac:dyDescent="0.2">
      <c r="A9384" s="82"/>
      <c r="B9384" s="82"/>
      <c r="C9384" s="82"/>
    </row>
    <row r="9385" spans="1:3" x14ac:dyDescent="0.2">
      <c r="A9385" s="82"/>
      <c r="B9385" s="82"/>
      <c r="C9385" s="82"/>
    </row>
    <row r="9386" spans="1:3" x14ac:dyDescent="0.2">
      <c r="A9386" s="82"/>
      <c r="B9386" s="82"/>
      <c r="C9386" s="82"/>
    </row>
    <row r="9387" spans="1:3" x14ac:dyDescent="0.2">
      <c r="A9387" s="82"/>
      <c r="B9387" s="82"/>
      <c r="C9387" s="82"/>
    </row>
    <row r="9388" spans="1:3" x14ac:dyDescent="0.2">
      <c r="A9388" s="82"/>
      <c r="B9388" s="82"/>
      <c r="C9388" s="82"/>
    </row>
    <row r="9389" spans="1:3" x14ac:dyDescent="0.2">
      <c r="A9389" s="82"/>
      <c r="B9389" s="82"/>
      <c r="C9389" s="82"/>
    </row>
    <row r="9390" spans="1:3" x14ac:dyDescent="0.2">
      <c r="A9390" s="82"/>
      <c r="B9390" s="82"/>
      <c r="C9390" s="82"/>
    </row>
    <row r="9391" spans="1:3" x14ac:dyDescent="0.2">
      <c r="A9391" s="82"/>
      <c r="B9391" s="82"/>
      <c r="C9391" s="82"/>
    </row>
    <row r="9392" spans="1:3" x14ac:dyDescent="0.2">
      <c r="A9392" s="82"/>
      <c r="B9392" s="82"/>
      <c r="C9392" s="82"/>
    </row>
    <row r="9393" spans="1:3" x14ac:dyDescent="0.2">
      <c r="A9393" s="82"/>
      <c r="B9393" s="82"/>
      <c r="C9393" s="82"/>
    </row>
    <row r="9394" spans="1:3" x14ac:dyDescent="0.2">
      <c r="A9394" s="82"/>
      <c r="B9394" s="82"/>
      <c r="C9394" s="82"/>
    </row>
    <row r="9395" spans="1:3" x14ac:dyDescent="0.2">
      <c r="A9395" s="82"/>
      <c r="B9395" s="82"/>
      <c r="C9395" s="82"/>
    </row>
    <row r="9396" spans="1:3" x14ac:dyDescent="0.2">
      <c r="A9396" s="82"/>
      <c r="B9396" s="82"/>
      <c r="C9396" s="82"/>
    </row>
    <row r="9397" spans="1:3" x14ac:dyDescent="0.2">
      <c r="A9397" s="82"/>
      <c r="B9397" s="82"/>
      <c r="C9397" s="82"/>
    </row>
    <row r="9398" spans="1:3" x14ac:dyDescent="0.2">
      <c r="A9398" s="82"/>
      <c r="B9398" s="82"/>
      <c r="C9398" s="82"/>
    </row>
    <row r="9399" spans="1:3" x14ac:dyDescent="0.2">
      <c r="A9399" s="82"/>
      <c r="B9399" s="82"/>
      <c r="C9399" s="82"/>
    </row>
    <row r="9400" spans="1:3" x14ac:dyDescent="0.2">
      <c r="A9400" s="82"/>
      <c r="B9400" s="82"/>
      <c r="C9400" s="82"/>
    </row>
    <row r="9401" spans="1:3" x14ac:dyDescent="0.2">
      <c r="A9401" s="82"/>
      <c r="B9401" s="82"/>
      <c r="C9401" s="82"/>
    </row>
    <row r="9402" spans="1:3" x14ac:dyDescent="0.2">
      <c r="A9402" s="82"/>
      <c r="B9402" s="82"/>
      <c r="C9402" s="82"/>
    </row>
    <row r="9403" spans="1:3" x14ac:dyDescent="0.2">
      <c r="A9403" s="82"/>
      <c r="B9403" s="82"/>
      <c r="C9403" s="82"/>
    </row>
    <row r="9404" spans="1:3" x14ac:dyDescent="0.2">
      <c r="A9404" s="82"/>
      <c r="B9404" s="82"/>
      <c r="C9404" s="82"/>
    </row>
    <row r="9405" spans="1:3" x14ac:dyDescent="0.2">
      <c r="A9405" s="82"/>
      <c r="B9405" s="82"/>
      <c r="C9405" s="82"/>
    </row>
    <row r="9406" spans="1:3" x14ac:dyDescent="0.2">
      <c r="A9406" s="82"/>
      <c r="B9406" s="82"/>
      <c r="C9406" s="82"/>
    </row>
    <row r="9407" spans="1:3" x14ac:dyDescent="0.2">
      <c r="A9407" s="82"/>
      <c r="B9407" s="82"/>
      <c r="C9407" s="82"/>
    </row>
    <row r="9408" spans="1:3" x14ac:dyDescent="0.2">
      <c r="A9408" s="82"/>
      <c r="B9408" s="82"/>
      <c r="C9408" s="82"/>
    </row>
    <row r="9409" spans="1:3" x14ac:dyDescent="0.2">
      <c r="A9409" s="82"/>
      <c r="B9409" s="82"/>
      <c r="C9409" s="82"/>
    </row>
    <row r="9410" spans="1:3" x14ac:dyDescent="0.2">
      <c r="A9410" s="82"/>
      <c r="B9410" s="82"/>
      <c r="C9410" s="82"/>
    </row>
    <row r="9411" spans="1:3" x14ac:dyDescent="0.2">
      <c r="A9411" s="82"/>
      <c r="B9411" s="82"/>
      <c r="C9411" s="82"/>
    </row>
    <row r="9412" spans="1:3" x14ac:dyDescent="0.2">
      <c r="A9412" s="82"/>
      <c r="B9412" s="82"/>
      <c r="C9412" s="82"/>
    </row>
    <row r="9413" spans="1:3" x14ac:dyDescent="0.2">
      <c r="A9413" s="82"/>
      <c r="B9413" s="82"/>
      <c r="C9413" s="82"/>
    </row>
    <row r="9414" spans="1:3" x14ac:dyDescent="0.2">
      <c r="A9414" s="82"/>
      <c r="B9414" s="82"/>
      <c r="C9414" s="82"/>
    </row>
    <row r="9415" spans="1:3" x14ac:dyDescent="0.2">
      <c r="A9415" s="82"/>
      <c r="B9415" s="82"/>
      <c r="C9415" s="82"/>
    </row>
    <row r="9416" spans="1:3" x14ac:dyDescent="0.2">
      <c r="A9416" s="82"/>
      <c r="B9416" s="82"/>
      <c r="C9416" s="82"/>
    </row>
    <row r="9417" spans="1:3" x14ac:dyDescent="0.2">
      <c r="A9417" s="82"/>
      <c r="B9417" s="82"/>
      <c r="C9417" s="82"/>
    </row>
    <row r="9418" spans="1:3" x14ac:dyDescent="0.2">
      <c r="A9418" s="82"/>
      <c r="B9418" s="82"/>
      <c r="C9418" s="82"/>
    </row>
    <row r="9419" spans="1:3" x14ac:dyDescent="0.2">
      <c r="A9419" s="82"/>
      <c r="B9419" s="82"/>
      <c r="C9419" s="82"/>
    </row>
    <row r="9420" spans="1:3" x14ac:dyDescent="0.2">
      <c r="A9420" s="82"/>
      <c r="B9420" s="82"/>
      <c r="C9420" s="82"/>
    </row>
    <row r="9421" spans="1:3" x14ac:dyDescent="0.2">
      <c r="A9421" s="82"/>
      <c r="B9421" s="82"/>
      <c r="C9421" s="82"/>
    </row>
    <row r="9422" spans="1:3" x14ac:dyDescent="0.2">
      <c r="A9422" s="82"/>
      <c r="B9422" s="82"/>
      <c r="C9422" s="82"/>
    </row>
    <row r="9423" spans="1:3" x14ac:dyDescent="0.2">
      <c r="A9423" s="82"/>
      <c r="B9423" s="82"/>
      <c r="C9423" s="82"/>
    </row>
    <row r="9424" spans="1:3" x14ac:dyDescent="0.2">
      <c r="A9424" s="82"/>
      <c r="B9424" s="82"/>
      <c r="C9424" s="82"/>
    </row>
    <row r="9425" spans="1:3" x14ac:dyDescent="0.2">
      <c r="A9425" s="82"/>
      <c r="B9425" s="82"/>
      <c r="C9425" s="82"/>
    </row>
    <row r="9426" spans="1:3" x14ac:dyDescent="0.2">
      <c r="A9426" s="82"/>
      <c r="B9426" s="82"/>
      <c r="C9426" s="82"/>
    </row>
    <row r="9427" spans="1:3" x14ac:dyDescent="0.2">
      <c r="A9427" s="82"/>
      <c r="B9427" s="82"/>
      <c r="C9427" s="82"/>
    </row>
    <row r="9428" spans="1:3" x14ac:dyDescent="0.2">
      <c r="A9428" s="82"/>
      <c r="B9428" s="82"/>
      <c r="C9428" s="82"/>
    </row>
    <row r="9429" spans="1:3" x14ac:dyDescent="0.2">
      <c r="A9429" s="82"/>
      <c r="B9429" s="82"/>
      <c r="C9429" s="82"/>
    </row>
    <row r="9430" spans="1:3" x14ac:dyDescent="0.2">
      <c r="A9430" s="82"/>
      <c r="B9430" s="82"/>
      <c r="C9430" s="82"/>
    </row>
    <row r="9431" spans="1:3" x14ac:dyDescent="0.2">
      <c r="A9431" s="82"/>
      <c r="B9431" s="82"/>
      <c r="C9431" s="82"/>
    </row>
    <row r="9432" spans="1:3" x14ac:dyDescent="0.2">
      <c r="A9432" s="82"/>
      <c r="B9432" s="82"/>
      <c r="C9432" s="82"/>
    </row>
    <row r="9433" spans="1:3" x14ac:dyDescent="0.2">
      <c r="A9433" s="82"/>
      <c r="B9433" s="82"/>
      <c r="C9433" s="82"/>
    </row>
    <row r="9434" spans="1:3" x14ac:dyDescent="0.2">
      <c r="A9434" s="82"/>
      <c r="B9434" s="82"/>
      <c r="C9434" s="82"/>
    </row>
    <row r="9435" spans="1:3" x14ac:dyDescent="0.2">
      <c r="A9435" s="82"/>
      <c r="B9435" s="82"/>
      <c r="C9435" s="82"/>
    </row>
    <row r="9436" spans="1:3" x14ac:dyDescent="0.2">
      <c r="A9436" s="82"/>
      <c r="B9436" s="82"/>
      <c r="C9436" s="82"/>
    </row>
    <row r="9437" spans="1:3" x14ac:dyDescent="0.2">
      <c r="A9437" s="82"/>
      <c r="B9437" s="82"/>
      <c r="C9437" s="82"/>
    </row>
    <row r="9438" spans="1:3" x14ac:dyDescent="0.2">
      <c r="A9438" s="82"/>
      <c r="B9438" s="82"/>
      <c r="C9438" s="82"/>
    </row>
    <row r="9439" spans="1:3" x14ac:dyDescent="0.2">
      <c r="A9439" s="82"/>
      <c r="B9439" s="82"/>
      <c r="C9439" s="82"/>
    </row>
    <row r="9440" spans="1:3" x14ac:dyDescent="0.2">
      <c r="A9440" s="82"/>
      <c r="B9440" s="82"/>
      <c r="C9440" s="82"/>
    </row>
    <row r="9441" spans="1:3" x14ac:dyDescent="0.2">
      <c r="A9441" s="82"/>
      <c r="B9441" s="82"/>
      <c r="C9441" s="82"/>
    </row>
    <row r="9442" spans="1:3" x14ac:dyDescent="0.2">
      <c r="A9442" s="82"/>
      <c r="B9442" s="82"/>
      <c r="C9442" s="82"/>
    </row>
    <row r="9443" spans="1:3" x14ac:dyDescent="0.2">
      <c r="A9443" s="82"/>
      <c r="B9443" s="82"/>
      <c r="C9443" s="82"/>
    </row>
    <row r="9444" spans="1:3" x14ac:dyDescent="0.2">
      <c r="A9444" s="82"/>
      <c r="B9444" s="82"/>
      <c r="C9444" s="82"/>
    </row>
    <row r="9445" spans="1:3" x14ac:dyDescent="0.2">
      <c r="A9445" s="82"/>
      <c r="B9445" s="82"/>
      <c r="C9445" s="82"/>
    </row>
    <row r="9446" spans="1:3" x14ac:dyDescent="0.2">
      <c r="A9446" s="82"/>
      <c r="B9446" s="82"/>
      <c r="C9446" s="82"/>
    </row>
    <row r="9447" spans="1:3" x14ac:dyDescent="0.2">
      <c r="A9447" s="82"/>
      <c r="B9447" s="82"/>
      <c r="C9447" s="82"/>
    </row>
    <row r="9448" spans="1:3" x14ac:dyDescent="0.2">
      <c r="A9448" s="82"/>
      <c r="B9448" s="82"/>
      <c r="C9448" s="82"/>
    </row>
    <row r="9449" spans="1:3" x14ac:dyDescent="0.2">
      <c r="A9449" s="82"/>
      <c r="B9449" s="82"/>
      <c r="C9449" s="82"/>
    </row>
    <row r="9450" spans="1:3" x14ac:dyDescent="0.2">
      <c r="A9450" s="82"/>
      <c r="B9450" s="82"/>
      <c r="C9450" s="82"/>
    </row>
    <row r="9451" spans="1:3" x14ac:dyDescent="0.2">
      <c r="A9451" s="82"/>
      <c r="B9451" s="82"/>
      <c r="C9451" s="82"/>
    </row>
    <row r="9452" spans="1:3" x14ac:dyDescent="0.2">
      <c r="A9452" s="82"/>
      <c r="B9452" s="82"/>
      <c r="C9452" s="82"/>
    </row>
    <row r="9453" spans="1:3" x14ac:dyDescent="0.2">
      <c r="A9453" s="82"/>
      <c r="B9453" s="82"/>
      <c r="C9453" s="82"/>
    </row>
    <row r="9454" spans="1:3" x14ac:dyDescent="0.2">
      <c r="A9454" s="82"/>
      <c r="B9454" s="82"/>
      <c r="C9454" s="82"/>
    </row>
    <row r="9455" spans="1:3" x14ac:dyDescent="0.2">
      <c r="A9455" s="82"/>
      <c r="B9455" s="82"/>
      <c r="C9455" s="82"/>
    </row>
    <row r="9456" spans="1:3" x14ac:dyDescent="0.2">
      <c r="A9456" s="82"/>
      <c r="B9456" s="82"/>
      <c r="C9456" s="82"/>
    </row>
    <row r="9457" spans="1:3" x14ac:dyDescent="0.2">
      <c r="A9457" s="82"/>
      <c r="B9457" s="82"/>
      <c r="C9457" s="82"/>
    </row>
    <row r="9458" spans="1:3" x14ac:dyDescent="0.2">
      <c r="A9458" s="82"/>
      <c r="B9458" s="82"/>
      <c r="C9458" s="82"/>
    </row>
    <row r="9459" spans="1:3" x14ac:dyDescent="0.2">
      <c r="A9459" s="82"/>
      <c r="B9459" s="82"/>
      <c r="C9459" s="82"/>
    </row>
    <row r="9460" spans="1:3" x14ac:dyDescent="0.2">
      <c r="A9460" s="82"/>
      <c r="B9460" s="82"/>
      <c r="C9460" s="82"/>
    </row>
    <row r="9461" spans="1:3" x14ac:dyDescent="0.2">
      <c r="A9461" s="82"/>
      <c r="B9461" s="82"/>
      <c r="C9461" s="82"/>
    </row>
    <row r="9462" spans="1:3" x14ac:dyDescent="0.2">
      <c r="A9462" s="82"/>
      <c r="B9462" s="82"/>
      <c r="C9462" s="82"/>
    </row>
    <row r="9463" spans="1:3" x14ac:dyDescent="0.2">
      <c r="A9463" s="82"/>
      <c r="B9463" s="82"/>
      <c r="C9463" s="82"/>
    </row>
    <row r="9464" spans="1:3" x14ac:dyDescent="0.2">
      <c r="A9464" s="82"/>
      <c r="B9464" s="82"/>
      <c r="C9464" s="82"/>
    </row>
    <row r="9465" spans="1:3" x14ac:dyDescent="0.2">
      <c r="A9465" s="82"/>
      <c r="B9465" s="82"/>
      <c r="C9465" s="82"/>
    </row>
    <row r="9466" spans="1:3" x14ac:dyDescent="0.2">
      <c r="A9466" s="82"/>
      <c r="B9466" s="82"/>
      <c r="C9466" s="82"/>
    </row>
    <row r="9467" spans="1:3" x14ac:dyDescent="0.2">
      <c r="A9467" s="82"/>
      <c r="B9467" s="82"/>
      <c r="C9467" s="82"/>
    </row>
    <row r="9468" spans="1:3" x14ac:dyDescent="0.2">
      <c r="A9468" s="82"/>
      <c r="B9468" s="82"/>
      <c r="C9468" s="82"/>
    </row>
    <row r="9469" spans="1:3" x14ac:dyDescent="0.2">
      <c r="A9469" s="82"/>
      <c r="B9469" s="82"/>
      <c r="C9469" s="82"/>
    </row>
    <row r="9470" spans="1:3" x14ac:dyDescent="0.2">
      <c r="A9470" s="82"/>
      <c r="B9470" s="82"/>
      <c r="C9470" s="82"/>
    </row>
    <row r="9471" spans="1:3" x14ac:dyDescent="0.2">
      <c r="A9471" s="82"/>
      <c r="B9471" s="82"/>
      <c r="C9471" s="82"/>
    </row>
    <row r="9472" spans="1:3" x14ac:dyDescent="0.2">
      <c r="A9472" s="82"/>
      <c r="B9472" s="82"/>
      <c r="C9472" s="82"/>
    </row>
    <row r="9473" spans="1:3" x14ac:dyDescent="0.2">
      <c r="A9473" s="82"/>
      <c r="B9473" s="82"/>
      <c r="C9473" s="82"/>
    </row>
    <row r="9474" spans="1:3" x14ac:dyDescent="0.2">
      <c r="A9474" s="82"/>
      <c r="B9474" s="82"/>
      <c r="C9474" s="82"/>
    </row>
    <row r="9475" spans="1:3" x14ac:dyDescent="0.2">
      <c r="A9475" s="82"/>
      <c r="B9475" s="82"/>
      <c r="C9475" s="82"/>
    </row>
    <row r="9476" spans="1:3" x14ac:dyDescent="0.2">
      <c r="A9476" s="82"/>
      <c r="B9476" s="82"/>
      <c r="C9476" s="82"/>
    </row>
    <row r="9477" spans="1:3" x14ac:dyDescent="0.2">
      <c r="A9477" s="82"/>
      <c r="B9477" s="82"/>
      <c r="C9477" s="82"/>
    </row>
    <row r="9478" spans="1:3" x14ac:dyDescent="0.2">
      <c r="A9478" s="82"/>
      <c r="B9478" s="82"/>
      <c r="C9478" s="82"/>
    </row>
    <row r="9479" spans="1:3" x14ac:dyDescent="0.2">
      <c r="A9479" s="82"/>
      <c r="B9479" s="82"/>
      <c r="C9479" s="82"/>
    </row>
    <row r="9480" spans="1:3" x14ac:dyDescent="0.2">
      <c r="A9480" s="82"/>
      <c r="B9480" s="82"/>
      <c r="C9480" s="82"/>
    </row>
    <row r="9481" spans="1:3" x14ac:dyDescent="0.2">
      <c r="A9481" s="82"/>
      <c r="B9481" s="82"/>
      <c r="C9481" s="82"/>
    </row>
    <row r="9482" spans="1:3" x14ac:dyDescent="0.2">
      <c r="A9482" s="82"/>
      <c r="B9482" s="82"/>
      <c r="C9482" s="82"/>
    </row>
    <row r="9483" spans="1:3" x14ac:dyDescent="0.2">
      <c r="A9483" s="82"/>
      <c r="B9483" s="82"/>
      <c r="C9483" s="82"/>
    </row>
    <row r="9484" spans="1:3" x14ac:dyDescent="0.2">
      <c r="A9484" s="82"/>
      <c r="B9484" s="82"/>
      <c r="C9484" s="82"/>
    </row>
    <row r="9485" spans="1:3" x14ac:dyDescent="0.2">
      <c r="A9485" s="82"/>
      <c r="B9485" s="82"/>
      <c r="C9485" s="82"/>
    </row>
    <row r="9486" spans="1:3" x14ac:dyDescent="0.2">
      <c r="A9486" s="82"/>
      <c r="B9486" s="82"/>
      <c r="C9486" s="82"/>
    </row>
    <row r="9487" spans="1:3" x14ac:dyDescent="0.2">
      <c r="A9487" s="82"/>
      <c r="B9487" s="82"/>
      <c r="C9487" s="82"/>
    </row>
    <row r="9488" spans="1:3" x14ac:dyDescent="0.2">
      <c r="A9488" s="82"/>
      <c r="B9488" s="82"/>
      <c r="C9488" s="82"/>
    </row>
    <row r="9489" spans="1:3" x14ac:dyDescent="0.2">
      <c r="A9489" s="82"/>
      <c r="B9489" s="82"/>
      <c r="C9489" s="82"/>
    </row>
    <row r="9490" spans="1:3" x14ac:dyDescent="0.2">
      <c r="A9490" s="82"/>
      <c r="B9490" s="82"/>
      <c r="C9490" s="82"/>
    </row>
    <row r="9491" spans="1:3" x14ac:dyDescent="0.2">
      <c r="A9491" s="82"/>
      <c r="B9491" s="82"/>
      <c r="C9491" s="82"/>
    </row>
    <row r="9492" spans="1:3" x14ac:dyDescent="0.2">
      <c r="A9492" s="82"/>
      <c r="B9492" s="82"/>
      <c r="C9492" s="82"/>
    </row>
    <row r="9493" spans="1:3" x14ac:dyDescent="0.2">
      <c r="A9493" s="82"/>
      <c r="B9493" s="82"/>
      <c r="C9493" s="82"/>
    </row>
    <row r="9494" spans="1:3" x14ac:dyDescent="0.2">
      <c r="A9494" s="82"/>
      <c r="B9494" s="82"/>
      <c r="C9494" s="82"/>
    </row>
    <row r="9495" spans="1:3" x14ac:dyDescent="0.2">
      <c r="A9495" s="82"/>
      <c r="B9495" s="82"/>
      <c r="C9495" s="82"/>
    </row>
    <row r="9496" spans="1:3" x14ac:dyDescent="0.2">
      <c r="A9496" s="82"/>
      <c r="B9496" s="82"/>
      <c r="C9496" s="82"/>
    </row>
    <row r="9497" spans="1:3" x14ac:dyDescent="0.2">
      <c r="A9497" s="82"/>
      <c r="B9497" s="82"/>
      <c r="C9497" s="82"/>
    </row>
    <row r="9498" spans="1:3" x14ac:dyDescent="0.2">
      <c r="A9498" s="82"/>
      <c r="B9498" s="82"/>
      <c r="C9498" s="82"/>
    </row>
    <row r="9499" spans="1:3" x14ac:dyDescent="0.2">
      <c r="A9499" s="82"/>
      <c r="B9499" s="82"/>
      <c r="C9499" s="82"/>
    </row>
    <row r="9500" spans="1:3" x14ac:dyDescent="0.2">
      <c r="A9500" s="82"/>
      <c r="B9500" s="82"/>
      <c r="C9500" s="82"/>
    </row>
    <row r="9501" spans="1:3" x14ac:dyDescent="0.2">
      <c r="A9501" s="82"/>
      <c r="B9501" s="82"/>
      <c r="C9501" s="82"/>
    </row>
    <row r="9502" spans="1:3" x14ac:dyDescent="0.2">
      <c r="A9502" s="82"/>
      <c r="B9502" s="82"/>
      <c r="C9502" s="82"/>
    </row>
    <row r="9503" spans="1:3" x14ac:dyDescent="0.2">
      <c r="A9503" s="82"/>
      <c r="B9503" s="82"/>
      <c r="C9503" s="82"/>
    </row>
    <row r="9504" spans="1:3" x14ac:dyDescent="0.2">
      <c r="A9504" s="82"/>
      <c r="B9504" s="82"/>
      <c r="C9504" s="82"/>
    </row>
    <row r="9505" spans="1:3" x14ac:dyDescent="0.2">
      <c r="A9505" s="82"/>
      <c r="B9505" s="82"/>
      <c r="C9505" s="82"/>
    </row>
    <row r="9506" spans="1:3" x14ac:dyDescent="0.2">
      <c r="A9506" s="82"/>
      <c r="B9506" s="82"/>
      <c r="C9506" s="82"/>
    </row>
    <row r="9507" spans="1:3" x14ac:dyDescent="0.2">
      <c r="A9507" s="82"/>
      <c r="B9507" s="82"/>
      <c r="C9507" s="82"/>
    </row>
    <row r="9508" spans="1:3" x14ac:dyDescent="0.2">
      <c r="A9508" s="82"/>
      <c r="B9508" s="82"/>
      <c r="C9508" s="82"/>
    </row>
    <row r="9509" spans="1:3" x14ac:dyDescent="0.2">
      <c r="A9509" s="82"/>
      <c r="B9509" s="82"/>
      <c r="C9509" s="82"/>
    </row>
    <row r="9510" spans="1:3" x14ac:dyDescent="0.2">
      <c r="A9510" s="82"/>
      <c r="B9510" s="82"/>
      <c r="C9510" s="82"/>
    </row>
    <row r="9511" spans="1:3" x14ac:dyDescent="0.2">
      <c r="A9511" s="82"/>
      <c r="B9511" s="82"/>
      <c r="C9511" s="82"/>
    </row>
    <row r="9512" spans="1:3" x14ac:dyDescent="0.2">
      <c r="A9512" s="82"/>
      <c r="B9512" s="82"/>
      <c r="C9512" s="82"/>
    </row>
    <row r="9513" spans="1:3" x14ac:dyDescent="0.2">
      <c r="A9513" s="82"/>
      <c r="B9513" s="82"/>
      <c r="C9513" s="82"/>
    </row>
    <row r="9514" spans="1:3" x14ac:dyDescent="0.2">
      <c r="A9514" s="82"/>
      <c r="B9514" s="82"/>
      <c r="C9514" s="82"/>
    </row>
    <row r="9515" spans="1:3" x14ac:dyDescent="0.2">
      <c r="A9515" s="82"/>
      <c r="B9515" s="82"/>
      <c r="C9515" s="82"/>
    </row>
    <row r="9516" spans="1:3" x14ac:dyDescent="0.2">
      <c r="A9516" s="82"/>
      <c r="B9516" s="82"/>
      <c r="C9516" s="82"/>
    </row>
    <row r="9517" spans="1:3" x14ac:dyDescent="0.2">
      <c r="A9517" s="82"/>
      <c r="B9517" s="82"/>
      <c r="C9517" s="82"/>
    </row>
    <row r="9518" spans="1:3" x14ac:dyDescent="0.2">
      <c r="A9518" s="82"/>
      <c r="B9518" s="82"/>
      <c r="C9518" s="82"/>
    </row>
    <row r="9519" spans="1:3" x14ac:dyDescent="0.2">
      <c r="A9519" s="82"/>
      <c r="B9519" s="82"/>
      <c r="C9519" s="82"/>
    </row>
    <row r="9520" spans="1:3" x14ac:dyDescent="0.2">
      <c r="A9520" s="82"/>
      <c r="B9520" s="82"/>
      <c r="C9520" s="82"/>
    </row>
    <row r="9521" spans="1:3" x14ac:dyDescent="0.2">
      <c r="A9521" s="82"/>
      <c r="B9521" s="82"/>
      <c r="C9521" s="82"/>
    </row>
    <row r="9522" spans="1:3" x14ac:dyDescent="0.2">
      <c r="A9522" s="82"/>
      <c r="B9522" s="82"/>
      <c r="C9522" s="82"/>
    </row>
    <row r="9523" spans="1:3" x14ac:dyDescent="0.2">
      <c r="A9523" s="82"/>
      <c r="B9523" s="82"/>
      <c r="C9523" s="82"/>
    </row>
    <row r="9524" spans="1:3" x14ac:dyDescent="0.2">
      <c r="A9524" s="82"/>
      <c r="B9524" s="82"/>
      <c r="C9524" s="82"/>
    </row>
    <row r="9525" spans="1:3" x14ac:dyDescent="0.2">
      <c r="A9525" s="82"/>
      <c r="B9525" s="82"/>
      <c r="C9525" s="82"/>
    </row>
    <row r="9526" spans="1:3" x14ac:dyDescent="0.2">
      <c r="A9526" s="82"/>
      <c r="B9526" s="82"/>
      <c r="C9526" s="82"/>
    </row>
    <row r="9527" spans="1:3" x14ac:dyDescent="0.2">
      <c r="A9527" s="82"/>
      <c r="B9527" s="82"/>
      <c r="C9527" s="82"/>
    </row>
    <row r="9528" spans="1:3" x14ac:dyDescent="0.2">
      <c r="A9528" s="82"/>
      <c r="B9528" s="82"/>
      <c r="C9528" s="82"/>
    </row>
    <row r="9529" spans="1:3" x14ac:dyDescent="0.2">
      <c r="A9529" s="82"/>
      <c r="B9529" s="82"/>
      <c r="C9529" s="82"/>
    </row>
    <row r="9530" spans="1:3" x14ac:dyDescent="0.2">
      <c r="A9530" s="82"/>
      <c r="B9530" s="82"/>
      <c r="C9530" s="82"/>
    </row>
    <row r="9531" spans="1:3" x14ac:dyDescent="0.2">
      <c r="A9531" s="82"/>
      <c r="B9531" s="82"/>
      <c r="C9531" s="82"/>
    </row>
    <row r="9532" spans="1:3" x14ac:dyDescent="0.2">
      <c r="A9532" s="82"/>
      <c r="B9532" s="82"/>
      <c r="C9532" s="82"/>
    </row>
    <row r="9533" spans="1:3" x14ac:dyDescent="0.2">
      <c r="A9533" s="82"/>
      <c r="B9533" s="82"/>
      <c r="C9533" s="82"/>
    </row>
    <row r="9534" spans="1:3" x14ac:dyDescent="0.2">
      <c r="A9534" s="82"/>
      <c r="B9534" s="82"/>
      <c r="C9534" s="82"/>
    </row>
    <row r="9535" spans="1:3" x14ac:dyDescent="0.2">
      <c r="A9535" s="82"/>
      <c r="B9535" s="82"/>
      <c r="C9535" s="82"/>
    </row>
    <row r="9536" spans="1:3" x14ac:dyDescent="0.2">
      <c r="A9536" s="82"/>
      <c r="B9536" s="82"/>
      <c r="C9536" s="82"/>
    </row>
    <row r="9537" spans="1:3" x14ac:dyDescent="0.2">
      <c r="A9537" s="82"/>
      <c r="B9537" s="82"/>
      <c r="C9537" s="82"/>
    </row>
    <row r="9538" spans="1:3" x14ac:dyDescent="0.2">
      <c r="A9538" s="82"/>
      <c r="B9538" s="82"/>
      <c r="C9538" s="82"/>
    </row>
    <row r="9539" spans="1:3" x14ac:dyDescent="0.2">
      <c r="A9539" s="82"/>
      <c r="B9539" s="82"/>
      <c r="C9539" s="82"/>
    </row>
    <row r="9540" spans="1:3" x14ac:dyDescent="0.2">
      <c r="A9540" s="82"/>
      <c r="B9540" s="82"/>
      <c r="C9540" s="82"/>
    </row>
    <row r="9541" spans="1:3" x14ac:dyDescent="0.2">
      <c r="A9541" s="82"/>
      <c r="B9541" s="82"/>
      <c r="C9541" s="82"/>
    </row>
    <row r="9542" spans="1:3" x14ac:dyDescent="0.2">
      <c r="A9542" s="82"/>
      <c r="B9542" s="82"/>
      <c r="C9542" s="82"/>
    </row>
    <row r="9543" spans="1:3" x14ac:dyDescent="0.2">
      <c r="A9543" s="82"/>
      <c r="B9543" s="82"/>
      <c r="C9543" s="82"/>
    </row>
    <row r="9544" spans="1:3" x14ac:dyDescent="0.2">
      <c r="A9544" s="82"/>
      <c r="B9544" s="82"/>
      <c r="C9544" s="82"/>
    </row>
    <row r="9545" spans="1:3" x14ac:dyDescent="0.2">
      <c r="A9545" s="82"/>
      <c r="B9545" s="82"/>
      <c r="C9545" s="82"/>
    </row>
    <row r="9546" spans="1:3" x14ac:dyDescent="0.2">
      <c r="A9546" s="82"/>
      <c r="B9546" s="82"/>
      <c r="C9546" s="82"/>
    </row>
    <row r="9547" spans="1:3" x14ac:dyDescent="0.2">
      <c r="A9547" s="82"/>
      <c r="B9547" s="82"/>
      <c r="C9547" s="82"/>
    </row>
    <row r="9548" spans="1:3" x14ac:dyDescent="0.2">
      <c r="A9548" s="82"/>
      <c r="B9548" s="82"/>
      <c r="C9548" s="82"/>
    </row>
    <row r="9549" spans="1:3" x14ac:dyDescent="0.2">
      <c r="A9549" s="82"/>
      <c r="B9549" s="82"/>
      <c r="C9549" s="82"/>
    </row>
    <row r="9550" spans="1:3" x14ac:dyDescent="0.2">
      <c r="A9550" s="82"/>
      <c r="B9550" s="82"/>
      <c r="C9550" s="82"/>
    </row>
    <row r="9551" spans="1:3" x14ac:dyDescent="0.2">
      <c r="A9551" s="82"/>
      <c r="B9551" s="82"/>
      <c r="C9551" s="82"/>
    </row>
    <row r="9552" spans="1:3" x14ac:dyDescent="0.2">
      <c r="A9552" s="82"/>
      <c r="B9552" s="82"/>
      <c r="C9552" s="82"/>
    </row>
    <row r="9553" spans="1:3" x14ac:dyDescent="0.2">
      <c r="A9553" s="82"/>
      <c r="B9553" s="82"/>
      <c r="C9553" s="82"/>
    </row>
    <row r="9554" spans="1:3" x14ac:dyDescent="0.2">
      <c r="A9554" s="82"/>
      <c r="B9554" s="82"/>
      <c r="C9554" s="82"/>
    </row>
    <row r="9555" spans="1:3" x14ac:dyDescent="0.2">
      <c r="A9555" s="82"/>
      <c r="B9555" s="82"/>
      <c r="C9555" s="82"/>
    </row>
    <row r="9556" spans="1:3" x14ac:dyDescent="0.2">
      <c r="A9556" s="82"/>
      <c r="B9556" s="82"/>
      <c r="C9556" s="82"/>
    </row>
    <row r="9557" spans="1:3" x14ac:dyDescent="0.2">
      <c r="A9557" s="82"/>
      <c r="B9557" s="82"/>
      <c r="C9557" s="82"/>
    </row>
    <row r="9558" spans="1:3" x14ac:dyDescent="0.2">
      <c r="A9558" s="82"/>
      <c r="B9558" s="82"/>
      <c r="C9558" s="82"/>
    </row>
    <row r="9559" spans="1:3" x14ac:dyDescent="0.2">
      <c r="A9559" s="82"/>
      <c r="B9559" s="82"/>
      <c r="C9559" s="82"/>
    </row>
    <row r="9560" spans="1:3" x14ac:dyDescent="0.2">
      <c r="A9560" s="82"/>
      <c r="B9560" s="82"/>
      <c r="C9560" s="82"/>
    </row>
    <row r="9561" spans="1:3" x14ac:dyDescent="0.2">
      <c r="A9561" s="82"/>
      <c r="B9561" s="82"/>
      <c r="C9561" s="82"/>
    </row>
    <row r="9562" spans="1:3" x14ac:dyDescent="0.2">
      <c r="A9562" s="82"/>
      <c r="B9562" s="82"/>
      <c r="C9562" s="82"/>
    </row>
    <row r="9563" spans="1:3" x14ac:dyDescent="0.2">
      <c r="A9563" s="82"/>
      <c r="B9563" s="82"/>
      <c r="C9563" s="82"/>
    </row>
    <row r="9564" spans="1:3" x14ac:dyDescent="0.2">
      <c r="A9564" s="82"/>
      <c r="B9564" s="82"/>
      <c r="C9564" s="82"/>
    </row>
    <row r="9565" spans="1:3" x14ac:dyDescent="0.2">
      <c r="A9565" s="82"/>
      <c r="B9565" s="82"/>
      <c r="C9565" s="82"/>
    </row>
    <row r="9566" spans="1:3" x14ac:dyDescent="0.2">
      <c r="A9566" s="82"/>
      <c r="B9566" s="82"/>
      <c r="C9566" s="82"/>
    </row>
    <row r="9567" spans="1:3" x14ac:dyDescent="0.2">
      <c r="A9567" s="82"/>
      <c r="B9567" s="82"/>
      <c r="C9567" s="82"/>
    </row>
    <row r="9568" spans="1:3" x14ac:dyDescent="0.2">
      <c r="A9568" s="82"/>
      <c r="B9568" s="82"/>
      <c r="C9568" s="82"/>
    </row>
    <row r="9569" spans="1:3" x14ac:dyDescent="0.2">
      <c r="A9569" s="82"/>
      <c r="B9569" s="82"/>
      <c r="C9569" s="82"/>
    </row>
    <row r="9570" spans="1:3" x14ac:dyDescent="0.2">
      <c r="A9570" s="82"/>
      <c r="B9570" s="82"/>
      <c r="C9570" s="82"/>
    </row>
    <row r="9571" spans="1:3" x14ac:dyDescent="0.2">
      <c r="A9571" s="82"/>
      <c r="B9571" s="82"/>
      <c r="C9571" s="82"/>
    </row>
    <row r="9572" spans="1:3" x14ac:dyDescent="0.2">
      <c r="A9572" s="82"/>
      <c r="B9572" s="82"/>
      <c r="C9572" s="82"/>
    </row>
    <row r="9573" spans="1:3" x14ac:dyDescent="0.2">
      <c r="A9573" s="82"/>
      <c r="B9573" s="82"/>
      <c r="C9573" s="82"/>
    </row>
    <row r="9574" spans="1:3" x14ac:dyDescent="0.2">
      <c r="A9574" s="82"/>
      <c r="B9574" s="82"/>
      <c r="C9574" s="82"/>
    </row>
    <row r="9575" spans="1:3" x14ac:dyDescent="0.2">
      <c r="A9575" s="82"/>
      <c r="B9575" s="82"/>
      <c r="C9575" s="82"/>
    </row>
    <row r="9576" spans="1:3" x14ac:dyDescent="0.2">
      <c r="A9576" s="82"/>
      <c r="B9576" s="82"/>
      <c r="C9576" s="82"/>
    </row>
    <row r="9577" spans="1:3" x14ac:dyDescent="0.2">
      <c r="A9577" s="82"/>
      <c r="B9577" s="82"/>
      <c r="C9577" s="82"/>
    </row>
    <row r="9578" spans="1:3" x14ac:dyDescent="0.2">
      <c r="A9578" s="82"/>
      <c r="B9578" s="82"/>
      <c r="C9578" s="82"/>
    </row>
    <row r="9579" spans="1:3" x14ac:dyDescent="0.2">
      <c r="A9579" s="82"/>
      <c r="B9579" s="82"/>
      <c r="C9579" s="82"/>
    </row>
    <row r="9580" spans="1:3" x14ac:dyDescent="0.2">
      <c r="A9580" s="82"/>
      <c r="B9580" s="82"/>
      <c r="C9580" s="82"/>
    </row>
    <row r="9581" spans="1:3" x14ac:dyDescent="0.2">
      <c r="A9581" s="82"/>
      <c r="B9581" s="82"/>
      <c r="C9581" s="82"/>
    </row>
    <row r="9582" spans="1:3" x14ac:dyDescent="0.2">
      <c r="A9582" s="82"/>
      <c r="B9582" s="82"/>
      <c r="C9582" s="82"/>
    </row>
    <row r="9583" spans="1:3" x14ac:dyDescent="0.2">
      <c r="A9583" s="82"/>
      <c r="B9583" s="82"/>
      <c r="C9583" s="82"/>
    </row>
    <row r="9584" spans="1:3" x14ac:dyDescent="0.2">
      <c r="A9584" s="82"/>
      <c r="B9584" s="82"/>
      <c r="C9584" s="82"/>
    </row>
    <row r="9585" spans="1:3" x14ac:dyDescent="0.2">
      <c r="A9585" s="82"/>
      <c r="B9585" s="82"/>
      <c r="C9585" s="82"/>
    </row>
    <row r="9586" spans="1:3" x14ac:dyDescent="0.2">
      <c r="A9586" s="82"/>
      <c r="B9586" s="82"/>
      <c r="C9586" s="82"/>
    </row>
    <row r="9587" spans="1:3" x14ac:dyDescent="0.2">
      <c r="A9587" s="82"/>
      <c r="B9587" s="82"/>
      <c r="C9587" s="82"/>
    </row>
    <row r="9588" spans="1:3" x14ac:dyDescent="0.2">
      <c r="A9588" s="82"/>
      <c r="B9588" s="82"/>
      <c r="C9588" s="82"/>
    </row>
    <row r="9589" spans="1:3" x14ac:dyDescent="0.2">
      <c r="A9589" s="82"/>
      <c r="B9589" s="82"/>
      <c r="C9589" s="82"/>
    </row>
    <row r="9590" spans="1:3" x14ac:dyDescent="0.2">
      <c r="A9590" s="82"/>
      <c r="B9590" s="82"/>
      <c r="C9590" s="82"/>
    </row>
    <row r="9591" spans="1:3" x14ac:dyDescent="0.2">
      <c r="A9591" s="82"/>
      <c r="B9591" s="82"/>
      <c r="C9591" s="82"/>
    </row>
    <row r="9592" spans="1:3" x14ac:dyDescent="0.2">
      <c r="A9592" s="82"/>
      <c r="B9592" s="82"/>
      <c r="C9592" s="82"/>
    </row>
    <row r="9593" spans="1:3" x14ac:dyDescent="0.2">
      <c r="A9593" s="82"/>
      <c r="B9593" s="82"/>
      <c r="C9593" s="82"/>
    </row>
    <row r="9594" spans="1:3" x14ac:dyDescent="0.2">
      <c r="A9594" s="82"/>
      <c r="B9594" s="82"/>
      <c r="C9594" s="82"/>
    </row>
    <row r="9595" spans="1:3" x14ac:dyDescent="0.2">
      <c r="A9595" s="82"/>
      <c r="B9595" s="82"/>
      <c r="C9595" s="82"/>
    </row>
    <row r="9596" spans="1:3" x14ac:dyDescent="0.2">
      <c r="A9596" s="82"/>
      <c r="B9596" s="82"/>
      <c r="C9596" s="82"/>
    </row>
    <row r="9597" spans="1:3" x14ac:dyDescent="0.2">
      <c r="A9597" s="82"/>
      <c r="B9597" s="82"/>
      <c r="C9597" s="82"/>
    </row>
    <row r="9598" spans="1:3" x14ac:dyDescent="0.2">
      <c r="A9598" s="82"/>
      <c r="B9598" s="82"/>
      <c r="C9598" s="82"/>
    </row>
    <row r="9599" spans="1:3" x14ac:dyDescent="0.2">
      <c r="A9599" s="82"/>
      <c r="B9599" s="82"/>
      <c r="C9599" s="82"/>
    </row>
    <row r="9600" spans="1:3" x14ac:dyDescent="0.2">
      <c r="A9600" s="82"/>
      <c r="B9600" s="82"/>
      <c r="C9600" s="82"/>
    </row>
    <row r="9601" spans="1:3" x14ac:dyDescent="0.2">
      <c r="A9601" s="82"/>
      <c r="B9601" s="82"/>
      <c r="C9601" s="82"/>
    </row>
    <row r="9602" spans="1:3" x14ac:dyDescent="0.2">
      <c r="A9602" s="82"/>
      <c r="B9602" s="82"/>
      <c r="C9602" s="82"/>
    </row>
    <row r="9603" spans="1:3" x14ac:dyDescent="0.2">
      <c r="A9603" s="82"/>
      <c r="B9603" s="82"/>
      <c r="C9603" s="82"/>
    </row>
    <row r="9604" spans="1:3" x14ac:dyDescent="0.2">
      <c r="A9604" s="82"/>
      <c r="B9604" s="82"/>
      <c r="C9604" s="82"/>
    </row>
    <row r="9605" spans="1:3" x14ac:dyDescent="0.2">
      <c r="A9605" s="82"/>
      <c r="B9605" s="82"/>
      <c r="C9605" s="82"/>
    </row>
    <row r="9606" spans="1:3" x14ac:dyDescent="0.2">
      <c r="A9606" s="82"/>
      <c r="B9606" s="82"/>
      <c r="C9606" s="82"/>
    </row>
    <row r="9607" spans="1:3" x14ac:dyDescent="0.2">
      <c r="A9607" s="82"/>
      <c r="B9607" s="82"/>
      <c r="C9607" s="82"/>
    </row>
    <row r="9608" spans="1:3" x14ac:dyDescent="0.2">
      <c r="A9608" s="82"/>
      <c r="B9608" s="82"/>
      <c r="C9608" s="82"/>
    </row>
    <row r="9609" spans="1:3" x14ac:dyDescent="0.2">
      <c r="A9609" s="82"/>
      <c r="B9609" s="82"/>
      <c r="C9609" s="82"/>
    </row>
    <row r="9610" spans="1:3" x14ac:dyDescent="0.2">
      <c r="A9610" s="82"/>
      <c r="B9610" s="82"/>
      <c r="C9610" s="82"/>
    </row>
    <row r="9611" spans="1:3" x14ac:dyDescent="0.2">
      <c r="A9611" s="82"/>
      <c r="B9611" s="82"/>
      <c r="C9611" s="82"/>
    </row>
    <row r="9612" spans="1:3" x14ac:dyDescent="0.2">
      <c r="A9612" s="82"/>
      <c r="B9612" s="82"/>
      <c r="C9612" s="82"/>
    </row>
    <row r="9613" spans="1:3" x14ac:dyDescent="0.2">
      <c r="A9613" s="82"/>
      <c r="B9613" s="82"/>
      <c r="C9613" s="82"/>
    </row>
    <row r="9614" spans="1:3" x14ac:dyDescent="0.2">
      <c r="A9614" s="82"/>
      <c r="B9614" s="82"/>
      <c r="C9614" s="82"/>
    </row>
    <row r="9615" spans="1:3" x14ac:dyDescent="0.2">
      <c r="A9615" s="82"/>
      <c r="B9615" s="82"/>
      <c r="C9615" s="82"/>
    </row>
    <row r="9616" spans="1:3" x14ac:dyDescent="0.2">
      <c r="A9616" s="82"/>
      <c r="B9616" s="82"/>
      <c r="C9616" s="82"/>
    </row>
    <row r="9617" spans="1:3" x14ac:dyDescent="0.2">
      <c r="A9617" s="82"/>
      <c r="B9617" s="82"/>
      <c r="C9617" s="82"/>
    </row>
    <row r="9618" spans="1:3" x14ac:dyDescent="0.2">
      <c r="A9618" s="82"/>
      <c r="B9618" s="82"/>
      <c r="C9618" s="82"/>
    </row>
    <row r="9619" spans="1:3" x14ac:dyDescent="0.2">
      <c r="A9619" s="82"/>
      <c r="B9619" s="82"/>
      <c r="C9619" s="82"/>
    </row>
    <row r="9620" spans="1:3" x14ac:dyDescent="0.2">
      <c r="A9620" s="82"/>
      <c r="B9620" s="82"/>
      <c r="C9620" s="82"/>
    </row>
    <row r="9621" spans="1:3" x14ac:dyDescent="0.2">
      <c r="A9621" s="82"/>
      <c r="B9621" s="82"/>
      <c r="C9621" s="82"/>
    </row>
    <row r="9622" spans="1:3" x14ac:dyDescent="0.2">
      <c r="A9622" s="82"/>
      <c r="B9622" s="82"/>
      <c r="C9622" s="82"/>
    </row>
    <row r="9623" spans="1:3" x14ac:dyDescent="0.2">
      <c r="A9623" s="82"/>
      <c r="B9623" s="82"/>
      <c r="C9623" s="82"/>
    </row>
    <row r="9624" spans="1:3" x14ac:dyDescent="0.2">
      <c r="A9624" s="82"/>
      <c r="B9624" s="82"/>
      <c r="C9624" s="82"/>
    </row>
    <row r="9625" spans="1:3" x14ac:dyDescent="0.2">
      <c r="A9625" s="82"/>
      <c r="B9625" s="82"/>
      <c r="C9625" s="82"/>
    </row>
    <row r="9626" spans="1:3" x14ac:dyDescent="0.2">
      <c r="A9626" s="82"/>
      <c r="B9626" s="82"/>
      <c r="C9626" s="82"/>
    </row>
    <row r="9627" spans="1:3" x14ac:dyDescent="0.2">
      <c r="A9627" s="82"/>
      <c r="B9627" s="82"/>
      <c r="C9627" s="82"/>
    </row>
    <row r="9628" spans="1:3" x14ac:dyDescent="0.2">
      <c r="A9628" s="82"/>
      <c r="B9628" s="82"/>
      <c r="C9628" s="82"/>
    </row>
    <row r="9629" spans="1:3" x14ac:dyDescent="0.2">
      <c r="A9629" s="82"/>
      <c r="B9629" s="82"/>
      <c r="C9629" s="82"/>
    </row>
    <row r="9630" spans="1:3" x14ac:dyDescent="0.2">
      <c r="A9630" s="82"/>
      <c r="B9630" s="82"/>
      <c r="C9630" s="82"/>
    </row>
    <row r="9631" spans="1:3" x14ac:dyDescent="0.2">
      <c r="A9631" s="82"/>
      <c r="B9631" s="82"/>
      <c r="C9631" s="82"/>
    </row>
    <row r="9632" spans="1:3" x14ac:dyDescent="0.2">
      <c r="A9632" s="82"/>
      <c r="B9632" s="82"/>
      <c r="C9632" s="82"/>
    </row>
    <row r="9633" spans="1:3" x14ac:dyDescent="0.2">
      <c r="A9633" s="82"/>
      <c r="B9633" s="82"/>
      <c r="C9633" s="82"/>
    </row>
    <row r="9634" spans="1:3" x14ac:dyDescent="0.2">
      <c r="A9634" s="82"/>
      <c r="B9634" s="82"/>
      <c r="C9634" s="82"/>
    </row>
    <row r="9635" spans="1:3" x14ac:dyDescent="0.2">
      <c r="A9635" s="82"/>
      <c r="B9635" s="82"/>
      <c r="C9635" s="82"/>
    </row>
    <row r="9636" spans="1:3" x14ac:dyDescent="0.2">
      <c r="A9636" s="82"/>
      <c r="B9636" s="82"/>
      <c r="C9636" s="82"/>
    </row>
    <row r="9637" spans="1:3" x14ac:dyDescent="0.2">
      <c r="A9637" s="82"/>
      <c r="B9637" s="82"/>
      <c r="C9637" s="82"/>
    </row>
    <row r="9638" spans="1:3" x14ac:dyDescent="0.2">
      <c r="A9638" s="82"/>
      <c r="B9638" s="82"/>
      <c r="C9638" s="82"/>
    </row>
    <row r="9639" spans="1:3" x14ac:dyDescent="0.2">
      <c r="A9639" s="82"/>
      <c r="B9639" s="82"/>
      <c r="C9639" s="82"/>
    </row>
    <row r="9640" spans="1:3" x14ac:dyDescent="0.2">
      <c r="A9640" s="82"/>
      <c r="B9640" s="82"/>
      <c r="C9640" s="82"/>
    </row>
    <row r="9641" spans="1:3" x14ac:dyDescent="0.2">
      <c r="A9641" s="82"/>
      <c r="B9641" s="82"/>
      <c r="C9641" s="82"/>
    </row>
    <row r="9642" spans="1:3" x14ac:dyDescent="0.2">
      <c r="A9642" s="82"/>
      <c r="B9642" s="82"/>
      <c r="C9642" s="82"/>
    </row>
    <row r="9643" spans="1:3" x14ac:dyDescent="0.2">
      <c r="A9643" s="82"/>
      <c r="B9643" s="82"/>
      <c r="C9643" s="82"/>
    </row>
    <row r="9644" spans="1:3" x14ac:dyDescent="0.2">
      <c r="A9644" s="82"/>
      <c r="B9644" s="82"/>
      <c r="C9644" s="82"/>
    </row>
    <row r="9645" spans="1:3" x14ac:dyDescent="0.2">
      <c r="A9645" s="82"/>
      <c r="B9645" s="82"/>
      <c r="C9645" s="82"/>
    </row>
    <row r="9646" spans="1:3" x14ac:dyDescent="0.2">
      <c r="A9646" s="82"/>
      <c r="B9646" s="82"/>
      <c r="C9646" s="82"/>
    </row>
    <row r="9647" spans="1:3" x14ac:dyDescent="0.2">
      <c r="A9647" s="82"/>
      <c r="B9647" s="82"/>
      <c r="C9647" s="82"/>
    </row>
    <row r="9648" spans="1:3" x14ac:dyDescent="0.2">
      <c r="A9648" s="82"/>
      <c r="B9648" s="82"/>
      <c r="C9648" s="82"/>
    </row>
    <row r="9649" spans="1:3" x14ac:dyDescent="0.2">
      <c r="A9649" s="82"/>
      <c r="B9649" s="82"/>
      <c r="C9649" s="82"/>
    </row>
    <row r="9650" spans="1:3" x14ac:dyDescent="0.2">
      <c r="A9650" s="82"/>
      <c r="B9650" s="82"/>
      <c r="C9650" s="82"/>
    </row>
    <row r="9651" spans="1:3" x14ac:dyDescent="0.2">
      <c r="A9651" s="82"/>
      <c r="B9651" s="82"/>
      <c r="C9651" s="82"/>
    </row>
    <row r="9652" spans="1:3" x14ac:dyDescent="0.2">
      <c r="A9652" s="82"/>
      <c r="B9652" s="82"/>
      <c r="C9652" s="82"/>
    </row>
    <row r="9653" spans="1:3" x14ac:dyDescent="0.2">
      <c r="A9653" s="82"/>
      <c r="B9653" s="82"/>
      <c r="C9653" s="82"/>
    </row>
    <row r="9654" spans="1:3" x14ac:dyDescent="0.2">
      <c r="A9654" s="82"/>
      <c r="B9654" s="82"/>
      <c r="C9654" s="82"/>
    </row>
    <row r="9655" spans="1:3" x14ac:dyDescent="0.2">
      <c r="A9655" s="82"/>
      <c r="B9655" s="82"/>
      <c r="C9655" s="82"/>
    </row>
    <row r="9656" spans="1:3" x14ac:dyDescent="0.2">
      <c r="A9656" s="82"/>
      <c r="B9656" s="82"/>
      <c r="C9656" s="82"/>
    </row>
    <row r="9657" spans="1:3" x14ac:dyDescent="0.2">
      <c r="A9657" s="82"/>
      <c r="B9657" s="82"/>
      <c r="C9657" s="82"/>
    </row>
    <row r="9658" spans="1:3" x14ac:dyDescent="0.2">
      <c r="A9658" s="82"/>
      <c r="B9658" s="82"/>
      <c r="C9658" s="82"/>
    </row>
    <row r="9659" spans="1:3" x14ac:dyDescent="0.2">
      <c r="A9659" s="82"/>
      <c r="B9659" s="82"/>
      <c r="C9659" s="82"/>
    </row>
    <row r="9660" spans="1:3" x14ac:dyDescent="0.2">
      <c r="A9660" s="82"/>
      <c r="B9660" s="82"/>
      <c r="C9660" s="82"/>
    </row>
    <row r="9661" spans="1:3" x14ac:dyDescent="0.2">
      <c r="A9661" s="82"/>
      <c r="B9661" s="82"/>
      <c r="C9661" s="82"/>
    </row>
    <row r="9662" spans="1:3" x14ac:dyDescent="0.2">
      <c r="A9662" s="82"/>
      <c r="B9662" s="82"/>
      <c r="C9662" s="82"/>
    </row>
    <row r="9663" spans="1:3" x14ac:dyDescent="0.2">
      <c r="A9663" s="82"/>
      <c r="B9663" s="82"/>
      <c r="C9663" s="82"/>
    </row>
    <row r="9664" spans="1:3" x14ac:dyDescent="0.2">
      <c r="A9664" s="82"/>
      <c r="B9664" s="82"/>
      <c r="C9664" s="82"/>
    </row>
    <row r="9665" spans="1:3" x14ac:dyDescent="0.2">
      <c r="A9665" s="82"/>
      <c r="B9665" s="82"/>
      <c r="C9665" s="82"/>
    </row>
    <row r="9666" spans="1:3" x14ac:dyDescent="0.2">
      <c r="A9666" s="82"/>
      <c r="B9666" s="82"/>
      <c r="C9666" s="82"/>
    </row>
    <row r="9667" spans="1:3" x14ac:dyDescent="0.2">
      <c r="A9667" s="82"/>
      <c r="B9667" s="82"/>
      <c r="C9667" s="82"/>
    </row>
    <row r="9668" spans="1:3" x14ac:dyDescent="0.2">
      <c r="A9668" s="82"/>
      <c r="B9668" s="82"/>
      <c r="C9668" s="82"/>
    </row>
    <row r="9669" spans="1:3" x14ac:dyDescent="0.2">
      <c r="A9669" s="82"/>
      <c r="B9669" s="82"/>
      <c r="C9669" s="82"/>
    </row>
    <row r="9670" spans="1:3" x14ac:dyDescent="0.2">
      <c r="A9670" s="82"/>
      <c r="B9670" s="82"/>
      <c r="C9670" s="82"/>
    </row>
    <row r="9671" spans="1:3" x14ac:dyDescent="0.2">
      <c r="A9671" s="82"/>
      <c r="B9671" s="82"/>
      <c r="C9671" s="82"/>
    </row>
    <row r="9672" spans="1:3" x14ac:dyDescent="0.2">
      <c r="A9672" s="82"/>
      <c r="B9672" s="82"/>
      <c r="C9672" s="82"/>
    </row>
    <row r="9673" spans="1:3" x14ac:dyDescent="0.2">
      <c r="A9673" s="82"/>
      <c r="B9673" s="82"/>
      <c r="C9673" s="82"/>
    </row>
    <row r="9674" spans="1:3" x14ac:dyDescent="0.2">
      <c r="A9674" s="82"/>
      <c r="B9674" s="82"/>
      <c r="C9674" s="82"/>
    </row>
    <row r="9675" spans="1:3" x14ac:dyDescent="0.2">
      <c r="A9675" s="82"/>
      <c r="B9675" s="82"/>
      <c r="C9675" s="82"/>
    </row>
    <row r="9676" spans="1:3" x14ac:dyDescent="0.2">
      <c r="A9676" s="82"/>
      <c r="B9676" s="82"/>
      <c r="C9676" s="82"/>
    </row>
    <row r="9677" spans="1:3" x14ac:dyDescent="0.2">
      <c r="A9677" s="82"/>
      <c r="B9677" s="82"/>
      <c r="C9677" s="82"/>
    </row>
    <row r="9678" spans="1:3" x14ac:dyDescent="0.2">
      <c r="A9678" s="82"/>
      <c r="B9678" s="82"/>
      <c r="C9678" s="82"/>
    </row>
    <row r="9679" spans="1:3" x14ac:dyDescent="0.2">
      <c r="A9679" s="82"/>
      <c r="B9679" s="82"/>
      <c r="C9679" s="82"/>
    </row>
    <row r="9680" spans="1:3" x14ac:dyDescent="0.2">
      <c r="A9680" s="82"/>
      <c r="B9680" s="82"/>
      <c r="C9680" s="82"/>
    </row>
    <row r="9681" spans="1:3" x14ac:dyDescent="0.2">
      <c r="A9681" s="82"/>
      <c r="B9681" s="82"/>
      <c r="C9681" s="82"/>
    </row>
    <row r="9682" spans="1:3" x14ac:dyDescent="0.2">
      <c r="A9682" s="82"/>
      <c r="B9682" s="82"/>
      <c r="C9682" s="82"/>
    </row>
    <row r="9683" spans="1:3" x14ac:dyDescent="0.2">
      <c r="A9683" s="82"/>
      <c r="B9683" s="82"/>
      <c r="C9683" s="82"/>
    </row>
    <row r="9684" spans="1:3" x14ac:dyDescent="0.2">
      <c r="A9684" s="82"/>
      <c r="B9684" s="82"/>
      <c r="C9684" s="82"/>
    </row>
    <row r="9685" spans="1:3" x14ac:dyDescent="0.2">
      <c r="A9685" s="82"/>
      <c r="B9685" s="82"/>
      <c r="C9685" s="82"/>
    </row>
    <row r="9686" spans="1:3" x14ac:dyDescent="0.2">
      <c r="A9686" s="82"/>
      <c r="B9686" s="82"/>
      <c r="C9686" s="82"/>
    </row>
    <row r="9687" spans="1:3" x14ac:dyDescent="0.2">
      <c r="A9687" s="82"/>
      <c r="B9687" s="82"/>
      <c r="C9687" s="82"/>
    </row>
    <row r="9688" spans="1:3" x14ac:dyDescent="0.2">
      <c r="A9688" s="82"/>
      <c r="B9688" s="82"/>
      <c r="C9688" s="82"/>
    </row>
    <row r="9689" spans="1:3" x14ac:dyDescent="0.2">
      <c r="A9689" s="82"/>
      <c r="B9689" s="82"/>
      <c r="C9689" s="82"/>
    </row>
    <row r="9690" spans="1:3" x14ac:dyDescent="0.2">
      <c r="A9690" s="82"/>
      <c r="B9690" s="82"/>
      <c r="C9690" s="82"/>
    </row>
    <row r="9691" spans="1:3" x14ac:dyDescent="0.2">
      <c r="A9691" s="82"/>
      <c r="B9691" s="82"/>
      <c r="C9691" s="82"/>
    </row>
    <row r="9692" spans="1:3" x14ac:dyDescent="0.2">
      <c r="A9692" s="82"/>
      <c r="B9692" s="82"/>
      <c r="C9692" s="82"/>
    </row>
    <row r="9693" spans="1:3" x14ac:dyDescent="0.2">
      <c r="A9693" s="82"/>
      <c r="B9693" s="82"/>
      <c r="C9693" s="82"/>
    </row>
    <row r="9694" spans="1:3" x14ac:dyDescent="0.2">
      <c r="A9694" s="82"/>
      <c r="B9694" s="82"/>
      <c r="C9694" s="82"/>
    </row>
    <row r="9695" spans="1:3" x14ac:dyDescent="0.2">
      <c r="A9695" s="82"/>
      <c r="B9695" s="82"/>
      <c r="C9695" s="82"/>
    </row>
    <row r="9696" spans="1:3" x14ac:dyDescent="0.2">
      <c r="A9696" s="82"/>
      <c r="B9696" s="82"/>
      <c r="C9696" s="82"/>
    </row>
    <row r="9697" spans="1:3" x14ac:dyDescent="0.2">
      <c r="A9697" s="82"/>
      <c r="B9697" s="82"/>
      <c r="C9697" s="82"/>
    </row>
    <row r="9698" spans="1:3" x14ac:dyDescent="0.2">
      <c r="A9698" s="82"/>
      <c r="B9698" s="82"/>
      <c r="C9698" s="82"/>
    </row>
    <row r="9699" spans="1:3" x14ac:dyDescent="0.2">
      <c r="A9699" s="82"/>
      <c r="B9699" s="82"/>
      <c r="C9699" s="82"/>
    </row>
    <row r="9700" spans="1:3" x14ac:dyDescent="0.2">
      <c r="A9700" s="82"/>
      <c r="B9700" s="82"/>
      <c r="C9700" s="82"/>
    </row>
    <row r="9701" spans="1:3" x14ac:dyDescent="0.2">
      <c r="A9701" s="82"/>
      <c r="B9701" s="82"/>
      <c r="C9701" s="82"/>
    </row>
    <row r="9702" spans="1:3" x14ac:dyDescent="0.2">
      <c r="A9702" s="82"/>
      <c r="B9702" s="82"/>
      <c r="C9702" s="82"/>
    </row>
    <row r="9703" spans="1:3" x14ac:dyDescent="0.2">
      <c r="A9703" s="82"/>
      <c r="B9703" s="82"/>
      <c r="C9703" s="82"/>
    </row>
    <row r="9704" spans="1:3" x14ac:dyDescent="0.2">
      <c r="A9704" s="82"/>
      <c r="B9704" s="82"/>
      <c r="C9704" s="82"/>
    </row>
    <row r="9705" spans="1:3" x14ac:dyDescent="0.2">
      <c r="A9705" s="82"/>
      <c r="B9705" s="82"/>
      <c r="C9705" s="82"/>
    </row>
    <row r="9706" spans="1:3" x14ac:dyDescent="0.2">
      <c r="A9706" s="82"/>
      <c r="B9706" s="82"/>
      <c r="C9706" s="82"/>
    </row>
    <row r="9707" spans="1:3" x14ac:dyDescent="0.2">
      <c r="A9707" s="82"/>
      <c r="B9707" s="82"/>
      <c r="C9707" s="82"/>
    </row>
    <row r="9708" spans="1:3" x14ac:dyDescent="0.2">
      <c r="A9708" s="82"/>
      <c r="B9708" s="82"/>
      <c r="C9708" s="82"/>
    </row>
    <row r="9709" spans="1:3" x14ac:dyDescent="0.2">
      <c r="A9709" s="82"/>
      <c r="B9709" s="82"/>
      <c r="C9709" s="82"/>
    </row>
    <row r="9710" spans="1:3" x14ac:dyDescent="0.2">
      <c r="A9710" s="82"/>
      <c r="B9710" s="82"/>
      <c r="C9710" s="82"/>
    </row>
    <row r="9711" spans="1:3" x14ac:dyDescent="0.2">
      <c r="A9711" s="82"/>
      <c r="B9711" s="82"/>
      <c r="C9711" s="82"/>
    </row>
    <row r="9712" spans="1:3" x14ac:dyDescent="0.2">
      <c r="A9712" s="82"/>
      <c r="B9712" s="82"/>
      <c r="C9712" s="82"/>
    </row>
    <row r="9713" spans="1:3" x14ac:dyDescent="0.2">
      <c r="A9713" s="82"/>
      <c r="B9713" s="82"/>
      <c r="C9713" s="82"/>
    </row>
    <row r="9714" spans="1:3" x14ac:dyDescent="0.2">
      <c r="A9714" s="82"/>
      <c r="B9714" s="82"/>
      <c r="C9714" s="82"/>
    </row>
    <row r="9715" spans="1:3" x14ac:dyDescent="0.2">
      <c r="A9715" s="82"/>
      <c r="B9715" s="82"/>
      <c r="C9715" s="82"/>
    </row>
    <row r="9716" spans="1:3" x14ac:dyDescent="0.2">
      <c r="A9716" s="82"/>
      <c r="B9716" s="82"/>
      <c r="C9716" s="82"/>
    </row>
    <row r="9717" spans="1:3" x14ac:dyDescent="0.2">
      <c r="A9717" s="82"/>
      <c r="B9717" s="82"/>
      <c r="C9717" s="82"/>
    </row>
    <row r="9718" spans="1:3" x14ac:dyDescent="0.2">
      <c r="A9718" s="82"/>
      <c r="B9718" s="82"/>
      <c r="C9718" s="82"/>
    </row>
    <row r="9719" spans="1:3" x14ac:dyDescent="0.2">
      <c r="A9719" s="82"/>
      <c r="B9719" s="82"/>
      <c r="C9719" s="82"/>
    </row>
    <row r="9720" spans="1:3" x14ac:dyDescent="0.2">
      <c r="A9720" s="82"/>
      <c r="B9720" s="82"/>
      <c r="C9720" s="82"/>
    </row>
    <row r="9721" spans="1:3" x14ac:dyDescent="0.2">
      <c r="A9721" s="82"/>
      <c r="B9721" s="82"/>
      <c r="C9721" s="82"/>
    </row>
    <row r="9722" spans="1:3" x14ac:dyDescent="0.2">
      <c r="A9722" s="82"/>
      <c r="B9722" s="82"/>
      <c r="C9722" s="82"/>
    </row>
    <row r="9723" spans="1:3" x14ac:dyDescent="0.2">
      <c r="A9723" s="82"/>
      <c r="B9723" s="82"/>
      <c r="C9723" s="82"/>
    </row>
    <row r="9724" spans="1:3" x14ac:dyDescent="0.2">
      <c r="A9724" s="82"/>
      <c r="B9724" s="82"/>
      <c r="C9724" s="82"/>
    </row>
    <row r="9725" spans="1:3" x14ac:dyDescent="0.2">
      <c r="A9725" s="82"/>
      <c r="B9725" s="82"/>
      <c r="C9725" s="82"/>
    </row>
    <row r="9726" spans="1:3" x14ac:dyDescent="0.2">
      <c r="A9726" s="82"/>
      <c r="B9726" s="82"/>
      <c r="C9726" s="82"/>
    </row>
    <row r="9727" spans="1:3" x14ac:dyDescent="0.2">
      <c r="A9727" s="82"/>
      <c r="B9727" s="82"/>
      <c r="C9727" s="82"/>
    </row>
    <row r="9728" spans="1:3" x14ac:dyDescent="0.2">
      <c r="A9728" s="82"/>
      <c r="B9728" s="82"/>
      <c r="C9728" s="82"/>
    </row>
    <row r="9729" spans="1:3" x14ac:dyDescent="0.2">
      <c r="A9729" s="82"/>
      <c r="B9729" s="82"/>
      <c r="C9729" s="82"/>
    </row>
    <row r="9730" spans="1:3" x14ac:dyDescent="0.2">
      <c r="A9730" s="82"/>
      <c r="B9730" s="82"/>
      <c r="C9730" s="82"/>
    </row>
    <row r="9731" spans="1:3" x14ac:dyDescent="0.2">
      <c r="A9731" s="82"/>
      <c r="B9731" s="82"/>
      <c r="C9731" s="82"/>
    </row>
    <row r="9732" spans="1:3" x14ac:dyDescent="0.2">
      <c r="A9732" s="82"/>
      <c r="B9732" s="82"/>
      <c r="C9732" s="82"/>
    </row>
    <row r="9733" spans="1:3" x14ac:dyDescent="0.2">
      <c r="A9733" s="82"/>
      <c r="B9733" s="82"/>
      <c r="C9733" s="82"/>
    </row>
    <row r="9734" spans="1:3" x14ac:dyDescent="0.2">
      <c r="A9734" s="82"/>
      <c r="B9734" s="82"/>
      <c r="C9734" s="82"/>
    </row>
    <row r="9735" spans="1:3" x14ac:dyDescent="0.2">
      <c r="A9735" s="82"/>
      <c r="B9735" s="82"/>
      <c r="C9735" s="82"/>
    </row>
    <row r="9736" spans="1:3" x14ac:dyDescent="0.2">
      <c r="A9736" s="82"/>
      <c r="B9736" s="82"/>
      <c r="C9736" s="82"/>
    </row>
    <row r="9737" spans="1:3" x14ac:dyDescent="0.2">
      <c r="A9737" s="82"/>
      <c r="B9737" s="82"/>
      <c r="C9737" s="82"/>
    </row>
    <row r="9738" spans="1:3" x14ac:dyDescent="0.2">
      <c r="A9738" s="82"/>
      <c r="B9738" s="82"/>
      <c r="C9738" s="82"/>
    </row>
    <row r="9739" spans="1:3" x14ac:dyDescent="0.2">
      <c r="A9739" s="82"/>
      <c r="B9739" s="82"/>
      <c r="C9739" s="82"/>
    </row>
    <row r="9740" spans="1:3" x14ac:dyDescent="0.2">
      <c r="A9740" s="82"/>
      <c r="B9740" s="82"/>
      <c r="C9740" s="82"/>
    </row>
    <row r="9741" spans="1:3" x14ac:dyDescent="0.2">
      <c r="A9741" s="82"/>
      <c r="B9741" s="82"/>
      <c r="C9741" s="82"/>
    </row>
    <row r="9742" spans="1:3" x14ac:dyDescent="0.2">
      <c r="A9742" s="82"/>
      <c r="B9742" s="82"/>
      <c r="C9742" s="82"/>
    </row>
    <row r="9743" spans="1:3" x14ac:dyDescent="0.2">
      <c r="A9743" s="82"/>
      <c r="B9743" s="82"/>
      <c r="C9743" s="82"/>
    </row>
    <row r="9744" spans="1:3" x14ac:dyDescent="0.2">
      <c r="A9744" s="82"/>
      <c r="B9744" s="82"/>
      <c r="C9744" s="82"/>
    </row>
    <row r="9745" spans="1:3" x14ac:dyDescent="0.2">
      <c r="A9745" s="82"/>
      <c r="B9745" s="82"/>
      <c r="C9745" s="82"/>
    </row>
    <row r="9746" spans="1:3" x14ac:dyDescent="0.2">
      <c r="A9746" s="82"/>
      <c r="B9746" s="82"/>
      <c r="C9746" s="82"/>
    </row>
    <row r="9747" spans="1:3" x14ac:dyDescent="0.2">
      <c r="A9747" s="82"/>
      <c r="B9747" s="82"/>
      <c r="C9747" s="82"/>
    </row>
    <row r="9748" spans="1:3" x14ac:dyDescent="0.2">
      <c r="A9748" s="82"/>
      <c r="B9748" s="82"/>
      <c r="C9748" s="82"/>
    </row>
    <row r="9749" spans="1:3" x14ac:dyDescent="0.2">
      <c r="A9749" s="82"/>
      <c r="B9749" s="82"/>
      <c r="C9749" s="82"/>
    </row>
    <row r="9750" spans="1:3" x14ac:dyDescent="0.2">
      <c r="A9750" s="82"/>
      <c r="B9750" s="82"/>
      <c r="C9750" s="82"/>
    </row>
    <row r="9751" spans="1:3" x14ac:dyDescent="0.2">
      <c r="A9751" s="82"/>
      <c r="B9751" s="82"/>
      <c r="C9751" s="82"/>
    </row>
    <row r="9752" spans="1:3" x14ac:dyDescent="0.2">
      <c r="A9752" s="82"/>
      <c r="B9752" s="82"/>
      <c r="C9752" s="82"/>
    </row>
    <row r="9753" spans="1:3" x14ac:dyDescent="0.2">
      <c r="A9753" s="82"/>
      <c r="B9753" s="82"/>
      <c r="C9753" s="82"/>
    </row>
    <row r="9754" spans="1:3" x14ac:dyDescent="0.2">
      <c r="A9754" s="82"/>
      <c r="B9754" s="82"/>
      <c r="C9754" s="82"/>
    </row>
    <row r="9755" spans="1:3" x14ac:dyDescent="0.2">
      <c r="A9755" s="82"/>
      <c r="B9755" s="82"/>
      <c r="C9755" s="82"/>
    </row>
    <row r="9756" spans="1:3" x14ac:dyDescent="0.2">
      <c r="A9756" s="82"/>
      <c r="B9756" s="82"/>
      <c r="C9756" s="82"/>
    </row>
    <row r="9757" spans="1:3" x14ac:dyDescent="0.2">
      <c r="A9757" s="82"/>
      <c r="B9757" s="82"/>
      <c r="C9757" s="82"/>
    </row>
    <row r="9758" spans="1:3" x14ac:dyDescent="0.2">
      <c r="A9758" s="82"/>
      <c r="B9758" s="82"/>
      <c r="C9758" s="82"/>
    </row>
    <row r="9759" spans="1:3" x14ac:dyDescent="0.2">
      <c r="A9759" s="82"/>
      <c r="B9759" s="82"/>
      <c r="C9759" s="82"/>
    </row>
    <row r="9760" spans="1:3" x14ac:dyDescent="0.2">
      <c r="A9760" s="82"/>
      <c r="B9760" s="82"/>
      <c r="C9760" s="82"/>
    </row>
    <row r="9761" spans="1:3" x14ac:dyDescent="0.2">
      <c r="A9761" s="82"/>
      <c r="B9761" s="82"/>
      <c r="C9761" s="82"/>
    </row>
    <row r="9762" spans="1:3" x14ac:dyDescent="0.2">
      <c r="A9762" s="82"/>
      <c r="B9762" s="82"/>
      <c r="C9762" s="82"/>
    </row>
    <row r="9763" spans="1:3" x14ac:dyDescent="0.2">
      <c r="A9763" s="82"/>
      <c r="B9763" s="82"/>
      <c r="C9763" s="82"/>
    </row>
    <row r="9764" spans="1:3" x14ac:dyDescent="0.2">
      <c r="A9764" s="82"/>
      <c r="B9764" s="82"/>
      <c r="C9764" s="82"/>
    </row>
    <row r="9765" spans="1:3" x14ac:dyDescent="0.2">
      <c r="A9765" s="82"/>
      <c r="B9765" s="82"/>
      <c r="C9765" s="82"/>
    </row>
    <row r="9766" spans="1:3" x14ac:dyDescent="0.2">
      <c r="A9766" s="82"/>
      <c r="B9766" s="82"/>
      <c r="C9766" s="82"/>
    </row>
    <row r="9767" spans="1:3" x14ac:dyDescent="0.2">
      <c r="A9767" s="82"/>
      <c r="B9767" s="82"/>
      <c r="C9767" s="82"/>
    </row>
    <row r="9768" spans="1:3" x14ac:dyDescent="0.2">
      <c r="A9768" s="82"/>
      <c r="B9768" s="82"/>
      <c r="C9768" s="82"/>
    </row>
    <row r="9769" spans="1:3" x14ac:dyDescent="0.2">
      <c r="A9769" s="82"/>
      <c r="B9769" s="82"/>
      <c r="C9769" s="82"/>
    </row>
    <row r="9770" spans="1:3" x14ac:dyDescent="0.2">
      <c r="A9770" s="82"/>
      <c r="B9770" s="82"/>
      <c r="C9770" s="82"/>
    </row>
    <row r="9771" spans="1:3" x14ac:dyDescent="0.2">
      <c r="A9771" s="82"/>
      <c r="B9771" s="82"/>
      <c r="C9771" s="82"/>
    </row>
    <row r="9772" spans="1:3" x14ac:dyDescent="0.2">
      <c r="A9772" s="82"/>
      <c r="B9772" s="82"/>
      <c r="C9772" s="82"/>
    </row>
    <row r="9773" spans="1:3" x14ac:dyDescent="0.2">
      <c r="A9773" s="82"/>
      <c r="B9773" s="82"/>
      <c r="C9773" s="82"/>
    </row>
    <row r="9774" spans="1:3" x14ac:dyDescent="0.2">
      <c r="A9774" s="82"/>
      <c r="B9774" s="82"/>
      <c r="C9774" s="82"/>
    </row>
    <row r="9775" spans="1:3" x14ac:dyDescent="0.2">
      <c r="A9775" s="82"/>
      <c r="B9775" s="82"/>
      <c r="C9775" s="82"/>
    </row>
    <row r="9776" spans="1:3" x14ac:dyDescent="0.2">
      <c r="A9776" s="82"/>
      <c r="B9776" s="82"/>
      <c r="C9776" s="82"/>
    </row>
    <row r="9777" spans="1:3" x14ac:dyDescent="0.2">
      <c r="A9777" s="82"/>
      <c r="B9777" s="82"/>
      <c r="C9777" s="82"/>
    </row>
    <row r="9778" spans="1:3" x14ac:dyDescent="0.2">
      <c r="A9778" s="82"/>
      <c r="B9778" s="82"/>
      <c r="C9778" s="82"/>
    </row>
    <row r="9779" spans="1:3" x14ac:dyDescent="0.2">
      <c r="A9779" s="82"/>
      <c r="B9779" s="82"/>
      <c r="C9779" s="82"/>
    </row>
    <row r="9780" spans="1:3" x14ac:dyDescent="0.2">
      <c r="A9780" s="82"/>
      <c r="B9780" s="82"/>
      <c r="C9780" s="82"/>
    </row>
    <row r="9781" spans="1:3" x14ac:dyDescent="0.2">
      <c r="A9781" s="82"/>
      <c r="B9781" s="82"/>
      <c r="C9781" s="82"/>
    </row>
    <row r="9782" spans="1:3" x14ac:dyDescent="0.2">
      <c r="A9782" s="82"/>
      <c r="B9782" s="82"/>
      <c r="C9782" s="82"/>
    </row>
    <row r="9783" spans="1:3" x14ac:dyDescent="0.2">
      <c r="A9783" s="82"/>
      <c r="B9783" s="82"/>
      <c r="C9783" s="82"/>
    </row>
    <row r="9784" spans="1:3" x14ac:dyDescent="0.2">
      <c r="A9784" s="82"/>
      <c r="B9784" s="82"/>
      <c r="C9784" s="82"/>
    </row>
    <row r="9785" spans="1:3" x14ac:dyDescent="0.2">
      <c r="A9785" s="82"/>
      <c r="B9785" s="82"/>
      <c r="C9785" s="82"/>
    </row>
    <row r="9786" spans="1:3" x14ac:dyDescent="0.2">
      <c r="A9786" s="82"/>
      <c r="B9786" s="82"/>
      <c r="C9786" s="82"/>
    </row>
    <row r="9787" spans="1:3" x14ac:dyDescent="0.2">
      <c r="A9787" s="82"/>
      <c r="B9787" s="82"/>
      <c r="C9787" s="82"/>
    </row>
    <row r="9788" spans="1:3" x14ac:dyDescent="0.2">
      <c r="A9788" s="82"/>
      <c r="B9788" s="82"/>
      <c r="C9788" s="82"/>
    </row>
    <row r="9789" spans="1:3" x14ac:dyDescent="0.2">
      <c r="A9789" s="82"/>
      <c r="B9789" s="82"/>
      <c r="C9789" s="82"/>
    </row>
    <row r="9790" spans="1:3" x14ac:dyDescent="0.2">
      <c r="A9790" s="82"/>
      <c r="B9790" s="82"/>
      <c r="C9790" s="82"/>
    </row>
    <row r="9791" spans="1:3" x14ac:dyDescent="0.2">
      <c r="A9791" s="82"/>
      <c r="B9791" s="82"/>
      <c r="C9791" s="82"/>
    </row>
    <row r="9792" spans="1:3" x14ac:dyDescent="0.2">
      <c r="A9792" s="82"/>
      <c r="B9792" s="82"/>
      <c r="C9792" s="82"/>
    </row>
    <row r="9793" spans="1:3" x14ac:dyDescent="0.2">
      <c r="A9793" s="82"/>
      <c r="B9793" s="82"/>
      <c r="C9793" s="82"/>
    </row>
    <row r="9794" spans="1:3" x14ac:dyDescent="0.2">
      <c r="A9794" s="82"/>
      <c r="B9794" s="82"/>
      <c r="C9794" s="82"/>
    </row>
    <row r="9795" spans="1:3" x14ac:dyDescent="0.2">
      <c r="A9795" s="82"/>
      <c r="B9795" s="82"/>
      <c r="C9795" s="82"/>
    </row>
    <row r="9796" spans="1:3" x14ac:dyDescent="0.2">
      <c r="A9796" s="82"/>
      <c r="B9796" s="82"/>
      <c r="C9796" s="82"/>
    </row>
    <row r="9797" spans="1:3" x14ac:dyDescent="0.2">
      <c r="A9797" s="82"/>
      <c r="B9797" s="82"/>
      <c r="C9797" s="82"/>
    </row>
    <row r="9798" spans="1:3" x14ac:dyDescent="0.2">
      <c r="A9798" s="82"/>
      <c r="B9798" s="82"/>
      <c r="C9798" s="82"/>
    </row>
    <row r="9799" spans="1:3" x14ac:dyDescent="0.2">
      <c r="A9799" s="82"/>
      <c r="B9799" s="82"/>
      <c r="C9799" s="82"/>
    </row>
    <row r="9800" spans="1:3" x14ac:dyDescent="0.2">
      <c r="A9800" s="82"/>
      <c r="B9800" s="82"/>
      <c r="C9800" s="82"/>
    </row>
    <row r="9801" spans="1:3" x14ac:dyDescent="0.2">
      <c r="A9801" s="82"/>
      <c r="B9801" s="82"/>
      <c r="C9801" s="82"/>
    </row>
    <row r="9802" spans="1:3" x14ac:dyDescent="0.2">
      <c r="A9802" s="82"/>
      <c r="B9802" s="82"/>
      <c r="C9802" s="82"/>
    </row>
    <row r="9803" spans="1:3" x14ac:dyDescent="0.2">
      <c r="A9803" s="82"/>
      <c r="B9803" s="82"/>
      <c r="C9803" s="82"/>
    </row>
    <row r="9804" spans="1:3" x14ac:dyDescent="0.2">
      <c r="A9804" s="82"/>
      <c r="B9804" s="82"/>
      <c r="C9804" s="82"/>
    </row>
    <row r="9805" spans="1:3" x14ac:dyDescent="0.2">
      <c r="A9805" s="82"/>
      <c r="B9805" s="82"/>
      <c r="C9805" s="82"/>
    </row>
    <row r="9806" spans="1:3" x14ac:dyDescent="0.2">
      <c r="A9806" s="82"/>
      <c r="B9806" s="82"/>
      <c r="C9806" s="82"/>
    </row>
    <row r="9807" spans="1:3" x14ac:dyDescent="0.2">
      <c r="A9807" s="82"/>
      <c r="B9807" s="82"/>
      <c r="C9807" s="82"/>
    </row>
    <row r="9808" spans="1:3" x14ac:dyDescent="0.2">
      <c r="A9808" s="82"/>
      <c r="B9808" s="82"/>
      <c r="C9808" s="82"/>
    </row>
    <row r="9809" spans="1:3" x14ac:dyDescent="0.2">
      <c r="A9809" s="82"/>
      <c r="B9809" s="82"/>
      <c r="C9809" s="82"/>
    </row>
    <row r="9810" spans="1:3" x14ac:dyDescent="0.2">
      <c r="A9810" s="82"/>
      <c r="B9810" s="82"/>
      <c r="C9810" s="82"/>
    </row>
    <row r="9811" spans="1:3" x14ac:dyDescent="0.2">
      <c r="A9811" s="82"/>
      <c r="B9811" s="82"/>
      <c r="C9811" s="82"/>
    </row>
    <row r="9812" spans="1:3" x14ac:dyDescent="0.2">
      <c r="A9812" s="82"/>
      <c r="B9812" s="82"/>
      <c r="C9812" s="82"/>
    </row>
    <row r="9813" spans="1:3" x14ac:dyDescent="0.2">
      <c r="A9813" s="82"/>
      <c r="B9813" s="82"/>
      <c r="C9813" s="82"/>
    </row>
    <row r="9814" spans="1:3" x14ac:dyDescent="0.2">
      <c r="A9814" s="82"/>
      <c r="B9814" s="82"/>
      <c r="C9814" s="82"/>
    </row>
    <row r="9815" spans="1:3" x14ac:dyDescent="0.2">
      <c r="A9815" s="82"/>
      <c r="B9815" s="82"/>
      <c r="C9815" s="82"/>
    </row>
    <row r="9816" spans="1:3" x14ac:dyDescent="0.2">
      <c r="A9816" s="82"/>
      <c r="B9816" s="82"/>
      <c r="C9816" s="82"/>
    </row>
    <row r="9817" spans="1:3" x14ac:dyDescent="0.2">
      <c r="A9817" s="82"/>
      <c r="B9817" s="82"/>
      <c r="C9817" s="82"/>
    </row>
    <row r="9818" spans="1:3" x14ac:dyDescent="0.2">
      <c r="A9818" s="82"/>
      <c r="B9818" s="82"/>
      <c r="C9818" s="82"/>
    </row>
    <row r="9819" spans="1:3" x14ac:dyDescent="0.2">
      <c r="A9819" s="82"/>
      <c r="B9819" s="82"/>
      <c r="C9819" s="82"/>
    </row>
    <row r="9820" spans="1:3" x14ac:dyDescent="0.2">
      <c r="A9820" s="82"/>
      <c r="B9820" s="82"/>
      <c r="C9820" s="82"/>
    </row>
    <row r="9821" spans="1:3" x14ac:dyDescent="0.2">
      <c r="A9821" s="82"/>
      <c r="B9821" s="82"/>
      <c r="C9821" s="82"/>
    </row>
    <row r="9822" spans="1:3" x14ac:dyDescent="0.2">
      <c r="A9822" s="82"/>
      <c r="B9822" s="82"/>
      <c r="C9822" s="82"/>
    </row>
    <row r="9823" spans="1:3" x14ac:dyDescent="0.2">
      <c r="A9823" s="82"/>
      <c r="B9823" s="82"/>
      <c r="C9823" s="82"/>
    </row>
    <row r="9824" spans="1:3" x14ac:dyDescent="0.2">
      <c r="A9824" s="82"/>
      <c r="B9824" s="82"/>
      <c r="C9824" s="82"/>
    </row>
    <row r="9825" spans="1:3" x14ac:dyDescent="0.2">
      <c r="A9825" s="82"/>
      <c r="B9825" s="82"/>
      <c r="C9825" s="82"/>
    </row>
    <row r="9826" spans="1:3" x14ac:dyDescent="0.2">
      <c r="A9826" s="82"/>
      <c r="B9826" s="82"/>
      <c r="C9826" s="82"/>
    </row>
    <row r="9827" spans="1:3" x14ac:dyDescent="0.2">
      <c r="A9827" s="82"/>
      <c r="B9827" s="82"/>
      <c r="C9827" s="82"/>
    </row>
    <row r="9828" spans="1:3" x14ac:dyDescent="0.2">
      <c r="A9828" s="82"/>
      <c r="B9828" s="82"/>
      <c r="C9828" s="82"/>
    </row>
    <row r="9829" spans="1:3" x14ac:dyDescent="0.2">
      <c r="A9829" s="82"/>
      <c r="B9829" s="82"/>
      <c r="C9829" s="82"/>
    </row>
    <row r="9830" spans="1:3" x14ac:dyDescent="0.2">
      <c r="A9830" s="82"/>
      <c r="B9830" s="82"/>
      <c r="C9830" s="82"/>
    </row>
    <row r="9831" spans="1:3" x14ac:dyDescent="0.2">
      <c r="A9831" s="82"/>
      <c r="B9831" s="82"/>
      <c r="C9831" s="82"/>
    </row>
    <row r="9832" spans="1:3" x14ac:dyDescent="0.2">
      <c r="A9832" s="82"/>
      <c r="B9832" s="82"/>
      <c r="C9832" s="82"/>
    </row>
    <row r="9833" spans="1:3" x14ac:dyDescent="0.2">
      <c r="A9833" s="82"/>
      <c r="B9833" s="82"/>
      <c r="C9833" s="82"/>
    </row>
    <row r="9834" spans="1:3" x14ac:dyDescent="0.2">
      <c r="A9834" s="82"/>
      <c r="B9834" s="82"/>
      <c r="C9834" s="82"/>
    </row>
    <row r="9835" spans="1:3" x14ac:dyDescent="0.2">
      <c r="A9835" s="82"/>
      <c r="B9835" s="82"/>
      <c r="C9835" s="82"/>
    </row>
    <row r="9836" spans="1:3" x14ac:dyDescent="0.2">
      <c r="A9836" s="82"/>
      <c r="B9836" s="82"/>
      <c r="C9836" s="82"/>
    </row>
    <row r="9837" spans="1:3" x14ac:dyDescent="0.2">
      <c r="A9837" s="82"/>
      <c r="B9837" s="82"/>
      <c r="C9837" s="82"/>
    </row>
    <row r="9838" spans="1:3" x14ac:dyDescent="0.2">
      <c r="A9838" s="82"/>
      <c r="B9838" s="82"/>
      <c r="C9838" s="82"/>
    </row>
    <row r="9839" spans="1:3" x14ac:dyDescent="0.2">
      <c r="A9839" s="82"/>
      <c r="B9839" s="82"/>
      <c r="C9839" s="82"/>
    </row>
    <row r="9840" spans="1:3" x14ac:dyDescent="0.2">
      <c r="A9840" s="82"/>
      <c r="B9840" s="82"/>
      <c r="C9840" s="82"/>
    </row>
    <row r="9841" spans="1:3" x14ac:dyDescent="0.2">
      <c r="A9841" s="82"/>
      <c r="B9841" s="82"/>
      <c r="C9841" s="82"/>
    </row>
    <row r="9842" spans="1:3" x14ac:dyDescent="0.2">
      <c r="A9842" s="82"/>
      <c r="B9842" s="82"/>
      <c r="C9842" s="82"/>
    </row>
    <row r="9843" spans="1:3" x14ac:dyDescent="0.2">
      <c r="A9843" s="82"/>
      <c r="B9843" s="82"/>
      <c r="C9843" s="82"/>
    </row>
    <row r="9844" spans="1:3" x14ac:dyDescent="0.2">
      <c r="A9844" s="82"/>
      <c r="B9844" s="82"/>
      <c r="C9844" s="82"/>
    </row>
    <row r="9845" spans="1:3" x14ac:dyDescent="0.2">
      <c r="A9845" s="82"/>
      <c r="B9845" s="82"/>
      <c r="C9845" s="82"/>
    </row>
    <row r="9846" spans="1:3" x14ac:dyDescent="0.2">
      <c r="A9846" s="82"/>
      <c r="B9846" s="82"/>
      <c r="C9846" s="82"/>
    </row>
    <row r="9847" spans="1:3" x14ac:dyDescent="0.2">
      <c r="A9847" s="82"/>
      <c r="B9847" s="82"/>
      <c r="C9847" s="82"/>
    </row>
    <row r="9848" spans="1:3" x14ac:dyDescent="0.2">
      <c r="A9848" s="82"/>
      <c r="B9848" s="82"/>
      <c r="C9848" s="82"/>
    </row>
    <row r="9849" spans="1:3" x14ac:dyDescent="0.2">
      <c r="A9849" s="82"/>
      <c r="B9849" s="82"/>
      <c r="C9849" s="82"/>
    </row>
    <row r="9850" spans="1:3" x14ac:dyDescent="0.2">
      <c r="A9850" s="82"/>
      <c r="B9850" s="82"/>
      <c r="C9850" s="82"/>
    </row>
    <row r="9851" spans="1:3" x14ac:dyDescent="0.2">
      <c r="A9851" s="82"/>
      <c r="B9851" s="82"/>
      <c r="C9851" s="82"/>
    </row>
    <row r="9852" spans="1:3" x14ac:dyDescent="0.2">
      <c r="A9852" s="82"/>
      <c r="B9852" s="82"/>
      <c r="C9852" s="82"/>
    </row>
    <row r="9853" spans="1:3" x14ac:dyDescent="0.2">
      <c r="A9853" s="82"/>
      <c r="B9853" s="82"/>
      <c r="C9853" s="82"/>
    </row>
    <row r="9854" spans="1:3" x14ac:dyDescent="0.2">
      <c r="A9854" s="82"/>
      <c r="B9854" s="82"/>
      <c r="C9854" s="82"/>
    </row>
    <row r="9855" spans="1:3" x14ac:dyDescent="0.2">
      <c r="A9855" s="82"/>
      <c r="B9855" s="82"/>
      <c r="C9855" s="82"/>
    </row>
    <row r="9856" spans="1:3" x14ac:dyDescent="0.2">
      <c r="A9856" s="82"/>
      <c r="B9856" s="82"/>
      <c r="C9856" s="82"/>
    </row>
    <row r="9857" spans="1:3" x14ac:dyDescent="0.2">
      <c r="A9857" s="82"/>
      <c r="B9857" s="82"/>
      <c r="C9857" s="82"/>
    </row>
    <row r="9858" spans="1:3" x14ac:dyDescent="0.2">
      <c r="A9858" s="82"/>
      <c r="B9858" s="82"/>
      <c r="C9858" s="82"/>
    </row>
    <row r="9859" spans="1:3" x14ac:dyDescent="0.2">
      <c r="A9859" s="82"/>
      <c r="B9859" s="82"/>
      <c r="C9859" s="82"/>
    </row>
    <row r="9860" spans="1:3" x14ac:dyDescent="0.2">
      <c r="A9860" s="82"/>
      <c r="B9860" s="82"/>
      <c r="C9860" s="82"/>
    </row>
    <row r="9861" spans="1:3" x14ac:dyDescent="0.2">
      <c r="A9861" s="82"/>
      <c r="B9861" s="82"/>
      <c r="C9861" s="82"/>
    </row>
    <row r="9862" spans="1:3" x14ac:dyDescent="0.2">
      <c r="A9862" s="82"/>
      <c r="B9862" s="82"/>
      <c r="C9862" s="82"/>
    </row>
    <row r="9863" spans="1:3" x14ac:dyDescent="0.2">
      <c r="A9863" s="82"/>
      <c r="B9863" s="82"/>
      <c r="C9863" s="82"/>
    </row>
    <row r="9864" spans="1:3" x14ac:dyDescent="0.2">
      <c r="A9864" s="82"/>
      <c r="B9864" s="82"/>
      <c r="C9864" s="82"/>
    </row>
    <row r="9865" spans="1:3" x14ac:dyDescent="0.2">
      <c r="A9865" s="82"/>
      <c r="B9865" s="82"/>
      <c r="C9865" s="82"/>
    </row>
    <row r="9866" spans="1:3" x14ac:dyDescent="0.2">
      <c r="A9866" s="82"/>
      <c r="B9866" s="82"/>
      <c r="C9866" s="82"/>
    </row>
    <row r="9867" spans="1:3" x14ac:dyDescent="0.2">
      <c r="A9867" s="82"/>
      <c r="B9867" s="82"/>
      <c r="C9867" s="82"/>
    </row>
    <row r="9868" spans="1:3" x14ac:dyDescent="0.2">
      <c r="A9868" s="82"/>
      <c r="B9868" s="82"/>
      <c r="C9868" s="82"/>
    </row>
    <row r="9869" spans="1:3" x14ac:dyDescent="0.2">
      <c r="A9869" s="82"/>
      <c r="B9869" s="82"/>
      <c r="C9869" s="82"/>
    </row>
    <row r="9870" spans="1:3" x14ac:dyDescent="0.2">
      <c r="A9870" s="82"/>
      <c r="B9870" s="82"/>
      <c r="C9870" s="82"/>
    </row>
    <row r="9871" spans="1:3" x14ac:dyDescent="0.2">
      <c r="A9871" s="82"/>
      <c r="B9871" s="82"/>
      <c r="C9871" s="82"/>
    </row>
    <row r="9872" spans="1:3" x14ac:dyDescent="0.2">
      <c r="A9872" s="82"/>
      <c r="B9872" s="82"/>
      <c r="C9872" s="82"/>
    </row>
    <row r="9873" spans="1:3" x14ac:dyDescent="0.2">
      <c r="A9873" s="82"/>
      <c r="B9873" s="82"/>
      <c r="C9873" s="82"/>
    </row>
    <row r="9874" spans="1:3" x14ac:dyDescent="0.2">
      <c r="A9874" s="82"/>
      <c r="B9874" s="82"/>
      <c r="C9874" s="82"/>
    </row>
    <row r="9875" spans="1:3" x14ac:dyDescent="0.2">
      <c r="A9875" s="82"/>
      <c r="B9875" s="82"/>
      <c r="C9875" s="82"/>
    </row>
    <row r="9876" spans="1:3" x14ac:dyDescent="0.2">
      <c r="A9876" s="82"/>
      <c r="B9876" s="82"/>
      <c r="C9876" s="82"/>
    </row>
    <row r="9877" spans="1:3" x14ac:dyDescent="0.2">
      <c r="A9877" s="82"/>
      <c r="B9877" s="82"/>
      <c r="C9877" s="82"/>
    </row>
    <row r="9878" spans="1:3" x14ac:dyDescent="0.2">
      <c r="A9878" s="82"/>
      <c r="B9878" s="82"/>
      <c r="C9878" s="82"/>
    </row>
    <row r="9879" spans="1:3" x14ac:dyDescent="0.2">
      <c r="A9879" s="82"/>
      <c r="B9879" s="82"/>
      <c r="C9879" s="82"/>
    </row>
    <row r="9880" spans="1:3" x14ac:dyDescent="0.2">
      <c r="A9880" s="82"/>
      <c r="B9880" s="82"/>
      <c r="C9880" s="82"/>
    </row>
    <row r="9881" spans="1:3" x14ac:dyDescent="0.2">
      <c r="A9881" s="82"/>
      <c r="B9881" s="82"/>
      <c r="C9881" s="82"/>
    </row>
    <row r="9882" spans="1:3" x14ac:dyDescent="0.2">
      <c r="A9882" s="82"/>
      <c r="B9882" s="82"/>
      <c r="C9882" s="82"/>
    </row>
    <row r="9883" spans="1:3" x14ac:dyDescent="0.2">
      <c r="A9883" s="82"/>
      <c r="B9883" s="82"/>
      <c r="C9883" s="82"/>
    </row>
    <row r="9884" spans="1:3" x14ac:dyDescent="0.2">
      <c r="A9884" s="82"/>
      <c r="B9884" s="82"/>
      <c r="C9884" s="82"/>
    </row>
    <row r="9885" spans="1:3" x14ac:dyDescent="0.2">
      <c r="A9885" s="82"/>
      <c r="B9885" s="82"/>
      <c r="C9885" s="82"/>
    </row>
    <row r="9886" spans="1:3" x14ac:dyDescent="0.2">
      <c r="A9886" s="82"/>
      <c r="B9886" s="82"/>
      <c r="C9886" s="82"/>
    </row>
    <row r="9887" spans="1:3" x14ac:dyDescent="0.2">
      <c r="A9887" s="82"/>
      <c r="B9887" s="82"/>
      <c r="C9887" s="82"/>
    </row>
    <row r="9888" spans="1:3" x14ac:dyDescent="0.2">
      <c r="A9888" s="82"/>
      <c r="B9888" s="82"/>
      <c r="C9888" s="82"/>
    </row>
    <row r="9889" spans="1:3" x14ac:dyDescent="0.2">
      <c r="A9889" s="82"/>
      <c r="B9889" s="82"/>
      <c r="C9889" s="82"/>
    </row>
    <row r="9890" spans="1:3" x14ac:dyDescent="0.2">
      <c r="A9890" s="82"/>
      <c r="B9890" s="82"/>
      <c r="C9890" s="82"/>
    </row>
    <row r="9891" spans="1:3" x14ac:dyDescent="0.2">
      <c r="A9891" s="82"/>
      <c r="B9891" s="82"/>
      <c r="C9891" s="82"/>
    </row>
    <row r="9892" spans="1:3" x14ac:dyDescent="0.2">
      <c r="A9892" s="82"/>
      <c r="B9892" s="82"/>
      <c r="C9892" s="82"/>
    </row>
    <row r="9893" spans="1:3" x14ac:dyDescent="0.2">
      <c r="A9893" s="82"/>
      <c r="B9893" s="82"/>
      <c r="C9893" s="82"/>
    </row>
    <row r="9894" spans="1:3" x14ac:dyDescent="0.2">
      <c r="A9894" s="82"/>
      <c r="B9894" s="82"/>
      <c r="C9894" s="82"/>
    </row>
    <row r="9895" spans="1:3" x14ac:dyDescent="0.2">
      <c r="A9895" s="82"/>
      <c r="B9895" s="82"/>
      <c r="C9895" s="82"/>
    </row>
    <row r="9896" spans="1:3" x14ac:dyDescent="0.2">
      <c r="A9896" s="82"/>
      <c r="B9896" s="82"/>
      <c r="C9896" s="82"/>
    </row>
    <row r="9897" spans="1:3" x14ac:dyDescent="0.2">
      <c r="A9897" s="82"/>
      <c r="B9897" s="82"/>
      <c r="C9897" s="82"/>
    </row>
    <row r="9898" spans="1:3" x14ac:dyDescent="0.2">
      <c r="A9898" s="82"/>
      <c r="B9898" s="82"/>
      <c r="C9898" s="82"/>
    </row>
    <row r="9899" spans="1:3" x14ac:dyDescent="0.2">
      <c r="A9899" s="82"/>
      <c r="B9899" s="82"/>
      <c r="C9899" s="82"/>
    </row>
    <row r="9900" spans="1:3" x14ac:dyDescent="0.2">
      <c r="A9900" s="82"/>
      <c r="B9900" s="82"/>
      <c r="C9900" s="82"/>
    </row>
    <row r="9901" spans="1:3" x14ac:dyDescent="0.2">
      <c r="A9901" s="82"/>
      <c r="B9901" s="82"/>
      <c r="C9901" s="82"/>
    </row>
    <row r="9902" spans="1:3" x14ac:dyDescent="0.2">
      <c r="A9902" s="82"/>
      <c r="B9902" s="82"/>
      <c r="C9902" s="82"/>
    </row>
    <row r="9903" spans="1:3" x14ac:dyDescent="0.2">
      <c r="A9903" s="82"/>
      <c r="B9903" s="82"/>
      <c r="C9903" s="82"/>
    </row>
    <row r="9904" spans="1:3" x14ac:dyDescent="0.2">
      <c r="A9904" s="82"/>
      <c r="B9904" s="82"/>
      <c r="C9904" s="82"/>
    </row>
    <row r="9905" spans="1:3" x14ac:dyDescent="0.2">
      <c r="A9905" s="82"/>
      <c r="B9905" s="82"/>
      <c r="C9905" s="82"/>
    </row>
    <row r="9906" spans="1:3" x14ac:dyDescent="0.2">
      <c r="A9906" s="82"/>
      <c r="B9906" s="82"/>
      <c r="C9906" s="82"/>
    </row>
    <row r="9907" spans="1:3" x14ac:dyDescent="0.2">
      <c r="A9907" s="82"/>
      <c r="B9907" s="82"/>
      <c r="C9907" s="82"/>
    </row>
    <row r="9908" spans="1:3" x14ac:dyDescent="0.2">
      <c r="A9908" s="82"/>
      <c r="B9908" s="82"/>
      <c r="C9908" s="82"/>
    </row>
    <row r="9909" spans="1:3" x14ac:dyDescent="0.2">
      <c r="A9909" s="82"/>
      <c r="B9909" s="82"/>
      <c r="C9909" s="82"/>
    </row>
    <row r="9910" spans="1:3" x14ac:dyDescent="0.2">
      <c r="A9910" s="82"/>
      <c r="B9910" s="82"/>
      <c r="C9910" s="82"/>
    </row>
    <row r="9911" spans="1:3" x14ac:dyDescent="0.2">
      <c r="A9911" s="82"/>
      <c r="B9911" s="82"/>
      <c r="C9911" s="82"/>
    </row>
    <row r="9912" spans="1:3" x14ac:dyDescent="0.2">
      <c r="A9912" s="82"/>
      <c r="B9912" s="82"/>
      <c r="C9912" s="82"/>
    </row>
    <row r="9913" spans="1:3" x14ac:dyDescent="0.2">
      <c r="A9913" s="82"/>
      <c r="B9913" s="82"/>
      <c r="C9913" s="82"/>
    </row>
    <row r="9914" spans="1:3" x14ac:dyDescent="0.2">
      <c r="A9914" s="82"/>
      <c r="B9914" s="82"/>
      <c r="C9914" s="82"/>
    </row>
    <row r="9915" spans="1:3" x14ac:dyDescent="0.2">
      <c r="A9915" s="82"/>
      <c r="B9915" s="82"/>
      <c r="C9915" s="82"/>
    </row>
    <row r="9916" spans="1:3" x14ac:dyDescent="0.2">
      <c r="A9916" s="82"/>
      <c r="B9916" s="82"/>
      <c r="C9916" s="82"/>
    </row>
    <row r="9917" spans="1:3" x14ac:dyDescent="0.2">
      <c r="A9917" s="82"/>
      <c r="B9917" s="82"/>
      <c r="C9917" s="82"/>
    </row>
    <row r="9918" spans="1:3" x14ac:dyDescent="0.2">
      <c r="A9918" s="82"/>
      <c r="B9918" s="82"/>
      <c r="C9918" s="82"/>
    </row>
    <row r="9919" spans="1:3" x14ac:dyDescent="0.2">
      <c r="A9919" s="82"/>
      <c r="B9919" s="82"/>
      <c r="C9919" s="82"/>
    </row>
    <row r="9920" spans="1:3" x14ac:dyDescent="0.2">
      <c r="A9920" s="82"/>
      <c r="B9920" s="82"/>
      <c r="C9920" s="82"/>
    </row>
    <row r="9921" spans="1:3" x14ac:dyDescent="0.2">
      <c r="A9921" s="82"/>
      <c r="B9921" s="82"/>
      <c r="C9921" s="82"/>
    </row>
    <row r="9922" spans="1:3" x14ac:dyDescent="0.2">
      <c r="A9922" s="82"/>
      <c r="B9922" s="82"/>
      <c r="C9922" s="82"/>
    </row>
    <row r="9923" spans="1:3" x14ac:dyDescent="0.2">
      <c r="A9923" s="82"/>
      <c r="B9923" s="82"/>
      <c r="C9923" s="82"/>
    </row>
    <row r="9924" spans="1:3" x14ac:dyDescent="0.2">
      <c r="A9924" s="82"/>
      <c r="B9924" s="82"/>
      <c r="C9924" s="82"/>
    </row>
    <row r="9925" spans="1:3" x14ac:dyDescent="0.2">
      <c r="A9925" s="82"/>
      <c r="B9925" s="82"/>
      <c r="C9925" s="82"/>
    </row>
    <row r="9926" spans="1:3" x14ac:dyDescent="0.2">
      <c r="A9926" s="82"/>
      <c r="B9926" s="82"/>
      <c r="C9926" s="82"/>
    </row>
    <row r="9927" spans="1:3" x14ac:dyDescent="0.2">
      <c r="A9927" s="82"/>
      <c r="B9927" s="82"/>
      <c r="C9927" s="82"/>
    </row>
    <row r="9928" spans="1:3" x14ac:dyDescent="0.2">
      <c r="A9928" s="82"/>
      <c r="B9928" s="82"/>
      <c r="C9928" s="82"/>
    </row>
    <row r="9929" spans="1:3" x14ac:dyDescent="0.2">
      <c r="A9929" s="82"/>
      <c r="B9929" s="82"/>
      <c r="C9929" s="82"/>
    </row>
    <row r="9930" spans="1:3" x14ac:dyDescent="0.2">
      <c r="A9930" s="82"/>
      <c r="B9930" s="82"/>
      <c r="C9930" s="82"/>
    </row>
    <row r="9931" spans="1:3" x14ac:dyDescent="0.2">
      <c r="A9931" s="82"/>
      <c r="B9931" s="82"/>
      <c r="C9931" s="82"/>
    </row>
    <row r="9932" spans="1:3" x14ac:dyDescent="0.2">
      <c r="A9932" s="82"/>
      <c r="B9932" s="82"/>
      <c r="C9932" s="82"/>
    </row>
    <row r="9933" spans="1:3" x14ac:dyDescent="0.2">
      <c r="A9933" s="82"/>
      <c r="B9933" s="82"/>
      <c r="C9933" s="82"/>
    </row>
    <row r="9934" spans="1:3" x14ac:dyDescent="0.2">
      <c r="A9934" s="82"/>
      <c r="B9934" s="82"/>
      <c r="C9934" s="82"/>
    </row>
    <row r="9935" spans="1:3" x14ac:dyDescent="0.2">
      <c r="A9935" s="82"/>
      <c r="B9935" s="82"/>
      <c r="C9935" s="82"/>
    </row>
    <row r="9936" spans="1:3" x14ac:dyDescent="0.2">
      <c r="A9936" s="82"/>
      <c r="B9936" s="82"/>
      <c r="C9936" s="82"/>
    </row>
    <row r="9937" spans="1:3" x14ac:dyDescent="0.2">
      <c r="A9937" s="82"/>
      <c r="B9937" s="82"/>
      <c r="C9937" s="82"/>
    </row>
    <row r="9938" spans="1:3" x14ac:dyDescent="0.2">
      <c r="A9938" s="82"/>
      <c r="B9938" s="82"/>
      <c r="C9938" s="82"/>
    </row>
    <row r="9939" spans="1:3" x14ac:dyDescent="0.2">
      <c r="A9939" s="82"/>
      <c r="B9939" s="82"/>
      <c r="C9939" s="82"/>
    </row>
    <row r="9940" spans="1:3" x14ac:dyDescent="0.2">
      <c r="A9940" s="82"/>
      <c r="B9940" s="82"/>
      <c r="C9940" s="82"/>
    </row>
    <row r="9941" spans="1:3" x14ac:dyDescent="0.2">
      <c r="A9941" s="82"/>
      <c r="B9941" s="82"/>
      <c r="C9941" s="82"/>
    </row>
    <row r="9942" spans="1:3" x14ac:dyDescent="0.2">
      <c r="A9942" s="82"/>
      <c r="B9942" s="82"/>
      <c r="C9942" s="82"/>
    </row>
    <row r="9943" spans="1:3" x14ac:dyDescent="0.2">
      <c r="A9943" s="82"/>
      <c r="B9943" s="82"/>
      <c r="C9943" s="82"/>
    </row>
    <row r="9944" spans="1:3" x14ac:dyDescent="0.2">
      <c r="A9944" s="82"/>
      <c r="B9944" s="82"/>
      <c r="C9944" s="82"/>
    </row>
    <row r="9945" spans="1:3" x14ac:dyDescent="0.2">
      <c r="A9945" s="82"/>
      <c r="B9945" s="82"/>
      <c r="C9945" s="82"/>
    </row>
    <row r="9946" spans="1:3" x14ac:dyDescent="0.2">
      <c r="A9946" s="82"/>
      <c r="B9946" s="82"/>
      <c r="C9946" s="82"/>
    </row>
    <row r="9947" spans="1:3" x14ac:dyDescent="0.2">
      <c r="A9947" s="82"/>
      <c r="B9947" s="82"/>
      <c r="C9947" s="82"/>
    </row>
    <row r="9948" spans="1:3" x14ac:dyDescent="0.2">
      <c r="A9948" s="82"/>
      <c r="B9948" s="82"/>
      <c r="C9948" s="82"/>
    </row>
    <row r="9949" spans="1:3" x14ac:dyDescent="0.2">
      <c r="A9949" s="82"/>
      <c r="B9949" s="82"/>
      <c r="C9949" s="82"/>
    </row>
    <row r="9950" spans="1:3" x14ac:dyDescent="0.2">
      <c r="A9950" s="82"/>
      <c r="B9950" s="82"/>
      <c r="C9950" s="82"/>
    </row>
    <row r="9951" spans="1:3" x14ac:dyDescent="0.2">
      <c r="A9951" s="82"/>
      <c r="B9951" s="82"/>
      <c r="C9951" s="82"/>
    </row>
    <row r="9952" spans="1:3" x14ac:dyDescent="0.2">
      <c r="A9952" s="82"/>
      <c r="B9952" s="82"/>
      <c r="C9952" s="82"/>
    </row>
    <row r="9953" spans="1:3" x14ac:dyDescent="0.2">
      <c r="A9953" s="82"/>
      <c r="B9953" s="82"/>
      <c r="C9953" s="82"/>
    </row>
    <row r="9954" spans="1:3" x14ac:dyDescent="0.2">
      <c r="A9954" s="82"/>
      <c r="B9954" s="82"/>
      <c r="C9954" s="82"/>
    </row>
    <row r="9955" spans="1:3" x14ac:dyDescent="0.2">
      <c r="A9955" s="82"/>
      <c r="B9955" s="82"/>
      <c r="C9955" s="82"/>
    </row>
    <row r="9956" spans="1:3" x14ac:dyDescent="0.2">
      <c r="A9956" s="82"/>
      <c r="B9956" s="82"/>
      <c r="C9956" s="82"/>
    </row>
    <row r="9957" spans="1:3" x14ac:dyDescent="0.2">
      <c r="A9957" s="82"/>
      <c r="B9957" s="82"/>
      <c r="C9957" s="82"/>
    </row>
    <row r="9958" spans="1:3" x14ac:dyDescent="0.2">
      <c r="A9958" s="82"/>
      <c r="B9958" s="82"/>
      <c r="C9958" s="82"/>
    </row>
    <row r="9959" spans="1:3" x14ac:dyDescent="0.2">
      <c r="A9959" s="82"/>
      <c r="B9959" s="82"/>
      <c r="C9959" s="82"/>
    </row>
    <row r="9960" spans="1:3" x14ac:dyDescent="0.2">
      <c r="A9960" s="82"/>
      <c r="B9960" s="82"/>
      <c r="C9960" s="82"/>
    </row>
    <row r="9961" spans="1:3" x14ac:dyDescent="0.2">
      <c r="A9961" s="82"/>
      <c r="B9961" s="82"/>
      <c r="C9961" s="82"/>
    </row>
    <row r="9962" spans="1:3" x14ac:dyDescent="0.2">
      <c r="A9962" s="82"/>
      <c r="B9962" s="82"/>
      <c r="C9962" s="82"/>
    </row>
    <row r="9963" spans="1:3" x14ac:dyDescent="0.2">
      <c r="A9963" s="82"/>
      <c r="B9963" s="82"/>
      <c r="C9963" s="82"/>
    </row>
    <row r="9964" spans="1:3" x14ac:dyDescent="0.2">
      <c r="A9964" s="82"/>
      <c r="B9964" s="82"/>
      <c r="C9964" s="82"/>
    </row>
    <row r="9965" spans="1:3" x14ac:dyDescent="0.2">
      <c r="A9965" s="82"/>
      <c r="B9965" s="82"/>
      <c r="C9965" s="82"/>
    </row>
    <row r="9966" spans="1:3" x14ac:dyDescent="0.2">
      <c r="A9966" s="82"/>
      <c r="B9966" s="82"/>
      <c r="C9966" s="82"/>
    </row>
    <row r="9967" spans="1:3" x14ac:dyDescent="0.2">
      <c r="A9967" s="82"/>
      <c r="B9967" s="82"/>
      <c r="C9967" s="82"/>
    </row>
    <row r="9968" spans="1:3" x14ac:dyDescent="0.2">
      <c r="A9968" s="82"/>
      <c r="B9968" s="82"/>
      <c r="C9968" s="82"/>
    </row>
    <row r="9969" spans="1:3" x14ac:dyDescent="0.2">
      <c r="A9969" s="82"/>
      <c r="B9969" s="82"/>
      <c r="C9969" s="82"/>
    </row>
    <row r="9970" spans="1:3" x14ac:dyDescent="0.2">
      <c r="A9970" s="82"/>
      <c r="B9970" s="82"/>
      <c r="C9970" s="82"/>
    </row>
    <row r="9971" spans="1:3" x14ac:dyDescent="0.2">
      <c r="A9971" s="82"/>
      <c r="B9971" s="82"/>
      <c r="C9971" s="82"/>
    </row>
    <row r="9972" spans="1:3" x14ac:dyDescent="0.2">
      <c r="A9972" s="82"/>
      <c r="B9972" s="82"/>
      <c r="C9972" s="82"/>
    </row>
    <row r="9973" spans="1:3" x14ac:dyDescent="0.2">
      <c r="A9973" s="82"/>
      <c r="B9973" s="82"/>
      <c r="C9973" s="82"/>
    </row>
    <row r="9974" spans="1:3" x14ac:dyDescent="0.2">
      <c r="A9974" s="82"/>
      <c r="B9974" s="82"/>
      <c r="C9974" s="82"/>
    </row>
    <row r="9975" spans="1:3" x14ac:dyDescent="0.2">
      <c r="A9975" s="82"/>
      <c r="B9975" s="82"/>
      <c r="C9975" s="82"/>
    </row>
    <row r="9976" spans="1:3" x14ac:dyDescent="0.2">
      <c r="A9976" s="82"/>
      <c r="B9976" s="82"/>
      <c r="C9976" s="82"/>
    </row>
    <row r="9977" spans="1:3" x14ac:dyDescent="0.2">
      <c r="A9977" s="82"/>
      <c r="B9977" s="82"/>
      <c r="C9977" s="82"/>
    </row>
    <row r="9978" spans="1:3" x14ac:dyDescent="0.2">
      <c r="A9978" s="82"/>
      <c r="B9978" s="82"/>
      <c r="C9978" s="82"/>
    </row>
    <row r="9979" spans="1:3" x14ac:dyDescent="0.2">
      <c r="A9979" s="82"/>
      <c r="B9979" s="82"/>
      <c r="C9979" s="82"/>
    </row>
    <row r="9980" spans="1:3" x14ac:dyDescent="0.2">
      <c r="A9980" s="82"/>
      <c r="B9980" s="82"/>
      <c r="C9980" s="82"/>
    </row>
    <row r="9981" spans="1:3" x14ac:dyDescent="0.2">
      <c r="A9981" s="82"/>
      <c r="B9981" s="82"/>
      <c r="C9981" s="82"/>
    </row>
    <row r="9982" spans="1:3" x14ac:dyDescent="0.2">
      <c r="A9982" s="82"/>
      <c r="B9982" s="82"/>
      <c r="C9982" s="82"/>
    </row>
    <row r="9983" spans="1:3" x14ac:dyDescent="0.2">
      <c r="A9983" s="82"/>
      <c r="B9983" s="82"/>
      <c r="C9983" s="82"/>
    </row>
    <row r="9984" spans="1:3" x14ac:dyDescent="0.2">
      <c r="A9984" s="82"/>
      <c r="B9984" s="82"/>
      <c r="C9984" s="82"/>
    </row>
    <row r="9985" spans="1:3" x14ac:dyDescent="0.2">
      <c r="A9985" s="82"/>
      <c r="B9985" s="82"/>
      <c r="C9985" s="82"/>
    </row>
    <row r="9986" spans="1:3" x14ac:dyDescent="0.2">
      <c r="A9986" s="82"/>
      <c r="B9986" s="82"/>
      <c r="C9986" s="82"/>
    </row>
    <row r="9987" spans="1:3" x14ac:dyDescent="0.2">
      <c r="A9987" s="82"/>
      <c r="B9987" s="82"/>
      <c r="C9987" s="82"/>
    </row>
    <row r="9988" spans="1:3" x14ac:dyDescent="0.2">
      <c r="A9988" s="82"/>
      <c r="B9988" s="82"/>
      <c r="C9988" s="82"/>
    </row>
    <row r="9989" spans="1:3" x14ac:dyDescent="0.2">
      <c r="A9989" s="82"/>
      <c r="B9989" s="82"/>
      <c r="C9989" s="82"/>
    </row>
    <row r="9990" spans="1:3" x14ac:dyDescent="0.2">
      <c r="A9990" s="82"/>
      <c r="B9990" s="82"/>
      <c r="C9990" s="82"/>
    </row>
    <row r="9991" spans="1:3" x14ac:dyDescent="0.2">
      <c r="A9991" s="82"/>
      <c r="B9991" s="82"/>
      <c r="C9991" s="82"/>
    </row>
    <row r="9992" spans="1:3" x14ac:dyDescent="0.2">
      <c r="A9992" s="82"/>
      <c r="B9992" s="82"/>
      <c r="C9992" s="82"/>
    </row>
    <row r="9993" spans="1:3" x14ac:dyDescent="0.2">
      <c r="A9993" s="82"/>
      <c r="B9993" s="82"/>
      <c r="C9993" s="82"/>
    </row>
    <row r="9994" spans="1:3" x14ac:dyDescent="0.2">
      <c r="A9994" s="82"/>
      <c r="B9994" s="82"/>
      <c r="C9994" s="82"/>
    </row>
    <row r="9995" spans="1:3" x14ac:dyDescent="0.2">
      <c r="A9995" s="82"/>
      <c r="B9995" s="82"/>
      <c r="C9995" s="82"/>
    </row>
    <row r="9996" spans="1:3" x14ac:dyDescent="0.2">
      <c r="A9996" s="82"/>
      <c r="B9996" s="82"/>
      <c r="C9996" s="82"/>
    </row>
    <row r="9997" spans="1:3" x14ac:dyDescent="0.2">
      <c r="A9997" s="82"/>
      <c r="B9997" s="82"/>
      <c r="C9997" s="82"/>
    </row>
    <row r="9998" spans="1:3" x14ac:dyDescent="0.2">
      <c r="A9998" s="82"/>
      <c r="B9998" s="82"/>
      <c r="C9998" s="82"/>
    </row>
    <row r="9999" spans="1:3" x14ac:dyDescent="0.2">
      <c r="A9999" s="82"/>
      <c r="B9999" s="82"/>
      <c r="C9999" s="82"/>
    </row>
    <row r="10000" spans="1:3" x14ac:dyDescent="0.2">
      <c r="A10000" s="82"/>
      <c r="B10000" s="82"/>
      <c r="C10000" s="82"/>
    </row>
    <row r="10001" spans="1:3" x14ac:dyDescent="0.2">
      <c r="A10001" s="82"/>
      <c r="B10001" s="82"/>
      <c r="C10001" s="82"/>
    </row>
    <row r="10002" spans="1:3" x14ac:dyDescent="0.2">
      <c r="A10002" s="82"/>
      <c r="B10002" s="82"/>
      <c r="C10002" s="82"/>
    </row>
    <row r="10003" spans="1:3" x14ac:dyDescent="0.2">
      <c r="A10003" s="82"/>
      <c r="B10003" s="82"/>
      <c r="C10003" s="82"/>
    </row>
    <row r="10004" spans="1:3" x14ac:dyDescent="0.2">
      <c r="A10004" s="82"/>
      <c r="B10004" s="82"/>
      <c r="C10004" s="82"/>
    </row>
    <row r="10005" spans="1:3" x14ac:dyDescent="0.2">
      <c r="A10005" s="82"/>
      <c r="B10005" s="82"/>
      <c r="C10005" s="82"/>
    </row>
    <row r="10006" spans="1:3" x14ac:dyDescent="0.2">
      <c r="A10006" s="82"/>
      <c r="B10006" s="82"/>
      <c r="C10006" s="82"/>
    </row>
    <row r="10007" spans="1:3" x14ac:dyDescent="0.2">
      <c r="A10007" s="82"/>
      <c r="B10007" s="82"/>
      <c r="C10007" s="82"/>
    </row>
    <row r="10008" spans="1:3" x14ac:dyDescent="0.2">
      <c r="A10008" s="82"/>
      <c r="B10008" s="82"/>
      <c r="C10008" s="82"/>
    </row>
    <row r="10009" spans="1:3" x14ac:dyDescent="0.2">
      <c r="A10009" s="82"/>
      <c r="B10009" s="82"/>
      <c r="C10009" s="82"/>
    </row>
    <row r="10010" spans="1:3" x14ac:dyDescent="0.2">
      <c r="A10010" s="82"/>
      <c r="B10010" s="82"/>
      <c r="C10010" s="82"/>
    </row>
    <row r="10011" spans="1:3" x14ac:dyDescent="0.2">
      <c r="A10011" s="82"/>
      <c r="B10011" s="82"/>
      <c r="C10011" s="82"/>
    </row>
    <row r="10012" spans="1:3" x14ac:dyDescent="0.2">
      <c r="A10012" s="82"/>
      <c r="B10012" s="82"/>
      <c r="C10012" s="82"/>
    </row>
    <row r="10013" spans="1:3" x14ac:dyDescent="0.2">
      <c r="A10013" s="82"/>
      <c r="B10013" s="82"/>
      <c r="C10013" s="82"/>
    </row>
    <row r="10014" spans="1:3" x14ac:dyDescent="0.2">
      <c r="A10014" s="82"/>
      <c r="B10014" s="82"/>
      <c r="C10014" s="82"/>
    </row>
    <row r="10015" spans="1:3" x14ac:dyDescent="0.2">
      <c r="A10015" s="82"/>
      <c r="B10015" s="82"/>
      <c r="C10015" s="82"/>
    </row>
    <row r="10016" spans="1:3" x14ac:dyDescent="0.2">
      <c r="A10016" s="82"/>
      <c r="B10016" s="82"/>
      <c r="C10016" s="82"/>
    </row>
    <row r="10017" spans="1:3" x14ac:dyDescent="0.2">
      <c r="A10017" s="82"/>
      <c r="B10017" s="82"/>
      <c r="C10017" s="82"/>
    </row>
    <row r="10018" spans="1:3" x14ac:dyDescent="0.2">
      <c r="A10018" s="82"/>
      <c r="B10018" s="82"/>
      <c r="C10018" s="82"/>
    </row>
    <row r="10019" spans="1:3" x14ac:dyDescent="0.2">
      <c r="A10019" s="82"/>
      <c r="B10019" s="82"/>
      <c r="C10019" s="82"/>
    </row>
    <row r="10020" spans="1:3" x14ac:dyDescent="0.2">
      <c r="A10020" s="82"/>
      <c r="B10020" s="82"/>
      <c r="C10020" s="82"/>
    </row>
    <row r="10021" spans="1:3" x14ac:dyDescent="0.2">
      <c r="A10021" s="82"/>
      <c r="B10021" s="82"/>
      <c r="C10021" s="82"/>
    </row>
    <row r="10022" spans="1:3" x14ac:dyDescent="0.2">
      <c r="A10022" s="82"/>
      <c r="B10022" s="82"/>
      <c r="C10022" s="82"/>
    </row>
    <row r="10023" spans="1:3" x14ac:dyDescent="0.2">
      <c r="A10023" s="82"/>
      <c r="B10023" s="82"/>
      <c r="C10023" s="82"/>
    </row>
    <row r="10024" spans="1:3" x14ac:dyDescent="0.2">
      <c r="A10024" s="82"/>
      <c r="B10024" s="82"/>
      <c r="C10024" s="82"/>
    </row>
    <row r="10025" spans="1:3" x14ac:dyDescent="0.2">
      <c r="A10025" s="82"/>
      <c r="B10025" s="82"/>
      <c r="C10025" s="82"/>
    </row>
    <row r="10026" spans="1:3" x14ac:dyDescent="0.2">
      <c r="A10026" s="82"/>
      <c r="B10026" s="82"/>
      <c r="C10026" s="82"/>
    </row>
    <row r="10027" spans="1:3" x14ac:dyDescent="0.2">
      <c r="A10027" s="82"/>
      <c r="B10027" s="82"/>
      <c r="C10027" s="82"/>
    </row>
    <row r="10028" spans="1:3" x14ac:dyDescent="0.2">
      <c r="A10028" s="82"/>
      <c r="B10028" s="82"/>
      <c r="C10028" s="82"/>
    </row>
    <row r="10029" spans="1:3" x14ac:dyDescent="0.2">
      <c r="A10029" s="82"/>
      <c r="B10029" s="82"/>
      <c r="C10029" s="82"/>
    </row>
    <row r="10030" spans="1:3" x14ac:dyDescent="0.2">
      <c r="A10030" s="82"/>
      <c r="B10030" s="82"/>
      <c r="C10030" s="82"/>
    </row>
    <row r="10031" spans="1:3" x14ac:dyDescent="0.2">
      <c r="A10031" s="82"/>
      <c r="B10031" s="82"/>
      <c r="C10031" s="82"/>
    </row>
    <row r="10032" spans="1:3" x14ac:dyDescent="0.2">
      <c r="A10032" s="82"/>
      <c r="B10032" s="82"/>
      <c r="C10032" s="82"/>
    </row>
    <row r="10033" spans="1:3" x14ac:dyDescent="0.2">
      <c r="A10033" s="82"/>
      <c r="B10033" s="82"/>
      <c r="C10033" s="82"/>
    </row>
    <row r="10034" spans="1:3" x14ac:dyDescent="0.2">
      <c r="A10034" s="82"/>
      <c r="B10034" s="82"/>
      <c r="C10034" s="82"/>
    </row>
    <row r="10035" spans="1:3" x14ac:dyDescent="0.2">
      <c r="A10035" s="82"/>
      <c r="B10035" s="82"/>
      <c r="C10035" s="82"/>
    </row>
    <row r="10036" spans="1:3" x14ac:dyDescent="0.2">
      <c r="A10036" s="82"/>
      <c r="B10036" s="82"/>
      <c r="C10036" s="82"/>
    </row>
    <row r="10037" spans="1:3" x14ac:dyDescent="0.2">
      <c r="A10037" s="82"/>
      <c r="B10037" s="82"/>
      <c r="C10037" s="82"/>
    </row>
    <row r="10038" spans="1:3" x14ac:dyDescent="0.2">
      <c r="A10038" s="82"/>
      <c r="B10038" s="82"/>
      <c r="C10038" s="82"/>
    </row>
    <row r="10039" spans="1:3" x14ac:dyDescent="0.2">
      <c r="A10039" s="82"/>
      <c r="B10039" s="82"/>
      <c r="C10039" s="82"/>
    </row>
    <row r="10040" spans="1:3" x14ac:dyDescent="0.2">
      <c r="A10040" s="82"/>
      <c r="B10040" s="82"/>
      <c r="C10040" s="82"/>
    </row>
    <row r="10041" spans="1:3" x14ac:dyDescent="0.2">
      <c r="A10041" s="82"/>
      <c r="B10041" s="82"/>
      <c r="C10041" s="82"/>
    </row>
    <row r="10042" spans="1:3" x14ac:dyDescent="0.2">
      <c r="A10042" s="82"/>
      <c r="B10042" s="82"/>
      <c r="C10042" s="82"/>
    </row>
    <row r="10043" spans="1:3" x14ac:dyDescent="0.2">
      <c r="A10043" s="82"/>
      <c r="B10043" s="82"/>
      <c r="C10043" s="82"/>
    </row>
    <row r="10044" spans="1:3" x14ac:dyDescent="0.2">
      <c r="A10044" s="82"/>
      <c r="B10044" s="82"/>
      <c r="C10044" s="82"/>
    </row>
    <row r="10045" spans="1:3" x14ac:dyDescent="0.2">
      <c r="A10045" s="82"/>
      <c r="B10045" s="82"/>
      <c r="C10045" s="82"/>
    </row>
    <row r="10046" spans="1:3" x14ac:dyDescent="0.2">
      <c r="A10046" s="82"/>
      <c r="B10046" s="82"/>
      <c r="C10046" s="82"/>
    </row>
    <row r="10047" spans="1:3" x14ac:dyDescent="0.2">
      <c r="A10047" s="82"/>
      <c r="B10047" s="82"/>
      <c r="C10047" s="82"/>
    </row>
    <row r="10048" spans="1:3" x14ac:dyDescent="0.2">
      <c r="A10048" s="82"/>
      <c r="B10048" s="82"/>
      <c r="C10048" s="82"/>
    </row>
    <row r="10049" spans="1:3" x14ac:dyDescent="0.2">
      <c r="A10049" s="82"/>
      <c r="B10049" s="82"/>
      <c r="C10049" s="82"/>
    </row>
    <row r="10050" spans="1:3" x14ac:dyDescent="0.2">
      <c r="A10050" s="82"/>
      <c r="B10050" s="82"/>
      <c r="C10050" s="82"/>
    </row>
    <row r="10051" spans="1:3" x14ac:dyDescent="0.2">
      <c r="A10051" s="82"/>
      <c r="B10051" s="82"/>
      <c r="C10051" s="82"/>
    </row>
    <row r="10052" spans="1:3" x14ac:dyDescent="0.2">
      <c r="A10052" s="82"/>
      <c r="B10052" s="82"/>
      <c r="C10052" s="82"/>
    </row>
    <row r="10053" spans="1:3" x14ac:dyDescent="0.2">
      <c r="A10053" s="82"/>
      <c r="B10053" s="82"/>
      <c r="C10053" s="82"/>
    </row>
    <row r="10054" spans="1:3" x14ac:dyDescent="0.2">
      <c r="A10054" s="82"/>
      <c r="B10054" s="82"/>
      <c r="C10054" s="82"/>
    </row>
    <row r="10055" spans="1:3" x14ac:dyDescent="0.2">
      <c r="A10055" s="82"/>
      <c r="B10055" s="82"/>
      <c r="C10055" s="82"/>
    </row>
    <row r="10056" spans="1:3" x14ac:dyDescent="0.2">
      <c r="A10056" s="82"/>
      <c r="B10056" s="82"/>
      <c r="C10056" s="82"/>
    </row>
    <row r="10057" spans="1:3" x14ac:dyDescent="0.2">
      <c r="A10057" s="82"/>
      <c r="B10057" s="82"/>
      <c r="C10057" s="82"/>
    </row>
    <row r="10058" spans="1:3" x14ac:dyDescent="0.2">
      <c r="A10058" s="82"/>
      <c r="B10058" s="82"/>
      <c r="C10058" s="82"/>
    </row>
    <row r="10059" spans="1:3" x14ac:dyDescent="0.2">
      <c r="A10059" s="82"/>
      <c r="B10059" s="82"/>
      <c r="C10059" s="82"/>
    </row>
    <row r="10060" spans="1:3" x14ac:dyDescent="0.2">
      <c r="A10060" s="82"/>
      <c r="B10060" s="82"/>
      <c r="C10060" s="82"/>
    </row>
    <row r="10061" spans="1:3" x14ac:dyDescent="0.2">
      <c r="A10061" s="82"/>
      <c r="B10061" s="82"/>
      <c r="C10061" s="82"/>
    </row>
    <row r="10062" spans="1:3" x14ac:dyDescent="0.2">
      <c r="A10062" s="82"/>
      <c r="B10062" s="82"/>
      <c r="C10062" s="82"/>
    </row>
    <row r="10063" spans="1:3" x14ac:dyDescent="0.2">
      <c r="A10063" s="82"/>
      <c r="B10063" s="82"/>
      <c r="C10063" s="82"/>
    </row>
    <row r="10064" spans="1:3" x14ac:dyDescent="0.2">
      <c r="A10064" s="82"/>
      <c r="B10064" s="82"/>
      <c r="C10064" s="82"/>
    </row>
    <row r="10065" spans="1:3" x14ac:dyDescent="0.2">
      <c r="A10065" s="82"/>
      <c r="B10065" s="82"/>
      <c r="C10065" s="82"/>
    </row>
    <row r="10066" spans="1:3" x14ac:dyDescent="0.2">
      <c r="A10066" s="82"/>
      <c r="B10066" s="82"/>
      <c r="C10066" s="82"/>
    </row>
    <row r="10067" spans="1:3" x14ac:dyDescent="0.2">
      <c r="A10067" s="82"/>
      <c r="B10067" s="82"/>
      <c r="C10067" s="82"/>
    </row>
    <row r="10068" spans="1:3" x14ac:dyDescent="0.2">
      <c r="A10068" s="82"/>
      <c r="B10068" s="82"/>
      <c r="C10068" s="82"/>
    </row>
    <row r="10069" spans="1:3" x14ac:dyDescent="0.2">
      <c r="A10069" s="82"/>
      <c r="B10069" s="82"/>
      <c r="C10069" s="82"/>
    </row>
    <row r="10070" spans="1:3" x14ac:dyDescent="0.2">
      <c r="A10070" s="82"/>
      <c r="B10070" s="82"/>
      <c r="C10070" s="82"/>
    </row>
    <row r="10071" spans="1:3" x14ac:dyDescent="0.2">
      <c r="A10071" s="82"/>
      <c r="B10071" s="82"/>
      <c r="C10071" s="82"/>
    </row>
    <row r="10072" spans="1:3" x14ac:dyDescent="0.2">
      <c r="A10072" s="82"/>
      <c r="B10072" s="82"/>
      <c r="C10072" s="82"/>
    </row>
    <row r="10073" spans="1:3" x14ac:dyDescent="0.2">
      <c r="A10073" s="82"/>
      <c r="B10073" s="82"/>
      <c r="C10073" s="82"/>
    </row>
    <row r="10074" spans="1:3" x14ac:dyDescent="0.2">
      <c r="A10074" s="82"/>
      <c r="B10074" s="82"/>
      <c r="C10074" s="82"/>
    </row>
    <row r="10075" spans="1:3" x14ac:dyDescent="0.2">
      <c r="A10075" s="82"/>
      <c r="B10075" s="82"/>
      <c r="C10075" s="82"/>
    </row>
    <row r="10076" spans="1:3" x14ac:dyDescent="0.2">
      <c r="A10076" s="82"/>
      <c r="B10076" s="82"/>
      <c r="C10076" s="82"/>
    </row>
    <row r="10077" spans="1:3" x14ac:dyDescent="0.2">
      <c r="A10077" s="82"/>
      <c r="B10077" s="82"/>
      <c r="C10077" s="82"/>
    </row>
    <row r="10078" spans="1:3" x14ac:dyDescent="0.2">
      <c r="A10078" s="82"/>
      <c r="B10078" s="82"/>
      <c r="C10078" s="82"/>
    </row>
    <row r="10079" spans="1:3" x14ac:dyDescent="0.2">
      <c r="A10079" s="82"/>
      <c r="B10079" s="82"/>
      <c r="C10079" s="82"/>
    </row>
    <row r="10080" spans="1:3" x14ac:dyDescent="0.2">
      <c r="A10080" s="82"/>
      <c r="B10080" s="82"/>
      <c r="C10080" s="82"/>
    </row>
    <row r="10081" spans="1:3" x14ac:dyDescent="0.2">
      <c r="A10081" s="82"/>
      <c r="B10081" s="82"/>
      <c r="C10081" s="82"/>
    </row>
    <row r="10082" spans="1:3" x14ac:dyDescent="0.2">
      <c r="A10082" s="82"/>
      <c r="B10082" s="82"/>
      <c r="C10082" s="82"/>
    </row>
    <row r="10083" spans="1:3" x14ac:dyDescent="0.2">
      <c r="A10083" s="82"/>
      <c r="B10083" s="82"/>
      <c r="C10083" s="82"/>
    </row>
    <row r="10084" spans="1:3" x14ac:dyDescent="0.2">
      <c r="A10084" s="82"/>
      <c r="B10084" s="82"/>
      <c r="C10084" s="82"/>
    </row>
    <row r="10085" spans="1:3" x14ac:dyDescent="0.2">
      <c r="A10085" s="82"/>
      <c r="B10085" s="82"/>
      <c r="C10085" s="82"/>
    </row>
    <row r="10086" spans="1:3" x14ac:dyDescent="0.2">
      <c r="A10086" s="82"/>
      <c r="B10086" s="82"/>
      <c r="C10086" s="82"/>
    </row>
    <row r="10087" spans="1:3" x14ac:dyDescent="0.2">
      <c r="A10087" s="82"/>
      <c r="B10087" s="82"/>
      <c r="C10087" s="82"/>
    </row>
    <row r="10088" spans="1:3" x14ac:dyDescent="0.2">
      <c r="A10088" s="82"/>
      <c r="B10088" s="82"/>
      <c r="C10088" s="82"/>
    </row>
    <row r="10089" spans="1:3" x14ac:dyDescent="0.2">
      <c r="A10089" s="82"/>
      <c r="B10089" s="82"/>
      <c r="C10089" s="82"/>
    </row>
    <row r="10090" spans="1:3" x14ac:dyDescent="0.2">
      <c r="A10090" s="82"/>
      <c r="B10090" s="82"/>
      <c r="C10090" s="82"/>
    </row>
    <row r="10091" spans="1:3" x14ac:dyDescent="0.2">
      <c r="A10091" s="82"/>
      <c r="B10091" s="82"/>
      <c r="C10091" s="82"/>
    </row>
    <row r="10092" spans="1:3" x14ac:dyDescent="0.2">
      <c r="A10092" s="82"/>
      <c r="B10092" s="82"/>
      <c r="C10092" s="82"/>
    </row>
    <row r="10093" spans="1:3" x14ac:dyDescent="0.2">
      <c r="A10093" s="82"/>
      <c r="B10093" s="82"/>
      <c r="C10093" s="82"/>
    </row>
    <row r="10094" spans="1:3" x14ac:dyDescent="0.2">
      <c r="A10094" s="82"/>
      <c r="B10094" s="82"/>
      <c r="C10094" s="82"/>
    </row>
    <row r="10095" spans="1:3" x14ac:dyDescent="0.2">
      <c r="A10095" s="82"/>
      <c r="B10095" s="82"/>
      <c r="C10095" s="82"/>
    </row>
    <row r="10096" spans="1:3" x14ac:dyDescent="0.2">
      <c r="A10096" s="82"/>
      <c r="B10096" s="82"/>
      <c r="C10096" s="82"/>
    </row>
    <row r="10097" spans="1:3" x14ac:dyDescent="0.2">
      <c r="A10097" s="82"/>
      <c r="B10097" s="82"/>
      <c r="C10097" s="82"/>
    </row>
    <row r="10098" spans="1:3" x14ac:dyDescent="0.2">
      <c r="A10098" s="82"/>
      <c r="B10098" s="82"/>
      <c r="C10098" s="82"/>
    </row>
    <row r="10099" spans="1:3" x14ac:dyDescent="0.2">
      <c r="A10099" s="82"/>
      <c r="B10099" s="82"/>
      <c r="C10099" s="82"/>
    </row>
    <row r="10100" spans="1:3" x14ac:dyDescent="0.2">
      <c r="A10100" s="82"/>
      <c r="B10100" s="82"/>
      <c r="C10100" s="82"/>
    </row>
    <row r="10101" spans="1:3" x14ac:dyDescent="0.2">
      <c r="A10101" s="82"/>
      <c r="B10101" s="82"/>
      <c r="C10101" s="82"/>
    </row>
    <row r="10102" spans="1:3" x14ac:dyDescent="0.2">
      <c r="A10102" s="82"/>
      <c r="B10102" s="82"/>
      <c r="C10102" s="82"/>
    </row>
    <row r="10103" spans="1:3" x14ac:dyDescent="0.2">
      <c r="A10103" s="82"/>
      <c r="B10103" s="82"/>
      <c r="C10103" s="82"/>
    </row>
    <row r="10104" spans="1:3" x14ac:dyDescent="0.2">
      <c r="A10104" s="82"/>
      <c r="B10104" s="82"/>
      <c r="C10104" s="82"/>
    </row>
    <row r="10105" spans="1:3" x14ac:dyDescent="0.2">
      <c r="A10105" s="82"/>
      <c r="B10105" s="82"/>
      <c r="C10105" s="82"/>
    </row>
    <row r="10106" spans="1:3" x14ac:dyDescent="0.2">
      <c r="A10106" s="82"/>
      <c r="B10106" s="82"/>
      <c r="C10106" s="82"/>
    </row>
    <row r="10107" spans="1:3" x14ac:dyDescent="0.2">
      <c r="A10107" s="82"/>
      <c r="B10107" s="82"/>
      <c r="C10107" s="82"/>
    </row>
    <row r="10108" spans="1:3" x14ac:dyDescent="0.2">
      <c r="A10108" s="82"/>
      <c r="B10108" s="82"/>
      <c r="C10108" s="82"/>
    </row>
    <row r="10109" spans="1:3" x14ac:dyDescent="0.2">
      <c r="A10109" s="82"/>
      <c r="B10109" s="82"/>
      <c r="C10109" s="82"/>
    </row>
    <row r="10110" spans="1:3" x14ac:dyDescent="0.2">
      <c r="A10110" s="82"/>
      <c r="B10110" s="82"/>
      <c r="C10110" s="82"/>
    </row>
    <row r="10111" spans="1:3" x14ac:dyDescent="0.2">
      <c r="A10111" s="82"/>
      <c r="B10111" s="82"/>
      <c r="C10111" s="82"/>
    </row>
    <row r="10112" spans="1:3" x14ac:dyDescent="0.2">
      <c r="A10112" s="82"/>
      <c r="B10112" s="82"/>
      <c r="C10112" s="82"/>
    </row>
    <row r="10113" spans="1:3" x14ac:dyDescent="0.2">
      <c r="A10113" s="82"/>
      <c r="B10113" s="82"/>
      <c r="C10113" s="82"/>
    </row>
    <row r="10114" spans="1:3" x14ac:dyDescent="0.2">
      <c r="A10114" s="82"/>
      <c r="B10114" s="82"/>
      <c r="C10114" s="82"/>
    </row>
    <row r="10115" spans="1:3" x14ac:dyDescent="0.2">
      <c r="A10115" s="82"/>
      <c r="B10115" s="82"/>
      <c r="C10115" s="82"/>
    </row>
    <row r="10116" spans="1:3" x14ac:dyDescent="0.2">
      <c r="A10116" s="82"/>
      <c r="B10116" s="82"/>
      <c r="C10116" s="82"/>
    </row>
    <row r="10117" spans="1:3" x14ac:dyDescent="0.2">
      <c r="A10117" s="82"/>
      <c r="B10117" s="82"/>
      <c r="C10117" s="82"/>
    </row>
    <row r="10118" spans="1:3" x14ac:dyDescent="0.2">
      <c r="A10118" s="82"/>
      <c r="B10118" s="82"/>
      <c r="C10118" s="82"/>
    </row>
    <row r="10119" spans="1:3" x14ac:dyDescent="0.2">
      <c r="A10119" s="82"/>
      <c r="B10119" s="82"/>
      <c r="C10119" s="82"/>
    </row>
    <row r="10120" spans="1:3" x14ac:dyDescent="0.2">
      <c r="A10120" s="82"/>
      <c r="B10120" s="82"/>
      <c r="C10120" s="82"/>
    </row>
    <row r="10121" spans="1:3" x14ac:dyDescent="0.2">
      <c r="A10121" s="82"/>
      <c r="B10121" s="82"/>
      <c r="C10121" s="82"/>
    </row>
    <row r="10122" spans="1:3" x14ac:dyDescent="0.2">
      <c r="A10122" s="82"/>
      <c r="B10122" s="82"/>
      <c r="C10122" s="82"/>
    </row>
    <row r="10123" spans="1:3" x14ac:dyDescent="0.2">
      <c r="A10123" s="82"/>
      <c r="B10123" s="82"/>
      <c r="C10123" s="82"/>
    </row>
    <row r="10124" spans="1:3" x14ac:dyDescent="0.2">
      <c r="A10124" s="82"/>
      <c r="B10124" s="82"/>
      <c r="C10124" s="82"/>
    </row>
    <row r="10125" spans="1:3" x14ac:dyDescent="0.2">
      <c r="A10125" s="82"/>
      <c r="B10125" s="82"/>
      <c r="C10125" s="82"/>
    </row>
    <row r="10126" spans="1:3" x14ac:dyDescent="0.2">
      <c r="A10126" s="82"/>
      <c r="B10126" s="82"/>
      <c r="C10126" s="82"/>
    </row>
    <row r="10127" spans="1:3" x14ac:dyDescent="0.2">
      <c r="A10127" s="82"/>
      <c r="B10127" s="82"/>
      <c r="C10127" s="82"/>
    </row>
    <row r="10128" spans="1:3" x14ac:dyDescent="0.2">
      <c r="A10128" s="82"/>
      <c r="B10128" s="82"/>
      <c r="C10128" s="82"/>
    </row>
    <row r="10129" spans="1:3" x14ac:dyDescent="0.2">
      <c r="A10129" s="82"/>
      <c r="B10129" s="82"/>
      <c r="C10129" s="82"/>
    </row>
    <row r="10130" spans="1:3" x14ac:dyDescent="0.2">
      <c r="A10130" s="82"/>
      <c r="B10130" s="82"/>
      <c r="C10130" s="82"/>
    </row>
    <row r="10131" spans="1:3" x14ac:dyDescent="0.2">
      <c r="A10131" s="82"/>
      <c r="B10131" s="82"/>
      <c r="C10131" s="82"/>
    </row>
    <row r="10132" spans="1:3" x14ac:dyDescent="0.2">
      <c r="A10132" s="82"/>
      <c r="B10132" s="82"/>
      <c r="C10132" s="82"/>
    </row>
    <row r="10133" spans="1:3" x14ac:dyDescent="0.2">
      <c r="A10133" s="82"/>
      <c r="B10133" s="82"/>
      <c r="C10133" s="82"/>
    </row>
    <row r="10134" spans="1:3" x14ac:dyDescent="0.2">
      <c r="A10134" s="82"/>
      <c r="B10134" s="82"/>
      <c r="C10134" s="82"/>
    </row>
    <row r="10135" spans="1:3" x14ac:dyDescent="0.2">
      <c r="A10135" s="82"/>
      <c r="B10135" s="82"/>
      <c r="C10135" s="82"/>
    </row>
    <row r="10136" spans="1:3" x14ac:dyDescent="0.2">
      <c r="A10136" s="82"/>
      <c r="B10136" s="82"/>
      <c r="C10136" s="82"/>
    </row>
    <row r="10137" spans="1:3" x14ac:dyDescent="0.2">
      <c r="A10137" s="82"/>
      <c r="B10137" s="82"/>
      <c r="C10137" s="82"/>
    </row>
    <row r="10138" spans="1:3" x14ac:dyDescent="0.2">
      <c r="A10138" s="82"/>
      <c r="B10138" s="82"/>
      <c r="C10138" s="82"/>
    </row>
    <row r="10139" spans="1:3" x14ac:dyDescent="0.2">
      <c r="A10139" s="82"/>
      <c r="B10139" s="82"/>
      <c r="C10139" s="82"/>
    </row>
    <row r="10140" spans="1:3" x14ac:dyDescent="0.2">
      <c r="A10140" s="82"/>
      <c r="B10140" s="82"/>
      <c r="C10140" s="82"/>
    </row>
    <row r="10141" spans="1:3" x14ac:dyDescent="0.2">
      <c r="A10141" s="82"/>
      <c r="B10141" s="82"/>
      <c r="C10141" s="82"/>
    </row>
    <row r="10142" spans="1:3" x14ac:dyDescent="0.2">
      <c r="A10142" s="82"/>
      <c r="B10142" s="82"/>
      <c r="C10142" s="82"/>
    </row>
    <row r="10143" spans="1:3" x14ac:dyDescent="0.2">
      <c r="A10143" s="82"/>
      <c r="B10143" s="82"/>
      <c r="C10143" s="82"/>
    </row>
    <row r="10144" spans="1:3" x14ac:dyDescent="0.2">
      <c r="A10144" s="82"/>
      <c r="B10144" s="82"/>
      <c r="C10144" s="82"/>
    </row>
    <row r="10145" spans="1:3" x14ac:dyDescent="0.2">
      <c r="A10145" s="82"/>
      <c r="B10145" s="82"/>
      <c r="C10145" s="82"/>
    </row>
    <row r="10146" spans="1:3" x14ac:dyDescent="0.2">
      <c r="A10146" s="82"/>
      <c r="B10146" s="82"/>
      <c r="C10146" s="82"/>
    </row>
    <row r="10147" spans="1:3" x14ac:dyDescent="0.2">
      <c r="A10147" s="82"/>
      <c r="B10147" s="82"/>
      <c r="C10147" s="82"/>
    </row>
    <row r="10148" spans="1:3" x14ac:dyDescent="0.2">
      <c r="A10148" s="82"/>
      <c r="B10148" s="82"/>
      <c r="C10148" s="82"/>
    </row>
    <row r="10149" spans="1:3" x14ac:dyDescent="0.2">
      <c r="A10149" s="82"/>
      <c r="B10149" s="82"/>
      <c r="C10149" s="82"/>
    </row>
    <row r="10150" spans="1:3" x14ac:dyDescent="0.2">
      <c r="A10150" s="82"/>
      <c r="B10150" s="82"/>
      <c r="C10150" s="82"/>
    </row>
    <row r="10151" spans="1:3" x14ac:dyDescent="0.2">
      <c r="A10151" s="82"/>
      <c r="B10151" s="82"/>
      <c r="C10151" s="82"/>
    </row>
    <row r="10152" spans="1:3" x14ac:dyDescent="0.2">
      <c r="A10152" s="82"/>
      <c r="B10152" s="82"/>
      <c r="C10152" s="82"/>
    </row>
    <row r="10153" spans="1:3" x14ac:dyDescent="0.2">
      <c r="A10153" s="82"/>
      <c r="B10153" s="82"/>
      <c r="C10153" s="82"/>
    </row>
    <row r="10154" spans="1:3" x14ac:dyDescent="0.2">
      <c r="A10154" s="82"/>
      <c r="B10154" s="82"/>
      <c r="C10154" s="82"/>
    </row>
    <row r="10155" spans="1:3" x14ac:dyDescent="0.2">
      <c r="A10155" s="82"/>
      <c r="B10155" s="82"/>
      <c r="C10155" s="82"/>
    </row>
    <row r="10156" spans="1:3" x14ac:dyDescent="0.2">
      <c r="A10156" s="82"/>
      <c r="B10156" s="82"/>
      <c r="C10156" s="82"/>
    </row>
    <row r="10157" spans="1:3" x14ac:dyDescent="0.2">
      <c r="A10157" s="82"/>
      <c r="B10157" s="82"/>
      <c r="C10157" s="82"/>
    </row>
    <row r="10158" spans="1:3" x14ac:dyDescent="0.2">
      <c r="A10158" s="82"/>
      <c r="B10158" s="82"/>
      <c r="C10158" s="82"/>
    </row>
    <row r="10159" spans="1:3" x14ac:dyDescent="0.2">
      <c r="A10159" s="82"/>
      <c r="B10159" s="82"/>
      <c r="C10159" s="82"/>
    </row>
    <row r="10160" spans="1:3" x14ac:dyDescent="0.2">
      <c r="A10160" s="82"/>
      <c r="B10160" s="82"/>
      <c r="C10160" s="82"/>
    </row>
    <row r="10161" spans="1:3" x14ac:dyDescent="0.2">
      <c r="A10161" s="82"/>
      <c r="B10161" s="82"/>
      <c r="C10161" s="82"/>
    </row>
    <row r="10162" spans="1:3" x14ac:dyDescent="0.2">
      <c r="A10162" s="82"/>
      <c r="B10162" s="82"/>
      <c r="C10162" s="82"/>
    </row>
    <row r="10163" spans="1:3" x14ac:dyDescent="0.2">
      <c r="A10163" s="82"/>
      <c r="B10163" s="82"/>
      <c r="C10163" s="82"/>
    </row>
    <row r="10164" spans="1:3" x14ac:dyDescent="0.2">
      <c r="A10164" s="82"/>
      <c r="B10164" s="82"/>
      <c r="C10164" s="82"/>
    </row>
    <row r="10165" spans="1:3" x14ac:dyDescent="0.2">
      <c r="A10165" s="82"/>
      <c r="B10165" s="82"/>
      <c r="C10165" s="82"/>
    </row>
    <row r="10166" spans="1:3" x14ac:dyDescent="0.2">
      <c r="A10166" s="82"/>
      <c r="B10166" s="82"/>
      <c r="C10166" s="82"/>
    </row>
    <row r="10167" spans="1:3" x14ac:dyDescent="0.2">
      <c r="A10167" s="82"/>
      <c r="B10167" s="82"/>
      <c r="C10167" s="82"/>
    </row>
    <row r="10168" spans="1:3" x14ac:dyDescent="0.2">
      <c r="A10168" s="82"/>
      <c r="B10168" s="82"/>
      <c r="C10168" s="82"/>
    </row>
    <row r="10169" spans="1:3" x14ac:dyDescent="0.2">
      <c r="A10169" s="82"/>
      <c r="B10169" s="82"/>
      <c r="C10169" s="82"/>
    </row>
    <row r="10170" spans="1:3" x14ac:dyDescent="0.2">
      <c r="A10170" s="82"/>
      <c r="B10170" s="82"/>
      <c r="C10170" s="82"/>
    </row>
    <row r="10171" spans="1:3" x14ac:dyDescent="0.2">
      <c r="A10171" s="82"/>
      <c r="B10171" s="82"/>
      <c r="C10171" s="82"/>
    </row>
    <row r="10172" spans="1:3" x14ac:dyDescent="0.2">
      <c r="A10172" s="82"/>
      <c r="B10172" s="82"/>
      <c r="C10172" s="82"/>
    </row>
    <row r="10173" spans="1:3" x14ac:dyDescent="0.2">
      <c r="A10173" s="82"/>
      <c r="B10173" s="82"/>
      <c r="C10173" s="82"/>
    </row>
    <row r="10174" spans="1:3" x14ac:dyDescent="0.2">
      <c r="A10174" s="82"/>
      <c r="B10174" s="82"/>
      <c r="C10174" s="82"/>
    </row>
    <row r="10175" spans="1:3" x14ac:dyDescent="0.2">
      <c r="A10175" s="82"/>
      <c r="B10175" s="82"/>
      <c r="C10175" s="82"/>
    </row>
    <row r="10176" spans="1:3" x14ac:dyDescent="0.2">
      <c r="A10176" s="82"/>
      <c r="B10176" s="82"/>
      <c r="C10176" s="82"/>
    </row>
    <row r="10177" spans="1:3" x14ac:dyDescent="0.2">
      <c r="A10177" s="82"/>
      <c r="B10177" s="82"/>
      <c r="C10177" s="82"/>
    </row>
    <row r="10178" spans="1:3" x14ac:dyDescent="0.2">
      <c r="A10178" s="82"/>
      <c r="B10178" s="82"/>
      <c r="C10178" s="82"/>
    </row>
    <row r="10179" spans="1:3" x14ac:dyDescent="0.2">
      <c r="A10179" s="82"/>
      <c r="B10179" s="82"/>
      <c r="C10179" s="82"/>
    </row>
    <row r="10180" spans="1:3" x14ac:dyDescent="0.2">
      <c r="A10180" s="82"/>
      <c r="B10180" s="82"/>
      <c r="C10180" s="82"/>
    </row>
    <row r="10181" spans="1:3" x14ac:dyDescent="0.2">
      <c r="A10181" s="82"/>
      <c r="B10181" s="82"/>
      <c r="C10181" s="82"/>
    </row>
    <row r="10182" spans="1:3" x14ac:dyDescent="0.2">
      <c r="A10182" s="82"/>
      <c r="B10182" s="82"/>
      <c r="C10182" s="82"/>
    </row>
    <row r="10183" spans="1:3" x14ac:dyDescent="0.2">
      <c r="A10183" s="82"/>
      <c r="B10183" s="82"/>
      <c r="C10183" s="82"/>
    </row>
    <row r="10184" spans="1:3" x14ac:dyDescent="0.2">
      <c r="A10184" s="82"/>
      <c r="B10184" s="82"/>
      <c r="C10184" s="82"/>
    </row>
    <row r="10185" spans="1:3" x14ac:dyDescent="0.2">
      <c r="A10185" s="82"/>
      <c r="B10185" s="82"/>
      <c r="C10185" s="82"/>
    </row>
    <row r="10186" spans="1:3" x14ac:dyDescent="0.2">
      <c r="A10186" s="82"/>
      <c r="B10186" s="82"/>
      <c r="C10186" s="82"/>
    </row>
    <row r="10187" spans="1:3" x14ac:dyDescent="0.2">
      <c r="A10187" s="82"/>
      <c r="B10187" s="82"/>
      <c r="C10187" s="82"/>
    </row>
    <row r="10188" spans="1:3" x14ac:dyDescent="0.2">
      <c r="A10188" s="82"/>
      <c r="B10188" s="82"/>
      <c r="C10188" s="82"/>
    </row>
    <row r="10189" spans="1:3" x14ac:dyDescent="0.2">
      <c r="A10189" s="82"/>
      <c r="B10189" s="82"/>
      <c r="C10189" s="82"/>
    </row>
    <row r="10190" spans="1:3" x14ac:dyDescent="0.2">
      <c r="A10190" s="82"/>
      <c r="B10190" s="82"/>
      <c r="C10190" s="82"/>
    </row>
    <row r="10191" spans="1:3" x14ac:dyDescent="0.2">
      <c r="A10191" s="82"/>
      <c r="B10191" s="82"/>
      <c r="C10191" s="82"/>
    </row>
    <row r="10192" spans="1:3" x14ac:dyDescent="0.2">
      <c r="A10192" s="82"/>
      <c r="B10192" s="82"/>
      <c r="C10192" s="82"/>
    </row>
    <row r="10193" spans="1:3" x14ac:dyDescent="0.2">
      <c r="A10193" s="82"/>
      <c r="B10193" s="82"/>
      <c r="C10193" s="82"/>
    </row>
    <row r="10194" spans="1:3" x14ac:dyDescent="0.2">
      <c r="A10194" s="82"/>
      <c r="B10194" s="82"/>
      <c r="C10194" s="82"/>
    </row>
    <row r="10195" spans="1:3" x14ac:dyDescent="0.2">
      <c r="A10195" s="82"/>
      <c r="B10195" s="82"/>
      <c r="C10195" s="82"/>
    </row>
    <row r="10196" spans="1:3" x14ac:dyDescent="0.2">
      <c r="A10196" s="82"/>
      <c r="B10196" s="82"/>
      <c r="C10196" s="82"/>
    </row>
    <row r="10197" spans="1:3" x14ac:dyDescent="0.2">
      <c r="A10197" s="82"/>
      <c r="B10197" s="82"/>
      <c r="C10197" s="82"/>
    </row>
    <row r="10198" spans="1:3" x14ac:dyDescent="0.2">
      <c r="A10198" s="82"/>
      <c r="B10198" s="82"/>
      <c r="C10198" s="82"/>
    </row>
    <row r="10199" spans="1:3" x14ac:dyDescent="0.2">
      <c r="A10199" s="82"/>
      <c r="B10199" s="82"/>
      <c r="C10199" s="82"/>
    </row>
    <row r="10200" spans="1:3" x14ac:dyDescent="0.2">
      <c r="A10200" s="82"/>
      <c r="B10200" s="82"/>
      <c r="C10200" s="82"/>
    </row>
    <row r="10201" spans="1:3" x14ac:dyDescent="0.2">
      <c r="A10201" s="82"/>
      <c r="B10201" s="82"/>
      <c r="C10201" s="82"/>
    </row>
    <row r="10202" spans="1:3" x14ac:dyDescent="0.2">
      <c r="A10202" s="82"/>
      <c r="B10202" s="82"/>
      <c r="C10202" s="82"/>
    </row>
    <row r="10203" spans="1:3" x14ac:dyDescent="0.2">
      <c r="A10203" s="82"/>
      <c r="B10203" s="82"/>
      <c r="C10203" s="82"/>
    </row>
    <row r="10204" spans="1:3" x14ac:dyDescent="0.2">
      <c r="A10204" s="82"/>
      <c r="B10204" s="82"/>
      <c r="C10204" s="82"/>
    </row>
    <row r="10205" spans="1:3" x14ac:dyDescent="0.2">
      <c r="A10205" s="82"/>
      <c r="B10205" s="82"/>
      <c r="C10205" s="82"/>
    </row>
    <row r="10206" spans="1:3" x14ac:dyDescent="0.2">
      <c r="A10206" s="82"/>
      <c r="B10206" s="82"/>
      <c r="C10206" s="82"/>
    </row>
    <row r="10207" spans="1:3" x14ac:dyDescent="0.2">
      <c r="A10207" s="82"/>
      <c r="B10207" s="82"/>
      <c r="C10207" s="82"/>
    </row>
    <row r="10208" spans="1:3" x14ac:dyDescent="0.2">
      <c r="A10208" s="82"/>
      <c r="B10208" s="82"/>
      <c r="C10208" s="82"/>
    </row>
    <row r="10209" spans="1:3" x14ac:dyDescent="0.2">
      <c r="A10209" s="82"/>
      <c r="B10209" s="82"/>
      <c r="C10209" s="82"/>
    </row>
    <row r="10210" spans="1:3" x14ac:dyDescent="0.2">
      <c r="A10210" s="82"/>
      <c r="B10210" s="82"/>
      <c r="C10210" s="82"/>
    </row>
    <row r="10211" spans="1:3" x14ac:dyDescent="0.2">
      <c r="A10211" s="82"/>
      <c r="B10211" s="82"/>
      <c r="C10211" s="82"/>
    </row>
    <row r="10212" spans="1:3" x14ac:dyDescent="0.2">
      <c r="A10212" s="82"/>
      <c r="B10212" s="82"/>
      <c r="C10212" s="82"/>
    </row>
    <row r="10213" spans="1:3" x14ac:dyDescent="0.2">
      <c r="A10213" s="82"/>
      <c r="B10213" s="82"/>
      <c r="C10213" s="82"/>
    </row>
    <row r="10214" spans="1:3" x14ac:dyDescent="0.2">
      <c r="A10214" s="82"/>
      <c r="B10214" s="82"/>
      <c r="C10214" s="82"/>
    </row>
    <row r="10215" spans="1:3" x14ac:dyDescent="0.2">
      <c r="A10215" s="82"/>
      <c r="B10215" s="82"/>
      <c r="C10215" s="82"/>
    </row>
    <row r="10216" spans="1:3" x14ac:dyDescent="0.2">
      <c r="A10216" s="82"/>
      <c r="B10216" s="82"/>
      <c r="C10216" s="82"/>
    </row>
    <row r="10217" spans="1:3" x14ac:dyDescent="0.2">
      <c r="A10217" s="82"/>
      <c r="B10217" s="82"/>
      <c r="C10217" s="82"/>
    </row>
    <row r="10218" spans="1:3" x14ac:dyDescent="0.2">
      <c r="A10218" s="82"/>
      <c r="B10218" s="82"/>
      <c r="C10218" s="82"/>
    </row>
    <row r="10219" spans="1:3" x14ac:dyDescent="0.2">
      <c r="A10219" s="82"/>
      <c r="B10219" s="82"/>
      <c r="C10219" s="82"/>
    </row>
    <row r="10220" spans="1:3" x14ac:dyDescent="0.2">
      <c r="A10220" s="82"/>
      <c r="B10220" s="82"/>
      <c r="C10220" s="82"/>
    </row>
    <row r="10221" spans="1:3" x14ac:dyDescent="0.2">
      <c r="A10221" s="82"/>
      <c r="B10221" s="82"/>
      <c r="C10221" s="82"/>
    </row>
    <row r="10222" spans="1:3" x14ac:dyDescent="0.2">
      <c r="A10222" s="82"/>
      <c r="B10222" s="82"/>
      <c r="C10222" s="82"/>
    </row>
    <row r="10223" spans="1:3" x14ac:dyDescent="0.2">
      <c r="A10223" s="82"/>
      <c r="B10223" s="82"/>
      <c r="C10223" s="82"/>
    </row>
    <row r="10224" spans="1:3" x14ac:dyDescent="0.2">
      <c r="A10224" s="82"/>
      <c r="B10224" s="82"/>
      <c r="C10224" s="82"/>
    </row>
    <row r="10225" spans="1:3" x14ac:dyDescent="0.2">
      <c r="A10225" s="82"/>
      <c r="B10225" s="82"/>
      <c r="C10225" s="82"/>
    </row>
    <row r="10226" spans="1:3" x14ac:dyDescent="0.2">
      <c r="A10226" s="82"/>
      <c r="B10226" s="82"/>
      <c r="C10226" s="82"/>
    </row>
    <row r="10227" spans="1:3" x14ac:dyDescent="0.2">
      <c r="A10227" s="82"/>
      <c r="B10227" s="82"/>
      <c r="C10227" s="82"/>
    </row>
    <row r="10228" spans="1:3" x14ac:dyDescent="0.2">
      <c r="A10228" s="82"/>
      <c r="B10228" s="82"/>
      <c r="C10228" s="82"/>
    </row>
    <row r="10229" spans="1:3" x14ac:dyDescent="0.2">
      <c r="A10229" s="82"/>
      <c r="B10229" s="82"/>
      <c r="C10229" s="82"/>
    </row>
    <row r="10230" spans="1:3" x14ac:dyDescent="0.2">
      <c r="A10230" s="82"/>
      <c r="B10230" s="82"/>
      <c r="C10230" s="82"/>
    </row>
    <row r="10231" spans="1:3" x14ac:dyDescent="0.2">
      <c r="A10231" s="82"/>
      <c r="B10231" s="82"/>
      <c r="C10231" s="82"/>
    </row>
    <row r="10232" spans="1:3" x14ac:dyDescent="0.2">
      <c r="A10232" s="82"/>
      <c r="B10232" s="82"/>
      <c r="C10232" s="82"/>
    </row>
    <row r="10233" spans="1:3" x14ac:dyDescent="0.2">
      <c r="A10233" s="82"/>
      <c r="B10233" s="82"/>
      <c r="C10233" s="82"/>
    </row>
    <row r="10234" spans="1:3" x14ac:dyDescent="0.2">
      <c r="A10234" s="82"/>
      <c r="B10234" s="82"/>
      <c r="C10234" s="82"/>
    </row>
    <row r="10235" spans="1:3" x14ac:dyDescent="0.2">
      <c r="A10235" s="82"/>
      <c r="B10235" s="82"/>
      <c r="C10235" s="82"/>
    </row>
    <row r="10236" spans="1:3" x14ac:dyDescent="0.2">
      <c r="A10236" s="82"/>
      <c r="B10236" s="82"/>
      <c r="C10236" s="82"/>
    </row>
    <row r="10237" spans="1:3" x14ac:dyDescent="0.2">
      <c r="A10237" s="82"/>
      <c r="B10237" s="82"/>
      <c r="C10237" s="82"/>
    </row>
    <row r="10238" spans="1:3" x14ac:dyDescent="0.2">
      <c r="A10238" s="82"/>
      <c r="B10238" s="82"/>
      <c r="C10238" s="82"/>
    </row>
    <row r="10239" spans="1:3" x14ac:dyDescent="0.2">
      <c r="A10239" s="82"/>
      <c r="B10239" s="82"/>
      <c r="C10239" s="82"/>
    </row>
    <row r="10240" spans="1:3" x14ac:dyDescent="0.2">
      <c r="A10240" s="82"/>
      <c r="B10240" s="82"/>
      <c r="C10240" s="82"/>
    </row>
    <row r="10241" spans="1:3" x14ac:dyDescent="0.2">
      <c r="A10241" s="82"/>
      <c r="B10241" s="82"/>
      <c r="C10241" s="82"/>
    </row>
    <row r="10242" spans="1:3" x14ac:dyDescent="0.2">
      <c r="A10242" s="82"/>
      <c r="B10242" s="82"/>
      <c r="C10242" s="82"/>
    </row>
    <row r="10243" spans="1:3" x14ac:dyDescent="0.2">
      <c r="A10243" s="82"/>
      <c r="B10243" s="82"/>
      <c r="C10243" s="82"/>
    </row>
    <row r="10244" spans="1:3" x14ac:dyDescent="0.2">
      <c r="A10244" s="82"/>
      <c r="B10244" s="82"/>
      <c r="C10244" s="82"/>
    </row>
    <row r="10245" spans="1:3" x14ac:dyDescent="0.2">
      <c r="A10245" s="82"/>
      <c r="B10245" s="82"/>
      <c r="C10245" s="82"/>
    </row>
    <row r="10246" spans="1:3" x14ac:dyDescent="0.2">
      <c r="A10246" s="82"/>
      <c r="B10246" s="82"/>
      <c r="C10246" s="82"/>
    </row>
    <row r="10247" spans="1:3" x14ac:dyDescent="0.2">
      <c r="A10247" s="82"/>
      <c r="B10247" s="82"/>
      <c r="C10247" s="82"/>
    </row>
    <row r="10248" spans="1:3" x14ac:dyDescent="0.2">
      <c r="A10248" s="82"/>
      <c r="B10248" s="82"/>
      <c r="C10248" s="82"/>
    </row>
    <row r="10249" spans="1:3" x14ac:dyDescent="0.2">
      <c r="A10249" s="82"/>
      <c r="B10249" s="82"/>
      <c r="C10249" s="82"/>
    </row>
    <row r="10250" spans="1:3" x14ac:dyDescent="0.2">
      <c r="A10250" s="82"/>
      <c r="B10250" s="82"/>
      <c r="C10250" s="82"/>
    </row>
    <row r="10251" spans="1:3" x14ac:dyDescent="0.2">
      <c r="A10251" s="82"/>
      <c r="B10251" s="82"/>
      <c r="C10251" s="82"/>
    </row>
    <row r="10252" spans="1:3" x14ac:dyDescent="0.2">
      <c r="A10252" s="82"/>
      <c r="B10252" s="82"/>
      <c r="C10252" s="82"/>
    </row>
    <row r="10253" spans="1:3" x14ac:dyDescent="0.2">
      <c r="A10253" s="82"/>
      <c r="B10253" s="82"/>
      <c r="C10253" s="82"/>
    </row>
    <row r="10254" spans="1:3" x14ac:dyDescent="0.2">
      <c r="A10254" s="82"/>
      <c r="B10254" s="82"/>
      <c r="C10254" s="82"/>
    </row>
    <row r="10255" spans="1:3" x14ac:dyDescent="0.2">
      <c r="A10255" s="82"/>
      <c r="B10255" s="82"/>
      <c r="C10255" s="82"/>
    </row>
    <row r="10256" spans="1:3" x14ac:dyDescent="0.2">
      <c r="A10256" s="82"/>
      <c r="B10256" s="82"/>
      <c r="C10256" s="82"/>
    </row>
    <row r="10257" spans="1:3" x14ac:dyDescent="0.2">
      <c r="A10257" s="82"/>
      <c r="B10257" s="82"/>
      <c r="C10257" s="82"/>
    </row>
    <row r="10258" spans="1:3" x14ac:dyDescent="0.2">
      <c r="A10258" s="82"/>
      <c r="B10258" s="82"/>
      <c r="C10258" s="82"/>
    </row>
    <row r="10259" spans="1:3" x14ac:dyDescent="0.2">
      <c r="A10259" s="82"/>
      <c r="B10259" s="82"/>
      <c r="C10259" s="82"/>
    </row>
    <row r="10260" spans="1:3" x14ac:dyDescent="0.2">
      <c r="A10260" s="82"/>
      <c r="B10260" s="82"/>
      <c r="C10260" s="82"/>
    </row>
    <row r="10261" spans="1:3" x14ac:dyDescent="0.2">
      <c r="A10261" s="82"/>
      <c r="B10261" s="82"/>
      <c r="C10261" s="82"/>
    </row>
    <row r="10262" spans="1:3" x14ac:dyDescent="0.2">
      <c r="A10262" s="82"/>
      <c r="B10262" s="82"/>
      <c r="C10262" s="82"/>
    </row>
    <row r="10263" spans="1:3" x14ac:dyDescent="0.2">
      <c r="A10263" s="82"/>
      <c r="B10263" s="82"/>
      <c r="C10263" s="82"/>
    </row>
    <row r="10264" spans="1:3" x14ac:dyDescent="0.2">
      <c r="A10264" s="82"/>
      <c r="B10264" s="82"/>
      <c r="C10264" s="82"/>
    </row>
    <row r="10265" spans="1:3" x14ac:dyDescent="0.2">
      <c r="A10265" s="82"/>
      <c r="B10265" s="82"/>
      <c r="C10265" s="82"/>
    </row>
    <row r="10266" spans="1:3" x14ac:dyDescent="0.2">
      <c r="A10266" s="82"/>
      <c r="B10266" s="82"/>
      <c r="C10266" s="82"/>
    </row>
    <row r="10267" spans="1:3" x14ac:dyDescent="0.2">
      <c r="A10267" s="82"/>
      <c r="B10267" s="82"/>
      <c r="C10267" s="82"/>
    </row>
    <row r="10268" spans="1:3" x14ac:dyDescent="0.2">
      <c r="A10268" s="82"/>
      <c r="B10268" s="82"/>
      <c r="C10268" s="82"/>
    </row>
    <row r="10269" spans="1:3" x14ac:dyDescent="0.2">
      <c r="A10269" s="82"/>
      <c r="B10269" s="82"/>
      <c r="C10269" s="82"/>
    </row>
    <row r="10270" spans="1:3" x14ac:dyDescent="0.2">
      <c r="A10270" s="82"/>
      <c r="B10270" s="82"/>
      <c r="C10270" s="82"/>
    </row>
    <row r="10271" spans="1:3" x14ac:dyDescent="0.2">
      <c r="A10271" s="82"/>
      <c r="B10271" s="82"/>
      <c r="C10271" s="82"/>
    </row>
    <row r="10272" spans="1:3" x14ac:dyDescent="0.2">
      <c r="A10272" s="82"/>
      <c r="B10272" s="82"/>
      <c r="C10272" s="82"/>
    </row>
    <row r="10273" spans="1:3" x14ac:dyDescent="0.2">
      <c r="A10273" s="82"/>
      <c r="B10273" s="82"/>
      <c r="C10273" s="82"/>
    </row>
    <row r="10274" spans="1:3" x14ac:dyDescent="0.2">
      <c r="A10274" s="82"/>
      <c r="B10274" s="82"/>
      <c r="C10274" s="82"/>
    </row>
    <row r="10275" spans="1:3" x14ac:dyDescent="0.2">
      <c r="A10275" s="82"/>
      <c r="B10275" s="82"/>
      <c r="C10275" s="82"/>
    </row>
    <row r="10276" spans="1:3" x14ac:dyDescent="0.2">
      <c r="A10276" s="82"/>
      <c r="B10276" s="82"/>
      <c r="C10276" s="82"/>
    </row>
    <row r="10277" spans="1:3" x14ac:dyDescent="0.2">
      <c r="A10277" s="82"/>
      <c r="B10277" s="82"/>
      <c r="C10277" s="82"/>
    </row>
    <row r="10278" spans="1:3" x14ac:dyDescent="0.2">
      <c r="A10278" s="82"/>
      <c r="B10278" s="82"/>
      <c r="C10278" s="82"/>
    </row>
    <row r="10279" spans="1:3" x14ac:dyDescent="0.2">
      <c r="A10279" s="82"/>
      <c r="B10279" s="82"/>
      <c r="C10279" s="82"/>
    </row>
    <row r="10280" spans="1:3" x14ac:dyDescent="0.2">
      <c r="A10280" s="82"/>
      <c r="B10280" s="82"/>
      <c r="C10280" s="82"/>
    </row>
    <row r="10281" spans="1:3" x14ac:dyDescent="0.2">
      <c r="A10281" s="82"/>
      <c r="B10281" s="82"/>
      <c r="C10281" s="82"/>
    </row>
    <row r="10282" spans="1:3" x14ac:dyDescent="0.2">
      <c r="A10282" s="82"/>
      <c r="B10282" s="82"/>
      <c r="C10282" s="82"/>
    </row>
    <row r="10283" spans="1:3" x14ac:dyDescent="0.2">
      <c r="A10283" s="82"/>
      <c r="B10283" s="82"/>
      <c r="C10283" s="82"/>
    </row>
    <row r="10284" spans="1:3" x14ac:dyDescent="0.2">
      <c r="A10284" s="82"/>
      <c r="B10284" s="82"/>
      <c r="C10284" s="82"/>
    </row>
    <row r="10285" spans="1:3" x14ac:dyDescent="0.2">
      <c r="A10285" s="82"/>
      <c r="B10285" s="82"/>
      <c r="C10285" s="82"/>
    </row>
    <row r="10286" spans="1:3" x14ac:dyDescent="0.2">
      <c r="A10286" s="82"/>
      <c r="B10286" s="82"/>
      <c r="C10286" s="82"/>
    </row>
    <row r="10287" spans="1:3" x14ac:dyDescent="0.2">
      <c r="A10287" s="82"/>
      <c r="B10287" s="82"/>
      <c r="C10287" s="82"/>
    </row>
    <row r="10288" spans="1:3" x14ac:dyDescent="0.2">
      <c r="A10288" s="82"/>
      <c r="B10288" s="82"/>
      <c r="C10288" s="82"/>
    </row>
    <row r="10289" spans="1:3" x14ac:dyDescent="0.2">
      <c r="A10289" s="82"/>
      <c r="B10289" s="82"/>
      <c r="C10289" s="82"/>
    </row>
    <row r="10290" spans="1:3" x14ac:dyDescent="0.2">
      <c r="A10290" s="82"/>
      <c r="B10290" s="82"/>
      <c r="C10290" s="82"/>
    </row>
    <row r="10291" spans="1:3" x14ac:dyDescent="0.2">
      <c r="A10291" s="82"/>
      <c r="B10291" s="82"/>
      <c r="C10291" s="82"/>
    </row>
    <row r="10292" spans="1:3" x14ac:dyDescent="0.2">
      <c r="A10292" s="82"/>
      <c r="B10292" s="82"/>
      <c r="C10292" s="82"/>
    </row>
    <row r="10293" spans="1:3" x14ac:dyDescent="0.2">
      <c r="A10293" s="82"/>
      <c r="B10293" s="82"/>
      <c r="C10293" s="82"/>
    </row>
    <row r="10294" spans="1:3" x14ac:dyDescent="0.2">
      <c r="A10294" s="82"/>
      <c r="B10294" s="82"/>
      <c r="C10294" s="82"/>
    </row>
    <row r="10295" spans="1:3" x14ac:dyDescent="0.2">
      <c r="A10295" s="82"/>
      <c r="B10295" s="82"/>
      <c r="C10295" s="82"/>
    </row>
    <row r="10296" spans="1:3" x14ac:dyDescent="0.2">
      <c r="A10296" s="82"/>
      <c r="B10296" s="82"/>
      <c r="C10296" s="82"/>
    </row>
    <row r="10297" spans="1:3" x14ac:dyDescent="0.2">
      <c r="A10297" s="82"/>
      <c r="B10297" s="82"/>
      <c r="C10297" s="82"/>
    </row>
    <row r="10298" spans="1:3" x14ac:dyDescent="0.2">
      <c r="A10298" s="82"/>
      <c r="B10298" s="82"/>
      <c r="C10298" s="82"/>
    </row>
    <row r="10299" spans="1:3" x14ac:dyDescent="0.2">
      <c r="A10299" s="82"/>
      <c r="B10299" s="82"/>
      <c r="C10299" s="82"/>
    </row>
    <row r="10300" spans="1:3" x14ac:dyDescent="0.2">
      <c r="A10300" s="82"/>
      <c r="B10300" s="82"/>
      <c r="C10300" s="82"/>
    </row>
    <row r="10301" spans="1:3" x14ac:dyDescent="0.2">
      <c r="A10301" s="82"/>
      <c r="B10301" s="82"/>
      <c r="C10301" s="82"/>
    </row>
    <row r="10302" spans="1:3" x14ac:dyDescent="0.2">
      <c r="A10302" s="82"/>
      <c r="B10302" s="82"/>
      <c r="C10302" s="82"/>
    </row>
    <row r="10303" spans="1:3" x14ac:dyDescent="0.2">
      <c r="A10303" s="82"/>
      <c r="B10303" s="82"/>
      <c r="C10303" s="82"/>
    </row>
    <row r="10304" spans="1:3" x14ac:dyDescent="0.2">
      <c r="A10304" s="82"/>
      <c r="B10304" s="82"/>
      <c r="C10304" s="82"/>
    </row>
    <row r="10305" spans="1:3" x14ac:dyDescent="0.2">
      <c r="A10305" s="82"/>
      <c r="B10305" s="82"/>
      <c r="C10305" s="82"/>
    </row>
    <row r="10306" spans="1:3" x14ac:dyDescent="0.2">
      <c r="A10306" s="82"/>
      <c r="B10306" s="82"/>
      <c r="C10306" s="82"/>
    </row>
    <row r="10307" spans="1:3" x14ac:dyDescent="0.2">
      <c r="A10307" s="82"/>
      <c r="B10307" s="82"/>
      <c r="C10307" s="82"/>
    </row>
    <row r="10308" spans="1:3" x14ac:dyDescent="0.2">
      <c r="A10308" s="82"/>
      <c r="B10308" s="82"/>
      <c r="C10308" s="82"/>
    </row>
    <row r="10309" spans="1:3" x14ac:dyDescent="0.2">
      <c r="A10309" s="82"/>
      <c r="B10309" s="82"/>
      <c r="C10309" s="82"/>
    </row>
    <row r="10310" spans="1:3" x14ac:dyDescent="0.2">
      <c r="A10310" s="82"/>
      <c r="B10310" s="82"/>
      <c r="C10310" s="82"/>
    </row>
    <row r="10311" spans="1:3" x14ac:dyDescent="0.2">
      <c r="A10311" s="82"/>
      <c r="B10311" s="82"/>
      <c r="C10311" s="82"/>
    </row>
    <row r="10312" spans="1:3" x14ac:dyDescent="0.2">
      <c r="A10312" s="82"/>
      <c r="B10312" s="82"/>
      <c r="C10312" s="82"/>
    </row>
    <row r="10313" spans="1:3" x14ac:dyDescent="0.2">
      <c r="A10313" s="82"/>
      <c r="B10313" s="82"/>
      <c r="C10313" s="82"/>
    </row>
    <row r="10314" spans="1:3" x14ac:dyDescent="0.2">
      <c r="A10314" s="82"/>
      <c r="B10314" s="82"/>
      <c r="C10314" s="82"/>
    </row>
    <row r="10315" spans="1:3" x14ac:dyDescent="0.2">
      <c r="A10315" s="82"/>
      <c r="B10315" s="82"/>
      <c r="C10315" s="82"/>
    </row>
    <row r="10316" spans="1:3" x14ac:dyDescent="0.2">
      <c r="A10316" s="82"/>
      <c r="B10316" s="82"/>
      <c r="C10316" s="82"/>
    </row>
    <row r="10317" spans="1:3" x14ac:dyDescent="0.2">
      <c r="A10317" s="82"/>
      <c r="B10317" s="82"/>
      <c r="C10317" s="82"/>
    </row>
    <row r="10318" spans="1:3" x14ac:dyDescent="0.2">
      <c r="A10318" s="82"/>
      <c r="B10318" s="82"/>
      <c r="C10318" s="82"/>
    </row>
    <row r="10319" spans="1:3" x14ac:dyDescent="0.2">
      <c r="A10319" s="82"/>
      <c r="B10319" s="82"/>
      <c r="C10319" s="82"/>
    </row>
    <row r="10320" spans="1:3" x14ac:dyDescent="0.2">
      <c r="A10320" s="82"/>
      <c r="B10320" s="82"/>
      <c r="C10320" s="82"/>
    </row>
    <row r="10321" spans="1:3" x14ac:dyDescent="0.2">
      <c r="A10321" s="82"/>
      <c r="B10321" s="82"/>
      <c r="C10321" s="82"/>
    </row>
    <row r="10322" spans="1:3" x14ac:dyDescent="0.2">
      <c r="A10322" s="82"/>
      <c r="B10322" s="82"/>
      <c r="C10322" s="82"/>
    </row>
    <row r="10323" spans="1:3" x14ac:dyDescent="0.2">
      <c r="A10323" s="82"/>
      <c r="B10323" s="82"/>
      <c r="C10323" s="82"/>
    </row>
    <row r="10324" spans="1:3" x14ac:dyDescent="0.2">
      <c r="A10324" s="82"/>
      <c r="B10324" s="82"/>
      <c r="C10324" s="82"/>
    </row>
    <row r="10325" spans="1:3" x14ac:dyDescent="0.2">
      <c r="A10325" s="82"/>
      <c r="B10325" s="82"/>
      <c r="C10325" s="82"/>
    </row>
    <row r="10326" spans="1:3" x14ac:dyDescent="0.2">
      <c r="A10326" s="82"/>
      <c r="B10326" s="82"/>
      <c r="C10326" s="82"/>
    </row>
    <row r="10327" spans="1:3" x14ac:dyDescent="0.2">
      <c r="A10327" s="82"/>
      <c r="B10327" s="82"/>
      <c r="C10327" s="82"/>
    </row>
    <row r="10328" spans="1:3" x14ac:dyDescent="0.2">
      <c r="A10328" s="82"/>
      <c r="B10328" s="82"/>
      <c r="C10328" s="82"/>
    </row>
    <row r="10329" spans="1:3" x14ac:dyDescent="0.2">
      <c r="A10329" s="82"/>
      <c r="B10329" s="82"/>
      <c r="C10329" s="82"/>
    </row>
    <row r="10330" spans="1:3" x14ac:dyDescent="0.2">
      <c r="A10330" s="82"/>
      <c r="B10330" s="82"/>
      <c r="C10330" s="82"/>
    </row>
    <row r="10331" spans="1:3" x14ac:dyDescent="0.2">
      <c r="A10331" s="82"/>
      <c r="B10331" s="82"/>
      <c r="C10331" s="82"/>
    </row>
    <row r="10332" spans="1:3" x14ac:dyDescent="0.2">
      <c r="A10332" s="82"/>
      <c r="B10332" s="82"/>
      <c r="C10332" s="82"/>
    </row>
    <row r="10333" spans="1:3" x14ac:dyDescent="0.2">
      <c r="A10333" s="82"/>
      <c r="B10333" s="82"/>
      <c r="C10333" s="82"/>
    </row>
    <row r="10334" spans="1:3" x14ac:dyDescent="0.2">
      <c r="A10334" s="82"/>
      <c r="B10334" s="82"/>
      <c r="C10334" s="82"/>
    </row>
    <row r="10335" spans="1:3" x14ac:dyDescent="0.2">
      <c r="A10335" s="82"/>
      <c r="B10335" s="82"/>
      <c r="C10335" s="82"/>
    </row>
    <row r="10336" spans="1:3" x14ac:dyDescent="0.2">
      <c r="A10336" s="82"/>
      <c r="B10336" s="82"/>
      <c r="C10336" s="82"/>
    </row>
    <row r="10337" spans="1:3" x14ac:dyDescent="0.2">
      <c r="A10337" s="82"/>
      <c r="B10337" s="82"/>
      <c r="C10337" s="82"/>
    </row>
    <row r="10338" spans="1:3" x14ac:dyDescent="0.2">
      <c r="A10338" s="82"/>
      <c r="B10338" s="82"/>
      <c r="C10338" s="82"/>
    </row>
    <row r="10339" spans="1:3" x14ac:dyDescent="0.2">
      <c r="A10339" s="82"/>
      <c r="B10339" s="82"/>
      <c r="C10339" s="82"/>
    </row>
    <row r="10340" spans="1:3" x14ac:dyDescent="0.2">
      <c r="A10340" s="82"/>
      <c r="B10340" s="82"/>
      <c r="C10340" s="82"/>
    </row>
    <row r="10341" spans="1:3" x14ac:dyDescent="0.2">
      <c r="A10341" s="82"/>
      <c r="B10341" s="82"/>
      <c r="C10341" s="82"/>
    </row>
    <row r="10342" spans="1:3" x14ac:dyDescent="0.2">
      <c r="A10342" s="82"/>
      <c r="B10342" s="82"/>
      <c r="C10342" s="82"/>
    </row>
    <row r="10343" spans="1:3" x14ac:dyDescent="0.2">
      <c r="A10343" s="82"/>
      <c r="B10343" s="82"/>
      <c r="C10343" s="82"/>
    </row>
    <row r="10344" spans="1:3" x14ac:dyDescent="0.2">
      <c r="A10344" s="82"/>
      <c r="B10344" s="82"/>
      <c r="C10344" s="82"/>
    </row>
    <row r="10345" spans="1:3" x14ac:dyDescent="0.2">
      <c r="A10345" s="82"/>
      <c r="B10345" s="82"/>
      <c r="C10345" s="82"/>
    </row>
    <row r="10346" spans="1:3" x14ac:dyDescent="0.2">
      <c r="A10346" s="82"/>
      <c r="B10346" s="82"/>
      <c r="C10346" s="82"/>
    </row>
    <row r="10347" spans="1:3" x14ac:dyDescent="0.2">
      <c r="A10347" s="82"/>
      <c r="B10347" s="82"/>
      <c r="C10347" s="82"/>
    </row>
    <row r="10348" spans="1:3" x14ac:dyDescent="0.2">
      <c r="A10348" s="82"/>
      <c r="B10348" s="82"/>
      <c r="C10348" s="82"/>
    </row>
    <row r="10349" spans="1:3" x14ac:dyDescent="0.2">
      <c r="A10349" s="82"/>
      <c r="B10349" s="82"/>
      <c r="C10349" s="82"/>
    </row>
    <row r="10350" spans="1:3" x14ac:dyDescent="0.2">
      <c r="A10350" s="82"/>
      <c r="B10350" s="82"/>
      <c r="C10350" s="82"/>
    </row>
    <row r="10351" spans="1:3" x14ac:dyDescent="0.2">
      <c r="A10351" s="82"/>
      <c r="B10351" s="82"/>
      <c r="C10351" s="82"/>
    </row>
    <row r="10352" spans="1:3" x14ac:dyDescent="0.2">
      <c r="A10352" s="82"/>
      <c r="B10352" s="82"/>
      <c r="C10352" s="82"/>
    </row>
    <row r="10353" spans="1:3" x14ac:dyDescent="0.2">
      <c r="A10353" s="82"/>
      <c r="B10353" s="82"/>
      <c r="C10353" s="82"/>
    </row>
    <row r="10354" spans="1:3" x14ac:dyDescent="0.2">
      <c r="A10354" s="82"/>
      <c r="B10354" s="82"/>
      <c r="C10354" s="82"/>
    </row>
    <row r="10355" spans="1:3" x14ac:dyDescent="0.2">
      <c r="A10355" s="82"/>
      <c r="B10355" s="82"/>
      <c r="C10355" s="82"/>
    </row>
    <row r="10356" spans="1:3" x14ac:dyDescent="0.2">
      <c r="A10356" s="82"/>
      <c r="B10356" s="82"/>
      <c r="C10356" s="82"/>
    </row>
    <row r="10357" spans="1:3" x14ac:dyDescent="0.2">
      <c r="A10357" s="82"/>
      <c r="B10357" s="82"/>
      <c r="C10357" s="82"/>
    </row>
    <row r="10358" spans="1:3" x14ac:dyDescent="0.2">
      <c r="A10358" s="82"/>
      <c r="B10358" s="82"/>
      <c r="C10358" s="82"/>
    </row>
    <row r="10359" spans="1:3" x14ac:dyDescent="0.2">
      <c r="A10359" s="82"/>
      <c r="B10359" s="82"/>
      <c r="C10359" s="82"/>
    </row>
    <row r="10360" spans="1:3" x14ac:dyDescent="0.2">
      <c r="A10360" s="82"/>
      <c r="B10360" s="82"/>
      <c r="C10360" s="82"/>
    </row>
    <row r="10361" spans="1:3" x14ac:dyDescent="0.2">
      <c r="A10361" s="82"/>
      <c r="B10361" s="82"/>
      <c r="C10361" s="82"/>
    </row>
    <row r="10362" spans="1:3" x14ac:dyDescent="0.2">
      <c r="A10362" s="82"/>
      <c r="B10362" s="82"/>
      <c r="C10362" s="82"/>
    </row>
    <row r="10363" spans="1:3" x14ac:dyDescent="0.2">
      <c r="A10363" s="82"/>
      <c r="B10363" s="82"/>
      <c r="C10363" s="82"/>
    </row>
    <row r="10364" spans="1:3" x14ac:dyDescent="0.2">
      <c r="A10364" s="82"/>
      <c r="B10364" s="82"/>
      <c r="C10364" s="82"/>
    </row>
    <row r="10365" spans="1:3" x14ac:dyDescent="0.2">
      <c r="A10365" s="82"/>
      <c r="B10365" s="82"/>
      <c r="C10365" s="82"/>
    </row>
    <row r="10366" spans="1:3" x14ac:dyDescent="0.2">
      <c r="A10366" s="82"/>
      <c r="B10366" s="82"/>
      <c r="C10366" s="82"/>
    </row>
    <row r="10367" spans="1:3" x14ac:dyDescent="0.2">
      <c r="A10367" s="82"/>
      <c r="B10367" s="82"/>
      <c r="C10367" s="82"/>
    </row>
    <row r="10368" spans="1:3" x14ac:dyDescent="0.2">
      <c r="A10368" s="82"/>
      <c r="B10368" s="82"/>
      <c r="C10368" s="82"/>
    </row>
    <row r="10369" spans="1:3" x14ac:dyDescent="0.2">
      <c r="A10369" s="82"/>
      <c r="B10369" s="82"/>
      <c r="C10369" s="82"/>
    </row>
    <row r="10370" spans="1:3" x14ac:dyDescent="0.2">
      <c r="A10370" s="82"/>
      <c r="B10370" s="82"/>
      <c r="C10370" s="82"/>
    </row>
    <row r="10371" spans="1:3" x14ac:dyDescent="0.2">
      <c r="A10371" s="82"/>
      <c r="B10371" s="82"/>
      <c r="C10371" s="82"/>
    </row>
    <row r="10372" spans="1:3" x14ac:dyDescent="0.2">
      <c r="A10372" s="82"/>
      <c r="B10372" s="82"/>
      <c r="C10372" s="82"/>
    </row>
    <row r="10373" spans="1:3" x14ac:dyDescent="0.2">
      <c r="A10373" s="82"/>
      <c r="B10373" s="82"/>
      <c r="C10373" s="82"/>
    </row>
    <row r="10374" spans="1:3" x14ac:dyDescent="0.2">
      <c r="A10374" s="82"/>
      <c r="B10374" s="82"/>
      <c r="C10374" s="82"/>
    </row>
    <row r="10375" spans="1:3" x14ac:dyDescent="0.2">
      <c r="A10375" s="82"/>
      <c r="B10375" s="82"/>
      <c r="C10375" s="82"/>
    </row>
    <row r="10376" spans="1:3" x14ac:dyDescent="0.2">
      <c r="A10376" s="82"/>
      <c r="B10376" s="82"/>
      <c r="C10376" s="82"/>
    </row>
    <row r="10377" spans="1:3" x14ac:dyDescent="0.2">
      <c r="A10377" s="82"/>
      <c r="B10377" s="82"/>
      <c r="C10377" s="82"/>
    </row>
    <row r="10378" spans="1:3" x14ac:dyDescent="0.2">
      <c r="A10378" s="82"/>
      <c r="B10378" s="82"/>
      <c r="C10378" s="82"/>
    </row>
    <row r="10379" spans="1:3" x14ac:dyDescent="0.2">
      <c r="A10379" s="82"/>
      <c r="B10379" s="82"/>
      <c r="C10379" s="82"/>
    </row>
    <row r="10380" spans="1:3" x14ac:dyDescent="0.2">
      <c r="A10380" s="82"/>
      <c r="B10380" s="82"/>
      <c r="C10380" s="82"/>
    </row>
    <row r="10381" spans="1:3" x14ac:dyDescent="0.2">
      <c r="A10381" s="82"/>
      <c r="B10381" s="82"/>
      <c r="C10381" s="82"/>
    </row>
    <row r="10382" spans="1:3" x14ac:dyDescent="0.2">
      <c r="A10382" s="82"/>
      <c r="B10382" s="82"/>
      <c r="C10382" s="82"/>
    </row>
    <row r="10383" spans="1:3" x14ac:dyDescent="0.2">
      <c r="A10383" s="82"/>
      <c r="B10383" s="82"/>
      <c r="C10383" s="82"/>
    </row>
    <row r="10384" spans="1:3" x14ac:dyDescent="0.2">
      <c r="A10384" s="82"/>
      <c r="B10384" s="82"/>
      <c r="C10384" s="82"/>
    </row>
    <row r="10385" spans="1:3" x14ac:dyDescent="0.2">
      <c r="A10385" s="82"/>
      <c r="B10385" s="82"/>
      <c r="C10385" s="82"/>
    </row>
    <row r="10386" spans="1:3" x14ac:dyDescent="0.2">
      <c r="A10386" s="82"/>
      <c r="B10386" s="82"/>
      <c r="C10386" s="82"/>
    </row>
    <row r="10387" spans="1:3" x14ac:dyDescent="0.2">
      <c r="A10387" s="82"/>
      <c r="B10387" s="82"/>
      <c r="C10387" s="82"/>
    </row>
    <row r="10388" spans="1:3" x14ac:dyDescent="0.2">
      <c r="A10388" s="82"/>
      <c r="B10388" s="82"/>
      <c r="C10388" s="82"/>
    </row>
    <row r="10389" spans="1:3" x14ac:dyDescent="0.2">
      <c r="A10389" s="82"/>
      <c r="B10389" s="82"/>
      <c r="C10389" s="82"/>
    </row>
    <row r="10390" spans="1:3" x14ac:dyDescent="0.2">
      <c r="A10390" s="82"/>
      <c r="B10390" s="82"/>
      <c r="C10390" s="82"/>
    </row>
    <row r="10391" spans="1:3" x14ac:dyDescent="0.2">
      <c r="A10391" s="82"/>
      <c r="B10391" s="82"/>
      <c r="C10391" s="82"/>
    </row>
    <row r="10392" spans="1:3" x14ac:dyDescent="0.2">
      <c r="A10392" s="82"/>
      <c r="B10392" s="82"/>
      <c r="C10392" s="82"/>
    </row>
    <row r="10393" spans="1:3" x14ac:dyDescent="0.2">
      <c r="A10393" s="82"/>
      <c r="B10393" s="82"/>
      <c r="C10393" s="82"/>
    </row>
    <row r="10394" spans="1:3" x14ac:dyDescent="0.2">
      <c r="A10394" s="82"/>
      <c r="B10394" s="82"/>
      <c r="C10394" s="82"/>
    </row>
    <row r="10395" spans="1:3" x14ac:dyDescent="0.2">
      <c r="A10395" s="82"/>
      <c r="B10395" s="82"/>
      <c r="C10395" s="82"/>
    </row>
    <row r="10396" spans="1:3" x14ac:dyDescent="0.2">
      <c r="A10396" s="82"/>
      <c r="B10396" s="82"/>
      <c r="C10396" s="82"/>
    </row>
    <row r="10397" spans="1:3" x14ac:dyDescent="0.2">
      <c r="A10397" s="82"/>
      <c r="B10397" s="82"/>
      <c r="C10397" s="82"/>
    </row>
    <row r="10398" spans="1:3" x14ac:dyDescent="0.2">
      <c r="A10398" s="82"/>
      <c r="B10398" s="82"/>
      <c r="C10398" s="82"/>
    </row>
    <row r="10399" spans="1:3" x14ac:dyDescent="0.2">
      <c r="A10399" s="82"/>
      <c r="B10399" s="82"/>
      <c r="C10399" s="82"/>
    </row>
    <row r="10400" spans="1:3" x14ac:dyDescent="0.2">
      <c r="A10400" s="82"/>
      <c r="B10400" s="82"/>
      <c r="C10400" s="82"/>
    </row>
    <row r="10401" spans="1:3" x14ac:dyDescent="0.2">
      <c r="A10401" s="82"/>
      <c r="B10401" s="82"/>
      <c r="C10401" s="82"/>
    </row>
    <row r="10402" spans="1:3" x14ac:dyDescent="0.2">
      <c r="A10402" s="82"/>
      <c r="B10402" s="82"/>
      <c r="C10402" s="82"/>
    </row>
    <row r="10403" spans="1:3" x14ac:dyDescent="0.2">
      <c r="A10403" s="82"/>
      <c r="B10403" s="82"/>
      <c r="C10403" s="82"/>
    </row>
    <row r="10404" spans="1:3" x14ac:dyDescent="0.2">
      <c r="A10404" s="82"/>
      <c r="B10404" s="82"/>
      <c r="C10404" s="82"/>
    </row>
    <row r="10405" spans="1:3" x14ac:dyDescent="0.2">
      <c r="A10405" s="82"/>
      <c r="B10405" s="82"/>
      <c r="C10405" s="82"/>
    </row>
    <row r="10406" spans="1:3" x14ac:dyDescent="0.2">
      <c r="A10406" s="82"/>
      <c r="B10406" s="82"/>
      <c r="C10406" s="82"/>
    </row>
    <row r="10407" spans="1:3" x14ac:dyDescent="0.2">
      <c r="A10407" s="82"/>
      <c r="B10407" s="82"/>
      <c r="C10407" s="82"/>
    </row>
    <row r="10408" spans="1:3" x14ac:dyDescent="0.2">
      <c r="A10408" s="82"/>
      <c r="B10408" s="82"/>
      <c r="C10408" s="82"/>
    </row>
    <row r="10409" spans="1:3" x14ac:dyDescent="0.2">
      <c r="A10409" s="82"/>
      <c r="B10409" s="82"/>
      <c r="C10409" s="82"/>
    </row>
    <row r="10410" spans="1:3" x14ac:dyDescent="0.2">
      <c r="A10410" s="82"/>
      <c r="B10410" s="82"/>
      <c r="C10410" s="82"/>
    </row>
    <row r="10411" spans="1:3" x14ac:dyDescent="0.2">
      <c r="A10411" s="82"/>
      <c r="B10411" s="82"/>
      <c r="C10411" s="82"/>
    </row>
    <row r="10412" spans="1:3" x14ac:dyDescent="0.2">
      <c r="A10412" s="82"/>
      <c r="B10412" s="82"/>
      <c r="C10412" s="82"/>
    </row>
    <row r="10413" spans="1:3" x14ac:dyDescent="0.2">
      <c r="A10413" s="82"/>
      <c r="B10413" s="82"/>
      <c r="C10413" s="82"/>
    </row>
    <row r="10414" spans="1:3" x14ac:dyDescent="0.2">
      <c r="A10414" s="82"/>
      <c r="B10414" s="82"/>
      <c r="C10414" s="82"/>
    </row>
    <row r="10415" spans="1:3" x14ac:dyDescent="0.2">
      <c r="A10415" s="82"/>
      <c r="B10415" s="82"/>
      <c r="C10415" s="82"/>
    </row>
    <row r="10416" spans="1:3" x14ac:dyDescent="0.2">
      <c r="A10416" s="82"/>
      <c r="B10416" s="82"/>
      <c r="C10416" s="82"/>
    </row>
    <row r="10417" spans="1:3" x14ac:dyDescent="0.2">
      <c r="A10417" s="82"/>
      <c r="B10417" s="82"/>
      <c r="C10417" s="82"/>
    </row>
    <row r="10418" spans="1:3" x14ac:dyDescent="0.2">
      <c r="A10418" s="82"/>
      <c r="B10418" s="82"/>
      <c r="C10418" s="82"/>
    </row>
    <row r="10419" spans="1:3" x14ac:dyDescent="0.2">
      <c r="A10419" s="82"/>
      <c r="B10419" s="82"/>
      <c r="C10419" s="82"/>
    </row>
    <row r="10420" spans="1:3" x14ac:dyDescent="0.2">
      <c r="A10420" s="82"/>
      <c r="B10420" s="82"/>
      <c r="C10420" s="82"/>
    </row>
    <row r="10421" spans="1:3" x14ac:dyDescent="0.2">
      <c r="A10421" s="82"/>
      <c r="B10421" s="82"/>
      <c r="C10421" s="82"/>
    </row>
    <row r="10422" spans="1:3" x14ac:dyDescent="0.2">
      <c r="A10422" s="82"/>
      <c r="B10422" s="82"/>
      <c r="C10422" s="82"/>
    </row>
    <row r="10423" spans="1:3" x14ac:dyDescent="0.2">
      <c r="A10423" s="82"/>
      <c r="B10423" s="82"/>
      <c r="C10423" s="82"/>
    </row>
    <row r="10424" spans="1:3" x14ac:dyDescent="0.2">
      <c r="A10424" s="82"/>
      <c r="B10424" s="82"/>
      <c r="C10424" s="82"/>
    </row>
    <row r="10425" spans="1:3" x14ac:dyDescent="0.2">
      <c r="A10425" s="82"/>
      <c r="B10425" s="82"/>
      <c r="C10425" s="82"/>
    </row>
    <row r="10426" spans="1:3" x14ac:dyDescent="0.2">
      <c r="A10426" s="82"/>
      <c r="B10426" s="82"/>
      <c r="C10426" s="82"/>
    </row>
    <row r="10427" spans="1:3" x14ac:dyDescent="0.2">
      <c r="A10427" s="82"/>
      <c r="B10427" s="82"/>
      <c r="C10427" s="82"/>
    </row>
    <row r="10428" spans="1:3" x14ac:dyDescent="0.2">
      <c r="A10428" s="82"/>
      <c r="B10428" s="82"/>
      <c r="C10428" s="82"/>
    </row>
    <row r="10429" spans="1:3" x14ac:dyDescent="0.2">
      <c r="A10429" s="82"/>
      <c r="B10429" s="82"/>
      <c r="C10429" s="82"/>
    </row>
    <row r="10430" spans="1:3" x14ac:dyDescent="0.2">
      <c r="A10430" s="82"/>
      <c r="B10430" s="82"/>
      <c r="C10430" s="82"/>
    </row>
    <row r="10431" spans="1:3" x14ac:dyDescent="0.2">
      <c r="A10431" s="82"/>
      <c r="B10431" s="82"/>
      <c r="C10431" s="82"/>
    </row>
    <row r="10432" spans="1:3" x14ac:dyDescent="0.2">
      <c r="A10432" s="82"/>
      <c r="B10432" s="82"/>
      <c r="C10432" s="82"/>
    </row>
    <row r="10433" spans="1:3" x14ac:dyDescent="0.2">
      <c r="A10433" s="82"/>
      <c r="B10433" s="82"/>
      <c r="C10433" s="82"/>
    </row>
    <row r="10434" spans="1:3" x14ac:dyDescent="0.2">
      <c r="A10434" s="82"/>
      <c r="B10434" s="82"/>
      <c r="C10434" s="82"/>
    </row>
    <row r="10435" spans="1:3" x14ac:dyDescent="0.2">
      <c r="A10435" s="82"/>
      <c r="B10435" s="82"/>
      <c r="C10435" s="82"/>
    </row>
    <row r="10436" spans="1:3" x14ac:dyDescent="0.2">
      <c r="A10436" s="82"/>
      <c r="B10436" s="82"/>
      <c r="C10436" s="82"/>
    </row>
    <row r="10437" spans="1:3" x14ac:dyDescent="0.2">
      <c r="A10437" s="82"/>
      <c r="B10437" s="82"/>
      <c r="C10437" s="82"/>
    </row>
    <row r="10438" spans="1:3" x14ac:dyDescent="0.2">
      <c r="A10438" s="82"/>
      <c r="B10438" s="82"/>
      <c r="C10438" s="82"/>
    </row>
    <row r="10439" spans="1:3" x14ac:dyDescent="0.2">
      <c r="A10439" s="82"/>
      <c r="B10439" s="82"/>
      <c r="C10439" s="82"/>
    </row>
    <row r="10440" spans="1:3" x14ac:dyDescent="0.2">
      <c r="A10440" s="82"/>
      <c r="B10440" s="82"/>
      <c r="C10440" s="82"/>
    </row>
    <row r="10441" spans="1:3" x14ac:dyDescent="0.2">
      <c r="A10441" s="82"/>
      <c r="B10441" s="82"/>
      <c r="C10441" s="82"/>
    </row>
    <row r="10442" spans="1:3" x14ac:dyDescent="0.2">
      <c r="A10442" s="82"/>
      <c r="B10442" s="82"/>
      <c r="C10442" s="82"/>
    </row>
    <row r="10443" spans="1:3" x14ac:dyDescent="0.2">
      <c r="A10443" s="82"/>
      <c r="B10443" s="82"/>
      <c r="C10443" s="82"/>
    </row>
    <row r="10444" spans="1:3" x14ac:dyDescent="0.2">
      <c r="A10444" s="82"/>
      <c r="B10444" s="82"/>
      <c r="C10444" s="82"/>
    </row>
    <row r="10445" spans="1:3" x14ac:dyDescent="0.2">
      <c r="A10445" s="82"/>
      <c r="B10445" s="82"/>
      <c r="C10445" s="82"/>
    </row>
    <row r="10446" spans="1:3" x14ac:dyDescent="0.2">
      <c r="A10446" s="82"/>
      <c r="B10446" s="82"/>
      <c r="C10446" s="82"/>
    </row>
    <row r="10447" spans="1:3" x14ac:dyDescent="0.2">
      <c r="A10447" s="82"/>
      <c r="B10447" s="82"/>
      <c r="C10447" s="82"/>
    </row>
    <row r="10448" spans="1:3" x14ac:dyDescent="0.2">
      <c r="A10448" s="82"/>
      <c r="B10448" s="82"/>
      <c r="C10448" s="82"/>
    </row>
    <row r="10449" spans="1:3" x14ac:dyDescent="0.2">
      <c r="A10449" s="82"/>
      <c r="B10449" s="82"/>
      <c r="C10449" s="82"/>
    </row>
    <row r="10450" spans="1:3" x14ac:dyDescent="0.2">
      <c r="A10450" s="82"/>
      <c r="B10450" s="82"/>
      <c r="C10450" s="82"/>
    </row>
    <row r="10451" spans="1:3" x14ac:dyDescent="0.2">
      <c r="A10451" s="82"/>
      <c r="B10451" s="82"/>
      <c r="C10451" s="82"/>
    </row>
    <row r="10452" spans="1:3" x14ac:dyDescent="0.2">
      <c r="A10452" s="82"/>
      <c r="B10452" s="82"/>
      <c r="C10452" s="82"/>
    </row>
    <row r="10453" spans="1:3" x14ac:dyDescent="0.2">
      <c r="A10453" s="82"/>
      <c r="B10453" s="82"/>
      <c r="C10453" s="82"/>
    </row>
    <row r="10454" spans="1:3" x14ac:dyDescent="0.2">
      <c r="A10454" s="82"/>
      <c r="B10454" s="82"/>
      <c r="C10454" s="82"/>
    </row>
    <row r="10455" spans="1:3" x14ac:dyDescent="0.2">
      <c r="A10455" s="82"/>
      <c r="B10455" s="82"/>
      <c r="C10455" s="82"/>
    </row>
    <row r="10456" spans="1:3" x14ac:dyDescent="0.2">
      <c r="A10456" s="82"/>
      <c r="B10456" s="82"/>
      <c r="C10456" s="82"/>
    </row>
    <row r="10457" spans="1:3" x14ac:dyDescent="0.2">
      <c r="A10457" s="82"/>
      <c r="B10457" s="82"/>
      <c r="C10457" s="82"/>
    </row>
    <row r="10458" spans="1:3" x14ac:dyDescent="0.2">
      <c r="A10458" s="82"/>
      <c r="B10458" s="82"/>
      <c r="C10458" s="82"/>
    </row>
    <row r="10459" spans="1:3" x14ac:dyDescent="0.2">
      <c r="A10459" s="82"/>
      <c r="B10459" s="82"/>
      <c r="C10459" s="82"/>
    </row>
    <row r="10460" spans="1:3" x14ac:dyDescent="0.2">
      <c r="A10460" s="82"/>
      <c r="B10460" s="82"/>
      <c r="C10460" s="82"/>
    </row>
    <row r="10461" spans="1:3" x14ac:dyDescent="0.2">
      <c r="A10461" s="82"/>
      <c r="B10461" s="82"/>
      <c r="C10461" s="82"/>
    </row>
    <row r="10462" spans="1:3" x14ac:dyDescent="0.2">
      <c r="A10462" s="82"/>
      <c r="B10462" s="82"/>
      <c r="C10462" s="82"/>
    </row>
    <row r="10463" spans="1:3" x14ac:dyDescent="0.2">
      <c r="A10463" s="82"/>
      <c r="B10463" s="82"/>
      <c r="C10463" s="82"/>
    </row>
    <row r="10464" spans="1:3" x14ac:dyDescent="0.2">
      <c r="A10464" s="82"/>
      <c r="B10464" s="82"/>
      <c r="C10464" s="82"/>
    </row>
    <row r="10465" spans="1:3" x14ac:dyDescent="0.2">
      <c r="A10465" s="82"/>
      <c r="B10465" s="82"/>
      <c r="C10465" s="82"/>
    </row>
    <row r="10466" spans="1:3" x14ac:dyDescent="0.2">
      <c r="A10466" s="82"/>
      <c r="B10466" s="82"/>
      <c r="C10466" s="82"/>
    </row>
    <row r="10467" spans="1:3" x14ac:dyDescent="0.2">
      <c r="A10467" s="82"/>
      <c r="B10467" s="82"/>
      <c r="C10467" s="82"/>
    </row>
    <row r="10468" spans="1:3" x14ac:dyDescent="0.2">
      <c r="A10468" s="82"/>
      <c r="B10468" s="82"/>
      <c r="C10468" s="82"/>
    </row>
    <row r="10469" spans="1:3" x14ac:dyDescent="0.2">
      <c r="A10469" s="82"/>
      <c r="B10469" s="82"/>
      <c r="C10469" s="82"/>
    </row>
    <row r="10470" spans="1:3" x14ac:dyDescent="0.2">
      <c r="A10470" s="82"/>
      <c r="B10470" s="82"/>
      <c r="C10470" s="82"/>
    </row>
    <row r="10471" spans="1:3" x14ac:dyDescent="0.2">
      <c r="A10471" s="82"/>
      <c r="B10471" s="82"/>
      <c r="C10471" s="82"/>
    </row>
    <row r="10472" spans="1:3" x14ac:dyDescent="0.2">
      <c r="A10472" s="82"/>
      <c r="B10472" s="82"/>
      <c r="C10472" s="82"/>
    </row>
    <row r="10473" spans="1:3" x14ac:dyDescent="0.2">
      <c r="A10473" s="82"/>
      <c r="B10473" s="82"/>
      <c r="C10473" s="82"/>
    </row>
    <row r="10474" spans="1:3" x14ac:dyDescent="0.2">
      <c r="A10474" s="82"/>
      <c r="B10474" s="82"/>
      <c r="C10474" s="82"/>
    </row>
    <row r="10475" spans="1:3" x14ac:dyDescent="0.2">
      <c r="A10475" s="82"/>
      <c r="B10475" s="82"/>
      <c r="C10475" s="82"/>
    </row>
    <row r="10476" spans="1:3" x14ac:dyDescent="0.2">
      <c r="A10476" s="82"/>
      <c r="B10476" s="82"/>
      <c r="C10476" s="82"/>
    </row>
    <row r="10477" spans="1:3" x14ac:dyDescent="0.2">
      <c r="A10477" s="82"/>
      <c r="B10477" s="82"/>
      <c r="C10477" s="82"/>
    </row>
    <row r="10478" spans="1:3" x14ac:dyDescent="0.2">
      <c r="A10478" s="82"/>
      <c r="B10478" s="82"/>
      <c r="C10478" s="82"/>
    </row>
    <row r="10479" spans="1:3" x14ac:dyDescent="0.2">
      <c r="A10479" s="82"/>
      <c r="B10479" s="82"/>
      <c r="C10479" s="82"/>
    </row>
    <row r="10480" spans="1:3" x14ac:dyDescent="0.2">
      <c r="A10480" s="82"/>
      <c r="B10480" s="82"/>
      <c r="C10480" s="82"/>
    </row>
    <row r="10481" spans="1:3" x14ac:dyDescent="0.2">
      <c r="A10481" s="82"/>
      <c r="B10481" s="82"/>
      <c r="C10481" s="82"/>
    </row>
    <row r="10482" spans="1:3" x14ac:dyDescent="0.2">
      <c r="A10482" s="82"/>
      <c r="B10482" s="82"/>
      <c r="C10482" s="82"/>
    </row>
    <row r="10483" spans="1:3" x14ac:dyDescent="0.2">
      <c r="A10483" s="82"/>
      <c r="B10483" s="82"/>
      <c r="C10483" s="82"/>
    </row>
    <row r="10484" spans="1:3" x14ac:dyDescent="0.2">
      <c r="A10484" s="82"/>
      <c r="B10484" s="82"/>
      <c r="C10484" s="82"/>
    </row>
    <row r="10485" spans="1:3" x14ac:dyDescent="0.2">
      <c r="A10485" s="82"/>
      <c r="B10485" s="82"/>
      <c r="C10485" s="82"/>
    </row>
    <row r="10486" spans="1:3" x14ac:dyDescent="0.2">
      <c r="A10486" s="82"/>
      <c r="B10486" s="82"/>
      <c r="C10486" s="82"/>
    </row>
    <row r="10487" spans="1:3" x14ac:dyDescent="0.2">
      <c r="A10487" s="82"/>
      <c r="B10487" s="82"/>
      <c r="C10487" s="82"/>
    </row>
    <row r="10488" spans="1:3" x14ac:dyDescent="0.2">
      <c r="A10488" s="82"/>
      <c r="B10488" s="82"/>
      <c r="C10488" s="82"/>
    </row>
    <row r="10489" spans="1:3" x14ac:dyDescent="0.2">
      <c r="A10489" s="82"/>
      <c r="B10489" s="82"/>
      <c r="C10489" s="82"/>
    </row>
    <row r="10490" spans="1:3" x14ac:dyDescent="0.2">
      <c r="A10490" s="82"/>
      <c r="B10490" s="82"/>
      <c r="C10490" s="82"/>
    </row>
    <row r="10491" spans="1:3" x14ac:dyDescent="0.2">
      <c r="A10491" s="82"/>
      <c r="B10491" s="82"/>
      <c r="C10491" s="82"/>
    </row>
    <row r="10492" spans="1:3" x14ac:dyDescent="0.2">
      <c r="A10492" s="82"/>
      <c r="B10492" s="82"/>
      <c r="C10492" s="82"/>
    </row>
    <row r="10493" spans="1:3" x14ac:dyDescent="0.2">
      <c r="A10493" s="82"/>
      <c r="B10493" s="82"/>
      <c r="C10493" s="82"/>
    </row>
    <row r="10494" spans="1:3" x14ac:dyDescent="0.2">
      <c r="A10494" s="82"/>
      <c r="B10494" s="82"/>
      <c r="C10494" s="82"/>
    </row>
    <row r="10495" spans="1:3" x14ac:dyDescent="0.2">
      <c r="A10495" s="82"/>
      <c r="B10495" s="82"/>
      <c r="C10495" s="82"/>
    </row>
    <row r="10496" spans="1:3" x14ac:dyDescent="0.2">
      <c r="A10496" s="82"/>
      <c r="B10496" s="82"/>
      <c r="C10496" s="82"/>
    </row>
    <row r="10497" spans="1:3" x14ac:dyDescent="0.2">
      <c r="A10497" s="82"/>
      <c r="B10497" s="82"/>
      <c r="C10497" s="82"/>
    </row>
    <row r="10498" spans="1:3" x14ac:dyDescent="0.2">
      <c r="A10498" s="82"/>
      <c r="B10498" s="82"/>
      <c r="C10498" s="82"/>
    </row>
    <row r="10499" spans="1:3" x14ac:dyDescent="0.2">
      <c r="A10499" s="82"/>
      <c r="B10499" s="82"/>
      <c r="C10499" s="82"/>
    </row>
    <row r="10500" spans="1:3" x14ac:dyDescent="0.2">
      <c r="A10500" s="82"/>
      <c r="B10500" s="82"/>
      <c r="C10500" s="82"/>
    </row>
    <row r="10501" spans="1:3" x14ac:dyDescent="0.2">
      <c r="A10501" s="82"/>
      <c r="B10501" s="82"/>
      <c r="C10501" s="82"/>
    </row>
    <row r="10502" spans="1:3" x14ac:dyDescent="0.2">
      <c r="A10502" s="82"/>
      <c r="B10502" s="82"/>
      <c r="C10502" s="82"/>
    </row>
    <row r="10503" spans="1:3" x14ac:dyDescent="0.2">
      <c r="A10503" s="82"/>
      <c r="B10503" s="82"/>
      <c r="C10503" s="82"/>
    </row>
    <row r="10504" spans="1:3" x14ac:dyDescent="0.2">
      <c r="A10504" s="82"/>
      <c r="B10504" s="82"/>
      <c r="C10504" s="82"/>
    </row>
    <row r="10505" spans="1:3" x14ac:dyDescent="0.2">
      <c r="A10505" s="82"/>
      <c r="B10505" s="82"/>
      <c r="C10505" s="82"/>
    </row>
    <row r="10506" spans="1:3" x14ac:dyDescent="0.2">
      <c r="A10506" s="82"/>
      <c r="B10506" s="82"/>
      <c r="C10506" s="82"/>
    </row>
    <row r="10507" spans="1:3" x14ac:dyDescent="0.2">
      <c r="A10507" s="82"/>
      <c r="B10507" s="82"/>
      <c r="C10507" s="82"/>
    </row>
    <row r="10508" spans="1:3" x14ac:dyDescent="0.2">
      <c r="A10508" s="82"/>
      <c r="B10508" s="82"/>
      <c r="C10508" s="82"/>
    </row>
    <row r="10509" spans="1:3" x14ac:dyDescent="0.2">
      <c r="A10509" s="82"/>
      <c r="B10509" s="82"/>
      <c r="C10509" s="82"/>
    </row>
    <row r="10510" spans="1:3" x14ac:dyDescent="0.2">
      <c r="A10510" s="82"/>
      <c r="B10510" s="82"/>
      <c r="C10510" s="82"/>
    </row>
    <row r="10511" spans="1:3" x14ac:dyDescent="0.2">
      <c r="A10511" s="82"/>
      <c r="B10511" s="82"/>
      <c r="C10511" s="82"/>
    </row>
    <row r="10512" spans="1:3" x14ac:dyDescent="0.2">
      <c r="A10512" s="82"/>
      <c r="B10512" s="82"/>
      <c r="C10512" s="82"/>
    </row>
    <row r="10513" spans="1:3" x14ac:dyDescent="0.2">
      <c r="A10513" s="82"/>
      <c r="B10513" s="82"/>
      <c r="C10513" s="82"/>
    </row>
    <row r="10514" spans="1:3" x14ac:dyDescent="0.2">
      <c r="A10514" s="82"/>
      <c r="B10514" s="82"/>
      <c r="C10514" s="82"/>
    </row>
    <row r="10515" spans="1:3" x14ac:dyDescent="0.2">
      <c r="A10515" s="82"/>
      <c r="B10515" s="82"/>
      <c r="C10515" s="82"/>
    </row>
    <row r="10516" spans="1:3" x14ac:dyDescent="0.2">
      <c r="A10516" s="82"/>
      <c r="B10516" s="82"/>
      <c r="C10516" s="82"/>
    </row>
    <row r="10517" spans="1:3" x14ac:dyDescent="0.2">
      <c r="A10517" s="82"/>
      <c r="B10517" s="82"/>
      <c r="C10517" s="82"/>
    </row>
    <row r="10518" spans="1:3" x14ac:dyDescent="0.2">
      <c r="A10518" s="82"/>
      <c r="B10518" s="82"/>
      <c r="C10518" s="82"/>
    </row>
    <row r="10519" spans="1:3" x14ac:dyDescent="0.2">
      <c r="A10519" s="82"/>
      <c r="B10519" s="82"/>
      <c r="C10519" s="82"/>
    </row>
    <row r="10520" spans="1:3" x14ac:dyDescent="0.2">
      <c r="A10520" s="82"/>
      <c r="B10520" s="82"/>
      <c r="C10520" s="82"/>
    </row>
    <row r="10521" spans="1:3" x14ac:dyDescent="0.2">
      <c r="A10521" s="82"/>
      <c r="B10521" s="82"/>
      <c r="C10521" s="82"/>
    </row>
    <row r="10522" spans="1:3" x14ac:dyDescent="0.2">
      <c r="A10522" s="82"/>
      <c r="B10522" s="82"/>
      <c r="C10522" s="82"/>
    </row>
    <row r="10523" spans="1:3" x14ac:dyDescent="0.2">
      <c r="A10523" s="82"/>
      <c r="B10523" s="82"/>
      <c r="C10523" s="82"/>
    </row>
    <row r="10524" spans="1:3" x14ac:dyDescent="0.2">
      <c r="A10524" s="82"/>
      <c r="B10524" s="82"/>
      <c r="C10524" s="82"/>
    </row>
    <row r="10525" spans="1:3" x14ac:dyDescent="0.2">
      <c r="A10525" s="82"/>
      <c r="B10525" s="82"/>
      <c r="C10525" s="82"/>
    </row>
    <row r="10526" spans="1:3" x14ac:dyDescent="0.2">
      <c r="A10526" s="82"/>
      <c r="B10526" s="82"/>
      <c r="C10526" s="82"/>
    </row>
    <row r="10527" spans="1:3" x14ac:dyDescent="0.2">
      <c r="A10527" s="82"/>
      <c r="B10527" s="82"/>
      <c r="C10527" s="82"/>
    </row>
    <row r="10528" spans="1:3" x14ac:dyDescent="0.2">
      <c r="A10528" s="82"/>
      <c r="B10528" s="82"/>
      <c r="C10528" s="82"/>
    </row>
    <row r="10529" spans="1:3" x14ac:dyDescent="0.2">
      <c r="A10529" s="82"/>
      <c r="B10529" s="82"/>
      <c r="C10529" s="82"/>
    </row>
    <row r="10530" spans="1:3" x14ac:dyDescent="0.2">
      <c r="A10530" s="82"/>
      <c r="B10530" s="82"/>
      <c r="C10530" s="82"/>
    </row>
    <row r="10531" spans="1:3" x14ac:dyDescent="0.2">
      <c r="A10531" s="82"/>
      <c r="B10531" s="82"/>
      <c r="C10531" s="82"/>
    </row>
    <row r="10532" spans="1:3" x14ac:dyDescent="0.2">
      <c r="A10532" s="82"/>
      <c r="B10532" s="82"/>
      <c r="C10532" s="82"/>
    </row>
    <row r="10533" spans="1:3" x14ac:dyDescent="0.2">
      <c r="A10533" s="82"/>
      <c r="B10533" s="82"/>
      <c r="C10533" s="82"/>
    </row>
    <row r="10534" spans="1:3" x14ac:dyDescent="0.2">
      <c r="A10534" s="82"/>
      <c r="B10534" s="82"/>
      <c r="C10534" s="82"/>
    </row>
    <row r="10535" spans="1:3" x14ac:dyDescent="0.2">
      <c r="A10535" s="82"/>
      <c r="B10535" s="82"/>
      <c r="C10535" s="82"/>
    </row>
    <row r="10536" spans="1:3" x14ac:dyDescent="0.2">
      <c r="A10536" s="82"/>
      <c r="B10536" s="82"/>
      <c r="C10536" s="82"/>
    </row>
    <row r="10537" spans="1:3" x14ac:dyDescent="0.2">
      <c r="A10537" s="82"/>
      <c r="B10537" s="82"/>
      <c r="C10537" s="82"/>
    </row>
    <row r="10538" spans="1:3" x14ac:dyDescent="0.2">
      <c r="A10538" s="82"/>
      <c r="B10538" s="82"/>
      <c r="C10538" s="82"/>
    </row>
    <row r="10539" spans="1:3" x14ac:dyDescent="0.2">
      <c r="A10539" s="82"/>
      <c r="B10539" s="82"/>
      <c r="C10539" s="82"/>
    </row>
    <row r="10540" spans="1:3" x14ac:dyDescent="0.2">
      <c r="A10540" s="82"/>
      <c r="B10540" s="82"/>
      <c r="C10540" s="82"/>
    </row>
    <row r="10541" spans="1:3" x14ac:dyDescent="0.2">
      <c r="A10541" s="82"/>
      <c r="B10541" s="82"/>
      <c r="C10541" s="82"/>
    </row>
    <row r="10542" spans="1:3" x14ac:dyDescent="0.2">
      <c r="A10542" s="82"/>
      <c r="B10542" s="82"/>
      <c r="C10542" s="82"/>
    </row>
    <row r="10543" spans="1:3" x14ac:dyDescent="0.2">
      <c r="A10543" s="82"/>
      <c r="B10543" s="82"/>
      <c r="C10543" s="82"/>
    </row>
    <row r="10544" spans="1:3" x14ac:dyDescent="0.2">
      <c r="A10544" s="82"/>
      <c r="B10544" s="82"/>
      <c r="C10544" s="82"/>
    </row>
    <row r="10545" spans="1:3" x14ac:dyDescent="0.2">
      <c r="A10545" s="82"/>
      <c r="B10545" s="82"/>
      <c r="C10545" s="82"/>
    </row>
    <row r="10546" spans="1:3" x14ac:dyDescent="0.2">
      <c r="A10546" s="82"/>
      <c r="B10546" s="82"/>
      <c r="C10546" s="82"/>
    </row>
    <row r="10547" spans="1:3" x14ac:dyDescent="0.2">
      <c r="A10547" s="82"/>
      <c r="B10547" s="82"/>
      <c r="C10547" s="82"/>
    </row>
    <row r="10548" spans="1:3" x14ac:dyDescent="0.2">
      <c r="A10548" s="82"/>
      <c r="B10548" s="82"/>
      <c r="C10548" s="82"/>
    </row>
    <row r="10549" spans="1:3" x14ac:dyDescent="0.2">
      <c r="A10549" s="82"/>
      <c r="B10549" s="82"/>
      <c r="C10549" s="82"/>
    </row>
    <row r="10550" spans="1:3" x14ac:dyDescent="0.2">
      <c r="A10550" s="82"/>
      <c r="B10550" s="82"/>
      <c r="C10550" s="82"/>
    </row>
    <row r="10551" spans="1:3" x14ac:dyDescent="0.2">
      <c r="A10551" s="82"/>
      <c r="B10551" s="82"/>
      <c r="C10551" s="82"/>
    </row>
    <row r="10552" spans="1:3" x14ac:dyDescent="0.2">
      <c r="A10552" s="82"/>
      <c r="B10552" s="82"/>
      <c r="C10552" s="82"/>
    </row>
    <row r="10553" spans="1:3" x14ac:dyDescent="0.2">
      <c r="A10553" s="82"/>
      <c r="B10553" s="82"/>
      <c r="C10553" s="82"/>
    </row>
    <row r="10554" spans="1:3" x14ac:dyDescent="0.2">
      <c r="A10554" s="82"/>
      <c r="B10554" s="82"/>
      <c r="C10554" s="82"/>
    </row>
    <row r="10555" spans="1:3" x14ac:dyDescent="0.2">
      <c r="A10555" s="82"/>
      <c r="B10555" s="82"/>
      <c r="C10555" s="82"/>
    </row>
    <row r="10556" spans="1:3" x14ac:dyDescent="0.2">
      <c r="A10556" s="82"/>
      <c r="B10556" s="82"/>
      <c r="C10556" s="82"/>
    </row>
    <row r="10557" spans="1:3" x14ac:dyDescent="0.2">
      <c r="A10557" s="82"/>
      <c r="B10557" s="82"/>
      <c r="C10557" s="82"/>
    </row>
    <row r="10558" spans="1:3" x14ac:dyDescent="0.2">
      <c r="A10558" s="82"/>
      <c r="B10558" s="82"/>
      <c r="C10558" s="82"/>
    </row>
    <row r="10559" spans="1:3" x14ac:dyDescent="0.2">
      <c r="A10559" s="82"/>
      <c r="B10559" s="82"/>
      <c r="C10559" s="82"/>
    </row>
    <row r="10560" spans="1:3" x14ac:dyDescent="0.2">
      <c r="A10560" s="82"/>
      <c r="B10560" s="82"/>
      <c r="C10560" s="82"/>
    </row>
    <row r="10561" spans="1:3" x14ac:dyDescent="0.2">
      <c r="A10561" s="82"/>
      <c r="B10561" s="82"/>
      <c r="C10561" s="82"/>
    </row>
    <row r="10562" spans="1:3" x14ac:dyDescent="0.2">
      <c r="A10562" s="82"/>
      <c r="B10562" s="82"/>
      <c r="C10562" s="82"/>
    </row>
    <row r="10563" spans="1:3" x14ac:dyDescent="0.2">
      <c r="A10563" s="82"/>
      <c r="B10563" s="82"/>
      <c r="C10563" s="82"/>
    </row>
    <row r="10564" spans="1:3" x14ac:dyDescent="0.2">
      <c r="A10564" s="82"/>
      <c r="B10564" s="82"/>
      <c r="C10564" s="82"/>
    </row>
    <row r="10565" spans="1:3" x14ac:dyDescent="0.2">
      <c r="A10565" s="82"/>
      <c r="B10565" s="82"/>
      <c r="C10565" s="82"/>
    </row>
    <row r="10566" spans="1:3" x14ac:dyDescent="0.2">
      <c r="A10566" s="82"/>
      <c r="B10566" s="82"/>
      <c r="C10566" s="82"/>
    </row>
    <row r="10567" spans="1:3" x14ac:dyDescent="0.2">
      <c r="A10567" s="82"/>
      <c r="B10567" s="82"/>
      <c r="C10567" s="82"/>
    </row>
    <row r="10568" spans="1:3" x14ac:dyDescent="0.2">
      <c r="A10568" s="82"/>
      <c r="B10568" s="82"/>
      <c r="C10568" s="82"/>
    </row>
    <row r="10569" spans="1:3" x14ac:dyDescent="0.2">
      <c r="A10569" s="82"/>
      <c r="B10569" s="82"/>
      <c r="C10569" s="82"/>
    </row>
    <row r="10570" spans="1:3" x14ac:dyDescent="0.2">
      <c r="A10570" s="82"/>
      <c r="B10570" s="82"/>
      <c r="C10570" s="82"/>
    </row>
    <row r="10571" spans="1:3" x14ac:dyDescent="0.2">
      <c r="A10571" s="82"/>
      <c r="B10571" s="82"/>
      <c r="C10571" s="82"/>
    </row>
    <row r="10572" spans="1:3" x14ac:dyDescent="0.2">
      <c r="A10572" s="82"/>
      <c r="B10572" s="82"/>
      <c r="C10572" s="82"/>
    </row>
    <row r="10573" spans="1:3" x14ac:dyDescent="0.2">
      <c r="A10573" s="82"/>
      <c r="B10573" s="82"/>
      <c r="C10573" s="82"/>
    </row>
    <row r="10574" spans="1:3" x14ac:dyDescent="0.2">
      <c r="A10574" s="82"/>
      <c r="B10574" s="82"/>
      <c r="C10574" s="82"/>
    </row>
    <row r="10575" spans="1:3" x14ac:dyDescent="0.2">
      <c r="A10575" s="82"/>
      <c r="B10575" s="82"/>
      <c r="C10575" s="82"/>
    </row>
    <row r="10576" spans="1:3" x14ac:dyDescent="0.2">
      <c r="A10576" s="82"/>
      <c r="B10576" s="82"/>
      <c r="C10576" s="82"/>
    </row>
    <row r="10577" spans="1:3" x14ac:dyDescent="0.2">
      <c r="A10577" s="82"/>
      <c r="B10577" s="82"/>
      <c r="C10577" s="82"/>
    </row>
    <row r="10578" spans="1:3" x14ac:dyDescent="0.2">
      <c r="A10578" s="82"/>
      <c r="B10578" s="82"/>
      <c r="C10578" s="82"/>
    </row>
    <row r="10579" spans="1:3" x14ac:dyDescent="0.2">
      <c r="A10579" s="82"/>
      <c r="B10579" s="82"/>
      <c r="C10579" s="82"/>
    </row>
    <row r="10580" spans="1:3" x14ac:dyDescent="0.2">
      <c r="A10580" s="82"/>
      <c r="B10580" s="82"/>
      <c r="C10580" s="82"/>
    </row>
    <row r="10581" spans="1:3" x14ac:dyDescent="0.2">
      <c r="A10581" s="82"/>
      <c r="B10581" s="82"/>
      <c r="C10581" s="82"/>
    </row>
    <row r="10582" spans="1:3" x14ac:dyDescent="0.2">
      <c r="A10582" s="82"/>
      <c r="B10582" s="82"/>
      <c r="C10582" s="82"/>
    </row>
    <row r="10583" spans="1:3" x14ac:dyDescent="0.2">
      <c r="A10583" s="82"/>
      <c r="B10583" s="82"/>
      <c r="C10583" s="82"/>
    </row>
    <row r="10584" spans="1:3" x14ac:dyDescent="0.2">
      <c r="A10584" s="82"/>
      <c r="B10584" s="82"/>
      <c r="C10584" s="82"/>
    </row>
    <row r="10585" spans="1:3" x14ac:dyDescent="0.2">
      <c r="A10585" s="82"/>
      <c r="B10585" s="82"/>
      <c r="C10585" s="82"/>
    </row>
    <row r="10586" spans="1:3" x14ac:dyDescent="0.2">
      <c r="A10586" s="82"/>
      <c r="B10586" s="82"/>
      <c r="C10586" s="82"/>
    </row>
    <row r="10587" spans="1:3" x14ac:dyDescent="0.2">
      <c r="A10587" s="82"/>
      <c r="B10587" s="82"/>
      <c r="C10587" s="82"/>
    </row>
    <row r="10588" spans="1:3" x14ac:dyDescent="0.2">
      <c r="A10588" s="82"/>
      <c r="B10588" s="82"/>
      <c r="C10588" s="82"/>
    </row>
    <row r="10589" spans="1:3" x14ac:dyDescent="0.2">
      <c r="A10589" s="82"/>
      <c r="B10589" s="82"/>
      <c r="C10589" s="82"/>
    </row>
    <row r="10590" spans="1:3" x14ac:dyDescent="0.2">
      <c r="A10590" s="82"/>
      <c r="B10590" s="82"/>
      <c r="C10590" s="82"/>
    </row>
    <row r="10591" spans="1:3" x14ac:dyDescent="0.2">
      <c r="A10591" s="82"/>
      <c r="B10591" s="82"/>
      <c r="C10591" s="82"/>
    </row>
    <row r="10592" spans="1:3" x14ac:dyDescent="0.2">
      <c r="A10592" s="82"/>
      <c r="B10592" s="82"/>
      <c r="C10592" s="82"/>
    </row>
    <row r="10593" spans="1:3" x14ac:dyDescent="0.2">
      <c r="A10593" s="82"/>
      <c r="B10593" s="82"/>
      <c r="C10593" s="82"/>
    </row>
    <row r="10594" spans="1:3" x14ac:dyDescent="0.2">
      <c r="A10594" s="82"/>
      <c r="B10594" s="82"/>
      <c r="C10594" s="82"/>
    </row>
    <row r="10595" spans="1:3" x14ac:dyDescent="0.2">
      <c r="A10595" s="82"/>
      <c r="B10595" s="82"/>
      <c r="C10595" s="82"/>
    </row>
    <row r="10596" spans="1:3" x14ac:dyDescent="0.2">
      <c r="A10596" s="82"/>
      <c r="B10596" s="82"/>
      <c r="C10596" s="82"/>
    </row>
    <row r="10597" spans="1:3" x14ac:dyDescent="0.2">
      <c r="A10597" s="82"/>
      <c r="B10597" s="82"/>
      <c r="C10597" s="82"/>
    </row>
    <row r="10598" spans="1:3" x14ac:dyDescent="0.2">
      <c r="A10598" s="82"/>
      <c r="B10598" s="82"/>
      <c r="C10598" s="82"/>
    </row>
    <row r="10599" spans="1:3" x14ac:dyDescent="0.2">
      <c r="A10599" s="82"/>
      <c r="B10599" s="82"/>
      <c r="C10599" s="82"/>
    </row>
    <row r="10600" spans="1:3" x14ac:dyDescent="0.2">
      <c r="A10600" s="82"/>
      <c r="B10600" s="82"/>
      <c r="C10600" s="82"/>
    </row>
    <row r="10601" spans="1:3" x14ac:dyDescent="0.2">
      <c r="A10601" s="82"/>
      <c r="B10601" s="82"/>
      <c r="C10601" s="82"/>
    </row>
    <row r="10602" spans="1:3" x14ac:dyDescent="0.2">
      <c r="A10602" s="82"/>
      <c r="B10602" s="82"/>
      <c r="C10602" s="82"/>
    </row>
    <row r="10603" spans="1:3" x14ac:dyDescent="0.2">
      <c r="A10603" s="82"/>
      <c r="B10603" s="82"/>
      <c r="C10603" s="82"/>
    </row>
    <row r="10604" spans="1:3" x14ac:dyDescent="0.2">
      <c r="A10604" s="82"/>
      <c r="B10604" s="82"/>
      <c r="C10604" s="82"/>
    </row>
    <row r="10605" spans="1:3" x14ac:dyDescent="0.2">
      <c r="A10605" s="82"/>
      <c r="B10605" s="82"/>
      <c r="C10605" s="82"/>
    </row>
    <row r="10606" spans="1:3" x14ac:dyDescent="0.2">
      <c r="A10606" s="82"/>
      <c r="B10606" s="82"/>
      <c r="C10606" s="82"/>
    </row>
    <row r="10607" spans="1:3" x14ac:dyDescent="0.2">
      <c r="A10607" s="82"/>
      <c r="B10607" s="82"/>
      <c r="C10607" s="82"/>
    </row>
    <row r="10608" spans="1:3" x14ac:dyDescent="0.2">
      <c r="A10608" s="82"/>
      <c r="B10608" s="82"/>
      <c r="C10608" s="82"/>
    </row>
    <row r="10609" spans="1:3" x14ac:dyDescent="0.2">
      <c r="A10609" s="82"/>
      <c r="B10609" s="82"/>
      <c r="C10609" s="82"/>
    </row>
    <row r="10610" spans="1:3" x14ac:dyDescent="0.2">
      <c r="A10610" s="82"/>
      <c r="B10610" s="82"/>
      <c r="C10610" s="82"/>
    </row>
    <row r="10611" spans="1:3" x14ac:dyDescent="0.2">
      <c r="A10611" s="82"/>
      <c r="B10611" s="82"/>
      <c r="C10611" s="82"/>
    </row>
    <row r="10612" spans="1:3" x14ac:dyDescent="0.2">
      <c r="A10612" s="82"/>
      <c r="B10612" s="82"/>
      <c r="C10612" s="82"/>
    </row>
    <row r="10613" spans="1:3" x14ac:dyDescent="0.2">
      <c r="A10613" s="82"/>
      <c r="B10613" s="82"/>
      <c r="C10613" s="82"/>
    </row>
    <row r="10614" spans="1:3" x14ac:dyDescent="0.2">
      <c r="A10614" s="82"/>
      <c r="B10614" s="82"/>
      <c r="C10614" s="82"/>
    </row>
    <row r="10615" spans="1:3" x14ac:dyDescent="0.2">
      <c r="A10615" s="82"/>
      <c r="B10615" s="82"/>
      <c r="C10615" s="82"/>
    </row>
    <row r="10616" spans="1:3" x14ac:dyDescent="0.2">
      <c r="A10616" s="82"/>
      <c r="B10616" s="82"/>
      <c r="C10616" s="82"/>
    </row>
    <row r="10617" spans="1:3" x14ac:dyDescent="0.2">
      <c r="A10617" s="82"/>
      <c r="B10617" s="82"/>
      <c r="C10617" s="82"/>
    </row>
    <row r="10618" spans="1:3" x14ac:dyDescent="0.2">
      <c r="A10618" s="82"/>
      <c r="B10618" s="82"/>
      <c r="C10618" s="82"/>
    </row>
    <row r="10619" spans="1:3" x14ac:dyDescent="0.2">
      <c r="A10619" s="82"/>
      <c r="B10619" s="82"/>
      <c r="C10619" s="82"/>
    </row>
    <row r="10620" spans="1:3" x14ac:dyDescent="0.2">
      <c r="A10620" s="82"/>
      <c r="B10620" s="82"/>
      <c r="C10620" s="82"/>
    </row>
    <row r="10621" spans="1:3" x14ac:dyDescent="0.2">
      <c r="A10621" s="82"/>
      <c r="B10621" s="82"/>
      <c r="C10621" s="82"/>
    </row>
    <row r="10622" spans="1:3" x14ac:dyDescent="0.2">
      <c r="A10622" s="82"/>
      <c r="B10622" s="82"/>
      <c r="C10622" s="82"/>
    </row>
    <row r="10623" spans="1:3" x14ac:dyDescent="0.2">
      <c r="A10623" s="82"/>
      <c r="B10623" s="82"/>
      <c r="C10623" s="82"/>
    </row>
    <row r="10624" spans="1:3" x14ac:dyDescent="0.2">
      <c r="A10624" s="82"/>
      <c r="B10624" s="82"/>
      <c r="C10624" s="82"/>
    </row>
    <row r="10625" spans="1:3" x14ac:dyDescent="0.2">
      <c r="A10625" s="82"/>
      <c r="B10625" s="82"/>
      <c r="C10625" s="82"/>
    </row>
    <row r="10626" spans="1:3" x14ac:dyDescent="0.2">
      <c r="A10626" s="82"/>
      <c r="B10626" s="82"/>
      <c r="C10626" s="82"/>
    </row>
    <row r="10627" spans="1:3" x14ac:dyDescent="0.2">
      <c r="A10627" s="82"/>
      <c r="B10627" s="82"/>
      <c r="C10627" s="82"/>
    </row>
    <row r="10628" spans="1:3" x14ac:dyDescent="0.2">
      <c r="A10628" s="82"/>
      <c r="B10628" s="82"/>
      <c r="C10628" s="82"/>
    </row>
    <row r="10629" spans="1:3" x14ac:dyDescent="0.2">
      <c r="A10629" s="82"/>
      <c r="B10629" s="82"/>
      <c r="C10629" s="82"/>
    </row>
    <row r="10630" spans="1:3" x14ac:dyDescent="0.2">
      <c r="A10630" s="82"/>
      <c r="B10630" s="82"/>
      <c r="C10630" s="82"/>
    </row>
    <row r="10631" spans="1:3" x14ac:dyDescent="0.2">
      <c r="A10631" s="82"/>
      <c r="B10631" s="82"/>
      <c r="C10631" s="82"/>
    </row>
    <row r="10632" spans="1:3" x14ac:dyDescent="0.2">
      <c r="A10632" s="82"/>
      <c r="B10632" s="82"/>
      <c r="C10632" s="82"/>
    </row>
    <row r="10633" spans="1:3" x14ac:dyDescent="0.2">
      <c r="A10633" s="82"/>
      <c r="B10633" s="82"/>
      <c r="C10633" s="82"/>
    </row>
    <row r="10634" spans="1:3" x14ac:dyDescent="0.2">
      <c r="A10634" s="82"/>
      <c r="B10634" s="82"/>
      <c r="C10634" s="82"/>
    </row>
    <row r="10635" spans="1:3" x14ac:dyDescent="0.2">
      <c r="A10635" s="82"/>
      <c r="B10635" s="82"/>
      <c r="C10635" s="82"/>
    </row>
    <row r="10636" spans="1:3" x14ac:dyDescent="0.2">
      <c r="A10636" s="82"/>
      <c r="B10636" s="82"/>
      <c r="C10636" s="82"/>
    </row>
    <row r="10637" spans="1:3" x14ac:dyDescent="0.2">
      <c r="A10637" s="82"/>
      <c r="B10637" s="82"/>
      <c r="C10637" s="82"/>
    </row>
    <row r="10638" spans="1:3" x14ac:dyDescent="0.2">
      <c r="A10638" s="82"/>
      <c r="B10638" s="82"/>
      <c r="C10638" s="82"/>
    </row>
    <row r="10639" spans="1:3" x14ac:dyDescent="0.2">
      <c r="A10639" s="82"/>
      <c r="B10639" s="82"/>
      <c r="C10639" s="82"/>
    </row>
    <row r="10640" spans="1:3" x14ac:dyDescent="0.2">
      <c r="A10640" s="82"/>
      <c r="B10640" s="82"/>
      <c r="C10640" s="82"/>
    </row>
    <row r="10641" spans="1:3" x14ac:dyDescent="0.2">
      <c r="A10641" s="82"/>
      <c r="B10641" s="82"/>
      <c r="C10641" s="82"/>
    </row>
    <row r="10642" spans="1:3" x14ac:dyDescent="0.2">
      <c r="A10642" s="82"/>
      <c r="B10642" s="82"/>
      <c r="C10642" s="82"/>
    </row>
    <row r="10643" spans="1:3" x14ac:dyDescent="0.2">
      <c r="A10643" s="82"/>
      <c r="B10643" s="82"/>
      <c r="C10643" s="82"/>
    </row>
    <row r="10644" spans="1:3" x14ac:dyDescent="0.2">
      <c r="A10644" s="82"/>
      <c r="B10644" s="82"/>
      <c r="C10644" s="82"/>
    </row>
    <row r="10645" spans="1:3" x14ac:dyDescent="0.2">
      <c r="A10645" s="82"/>
      <c r="B10645" s="82"/>
      <c r="C10645" s="82"/>
    </row>
    <row r="10646" spans="1:3" x14ac:dyDescent="0.2">
      <c r="A10646" s="82"/>
      <c r="B10646" s="82"/>
      <c r="C10646" s="82"/>
    </row>
    <row r="10647" spans="1:3" x14ac:dyDescent="0.2">
      <c r="A10647" s="82"/>
      <c r="B10647" s="82"/>
      <c r="C10647" s="82"/>
    </row>
    <row r="10648" spans="1:3" x14ac:dyDescent="0.2">
      <c r="A10648" s="82"/>
      <c r="B10648" s="82"/>
      <c r="C10648" s="82"/>
    </row>
    <row r="10649" spans="1:3" x14ac:dyDescent="0.2">
      <c r="A10649" s="82"/>
      <c r="B10649" s="82"/>
      <c r="C10649" s="82"/>
    </row>
    <row r="10650" spans="1:3" x14ac:dyDescent="0.2">
      <c r="A10650" s="82"/>
      <c r="B10650" s="82"/>
      <c r="C10650" s="82"/>
    </row>
    <row r="10651" spans="1:3" x14ac:dyDescent="0.2">
      <c r="A10651" s="82"/>
      <c r="B10651" s="82"/>
      <c r="C10651" s="82"/>
    </row>
    <row r="10652" spans="1:3" x14ac:dyDescent="0.2">
      <c r="A10652" s="82"/>
      <c r="B10652" s="82"/>
      <c r="C10652" s="82"/>
    </row>
    <row r="10653" spans="1:3" x14ac:dyDescent="0.2">
      <c r="A10653" s="82"/>
      <c r="B10653" s="82"/>
      <c r="C10653" s="82"/>
    </row>
    <row r="10654" spans="1:3" x14ac:dyDescent="0.2">
      <c r="A10654" s="82"/>
      <c r="B10654" s="82"/>
      <c r="C10654" s="82"/>
    </row>
    <row r="10655" spans="1:3" x14ac:dyDescent="0.2">
      <c r="A10655" s="82"/>
      <c r="B10655" s="82"/>
      <c r="C10655" s="82"/>
    </row>
    <row r="10656" spans="1:3" x14ac:dyDescent="0.2">
      <c r="A10656" s="82"/>
      <c r="B10656" s="82"/>
      <c r="C10656" s="82"/>
    </row>
    <row r="10657" spans="1:3" x14ac:dyDescent="0.2">
      <c r="A10657" s="82"/>
      <c r="B10657" s="82"/>
      <c r="C10657" s="82"/>
    </row>
    <row r="10658" spans="1:3" x14ac:dyDescent="0.2">
      <c r="A10658" s="82"/>
      <c r="B10658" s="82"/>
      <c r="C10658" s="82"/>
    </row>
    <row r="10659" spans="1:3" x14ac:dyDescent="0.2">
      <c r="A10659" s="82"/>
      <c r="B10659" s="82"/>
      <c r="C10659" s="82"/>
    </row>
    <row r="10660" spans="1:3" x14ac:dyDescent="0.2">
      <c r="A10660" s="82"/>
      <c r="B10660" s="82"/>
      <c r="C10660" s="82"/>
    </row>
    <row r="10661" spans="1:3" x14ac:dyDescent="0.2">
      <c r="A10661" s="82"/>
      <c r="B10661" s="82"/>
      <c r="C10661" s="82"/>
    </row>
    <row r="10662" spans="1:3" x14ac:dyDescent="0.2">
      <c r="A10662" s="82"/>
      <c r="B10662" s="82"/>
      <c r="C10662" s="82"/>
    </row>
    <row r="10663" spans="1:3" x14ac:dyDescent="0.2">
      <c r="A10663" s="82"/>
      <c r="B10663" s="82"/>
      <c r="C10663" s="82"/>
    </row>
    <row r="10664" spans="1:3" x14ac:dyDescent="0.2">
      <c r="A10664" s="82"/>
      <c r="B10664" s="82"/>
      <c r="C10664" s="82"/>
    </row>
    <row r="10665" spans="1:3" x14ac:dyDescent="0.2">
      <c r="A10665" s="82"/>
      <c r="B10665" s="82"/>
      <c r="C10665" s="82"/>
    </row>
    <row r="10666" spans="1:3" x14ac:dyDescent="0.2">
      <c r="A10666" s="82"/>
      <c r="B10666" s="82"/>
      <c r="C10666" s="82"/>
    </row>
    <row r="10667" spans="1:3" x14ac:dyDescent="0.2">
      <c r="A10667" s="82"/>
      <c r="B10667" s="82"/>
      <c r="C10667" s="82"/>
    </row>
    <row r="10668" spans="1:3" x14ac:dyDescent="0.2">
      <c r="A10668" s="82"/>
      <c r="B10668" s="82"/>
      <c r="C10668" s="82"/>
    </row>
    <row r="10669" spans="1:3" x14ac:dyDescent="0.2">
      <c r="A10669" s="82"/>
      <c r="B10669" s="82"/>
      <c r="C10669" s="82"/>
    </row>
    <row r="10670" spans="1:3" x14ac:dyDescent="0.2">
      <c r="A10670" s="82"/>
      <c r="B10670" s="82"/>
      <c r="C10670" s="82"/>
    </row>
    <row r="10671" spans="1:3" x14ac:dyDescent="0.2">
      <c r="A10671" s="82"/>
      <c r="B10671" s="82"/>
      <c r="C10671" s="82"/>
    </row>
    <row r="10672" spans="1:3" x14ac:dyDescent="0.2">
      <c r="A10672" s="82"/>
      <c r="B10672" s="82"/>
      <c r="C10672" s="82"/>
    </row>
    <row r="10673" spans="1:3" x14ac:dyDescent="0.2">
      <c r="A10673" s="82"/>
      <c r="B10673" s="82"/>
      <c r="C10673" s="82"/>
    </row>
    <row r="10674" spans="1:3" x14ac:dyDescent="0.2">
      <c r="A10674" s="82"/>
      <c r="B10674" s="82"/>
      <c r="C10674" s="82"/>
    </row>
    <row r="10675" spans="1:3" x14ac:dyDescent="0.2">
      <c r="A10675" s="82"/>
      <c r="B10675" s="82"/>
      <c r="C10675" s="82"/>
    </row>
    <row r="10676" spans="1:3" x14ac:dyDescent="0.2">
      <c r="A10676" s="82"/>
      <c r="B10676" s="82"/>
      <c r="C10676" s="82"/>
    </row>
    <row r="10677" spans="1:3" x14ac:dyDescent="0.2">
      <c r="A10677" s="82"/>
      <c r="B10677" s="82"/>
      <c r="C10677" s="82"/>
    </row>
    <row r="10678" spans="1:3" x14ac:dyDescent="0.2">
      <c r="A10678" s="82"/>
      <c r="B10678" s="82"/>
      <c r="C10678" s="82"/>
    </row>
    <row r="10679" spans="1:3" x14ac:dyDescent="0.2">
      <c r="A10679" s="82"/>
      <c r="B10679" s="82"/>
      <c r="C10679" s="82"/>
    </row>
    <row r="10680" spans="1:3" x14ac:dyDescent="0.2">
      <c r="A10680" s="82"/>
      <c r="B10680" s="82"/>
      <c r="C10680" s="82"/>
    </row>
    <row r="10681" spans="1:3" x14ac:dyDescent="0.2">
      <c r="A10681" s="82"/>
      <c r="B10681" s="82"/>
      <c r="C10681" s="82"/>
    </row>
    <row r="10682" spans="1:3" x14ac:dyDescent="0.2">
      <c r="A10682" s="82"/>
      <c r="B10682" s="82"/>
      <c r="C10682" s="82"/>
    </row>
    <row r="10683" spans="1:3" x14ac:dyDescent="0.2">
      <c r="A10683" s="82"/>
      <c r="B10683" s="82"/>
      <c r="C10683" s="82"/>
    </row>
    <row r="10684" spans="1:3" x14ac:dyDescent="0.2">
      <c r="A10684" s="82"/>
      <c r="B10684" s="82"/>
      <c r="C10684" s="82"/>
    </row>
    <row r="10685" spans="1:3" x14ac:dyDescent="0.2">
      <c r="A10685" s="82"/>
      <c r="B10685" s="82"/>
      <c r="C10685" s="82"/>
    </row>
    <row r="10686" spans="1:3" x14ac:dyDescent="0.2">
      <c r="A10686" s="82"/>
      <c r="B10686" s="82"/>
      <c r="C10686" s="82"/>
    </row>
    <row r="10687" spans="1:3" x14ac:dyDescent="0.2">
      <c r="A10687" s="82"/>
      <c r="B10687" s="82"/>
      <c r="C10687" s="82"/>
    </row>
    <row r="10688" spans="1:3" x14ac:dyDescent="0.2">
      <c r="A10688" s="82"/>
      <c r="B10688" s="82"/>
      <c r="C10688" s="82"/>
    </row>
    <row r="10689" spans="1:3" x14ac:dyDescent="0.2">
      <c r="A10689" s="82"/>
      <c r="B10689" s="82"/>
      <c r="C10689" s="82"/>
    </row>
    <row r="10690" spans="1:3" x14ac:dyDescent="0.2">
      <c r="A10690" s="82"/>
      <c r="B10690" s="82"/>
      <c r="C10690" s="82"/>
    </row>
    <row r="10691" spans="1:3" x14ac:dyDescent="0.2">
      <c r="A10691" s="82"/>
      <c r="B10691" s="82"/>
      <c r="C10691" s="82"/>
    </row>
    <row r="10692" spans="1:3" x14ac:dyDescent="0.2">
      <c r="A10692" s="82"/>
      <c r="B10692" s="82"/>
      <c r="C10692" s="82"/>
    </row>
    <row r="10693" spans="1:3" x14ac:dyDescent="0.2">
      <c r="A10693" s="82"/>
      <c r="B10693" s="82"/>
      <c r="C10693" s="82"/>
    </row>
    <row r="10694" spans="1:3" x14ac:dyDescent="0.2">
      <c r="A10694" s="82"/>
      <c r="B10694" s="82"/>
      <c r="C10694" s="82"/>
    </row>
    <row r="10695" spans="1:3" x14ac:dyDescent="0.2">
      <c r="A10695" s="82"/>
      <c r="B10695" s="82"/>
      <c r="C10695" s="82"/>
    </row>
    <row r="10696" spans="1:3" x14ac:dyDescent="0.2">
      <c r="A10696" s="82"/>
      <c r="B10696" s="82"/>
      <c r="C10696" s="82"/>
    </row>
    <row r="10697" spans="1:3" x14ac:dyDescent="0.2">
      <c r="A10697" s="82"/>
      <c r="B10697" s="82"/>
      <c r="C10697" s="82"/>
    </row>
    <row r="10698" spans="1:3" x14ac:dyDescent="0.2">
      <c r="A10698" s="82"/>
      <c r="B10698" s="82"/>
      <c r="C10698" s="82"/>
    </row>
    <row r="10699" spans="1:3" x14ac:dyDescent="0.2">
      <c r="A10699" s="82"/>
      <c r="B10699" s="82"/>
      <c r="C10699" s="82"/>
    </row>
    <row r="10700" spans="1:3" x14ac:dyDescent="0.2">
      <c r="A10700" s="82"/>
      <c r="B10700" s="82"/>
      <c r="C10700" s="82"/>
    </row>
    <row r="10701" spans="1:3" x14ac:dyDescent="0.2">
      <c r="A10701" s="82"/>
      <c r="B10701" s="82"/>
      <c r="C10701" s="82"/>
    </row>
    <row r="10702" spans="1:3" x14ac:dyDescent="0.2">
      <c r="A10702" s="82"/>
      <c r="B10702" s="82"/>
      <c r="C10702" s="82"/>
    </row>
    <row r="10703" spans="1:3" x14ac:dyDescent="0.2">
      <c r="A10703" s="82"/>
      <c r="B10703" s="82"/>
      <c r="C10703" s="82"/>
    </row>
    <row r="10704" spans="1:3" x14ac:dyDescent="0.2">
      <c r="A10704" s="82"/>
      <c r="B10704" s="82"/>
      <c r="C10704" s="82"/>
    </row>
    <row r="10705" spans="1:3" x14ac:dyDescent="0.2">
      <c r="A10705" s="82"/>
      <c r="B10705" s="82"/>
      <c r="C10705" s="82"/>
    </row>
    <row r="10706" spans="1:3" x14ac:dyDescent="0.2">
      <c r="A10706" s="82"/>
      <c r="B10706" s="82"/>
      <c r="C10706" s="82"/>
    </row>
    <row r="10707" spans="1:3" x14ac:dyDescent="0.2">
      <c r="A10707" s="82"/>
      <c r="B10707" s="82"/>
      <c r="C10707" s="82"/>
    </row>
    <row r="10708" spans="1:3" x14ac:dyDescent="0.2">
      <c r="A10708" s="82"/>
      <c r="B10708" s="82"/>
      <c r="C10708" s="82"/>
    </row>
    <row r="10709" spans="1:3" x14ac:dyDescent="0.2">
      <c r="A10709" s="82"/>
      <c r="B10709" s="82"/>
      <c r="C10709" s="82"/>
    </row>
    <row r="10710" spans="1:3" x14ac:dyDescent="0.2">
      <c r="A10710" s="82"/>
      <c r="B10710" s="82"/>
      <c r="C10710" s="82"/>
    </row>
    <row r="10711" spans="1:3" x14ac:dyDescent="0.2">
      <c r="A10711" s="82"/>
      <c r="B10711" s="82"/>
      <c r="C10711" s="82"/>
    </row>
    <row r="10712" spans="1:3" x14ac:dyDescent="0.2">
      <c r="A10712" s="82"/>
      <c r="B10712" s="82"/>
      <c r="C10712" s="82"/>
    </row>
    <row r="10713" spans="1:3" x14ac:dyDescent="0.2">
      <c r="A10713" s="82"/>
      <c r="B10713" s="82"/>
      <c r="C10713" s="82"/>
    </row>
    <row r="10714" spans="1:3" x14ac:dyDescent="0.2">
      <c r="A10714" s="82"/>
      <c r="B10714" s="82"/>
      <c r="C10714" s="82"/>
    </row>
    <row r="10715" spans="1:3" x14ac:dyDescent="0.2">
      <c r="A10715" s="82"/>
      <c r="B10715" s="82"/>
      <c r="C10715" s="82"/>
    </row>
    <row r="10716" spans="1:3" x14ac:dyDescent="0.2">
      <c r="A10716" s="82"/>
      <c r="B10716" s="82"/>
      <c r="C10716" s="82"/>
    </row>
    <row r="10717" spans="1:3" x14ac:dyDescent="0.2">
      <c r="A10717" s="82"/>
      <c r="B10717" s="82"/>
      <c r="C10717" s="82"/>
    </row>
    <row r="10718" spans="1:3" x14ac:dyDescent="0.2">
      <c r="A10718" s="82"/>
      <c r="B10718" s="82"/>
      <c r="C10718" s="82"/>
    </row>
    <row r="10719" spans="1:3" x14ac:dyDescent="0.2">
      <c r="A10719" s="82"/>
      <c r="B10719" s="82"/>
      <c r="C10719" s="82"/>
    </row>
    <row r="10720" spans="1:3" x14ac:dyDescent="0.2">
      <c r="A10720" s="82"/>
      <c r="B10720" s="82"/>
      <c r="C10720" s="82"/>
    </row>
    <row r="10721" spans="1:3" x14ac:dyDescent="0.2">
      <c r="A10721" s="82"/>
      <c r="B10721" s="82"/>
      <c r="C10721" s="82"/>
    </row>
    <row r="10722" spans="1:3" x14ac:dyDescent="0.2">
      <c r="A10722" s="82"/>
      <c r="B10722" s="82"/>
      <c r="C10722" s="82"/>
    </row>
    <row r="10723" spans="1:3" x14ac:dyDescent="0.2">
      <c r="A10723" s="82"/>
      <c r="B10723" s="82"/>
      <c r="C10723" s="82"/>
    </row>
    <row r="10724" spans="1:3" x14ac:dyDescent="0.2">
      <c r="A10724" s="82"/>
      <c r="B10724" s="82"/>
      <c r="C10724" s="82"/>
    </row>
    <row r="10725" spans="1:3" x14ac:dyDescent="0.2">
      <c r="A10725" s="82"/>
      <c r="B10725" s="82"/>
      <c r="C10725" s="82"/>
    </row>
    <row r="10726" spans="1:3" x14ac:dyDescent="0.2">
      <c r="A10726" s="82"/>
      <c r="B10726" s="82"/>
      <c r="C10726" s="82"/>
    </row>
    <row r="10727" spans="1:3" x14ac:dyDescent="0.2">
      <c r="A10727" s="82"/>
      <c r="B10727" s="82"/>
      <c r="C10727" s="82"/>
    </row>
    <row r="10728" spans="1:3" x14ac:dyDescent="0.2">
      <c r="A10728" s="82"/>
      <c r="B10728" s="82"/>
      <c r="C10728" s="82"/>
    </row>
    <row r="10729" spans="1:3" x14ac:dyDescent="0.2">
      <c r="A10729" s="82"/>
      <c r="B10729" s="82"/>
      <c r="C10729" s="82"/>
    </row>
    <row r="10730" spans="1:3" x14ac:dyDescent="0.2">
      <c r="A10730" s="82"/>
      <c r="B10730" s="82"/>
      <c r="C10730" s="82"/>
    </row>
    <row r="10731" spans="1:3" x14ac:dyDescent="0.2">
      <c r="A10731" s="82"/>
      <c r="B10731" s="82"/>
      <c r="C10731" s="82"/>
    </row>
    <row r="10732" spans="1:3" x14ac:dyDescent="0.2">
      <c r="A10732" s="82"/>
      <c r="B10732" s="82"/>
      <c r="C10732" s="82"/>
    </row>
    <row r="10733" spans="1:3" x14ac:dyDescent="0.2">
      <c r="A10733" s="82"/>
      <c r="B10733" s="82"/>
      <c r="C10733" s="82"/>
    </row>
    <row r="10734" spans="1:3" x14ac:dyDescent="0.2">
      <c r="A10734" s="82"/>
      <c r="B10734" s="82"/>
      <c r="C10734" s="82"/>
    </row>
    <row r="10735" spans="1:3" x14ac:dyDescent="0.2">
      <c r="A10735" s="82"/>
      <c r="B10735" s="82"/>
      <c r="C10735" s="82"/>
    </row>
    <row r="10736" spans="1:3" x14ac:dyDescent="0.2">
      <c r="A10736" s="82"/>
      <c r="B10736" s="82"/>
      <c r="C10736" s="82"/>
    </row>
    <row r="10737" spans="1:3" x14ac:dyDescent="0.2">
      <c r="A10737" s="82"/>
      <c r="B10737" s="82"/>
      <c r="C10737" s="82"/>
    </row>
    <row r="10738" spans="1:3" x14ac:dyDescent="0.2">
      <c r="A10738" s="82"/>
      <c r="B10738" s="82"/>
      <c r="C10738" s="82"/>
    </row>
    <row r="10739" spans="1:3" x14ac:dyDescent="0.2">
      <c r="A10739" s="82"/>
      <c r="B10739" s="82"/>
      <c r="C10739" s="82"/>
    </row>
    <row r="10740" spans="1:3" x14ac:dyDescent="0.2">
      <c r="A10740" s="82"/>
      <c r="B10740" s="82"/>
      <c r="C10740" s="82"/>
    </row>
    <row r="10741" spans="1:3" x14ac:dyDescent="0.2">
      <c r="A10741" s="82"/>
      <c r="B10741" s="82"/>
      <c r="C10741" s="82"/>
    </row>
    <row r="10742" spans="1:3" x14ac:dyDescent="0.2">
      <c r="A10742" s="82"/>
      <c r="B10742" s="82"/>
      <c r="C10742" s="82"/>
    </row>
    <row r="10743" spans="1:3" x14ac:dyDescent="0.2">
      <c r="A10743" s="82"/>
      <c r="B10743" s="82"/>
      <c r="C10743" s="82"/>
    </row>
    <row r="10744" spans="1:3" x14ac:dyDescent="0.2">
      <c r="A10744" s="82"/>
      <c r="B10744" s="82"/>
      <c r="C10744" s="82"/>
    </row>
    <row r="10745" spans="1:3" x14ac:dyDescent="0.2">
      <c r="A10745" s="82"/>
      <c r="B10745" s="82"/>
      <c r="C10745" s="82"/>
    </row>
    <row r="10746" spans="1:3" x14ac:dyDescent="0.2">
      <c r="A10746" s="82"/>
      <c r="B10746" s="82"/>
      <c r="C10746" s="82"/>
    </row>
    <row r="10747" spans="1:3" x14ac:dyDescent="0.2">
      <c r="A10747" s="82"/>
      <c r="B10747" s="82"/>
      <c r="C10747" s="82"/>
    </row>
    <row r="10748" spans="1:3" x14ac:dyDescent="0.2">
      <c r="A10748" s="82"/>
      <c r="B10748" s="82"/>
      <c r="C10748" s="82"/>
    </row>
    <row r="10749" spans="1:3" x14ac:dyDescent="0.2">
      <c r="A10749" s="82"/>
      <c r="B10749" s="82"/>
      <c r="C10749" s="82"/>
    </row>
    <row r="10750" spans="1:3" x14ac:dyDescent="0.2">
      <c r="A10750" s="82"/>
      <c r="B10750" s="82"/>
      <c r="C10750" s="82"/>
    </row>
    <row r="10751" spans="1:3" x14ac:dyDescent="0.2">
      <c r="A10751" s="82"/>
      <c r="B10751" s="82"/>
      <c r="C10751" s="82"/>
    </row>
    <row r="10752" spans="1:3" x14ac:dyDescent="0.2">
      <c r="A10752" s="82"/>
      <c r="B10752" s="82"/>
      <c r="C10752" s="82"/>
    </row>
    <row r="10753" spans="1:3" x14ac:dyDescent="0.2">
      <c r="A10753" s="82"/>
      <c r="B10753" s="82"/>
      <c r="C10753" s="82"/>
    </row>
    <row r="10754" spans="1:3" x14ac:dyDescent="0.2">
      <c r="A10754" s="82"/>
      <c r="B10754" s="82"/>
      <c r="C10754" s="82"/>
    </row>
    <row r="10755" spans="1:3" x14ac:dyDescent="0.2">
      <c r="A10755" s="82"/>
      <c r="B10755" s="82"/>
      <c r="C10755" s="82"/>
    </row>
    <row r="10756" spans="1:3" x14ac:dyDescent="0.2">
      <c r="A10756" s="82"/>
      <c r="B10756" s="82"/>
      <c r="C10756" s="82"/>
    </row>
    <row r="10757" spans="1:3" x14ac:dyDescent="0.2">
      <c r="A10757" s="82"/>
      <c r="B10757" s="82"/>
      <c r="C10757" s="82"/>
    </row>
    <row r="10758" spans="1:3" x14ac:dyDescent="0.2">
      <c r="A10758" s="82"/>
      <c r="B10758" s="82"/>
      <c r="C10758" s="82"/>
    </row>
    <row r="10759" spans="1:3" x14ac:dyDescent="0.2">
      <c r="A10759" s="82"/>
      <c r="B10759" s="82"/>
      <c r="C10759" s="82"/>
    </row>
    <row r="10760" spans="1:3" x14ac:dyDescent="0.2">
      <c r="A10760" s="82"/>
      <c r="B10760" s="82"/>
      <c r="C10760" s="82"/>
    </row>
    <row r="10761" spans="1:3" x14ac:dyDescent="0.2">
      <c r="A10761" s="82"/>
      <c r="B10761" s="82"/>
      <c r="C10761" s="82"/>
    </row>
    <row r="10762" spans="1:3" x14ac:dyDescent="0.2">
      <c r="A10762" s="82"/>
      <c r="B10762" s="82"/>
      <c r="C10762" s="82"/>
    </row>
    <row r="10763" spans="1:3" x14ac:dyDescent="0.2">
      <c r="A10763" s="82"/>
      <c r="B10763" s="82"/>
      <c r="C10763" s="82"/>
    </row>
    <row r="10764" spans="1:3" x14ac:dyDescent="0.2">
      <c r="A10764" s="82"/>
      <c r="B10764" s="82"/>
      <c r="C10764" s="82"/>
    </row>
    <row r="10765" spans="1:3" x14ac:dyDescent="0.2">
      <c r="A10765" s="82"/>
      <c r="B10765" s="82"/>
      <c r="C10765" s="82"/>
    </row>
    <row r="10766" spans="1:3" x14ac:dyDescent="0.2">
      <c r="A10766" s="82"/>
      <c r="B10766" s="82"/>
      <c r="C10766" s="82"/>
    </row>
    <row r="10767" spans="1:3" x14ac:dyDescent="0.2">
      <c r="A10767" s="82"/>
      <c r="B10767" s="82"/>
      <c r="C10767" s="82"/>
    </row>
    <row r="10768" spans="1:3" x14ac:dyDescent="0.2">
      <c r="A10768" s="82"/>
      <c r="B10768" s="82"/>
      <c r="C10768" s="82"/>
    </row>
    <row r="10769" spans="1:3" x14ac:dyDescent="0.2">
      <c r="A10769" s="82"/>
      <c r="B10769" s="82"/>
      <c r="C10769" s="82"/>
    </row>
    <row r="10770" spans="1:3" x14ac:dyDescent="0.2">
      <c r="A10770" s="82"/>
      <c r="B10770" s="82"/>
      <c r="C10770" s="82"/>
    </row>
    <row r="10771" spans="1:3" x14ac:dyDescent="0.2">
      <c r="A10771" s="82"/>
      <c r="B10771" s="82"/>
      <c r="C10771" s="82"/>
    </row>
    <row r="10772" spans="1:3" x14ac:dyDescent="0.2">
      <c r="A10772" s="82"/>
      <c r="B10772" s="82"/>
      <c r="C10772" s="82"/>
    </row>
    <row r="10773" spans="1:3" x14ac:dyDescent="0.2">
      <c r="A10773" s="82"/>
      <c r="B10773" s="82"/>
      <c r="C10773" s="82"/>
    </row>
    <row r="10774" spans="1:3" x14ac:dyDescent="0.2">
      <c r="A10774" s="82"/>
      <c r="B10774" s="82"/>
      <c r="C10774" s="82"/>
    </row>
    <row r="10775" spans="1:3" x14ac:dyDescent="0.2">
      <c r="A10775" s="82"/>
      <c r="B10775" s="82"/>
      <c r="C10775" s="82"/>
    </row>
    <row r="10776" spans="1:3" x14ac:dyDescent="0.2">
      <c r="A10776" s="82"/>
      <c r="B10776" s="82"/>
      <c r="C10776" s="82"/>
    </row>
    <row r="10777" spans="1:3" x14ac:dyDescent="0.2">
      <c r="A10777" s="82"/>
      <c r="B10777" s="82"/>
      <c r="C10777" s="82"/>
    </row>
    <row r="10778" spans="1:3" x14ac:dyDescent="0.2">
      <c r="A10778" s="82"/>
      <c r="B10778" s="82"/>
      <c r="C10778" s="82"/>
    </row>
    <row r="10779" spans="1:3" x14ac:dyDescent="0.2">
      <c r="A10779" s="82"/>
      <c r="B10779" s="82"/>
      <c r="C10779" s="82"/>
    </row>
    <row r="10780" spans="1:3" x14ac:dyDescent="0.2">
      <c r="A10780" s="82"/>
      <c r="B10780" s="82"/>
      <c r="C10780" s="82"/>
    </row>
    <row r="10781" spans="1:3" x14ac:dyDescent="0.2">
      <c r="A10781" s="82"/>
      <c r="B10781" s="82"/>
      <c r="C10781" s="82"/>
    </row>
    <row r="10782" spans="1:3" x14ac:dyDescent="0.2">
      <c r="A10782" s="82"/>
      <c r="B10782" s="82"/>
      <c r="C10782" s="82"/>
    </row>
    <row r="10783" spans="1:3" x14ac:dyDescent="0.2">
      <c r="A10783" s="82"/>
      <c r="B10783" s="82"/>
      <c r="C10783" s="82"/>
    </row>
    <row r="10784" spans="1:3" x14ac:dyDescent="0.2">
      <c r="A10784" s="82"/>
      <c r="B10784" s="82"/>
      <c r="C10784" s="82"/>
    </row>
    <row r="10785" spans="1:3" x14ac:dyDescent="0.2">
      <c r="A10785" s="82"/>
      <c r="B10785" s="82"/>
      <c r="C10785" s="82"/>
    </row>
    <row r="10786" spans="1:3" x14ac:dyDescent="0.2">
      <c r="A10786" s="82"/>
      <c r="B10786" s="82"/>
      <c r="C10786" s="82"/>
    </row>
    <row r="10787" spans="1:3" x14ac:dyDescent="0.2">
      <c r="A10787" s="82"/>
      <c r="B10787" s="82"/>
      <c r="C10787" s="82"/>
    </row>
    <row r="10788" spans="1:3" x14ac:dyDescent="0.2">
      <c r="A10788" s="82"/>
      <c r="B10788" s="82"/>
      <c r="C10788" s="82"/>
    </row>
    <row r="10789" spans="1:3" x14ac:dyDescent="0.2">
      <c r="A10789" s="82"/>
      <c r="B10789" s="82"/>
      <c r="C10789" s="82"/>
    </row>
    <row r="10790" spans="1:3" x14ac:dyDescent="0.2">
      <c r="A10790" s="82"/>
      <c r="B10790" s="82"/>
      <c r="C10790" s="82"/>
    </row>
    <row r="10791" spans="1:3" x14ac:dyDescent="0.2">
      <c r="A10791" s="82"/>
      <c r="B10791" s="82"/>
      <c r="C10791" s="82"/>
    </row>
    <row r="10792" spans="1:3" x14ac:dyDescent="0.2">
      <c r="A10792" s="82"/>
      <c r="B10792" s="82"/>
      <c r="C10792" s="82"/>
    </row>
    <row r="10793" spans="1:3" x14ac:dyDescent="0.2">
      <c r="A10793" s="82"/>
      <c r="B10793" s="82"/>
      <c r="C10793" s="82"/>
    </row>
    <row r="10794" spans="1:3" x14ac:dyDescent="0.2">
      <c r="A10794" s="82"/>
      <c r="B10794" s="82"/>
      <c r="C10794" s="82"/>
    </row>
    <row r="10795" spans="1:3" x14ac:dyDescent="0.2">
      <c r="A10795" s="82"/>
      <c r="B10795" s="82"/>
      <c r="C10795" s="82"/>
    </row>
    <row r="10796" spans="1:3" x14ac:dyDescent="0.2">
      <c r="A10796" s="82"/>
      <c r="B10796" s="82"/>
      <c r="C10796" s="82"/>
    </row>
    <row r="10797" spans="1:3" x14ac:dyDescent="0.2">
      <c r="A10797" s="82"/>
      <c r="B10797" s="82"/>
      <c r="C10797" s="82"/>
    </row>
    <row r="10798" spans="1:3" x14ac:dyDescent="0.2">
      <c r="A10798" s="82"/>
      <c r="B10798" s="82"/>
      <c r="C10798" s="82"/>
    </row>
    <row r="10799" spans="1:3" x14ac:dyDescent="0.2">
      <c r="A10799" s="82"/>
      <c r="B10799" s="82"/>
      <c r="C10799" s="82"/>
    </row>
    <row r="10800" spans="1:3" x14ac:dyDescent="0.2">
      <c r="A10800" s="82"/>
      <c r="B10800" s="82"/>
      <c r="C10800" s="82"/>
    </row>
    <row r="10801" spans="1:3" x14ac:dyDescent="0.2">
      <c r="A10801" s="82"/>
      <c r="B10801" s="82"/>
      <c r="C10801" s="82"/>
    </row>
    <row r="10802" spans="1:3" x14ac:dyDescent="0.2">
      <c r="A10802" s="82"/>
      <c r="B10802" s="82"/>
      <c r="C10802" s="82"/>
    </row>
    <row r="10803" spans="1:3" x14ac:dyDescent="0.2">
      <c r="A10803" s="82"/>
      <c r="B10803" s="82"/>
      <c r="C10803" s="82"/>
    </row>
    <row r="10804" spans="1:3" x14ac:dyDescent="0.2">
      <c r="A10804" s="82"/>
      <c r="B10804" s="82"/>
      <c r="C10804" s="82"/>
    </row>
    <row r="10805" spans="1:3" x14ac:dyDescent="0.2">
      <c r="A10805" s="82"/>
      <c r="B10805" s="82"/>
      <c r="C10805" s="82"/>
    </row>
    <row r="10806" spans="1:3" x14ac:dyDescent="0.2">
      <c r="A10806" s="82"/>
      <c r="B10806" s="82"/>
      <c r="C10806" s="82"/>
    </row>
    <row r="10807" spans="1:3" x14ac:dyDescent="0.2">
      <c r="A10807" s="82"/>
      <c r="B10807" s="82"/>
      <c r="C10807" s="82"/>
    </row>
    <row r="10808" spans="1:3" x14ac:dyDescent="0.2">
      <c r="A10808" s="82"/>
      <c r="B10808" s="82"/>
      <c r="C10808" s="82"/>
    </row>
    <row r="10809" spans="1:3" x14ac:dyDescent="0.2">
      <c r="A10809" s="82"/>
      <c r="B10809" s="82"/>
      <c r="C10809" s="82"/>
    </row>
    <row r="10810" spans="1:3" x14ac:dyDescent="0.2">
      <c r="A10810" s="82"/>
      <c r="B10810" s="82"/>
      <c r="C10810" s="82"/>
    </row>
    <row r="10811" spans="1:3" x14ac:dyDescent="0.2">
      <c r="A10811" s="82"/>
      <c r="B10811" s="82"/>
      <c r="C10811" s="82"/>
    </row>
    <row r="10812" spans="1:3" x14ac:dyDescent="0.2">
      <c r="A10812" s="82"/>
      <c r="B10812" s="82"/>
      <c r="C10812" s="82"/>
    </row>
    <row r="10813" spans="1:3" x14ac:dyDescent="0.2">
      <c r="A10813" s="82"/>
      <c r="B10813" s="82"/>
      <c r="C10813" s="82"/>
    </row>
    <row r="10814" spans="1:3" x14ac:dyDescent="0.2">
      <c r="A10814" s="82"/>
      <c r="B10814" s="82"/>
      <c r="C10814" s="82"/>
    </row>
    <row r="10815" spans="1:3" x14ac:dyDescent="0.2">
      <c r="A10815" s="82"/>
      <c r="B10815" s="82"/>
      <c r="C10815" s="82"/>
    </row>
    <row r="10816" spans="1:3" x14ac:dyDescent="0.2">
      <c r="A10816" s="82"/>
      <c r="B10816" s="82"/>
      <c r="C10816" s="82"/>
    </row>
    <row r="10817" spans="1:3" x14ac:dyDescent="0.2">
      <c r="A10817" s="82"/>
      <c r="B10817" s="82"/>
      <c r="C10817" s="82"/>
    </row>
    <row r="10818" spans="1:3" x14ac:dyDescent="0.2">
      <c r="A10818" s="82"/>
      <c r="B10818" s="82"/>
      <c r="C10818" s="82"/>
    </row>
    <row r="10819" spans="1:3" x14ac:dyDescent="0.2">
      <c r="A10819" s="82"/>
      <c r="B10819" s="82"/>
      <c r="C10819" s="82"/>
    </row>
    <row r="10820" spans="1:3" x14ac:dyDescent="0.2">
      <c r="A10820" s="82"/>
      <c r="B10820" s="82"/>
      <c r="C10820" s="82"/>
    </row>
    <row r="10821" spans="1:3" x14ac:dyDescent="0.2">
      <c r="A10821" s="82"/>
      <c r="B10821" s="82"/>
      <c r="C10821" s="82"/>
    </row>
    <row r="10822" spans="1:3" x14ac:dyDescent="0.2">
      <c r="A10822" s="82"/>
      <c r="B10822" s="82"/>
      <c r="C10822" s="82"/>
    </row>
    <row r="10823" spans="1:3" x14ac:dyDescent="0.2">
      <c r="A10823" s="82"/>
      <c r="B10823" s="82"/>
      <c r="C10823" s="82"/>
    </row>
    <row r="10824" spans="1:3" x14ac:dyDescent="0.2">
      <c r="A10824" s="82"/>
      <c r="B10824" s="82"/>
      <c r="C10824" s="82"/>
    </row>
    <row r="10825" spans="1:3" x14ac:dyDescent="0.2">
      <c r="A10825" s="82"/>
      <c r="B10825" s="82"/>
      <c r="C10825" s="82"/>
    </row>
    <row r="10826" spans="1:3" x14ac:dyDescent="0.2">
      <c r="A10826" s="82"/>
      <c r="B10826" s="82"/>
      <c r="C10826" s="82"/>
    </row>
    <row r="10827" spans="1:3" x14ac:dyDescent="0.2">
      <c r="A10827" s="82"/>
      <c r="B10827" s="82"/>
      <c r="C10827" s="82"/>
    </row>
    <row r="10828" spans="1:3" x14ac:dyDescent="0.2">
      <c r="A10828" s="82"/>
      <c r="B10828" s="82"/>
      <c r="C10828" s="82"/>
    </row>
    <row r="10829" spans="1:3" x14ac:dyDescent="0.2">
      <c r="A10829" s="82"/>
      <c r="B10829" s="82"/>
      <c r="C10829" s="82"/>
    </row>
    <row r="10830" spans="1:3" x14ac:dyDescent="0.2">
      <c r="A10830" s="82"/>
      <c r="B10830" s="82"/>
      <c r="C10830" s="82"/>
    </row>
    <row r="10831" spans="1:3" x14ac:dyDescent="0.2">
      <c r="A10831" s="82"/>
      <c r="B10831" s="82"/>
      <c r="C10831" s="82"/>
    </row>
    <row r="10832" spans="1:3" x14ac:dyDescent="0.2">
      <c r="A10832" s="82"/>
      <c r="B10832" s="82"/>
      <c r="C10832" s="82"/>
    </row>
    <row r="10833" spans="1:3" x14ac:dyDescent="0.2">
      <c r="A10833" s="82"/>
      <c r="B10833" s="82"/>
      <c r="C10833" s="82"/>
    </row>
    <row r="10834" spans="1:3" x14ac:dyDescent="0.2">
      <c r="A10834" s="82"/>
      <c r="B10834" s="82"/>
      <c r="C10834" s="82"/>
    </row>
    <row r="10835" spans="1:3" x14ac:dyDescent="0.2">
      <c r="A10835" s="82"/>
      <c r="B10835" s="82"/>
      <c r="C10835" s="82"/>
    </row>
    <row r="10836" spans="1:3" x14ac:dyDescent="0.2">
      <c r="A10836" s="82"/>
      <c r="B10836" s="82"/>
      <c r="C10836" s="82"/>
    </row>
    <row r="10837" spans="1:3" x14ac:dyDescent="0.2">
      <c r="A10837" s="82"/>
      <c r="B10837" s="82"/>
      <c r="C10837" s="82"/>
    </row>
    <row r="10838" spans="1:3" x14ac:dyDescent="0.2">
      <c r="A10838" s="82"/>
      <c r="B10838" s="82"/>
      <c r="C10838" s="82"/>
    </row>
    <row r="10839" spans="1:3" x14ac:dyDescent="0.2">
      <c r="A10839" s="82"/>
      <c r="B10839" s="82"/>
      <c r="C10839" s="82"/>
    </row>
    <row r="10840" spans="1:3" x14ac:dyDescent="0.2">
      <c r="A10840" s="82"/>
      <c r="B10840" s="82"/>
      <c r="C10840" s="82"/>
    </row>
    <row r="10841" spans="1:3" x14ac:dyDescent="0.2">
      <c r="A10841" s="82"/>
      <c r="B10841" s="82"/>
      <c r="C10841" s="82"/>
    </row>
    <row r="10842" spans="1:3" x14ac:dyDescent="0.2">
      <c r="A10842" s="82"/>
      <c r="B10842" s="82"/>
      <c r="C10842" s="82"/>
    </row>
    <row r="10843" spans="1:3" x14ac:dyDescent="0.2">
      <c r="A10843" s="82"/>
      <c r="B10843" s="82"/>
      <c r="C10843" s="82"/>
    </row>
    <row r="10844" spans="1:3" x14ac:dyDescent="0.2">
      <c r="A10844" s="82"/>
      <c r="B10844" s="82"/>
      <c r="C10844" s="82"/>
    </row>
    <row r="10845" spans="1:3" x14ac:dyDescent="0.2">
      <c r="A10845" s="82"/>
      <c r="B10845" s="82"/>
      <c r="C10845" s="82"/>
    </row>
    <row r="10846" spans="1:3" x14ac:dyDescent="0.2">
      <c r="A10846" s="82"/>
      <c r="B10846" s="82"/>
      <c r="C10846" s="82"/>
    </row>
    <row r="10847" spans="1:3" x14ac:dyDescent="0.2">
      <c r="A10847" s="82"/>
      <c r="B10847" s="82"/>
      <c r="C10847" s="82"/>
    </row>
    <row r="10848" spans="1:3" x14ac:dyDescent="0.2">
      <c r="A10848" s="82"/>
      <c r="B10848" s="82"/>
      <c r="C10848" s="82"/>
    </row>
    <row r="10849" spans="1:3" x14ac:dyDescent="0.2">
      <c r="A10849" s="82"/>
      <c r="B10849" s="82"/>
      <c r="C10849" s="82"/>
    </row>
    <row r="10850" spans="1:3" x14ac:dyDescent="0.2">
      <c r="A10850" s="82"/>
      <c r="B10850" s="82"/>
      <c r="C10850" s="82"/>
    </row>
    <row r="10851" spans="1:3" x14ac:dyDescent="0.2">
      <c r="A10851" s="82"/>
      <c r="B10851" s="82"/>
      <c r="C10851" s="82"/>
    </row>
    <row r="10852" spans="1:3" x14ac:dyDescent="0.2">
      <c r="A10852" s="82"/>
      <c r="B10852" s="82"/>
      <c r="C10852" s="82"/>
    </row>
    <row r="10853" spans="1:3" x14ac:dyDescent="0.2">
      <c r="A10853" s="82"/>
      <c r="B10853" s="82"/>
      <c r="C10853" s="82"/>
    </row>
    <row r="10854" spans="1:3" x14ac:dyDescent="0.2">
      <c r="A10854" s="82"/>
      <c r="B10854" s="82"/>
      <c r="C10854" s="82"/>
    </row>
    <row r="10855" spans="1:3" x14ac:dyDescent="0.2">
      <c r="A10855" s="82"/>
      <c r="B10855" s="82"/>
      <c r="C10855" s="82"/>
    </row>
    <row r="10856" spans="1:3" x14ac:dyDescent="0.2">
      <c r="A10856" s="82"/>
      <c r="B10856" s="82"/>
      <c r="C10856" s="82"/>
    </row>
    <row r="10857" spans="1:3" x14ac:dyDescent="0.2">
      <c r="A10857" s="82"/>
      <c r="B10857" s="82"/>
      <c r="C10857" s="82"/>
    </row>
    <row r="10858" spans="1:3" x14ac:dyDescent="0.2">
      <c r="A10858" s="82"/>
      <c r="B10858" s="82"/>
      <c r="C10858" s="82"/>
    </row>
    <row r="10859" spans="1:3" x14ac:dyDescent="0.2">
      <c r="A10859" s="82"/>
      <c r="B10859" s="82"/>
      <c r="C10859" s="82"/>
    </row>
    <row r="10860" spans="1:3" x14ac:dyDescent="0.2">
      <c r="A10860" s="82"/>
      <c r="B10860" s="82"/>
      <c r="C10860" s="82"/>
    </row>
    <row r="10861" spans="1:3" x14ac:dyDescent="0.2">
      <c r="A10861" s="82"/>
      <c r="B10861" s="82"/>
      <c r="C10861" s="82"/>
    </row>
    <row r="10862" spans="1:3" x14ac:dyDescent="0.2">
      <c r="A10862" s="82"/>
      <c r="B10862" s="82"/>
      <c r="C10862" s="82"/>
    </row>
    <row r="10863" spans="1:3" x14ac:dyDescent="0.2">
      <c r="A10863" s="82"/>
      <c r="B10863" s="82"/>
      <c r="C10863" s="82"/>
    </row>
    <row r="10864" spans="1:3" x14ac:dyDescent="0.2">
      <c r="A10864" s="82"/>
      <c r="B10864" s="82"/>
      <c r="C10864" s="82"/>
    </row>
    <row r="10865" spans="1:3" x14ac:dyDescent="0.2">
      <c r="A10865" s="82"/>
      <c r="B10865" s="82"/>
      <c r="C10865" s="82"/>
    </row>
    <row r="10866" spans="1:3" x14ac:dyDescent="0.2">
      <c r="A10866" s="82"/>
      <c r="B10866" s="82"/>
      <c r="C10866" s="82"/>
    </row>
    <row r="10867" spans="1:3" x14ac:dyDescent="0.2">
      <c r="A10867" s="82"/>
      <c r="B10867" s="82"/>
      <c r="C10867" s="82"/>
    </row>
    <row r="10868" spans="1:3" x14ac:dyDescent="0.2">
      <c r="A10868" s="82"/>
      <c r="B10868" s="82"/>
      <c r="C10868" s="82"/>
    </row>
    <row r="10869" spans="1:3" x14ac:dyDescent="0.2">
      <c r="A10869" s="82"/>
      <c r="B10869" s="82"/>
      <c r="C10869" s="82"/>
    </row>
    <row r="10870" spans="1:3" x14ac:dyDescent="0.2">
      <c r="A10870" s="82"/>
      <c r="B10870" s="82"/>
      <c r="C10870" s="82"/>
    </row>
    <row r="10871" spans="1:3" x14ac:dyDescent="0.2">
      <c r="A10871" s="82"/>
      <c r="B10871" s="82"/>
      <c r="C10871" s="82"/>
    </row>
    <row r="10872" spans="1:3" x14ac:dyDescent="0.2">
      <c r="A10872" s="82"/>
      <c r="B10872" s="82"/>
      <c r="C10872" s="82"/>
    </row>
    <row r="10873" spans="1:3" x14ac:dyDescent="0.2">
      <c r="A10873" s="82"/>
      <c r="B10873" s="82"/>
      <c r="C10873" s="82"/>
    </row>
    <row r="10874" spans="1:3" x14ac:dyDescent="0.2">
      <c r="A10874" s="82"/>
      <c r="B10874" s="82"/>
      <c r="C10874" s="82"/>
    </row>
    <row r="10875" spans="1:3" x14ac:dyDescent="0.2">
      <c r="A10875" s="82"/>
      <c r="B10875" s="82"/>
      <c r="C10875" s="82"/>
    </row>
    <row r="10876" spans="1:3" x14ac:dyDescent="0.2">
      <c r="A10876" s="82"/>
      <c r="B10876" s="82"/>
      <c r="C10876" s="82"/>
    </row>
    <row r="10877" spans="1:3" x14ac:dyDescent="0.2">
      <c r="A10877" s="82"/>
      <c r="B10877" s="82"/>
      <c r="C10877" s="82"/>
    </row>
    <row r="10878" spans="1:3" x14ac:dyDescent="0.2">
      <c r="A10878" s="82"/>
      <c r="B10878" s="82"/>
      <c r="C10878" s="82"/>
    </row>
    <row r="10879" spans="1:3" x14ac:dyDescent="0.2">
      <c r="A10879" s="82"/>
      <c r="B10879" s="82"/>
      <c r="C10879" s="82"/>
    </row>
    <row r="10880" spans="1:3" x14ac:dyDescent="0.2">
      <c r="A10880" s="82"/>
      <c r="B10880" s="82"/>
      <c r="C10880" s="82"/>
    </row>
    <row r="10881" spans="1:3" x14ac:dyDescent="0.2">
      <c r="A10881" s="82"/>
      <c r="B10881" s="82"/>
      <c r="C10881" s="82"/>
    </row>
    <row r="10882" spans="1:3" x14ac:dyDescent="0.2">
      <c r="A10882" s="82"/>
      <c r="B10882" s="82"/>
      <c r="C10882" s="82"/>
    </row>
    <row r="10883" spans="1:3" x14ac:dyDescent="0.2">
      <c r="A10883" s="82"/>
      <c r="B10883" s="82"/>
      <c r="C10883" s="82"/>
    </row>
    <row r="10884" spans="1:3" x14ac:dyDescent="0.2">
      <c r="A10884" s="82"/>
      <c r="B10884" s="82"/>
      <c r="C10884" s="82"/>
    </row>
    <row r="10885" spans="1:3" x14ac:dyDescent="0.2">
      <c r="A10885" s="82"/>
      <c r="B10885" s="82"/>
      <c r="C10885" s="82"/>
    </row>
    <row r="10886" spans="1:3" x14ac:dyDescent="0.2">
      <c r="A10886" s="82"/>
      <c r="B10886" s="82"/>
      <c r="C10886" s="82"/>
    </row>
    <row r="10887" spans="1:3" x14ac:dyDescent="0.2">
      <c r="A10887" s="82"/>
      <c r="B10887" s="82"/>
      <c r="C10887" s="82"/>
    </row>
    <row r="10888" spans="1:3" x14ac:dyDescent="0.2">
      <c r="A10888" s="82"/>
      <c r="B10888" s="82"/>
      <c r="C10888" s="82"/>
    </row>
    <row r="10889" spans="1:3" x14ac:dyDescent="0.2">
      <c r="A10889" s="82"/>
      <c r="B10889" s="82"/>
      <c r="C10889" s="82"/>
    </row>
    <row r="10890" spans="1:3" x14ac:dyDescent="0.2">
      <c r="A10890" s="82"/>
      <c r="B10890" s="82"/>
      <c r="C10890" s="82"/>
    </row>
    <row r="10891" spans="1:3" x14ac:dyDescent="0.2">
      <c r="A10891" s="82"/>
      <c r="B10891" s="82"/>
      <c r="C10891" s="82"/>
    </row>
    <row r="10892" spans="1:3" x14ac:dyDescent="0.2">
      <c r="A10892" s="82"/>
      <c r="B10892" s="82"/>
      <c r="C10892" s="82"/>
    </row>
    <row r="10893" spans="1:3" x14ac:dyDescent="0.2">
      <c r="A10893" s="82"/>
      <c r="B10893" s="82"/>
      <c r="C10893" s="82"/>
    </row>
    <row r="10894" spans="1:3" x14ac:dyDescent="0.2">
      <c r="A10894" s="82"/>
      <c r="B10894" s="82"/>
      <c r="C10894" s="82"/>
    </row>
    <row r="10895" spans="1:3" x14ac:dyDescent="0.2">
      <c r="A10895" s="82"/>
      <c r="B10895" s="82"/>
      <c r="C10895" s="82"/>
    </row>
    <row r="10896" spans="1:3" x14ac:dyDescent="0.2">
      <c r="A10896" s="82"/>
      <c r="B10896" s="82"/>
      <c r="C10896" s="82"/>
    </row>
    <row r="10897" spans="1:3" x14ac:dyDescent="0.2">
      <c r="A10897" s="82"/>
      <c r="B10897" s="82"/>
      <c r="C10897" s="82"/>
    </row>
    <row r="10898" spans="1:3" x14ac:dyDescent="0.2">
      <c r="A10898" s="82"/>
      <c r="B10898" s="82"/>
      <c r="C10898" s="82"/>
    </row>
    <row r="10899" spans="1:3" x14ac:dyDescent="0.2">
      <c r="A10899" s="82"/>
      <c r="B10899" s="82"/>
      <c r="C10899" s="82"/>
    </row>
    <row r="10900" spans="1:3" x14ac:dyDescent="0.2">
      <c r="A10900" s="82"/>
      <c r="B10900" s="82"/>
      <c r="C10900" s="82"/>
    </row>
    <row r="10901" spans="1:3" x14ac:dyDescent="0.2">
      <c r="A10901" s="82"/>
      <c r="B10901" s="82"/>
      <c r="C10901" s="82"/>
    </row>
    <row r="10902" spans="1:3" x14ac:dyDescent="0.2">
      <c r="A10902" s="82"/>
      <c r="B10902" s="82"/>
      <c r="C10902" s="82"/>
    </row>
    <row r="10903" spans="1:3" x14ac:dyDescent="0.2">
      <c r="A10903" s="82"/>
      <c r="B10903" s="82"/>
      <c r="C10903" s="82"/>
    </row>
    <row r="10904" spans="1:3" x14ac:dyDescent="0.2">
      <c r="A10904" s="82"/>
      <c r="B10904" s="82"/>
      <c r="C10904" s="82"/>
    </row>
    <row r="10905" spans="1:3" x14ac:dyDescent="0.2">
      <c r="A10905" s="82"/>
      <c r="B10905" s="82"/>
      <c r="C10905" s="82"/>
    </row>
    <row r="10906" spans="1:3" x14ac:dyDescent="0.2">
      <c r="A10906" s="82"/>
      <c r="B10906" s="82"/>
      <c r="C10906" s="82"/>
    </row>
    <row r="10907" spans="1:3" x14ac:dyDescent="0.2">
      <c r="A10907" s="82"/>
      <c r="B10907" s="82"/>
      <c r="C10907" s="82"/>
    </row>
    <row r="10908" spans="1:3" x14ac:dyDescent="0.2">
      <c r="A10908" s="82"/>
      <c r="B10908" s="82"/>
      <c r="C10908" s="82"/>
    </row>
    <row r="10909" spans="1:3" x14ac:dyDescent="0.2">
      <c r="A10909" s="82"/>
      <c r="B10909" s="82"/>
      <c r="C10909" s="82"/>
    </row>
    <row r="10910" spans="1:3" x14ac:dyDescent="0.2">
      <c r="A10910" s="82"/>
      <c r="B10910" s="82"/>
      <c r="C10910" s="82"/>
    </row>
    <row r="10911" spans="1:3" x14ac:dyDescent="0.2">
      <c r="A10911" s="82"/>
      <c r="B10911" s="82"/>
      <c r="C10911" s="82"/>
    </row>
    <row r="10912" spans="1:3" x14ac:dyDescent="0.2">
      <c r="A10912" s="82"/>
      <c r="B10912" s="82"/>
      <c r="C10912" s="82"/>
    </row>
    <row r="10913" spans="1:3" x14ac:dyDescent="0.2">
      <c r="A10913" s="82"/>
      <c r="B10913" s="82"/>
      <c r="C10913" s="82"/>
    </row>
    <row r="10914" spans="1:3" x14ac:dyDescent="0.2">
      <c r="A10914" s="82"/>
      <c r="B10914" s="82"/>
      <c r="C10914" s="82"/>
    </row>
    <row r="10915" spans="1:3" x14ac:dyDescent="0.2">
      <c r="A10915" s="82"/>
      <c r="B10915" s="82"/>
      <c r="C10915" s="82"/>
    </row>
    <row r="10916" spans="1:3" x14ac:dyDescent="0.2">
      <c r="A10916" s="82"/>
      <c r="B10916" s="82"/>
      <c r="C10916" s="82"/>
    </row>
    <row r="10917" spans="1:3" x14ac:dyDescent="0.2">
      <c r="A10917" s="82"/>
      <c r="B10917" s="82"/>
      <c r="C10917" s="82"/>
    </row>
    <row r="10918" spans="1:3" x14ac:dyDescent="0.2">
      <c r="A10918" s="82"/>
      <c r="B10918" s="82"/>
      <c r="C10918" s="82"/>
    </row>
    <row r="10919" spans="1:3" x14ac:dyDescent="0.2">
      <c r="A10919" s="82"/>
      <c r="B10919" s="82"/>
      <c r="C10919" s="82"/>
    </row>
    <row r="10920" spans="1:3" x14ac:dyDescent="0.2">
      <c r="A10920" s="82"/>
      <c r="B10920" s="82"/>
      <c r="C10920" s="82"/>
    </row>
    <row r="10921" spans="1:3" x14ac:dyDescent="0.2">
      <c r="A10921" s="82"/>
      <c r="B10921" s="82"/>
      <c r="C10921" s="82"/>
    </row>
    <row r="10922" spans="1:3" x14ac:dyDescent="0.2">
      <c r="A10922" s="82"/>
      <c r="B10922" s="82"/>
      <c r="C10922" s="82"/>
    </row>
    <row r="10923" spans="1:3" x14ac:dyDescent="0.2">
      <c r="A10923" s="82"/>
      <c r="B10923" s="82"/>
      <c r="C10923" s="82"/>
    </row>
    <row r="10924" spans="1:3" x14ac:dyDescent="0.2">
      <c r="A10924" s="82"/>
      <c r="B10924" s="82"/>
      <c r="C10924" s="82"/>
    </row>
    <row r="10925" spans="1:3" x14ac:dyDescent="0.2">
      <c r="A10925" s="82"/>
      <c r="B10925" s="82"/>
      <c r="C10925" s="82"/>
    </row>
    <row r="10926" spans="1:3" x14ac:dyDescent="0.2">
      <c r="A10926" s="82"/>
      <c r="B10926" s="82"/>
      <c r="C10926" s="82"/>
    </row>
    <row r="10927" spans="1:3" x14ac:dyDescent="0.2">
      <c r="A10927" s="82"/>
      <c r="B10927" s="82"/>
      <c r="C10927" s="82"/>
    </row>
    <row r="10928" spans="1:3" x14ac:dyDescent="0.2">
      <c r="A10928" s="82"/>
      <c r="B10928" s="82"/>
      <c r="C10928" s="82"/>
    </row>
    <row r="10929" spans="1:3" x14ac:dyDescent="0.2">
      <c r="A10929" s="82"/>
      <c r="B10929" s="82"/>
      <c r="C10929" s="82"/>
    </row>
    <row r="10930" spans="1:3" x14ac:dyDescent="0.2">
      <c r="A10930" s="82"/>
      <c r="B10930" s="82"/>
      <c r="C10930" s="82"/>
    </row>
    <row r="10931" spans="1:3" x14ac:dyDescent="0.2">
      <c r="A10931" s="82"/>
      <c r="B10931" s="82"/>
      <c r="C10931" s="82"/>
    </row>
    <row r="10932" spans="1:3" x14ac:dyDescent="0.2">
      <c r="A10932" s="82"/>
      <c r="B10932" s="82"/>
      <c r="C10932" s="82"/>
    </row>
    <row r="10933" spans="1:3" x14ac:dyDescent="0.2">
      <c r="A10933" s="82"/>
      <c r="B10933" s="82"/>
      <c r="C10933" s="82"/>
    </row>
    <row r="10934" spans="1:3" x14ac:dyDescent="0.2">
      <c r="A10934" s="82"/>
      <c r="B10934" s="82"/>
      <c r="C10934" s="82"/>
    </row>
    <row r="10935" spans="1:3" x14ac:dyDescent="0.2">
      <c r="A10935" s="82"/>
      <c r="B10935" s="82"/>
      <c r="C10935" s="82"/>
    </row>
    <row r="10936" spans="1:3" x14ac:dyDescent="0.2">
      <c r="A10936" s="82"/>
      <c r="B10936" s="82"/>
      <c r="C10936" s="82"/>
    </row>
    <row r="10937" spans="1:3" x14ac:dyDescent="0.2">
      <c r="A10937" s="82"/>
      <c r="B10937" s="82"/>
      <c r="C10937" s="82"/>
    </row>
    <row r="10938" spans="1:3" x14ac:dyDescent="0.2">
      <c r="A10938" s="82"/>
      <c r="B10938" s="82"/>
      <c r="C10938" s="82"/>
    </row>
    <row r="10939" spans="1:3" x14ac:dyDescent="0.2">
      <c r="A10939" s="82"/>
      <c r="B10939" s="82"/>
      <c r="C10939" s="82"/>
    </row>
    <row r="10940" spans="1:3" x14ac:dyDescent="0.2">
      <c r="A10940" s="82"/>
      <c r="B10940" s="82"/>
      <c r="C10940" s="82"/>
    </row>
    <row r="10941" spans="1:3" x14ac:dyDescent="0.2">
      <c r="A10941" s="82"/>
      <c r="B10941" s="82"/>
      <c r="C10941" s="82"/>
    </row>
    <row r="10942" spans="1:3" x14ac:dyDescent="0.2">
      <c r="A10942" s="82"/>
      <c r="B10942" s="82"/>
      <c r="C10942" s="82"/>
    </row>
    <row r="10943" spans="1:3" x14ac:dyDescent="0.2">
      <c r="A10943" s="82"/>
      <c r="B10943" s="82"/>
      <c r="C10943" s="82"/>
    </row>
    <row r="10944" spans="1:3" x14ac:dyDescent="0.2">
      <c r="A10944" s="82"/>
      <c r="B10944" s="82"/>
      <c r="C10944" s="82"/>
    </row>
    <row r="10945" spans="1:3" x14ac:dyDescent="0.2">
      <c r="A10945" s="82"/>
      <c r="B10945" s="82"/>
      <c r="C10945" s="82"/>
    </row>
    <row r="10946" spans="1:3" x14ac:dyDescent="0.2">
      <c r="A10946" s="82"/>
      <c r="B10946" s="82"/>
      <c r="C10946" s="82"/>
    </row>
    <row r="10947" spans="1:3" x14ac:dyDescent="0.2">
      <c r="A10947" s="82"/>
      <c r="B10947" s="82"/>
      <c r="C10947" s="82"/>
    </row>
    <row r="10948" spans="1:3" x14ac:dyDescent="0.2">
      <c r="A10948" s="82"/>
      <c r="B10948" s="82"/>
      <c r="C10948" s="82"/>
    </row>
    <row r="10949" spans="1:3" x14ac:dyDescent="0.2">
      <c r="A10949" s="82"/>
      <c r="B10949" s="82"/>
      <c r="C10949" s="82"/>
    </row>
    <row r="10950" spans="1:3" x14ac:dyDescent="0.2">
      <c r="A10950" s="82"/>
      <c r="B10950" s="82"/>
      <c r="C10950" s="82"/>
    </row>
    <row r="10951" spans="1:3" x14ac:dyDescent="0.2">
      <c r="A10951" s="82"/>
      <c r="B10951" s="82"/>
      <c r="C10951" s="82"/>
    </row>
    <row r="10952" spans="1:3" x14ac:dyDescent="0.2">
      <c r="A10952" s="82"/>
      <c r="B10952" s="82"/>
      <c r="C10952" s="82"/>
    </row>
    <row r="10953" spans="1:3" x14ac:dyDescent="0.2">
      <c r="A10953" s="82"/>
      <c r="B10953" s="82"/>
      <c r="C10953" s="82"/>
    </row>
    <row r="10954" spans="1:3" x14ac:dyDescent="0.2">
      <c r="A10954" s="82"/>
      <c r="B10954" s="82"/>
      <c r="C10954" s="82"/>
    </row>
    <row r="10955" spans="1:3" x14ac:dyDescent="0.2">
      <c r="A10955" s="82"/>
      <c r="B10955" s="82"/>
      <c r="C10955" s="82"/>
    </row>
    <row r="10956" spans="1:3" x14ac:dyDescent="0.2">
      <c r="A10956" s="82"/>
      <c r="B10956" s="82"/>
      <c r="C10956" s="82"/>
    </row>
    <row r="10957" spans="1:3" x14ac:dyDescent="0.2">
      <c r="A10957" s="82"/>
      <c r="B10957" s="82"/>
      <c r="C10957" s="82"/>
    </row>
    <row r="10958" spans="1:3" x14ac:dyDescent="0.2">
      <c r="A10958" s="82"/>
      <c r="B10958" s="82"/>
      <c r="C10958" s="82"/>
    </row>
    <row r="10959" spans="1:3" x14ac:dyDescent="0.2">
      <c r="A10959" s="82"/>
      <c r="B10959" s="82"/>
      <c r="C10959" s="82"/>
    </row>
    <row r="10960" spans="1:3" x14ac:dyDescent="0.2">
      <c r="A10960" s="82"/>
      <c r="B10960" s="82"/>
      <c r="C10960" s="82"/>
    </row>
    <row r="10961" spans="1:3" x14ac:dyDescent="0.2">
      <c r="A10961" s="82"/>
      <c r="B10961" s="82"/>
      <c r="C10961" s="82"/>
    </row>
    <row r="10962" spans="1:3" x14ac:dyDescent="0.2">
      <c r="A10962" s="82"/>
      <c r="B10962" s="82"/>
      <c r="C10962" s="82"/>
    </row>
    <row r="10963" spans="1:3" x14ac:dyDescent="0.2">
      <c r="A10963" s="82"/>
      <c r="B10963" s="82"/>
      <c r="C10963" s="82"/>
    </row>
    <row r="10964" spans="1:3" x14ac:dyDescent="0.2">
      <c r="A10964" s="82"/>
      <c r="B10964" s="82"/>
      <c r="C10964" s="82"/>
    </row>
    <row r="10965" spans="1:3" x14ac:dyDescent="0.2">
      <c r="A10965" s="82"/>
      <c r="B10965" s="82"/>
      <c r="C10965" s="82"/>
    </row>
    <row r="10966" spans="1:3" x14ac:dyDescent="0.2">
      <c r="A10966" s="82"/>
      <c r="B10966" s="82"/>
      <c r="C10966" s="82"/>
    </row>
    <row r="10967" spans="1:3" x14ac:dyDescent="0.2">
      <c r="A10967" s="82"/>
      <c r="B10967" s="82"/>
      <c r="C10967" s="82"/>
    </row>
    <row r="10968" spans="1:3" x14ac:dyDescent="0.2">
      <c r="A10968" s="82"/>
      <c r="B10968" s="82"/>
      <c r="C10968" s="82"/>
    </row>
    <row r="10969" spans="1:3" x14ac:dyDescent="0.2">
      <c r="A10969" s="82"/>
      <c r="B10969" s="82"/>
      <c r="C10969" s="82"/>
    </row>
    <row r="10970" spans="1:3" x14ac:dyDescent="0.2">
      <c r="A10970" s="82"/>
      <c r="B10970" s="82"/>
      <c r="C10970" s="82"/>
    </row>
    <row r="10971" spans="1:3" x14ac:dyDescent="0.2">
      <c r="A10971" s="82"/>
      <c r="B10971" s="82"/>
      <c r="C10971" s="82"/>
    </row>
    <row r="10972" spans="1:3" x14ac:dyDescent="0.2">
      <c r="A10972" s="82"/>
      <c r="B10972" s="82"/>
      <c r="C10972" s="82"/>
    </row>
    <row r="10973" spans="1:3" x14ac:dyDescent="0.2">
      <c r="A10973" s="82"/>
      <c r="B10973" s="82"/>
      <c r="C10973" s="82"/>
    </row>
    <row r="10974" spans="1:3" x14ac:dyDescent="0.2">
      <c r="A10974" s="82"/>
      <c r="B10974" s="82"/>
      <c r="C10974" s="82"/>
    </row>
    <row r="10975" spans="1:3" x14ac:dyDescent="0.2">
      <c r="A10975" s="82"/>
      <c r="B10975" s="82"/>
      <c r="C10975" s="82"/>
    </row>
    <row r="10976" spans="1:3" x14ac:dyDescent="0.2">
      <c r="A10976" s="82"/>
      <c r="B10976" s="82"/>
      <c r="C10976" s="82"/>
    </row>
    <row r="10977" spans="1:3" x14ac:dyDescent="0.2">
      <c r="A10977" s="82"/>
      <c r="B10977" s="82"/>
      <c r="C10977" s="82"/>
    </row>
    <row r="10978" spans="1:3" x14ac:dyDescent="0.2">
      <c r="A10978" s="82"/>
      <c r="B10978" s="82"/>
      <c r="C10978" s="82"/>
    </row>
    <row r="10979" spans="1:3" x14ac:dyDescent="0.2">
      <c r="A10979" s="82"/>
      <c r="B10979" s="82"/>
      <c r="C10979" s="82"/>
    </row>
    <row r="10980" spans="1:3" x14ac:dyDescent="0.2">
      <c r="A10980" s="82"/>
      <c r="B10980" s="82"/>
      <c r="C10980" s="82"/>
    </row>
    <row r="10981" spans="1:3" x14ac:dyDescent="0.2">
      <c r="A10981" s="82"/>
      <c r="B10981" s="82"/>
      <c r="C10981" s="82"/>
    </row>
    <row r="10982" spans="1:3" x14ac:dyDescent="0.2">
      <c r="A10982" s="82"/>
      <c r="B10982" s="82"/>
      <c r="C10982" s="82"/>
    </row>
    <row r="10983" spans="1:3" x14ac:dyDescent="0.2">
      <c r="A10983" s="82"/>
      <c r="B10983" s="82"/>
      <c r="C10983" s="82"/>
    </row>
    <row r="10984" spans="1:3" x14ac:dyDescent="0.2">
      <c r="A10984" s="82"/>
      <c r="B10984" s="82"/>
      <c r="C10984" s="82"/>
    </row>
    <row r="10985" spans="1:3" x14ac:dyDescent="0.2">
      <c r="A10985" s="82"/>
      <c r="B10985" s="82"/>
      <c r="C10985" s="82"/>
    </row>
    <row r="10986" spans="1:3" x14ac:dyDescent="0.2">
      <c r="A10986" s="82"/>
      <c r="B10986" s="82"/>
      <c r="C10986" s="82"/>
    </row>
    <row r="10987" spans="1:3" x14ac:dyDescent="0.2">
      <c r="A10987" s="82"/>
      <c r="B10987" s="82"/>
      <c r="C10987" s="82"/>
    </row>
    <row r="10988" spans="1:3" x14ac:dyDescent="0.2">
      <c r="A10988" s="82"/>
      <c r="B10988" s="82"/>
      <c r="C10988" s="82"/>
    </row>
    <row r="10989" spans="1:3" x14ac:dyDescent="0.2">
      <c r="A10989" s="82"/>
      <c r="B10989" s="82"/>
      <c r="C10989" s="82"/>
    </row>
    <row r="10990" spans="1:3" x14ac:dyDescent="0.2">
      <c r="A10990" s="82"/>
      <c r="B10990" s="82"/>
      <c r="C10990" s="82"/>
    </row>
    <row r="10991" spans="1:3" x14ac:dyDescent="0.2">
      <c r="A10991" s="82"/>
      <c r="B10991" s="82"/>
      <c r="C10991" s="82"/>
    </row>
    <row r="10992" spans="1:3" x14ac:dyDescent="0.2">
      <c r="A10992" s="82"/>
      <c r="B10992" s="82"/>
      <c r="C10992" s="82"/>
    </row>
    <row r="10993" spans="1:3" x14ac:dyDescent="0.2">
      <c r="A10993" s="82"/>
      <c r="B10993" s="82"/>
      <c r="C10993" s="82"/>
    </row>
    <row r="10994" spans="1:3" x14ac:dyDescent="0.2">
      <c r="A10994" s="82"/>
      <c r="B10994" s="82"/>
      <c r="C10994" s="82"/>
    </row>
    <row r="10995" spans="1:3" x14ac:dyDescent="0.2">
      <c r="A10995" s="82"/>
      <c r="B10995" s="82"/>
      <c r="C10995" s="82"/>
    </row>
    <row r="10996" spans="1:3" x14ac:dyDescent="0.2">
      <c r="A10996" s="82"/>
      <c r="B10996" s="82"/>
      <c r="C10996" s="82"/>
    </row>
    <row r="10997" spans="1:3" x14ac:dyDescent="0.2">
      <c r="A10997" s="82"/>
      <c r="B10997" s="82"/>
      <c r="C10997" s="82"/>
    </row>
    <row r="10998" spans="1:3" x14ac:dyDescent="0.2">
      <c r="A10998" s="82"/>
      <c r="B10998" s="82"/>
      <c r="C10998" s="82"/>
    </row>
    <row r="10999" spans="1:3" x14ac:dyDescent="0.2">
      <c r="A10999" s="82"/>
      <c r="B10999" s="82"/>
      <c r="C10999" s="82"/>
    </row>
    <row r="11000" spans="1:3" x14ac:dyDescent="0.2">
      <c r="A11000" s="82"/>
      <c r="B11000" s="82"/>
      <c r="C11000" s="82"/>
    </row>
    <row r="11001" spans="1:3" x14ac:dyDescent="0.2">
      <c r="A11001" s="82"/>
      <c r="B11001" s="82"/>
      <c r="C11001" s="82"/>
    </row>
    <row r="11002" spans="1:3" x14ac:dyDescent="0.2">
      <c r="A11002" s="82"/>
      <c r="B11002" s="82"/>
      <c r="C11002" s="82"/>
    </row>
    <row r="11003" spans="1:3" x14ac:dyDescent="0.2">
      <c r="A11003" s="82"/>
      <c r="B11003" s="82"/>
      <c r="C11003" s="82"/>
    </row>
    <row r="11004" spans="1:3" x14ac:dyDescent="0.2">
      <c r="A11004" s="82"/>
      <c r="B11004" s="82"/>
      <c r="C11004" s="82"/>
    </row>
    <row r="11005" spans="1:3" x14ac:dyDescent="0.2">
      <c r="A11005" s="82"/>
      <c r="B11005" s="82"/>
      <c r="C11005" s="82"/>
    </row>
    <row r="11006" spans="1:3" x14ac:dyDescent="0.2">
      <c r="A11006" s="82"/>
      <c r="B11006" s="82"/>
      <c r="C11006" s="82"/>
    </row>
    <row r="11007" spans="1:3" x14ac:dyDescent="0.2">
      <c r="A11007" s="82"/>
      <c r="B11007" s="82"/>
      <c r="C11007" s="82"/>
    </row>
    <row r="11008" spans="1:3" x14ac:dyDescent="0.2">
      <c r="A11008" s="82"/>
      <c r="B11008" s="82"/>
      <c r="C11008" s="82"/>
    </row>
    <row r="11009" spans="1:3" x14ac:dyDescent="0.2">
      <c r="A11009" s="82"/>
      <c r="B11009" s="82"/>
      <c r="C11009" s="82"/>
    </row>
    <row r="11010" spans="1:3" x14ac:dyDescent="0.2">
      <c r="A11010" s="82"/>
      <c r="B11010" s="82"/>
      <c r="C11010" s="82"/>
    </row>
    <row r="11011" spans="1:3" x14ac:dyDescent="0.2">
      <c r="A11011" s="82"/>
      <c r="B11011" s="82"/>
      <c r="C11011" s="82"/>
    </row>
    <row r="11012" spans="1:3" x14ac:dyDescent="0.2">
      <c r="A11012" s="82"/>
      <c r="B11012" s="82"/>
      <c r="C11012" s="82"/>
    </row>
    <row r="11013" spans="1:3" x14ac:dyDescent="0.2">
      <c r="A11013" s="82"/>
      <c r="B11013" s="82"/>
      <c r="C11013" s="82"/>
    </row>
    <row r="11014" spans="1:3" x14ac:dyDescent="0.2">
      <c r="A11014" s="82"/>
      <c r="B11014" s="82"/>
      <c r="C11014" s="82"/>
    </row>
    <row r="11015" spans="1:3" x14ac:dyDescent="0.2">
      <c r="A11015" s="82"/>
      <c r="B11015" s="82"/>
      <c r="C11015" s="82"/>
    </row>
    <row r="11016" spans="1:3" x14ac:dyDescent="0.2">
      <c r="A11016" s="82"/>
      <c r="B11016" s="82"/>
      <c r="C11016" s="82"/>
    </row>
    <row r="11017" spans="1:3" x14ac:dyDescent="0.2">
      <c r="A11017" s="82"/>
      <c r="B11017" s="82"/>
      <c r="C11017" s="82"/>
    </row>
    <row r="11018" spans="1:3" x14ac:dyDescent="0.2">
      <c r="A11018" s="82"/>
      <c r="B11018" s="82"/>
      <c r="C11018" s="82"/>
    </row>
    <row r="11019" spans="1:3" x14ac:dyDescent="0.2">
      <c r="A11019" s="82"/>
      <c r="B11019" s="82"/>
      <c r="C11019" s="82"/>
    </row>
    <row r="11020" spans="1:3" x14ac:dyDescent="0.2">
      <c r="A11020" s="82"/>
      <c r="B11020" s="82"/>
      <c r="C11020" s="82"/>
    </row>
    <row r="11021" spans="1:3" x14ac:dyDescent="0.2">
      <c r="A11021" s="82"/>
      <c r="B11021" s="82"/>
      <c r="C11021" s="82"/>
    </row>
    <row r="11022" spans="1:3" x14ac:dyDescent="0.2">
      <c r="A11022" s="82"/>
      <c r="B11022" s="82"/>
      <c r="C11022" s="82"/>
    </row>
    <row r="11023" spans="1:3" x14ac:dyDescent="0.2">
      <c r="A11023" s="82"/>
      <c r="B11023" s="82"/>
      <c r="C11023" s="82"/>
    </row>
    <row r="11024" spans="1:3" x14ac:dyDescent="0.2">
      <c r="A11024" s="82"/>
      <c r="B11024" s="82"/>
      <c r="C11024" s="82"/>
    </row>
    <row r="11025" spans="1:3" x14ac:dyDescent="0.2">
      <c r="A11025" s="82"/>
      <c r="B11025" s="82"/>
      <c r="C11025" s="82"/>
    </row>
    <row r="11026" spans="1:3" x14ac:dyDescent="0.2">
      <c r="A11026" s="82"/>
      <c r="B11026" s="82"/>
      <c r="C11026" s="82"/>
    </row>
    <row r="11027" spans="1:3" x14ac:dyDescent="0.2">
      <c r="A11027" s="82"/>
      <c r="B11027" s="82"/>
      <c r="C11027" s="82"/>
    </row>
    <row r="11028" spans="1:3" x14ac:dyDescent="0.2">
      <c r="A11028" s="82"/>
      <c r="B11028" s="82"/>
      <c r="C11028" s="82"/>
    </row>
    <row r="11029" spans="1:3" x14ac:dyDescent="0.2">
      <c r="A11029" s="82"/>
      <c r="B11029" s="82"/>
      <c r="C11029" s="82"/>
    </row>
    <row r="11030" spans="1:3" x14ac:dyDescent="0.2">
      <c r="A11030" s="82"/>
      <c r="B11030" s="82"/>
      <c r="C11030" s="82"/>
    </row>
    <row r="11031" spans="1:3" x14ac:dyDescent="0.2">
      <c r="A11031" s="82"/>
      <c r="B11031" s="82"/>
      <c r="C11031" s="82"/>
    </row>
    <row r="11032" spans="1:3" x14ac:dyDescent="0.2">
      <c r="A11032" s="82"/>
      <c r="B11032" s="82"/>
      <c r="C11032" s="82"/>
    </row>
    <row r="11033" spans="1:3" x14ac:dyDescent="0.2">
      <c r="A11033" s="82"/>
      <c r="B11033" s="82"/>
      <c r="C11033" s="82"/>
    </row>
    <row r="11034" spans="1:3" x14ac:dyDescent="0.2">
      <c r="A11034" s="82"/>
      <c r="B11034" s="82"/>
      <c r="C11034" s="82"/>
    </row>
    <row r="11035" spans="1:3" x14ac:dyDescent="0.2">
      <c r="A11035" s="82"/>
      <c r="B11035" s="82"/>
      <c r="C11035" s="82"/>
    </row>
    <row r="11036" spans="1:3" x14ac:dyDescent="0.2">
      <c r="A11036" s="82"/>
      <c r="B11036" s="82"/>
      <c r="C11036" s="82"/>
    </row>
    <row r="11037" spans="1:3" x14ac:dyDescent="0.2">
      <c r="A11037" s="82"/>
      <c r="B11037" s="82"/>
      <c r="C11037" s="82"/>
    </row>
    <row r="11038" spans="1:3" x14ac:dyDescent="0.2">
      <c r="A11038" s="82"/>
      <c r="B11038" s="82"/>
      <c r="C11038" s="82"/>
    </row>
    <row r="11039" spans="1:3" x14ac:dyDescent="0.2">
      <c r="A11039" s="82"/>
      <c r="B11039" s="82"/>
      <c r="C11039" s="82"/>
    </row>
    <row r="11040" spans="1:3" x14ac:dyDescent="0.2">
      <c r="A11040" s="82"/>
      <c r="B11040" s="82"/>
      <c r="C11040" s="82"/>
    </row>
    <row r="11041" spans="1:3" x14ac:dyDescent="0.2">
      <c r="A11041" s="82"/>
      <c r="B11041" s="82"/>
      <c r="C11041" s="82"/>
    </row>
    <row r="11042" spans="1:3" x14ac:dyDescent="0.2">
      <c r="A11042" s="82"/>
      <c r="B11042" s="82"/>
      <c r="C11042" s="82"/>
    </row>
    <row r="11043" spans="1:3" x14ac:dyDescent="0.2">
      <c r="A11043" s="82"/>
      <c r="B11043" s="82"/>
      <c r="C11043" s="82"/>
    </row>
    <row r="11044" spans="1:3" x14ac:dyDescent="0.2">
      <c r="A11044" s="82"/>
      <c r="B11044" s="82"/>
      <c r="C11044" s="82"/>
    </row>
    <row r="11045" spans="1:3" x14ac:dyDescent="0.2">
      <c r="A11045" s="82"/>
      <c r="B11045" s="82"/>
      <c r="C11045" s="82"/>
    </row>
    <row r="11046" spans="1:3" x14ac:dyDescent="0.2">
      <c r="A11046" s="82"/>
      <c r="B11046" s="82"/>
      <c r="C11046" s="82"/>
    </row>
    <row r="11047" spans="1:3" x14ac:dyDescent="0.2">
      <c r="A11047" s="82"/>
      <c r="B11047" s="82"/>
      <c r="C11047" s="82"/>
    </row>
    <row r="11048" spans="1:3" x14ac:dyDescent="0.2">
      <c r="A11048" s="82"/>
      <c r="B11048" s="82"/>
      <c r="C11048" s="82"/>
    </row>
    <row r="11049" spans="1:3" x14ac:dyDescent="0.2">
      <c r="A11049" s="82"/>
      <c r="B11049" s="82"/>
      <c r="C11049" s="82"/>
    </row>
    <row r="11050" spans="1:3" x14ac:dyDescent="0.2">
      <c r="A11050" s="82"/>
      <c r="B11050" s="82"/>
      <c r="C11050" s="82"/>
    </row>
    <row r="11051" spans="1:3" x14ac:dyDescent="0.2">
      <c r="A11051" s="82"/>
      <c r="B11051" s="82"/>
      <c r="C11051" s="82"/>
    </row>
    <row r="11052" spans="1:3" x14ac:dyDescent="0.2">
      <c r="A11052" s="82"/>
      <c r="B11052" s="82"/>
      <c r="C11052" s="82"/>
    </row>
    <row r="11053" spans="1:3" x14ac:dyDescent="0.2">
      <c r="A11053" s="82"/>
      <c r="B11053" s="82"/>
      <c r="C11053" s="82"/>
    </row>
    <row r="11054" spans="1:3" x14ac:dyDescent="0.2">
      <c r="A11054" s="82"/>
      <c r="B11054" s="82"/>
      <c r="C11054" s="82"/>
    </row>
    <row r="11055" spans="1:3" x14ac:dyDescent="0.2">
      <c r="A11055" s="82"/>
      <c r="B11055" s="82"/>
      <c r="C11055" s="82"/>
    </row>
    <row r="11056" spans="1:3" x14ac:dyDescent="0.2">
      <c r="A11056" s="82"/>
      <c r="B11056" s="82"/>
      <c r="C11056" s="82"/>
    </row>
    <row r="11057" spans="1:3" x14ac:dyDescent="0.2">
      <c r="A11057" s="82"/>
      <c r="B11057" s="82"/>
      <c r="C11057" s="82"/>
    </row>
    <row r="11058" spans="1:3" x14ac:dyDescent="0.2">
      <c r="A11058" s="82"/>
      <c r="B11058" s="82"/>
      <c r="C11058" s="82"/>
    </row>
    <row r="11059" spans="1:3" x14ac:dyDescent="0.2">
      <c r="A11059" s="82"/>
      <c r="B11059" s="82"/>
      <c r="C11059" s="82"/>
    </row>
    <row r="11060" spans="1:3" x14ac:dyDescent="0.2">
      <c r="A11060" s="82"/>
      <c r="B11060" s="82"/>
      <c r="C11060" s="82"/>
    </row>
    <row r="11061" spans="1:3" x14ac:dyDescent="0.2">
      <c r="A11061" s="82"/>
      <c r="B11061" s="82"/>
      <c r="C11061" s="82"/>
    </row>
    <row r="11062" spans="1:3" x14ac:dyDescent="0.2">
      <c r="A11062" s="82"/>
      <c r="B11062" s="82"/>
      <c r="C11062" s="82"/>
    </row>
    <row r="11063" spans="1:3" x14ac:dyDescent="0.2">
      <c r="A11063" s="82"/>
      <c r="B11063" s="82"/>
      <c r="C11063" s="82"/>
    </row>
    <row r="11064" spans="1:3" x14ac:dyDescent="0.2">
      <c r="A11064" s="82"/>
      <c r="B11064" s="82"/>
      <c r="C11064" s="82"/>
    </row>
    <row r="11065" spans="1:3" x14ac:dyDescent="0.2">
      <c r="A11065" s="82"/>
      <c r="B11065" s="82"/>
      <c r="C11065" s="82"/>
    </row>
    <row r="11066" spans="1:3" x14ac:dyDescent="0.2">
      <c r="A11066" s="82"/>
      <c r="B11066" s="82"/>
      <c r="C11066" s="82"/>
    </row>
    <row r="11067" spans="1:3" x14ac:dyDescent="0.2">
      <c r="A11067" s="82"/>
      <c r="B11067" s="82"/>
      <c r="C11067" s="82"/>
    </row>
    <row r="11068" spans="1:3" x14ac:dyDescent="0.2">
      <c r="A11068" s="82"/>
      <c r="B11068" s="82"/>
      <c r="C11068" s="82"/>
    </row>
    <row r="11069" spans="1:3" x14ac:dyDescent="0.2">
      <c r="A11069" s="82"/>
      <c r="B11069" s="82"/>
      <c r="C11069" s="82"/>
    </row>
    <row r="11070" spans="1:3" x14ac:dyDescent="0.2">
      <c r="A11070" s="82"/>
      <c r="B11070" s="82"/>
      <c r="C11070" s="82"/>
    </row>
    <row r="11071" spans="1:3" x14ac:dyDescent="0.2">
      <c r="A11071" s="82"/>
      <c r="B11071" s="82"/>
      <c r="C11071" s="82"/>
    </row>
    <row r="11072" spans="1:3" x14ac:dyDescent="0.2">
      <c r="A11072" s="82"/>
      <c r="B11072" s="82"/>
      <c r="C11072" s="82"/>
    </row>
    <row r="11073" spans="1:3" x14ac:dyDescent="0.2">
      <c r="A11073" s="82"/>
      <c r="B11073" s="82"/>
      <c r="C11073" s="82"/>
    </row>
    <row r="11074" spans="1:3" x14ac:dyDescent="0.2">
      <c r="A11074" s="82"/>
      <c r="B11074" s="82"/>
      <c r="C11074" s="82"/>
    </row>
    <row r="11075" spans="1:3" x14ac:dyDescent="0.2">
      <c r="A11075" s="82"/>
      <c r="B11075" s="82"/>
      <c r="C11075" s="82"/>
    </row>
    <row r="11076" spans="1:3" x14ac:dyDescent="0.2">
      <c r="A11076" s="82"/>
      <c r="B11076" s="82"/>
      <c r="C11076" s="82"/>
    </row>
    <row r="11077" spans="1:3" x14ac:dyDescent="0.2">
      <c r="A11077" s="82"/>
      <c r="B11077" s="82"/>
      <c r="C11077" s="82"/>
    </row>
    <row r="11078" spans="1:3" x14ac:dyDescent="0.2">
      <c r="A11078" s="82"/>
      <c r="B11078" s="82"/>
      <c r="C11078" s="82"/>
    </row>
    <row r="11079" spans="1:3" x14ac:dyDescent="0.2">
      <c r="A11079" s="82"/>
      <c r="B11079" s="82"/>
      <c r="C11079" s="82"/>
    </row>
    <row r="11080" spans="1:3" x14ac:dyDescent="0.2">
      <c r="A11080" s="82"/>
      <c r="B11080" s="82"/>
      <c r="C11080" s="82"/>
    </row>
    <row r="11081" spans="1:3" x14ac:dyDescent="0.2">
      <c r="A11081" s="82"/>
      <c r="B11081" s="82"/>
      <c r="C11081" s="82"/>
    </row>
    <row r="11082" spans="1:3" x14ac:dyDescent="0.2">
      <c r="A11082" s="82"/>
      <c r="B11082" s="82"/>
      <c r="C11082" s="82"/>
    </row>
    <row r="11083" spans="1:3" x14ac:dyDescent="0.2">
      <c r="A11083" s="82"/>
      <c r="B11083" s="82"/>
      <c r="C11083" s="82"/>
    </row>
    <row r="11084" spans="1:3" x14ac:dyDescent="0.2">
      <c r="A11084" s="82"/>
      <c r="B11084" s="82"/>
      <c r="C11084" s="82"/>
    </row>
    <row r="11085" spans="1:3" x14ac:dyDescent="0.2">
      <c r="A11085" s="82"/>
      <c r="B11085" s="82"/>
      <c r="C11085" s="82"/>
    </row>
    <row r="11086" spans="1:3" x14ac:dyDescent="0.2">
      <c r="A11086" s="82"/>
      <c r="B11086" s="82"/>
      <c r="C11086" s="82"/>
    </row>
    <row r="11087" spans="1:3" x14ac:dyDescent="0.2">
      <c r="A11087" s="82"/>
      <c r="B11087" s="82"/>
      <c r="C11087" s="82"/>
    </row>
    <row r="11088" spans="1:3" x14ac:dyDescent="0.2">
      <c r="A11088" s="82"/>
      <c r="B11088" s="82"/>
      <c r="C11088" s="82"/>
    </row>
    <row r="11089" spans="1:3" x14ac:dyDescent="0.2">
      <c r="A11089" s="82"/>
      <c r="B11089" s="82"/>
      <c r="C11089" s="82"/>
    </row>
    <row r="11090" spans="1:3" x14ac:dyDescent="0.2">
      <c r="A11090" s="82"/>
      <c r="B11090" s="82"/>
      <c r="C11090" s="82"/>
    </row>
    <row r="11091" spans="1:3" x14ac:dyDescent="0.2">
      <c r="A11091" s="82"/>
      <c r="B11091" s="82"/>
      <c r="C11091" s="82"/>
    </row>
    <row r="11092" spans="1:3" x14ac:dyDescent="0.2">
      <c r="A11092" s="82"/>
      <c r="B11092" s="82"/>
      <c r="C11092" s="82"/>
    </row>
    <row r="11093" spans="1:3" x14ac:dyDescent="0.2">
      <c r="A11093" s="82"/>
      <c r="B11093" s="82"/>
      <c r="C11093" s="82"/>
    </row>
    <row r="11094" spans="1:3" x14ac:dyDescent="0.2">
      <c r="A11094" s="82"/>
      <c r="B11094" s="82"/>
      <c r="C11094" s="82"/>
    </row>
    <row r="11095" spans="1:3" x14ac:dyDescent="0.2">
      <c r="A11095" s="82"/>
      <c r="B11095" s="82"/>
      <c r="C11095" s="82"/>
    </row>
    <row r="11096" spans="1:3" x14ac:dyDescent="0.2">
      <c r="A11096" s="82"/>
      <c r="B11096" s="82"/>
      <c r="C11096" s="82"/>
    </row>
    <row r="11097" spans="1:3" x14ac:dyDescent="0.2">
      <c r="A11097" s="82"/>
      <c r="B11097" s="82"/>
      <c r="C11097" s="82"/>
    </row>
    <row r="11098" spans="1:3" x14ac:dyDescent="0.2">
      <c r="A11098" s="82"/>
      <c r="B11098" s="82"/>
      <c r="C11098" s="82"/>
    </row>
    <row r="11099" spans="1:3" x14ac:dyDescent="0.2">
      <c r="A11099" s="82"/>
      <c r="B11099" s="82"/>
      <c r="C11099" s="82"/>
    </row>
    <row r="11100" spans="1:3" x14ac:dyDescent="0.2">
      <c r="A11100" s="82"/>
      <c r="B11100" s="82"/>
      <c r="C11100" s="82"/>
    </row>
    <row r="11101" spans="1:3" x14ac:dyDescent="0.2">
      <c r="A11101" s="82"/>
      <c r="B11101" s="82"/>
      <c r="C11101" s="82"/>
    </row>
    <row r="11102" spans="1:3" x14ac:dyDescent="0.2">
      <c r="A11102" s="82"/>
      <c r="B11102" s="82"/>
      <c r="C11102" s="82"/>
    </row>
    <row r="11103" spans="1:3" x14ac:dyDescent="0.2">
      <c r="A11103" s="82"/>
      <c r="B11103" s="82"/>
      <c r="C11103" s="82"/>
    </row>
    <row r="11104" spans="1:3" x14ac:dyDescent="0.2">
      <c r="A11104" s="82"/>
      <c r="B11104" s="82"/>
      <c r="C11104" s="82"/>
    </row>
    <row r="11105" spans="1:3" x14ac:dyDescent="0.2">
      <c r="A11105" s="82"/>
      <c r="B11105" s="82"/>
      <c r="C11105" s="82"/>
    </row>
    <row r="11106" spans="1:3" x14ac:dyDescent="0.2">
      <c r="A11106" s="82"/>
      <c r="B11106" s="82"/>
      <c r="C11106" s="82"/>
    </row>
    <row r="11107" spans="1:3" x14ac:dyDescent="0.2">
      <c r="A11107" s="82"/>
      <c r="B11107" s="82"/>
      <c r="C11107" s="82"/>
    </row>
    <row r="11108" spans="1:3" x14ac:dyDescent="0.2">
      <c r="A11108" s="82"/>
      <c r="B11108" s="82"/>
      <c r="C11108" s="82"/>
    </row>
    <row r="11109" spans="1:3" x14ac:dyDescent="0.2">
      <c r="A11109" s="82"/>
      <c r="B11109" s="82"/>
      <c r="C11109" s="82"/>
    </row>
    <row r="11110" spans="1:3" x14ac:dyDescent="0.2">
      <c r="A11110" s="82"/>
      <c r="B11110" s="82"/>
      <c r="C11110" s="82"/>
    </row>
    <row r="11111" spans="1:3" x14ac:dyDescent="0.2">
      <c r="A11111" s="82"/>
      <c r="B11111" s="82"/>
      <c r="C11111" s="82"/>
    </row>
    <row r="11112" spans="1:3" x14ac:dyDescent="0.2">
      <c r="A11112" s="82"/>
      <c r="B11112" s="82"/>
      <c r="C11112" s="82"/>
    </row>
    <row r="11113" spans="1:3" x14ac:dyDescent="0.2">
      <c r="A11113" s="82"/>
      <c r="B11113" s="82"/>
      <c r="C11113" s="82"/>
    </row>
    <row r="11114" spans="1:3" x14ac:dyDescent="0.2">
      <c r="A11114" s="82"/>
      <c r="B11114" s="82"/>
      <c r="C11114" s="82"/>
    </row>
    <row r="11115" spans="1:3" x14ac:dyDescent="0.2">
      <c r="A11115" s="82"/>
      <c r="B11115" s="82"/>
      <c r="C11115" s="82"/>
    </row>
    <row r="11116" spans="1:3" x14ac:dyDescent="0.2">
      <c r="A11116" s="82"/>
      <c r="B11116" s="82"/>
      <c r="C11116" s="82"/>
    </row>
    <row r="11117" spans="1:3" x14ac:dyDescent="0.2">
      <c r="A11117" s="82"/>
      <c r="B11117" s="82"/>
      <c r="C11117" s="82"/>
    </row>
    <row r="11118" spans="1:3" x14ac:dyDescent="0.2">
      <c r="A11118" s="82"/>
      <c r="B11118" s="82"/>
      <c r="C11118" s="82"/>
    </row>
    <row r="11119" spans="1:3" x14ac:dyDescent="0.2">
      <c r="A11119" s="82"/>
      <c r="B11119" s="82"/>
      <c r="C11119" s="82"/>
    </row>
    <row r="11120" spans="1:3" x14ac:dyDescent="0.2">
      <c r="A11120" s="82"/>
      <c r="B11120" s="82"/>
      <c r="C11120" s="82"/>
    </row>
    <row r="11121" spans="1:3" x14ac:dyDescent="0.2">
      <c r="A11121" s="82"/>
      <c r="B11121" s="82"/>
      <c r="C11121" s="82"/>
    </row>
    <row r="11122" spans="1:3" x14ac:dyDescent="0.2">
      <c r="A11122" s="82"/>
      <c r="B11122" s="82"/>
      <c r="C11122" s="82"/>
    </row>
    <row r="11123" spans="1:3" x14ac:dyDescent="0.2">
      <c r="A11123" s="82"/>
      <c r="B11123" s="82"/>
      <c r="C11123" s="82"/>
    </row>
    <row r="11124" spans="1:3" x14ac:dyDescent="0.2">
      <c r="A11124" s="82"/>
      <c r="B11124" s="82"/>
      <c r="C11124" s="82"/>
    </row>
    <row r="11125" spans="1:3" x14ac:dyDescent="0.2">
      <c r="A11125" s="82"/>
      <c r="B11125" s="82"/>
      <c r="C11125" s="82"/>
    </row>
    <row r="11126" spans="1:3" x14ac:dyDescent="0.2">
      <c r="A11126" s="82"/>
      <c r="B11126" s="82"/>
      <c r="C11126" s="82"/>
    </row>
    <row r="11127" spans="1:3" x14ac:dyDescent="0.2">
      <c r="A11127" s="82"/>
      <c r="B11127" s="82"/>
      <c r="C11127" s="82"/>
    </row>
    <row r="11128" spans="1:3" x14ac:dyDescent="0.2">
      <c r="A11128" s="82"/>
      <c r="B11128" s="82"/>
      <c r="C11128" s="82"/>
    </row>
    <row r="11129" spans="1:3" x14ac:dyDescent="0.2">
      <c r="A11129" s="82"/>
      <c r="B11129" s="82"/>
      <c r="C11129" s="82"/>
    </row>
    <row r="11130" spans="1:3" x14ac:dyDescent="0.2">
      <c r="A11130" s="82"/>
      <c r="B11130" s="82"/>
      <c r="C11130" s="82"/>
    </row>
    <row r="11131" spans="1:3" x14ac:dyDescent="0.2">
      <c r="A11131" s="82"/>
      <c r="B11131" s="82"/>
      <c r="C11131" s="82"/>
    </row>
    <row r="11132" spans="1:3" x14ac:dyDescent="0.2">
      <c r="A11132" s="82"/>
      <c r="B11132" s="82"/>
      <c r="C11132" s="82"/>
    </row>
    <row r="11133" spans="1:3" x14ac:dyDescent="0.2">
      <c r="A11133" s="82"/>
      <c r="B11133" s="82"/>
      <c r="C11133" s="82"/>
    </row>
    <row r="11134" spans="1:3" x14ac:dyDescent="0.2">
      <c r="A11134" s="82"/>
      <c r="B11134" s="82"/>
      <c r="C11134" s="82"/>
    </row>
    <row r="11135" spans="1:3" x14ac:dyDescent="0.2">
      <c r="A11135" s="82"/>
      <c r="B11135" s="82"/>
      <c r="C11135" s="82"/>
    </row>
    <row r="11136" spans="1:3" x14ac:dyDescent="0.2">
      <c r="A11136" s="82"/>
      <c r="B11136" s="82"/>
      <c r="C11136" s="82"/>
    </row>
    <row r="11137" spans="1:3" x14ac:dyDescent="0.2">
      <c r="A11137" s="82"/>
      <c r="B11137" s="82"/>
      <c r="C11137" s="82"/>
    </row>
    <row r="11138" spans="1:3" x14ac:dyDescent="0.2">
      <c r="A11138" s="82"/>
      <c r="B11138" s="82"/>
      <c r="C11138" s="82"/>
    </row>
    <row r="11139" spans="1:3" x14ac:dyDescent="0.2">
      <c r="A11139" s="82"/>
      <c r="B11139" s="82"/>
      <c r="C11139" s="82"/>
    </row>
    <row r="11140" spans="1:3" x14ac:dyDescent="0.2">
      <c r="A11140" s="82"/>
      <c r="B11140" s="82"/>
      <c r="C11140" s="82"/>
    </row>
    <row r="11141" spans="1:3" x14ac:dyDescent="0.2">
      <c r="A11141" s="82"/>
      <c r="B11141" s="82"/>
      <c r="C11141" s="82"/>
    </row>
    <row r="11142" spans="1:3" x14ac:dyDescent="0.2">
      <c r="A11142" s="82"/>
      <c r="B11142" s="82"/>
      <c r="C11142" s="82"/>
    </row>
    <row r="11143" spans="1:3" x14ac:dyDescent="0.2">
      <c r="A11143" s="82"/>
      <c r="B11143" s="82"/>
      <c r="C11143" s="82"/>
    </row>
    <row r="11144" spans="1:3" x14ac:dyDescent="0.2">
      <c r="A11144" s="82"/>
      <c r="B11144" s="82"/>
      <c r="C11144" s="82"/>
    </row>
    <row r="11145" spans="1:3" x14ac:dyDescent="0.2">
      <c r="A11145" s="82"/>
      <c r="B11145" s="82"/>
      <c r="C11145" s="82"/>
    </row>
    <row r="11146" spans="1:3" x14ac:dyDescent="0.2">
      <c r="A11146" s="82"/>
      <c r="B11146" s="82"/>
      <c r="C11146" s="82"/>
    </row>
    <row r="11147" spans="1:3" x14ac:dyDescent="0.2">
      <c r="A11147" s="82"/>
      <c r="B11147" s="82"/>
      <c r="C11147" s="82"/>
    </row>
    <row r="11148" spans="1:3" x14ac:dyDescent="0.2">
      <c r="A11148" s="82"/>
      <c r="B11148" s="82"/>
      <c r="C11148" s="82"/>
    </row>
    <row r="11149" spans="1:3" x14ac:dyDescent="0.2">
      <c r="A11149" s="82"/>
      <c r="B11149" s="82"/>
      <c r="C11149" s="82"/>
    </row>
    <row r="11150" spans="1:3" x14ac:dyDescent="0.2">
      <c r="A11150" s="82"/>
      <c r="B11150" s="82"/>
      <c r="C11150" s="82"/>
    </row>
    <row r="11151" spans="1:3" x14ac:dyDescent="0.2">
      <c r="A11151" s="82"/>
      <c r="B11151" s="82"/>
      <c r="C11151" s="82"/>
    </row>
    <row r="11152" spans="1:3" x14ac:dyDescent="0.2">
      <c r="A11152" s="82"/>
      <c r="B11152" s="82"/>
      <c r="C11152" s="82"/>
    </row>
    <row r="11153" spans="1:3" x14ac:dyDescent="0.2">
      <c r="A11153" s="82"/>
      <c r="B11153" s="82"/>
      <c r="C11153" s="82"/>
    </row>
    <row r="11154" spans="1:3" x14ac:dyDescent="0.2">
      <c r="A11154" s="82"/>
      <c r="B11154" s="82"/>
      <c r="C11154" s="82"/>
    </row>
    <row r="11155" spans="1:3" x14ac:dyDescent="0.2">
      <c r="A11155" s="82"/>
      <c r="B11155" s="82"/>
      <c r="C11155" s="82"/>
    </row>
    <row r="11156" spans="1:3" x14ac:dyDescent="0.2">
      <c r="A11156" s="82"/>
      <c r="B11156" s="82"/>
      <c r="C11156" s="82"/>
    </row>
    <row r="11157" spans="1:3" x14ac:dyDescent="0.2">
      <c r="A11157" s="82"/>
      <c r="B11157" s="82"/>
      <c r="C11157" s="82"/>
    </row>
    <row r="11158" spans="1:3" x14ac:dyDescent="0.2">
      <c r="A11158" s="82"/>
      <c r="B11158" s="82"/>
      <c r="C11158" s="82"/>
    </row>
    <row r="11159" spans="1:3" x14ac:dyDescent="0.2">
      <c r="A11159" s="82"/>
      <c r="B11159" s="82"/>
      <c r="C11159" s="82"/>
    </row>
    <row r="11160" spans="1:3" x14ac:dyDescent="0.2">
      <c r="A11160" s="82"/>
      <c r="B11160" s="82"/>
      <c r="C11160" s="82"/>
    </row>
    <row r="11161" spans="1:3" x14ac:dyDescent="0.2">
      <c r="A11161" s="82"/>
      <c r="B11161" s="82"/>
      <c r="C11161" s="82"/>
    </row>
    <row r="11162" spans="1:3" x14ac:dyDescent="0.2">
      <c r="A11162" s="82"/>
      <c r="B11162" s="82"/>
      <c r="C11162" s="82"/>
    </row>
    <row r="11163" spans="1:3" x14ac:dyDescent="0.2">
      <c r="A11163" s="82"/>
      <c r="B11163" s="82"/>
      <c r="C11163" s="82"/>
    </row>
    <row r="11164" spans="1:3" x14ac:dyDescent="0.2">
      <c r="A11164" s="82"/>
      <c r="B11164" s="82"/>
      <c r="C11164" s="82"/>
    </row>
    <row r="11165" spans="1:3" x14ac:dyDescent="0.2">
      <c r="A11165" s="82"/>
      <c r="B11165" s="82"/>
      <c r="C11165" s="82"/>
    </row>
    <row r="11166" spans="1:3" x14ac:dyDescent="0.2">
      <c r="A11166" s="82"/>
      <c r="B11166" s="82"/>
      <c r="C11166" s="82"/>
    </row>
    <row r="11167" spans="1:3" x14ac:dyDescent="0.2">
      <c r="A11167" s="82"/>
      <c r="B11167" s="82"/>
      <c r="C11167" s="82"/>
    </row>
    <row r="11168" spans="1:3" x14ac:dyDescent="0.2">
      <c r="A11168" s="82"/>
      <c r="B11168" s="82"/>
      <c r="C11168" s="82"/>
    </row>
    <row r="11169" spans="1:3" x14ac:dyDescent="0.2">
      <c r="A11169" s="82"/>
      <c r="B11169" s="82"/>
      <c r="C11169" s="82"/>
    </row>
    <row r="11170" spans="1:3" x14ac:dyDescent="0.2">
      <c r="A11170" s="82"/>
      <c r="B11170" s="82"/>
      <c r="C11170" s="82"/>
    </row>
    <row r="11171" spans="1:3" x14ac:dyDescent="0.2">
      <c r="A11171" s="82"/>
      <c r="B11171" s="82"/>
      <c r="C11171" s="82"/>
    </row>
    <row r="11172" spans="1:3" x14ac:dyDescent="0.2">
      <c r="A11172" s="82"/>
      <c r="B11172" s="82"/>
      <c r="C11172" s="82"/>
    </row>
    <row r="11173" spans="1:3" x14ac:dyDescent="0.2">
      <c r="A11173" s="82"/>
      <c r="B11173" s="82"/>
      <c r="C11173" s="82"/>
    </row>
    <row r="11174" spans="1:3" x14ac:dyDescent="0.2">
      <c r="A11174" s="82"/>
      <c r="B11174" s="82"/>
      <c r="C11174" s="82"/>
    </row>
    <row r="11175" spans="1:3" x14ac:dyDescent="0.2">
      <c r="A11175" s="82"/>
      <c r="B11175" s="82"/>
      <c r="C11175" s="82"/>
    </row>
    <row r="11176" spans="1:3" x14ac:dyDescent="0.2">
      <c r="A11176" s="82"/>
      <c r="B11176" s="82"/>
      <c r="C11176" s="82"/>
    </row>
    <row r="11177" spans="1:3" x14ac:dyDescent="0.2">
      <c r="A11177" s="82"/>
      <c r="B11177" s="82"/>
      <c r="C11177" s="82"/>
    </row>
    <row r="11178" spans="1:3" x14ac:dyDescent="0.2">
      <c r="A11178" s="82"/>
      <c r="B11178" s="82"/>
      <c r="C11178" s="82"/>
    </row>
    <row r="11179" spans="1:3" x14ac:dyDescent="0.2">
      <c r="A11179" s="82"/>
      <c r="B11179" s="82"/>
      <c r="C11179" s="82"/>
    </row>
    <row r="11180" spans="1:3" x14ac:dyDescent="0.2">
      <c r="A11180" s="82"/>
      <c r="B11180" s="82"/>
      <c r="C11180" s="82"/>
    </row>
    <row r="11181" spans="1:3" x14ac:dyDescent="0.2">
      <c r="A11181" s="82"/>
      <c r="B11181" s="82"/>
      <c r="C11181" s="82"/>
    </row>
    <row r="11182" spans="1:3" x14ac:dyDescent="0.2">
      <c r="A11182" s="82"/>
      <c r="B11182" s="82"/>
      <c r="C11182" s="82"/>
    </row>
    <row r="11183" spans="1:3" x14ac:dyDescent="0.2">
      <c r="A11183" s="82"/>
      <c r="B11183" s="82"/>
      <c r="C11183" s="82"/>
    </row>
    <row r="11184" spans="1:3" x14ac:dyDescent="0.2">
      <c r="A11184" s="82"/>
      <c r="B11184" s="82"/>
      <c r="C11184" s="82"/>
    </row>
    <row r="11185" spans="1:3" x14ac:dyDescent="0.2">
      <c r="A11185" s="82"/>
      <c r="B11185" s="82"/>
      <c r="C11185" s="82"/>
    </row>
    <row r="11186" spans="1:3" x14ac:dyDescent="0.2">
      <c r="A11186" s="82"/>
      <c r="B11186" s="82"/>
      <c r="C11186" s="82"/>
    </row>
    <row r="11187" spans="1:3" x14ac:dyDescent="0.2">
      <c r="A11187" s="82"/>
      <c r="B11187" s="82"/>
      <c r="C11187" s="82"/>
    </row>
    <row r="11188" spans="1:3" x14ac:dyDescent="0.2">
      <c r="A11188" s="82"/>
      <c r="B11188" s="82"/>
      <c r="C11188" s="82"/>
    </row>
    <row r="11189" spans="1:3" x14ac:dyDescent="0.2">
      <c r="A11189" s="82"/>
      <c r="B11189" s="82"/>
      <c r="C11189" s="82"/>
    </row>
    <row r="11190" spans="1:3" x14ac:dyDescent="0.2">
      <c r="A11190" s="82"/>
      <c r="B11190" s="82"/>
      <c r="C11190" s="82"/>
    </row>
    <row r="11191" spans="1:3" x14ac:dyDescent="0.2">
      <c r="A11191" s="82"/>
      <c r="B11191" s="82"/>
      <c r="C11191" s="82"/>
    </row>
    <row r="11192" spans="1:3" x14ac:dyDescent="0.2">
      <c r="A11192" s="82"/>
      <c r="B11192" s="82"/>
      <c r="C11192" s="82"/>
    </row>
    <row r="11193" spans="1:3" x14ac:dyDescent="0.2">
      <c r="A11193" s="82"/>
      <c r="B11193" s="82"/>
      <c r="C11193" s="82"/>
    </row>
    <row r="11194" spans="1:3" x14ac:dyDescent="0.2">
      <c r="A11194" s="82"/>
      <c r="B11194" s="82"/>
      <c r="C11194" s="82"/>
    </row>
    <row r="11195" spans="1:3" x14ac:dyDescent="0.2">
      <c r="A11195" s="82"/>
      <c r="B11195" s="82"/>
      <c r="C11195" s="82"/>
    </row>
    <row r="11196" spans="1:3" x14ac:dyDescent="0.2">
      <c r="A11196" s="82"/>
      <c r="B11196" s="82"/>
      <c r="C11196" s="82"/>
    </row>
    <row r="11197" spans="1:3" x14ac:dyDescent="0.2">
      <c r="A11197" s="82"/>
      <c r="B11197" s="82"/>
      <c r="C11197" s="82"/>
    </row>
    <row r="11198" spans="1:3" x14ac:dyDescent="0.2">
      <c r="A11198" s="82"/>
      <c r="B11198" s="82"/>
      <c r="C11198" s="82"/>
    </row>
    <row r="11199" spans="1:3" x14ac:dyDescent="0.2">
      <c r="A11199" s="82"/>
      <c r="B11199" s="82"/>
      <c r="C11199" s="82"/>
    </row>
    <row r="11200" spans="1:3" x14ac:dyDescent="0.2">
      <c r="A11200" s="82"/>
      <c r="B11200" s="82"/>
      <c r="C11200" s="82"/>
    </row>
    <row r="11201" spans="1:3" x14ac:dyDescent="0.2">
      <c r="A11201" s="82"/>
      <c r="B11201" s="82"/>
      <c r="C11201" s="82"/>
    </row>
    <row r="11202" spans="1:3" x14ac:dyDescent="0.2">
      <c r="A11202" s="82"/>
      <c r="B11202" s="82"/>
      <c r="C11202" s="82"/>
    </row>
    <row r="11203" spans="1:3" x14ac:dyDescent="0.2">
      <c r="A11203" s="82"/>
      <c r="B11203" s="82"/>
      <c r="C11203" s="82"/>
    </row>
    <row r="11204" spans="1:3" x14ac:dyDescent="0.2">
      <c r="A11204" s="82"/>
      <c r="B11204" s="82"/>
      <c r="C11204" s="82"/>
    </row>
    <row r="11205" spans="1:3" x14ac:dyDescent="0.2">
      <c r="A11205" s="82"/>
      <c r="B11205" s="82"/>
      <c r="C11205" s="82"/>
    </row>
    <row r="11206" spans="1:3" x14ac:dyDescent="0.2">
      <c r="A11206" s="82"/>
      <c r="B11206" s="82"/>
      <c r="C11206" s="82"/>
    </row>
    <row r="11207" spans="1:3" x14ac:dyDescent="0.2">
      <c r="A11207" s="82"/>
      <c r="B11207" s="82"/>
      <c r="C11207" s="82"/>
    </row>
    <row r="11208" spans="1:3" x14ac:dyDescent="0.2">
      <c r="A11208" s="82"/>
      <c r="B11208" s="82"/>
      <c r="C11208" s="82"/>
    </row>
    <row r="11209" spans="1:3" x14ac:dyDescent="0.2">
      <c r="A11209" s="82"/>
      <c r="B11209" s="82"/>
      <c r="C11209" s="82"/>
    </row>
    <row r="11210" spans="1:3" x14ac:dyDescent="0.2">
      <c r="A11210" s="82"/>
      <c r="B11210" s="82"/>
      <c r="C11210" s="82"/>
    </row>
    <row r="11211" spans="1:3" x14ac:dyDescent="0.2">
      <c r="A11211" s="82"/>
      <c r="B11211" s="82"/>
      <c r="C11211" s="82"/>
    </row>
    <row r="11212" spans="1:3" x14ac:dyDescent="0.2">
      <c r="A11212" s="82"/>
      <c r="B11212" s="82"/>
      <c r="C11212" s="82"/>
    </row>
    <row r="11213" spans="1:3" x14ac:dyDescent="0.2">
      <c r="A11213" s="82"/>
      <c r="B11213" s="82"/>
      <c r="C11213" s="82"/>
    </row>
    <row r="11214" spans="1:3" x14ac:dyDescent="0.2">
      <c r="A11214" s="82"/>
      <c r="B11214" s="82"/>
      <c r="C11214" s="82"/>
    </row>
    <row r="11215" spans="1:3" x14ac:dyDescent="0.2">
      <c r="A11215" s="82"/>
      <c r="B11215" s="82"/>
      <c r="C11215" s="82"/>
    </row>
    <row r="11216" spans="1:3" x14ac:dyDescent="0.2">
      <c r="A11216" s="82"/>
      <c r="B11216" s="82"/>
      <c r="C11216" s="82"/>
    </row>
    <row r="11217" spans="1:3" x14ac:dyDescent="0.2">
      <c r="A11217" s="82"/>
      <c r="B11217" s="82"/>
      <c r="C11217" s="82"/>
    </row>
    <row r="11218" spans="1:3" x14ac:dyDescent="0.2">
      <c r="A11218" s="82"/>
      <c r="B11218" s="82"/>
      <c r="C11218" s="82"/>
    </row>
    <row r="11219" spans="1:3" x14ac:dyDescent="0.2">
      <c r="A11219" s="82"/>
      <c r="B11219" s="82"/>
      <c r="C11219" s="82"/>
    </row>
    <row r="11220" spans="1:3" x14ac:dyDescent="0.2">
      <c r="A11220" s="82"/>
      <c r="B11220" s="82"/>
      <c r="C11220" s="82"/>
    </row>
    <row r="11221" spans="1:3" x14ac:dyDescent="0.2">
      <c r="A11221" s="82"/>
      <c r="B11221" s="82"/>
      <c r="C11221" s="82"/>
    </row>
    <row r="11222" spans="1:3" x14ac:dyDescent="0.2">
      <c r="A11222" s="82"/>
      <c r="B11222" s="82"/>
      <c r="C11222" s="82"/>
    </row>
    <row r="11223" spans="1:3" x14ac:dyDescent="0.2">
      <c r="A11223" s="82"/>
      <c r="B11223" s="82"/>
      <c r="C11223" s="82"/>
    </row>
    <row r="11224" spans="1:3" x14ac:dyDescent="0.2">
      <c r="A11224" s="82"/>
      <c r="B11224" s="82"/>
      <c r="C11224" s="82"/>
    </row>
    <row r="11225" spans="1:3" x14ac:dyDescent="0.2">
      <c r="A11225" s="82"/>
      <c r="B11225" s="82"/>
      <c r="C11225" s="82"/>
    </row>
    <row r="11226" spans="1:3" x14ac:dyDescent="0.2">
      <c r="A11226" s="82"/>
      <c r="B11226" s="82"/>
      <c r="C11226" s="82"/>
    </row>
    <row r="11227" spans="1:3" x14ac:dyDescent="0.2">
      <c r="A11227" s="82"/>
      <c r="B11227" s="82"/>
      <c r="C11227" s="82"/>
    </row>
    <row r="11228" spans="1:3" x14ac:dyDescent="0.2">
      <c r="A11228" s="82"/>
      <c r="B11228" s="82"/>
      <c r="C11228" s="82"/>
    </row>
    <row r="11229" spans="1:3" x14ac:dyDescent="0.2">
      <c r="A11229" s="82"/>
      <c r="B11229" s="82"/>
      <c r="C11229" s="82"/>
    </row>
    <row r="11230" spans="1:3" x14ac:dyDescent="0.2">
      <c r="A11230" s="82"/>
      <c r="B11230" s="82"/>
      <c r="C11230" s="82"/>
    </row>
    <row r="11231" spans="1:3" x14ac:dyDescent="0.2">
      <c r="A11231" s="82"/>
      <c r="B11231" s="82"/>
      <c r="C11231" s="82"/>
    </row>
    <row r="11232" spans="1:3" x14ac:dyDescent="0.2">
      <c r="A11232" s="82"/>
      <c r="B11232" s="82"/>
      <c r="C11232" s="82"/>
    </row>
    <row r="11233" spans="1:3" x14ac:dyDescent="0.2">
      <c r="A11233" s="82"/>
      <c r="B11233" s="82"/>
      <c r="C11233" s="82"/>
    </row>
    <row r="11234" spans="1:3" x14ac:dyDescent="0.2">
      <c r="A11234" s="82"/>
      <c r="B11234" s="82"/>
      <c r="C11234" s="82"/>
    </row>
    <row r="11235" spans="1:3" x14ac:dyDescent="0.2">
      <c r="A11235" s="82"/>
      <c r="B11235" s="82"/>
      <c r="C11235" s="82"/>
    </row>
    <row r="11236" spans="1:3" x14ac:dyDescent="0.2">
      <c r="A11236" s="82"/>
      <c r="B11236" s="82"/>
      <c r="C11236" s="82"/>
    </row>
    <row r="11237" spans="1:3" x14ac:dyDescent="0.2">
      <c r="A11237" s="82"/>
      <c r="B11237" s="82"/>
      <c r="C11237" s="82"/>
    </row>
    <row r="11238" spans="1:3" x14ac:dyDescent="0.2">
      <c r="A11238" s="82"/>
      <c r="B11238" s="82"/>
      <c r="C11238" s="82"/>
    </row>
    <row r="11239" spans="1:3" x14ac:dyDescent="0.2">
      <c r="A11239" s="82"/>
      <c r="B11239" s="82"/>
      <c r="C11239" s="82"/>
    </row>
    <row r="11240" spans="1:3" x14ac:dyDescent="0.2">
      <c r="A11240" s="82"/>
      <c r="B11240" s="82"/>
      <c r="C11240" s="82"/>
    </row>
    <row r="11241" spans="1:3" x14ac:dyDescent="0.2">
      <c r="A11241" s="82"/>
      <c r="B11241" s="82"/>
      <c r="C11241" s="82"/>
    </row>
    <row r="11242" spans="1:3" x14ac:dyDescent="0.2">
      <c r="A11242" s="82"/>
      <c r="B11242" s="82"/>
      <c r="C11242" s="82"/>
    </row>
    <row r="11243" spans="1:3" x14ac:dyDescent="0.2">
      <c r="A11243" s="82"/>
      <c r="B11243" s="82"/>
      <c r="C11243" s="82"/>
    </row>
    <row r="11244" spans="1:3" x14ac:dyDescent="0.2">
      <c r="A11244" s="82"/>
      <c r="B11244" s="82"/>
      <c r="C11244" s="82"/>
    </row>
    <row r="11245" spans="1:3" x14ac:dyDescent="0.2">
      <c r="A11245" s="82"/>
      <c r="B11245" s="82"/>
      <c r="C11245" s="82"/>
    </row>
    <row r="11246" spans="1:3" x14ac:dyDescent="0.2">
      <c r="A11246" s="82"/>
      <c r="B11246" s="82"/>
      <c r="C11246" s="82"/>
    </row>
    <row r="11247" spans="1:3" x14ac:dyDescent="0.2">
      <c r="A11247" s="82"/>
      <c r="B11247" s="82"/>
      <c r="C11247" s="82"/>
    </row>
    <row r="11248" spans="1:3" x14ac:dyDescent="0.2">
      <c r="A11248" s="82"/>
      <c r="B11248" s="82"/>
      <c r="C11248" s="82"/>
    </row>
    <row r="11249" spans="1:3" x14ac:dyDescent="0.2">
      <c r="A11249" s="82"/>
      <c r="B11249" s="82"/>
      <c r="C11249" s="82"/>
    </row>
    <row r="11250" spans="1:3" x14ac:dyDescent="0.2">
      <c r="A11250" s="82"/>
      <c r="B11250" s="82"/>
      <c r="C11250" s="82"/>
    </row>
    <row r="11251" spans="1:3" x14ac:dyDescent="0.2">
      <c r="A11251" s="82"/>
      <c r="B11251" s="82"/>
      <c r="C11251" s="82"/>
    </row>
    <row r="11252" spans="1:3" x14ac:dyDescent="0.2">
      <c r="A11252" s="82"/>
      <c r="B11252" s="82"/>
      <c r="C11252" s="82"/>
    </row>
    <row r="11253" spans="1:3" x14ac:dyDescent="0.2">
      <c r="A11253" s="82"/>
      <c r="B11253" s="82"/>
      <c r="C11253" s="82"/>
    </row>
    <row r="11254" spans="1:3" x14ac:dyDescent="0.2">
      <c r="A11254" s="82"/>
      <c r="B11254" s="82"/>
      <c r="C11254" s="82"/>
    </row>
    <row r="11255" spans="1:3" x14ac:dyDescent="0.2">
      <c r="A11255" s="82"/>
      <c r="B11255" s="82"/>
      <c r="C11255" s="82"/>
    </row>
    <row r="11256" spans="1:3" x14ac:dyDescent="0.2">
      <c r="A11256" s="82"/>
      <c r="B11256" s="82"/>
      <c r="C11256" s="82"/>
    </row>
    <row r="11257" spans="1:3" x14ac:dyDescent="0.2">
      <c r="A11257" s="82"/>
      <c r="B11257" s="82"/>
      <c r="C11257" s="82"/>
    </row>
    <row r="11258" spans="1:3" x14ac:dyDescent="0.2">
      <c r="A11258" s="82"/>
      <c r="B11258" s="82"/>
      <c r="C11258" s="82"/>
    </row>
    <row r="11259" spans="1:3" x14ac:dyDescent="0.2">
      <c r="A11259" s="82"/>
      <c r="B11259" s="82"/>
      <c r="C11259" s="82"/>
    </row>
    <row r="11260" spans="1:3" x14ac:dyDescent="0.2">
      <c r="A11260" s="82"/>
      <c r="B11260" s="82"/>
      <c r="C11260" s="82"/>
    </row>
    <row r="11261" spans="1:3" x14ac:dyDescent="0.2">
      <c r="A11261" s="82"/>
      <c r="B11261" s="82"/>
      <c r="C11261" s="82"/>
    </row>
    <row r="11262" spans="1:3" x14ac:dyDescent="0.2">
      <c r="A11262" s="82"/>
      <c r="B11262" s="82"/>
      <c r="C11262" s="82"/>
    </row>
    <row r="11263" spans="1:3" x14ac:dyDescent="0.2">
      <c r="A11263" s="82"/>
      <c r="B11263" s="82"/>
      <c r="C11263" s="82"/>
    </row>
    <row r="11264" spans="1:3" x14ac:dyDescent="0.2">
      <c r="A11264" s="82"/>
      <c r="B11264" s="82"/>
      <c r="C11264" s="82"/>
    </row>
    <row r="11265" spans="1:3" x14ac:dyDescent="0.2">
      <c r="A11265" s="82"/>
      <c r="B11265" s="82"/>
      <c r="C11265" s="82"/>
    </row>
    <row r="11266" spans="1:3" x14ac:dyDescent="0.2">
      <c r="A11266" s="82"/>
      <c r="B11266" s="82"/>
      <c r="C11266" s="82"/>
    </row>
    <row r="11267" spans="1:3" x14ac:dyDescent="0.2">
      <c r="A11267" s="82"/>
      <c r="B11267" s="82"/>
      <c r="C11267" s="82"/>
    </row>
    <row r="11268" spans="1:3" x14ac:dyDescent="0.2">
      <c r="A11268" s="82"/>
      <c r="B11268" s="82"/>
      <c r="C11268" s="82"/>
    </row>
    <row r="11269" spans="1:3" x14ac:dyDescent="0.2">
      <c r="A11269" s="82"/>
      <c r="B11269" s="82"/>
      <c r="C11269" s="82"/>
    </row>
    <row r="11270" spans="1:3" x14ac:dyDescent="0.2">
      <c r="A11270" s="82"/>
      <c r="B11270" s="82"/>
      <c r="C11270" s="82"/>
    </row>
    <row r="11271" spans="1:3" x14ac:dyDescent="0.2">
      <c r="A11271" s="82"/>
      <c r="B11271" s="82"/>
      <c r="C11271" s="82"/>
    </row>
    <row r="11272" spans="1:3" x14ac:dyDescent="0.2">
      <c r="A11272" s="82"/>
      <c r="B11272" s="82"/>
      <c r="C11272" s="82"/>
    </row>
    <row r="11273" spans="1:3" x14ac:dyDescent="0.2">
      <c r="A11273" s="82"/>
      <c r="B11273" s="82"/>
      <c r="C11273" s="82"/>
    </row>
    <row r="11274" spans="1:3" x14ac:dyDescent="0.2">
      <c r="A11274" s="82"/>
      <c r="B11274" s="82"/>
      <c r="C11274" s="82"/>
    </row>
    <row r="11275" spans="1:3" x14ac:dyDescent="0.2">
      <c r="A11275" s="82"/>
      <c r="B11275" s="82"/>
      <c r="C11275" s="82"/>
    </row>
    <row r="11276" spans="1:3" x14ac:dyDescent="0.2">
      <c r="A11276" s="82"/>
      <c r="B11276" s="82"/>
      <c r="C11276" s="82"/>
    </row>
    <row r="11277" spans="1:3" x14ac:dyDescent="0.2">
      <c r="A11277" s="82"/>
      <c r="B11277" s="82"/>
      <c r="C11277" s="82"/>
    </row>
    <row r="11278" spans="1:3" x14ac:dyDescent="0.2">
      <c r="A11278" s="82"/>
      <c r="B11278" s="82"/>
      <c r="C11278" s="82"/>
    </row>
    <row r="11279" spans="1:3" x14ac:dyDescent="0.2">
      <c r="A11279" s="82"/>
      <c r="B11279" s="82"/>
      <c r="C11279" s="82"/>
    </row>
    <row r="11280" spans="1:3" x14ac:dyDescent="0.2">
      <c r="A11280" s="82"/>
      <c r="B11280" s="82"/>
      <c r="C11280" s="82"/>
    </row>
    <row r="11281" spans="1:3" x14ac:dyDescent="0.2">
      <c r="A11281" s="82"/>
      <c r="B11281" s="82"/>
      <c r="C11281" s="82"/>
    </row>
    <row r="11282" spans="1:3" x14ac:dyDescent="0.2">
      <c r="A11282" s="82"/>
      <c r="B11282" s="82"/>
      <c r="C11282" s="82"/>
    </row>
    <row r="11283" spans="1:3" x14ac:dyDescent="0.2">
      <c r="A11283" s="82"/>
      <c r="B11283" s="82"/>
      <c r="C11283" s="82"/>
    </row>
    <row r="11284" spans="1:3" x14ac:dyDescent="0.2">
      <c r="A11284" s="82"/>
      <c r="B11284" s="82"/>
      <c r="C11284" s="82"/>
    </row>
    <row r="11285" spans="1:3" x14ac:dyDescent="0.2">
      <c r="A11285" s="82"/>
      <c r="B11285" s="82"/>
      <c r="C11285" s="82"/>
    </row>
    <row r="11286" spans="1:3" x14ac:dyDescent="0.2">
      <c r="A11286" s="82"/>
      <c r="B11286" s="82"/>
      <c r="C11286" s="82"/>
    </row>
    <row r="11287" spans="1:3" x14ac:dyDescent="0.2">
      <c r="A11287" s="82"/>
      <c r="B11287" s="82"/>
      <c r="C11287" s="82"/>
    </row>
    <row r="11288" spans="1:3" x14ac:dyDescent="0.2">
      <c r="A11288" s="82"/>
      <c r="B11288" s="82"/>
      <c r="C11288" s="82"/>
    </row>
    <row r="11289" spans="1:3" x14ac:dyDescent="0.2">
      <c r="A11289" s="82"/>
      <c r="B11289" s="82"/>
      <c r="C11289" s="82"/>
    </row>
    <row r="11290" spans="1:3" x14ac:dyDescent="0.2">
      <c r="A11290" s="82"/>
      <c r="B11290" s="82"/>
      <c r="C11290" s="82"/>
    </row>
    <row r="11291" spans="1:3" x14ac:dyDescent="0.2">
      <c r="A11291" s="82"/>
      <c r="B11291" s="82"/>
      <c r="C11291" s="82"/>
    </row>
    <row r="11292" spans="1:3" x14ac:dyDescent="0.2">
      <c r="A11292" s="82"/>
      <c r="B11292" s="82"/>
      <c r="C11292" s="82"/>
    </row>
    <row r="11293" spans="1:3" x14ac:dyDescent="0.2">
      <c r="A11293" s="82"/>
      <c r="B11293" s="82"/>
      <c r="C11293" s="82"/>
    </row>
    <row r="11294" spans="1:3" x14ac:dyDescent="0.2">
      <c r="A11294" s="82"/>
      <c r="B11294" s="82"/>
      <c r="C11294" s="82"/>
    </row>
    <row r="11295" spans="1:3" x14ac:dyDescent="0.2">
      <c r="A11295" s="82"/>
      <c r="B11295" s="82"/>
      <c r="C11295" s="82"/>
    </row>
    <row r="11296" spans="1:3" x14ac:dyDescent="0.2">
      <c r="A11296" s="82"/>
      <c r="B11296" s="82"/>
      <c r="C11296" s="82"/>
    </row>
    <row r="11297" spans="1:3" x14ac:dyDescent="0.2">
      <c r="A11297" s="82"/>
      <c r="B11297" s="82"/>
      <c r="C11297" s="82"/>
    </row>
    <row r="11298" spans="1:3" x14ac:dyDescent="0.2">
      <c r="A11298" s="82"/>
      <c r="B11298" s="82"/>
      <c r="C11298" s="82"/>
    </row>
    <row r="11299" spans="1:3" x14ac:dyDescent="0.2">
      <c r="A11299" s="82"/>
      <c r="B11299" s="82"/>
      <c r="C11299" s="82"/>
    </row>
    <row r="11300" spans="1:3" x14ac:dyDescent="0.2">
      <c r="A11300" s="82"/>
      <c r="B11300" s="82"/>
      <c r="C11300" s="82"/>
    </row>
    <row r="11301" spans="1:3" x14ac:dyDescent="0.2">
      <c r="A11301" s="82"/>
      <c r="B11301" s="82"/>
      <c r="C11301" s="82"/>
    </row>
    <row r="11302" spans="1:3" x14ac:dyDescent="0.2">
      <c r="A11302" s="82"/>
      <c r="B11302" s="82"/>
      <c r="C11302" s="82"/>
    </row>
    <row r="11303" spans="1:3" x14ac:dyDescent="0.2">
      <c r="A11303" s="82"/>
      <c r="B11303" s="82"/>
      <c r="C11303" s="82"/>
    </row>
    <row r="11304" spans="1:3" x14ac:dyDescent="0.2">
      <c r="A11304" s="82"/>
      <c r="B11304" s="82"/>
      <c r="C11304" s="82"/>
    </row>
    <row r="11305" spans="1:3" x14ac:dyDescent="0.2">
      <c r="A11305" s="82"/>
      <c r="B11305" s="82"/>
      <c r="C11305" s="82"/>
    </row>
    <row r="11306" spans="1:3" x14ac:dyDescent="0.2">
      <c r="A11306" s="82"/>
      <c r="B11306" s="82"/>
      <c r="C11306" s="82"/>
    </row>
    <row r="11307" spans="1:3" x14ac:dyDescent="0.2">
      <c r="A11307" s="82"/>
      <c r="B11307" s="82"/>
      <c r="C11307" s="82"/>
    </row>
    <row r="11308" spans="1:3" x14ac:dyDescent="0.2">
      <c r="A11308" s="82"/>
      <c r="B11308" s="82"/>
      <c r="C11308" s="82"/>
    </row>
    <row r="11309" spans="1:3" x14ac:dyDescent="0.2">
      <c r="A11309" s="82"/>
      <c r="B11309" s="82"/>
      <c r="C11309" s="82"/>
    </row>
    <row r="11310" spans="1:3" x14ac:dyDescent="0.2">
      <c r="A11310" s="82"/>
      <c r="B11310" s="82"/>
      <c r="C11310" s="82"/>
    </row>
    <row r="11311" spans="1:3" x14ac:dyDescent="0.2">
      <c r="A11311" s="82"/>
      <c r="B11311" s="82"/>
      <c r="C11311" s="82"/>
    </row>
    <row r="11312" spans="1:3" x14ac:dyDescent="0.2">
      <c r="A11312" s="82"/>
      <c r="B11312" s="82"/>
      <c r="C11312" s="82"/>
    </row>
    <row r="11313" spans="1:3" x14ac:dyDescent="0.2">
      <c r="A11313" s="82"/>
      <c r="B11313" s="82"/>
      <c r="C11313" s="82"/>
    </row>
    <row r="11314" spans="1:3" x14ac:dyDescent="0.2">
      <c r="A11314" s="82"/>
      <c r="B11314" s="82"/>
      <c r="C11314" s="82"/>
    </row>
    <row r="11315" spans="1:3" x14ac:dyDescent="0.2">
      <c r="A11315" s="82"/>
      <c r="B11315" s="82"/>
      <c r="C11315" s="82"/>
    </row>
    <row r="11316" spans="1:3" x14ac:dyDescent="0.2">
      <c r="A11316" s="82"/>
      <c r="B11316" s="82"/>
      <c r="C11316" s="82"/>
    </row>
    <row r="11317" spans="1:3" x14ac:dyDescent="0.2">
      <c r="A11317" s="82"/>
      <c r="B11317" s="82"/>
      <c r="C11317" s="82"/>
    </row>
    <row r="11318" spans="1:3" x14ac:dyDescent="0.2">
      <c r="A11318" s="82"/>
      <c r="B11318" s="82"/>
      <c r="C11318" s="82"/>
    </row>
    <row r="11319" spans="1:3" x14ac:dyDescent="0.2">
      <c r="A11319" s="82"/>
      <c r="B11319" s="82"/>
      <c r="C11319" s="82"/>
    </row>
    <row r="11320" spans="1:3" x14ac:dyDescent="0.2">
      <c r="A11320" s="82"/>
      <c r="B11320" s="82"/>
      <c r="C11320" s="82"/>
    </row>
    <row r="11321" spans="1:3" x14ac:dyDescent="0.2">
      <c r="A11321" s="82"/>
      <c r="B11321" s="82"/>
      <c r="C11321" s="82"/>
    </row>
    <row r="11322" spans="1:3" x14ac:dyDescent="0.2">
      <c r="A11322" s="82"/>
      <c r="B11322" s="82"/>
      <c r="C11322" s="82"/>
    </row>
    <row r="11323" spans="1:3" x14ac:dyDescent="0.2">
      <c r="A11323" s="82"/>
      <c r="B11323" s="82"/>
      <c r="C11323" s="82"/>
    </row>
    <row r="11324" spans="1:3" x14ac:dyDescent="0.2">
      <c r="A11324" s="82"/>
      <c r="B11324" s="82"/>
      <c r="C11324" s="82"/>
    </row>
    <row r="11325" spans="1:3" x14ac:dyDescent="0.2">
      <c r="A11325" s="82"/>
      <c r="B11325" s="82"/>
      <c r="C11325" s="82"/>
    </row>
    <row r="11326" spans="1:3" x14ac:dyDescent="0.2">
      <c r="A11326" s="82"/>
      <c r="B11326" s="82"/>
      <c r="C11326" s="82"/>
    </row>
    <row r="11327" spans="1:3" x14ac:dyDescent="0.2">
      <c r="A11327" s="82"/>
      <c r="B11327" s="82"/>
      <c r="C11327" s="82"/>
    </row>
    <row r="11328" spans="1:3" x14ac:dyDescent="0.2">
      <c r="A11328" s="82"/>
      <c r="B11328" s="82"/>
      <c r="C11328" s="82"/>
    </row>
    <row r="11329" spans="1:3" x14ac:dyDescent="0.2">
      <c r="A11329" s="82"/>
      <c r="B11329" s="82"/>
      <c r="C11329" s="82"/>
    </row>
    <row r="11330" spans="1:3" x14ac:dyDescent="0.2">
      <c r="A11330" s="82"/>
      <c r="B11330" s="82"/>
      <c r="C11330" s="82"/>
    </row>
    <row r="11331" spans="1:3" x14ac:dyDescent="0.2">
      <c r="A11331" s="82"/>
      <c r="B11331" s="82"/>
      <c r="C11331" s="82"/>
    </row>
    <row r="11332" spans="1:3" x14ac:dyDescent="0.2">
      <c r="A11332" s="82"/>
      <c r="B11332" s="82"/>
      <c r="C11332" s="82"/>
    </row>
    <row r="11333" spans="1:3" x14ac:dyDescent="0.2">
      <c r="A11333" s="82"/>
      <c r="B11333" s="82"/>
      <c r="C11333" s="82"/>
    </row>
    <row r="11334" spans="1:3" x14ac:dyDescent="0.2">
      <c r="A11334" s="82"/>
      <c r="B11334" s="82"/>
      <c r="C11334" s="82"/>
    </row>
    <row r="11335" spans="1:3" x14ac:dyDescent="0.2">
      <c r="A11335" s="82"/>
      <c r="B11335" s="82"/>
      <c r="C11335" s="82"/>
    </row>
    <row r="11336" spans="1:3" x14ac:dyDescent="0.2">
      <c r="A11336" s="82"/>
      <c r="B11336" s="82"/>
      <c r="C11336" s="82"/>
    </row>
    <row r="11337" spans="1:3" x14ac:dyDescent="0.2">
      <c r="A11337" s="82"/>
      <c r="B11337" s="82"/>
      <c r="C11337" s="82"/>
    </row>
    <row r="11338" spans="1:3" x14ac:dyDescent="0.2">
      <c r="A11338" s="82"/>
      <c r="B11338" s="82"/>
      <c r="C11338" s="82"/>
    </row>
    <row r="11339" spans="1:3" x14ac:dyDescent="0.2">
      <c r="A11339" s="82"/>
      <c r="B11339" s="82"/>
      <c r="C11339" s="82"/>
    </row>
    <row r="11340" spans="1:3" x14ac:dyDescent="0.2">
      <c r="A11340" s="82"/>
      <c r="B11340" s="82"/>
      <c r="C11340" s="82"/>
    </row>
    <row r="11341" spans="1:3" x14ac:dyDescent="0.2">
      <c r="A11341" s="82"/>
      <c r="B11341" s="82"/>
      <c r="C11341" s="82"/>
    </row>
    <row r="11342" spans="1:3" x14ac:dyDescent="0.2">
      <c r="A11342" s="82"/>
      <c r="B11342" s="82"/>
      <c r="C11342" s="82"/>
    </row>
    <row r="11343" spans="1:3" x14ac:dyDescent="0.2">
      <c r="A11343" s="82"/>
      <c r="B11343" s="82"/>
      <c r="C11343" s="82"/>
    </row>
    <row r="11344" spans="1:3" x14ac:dyDescent="0.2">
      <c r="A11344" s="82"/>
      <c r="B11344" s="82"/>
      <c r="C11344" s="82"/>
    </row>
    <row r="11345" spans="1:3" x14ac:dyDescent="0.2">
      <c r="A11345" s="82"/>
      <c r="B11345" s="82"/>
      <c r="C11345" s="82"/>
    </row>
    <row r="11346" spans="1:3" x14ac:dyDescent="0.2">
      <c r="A11346" s="82"/>
      <c r="B11346" s="82"/>
      <c r="C11346" s="82"/>
    </row>
    <row r="11347" spans="1:3" x14ac:dyDescent="0.2">
      <c r="A11347" s="82"/>
      <c r="B11347" s="82"/>
      <c r="C11347" s="82"/>
    </row>
    <row r="11348" spans="1:3" x14ac:dyDescent="0.2">
      <c r="A11348" s="82"/>
      <c r="B11348" s="82"/>
      <c r="C11348" s="82"/>
    </row>
    <row r="11349" spans="1:3" x14ac:dyDescent="0.2">
      <c r="A11349" s="82"/>
      <c r="B11349" s="82"/>
      <c r="C11349" s="82"/>
    </row>
    <row r="11350" spans="1:3" x14ac:dyDescent="0.2">
      <c r="A11350" s="82"/>
      <c r="B11350" s="82"/>
      <c r="C11350" s="82"/>
    </row>
    <row r="11351" spans="1:3" x14ac:dyDescent="0.2">
      <c r="A11351" s="82"/>
      <c r="B11351" s="82"/>
      <c r="C11351" s="82"/>
    </row>
    <row r="11352" spans="1:3" x14ac:dyDescent="0.2">
      <c r="A11352" s="82"/>
      <c r="B11352" s="82"/>
      <c r="C11352" s="82"/>
    </row>
    <row r="11353" spans="1:3" x14ac:dyDescent="0.2">
      <c r="A11353" s="82"/>
      <c r="B11353" s="82"/>
      <c r="C11353" s="82"/>
    </row>
    <row r="11354" spans="1:3" x14ac:dyDescent="0.2">
      <c r="A11354" s="82"/>
      <c r="B11354" s="82"/>
      <c r="C11354" s="82"/>
    </row>
    <row r="11355" spans="1:3" x14ac:dyDescent="0.2">
      <c r="A11355" s="82"/>
      <c r="B11355" s="82"/>
      <c r="C11355" s="82"/>
    </row>
    <row r="11356" spans="1:3" x14ac:dyDescent="0.2">
      <c r="A11356" s="82"/>
      <c r="B11356" s="82"/>
      <c r="C11356" s="82"/>
    </row>
    <row r="11357" spans="1:3" x14ac:dyDescent="0.2">
      <c r="A11357" s="82"/>
      <c r="B11357" s="82"/>
      <c r="C11357" s="82"/>
    </row>
    <row r="11358" spans="1:3" x14ac:dyDescent="0.2">
      <c r="A11358" s="82"/>
      <c r="B11358" s="82"/>
      <c r="C11358" s="82"/>
    </row>
    <row r="11359" spans="1:3" x14ac:dyDescent="0.2">
      <c r="A11359" s="82"/>
      <c r="B11359" s="82"/>
      <c r="C11359" s="82"/>
    </row>
    <row r="11360" spans="1:3" x14ac:dyDescent="0.2">
      <c r="A11360" s="82"/>
      <c r="B11360" s="82"/>
      <c r="C11360" s="82"/>
    </row>
    <row r="11361" spans="1:3" x14ac:dyDescent="0.2">
      <c r="A11361" s="82"/>
      <c r="B11361" s="82"/>
      <c r="C11361" s="82"/>
    </row>
    <row r="11362" spans="1:3" x14ac:dyDescent="0.2">
      <c r="A11362" s="82"/>
      <c r="B11362" s="82"/>
      <c r="C11362" s="82"/>
    </row>
    <row r="11363" spans="1:3" x14ac:dyDescent="0.2">
      <c r="A11363" s="82"/>
      <c r="B11363" s="82"/>
      <c r="C11363" s="82"/>
    </row>
    <row r="11364" spans="1:3" x14ac:dyDescent="0.2">
      <c r="A11364" s="82"/>
      <c r="B11364" s="82"/>
      <c r="C11364" s="82"/>
    </row>
    <row r="11365" spans="1:3" x14ac:dyDescent="0.2">
      <c r="A11365" s="82"/>
      <c r="B11365" s="82"/>
      <c r="C11365" s="82"/>
    </row>
    <row r="11366" spans="1:3" x14ac:dyDescent="0.2">
      <c r="A11366" s="82"/>
      <c r="B11366" s="82"/>
      <c r="C11366" s="82"/>
    </row>
    <row r="11367" spans="1:3" x14ac:dyDescent="0.2">
      <c r="A11367" s="82"/>
      <c r="B11367" s="82"/>
      <c r="C11367" s="82"/>
    </row>
    <row r="11368" spans="1:3" x14ac:dyDescent="0.2">
      <c r="A11368" s="82"/>
      <c r="B11368" s="82"/>
      <c r="C11368" s="82"/>
    </row>
    <row r="11369" spans="1:3" x14ac:dyDescent="0.2">
      <c r="A11369" s="82"/>
      <c r="B11369" s="82"/>
      <c r="C11369" s="82"/>
    </row>
    <row r="11370" spans="1:3" x14ac:dyDescent="0.2">
      <c r="A11370" s="82"/>
      <c r="B11370" s="82"/>
      <c r="C11370" s="82"/>
    </row>
    <row r="11371" spans="1:3" x14ac:dyDescent="0.2">
      <c r="A11371" s="82"/>
      <c r="B11371" s="82"/>
      <c r="C11371" s="82"/>
    </row>
    <row r="11372" spans="1:3" x14ac:dyDescent="0.2">
      <c r="A11372" s="82"/>
      <c r="B11372" s="82"/>
      <c r="C11372" s="82"/>
    </row>
    <row r="11373" spans="1:3" x14ac:dyDescent="0.2">
      <c r="A11373" s="82"/>
      <c r="B11373" s="82"/>
      <c r="C11373" s="82"/>
    </row>
    <row r="11374" spans="1:3" x14ac:dyDescent="0.2">
      <c r="A11374" s="82"/>
      <c r="B11374" s="82"/>
      <c r="C11374" s="82"/>
    </row>
    <row r="11375" spans="1:3" x14ac:dyDescent="0.2">
      <c r="A11375" s="82"/>
      <c r="B11375" s="82"/>
      <c r="C11375" s="82"/>
    </row>
    <row r="11376" spans="1:3" x14ac:dyDescent="0.2">
      <c r="A11376" s="82"/>
      <c r="B11376" s="82"/>
      <c r="C11376" s="82"/>
    </row>
    <row r="11377" spans="1:3" x14ac:dyDescent="0.2">
      <c r="A11377" s="82"/>
      <c r="B11377" s="82"/>
      <c r="C11377" s="82"/>
    </row>
    <row r="11378" spans="1:3" x14ac:dyDescent="0.2">
      <c r="A11378" s="82"/>
      <c r="B11378" s="82"/>
      <c r="C11378" s="82"/>
    </row>
    <row r="11379" spans="1:3" x14ac:dyDescent="0.2">
      <c r="A11379" s="82"/>
      <c r="B11379" s="82"/>
      <c r="C11379" s="82"/>
    </row>
    <row r="11380" spans="1:3" x14ac:dyDescent="0.2">
      <c r="A11380" s="82"/>
      <c r="B11380" s="82"/>
      <c r="C11380" s="82"/>
    </row>
    <row r="11381" spans="1:3" x14ac:dyDescent="0.2">
      <c r="A11381" s="82"/>
      <c r="B11381" s="82"/>
      <c r="C11381" s="82"/>
    </row>
    <row r="11382" spans="1:3" x14ac:dyDescent="0.2">
      <c r="A11382" s="82"/>
      <c r="B11382" s="82"/>
      <c r="C11382" s="82"/>
    </row>
    <row r="11383" spans="1:3" x14ac:dyDescent="0.2">
      <c r="A11383" s="82"/>
      <c r="B11383" s="82"/>
      <c r="C11383" s="82"/>
    </row>
    <row r="11384" spans="1:3" x14ac:dyDescent="0.2">
      <c r="A11384" s="82"/>
      <c r="B11384" s="82"/>
      <c r="C11384" s="82"/>
    </row>
    <row r="11385" spans="1:3" x14ac:dyDescent="0.2">
      <c r="A11385" s="82"/>
      <c r="B11385" s="82"/>
      <c r="C11385" s="82"/>
    </row>
    <row r="11386" spans="1:3" x14ac:dyDescent="0.2">
      <c r="A11386" s="82"/>
      <c r="B11386" s="82"/>
      <c r="C11386" s="82"/>
    </row>
    <row r="11387" spans="1:3" x14ac:dyDescent="0.2">
      <c r="A11387" s="82"/>
      <c r="B11387" s="82"/>
      <c r="C11387" s="82"/>
    </row>
    <row r="11388" spans="1:3" x14ac:dyDescent="0.2">
      <c r="A11388" s="82"/>
      <c r="B11388" s="82"/>
      <c r="C11388" s="82"/>
    </row>
    <row r="11389" spans="1:3" x14ac:dyDescent="0.2">
      <c r="A11389" s="82"/>
      <c r="B11389" s="82"/>
      <c r="C11389" s="82"/>
    </row>
    <row r="11390" spans="1:3" x14ac:dyDescent="0.2">
      <c r="A11390" s="82"/>
      <c r="B11390" s="82"/>
      <c r="C11390" s="82"/>
    </row>
    <row r="11391" spans="1:3" x14ac:dyDescent="0.2">
      <c r="A11391" s="82"/>
      <c r="B11391" s="82"/>
      <c r="C11391" s="82"/>
    </row>
    <row r="11392" spans="1:3" x14ac:dyDescent="0.2">
      <c r="A11392" s="82"/>
      <c r="B11392" s="82"/>
      <c r="C11392" s="82"/>
    </row>
    <row r="11393" spans="1:3" x14ac:dyDescent="0.2">
      <c r="A11393" s="82"/>
      <c r="B11393" s="82"/>
      <c r="C11393" s="82"/>
    </row>
    <row r="11394" spans="1:3" x14ac:dyDescent="0.2">
      <c r="A11394" s="82"/>
      <c r="B11394" s="82"/>
      <c r="C11394" s="82"/>
    </row>
    <row r="11395" spans="1:3" x14ac:dyDescent="0.2">
      <c r="A11395" s="82"/>
      <c r="B11395" s="82"/>
      <c r="C11395" s="82"/>
    </row>
    <row r="11396" spans="1:3" x14ac:dyDescent="0.2">
      <c r="A11396" s="82"/>
      <c r="B11396" s="82"/>
      <c r="C11396" s="82"/>
    </row>
    <row r="11397" spans="1:3" x14ac:dyDescent="0.2">
      <c r="A11397" s="82"/>
      <c r="B11397" s="82"/>
      <c r="C11397" s="82"/>
    </row>
    <row r="11398" spans="1:3" x14ac:dyDescent="0.2">
      <c r="A11398" s="82"/>
      <c r="B11398" s="82"/>
      <c r="C11398" s="82"/>
    </row>
    <row r="11399" spans="1:3" x14ac:dyDescent="0.2">
      <c r="A11399" s="82"/>
      <c r="B11399" s="82"/>
      <c r="C11399" s="82"/>
    </row>
    <row r="11400" spans="1:3" x14ac:dyDescent="0.2">
      <c r="A11400" s="82"/>
      <c r="B11400" s="82"/>
      <c r="C11400" s="82"/>
    </row>
    <row r="11401" spans="1:3" x14ac:dyDescent="0.2">
      <c r="A11401" s="82"/>
      <c r="B11401" s="82"/>
      <c r="C11401" s="82"/>
    </row>
    <row r="11402" spans="1:3" x14ac:dyDescent="0.2">
      <c r="A11402" s="82"/>
      <c r="B11402" s="82"/>
      <c r="C11402" s="82"/>
    </row>
    <row r="11403" spans="1:3" x14ac:dyDescent="0.2">
      <c r="A11403" s="82"/>
      <c r="B11403" s="82"/>
      <c r="C11403" s="82"/>
    </row>
    <row r="11404" spans="1:3" x14ac:dyDescent="0.2">
      <c r="A11404" s="82"/>
      <c r="B11404" s="82"/>
      <c r="C11404" s="82"/>
    </row>
    <row r="11405" spans="1:3" x14ac:dyDescent="0.2">
      <c r="A11405" s="82"/>
      <c r="B11405" s="82"/>
      <c r="C11405" s="82"/>
    </row>
    <row r="11406" spans="1:3" x14ac:dyDescent="0.2">
      <c r="A11406" s="82"/>
      <c r="B11406" s="82"/>
      <c r="C11406" s="82"/>
    </row>
    <row r="11407" spans="1:3" x14ac:dyDescent="0.2">
      <c r="A11407" s="82"/>
      <c r="B11407" s="82"/>
      <c r="C11407" s="82"/>
    </row>
    <row r="11408" spans="1:3" x14ac:dyDescent="0.2">
      <c r="A11408" s="82"/>
      <c r="B11408" s="82"/>
      <c r="C11408" s="82"/>
    </row>
    <row r="11409" spans="1:3" x14ac:dyDescent="0.2">
      <c r="A11409" s="82"/>
      <c r="B11409" s="82"/>
      <c r="C11409" s="82"/>
    </row>
    <row r="11410" spans="1:3" x14ac:dyDescent="0.2">
      <c r="A11410" s="82"/>
      <c r="B11410" s="82"/>
      <c r="C11410" s="82"/>
    </row>
    <row r="11411" spans="1:3" x14ac:dyDescent="0.2">
      <c r="A11411" s="82"/>
      <c r="B11411" s="82"/>
      <c r="C11411" s="82"/>
    </row>
    <row r="11412" spans="1:3" x14ac:dyDescent="0.2">
      <c r="A11412" s="82"/>
      <c r="B11412" s="82"/>
      <c r="C11412" s="82"/>
    </row>
    <row r="11413" spans="1:3" x14ac:dyDescent="0.2">
      <c r="A11413" s="82"/>
      <c r="B11413" s="82"/>
      <c r="C11413" s="82"/>
    </row>
    <row r="11414" spans="1:3" x14ac:dyDescent="0.2">
      <c r="A11414" s="82"/>
      <c r="B11414" s="82"/>
      <c r="C11414" s="82"/>
    </row>
    <row r="11415" spans="1:3" x14ac:dyDescent="0.2">
      <c r="A11415" s="82"/>
      <c r="B11415" s="82"/>
      <c r="C11415" s="82"/>
    </row>
    <row r="11416" spans="1:3" x14ac:dyDescent="0.2">
      <c r="A11416" s="82"/>
      <c r="B11416" s="82"/>
      <c r="C11416" s="82"/>
    </row>
    <row r="11417" spans="1:3" x14ac:dyDescent="0.2">
      <c r="A11417" s="82"/>
      <c r="B11417" s="82"/>
      <c r="C11417" s="82"/>
    </row>
    <row r="11418" spans="1:3" x14ac:dyDescent="0.2">
      <c r="A11418" s="82"/>
      <c r="B11418" s="82"/>
      <c r="C11418" s="82"/>
    </row>
    <row r="11419" spans="1:3" x14ac:dyDescent="0.2">
      <c r="A11419" s="82"/>
      <c r="B11419" s="82"/>
      <c r="C11419" s="82"/>
    </row>
    <row r="11420" spans="1:3" x14ac:dyDescent="0.2">
      <c r="A11420" s="82"/>
      <c r="B11420" s="82"/>
      <c r="C11420" s="82"/>
    </row>
    <row r="11421" spans="1:3" x14ac:dyDescent="0.2">
      <c r="A11421" s="82"/>
      <c r="B11421" s="82"/>
      <c r="C11421" s="82"/>
    </row>
    <row r="11422" spans="1:3" x14ac:dyDescent="0.2">
      <c r="A11422" s="82"/>
      <c r="B11422" s="82"/>
      <c r="C11422" s="82"/>
    </row>
    <row r="11423" spans="1:3" x14ac:dyDescent="0.2">
      <c r="A11423" s="82"/>
      <c r="B11423" s="82"/>
      <c r="C11423" s="82"/>
    </row>
    <row r="11424" spans="1:3" x14ac:dyDescent="0.2">
      <c r="A11424" s="82"/>
      <c r="B11424" s="82"/>
      <c r="C11424" s="82"/>
    </row>
    <row r="11425" spans="1:3" x14ac:dyDescent="0.2">
      <c r="A11425" s="82"/>
      <c r="B11425" s="82"/>
      <c r="C11425" s="82"/>
    </row>
    <row r="11426" spans="1:3" x14ac:dyDescent="0.2">
      <c r="A11426" s="82"/>
      <c r="B11426" s="82"/>
      <c r="C11426" s="82"/>
    </row>
    <row r="11427" spans="1:3" x14ac:dyDescent="0.2">
      <c r="A11427" s="82"/>
      <c r="B11427" s="82"/>
      <c r="C11427" s="82"/>
    </row>
    <row r="11428" spans="1:3" x14ac:dyDescent="0.2">
      <c r="A11428" s="82"/>
      <c r="B11428" s="82"/>
      <c r="C11428" s="82"/>
    </row>
    <row r="11429" spans="1:3" x14ac:dyDescent="0.2">
      <c r="A11429" s="82"/>
      <c r="B11429" s="82"/>
      <c r="C11429" s="82"/>
    </row>
    <row r="11430" spans="1:3" x14ac:dyDescent="0.2">
      <c r="A11430" s="82"/>
      <c r="B11430" s="82"/>
      <c r="C11430" s="82"/>
    </row>
    <row r="11431" spans="1:3" x14ac:dyDescent="0.2">
      <c r="A11431" s="82"/>
      <c r="B11431" s="82"/>
      <c r="C11431" s="82"/>
    </row>
    <row r="11432" spans="1:3" x14ac:dyDescent="0.2">
      <c r="A11432" s="82"/>
      <c r="B11432" s="82"/>
      <c r="C11432" s="82"/>
    </row>
    <row r="11433" spans="1:3" x14ac:dyDescent="0.2">
      <c r="A11433" s="82"/>
      <c r="B11433" s="82"/>
      <c r="C11433" s="82"/>
    </row>
    <row r="11434" spans="1:3" x14ac:dyDescent="0.2">
      <c r="A11434" s="82"/>
      <c r="B11434" s="82"/>
      <c r="C11434" s="82"/>
    </row>
    <row r="11435" spans="1:3" x14ac:dyDescent="0.2">
      <c r="A11435" s="82"/>
      <c r="B11435" s="82"/>
      <c r="C11435" s="82"/>
    </row>
    <row r="11436" spans="1:3" x14ac:dyDescent="0.2">
      <c r="A11436" s="82"/>
      <c r="B11436" s="82"/>
      <c r="C11436" s="82"/>
    </row>
    <row r="11437" spans="1:3" x14ac:dyDescent="0.2">
      <c r="A11437" s="82"/>
      <c r="B11437" s="82"/>
      <c r="C11437" s="82"/>
    </row>
    <row r="11438" spans="1:3" x14ac:dyDescent="0.2">
      <c r="A11438" s="82"/>
      <c r="B11438" s="82"/>
      <c r="C11438" s="82"/>
    </row>
    <row r="11439" spans="1:3" x14ac:dyDescent="0.2">
      <c r="A11439" s="82"/>
      <c r="B11439" s="82"/>
      <c r="C11439" s="82"/>
    </row>
    <row r="11440" spans="1:3" x14ac:dyDescent="0.2">
      <c r="A11440" s="82"/>
      <c r="B11440" s="82"/>
      <c r="C11440" s="82"/>
    </row>
    <row r="11441" spans="1:3" x14ac:dyDescent="0.2">
      <c r="A11441" s="82"/>
      <c r="B11441" s="82"/>
      <c r="C11441" s="82"/>
    </row>
    <row r="11442" spans="1:3" x14ac:dyDescent="0.2">
      <c r="A11442" s="82"/>
      <c r="B11442" s="82"/>
      <c r="C11442" s="82"/>
    </row>
    <row r="11443" spans="1:3" x14ac:dyDescent="0.2">
      <c r="A11443" s="82"/>
      <c r="B11443" s="82"/>
      <c r="C11443" s="82"/>
    </row>
    <row r="11444" spans="1:3" x14ac:dyDescent="0.2">
      <c r="A11444" s="82"/>
      <c r="B11444" s="82"/>
      <c r="C11444" s="82"/>
    </row>
    <row r="11445" spans="1:3" x14ac:dyDescent="0.2">
      <c r="A11445" s="82"/>
      <c r="B11445" s="82"/>
      <c r="C11445" s="82"/>
    </row>
    <row r="11446" spans="1:3" x14ac:dyDescent="0.2">
      <c r="A11446" s="82"/>
      <c r="B11446" s="82"/>
      <c r="C11446" s="82"/>
    </row>
    <row r="11447" spans="1:3" x14ac:dyDescent="0.2">
      <c r="A11447" s="82"/>
      <c r="B11447" s="82"/>
      <c r="C11447" s="82"/>
    </row>
    <row r="11448" spans="1:3" x14ac:dyDescent="0.2">
      <c r="A11448" s="82"/>
      <c r="B11448" s="82"/>
      <c r="C11448" s="82"/>
    </row>
    <row r="11449" spans="1:3" x14ac:dyDescent="0.2">
      <c r="A11449" s="82"/>
      <c r="B11449" s="82"/>
      <c r="C11449" s="82"/>
    </row>
    <row r="11450" spans="1:3" x14ac:dyDescent="0.2">
      <c r="A11450" s="82"/>
      <c r="B11450" s="82"/>
      <c r="C11450" s="82"/>
    </row>
    <row r="11451" spans="1:3" x14ac:dyDescent="0.2">
      <c r="A11451" s="82"/>
      <c r="B11451" s="82"/>
      <c r="C11451" s="82"/>
    </row>
    <row r="11452" spans="1:3" x14ac:dyDescent="0.2">
      <c r="A11452" s="82"/>
      <c r="B11452" s="82"/>
      <c r="C11452" s="82"/>
    </row>
    <row r="11453" spans="1:3" x14ac:dyDescent="0.2">
      <c r="A11453" s="82"/>
      <c r="B11453" s="82"/>
      <c r="C11453" s="82"/>
    </row>
    <row r="11454" spans="1:3" x14ac:dyDescent="0.2">
      <c r="A11454" s="82"/>
      <c r="B11454" s="82"/>
      <c r="C11454" s="82"/>
    </row>
    <row r="11455" spans="1:3" x14ac:dyDescent="0.2">
      <c r="A11455" s="82"/>
      <c r="B11455" s="82"/>
      <c r="C11455" s="82"/>
    </row>
    <row r="11456" spans="1:3" x14ac:dyDescent="0.2">
      <c r="A11456" s="82"/>
      <c r="B11456" s="82"/>
      <c r="C11456" s="82"/>
    </row>
    <row r="11457" spans="1:3" x14ac:dyDescent="0.2">
      <c r="A11457" s="82"/>
      <c r="B11457" s="82"/>
      <c r="C11457" s="82"/>
    </row>
    <row r="11458" spans="1:3" x14ac:dyDescent="0.2">
      <c r="A11458" s="82"/>
      <c r="B11458" s="82"/>
      <c r="C11458" s="82"/>
    </row>
    <row r="11459" spans="1:3" x14ac:dyDescent="0.2">
      <c r="A11459" s="82"/>
      <c r="B11459" s="82"/>
      <c r="C11459" s="82"/>
    </row>
    <row r="11460" spans="1:3" x14ac:dyDescent="0.2">
      <c r="A11460" s="82"/>
      <c r="B11460" s="82"/>
      <c r="C11460" s="82"/>
    </row>
    <row r="11461" spans="1:3" x14ac:dyDescent="0.2">
      <c r="A11461" s="82"/>
      <c r="B11461" s="82"/>
      <c r="C11461" s="82"/>
    </row>
    <row r="11462" spans="1:3" x14ac:dyDescent="0.2">
      <c r="A11462" s="82"/>
      <c r="B11462" s="82"/>
      <c r="C11462" s="82"/>
    </row>
    <row r="11463" spans="1:3" x14ac:dyDescent="0.2">
      <c r="A11463" s="82"/>
      <c r="B11463" s="82"/>
      <c r="C11463" s="82"/>
    </row>
    <row r="11464" spans="1:3" x14ac:dyDescent="0.2">
      <c r="A11464" s="82"/>
      <c r="B11464" s="82"/>
      <c r="C11464" s="82"/>
    </row>
    <row r="11465" spans="1:3" x14ac:dyDescent="0.2">
      <c r="A11465" s="82"/>
      <c r="B11465" s="82"/>
      <c r="C11465" s="82"/>
    </row>
    <row r="11466" spans="1:3" x14ac:dyDescent="0.2">
      <c r="A11466" s="82"/>
      <c r="B11466" s="82"/>
      <c r="C11466" s="82"/>
    </row>
    <row r="11467" spans="1:3" x14ac:dyDescent="0.2">
      <c r="A11467" s="82"/>
      <c r="B11467" s="82"/>
      <c r="C11467" s="82"/>
    </row>
    <row r="11468" spans="1:3" x14ac:dyDescent="0.2">
      <c r="A11468" s="82"/>
      <c r="B11468" s="82"/>
      <c r="C11468" s="82"/>
    </row>
    <row r="11469" spans="1:3" x14ac:dyDescent="0.2">
      <c r="A11469" s="82"/>
      <c r="B11469" s="82"/>
      <c r="C11469" s="82"/>
    </row>
    <row r="11470" spans="1:3" x14ac:dyDescent="0.2">
      <c r="A11470" s="82"/>
      <c r="B11470" s="82"/>
      <c r="C11470" s="82"/>
    </row>
    <row r="11471" spans="1:3" x14ac:dyDescent="0.2">
      <c r="A11471" s="82"/>
      <c r="B11471" s="82"/>
      <c r="C11471" s="82"/>
    </row>
    <row r="11472" spans="1:3" x14ac:dyDescent="0.2">
      <c r="A11472" s="82"/>
      <c r="B11472" s="82"/>
      <c r="C11472" s="82"/>
    </row>
    <row r="11473" spans="1:3" x14ac:dyDescent="0.2">
      <c r="A11473" s="82"/>
      <c r="B11473" s="82"/>
      <c r="C11473" s="82"/>
    </row>
    <row r="11474" spans="1:3" x14ac:dyDescent="0.2">
      <c r="A11474" s="82"/>
      <c r="B11474" s="82"/>
      <c r="C11474" s="82"/>
    </row>
    <row r="11475" spans="1:3" x14ac:dyDescent="0.2">
      <c r="A11475" s="82"/>
      <c r="B11475" s="82"/>
      <c r="C11475" s="82"/>
    </row>
    <row r="11476" spans="1:3" x14ac:dyDescent="0.2">
      <c r="A11476" s="82"/>
      <c r="B11476" s="82"/>
      <c r="C11476" s="82"/>
    </row>
    <row r="11477" spans="1:3" x14ac:dyDescent="0.2">
      <c r="A11477" s="82"/>
      <c r="B11477" s="82"/>
      <c r="C11477" s="82"/>
    </row>
    <row r="11478" spans="1:3" x14ac:dyDescent="0.2">
      <c r="A11478" s="82"/>
      <c r="B11478" s="82"/>
      <c r="C11478" s="82"/>
    </row>
    <row r="11479" spans="1:3" x14ac:dyDescent="0.2">
      <c r="A11479" s="82"/>
      <c r="B11479" s="82"/>
      <c r="C11479" s="82"/>
    </row>
    <row r="11480" spans="1:3" x14ac:dyDescent="0.2">
      <c r="A11480" s="82"/>
      <c r="B11480" s="82"/>
      <c r="C11480" s="82"/>
    </row>
    <row r="11481" spans="1:3" x14ac:dyDescent="0.2">
      <c r="A11481" s="82"/>
      <c r="B11481" s="82"/>
      <c r="C11481" s="82"/>
    </row>
    <row r="11482" spans="1:3" x14ac:dyDescent="0.2">
      <c r="A11482" s="82"/>
      <c r="B11482" s="82"/>
      <c r="C11482" s="82"/>
    </row>
    <row r="11483" spans="1:3" x14ac:dyDescent="0.2">
      <c r="A11483" s="82"/>
      <c r="B11483" s="82"/>
      <c r="C11483" s="82"/>
    </row>
    <row r="11484" spans="1:3" x14ac:dyDescent="0.2">
      <c r="A11484" s="82"/>
      <c r="B11484" s="82"/>
      <c r="C11484" s="82"/>
    </row>
    <row r="11485" spans="1:3" x14ac:dyDescent="0.2">
      <c r="A11485" s="82"/>
      <c r="B11485" s="82"/>
      <c r="C11485" s="82"/>
    </row>
    <row r="11486" spans="1:3" x14ac:dyDescent="0.2">
      <c r="A11486" s="82"/>
      <c r="B11486" s="82"/>
      <c r="C11486" s="82"/>
    </row>
    <row r="11487" spans="1:3" x14ac:dyDescent="0.2">
      <c r="A11487" s="82"/>
      <c r="B11487" s="82"/>
      <c r="C11487" s="82"/>
    </row>
    <row r="11488" spans="1:3" x14ac:dyDescent="0.2">
      <c r="A11488" s="82"/>
      <c r="B11488" s="82"/>
      <c r="C11488" s="82"/>
    </row>
    <row r="11489" spans="1:3" x14ac:dyDescent="0.2">
      <c r="A11489" s="82"/>
      <c r="B11489" s="82"/>
      <c r="C11489" s="82"/>
    </row>
    <row r="11490" spans="1:3" x14ac:dyDescent="0.2">
      <c r="A11490" s="82"/>
      <c r="B11490" s="82"/>
      <c r="C11490" s="82"/>
    </row>
    <row r="11491" spans="1:3" x14ac:dyDescent="0.2">
      <c r="A11491" s="82"/>
      <c r="B11491" s="82"/>
      <c r="C11491" s="82"/>
    </row>
    <row r="11492" spans="1:3" x14ac:dyDescent="0.2">
      <c r="A11492" s="82"/>
      <c r="B11492" s="82"/>
      <c r="C11492" s="82"/>
    </row>
    <row r="11493" spans="1:3" x14ac:dyDescent="0.2">
      <c r="A11493" s="82"/>
      <c r="B11493" s="82"/>
      <c r="C11493" s="82"/>
    </row>
    <row r="11494" spans="1:3" x14ac:dyDescent="0.2">
      <c r="A11494" s="82"/>
      <c r="B11494" s="82"/>
      <c r="C11494" s="82"/>
    </row>
    <row r="11495" spans="1:3" x14ac:dyDescent="0.2">
      <c r="A11495" s="82"/>
      <c r="B11495" s="82"/>
      <c r="C11495" s="82"/>
    </row>
    <row r="11496" spans="1:3" x14ac:dyDescent="0.2">
      <c r="A11496" s="82"/>
      <c r="B11496" s="82"/>
      <c r="C11496" s="82"/>
    </row>
    <row r="11497" spans="1:3" x14ac:dyDescent="0.2">
      <c r="A11497" s="82"/>
      <c r="B11497" s="82"/>
      <c r="C11497" s="82"/>
    </row>
    <row r="11498" spans="1:3" x14ac:dyDescent="0.2">
      <c r="A11498" s="82"/>
      <c r="B11498" s="82"/>
      <c r="C11498" s="82"/>
    </row>
    <row r="11499" spans="1:3" x14ac:dyDescent="0.2">
      <c r="A11499" s="82"/>
      <c r="B11499" s="82"/>
      <c r="C11499" s="82"/>
    </row>
    <row r="11500" spans="1:3" x14ac:dyDescent="0.2">
      <c r="A11500" s="82"/>
      <c r="B11500" s="82"/>
      <c r="C11500" s="82"/>
    </row>
    <row r="11501" spans="1:3" x14ac:dyDescent="0.2">
      <c r="A11501" s="82"/>
      <c r="B11501" s="82"/>
      <c r="C11501" s="82"/>
    </row>
    <row r="11502" spans="1:3" x14ac:dyDescent="0.2">
      <c r="A11502" s="82"/>
      <c r="B11502" s="82"/>
      <c r="C11502" s="82"/>
    </row>
    <row r="11503" spans="1:3" x14ac:dyDescent="0.2">
      <c r="A11503" s="82"/>
      <c r="B11503" s="82"/>
      <c r="C11503" s="82"/>
    </row>
    <row r="11504" spans="1:3" x14ac:dyDescent="0.2">
      <c r="A11504" s="82"/>
      <c r="B11504" s="82"/>
      <c r="C11504" s="82"/>
    </row>
    <row r="11505" spans="1:3" x14ac:dyDescent="0.2">
      <c r="A11505" s="82"/>
      <c r="B11505" s="82"/>
      <c r="C11505" s="82"/>
    </row>
    <row r="11506" spans="1:3" x14ac:dyDescent="0.2">
      <c r="A11506" s="82"/>
      <c r="B11506" s="82"/>
      <c r="C11506" s="82"/>
    </row>
    <row r="11507" spans="1:3" x14ac:dyDescent="0.2">
      <c r="A11507" s="82"/>
      <c r="B11507" s="82"/>
      <c r="C11507" s="82"/>
    </row>
    <row r="11508" spans="1:3" x14ac:dyDescent="0.2">
      <c r="A11508" s="82"/>
      <c r="B11508" s="82"/>
      <c r="C11508" s="82"/>
    </row>
    <row r="11509" spans="1:3" x14ac:dyDescent="0.2">
      <c r="A11509" s="82"/>
      <c r="B11509" s="82"/>
      <c r="C11509" s="82"/>
    </row>
    <row r="11510" spans="1:3" x14ac:dyDescent="0.2">
      <c r="A11510" s="82"/>
      <c r="B11510" s="82"/>
      <c r="C11510" s="82"/>
    </row>
    <row r="11511" spans="1:3" x14ac:dyDescent="0.2">
      <c r="A11511" s="82"/>
      <c r="B11511" s="82"/>
      <c r="C11511" s="82"/>
    </row>
    <row r="11512" spans="1:3" x14ac:dyDescent="0.2">
      <c r="A11512" s="82"/>
      <c r="B11512" s="82"/>
      <c r="C11512" s="82"/>
    </row>
    <row r="11513" spans="1:3" x14ac:dyDescent="0.2">
      <c r="A11513" s="82"/>
      <c r="B11513" s="82"/>
      <c r="C11513" s="82"/>
    </row>
    <row r="11514" spans="1:3" x14ac:dyDescent="0.2">
      <c r="A11514" s="82"/>
      <c r="B11514" s="82"/>
      <c r="C11514" s="82"/>
    </row>
    <row r="11515" spans="1:3" x14ac:dyDescent="0.2">
      <c r="A11515" s="82"/>
      <c r="B11515" s="82"/>
      <c r="C11515" s="82"/>
    </row>
    <row r="11516" spans="1:3" x14ac:dyDescent="0.2">
      <c r="A11516" s="82"/>
      <c r="B11516" s="82"/>
      <c r="C11516" s="82"/>
    </row>
    <row r="11517" spans="1:3" x14ac:dyDescent="0.2">
      <c r="A11517" s="82"/>
      <c r="B11517" s="82"/>
      <c r="C11517" s="82"/>
    </row>
    <row r="11518" spans="1:3" x14ac:dyDescent="0.2">
      <c r="A11518" s="82"/>
      <c r="B11518" s="82"/>
      <c r="C11518" s="82"/>
    </row>
    <row r="11519" spans="1:3" x14ac:dyDescent="0.2">
      <c r="A11519" s="82"/>
      <c r="B11519" s="82"/>
      <c r="C11519" s="82"/>
    </row>
    <row r="11520" spans="1:3" x14ac:dyDescent="0.2">
      <c r="A11520" s="82"/>
      <c r="B11520" s="82"/>
      <c r="C11520" s="82"/>
    </row>
    <row r="11521" spans="1:3" x14ac:dyDescent="0.2">
      <c r="A11521" s="82"/>
      <c r="B11521" s="82"/>
      <c r="C11521" s="82"/>
    </row>
    <row r="11522" spans="1:3" x14ac:dyDescent="0.2">
      <c r="A11522" s="82"/>
      <c r="B11522" s="82"/>
      <c r="C11522" s="82"/>
    </row>
    <row r="11523" spans="1:3" x14ac:dyDescent="0.2">
      <c r="A11523" s="82"/>
      <c r="B11523" s="82"/>
      <c r="C11523" s="82"/>
    </row>
    <row r="11524" spans="1:3" x14ac:dyDescent="0.2">
      <c r="A11524" s="82"/>
      <c r="B11524" s="82"/>
      <c r="C11524" s="82"/>
    </row>
    <row r="11525" spans="1:3" x14ac:dyDescent="0.2">
      <c r="A11525" s="82"/>
      <c r="B11525" s="82"/>
      <c r="C11525" s="82"/>
    </row>
    <row r="11526" spans="1:3" x14ac:dyDescent="0.2">
      <c r="A11526" s="82"/>
      <c r="B11526" s="82"/>
      <c r="C11526" s="82"/>
    </row>
    <row r="11527" spans="1:3" x14ac:dyDescent="0.2">
      <c r="A11527" s="82"/>
      <c r="B11527" s="82"/>
      <c r="C11527" s="82"/>
    </row>
    <row r="11528" spans="1:3" x14ac:dyDescent="0.2">
      <c r="A11528" s="82"/>
      <c r="B11528" s="82"/>
      <c r="C11528" s="82"/>
    </row>
    <row r="11529" spans="1:3" x14ac:dyDescent="0.2">
      <c r="A11529" s="82"/>
      <c r="B11529" s="82"/>
      <c r="C11529" s="82"/>
    </row>
    <row r="11530" spans="1:3" x14ac:dyDescent="0.2">
      <c r="A11530" s="82"/>
      <c r="B11530" s="82"/>
      <c r="C11530" s="82"/>
    </row>
    <row r="11531" spans="1:3" x14ac:dyDescent="0.2">
      <c r="A11531" s="82"/>
      <c r="B11531" s="82"/>
      <c r="C11531" s="82"/>
    </row>
    <row r="11532" spans="1:3" x14ac:dyDescent="0.2">
      <c r="A11532" s="82"/>
      <c r="B11532" s="82"/>
      <c r="C11532" s="82"/>
    </row>
    <row r="11533" spans="1:3" x14ac:dyDescent="0.2">
      <c r="A11533" s="82"/>
      <c r="B11533" s="82"/>
      <c r="C11533" s="82"/>
    </row>
    <row r="11534" spans="1:3" x14ac:dyDescent="0.2">
      <c r="A11534" s="82"/>
      <c r="B11534" s="82"/>
      <c r="C11534" s="82"/>
    </row>
    <row r="11535" spans="1:3" x14ac:dyDescent="0.2">
      <c r="A11535" s="82"/>
      <c r="B11535" s="82"/>
      <c r="C11535" s="82"/>
    </row>
    <row r="11536" spans="1:3" x14ac:dyDescent="0.2">
      <c r="A11536" s="82"/>
      <c r="B11536" s="82"/>
      <c r="C11536" s="82"/>
    </row>
    <row r="11537" spans="1:3" x14ac:dyDescent="0.2">
      <c r="A11537" s="82"/>
      <c r="B11537" s="82"/>
      <c r="C11537" s="82"/>
    </row>
    <row r="11538" spans="1:3" x14ac:dyDescent="0.2">
      <c r="A11538" s="82"/>
      <c r="B11538" s="82"/>
      <c r="C11538" s="82"/>
    </row>
    <row r="11539" spans="1:3" x14ac:dyDescent="0.2">
      <c r="A11539" s="82"/>
      <c r="B11539" s="82"/>
      <c r="C11539" s="82"/>
    </row>
    <row r="11540" spans="1:3" x14ac:dyDescent="0.2">
      <c r="A11540" s="82"/>
      <c r="B11540" s="82"/>
      <c r="C11540" s="82"/>
    </row>
    <row r="11541" spans="1:3" x14ac:dyDescent="0.2">
      <c r="A11541" s="82"/>
      <c r="B11541" s="82"/>
      <c r="C11541" s="82"/>
    </row>
    <row r="11542" spans="1:3" x14ac:dyDescent="0.2">
      <c r="A11542" s="82"/>
      <c r="B11542" s="82"/>
      <c r="C11542" s="82"/>
    </row>
    <row r="11543" spans="1:3" x14ac:dyDescent="0.2">
      <c r="A11543" s="82"/>
      <c r="B11543" s="82"/>
      <c r="C11543" s="82"/>
    </row>
    <row r="11544" spans="1:3" x14ac:dyDescent="0.2">
      <c r="A11544" s="82"/>
      <c r="B11544" s="82"/>
      <c r="C11544" s="82"/>
    </row>
    <row r="11545" spans="1:3" x14ac:dyDescent="0.2">
      <c r="A11545" s="82"/>
      <c r="B11545" s="82"/>
      <c r="C11545" s="82"/>
    </row>
    <row r="11546" spans="1:3" x14ac:dyDescent="0.2">
      <c r="A11546" s="82"/>
      <c r="B11546" s="82"/>
      <c r="C11546" s="82"/>
    </row>
    <row r="11547" spans="1:3" x14ac:dyDescent="0.2">
      <c r="A11547" s="82"/>
      <c r="B11547" s="82"/>
      <c r="C11547" s="82"/>
    </row>
    <row r="11548" spans="1:3" x14ac:dyDescent="0.2">
      <c r="A11548" s="82"/>
      <c r="B11548" s="82"/>
      <c r="C11548" s="82"/>
    </row>
    <row r="11549" spans="1:3" x14ac:dyDescent="0.2">
      <c r="A11549" s="82"/>
      <c r="B11549" s="82"/>
      <c r="C11549" s="82"/>
    </row>
    <row r="11550" spans="1:3" x14ac:dyDescent="0.2">
      <c r="A11550" s="82"/>
      <c r="B11550" s="82"/>
      <c r="C11550" s="82"/>
    </row>
    <row r="11551" spans="1:3" x14ac:dyDescent="0.2">
      <c r="A11551" s="82"/>
      <c r="B11551" s="82"/>
      <c r="C11551" s="82"/>
    </row>
    <row r="11552" spans="1:3" x14ac:dyDescent="0.2">
      <c r="A11552" s="82"/>
      <c r="B11552" s="82"/>
      <c r="C11552" s="82"/>
    </row>
    <row r="11553" spans="1:3" x14ac:dyDescent="0.2">
      <c r="A11553" s="82"/>
      <c r="B11553" s="82"/>
      <c r="C11553" s="82"/>
    </row>
    <row r="11554" spans="1:3" x14ac:dyDescent="0.2">
      <c r="A11554" s="82"/>
      <c r="B11554" s="82"/>
      <c r="C11554" s="82"/>
    </row>
    <row r="11555" spans="1:3" x14ac:dyDescent="0.2">
      <c r="A11555" s="82"/>
      <c r="B11555" s="82"/>
      <c r="C11555" s="82"/>
    </row>
    <row r="11556" spans="1:3" x14ac:dyDescent="0.2">
      <c r="A11556" s="82"/>
      <c r="B11556" s="82"/>
      <c r="C11556" s="82"/>
    </row>
    <row r="11557" spans="1:3" x14ac:dyDescent="0.2">
      <c r="A11557" s="82"/>
      <c r="B11557" s="82"/>
      <c r="C11557" s="82"/>
    </row>
    <row r="11558" spans="1:3" x14ac:dyDescent="0.2">
      <c r="A11558" s="82"/>
      <c r="B11558" s="82"/>
      <c r="C11558" s="82"/>
    </row>
    <row r="11559" spans="1:3" x14ac:dyDescent="0.2">
      <c r="A11559" s="82"/>
      <c r="B11559" s="82"/>
      <c r="C11559" s="82"/>
    </row>
    <row r="11560" spans="1:3" x14ac:dyDescent="0.2">
      <c r="A11560" s="82"/>
      <c r="B11560" s="82"/>
      <c r="C11560" s="82"/>
    </row>
    <row r="11561" spans="1:3" x14ac:dyDescent="0.2">
      <c r="A11561" s="82"/>
      <c r="B11561" s="82"/>
      <c r="C11561" s="82"/>
    </row>
    <row r="11562" spans="1:3" x14ac:dyDescent="0.2">
      <c r="A11562" s="82"/>
      <c r="B11562" s="82"/>
      <c r="C11562" s="82"/>
    </row>
    <row r="11563" spans="1:3" x14ac:dyDescent="0.2">
      <c r="A11563" s="82"/>
      <c r="B11563" s="82"/>
      <c r="C11563" s="82"/>
    </row>
    <row r="11564" spans="1:3" x14ac:dyDescent="0.2">
      <c r="A11564" s="82"/>
      <c r="B11564" s="82"/>
      <c r="C11564" s="82"/>
    </row>
    <row r="11565" spans="1:3" x14ac:dyDescent="0.2">
      <c r="A11565" s="82"/>
      <c r="B11565" s="82"/>
      <c r="C11565" s="82"/>
    </row>
    <row r="11566" spans="1:3" x14ac:dyDescent="0.2">
      <c r="A11566" s="82"/>
      <c r="B11566" s="82"/>
      <c r="C11566" s="82"/>
    </row>
    <row r="11567" spans="1:3" x14ac:dyDescent="0.2">
      <c r="A11567" s="82"/>
      <c r="B11567" s="82"/>
      <c r="C11567" s="82"/>
    </row>
    <row r="11568" spans="1:3" x14ac:dyDescent="0.2">
      <c r="A11568" s="82"/>
      <c r="B11568" s="82"/>
      <c r="C11568" s="82"/>
    </row>
    <row r="11569" spans="1:3" x14ac:dyDescent="0.2">
      <c r="A11569" s="82"/>
      <c r="B11569" s="82"/>
      <c r="C11569" s="82"/>
    </row>
    <row r="11570" spans="1:3" x14ac:dyDescent="0.2">
      <c r="A11570" s="82"/>
      <c r="B11570" s="82"/>
      <c r="C11570" s="82"/>
    </row>
    <row r="11571" spans="1:3" x14ac:dyDescent="0.2">
      <c r="A11571" s="82"/>
      <c r="B11571" s="82"/>
      <c r="C11571" s="82"/>
    </row>
    <row r="11572" spans="1:3" x14ac:dyDescent="0.2">
      <c r="A11572" s="82"/>
      <c r="B11572" s="82"/>
      <c r="C11572" s="82"/>
    </row>
    <row r="11573" spans="1:3" x14ac:dyDescent="0.2">
      <c r="A11573" s="82"/>
      <c r="B11573" s="82"/>
      <c r="C11573" s="82"/>
    </row>
    <row r="11574" spans="1:3" x14ac:dyDescent="0.2">
      <c r="A11574" s="82"/>
      <c r="B11574" s="82"/>
      <c r="C11574" s="82"/>
    </row>
    <row r="11575" spans="1:3" x14ac:dyDescent="0.2">
      <c r="A11575" s="82"/>
      <c r="B11575" s="82"/>
      <c r="C11575" s="82"/>
    </row>
    <row r="11576" spans="1:3" x14ac:dyDescent="0.2">
      <c r="A11576" s="82"/>
      <c r="B11576" s="82"/>
      <c r="C11576" s="82"/>
    </row>
    <row r="11577" spans="1:3" x14ac:dyDescent="0.2">
      <c r="A11577" s="82"/>
      <c r="B11577" s="82"/>
      <c r="C11577" s="82"/>
    </row>
    <row r="11578" spans="1:3" x14ac:dyDescent="0.2">
      <c r="A11578" s="82"/>
      <c r="B11578" s="82"/>
      <c r="C11578" s="82"/>
    </row>
    <row r="11579" spans="1:3" x14ac:dyDescent="0.2">
      <c r="A11579" s="82"/>
      <c r="B11579" s="82"/>
      <c r="C11579" s="82"/>
    </row>
    <row r="11580" spans="1:3" x14ac:dyDescent="0.2">
      <c r="A11580" s="82"/>
      <c r="B11580" s="82"/>
      <c r="C11580" s="82"/>
    </row>
    <row r="11581" spans="1:3" x14ac:dyDescent="0.2">
      <c r="A11581" s="82"/>
      <c r="B11581" s="82"/>
      <c r="C11581" s="82"/>
    </row>
    <row r="11582" spans="1:3" x14ac:dyDescent="0.2">
      <c r="A11582" s="82"/>
      <c r="B11582" s="82"/>
      <c r="C11582" s="82"/>
    </row>
    <row r="11583" spans="1:3" x14ac:dyDescent="0.2">
      <c r="A11583" s="82"/>
      <c r="B11583" s="82"/>
      <c r="C11583" s="82"/>
    </row>
    <row r="11584" spans="1:3" x14ac:dyDescent="0.2">
      <c r="A11584" s="82"/>
      <c r="B11584" s="82"/>
      <c r="C11584" s="82"/>
    </row>
    <row r="11585" spans="1:3" x14ac:dyDescent="0.2">
      <c r="A11585" s="82"/>
      <c r="B11585" s="82"/>
      <c r="C11585" s="82"/>
    </row>
    <row r="11586" spans="1:3" x14ac:dyDescent="0.2">
      <c r="A11586" s="82"/>
      <c r="B11586" s="82"/>
      <c r="C11586" s="82"/>
    </row>
    <row r="11587" spans="1:3" x14ac:dyDescent="0.2">
      <c r="A11587" s="82"/>
      <c r="B11587" s="82"/>
      <c r="C11587" s="82"/>
    </row>
    <row r="11588" spans="1:3" x14ac:dyDescent="0.2">
      <c r="A11588" s="82"/>
      <c r="B11588" s="82"/>
      <c r="C11588" s="82"/>
    </row>
    <row r="11589" spans="1:3" x14ac:dyDescent="0.2">
      <c r="A11589" s="82"/>
      <c r="B11589" s="82"/>
      <c r="C11589" s="82"/>
    </row>
    <row r="11590" spans="1:3" x14ac:dyDescent="0.2">
      <c r="A11590" s="82"/>
      <c r="B11590" s="82"/>
      <c r="C11590" s="82"/>
    </row>
    <row r="11591" spans="1:3" x14ac:dyDescent="0.2">
      <c r="A11591" s="82"/>
      <c r="B11591" s="82"/>
      <c r="C11591" s="82"/>
    </row>
    <row r="11592" spans="1:3" x14ac:dyDescent="0.2">
      <c r="A11592" s="82"/>
      <c r="B11592" s="82"/>
      <c r="C11592" s="82"/>
    </row>
    <row r="11593" spans="1:3" x14ac:dyDescent="0.2">
      <c r="A11593" s="82"/>
      <c r="B11593" s="82"/>
      <c r="C11593" s="82"/>
    </row>
    <row r="11594" spans="1:3" x14ac:dyDescent="0.2">
      <c r="A11594" s="82"/>
      <c r="B11594" s="82"/>
      <c r="C11594" s="82"/>
    </row>
    <row r="11595" spans="1:3" x14ac:dyDescent="0.2">
      <c r="A11595" s="82"/>
      <c r="B11595" s="82"/>
      <c r="C11595" s="82"/>
    </row>
    <row r="11596" spans="1:3" x14ac:dyDescent="0.2">
      <c r="A11596" s="82"/>
      <c r="B11596" s="82"/>
      <c r="C11596" s="82"/>
    </row>
    <row r="11597" spans="1:3" x14ac:dyDescent="0.2">
      <c r="A11597" s="82"/>
      <c r="B11597" s="82"/>
      <c r="C11597" s="82"/>
    </row>
    <row r="11598" spans="1:3" x14ac:dyDescent="0.2">
      <c r="A11598" s="82"/>
      <c r="B11598" s="82"/>
      <c r="C11598" s="82"/>
    </row>
    <row r="11599" spans="1:3" x14ac:dyDescent="0.2">
      <c r="A11599" s="82"/>
      <c r="B11599" s="82"/>
      <c r="C11599" s="82"/>
    </row>
    <row r="11600" spans="1:3" x14ac:dyDescent="0.2">
      <c r="A11600" s="82"/>
      <c r="B11600" s="82"/>
      <c r="C11600" s="82"/>
    </row>
    <row r="11601" spans="1:3" x14ac:dyDescent="0.2">
      <c r="A11601" s="82"/>
      <c r="B11601" s="82"/>
      <c r="C11601" s="82"/>
    </row>
    <row r="11602" spans="1:3" x14ac:dyDescent="0.2">
      <c r="A11602" s="82"/>
      <c r="B11602" s="82"/>
      <c r="C11602" s="82"/>
    </row>
    <row r="11603" spans="1:3" x14ac:dyDescent="0.2">
      <c r="A11603" s="82"/>
      <c r="B11603" s="82"/>
      <c r="C11603" s="82"/>
    </row>
    <row r="11604" spans="1:3" x14ac:dyDescent="0.2">
      <c r="A11604" s="82"/>
      <c r="B11604" s="82"/>
      <c r="C11604" s="82"/>
    </row>
    <row r="11605" spans="1:3" x14ac:dyDescent="0.2">
      <c r="A11605" s="82"/>
      <c r="B11605" s="82"/>
      <c r="C11605" s="82"/>
    </row>
    <row r="11606" spans="1:3" x14ac:dyDescent="0.2">
      <c r="A11606" s="82"/>
      <c r="B11606" s="82"/>
      <c r="C11606" s="82"/>
    </row>
    <row r="11607" spans="1:3" x14ac:dyDescent="0.2">
      <c r="A11607" s="82"/>
      <c r="B11607" s="82"/>
      <c r="C11607" s="82"/>
    </row>
    <row r="11608" spans="1:3" x14ac:dyDescent="0.2">
      <c r="A11608" s="82"/>
      <c r="B11608" s="82"/>
      <c r="C11608" s="82"/>
    </row>
    <row r="11609" spans="1:3" x14ac:dyDescent="0.2">
      <c r="A11609" s="82"/>
      <c r="B11609" s="82"/>
      <c r="C11609" s="82"/>
    </row>
    <row r="11610" spans="1:3" x14ac:dyDescent="0.2">
      <c r="A11610" s="82"/>
      <c r="B11610" s="82"/>
      <c r="C11610" s="82"/>
    </row>
    <row r="11611" spans="1:3" x14ac:dyDescent="0.2">
      <c r="A11611" s="82"/>
      <c r="B11611" s="82"/>
      <c r="C11611" s="82"/>
    </row>
    <row r="11612" spans="1:3" x14ac:dyDescent="0.2">
      <c r="A11612" s="82"/>
      <c r="B11612" s="82"/>
      <c r="C11612" s="82"/>
    </row>
    <row r="11613" spans="1:3" x14ac:dyDescent="0.2">
      <c r="A11613" s="82"/>
      <c r="B11613" s="82"/>
      <c r="C11613" s="82"/>
    </row>
    <row r="11614" spans="1:3" x14ac:dyDescent="0.2">
      <c r="A11614" s="82"/>
      <c r="B11614" s="82"/>
      <c r="C11614" s="82"/>
    </row>
    <row r="11615" spans="1:3" x14ac:dyDescent="0.2">
      <c r="A11615" s="82"/>
      <c r="B11615" s="82"/>
      <c r="C11615" s="82"/>
    </row>
    <row r="11616" spans="1:3" x14ac:dyDescent="0.2">
      <c r="A11616" s="82"/>
      <c r="B11616" s="82"/>
      <c r="C11616" s="82"/>
    </row>
    <row r="11617" spans="1:3" x14ac:dyDescent="0.2">
      <c r="A11617" s="82"/>
      <c r="B11617" s="82"/>
      <c r="C11617" s="82"/>
    </row>
    <row r="11618" spans="1:3" x14ac:dyDescent="0.2">
      <c r="A11618" s="82"/>
      <c r="B11618" s="82"/>
      <c r="C11618" s="82"/>
    </row>
    <row r="11619" spans="1:3" x14ac:dyDescent="0.2">
      <c r="A11619" s="82"/>
      <c r="B11619" s="82"/>
      <c r="C11619" s="82"/>
    </row>
    <row r="11620" spans="1:3" x14ac:dyDescent="0.2">
      <c r="A11620" s="82"/>
      <c r="B11620" s="82"/>
      <c r="C11620" s="82"/>
    </row>
    <row r="11621" spans="1:3" x14ac:dyDescent="0.2">
      <c r="A11621" s="82"/>
      <c r="B11621" s="82"/>
      <c r="C11621" s="82"/>
    </row>
    <row r="11622" spans="1:3" x14ac:dyDescent="0.2">
      <c r="A11622" s="82"/>
      <c r="B11622" s="82"/>
      <c r="C11622" s="82"/>
    </row>
    <row r="11623" spans="1:3" x14ac:dyDescent="0.2">
      <c r="A11623" s="82"/>
      <c r="B11623" s="82"/>
      <c r="C11623" s="82"/>
    </row>
    <row r="11624" spans="1:3" x14ac:dyDescent="0.2">
      <c r="A11624" s="82"/>
      <c r="B11624" s="82"/>
      <c r="C11624" s="82"/>
    </row>
    <row r="11625" spans="1:3" x14ac:dyDescent="0.2">
      <c r="A11625" s="82"/>
      <c r="B11625" s="82"/>
      <c r="C11625" s="82"/>
    </row>
    <row r="11626" spans="1:3" x14ac:dyDescent="0.2">
      <c r="A11626" s="82"/>
      <c r="B11626" s="82"/>
      <c r="C11626" s="82"/>
    </row>
    <row r="11627" spans="1:3" x14ac:dyDescent="0.2">
      <c r="A11627" s="82"/>
      <c r="B11627" s="82"/>
      <c r="C11627" s="82"/>
    </row>
    <row r="11628" spans="1:3" x14ac:dyDescent="0.2">
      <c r="A11628" s="82"/>
      <c r="B11628" s="82"/>
      <c r="C11628" s="82"/>
    </row>
    <row r="11629" spans="1:3" x14ac:dyDescent="0.2">
      <c r="A11629" s="82"/>
      <c r="B11629" s="82"/>
      <c r="C11629" s="82"/>
    </row>
    <row r="11630" spans="1:3" x14ac:dyDescent="0.2">
      <c r="A11630" s="82"/>
      <c r="B11630" s="82"/>
      <c r="C11630" s="82"/>
    </row>
    <row r="11631" spans="1:3" x14ac:dyDescent="0.2">
      <c r="A11631" s="82"/>
      <c r="B11631" s="82"/>
      <c r="C11631" s="82"/>
    </row>
    <row r="11632" spans="1:3" x14ac:dyDescent="0.2">
      <c r="A11632" s="82"/>
      <c r="B11632" s="82"/>
      <c r="C11632" s="82"/>
    </row>
    <row r="11633" spans="1:3" x14ac:dyDescent="0.2">
      <c r="A11633" s="82"/>
      <c r="B11633" s="82"/>
      <c r="C11633" s="82"/>
    </row>
    <row r="11634" spans="1:3" x14ac:dyDescent="0.2">
      <c r="A11634" s="82"/>
      <c r="B11634" s="82"/>
      <c r="C11634" s="82"/>
    </row>
    <row r="11635" spans="1:3" x14ac:dyDescent="0.2">
      <c r="A11635" s="82"/>
      <c r="B11635" s="82"/>
      <c r="C11635" s="82"/>
    </row>
    <row r="11636" spans="1:3" x14ac:dyDescent="0.2">
      <c r="A11636" s="82"/>
      <c r="B11636" s="82"/>
      <c r="C11636" s="82"/>
    </row>
    <row r="11637" spans="1:3" x14ac:dyDescent="0.2">
      <c r="A11637" s="82"/>
      <c r="B11637" s="82"/>
      <c r="C11637" s="82"/>
    </row>
    <row r="11638" spans="1:3" x14ac:dyDescent="0.2">
      <c r="A11638" s="82"/>
      <c r="B11638" s="82"/>
      <c r="C11638" s="82"/>
    </row>
    <row r="11639" spans="1:3" x14ac:dyDescent="0.2">
      <c r="A11639" s="82"/>
      <c r="B11639" s="82"/>
      <c r="C11639" s="82"/>
    </row>
    <row r="11640" spans="1:3" x14ac:dyDescent="0.2">
      <c r="A11640" s="82"/>
      <c r="B11640" s="82"/>
      <c r="C11640" s="82"/>
    </row>
    <row r="11641" spans="1:3" x14ac:dyDescent="0.2">
      <c r="A11641" s="82"/>
      <c r="B11641" s="82"/>
      <c r="C11641" s="82"/>
    </row>
    <row r="11642" spans="1:3" x14ac:dyDescent="0.2">
      <c r="A11642" s="82"/>
      <c r="B11642" s="82"/>
      <c r="C11642" s="82"/>
    </row>
    <row r="11643" spans="1:3" x14ac:dyDescent="0.2">
      <c r="A11643" s="82"/>
      <c r="B11643" s="82"/>
      <c r="C11643" s="82"/>
    </row>
    <row r="11644" spans="1:3" x14ac:dyDescent="0.2">
      <c r="A11644" s="82"/>
      <c r="B11644" s="82"/>
      <c r="C11644" s="82"/>
    </row>
    <row r="11645" spans="1:3" x14ac:dyDescent="0.2">
      <c r="A11645" s="82"/>
      <c r="B11645" s="82"/>
      <c r="C11645" s="82"/>
    </row>
    <row r="11646" spans="1:3" x14ac:dyDescent="0.2">
      <c r="A11646" s="82"/>
      <c r="B11646" s="82"/>
      <c r="C11646" s="82"/>
    </row>
    <row r="11647" spans="1:3" x14ac:dyDescent="0.2">
      <c r="A11647" s="82"/>
      <c r="B11647" s="82"/>
      <c r="C11647" s="82"/>
    </row>
    <row r="11648" spans="1:3" x14ac:dyDescent="0.2">
      <c r="A11648" s="82"/>
      <c r="B11648" s="82"/>
      <c r="C11648" s="82"/>
    </row>
    <row r="11649" spans="1:3" x14ac:dyDescent="0.2">
      <c r="A11649" s="82"/>
      <c r="B11649" s="82"/>
      <c r="C11649" s="82"/>
    </row>
    <row r="11650" spans="1:3" x14ac:dyDescent="0.2">
      <c r="A11650" s="82"/>
      <c r="B11650" s="82"/>
      <c r="C11650" s="82"/>
    </row>
    <row r="11651" spans="1:3" x14ac:dyDescent="0.2">
      <c r="A11651" s="82"/>
      <c r="B11651" s="82"/>
      <c r="C11651" s="82"/>
    </row>
    <row r="11652" spans="1:3" x14ac:dyDescent="0.2">
      <c r="A11652" s="82"/>
      <c r="B11652" s="82"/>
      <c r="C11652" s="82"/>
    </row>
    <row r="11653" spans="1:3" x14ac:dyDescent="0.2">
      <c r="A11653" s="82"/>
      <c r="B11653" s="82"/>
      <c r="C11653" s="82"/>
    </row>
    <row r="11654" spans="1:3" x14ac:dyDescent="0.2">
      <c r="A11654" s="82"/>
      <c r="B11654" s="82"/>
      <c r="C11654" s="82"/>
    </row>
    <row r="11655" spans="1:3" x14ac:dyDescent="0.2">
      <c r="A11655" s="82"/>
      <c r="B11655" s="82"/>
      <c r="C11655" s="82"/>
    </row>
    <row r="11656" spans="1:3" x14ac:dyDescent="0.2">
      <c r="A11656" s="82"/>
      <c r="B11656" s="82"/>
      <c r="C11656" s="82"/>
    </row>
    <row r="11657" spans="1:3" x14ac:dyDescent="0.2">
      <c r="A11657" s="82"/>
      <c r="B11657" s="82"/>
      <c r="C11657" s="82"/>
    </row>
    <row r="11658" spans="1:3" x14ac:dyDescent="0.2">
      <c r="A11658" s="82"/>
      <c r="B11658" s="82"/>
      <c r="C11658" s="82"/>
    </row>
    <row r="11659" spans="1:3" x14ac:dyDescent="0.2">
      <c r="A11659" s="82"/>
      <c r="B11659" s="82"/>
      <c r="C11659" s="82"/>
    </row>
    <row r="11660" spans="1:3" x14ac:dyDescent="0.2">
      <c r="A11660" s="82"/>
      <c r="B11660" s="82"/>
      <c r="C11660" s="82"/>
    </row>
    <row r="11661" spans="1:3" x14ac:dyDescent="0.2">
      <c r="A11661" s="82"/>
      <c r="B11661" s="82"/>
      <c r="C11661" s="82"/>
    </row>
    <row r="11662" spans="1:3" x14ac:dyDescent="0.2">
      <c r="A11662" s="82"/>
      <c r="B11662" s="82"/>
      <c r="C11662" s="82"/>
    </row>
    <row r="11663" spans="1:3" x14ac:dyDescent="0.2">
      <c r="A11663" s="82"/>
      <c r="B11663" s="82"/>
      <c r="C11663" s="82"/>
    </row>
    <row r="11664" spans="1:3" x14ac:dyDescent="0.2">
      <c r="A11664" s="82"/>
      <c r="B11664" s="82"/>
      <c r="C11664" s="82"/>
    </row>
    <row r="11665" spans="1:3" x14ac:dyDescent="0.2">
      <c r="A11665" s="82"/>
      <c r="B11665" s="82"/>
      <c r="C11665" s="82"/>
    </row>
    <row r="11666" spans="1:3" x14ac:dyDescent="0.2">
      <c r="A11666" s="82"/>
      <c r="B11666" s="82"/>
      <c r="C11666" s="82"/>
    </row>
    <row r="11667" spans="1:3" x14ac:dyDescent="0.2">
      <c r="A11667" s="82"/>
      <c r="B11667" s="82"/>
      <c r="C11667" s="82"/>
    </row>
    <row r="11668" spans="1:3" x14ac:dyDescent="0.2">
      <c r="A11668" s="82"/>
      <c r="B11668" s="82"/>
      <c r="C11668" s="82"/>
    </row>
    <row r="11669" spans="1:3" x14ac:dyDescent="0.2">
      <c r="A11669" s="82"/>
      <c r="B11669" s="82"/>
      <c r="C11669" s="82"/>
    </row>
    <row r="11670" spans="1:3" x14ac:dyDescent="0.2">
      <c r="A11670" s="82"/>
      <c r="B11670" s="82"/>
      <c r="C11670" s="82"/>
    </row>
    <row r="11671" spans="1:3" x14ac:dyDescent="0.2">
      <c r="A11671" s="82"/>
      <c r="B11671" s="82"/>
      <c r="C11671" s="82"/>
    </row>
    <row r="11672" spans="1:3" x14ac:dyDescent="0.2">
      <c r="A11672" s="82"/>
      <c r="B11672" s="82"/>
      <c r="C11672" s="82"/>
    </row>
    <row r="11673" spans="1:3" x14ac:dyDescent="0.2">
      <c r="A11673" s="82"/>
      <c r="B11673" s="82"/>
      <c r="C11673" s="82"/>
    </row>
    <row r="11674" spans="1:3" x14ac:dyDescent="0.2">
      <c r="A11674" s="82"/>
      <c r="B11674" s="82"/>
      <c r="C11674" s="82"/>
    </row>
    <row r="11675" spans="1:3" x14ac:dyDescent="0.2">
      <c r="A11675" s="82"/>
      <c r="B11675" s="82"/>
      <c r="C11675" s="82"/>
    </row>
    <row r="11676" spans="1:3" x14ac:dyDescent="0.2">
      <c r="A11676" s="82"/>
      <c r="B11676" s="82"/>
      <c r="C11676" s="82"/>
    </row>
    <row r="11677" spans="1:3" x14ac:dyDescent="0.2">
      <c r="A11677" s="82"/>
      <c r="B11677" s="82"/>
      <c r="C11677" s="82"/>
    </row>
    <row r="11678" spans="1:3" x14ac:dyDescent="0.2">
      <c r="A11678" s="82"/>
      <c r="B11678" s="82"/>
      <c r="C11678" s="82"/>
    </row>
    <row r="11679" spans="1:3" x14ac:dyDescent="0.2">
      <c r="A11679" s="82"/>
      <c r="B11679" s="82"/>
      <c r="C11679" s="82"/>
    </row>
    <row r="11680" spans="1:3" x14ac:dyDescent="0.2">
      <c r="A11680" s="82"/>
      <c r="B11680" s="82"/>
      <c r="C11680" s="82"/>
    </row>
    <row r="11681" spans="1:3" x14ac:dyDescent="0.2">
      <c r="A11681" s="82"/>
      <c r="B11681" s="82"/>
      <c r="C11681" s="82"/>
    </row>
    <row r="11682" spans="1:3" x14ac:dyDescent="0.2">
      <c r="A11682" s="82"/>
      <c r="B11682" s="82"/>
      <c r="C11682" s="82"/>
    </row>
    <row r="11683" spans="1:3" x14ac:dyDescent="0.2">
      <c r="A11683" s="82"/>
      <c r="B11683" s="82"/>
      <c r="C11683" s="82"/>
    </row>
    <row r="11684" spans="1:3" x14ac:dyDescent="0.2">
      <c r="A11684" s="82"/>
      <c r="B11684" s="82"/>
      <c r="C11684" s="82"/>
    </row>
    <row r="11685" spans="1:3" x14ac:dyDescent="0.2">
      <c r="A11685" s="82"/>
      <c r="B11685" s="82"/>
      <c r="C11685" s="82"/>
    </row>
    <row r="11686" spans="1:3" x14ac:dyDescent="0.2">
      <c r="A11686" s="82"/>
      <c r="B11686" s="82"/>
      <c r="C11686" s="82"/>
    </row>
    <row r="11687" spans="1:3" x14ac:dyDescent="0.2">
      <c r="A11687" s="82"/>
      <c r="B11687" s="82"/>
      <c r="C11687" s="82"/>
    </row>
    <row r="11688" spans="1:3" x14ac:dyDescent="0.2">
      <c r="A11688" s="82"/>
      <c r="B11688" s="82"/>
      <c r="C11688" s="82"/>
    </row>
    <row r="11689" spans="1:3" x14ac:dyDescent="0.2">
      <c r="A11689" s="82"/>
      <c r="B11689" s="82"/>
      <c r="C11689" s="82"/>
    </row>
    <row r="11690" spans="1:3" x14ac:dyDescent="0.2">
      <c r="A11690" s="82"/>
      <c r="B11690" s="82"/>
      <c r="C11690" s="82"/>
    </row>
    <row r="11691" spans="1:3" x14ac:dyDescent="0.2">
      <c r="A11691" s="82"/>
      <c r="B11691" s="82"/>
      <c r="C11691" s="82"/>
    </row>
    <row r="11692" spans="1:3" x14ac:dyDescent="0.2">
      <c r="A11692" s="82"/>
      <c r="B11692" s="82"/>
      <c r="C11692" s="82"/>
    </row>
    <row r="11693" spans="1:3" x14ac:dyDescent="0.2">
      <c r="A11693" s="82"/>
      <c r="B11693" s="82"/>
      <c r="C11693" s="82"/>
    </row>
    <row r="11694" spans="1:3" x14ac:dyDescent="0.2">
      <c r="A11694" s="82"/>
      <c r="B11694" s="82"/>
      <c r="C11694" s="82"/>
    </row>
    <row r="11695" spans="1:3" x14ac:dyDescent="0.2">
      <c r="A11695" s="82"/>
      <c r="B11695" s="82"/>
      <c r="C11695" s="82"/>
    </row>
    <row r="11696" spans="1:3" x14ac:dyDescent="0.2">
      <c r="A11696" s="82"/>
      <c r="B11696" s="82"/>
      <c r="C11696" s="82"/>
    </row>
    <row r="11697" spans="1:3" x14ac:dyDescent="0.2">
      <c r="A11697" s="82"/>
      <c r="B11697" s="82"/>
      <c r="C11697" s="82"/>
    </row>
    <row r="11698" spans="1:3" x14ac:dyDescent="0.2">
      <c r="A11698" s="82"/>
      <c r="B11698" s="82"/>
      <c r="C11698" s="82"/>
    </row>
    <row r="11699" spans="1:3" x14ac:dyDescent="0.2">
      <c r="A11699" s="82"/>
      <c r="B11699" s="82"/>
      <c r="C11699" s="82"/>
    </row>
    <row r="11700" spans="1:3" x14ac:dyDescent="0.2">
      <c r="A11700" s="82"/>
      <c r="B11700" s="82"/>
      <c r="C11700" s="82"/>
    </row>
    <row r="11701" spans="1:3" x14ac:dyDescent="0.2">
      <c r="A11701" s="82"/>
      <c r="B11701" s="82"/>
      <c r="C11701" s="82"/>
    </row>
    <row r="11702" spans="1:3" x14ac:dyDescent="0.2">
      <c r="A11702" s="82"/>
      <c r="B11702" s="82"/>
      <c r="C11702" s="82"/>
    </row>
    <row r="11703" spans="1:3" x14ac:dyDescent="0.2">
      <c r="A11703" s="82"/>
      <c r="B11703" s="82"/>
      <c r="C11703" s="82"/>
    </row>
    <row r="11704" spans="1:3" x14ac:dyDescent="0.2">
      <c r="A11704" s="82"/>
      <c r="B11704" s="82"/>
      <c r="C11704" s="82"/>
    </row>
    <row r="11705" spans="1:3" x14ac:dyDescent="0.2">
      <c r="A11705" s="82"/>
      <c r="B11705" s="82"/>
      <c r="C11705" s="82"/>
    </row>
    <row r="11706" spans="1:3" x14ac:dyDescent="0.2">
      <c r="A11706" s="82"/>
      <c r="B11706" s="82"/>
      <c r="C11706" s="82"/>
    </row>
    <row r="11707" spans="1:3" x14ac:dyDescent="0.2">
      <c r="A11707" s="82"/>
      <c r="B11707" s="82"/>
      <c r="C11707" s="82"/>
    </row>
    <row r="11708" spans="1:3" x14ac:dyDescent="0.2">
      <c r="A11708" s="82"/>
      <c r="B11708" s="82"/>
      <c r="C11708" s="82"/>
    </row>
    <row r="11709" spans="1:3" x14ac:dyDescent="0.2">
      <c r="A11709" s="82"/>
      <c r="B11709" s="82"/>
      <c r="C11709" s="82"/>
    </row>
    <row r="11710" spans="1:3" x14ac:dyDescent="0.2">
      <c r="A11710" s="82"/>
      <c r="B11710" s="82"/>
      <c r="C11710" s="82"/>
    </row>
    <row r="11711" spans="1:3" x14ac:dyDescent="0.2">
      <c r="A11711" s="82"/>
      <c r="B11711" s="82"/>
      <c r="C11711" s="82"/>
    </row>
    <row r="11712" spans="1:3" x14ac:dyDescent="0.2">
      <c r="A11712" s="82"/>
      <c r="B11712" s="82"/>
      <c r="C11712" s="82"/>
    </row>
    <row r="11713" spans="1:3" x14ac:dyDescent="0.2">
      <c r="A11713" s="82"/>
      <c r="B11713" s="82"/>
      <c r="C11713" s="82"/>
    </row>
    <row r="11714" spans="1:3" x14ac:dyDescent="0.2">
      <c r="A11714" s="82"/>
      <c r="B11714" s="82"/>
      <c r="C11714" s="82"/>
    </row>
    <row r="11715" spans="1:3" x14ac:dyDescent="0.2">
      <c r="A11715" s="82"/>
      <c r="B11715" s="82"/>
      <c r="C11715" s="82"/>
    </row>
    <row r="11716" spans="1:3" x14ac:dyDescent="0.2">
      <c r="A11716" s="82"/>
      <c r="B11716" s="82"/>
      <c r="C11716" s="82"/>
    </row>
    <row r="11717" spans="1:3" x14ac:dyDescent="0.2">
      <c r="A11717" s="82"/>
      <c r="B11717" s="82"/>
      <c r="C11717" s="82"/>
    </row>
    <row r="11718" spans="1:3" x14ac:dyDescent="0.2">
      <c r="A11718" s="82"/>
      <c r="B11718" s="82"/>
      <c r="C11718" s="82"/>
    </row>
    <row r="11719" spans="1:3" x14ac:dyDescent="0.2">
      <c r="A11719" s="82"/>
      <c r="B11719" s="82"/>
      <c r="C11719" s="82"/>
    </row>
    <row r="11720" spans="1:3" x14ac:dyDescent="0.2">
      <c r="A11720" s="82"/>
      <c r="B11720" s="82"/>
      <c r="C11720" s="82"/>
    </row>
    <row r="11721" spans="1:3" x14ac:dyDescent="0.2">
      <c r="A11721" s="82"/>
      <c r="B11721" s="82"/>
      <c r="C11721" s="82"/>
    </row>
    <row r="11722" spans="1:3" x14ac:dyDescent="0.2">
      <c r="A11722" s="82"/>
      <c r="B11722" s="82"/>
      <c r="C11722" s="82"/>
    </row>
    <row r="11723" spans="1:3" x14ac:dyDescent="0.2">
      <c r="A11723" s="82"/>
      <c r="B11723" s="82"/>
      <c r="C11723" s="82"/>
    </row>
    <row r="11724" spans="1:3" x14ac:dyDescent="0.2">
      <c r="A11724" s="82"/>
      <c r="B11724" s="82"/>
      <c r="C11724" s="82"/>
    </row>
    <row r="11725" spans="1:3" x14ac:dyDescent="0.2">
      <c r="A11725" s="82"/>
      <c r="B11725" s="82"/>
      <c r="C11725" s="82"/>
    </row>
    <row r="11726" spans="1:3" x14ac:dyDescent="0.2">
      <c r="A11726" s="82"/>
      <c r="B11726" s="82"/>
      <c r="C11726" s="82"/>
    </row>
    <row r="11727" spans="1:3" x14ac:dyDescent="0.2">
      <c r="A11727" s="82"/>
      <c r="B11727" s="82"/>
      <c r="C11727" s="82"/>
    </row>
    <row r="11728" spans="1:3" x14ac:dyDescent="0.2">
      <c r="A11728" s="82"/>
      <c r="B11728" s="82"/>
      <c r="C11728" s="82"/>
    </row>
    <row r="11729" spans="1:3" x14ac:dyDescent="0.2">
      <c r="A11729" s="82"/>
      <c r="B11729" s="82"/>
      <c r="C11729" s="82"/>
    </row>
    <row r="11730" spans="1:3" x14ac:dyDescent="0.2">
      <c r="A11730" s="82"/>
      <c r="B11730" s="82"/>
      <c r="C11730" s="82"/>
    </row>
    <row r="11731" spans="1:3" x14ac:dyDescent="0.2">
      <c r="A11731" s="82"/>
      <c r="B11731" s="82"/>
      <c r="C11731" s="82"/>
    </row>
    <row r="11732" spans="1:3" x14ac:dyDescent="0.2">
      <c r="A11732" s="82"/>
      <c r="B11732" s="82"/>
      <c r="C11732" s="82"/>
    </row>
    <row r="11733" spans="1:3" x14ac:dyDescent="0.2">
      <c r="A11733" s="82"/>
      <c r="B11733" s="82"/>
      <c r="C11733" s="82"/>
    </row>
    <row r="11734" spans="1:3" x14ac:dyDescent="0.2">
      <c r="A11734" s="82"/>
      <c r="B11734" s="82"/>
      <c r="C11734" s="82"/>
    </row>
    <row r="11735" spans="1:3" x14ac:dyDescent="0.2">
      <c r="A11735" s="82"/>
      <c r="B11735" s="82"/>
      <c r="C11735" s="82"/>
    </row>
    <row r="11736" spans="1:3" x14ac:dyDescent="0.2">
      <c r="A11736" s="82"/>
      <c r="B11736" s="82"/>
      <c r="C11736" s="82"/>
    </row>
    <row r="11737" spans="1:3" x14ac:dyDescent="0.2">
      <c r="A11737" s="82"/>
      <c r="B11737" s="82"/>
      <c r="C11737" s="82"/>
    </row>
    <row r="11738" spans="1:3" x14ac:dyDescent="0.2">
      <c r="A11738" s="82"/>
      <c r="B11738" s="82"/>
      <c r="C11738" s="82"/>
    </row>
    <row r="11739" spans="1:3" x14ac:dyDescent="0.2">
      <c r="A11739" s="82"/>
      <c r="B11739" s="82"/>
      <c r="C11739" s="82"/>
    </row>
    <row r="11740" spans="1:3" x14ac:dyDescent="0.2">
      <c r="A11740" s="82"/>
      <c r="B11740" s="82"/>
      <c r="C11740" s="82"/>
    </row>
    <row r="11741" spans="1:3" x14ac:dyDescent="0.2">
      <c r="A11741" s="82"/>
      <c r="B11741" s="82"/>
      <c r="C11741" s="82"/>
    </row>
    <row r="11742" spans="1:3" x14ac:dyDescent="0.2">
      <c r="A11742" s="82"/>
      <c r="B11742" s="82"/>
      <c r="C11742" s="82"/>
    </row>
    <row r="11743" spans="1:3" x14ac:dyDescent="0.2">
      <c r="A11743" s="82"/>
      <c r="B11743" s="82"/>
      <c r="C11743" s="82"/>
    </row>
    <row r="11744" spans="1:3" x14ac:dyDescent="0.2">
      <c r="A11744" s="82"/>
      <c r="B11744" s="82"/>
      <c r="C11744" s="82"/>
    </row>
    <row r="11745" spans="1:3" x14ac:dyDescent="0.2">
      <c r="A11745" s="82"/>
      <c r="B11745" s="82"/>
      <c r="C11745" s="82"/>
    </row>
    <row r="11746" spans="1:3" x14ac:dyDescent="0.2">
      <c r="A11746" s="82"/>
      <c r="B11746" s="82"/>
      <c r="C11746" s="82"/>
    </row>
    <row r="11747" spans="1:3" x14ac:dyDescent="0.2">
      <c r="A11747" s="82"/>
      <c r="B11747" s="82"/>
      <c r="C11747" s="82"/>
    </row>
    <row r="11748" spans="1:3" x14ac:dyDescent="0.2">
      <c r="A11748" s="82"/>
      <c r="B11748" s="82"/>
      <c r="C11748" s="82"/>
    </row>
    <row r="11749" spans="1:3" x14ac:dyDescent="0.2">
      <c r="A11749" s="82"/>
      <c r="B11749" s="82"/>
      <c r="C11749" s="82"/>
    </row>
    <row r="11750" spans="1:3" x14ac:dyDescent="0.2">
      <c r="A11750" s="82"/>
      <c r="B11750" s="82"/>
      <c r="C11750" s="82"/>
    </row>
    <row r="11751" spans="1:3" x14ac:dyDescent="0.2">
      <c r="A11751" s="82"/>
      <c r="B11751" s="82"/>
      <c r="C11751" s="82"/>
    </row>
    <row r="11752" spans="1:3" x14ac:dyDescent="0.2">
      <c r="A11752" s="82"/>
      <c r="B11752" s="82"/>
      <c r="C11752" s="82"/>
    </row>
    <row r="11753" spans="1:3" x14ac:dyDescent="0.2">
      <c r="A11753" s="82"/>
      <c r="B11753" s="82"/>
      <c r="C11753" s="82"/>
    </row>
    <row r="11754" spans="1:3" x14ac:dyDescent="0.2">
      <c r="A11754" s="82"/>
      <c r="B11754" s="82"/>
      <c r="C11754" s="82"/>
    </row>
    <row r="11755" spans="1:3" x14ac:dyDescent="0.2">
      <c r="A11755" s="82"/>
      <c r="B11755" s="82"/>
      <c r="C11755" s="82"/>
    </row>
    <row r="11756" spans="1:3" x14ac:dyDescent="0.2">
      <c r="A11756" s="82"/>
      <c r="B11756" s="82"/>
      <c r="C11756" s="82"/>
    </row>
    <row r="11757" spans="1:3" x14ac:dyDescent="0.2">
      <c r="A11757" s="82"/>
      <c r="B11757" s="82"/>
      <c r="C11757" s="82"/>
    </row>
    <row r="11758" spans="1:3" x14ac:dyDescent="0.2">
      <c r="A11758" s="82"/>
      <c r="B11758" s="82"/>
      <c r="C11758" s="82"/>
    </row>
    <row r="11759" spans="1:3" x14ac:dyDescent="0.2">
      <c r="A11759" s="82"/>
      <c r="B11759" s="82"/>
      <c r="C11759" s="82"/>
    </row>
    <row r="11760" spans="1:3" x14ac:dyDescent="0.2">
      <c r="A11760" s="82"/>
      <c r="B11760" s="82"/>
      <c r="C11760" s="82"/>
    </row>
    <row r="11761" spans="1:3" x14ac:dyDescent="0.2">
      <c r="A11761" s="82"/>
      <c r="B11761" s="82"/>
      <c r="C11761" s="82"/>
    </row>
    <row r="11762" spans="1:3" x14ac:dyDescent="0.2">
      <c r="A11762" s="82"/>
      <c r="B11762" s="82"/>
      <c r="C11762" s="82"/>
    </row>
    <row r="11763" spans="1:3" x14ac:dyDescent="0.2">
      <c r="A11763" s="82"/>
      <c r="B11763" s="82"/>
      <c r="C11763" s="82"/>
    </row>
    <row r="11764" spans="1:3" x14ac:dyDescent="0.2">
      <c r="A11764" s="82"/>
      <c r="B11764" s="82"/>
      <c r="C11764" s="82"/>
    </row>
    <row r="11765" spans="1:3" x14ac:dyDescent="0.2">
      <c r="A11765" s="82"/>
      <c r="B11765" s="82"/>
      <c r="C11765" s="82"/>
    </row>
    <row r="11766" spans="1:3" x14ac:dyDescent="0.2">
      <c r="A11766" s="82"/>
      <c r="B11766" s="82"/>
      <c r="C11766" s="82"/>
    </row>
    <row r="11767" spans="1:3" x14ac:dyDescent="0.2">
      <c r="A11767" s="82"/>
      <c r="B11767" s="82"/>
      <c r="C11767" s="82"/>
    </row>
    <row r="11768" spans="1:3" x14ac:dyDescent="0.2">
      <c r="A11768" s="82"/>
      <c r="B11768" s="82"/>
      <c r="C11768" s="82"/>
    </row>
    <row r="11769" spans="1:3" x14ac:dyDescent="0.2">
      <c r="A11769" s="82"/>
      <c r="B11769" s="82"/>
      <c r="C11769" s="82"/>
    </row>
    <row r="11770" spans="1:3" x14ac:dyDescent="0.2">
      <c r="A11770" s="82"/>
      <c r="B11770" s="82"/>
      <c r="C11770" s="82"/>
    </row>
    <row r="11771" spans="1:3" x14ac:dyDescent="0.2">
      <c r="A11771" s="82"/>
      <c r="B11771" s="82"/>
      <c r="C11771" s="82"/>
    </row>
    <row r="11772" spans="1:3" x14ac:dyDescent="0.2">
      <c r="A11772" s="82"/>
      <c r="B11772" s="82"/>
      <c r="C11772" s="82"/>
    </row>
    <row r="11773" spans="1:3" x14ac:dyDescent="0.2">
      <c r="A11773" s="82"/>
      <c r="B11773" s="82"/>
      <c r="C11773" s="82"/>
    </row>
    <row r="11774" spans="1:3" x14ac:dyDescent="0.2">
      <c r="A11774" s="82"/>
      <c r="B11774" s="82"/>
      <c r="C11774" s="82"/>
    </row>
    <row r="11775" spans="1:3" x14ac:dyDescent="0.2">
      <c r="A11775" s="82"/>
      <c r="B11775" s="82"/>
      <c r="C11775" s="82"/>
    </row>
    <row r="11776" spans="1:3" x14ac:dyDescent="0.2">
      <c r="A11776" s="82"/>
      <c r="B11776" s="82"/>
      <c r="C11776" s="82"/>
    </row>
    <row r="11777" spans="1:3" x14ac:dyDescent="0.2">
      <c r="A11777" s="82"/>
      <c r="B11777" s="82"/>
      <c r="C11777" s="82"/>
    </row>
    <row r="11778" spans="1:3" x14ac:dyDescent="0.2">
      <c r="A11778" s="82"/>
      <c r="B11778" s="82"/>
      <c r="C11778" s="82"/>
    </row>
    <row r="11779" spans="1:3" x14ac:dyDescent="0.2">
      <c r="A11779" s="82"/>
      <c r="B11779" s="82"/>
      <c r="C11779" s="82"/>
    </row>
    <row r="11780" spans="1:3" x14ac:dyDescent="0.2">
      <c r="A11780" s="82"/>
      <c r="B11780" s="82"/>
      <c r="C11780" s="82"/>
    </row>
    <row r="11781" spans="1:3" x14ac:dyDescent="0.2">
      <c r="A11781" s="82"/>
      <c r="B11781" s="82"/>
      <c r="C11781" s="82"/>
    </row>
    <row r="11782" spans="1:3" x14ac:dyDescent="0.2">
      <c r="A11782" s="82"/>
      <c r="B11782" s="82"/>
      <c r="C11782" s="82"/>
    </row>
    <row r="11783" spans="1:3" x14ac:dyDescent="0.2">
      <c r="A11783" s="82"/>
      <c r="B11783" s="82"/>
      <c r="C11783" s="82"/>
    </row>
    <row r="11784" spans="1:3" x14ac:dyDescent="0.2">
      <c r="A11784" s="82"/>
      <c r="B11784" s="82"/>
      <c r="C11784" s="82"/>
    </row>
    <row r="11785" spans="1:3" x14ac:dyDescent="0.2">
      <c r="A11785" s="82"/>
      <c r="B11785" s="82"/>
      <c r="C11785" s="82"/>
    </row>
    <row r="11786" spans="1:3" x14ac:dyDescent="0.2">
      <c r="A11786" s="82"/>
      <c r="B11786" s="82"/>
      <c r="C11786" s="82"/>
    </row>
    <row r="11787" spans="1:3" x14ac:dyDescent="0.2">
      <c r="A11787" s="82"/>
      <c r="B11787" s="82"/>
      <c r="C11787" s="82"/>
    </row>
    <row r="11788" spans="1:3" x14ac:dyDescent="0.2">
      <c r="A11788" s="82"/>
      <c r="B11788" s="82"/>
      <c r="C11788" s="82"/>
    </row>
    <row r="11789" spans="1:3" x14ac:dyDescent="0.2">
      <c r="A11789" s="82"/>
      <c r="B11789" s="82"/>
      <c r="C11789" s="82"/>
    </row>
    <row r="11790" spans="1:3" x14ac:dyDescent="0.2">
      <c r="A11790" s="82"/>
      <c r="B11790" s="82"/>
      <c r="C11790" s="82"/>
    </row>
    <row r="11791" spans="1:3" x14ac:dyDescent="0.2">
      <c r="A11791" s="82"/>
      <c r="B11791" s="82"/>
      <c r="C11791" s="82"/>
    </row>
    <row r="11792" spans="1:3" x14ac:dyDescent="0.2">
      <c r="A11792" s="82"/>
      <c r="B11792" s="82"/>
      <c r="C11792" s="82"/>
    </row>
    <row r="11793" spans="1:3" x14ac:dyDescent="0.2">
      <c r="A11793" s="82"/>
      <c r="B11793" s="82"/>
      <c r="C11793" s="82"/>
    </row>
    <row r="11794" spans="1:3" x14ac:dyDescent="0.2">
      <c r="A11794" s="82"/>
      <c r="B11794" s="82"/>
      <c r="C11794" s="82"/>
    </row>
    <row r="11795" spans="1:3" x14ac:dyDescent="0.2">
      <c r="A11795" s="82"/>
      <c r="B11795" s="82"/>
      <c r="C11795" s="82"/>
    </row>
    <row r="11796" spans="1:3" x14ac:dyDescent="0.2">
      <c r="A11796" s="82"/>
      <c r="B11796" s="82"/>
      <c r="C11796" s="82"/>
    </row>
    <row r="11797" spans="1:3" x14ac:dyDescent="0.2">
      <c r="A11797" s="82"/>
      <c r="B11797" s="82"/>
      <c r="C11797" s="82"/>
    </row>
    <row r="11798" spans="1:3" x14ac:dyDescent="0.2">
      <c r="A11798" s="82"/>
      <c r="B11798" s="82"/>
      <c r="C11798" s="82"/>
    </row>
    <row r="11799" spans="1:3" x14ac:dyDescent="0.2">
      <c r="A11799" s="82"/>
      <c r="B11799" s="82"/>
      <c r="C11799" s="82"/>
    </row>
    <row r="11800" spans="1:3" x14ac:dyDescent="0.2">
      <c r="A11800" s="82"/>
      <c r="B11800" s="82"/>
      <c r="C11800" s="82"/>
    </row>
    <row r="11801" spans="1:3" x14ac:dyDescent="0.2">
      <c r="A11801" s="82"/>
      <c r="B11801" s="82"/>
      <c r="C11801" s="82"/>
    </row>
    <row r="11802" spans="1:3" x14ac:dyDescent="0.2">
      <c r="A11802" s="82"/>
      <c r="B11802" s="82"/>
      <c r="C11802" s="82"/>
    </row>
    <row r="11803" spans="1:3" x14ac:dyDescent="0.2">
      <c r="A11803" s="82"/>
      <c r="B11803" s="82"/>
      <c r="C11803" s="82"/>
    </row>
    <row r="11804" spans="1:3" x14ac:dyDescent="0.2">
      <c r="A11804" s="82"/>
      <c r="B11804" s="82"/>
      <c r="C11804" s="82"/>
    </row>
    <row r="11805" spans="1:3" x14ac:dyDescent="0.2">
      <c r="A11805" s="82"/>
      <c r="B11805" s="82"/>
      <c r="C11805" s="82"/>
    </row>
    <row r="11806" spans="1:3" x14ac:dyDescent="0.2">
      <c r="A11806" s="82"/>
      <c r="B11806" s="82"/>
      <c r="C11806" s="82"/>
    </row>
    <row r="11807" spans="1:3" x14ac:dyDescent="0.2">
      <c r="A11807" s="82"/>
      <c r="B11807" s="82"/>
      <c r="C11807" s="82"/>
    </row>
    <row r="11808" spans="1:3" x14ac:dyDescent="0.2">
      <c r="A11808" s="82"/>
      <c r="B11808" s="82"/>
      <c r="C11808" s="82"/>
    </row>
    <row r="11809" spans="1:3" x14ac:dyDescent="0.2">
      <c r="A11809" s="82"/>
      <c r="B11809" s="82"/>
      <c r="C11809" s="82"/>
    </row>
    <row r="11810" spans="1:3" x14ac:dyDescent="0.2">
      <c r="A11810" s="82"/>
      <c r="B11810" s="82"/>
      <c r="C11810" s="82"/>
    </row>
    <row r="11811" spans="1:3" x14ac:dyDescent="0.2">
      <c r="A11811" s="82"/>
      <c r="B11811" s="82"/>
      <c r="C11811" s="82"/>
    </row>
    <row r="11812" spans="1:3" x14ac:dyDescent="0.2">
      <c r="A11812" s="82"/>
      <c r="B11812" s="82"/>
      <c r="C11812" s="82"/>
    </row>
    <row r="11813" spans="1:3" x14ac:dyDescent="0.2">
      <c r="A11813" s="82"/>
      <c r="B11813" s="82"/>
      <c r="C11813" s="82"/>
    </row>
    <row r="11814" spans="1:3" x14ac:dyDescent="0.2">
      <c r="A11814" s="82"/>
      <c r="B11814" s="82"/>
      <c r="C11814" s="82"/>
    </row>
    <row r="11815" spans="1:3" x14ac:dyDescent="0.2">
      <c r="A11815" s="82"/>
      <c r="B11815" s="82"/>
      <c r="C11815" s="82"/>
    </row>
    <row r="11816" spans="1:3" x14ac:dyDescent="0.2">
      <c r="A11816" s="82"/>
      <c r="B11816" s="82"/>
      <c r="C11816" s="82"/>
    </row>
    <row r="11817" spans="1:3" x14ac:dyDescent="0.2">
      <c r="A11817" s="82"/>
      <c r="B11817" s="82"/>
      <c r="C11817" s="82"/>
    </row>
    <row r="11818" spans="1:3" x14ac:dyDescent="0.2">
      <c r="A11818" s="82"/>
      <c r="B11818" s="82"/>
      <c r="C11818" s="82"/>
    </row>
    <row r="11819" spans="1:3" x14ac:dyDescent="0.2">
      <c r="A11819" s="82"/>
      <c r="B11819" s="82"/>
      <c r="C11819" s="82"/>
    </row>
    <row r="11820" spans="1:3" x14ac:dyDescent="0.2">
      <c r="A11820" s="82"/>
      <c r="B11820" s="82"/>
      <c r="C11820" s="82"/>
    </row>
    <row r="11821" spans="1:3" x14ac:dyDescent="0.2">
      <c r="A11821" s="82"/>
      <c r="B11821" s="82"/>
      <c r="C11821" s="82"/>
    </row>
    <row r="11822" spans="1:3" x14ac:dyDescent="0.2">
      <c r="A11822" s="82"/>
      <c r="B11822" s="82"/>
      <c r="C11822" s="82"/>
    </row>
    <row r="11823" spans="1:3" x14ac:dyDescent="0.2">
      <c r="A11823" s="82"/>
      <c r="B11823" s="82"/>
      <c r="C11823" s="82"/>
    </row>
    <row r="11824" spans="1:3" x14ac:dyDescent="0.2">
      <c r="A11824" s="82"/>
      <c r="B11824" s="82"/>
      <c r="C11824" s="82"/>
    </row>
    <row r="11825" spans="1:3" x14ac:dyDescent="0.2">
      <c r="A11825" s="82"/>
      <c r="B11825" s="82"/>
      <c r="C11825" s="82"/>
    </row>
    <row r="11826" spans="1:3" x14ac:dyDescent="0.2">
      <c r="A11826" s="82"/>
      <c r="B11826" s="82"/>
      <c r="C11826" s="82"/>
    </row>
    <row r="11827" spans="1:3" x14ac:dyDescent="0.2">
      <c r="A11827" s="82"/>
      <c r="B11827" s="82"/>
      <c r="C11827" s="82"/>
    </row>
    <row r="11828" spans="1:3" x14ac:dyDescent="0.2">
      <c r="A11828" s="82"/>
      <c r="B11828" s="82"/>
      <c r="C11828" s="82"/>
    </row>
    <row r="11829" spans="1:3" x14ac:dyDescent="0.2">
      <c r="A11829" s="82"/>
      <c r="B11829" s="82"/>
      <c r="C11829" s="82"/>
    </row>
    <row r="11830" spans="1:3" x14ac:dyDescent="0.2">
      <c r="A11830" s="82"/>
      <c r="B11830" s="82"/>
      <c r="C11830" s="82"/>
    </row>
    <row r="11831" spans="1:3" x14ac:dyDescent="0.2">
      <c r="A11831" s="82"/>
      <c r="B11831" s="82"/>
      <c r="C11831" s="82"/>
    </row>
    <row r="11832" spans="1:3" x14ac:dyDescent="0.2">
      <c r="A11832" s="82"/>
      <c r="B11832" s="82"/>
      <c r="C11832" s="82"/>
    </row>
    <row r="11833" spans="1:3" x14ac:dyDescent="0.2">
      <c r="A11833" s="82"/>
      <c r="B11833" s="82"/>
      <c r="C11833" s="82"/>
    </row>
    <row r="11834" spans="1:3" x14ac:dyDescent="0.2">
      <c r="A11834" s="82"/>
      <c r="B11834" s="82"/>
      <c r="C11834" s="82"/>
    </row>
    <row r="11835" spans="1:3" x14ac:dyDescent="0.2">
      <c r="A11835" s="82"/>
      <c r="B11835" s="82"/>
      <c r="C11835" s="82"/>
    </row>
    <row r="11836" spans="1:3" x14ac:dyDescent="0.2">
      <c r="A11836" s="82"/>
      <c r="B11836" s="82"/>
      <c r="C11836" s="82"/>
    </row>
    <row r="11837" spans="1:3" x14ac:dyDescent="0.2">
      <c r="A11837" s="82"/>
      <c r="B11837" s="82"/>
      <c r="C11837" s="82"/>
    </row>
    <row r="11838" spans="1:3" x14ac:dyDescent="0.2">
      <c r="A11838" s="82"/>
      <c r="B11838" s="82"/>
      <c r="C11838" s="82"/>
    </row>
    <row r="11839" spans="1:3" x14ac:dyDescent="0.2">
      <c r="A11839" s="82"/>
      <c r="B11839" s="82"/>
      <c r="C11839" s="82"/>
    </row>
    <row r="11840" spans="1:3" x14ac:dyDescent="0.2">
      <c r="A11840" s="82"/>
      <c r="B11840" s="82"/>
      <c r="C11840" s="82"/>
    </row>
    <row r="11841" spans="1:3" x14ac:dyDescent="0.2">
      <c r="A11841" s="82"/>
      <c r="B11841" s="82"/>
      <c r="C11841" s="82"/>
    </row>
    <row r="11842" spans="1:3" x14ac:dyDescent="0.2">
      <c r="A11842" s="82"/>
      <c r="B11842" s="82"/>
      <c r="C11842" s="82"/>
    </row>
    <row r="11843" spans="1:3" x14ac:dyDescent="0.2">
      <c r="A11843" s="82"/>
      <c r="B11843" s="82"/>
      <c r="C11843" s="82"/>
    </row>
    <row r="11844" spans="1:3" x14ac:dyDescent="0.2">
      <c r="A11844" s="82"/>
      <c r="B11844" s="82"/>
      <c r="C11844" s="82"/>
    </row>
    <row r="11845" spans="1:3" x14ac:dyDescent="0.2">
      <c r="A11845" s="82"/>
      <c r="B11845" s="82"/>
      <c r="C11845" s="82"/>
    </row>
    <row r="11846" spans="1:3" x14ac:dyDescent="0.2">
      <c r="A11846" s="82"/>
      <c r="B11846" s="82"/>
      <c r="C11846" s="82"/>
    </row>
    <row r="11847" spans="1:3" x14ac:dyDescent="0.2">
      <c r="A11847" s="82"/>
      <c r="B11847" s="82"/>
      <c r="C11847" s="82"/>
    </row>
    <row r="11848" spans="1:3" x14ac:dyDescent="0.2">
      <c r="A11848" s="82"/>
      <c r="B11848" s="82"/>
      <c r="C11848" s="82"/>
    </row>
    <row r="11849" spans="1:3" x14ac:dyDescent="0.2">
      <c r="A11849" s="82"/>
      <c r="B11849" s="82"/>
      <c r="C11849" s="82"/>
    </row>
    <row r="11850" spans="1:3" x14ac:dyDescent="0.2">
      <c r="A11850" s="82"/>
      <c r="B11850" s="82"/>
      <c r="C11850" s="82"/>
    </row>
    <row r="11851" spans="1:3" x14ac:dyDescent="0.2">
      <c r="A11851" s="82"/>
      <c r="B11851" s="82"/>
      <c r="C11851" s="82"/>
    </row>
    <row r="11852" spans="1:3" x14ac:dyDescent="0.2">
      <c r="A11852" s="82"/>
      <c r="B11852" s="82"/>
      <c r="C11852" s="82"/>
    </row>
    <row r="11853" spans="1:3" x14ac:dyDescent="0.2">
      <c r="A11853" s="82"/>
      <c r="B11853" s="82"/>
      <c r="C11853" s="82"/>
    </row>
    <row r="11854" spans="1:3" x14ac:dyDescent="0.2">
      <c r="A11854" s="82"/>
      <c r="B11854" s="82"/>
      <c r="C11854" s="82"/>
    </row>
    <row r="11855" spans="1:3" x14ac:dyDescent="0.2">
      <c r="A11855" s="82"/>
      <c r="B11855" s="82"/>
      <c r="C11855" s="82"/>
    </row>
    <row r="11856" spans="1:3" x14ac:dyDescent="0.2">
      <c r="A11856" s="82"/>
      <c r="B11856" s="82"/>
      <c r="C11856" s="82"/>
    </row>
    <row r="11857" spans="1:3" x14ac:dyDescent="0.2">
      <c r="A11857" s="82"/>
      <c r="B11857" s="82"/>
      <c r="C11857" s="82"/>
    </row>
    <row r="11858" spans="1:3" x14ac:dyDescent="0.2">
      <c r="A11858" s="82"/>
      <c r="B11858" s="82"/>
      <c r="C11858" s="82"/>
    </row>
    <row r="11859" spans="1:3" x14ac:dyDescent="0.2">
      <c r="A11859" s="82"/>
      <c r="B11859" s="82"/>
      <c r="C11859" s="82"/>
    </row>
    <row r="11860" spans="1:3" x14ac:dyDescent="0.2">
      <c r="A11860" s="82"/>
      <c r="B11860" s="82"/>
      <c r="C11860" s="82"/>
    </row>
    <row r="11861" spans="1:3" x14ac:dyDescent="0.2">
      <c r="A11861" s="82"/>
      <c r="B11861" s="82"/>
      <c r="C11861" s="82"/>
    </row>
    <row r="11862" spans="1:3" x14ac:dyDescent="0.2">
      <c r="A11862" s="82"/>
      <c r="B11862" s="82"/>
      <c r="C11862" s="82"/>
    </row>
    <row r="11863" spans="1:3" x14ac:dyDescent="0.2">
      <c r="A11863" s="82"/>
      <c r="B11863" s="82"/>
      <c r="C11863" s="82"/>
    </row>
    <row r="11864" spans="1:3" x14ac:dyDescent="0.2">
      <c r="A11864" s="82"/>
      <c r="B11864" s="82"/>
      <c r="C11864" s="82"/>
    </row>
    <row r="11865" spans="1:3" x14ac:dyDescent="0.2">
      <c r="A11865" s="82"/>
      <c r="B11865" s="82"/>
      <c r="C11865" s="82"/>
    </row>
    <row r="11866" spans="1:3" x14ac:dyDescent="0.2">
      <c r="A11866" s="82"/>
      <c r="B11866" s="82"/>
      <c r="C11866" s="82"/>
    </row>
    <row r="11867" spans="1:3" x14ac:dyDescent="0.2">
      <c r="A11867" s="82"/>
      <c r="B11867" s="82"/>
      <c r="C11867" s="82"/>
    </row>
    <row r="11868" spans="1:3" x14ac:dyDescent="0.2">
      <c r="A11868" s="82"/>
      <c r="B11868" s="82"/>
      <c r="C11868" s="82"/>
    </row>
    <row r="11869" spans="1:3" x14ac:dyDescent="0.2">
      <c r="A11869" s="82"/>
      <c r="B11869" s="82"/>
      <c r="C11869" s="82"/>
    </row>
    <row r="11870" spans="1:3" x14ac:dyDescent="0.2">
      <c r="A11870" s="82"/>
      <c r="B11870" s="82"/>
      <c r="C11870" s="82"/>
    </row>
    <row r="11871" spans="1:3" x14ac:dyDescent="0.2">
      <c r="A11871" s="82"/>
      <c r="B11871" s="82"/>
      <c r="C11871" s="82"/>
    </row>
    <row r="11872" spans="1:3" x14ac:dyDescent="0.2">
      <c r="A11872" s="82"/>
      <c r="B11872" s="82"/>
      <c r="C11872" s="82"/>
    </row>
    <row r="11873" spans="1:3" x14ac:dyDescent="0.2">
      <c r="A11873" s="82"/>
      <c r="B11873" s="82"/>
      <c r="C11873" s="82"/>
    </row>
    <row r="11874" spans="1:3" x14ac:dyDescent="0.2">
      <c r="A11874" s="82"/>
      <c r="B11874" s="82"/>
      <c r="C11874" s="82"/>
    </row>
    <row r="11875" spans="1:3" x14ac:dyDescent="0.2">
      <c r="A11875" s="82"/>
      <c r="B11875" s="82"/>
      <c r="C11875" s="82"/>
    </row>
    <row r="11876" spans="1:3" x14ac:dyDescent="0.2">
      <c r="A11876" s="82"/>
      <c r="B11876" s="82"/>
      <c r="C11876" s="82"/>
    </row>
    <row r="11877" spans="1:3" x14ac:dyDescent="0.2">
      <c r="A11877" s="82"/>
      <c r="B11877" s="82"/>
      <c r="C11877" s="82"/>
    </row>
    <row r="11878" spans="1:3" x14ac:dyDescent="0.2">
      <c r="A11878" s="82"/>
      <c r="B11878" s="82"/>
      <c r="C11878" s="82"/>
    </row>
    <row r="11879" spans="1:3" x14ac:dyDescent="0.2">
      <c r="A11879" s="82"/>
      <c r="B11879" s="82"/>
      <c r="C11879" s="82"/>
    </row>
    <row r="11880" spans="1:3" x14ac:dyDescent="0.2">
      <c r="A11880" s="82"/>
      <c r="B11880" s="82"/>
      <c r="C11880" s="82"/>
    </row>
    <row r="11881" spans="1:3" x14ac:dyDescent="0.2">
      <c r="A11881" s="82"/>
      <c r="B11881" s="82"/>
      <c r="C11881" s="82"/>
    </row>
    <row r="11882" spans="1:3" x14ac:dyDescent="0.2">
      <c r="A11882" s="82"/>
      <c r="B11882" s="82"/>
      <c r="C11882" s="82"/>
    </row>
    <row r="11883" spans="1:3" x14ac:dyDescent="0.2">
      <c r="A11883" s="82"/>
      <c r="B11883" s="82"/>
      <c r="C11883" s="82"/>
    </row>
    <row r="11884" spans="1:3" x14ac:dyDescent="0.2">
      <c r="A11884" s="82"/>
      <c r="B11884" s="82"/>
      <c r="C11884" s="82"/>
    </row>
    <row r="11885" spans="1:3" x14ac:dyDescent="0.2">
      <c r="A11885" s="82"/>
      <c r="B11885" s="82"/>
      <c r="C11885" s="82"/>
    </row>
    <row r="11886" spans="1:3" x14ac:dyDescent="0.2">
      <c r="A11886" s="82"/>
      <c r="B11886" s="82"/>
      <c r="C11886" s="82"/>
    </row>
    <row r="11887" spans="1:3" x14ac:dyDescent="0.2">
      <c r="A11887" s="82"/>
      <c r="B11887" s="82"/>
      <c r="C11887" s="82"/>
    </row>
    <row r="11888" spans="1:3" x14ac:dyDescent="0.2">
      <c r="A11888" s="82"/>
      <c r="B11888" s="82"/>
      <c r="C11888" s="82"/>
    </row>
    <row r="11889" spans="1:3" x14ac:dyDescent="0.2">
      <c r="A11889" s="82"/>
      <c r="B11889" s="82"/>
      <c r="C11889" s="82"/>
    </row>
    <row r="11890" spans="1:3" x14ac:dyDescent="0.2">
      <c r="A11890" s="82"/>
      <c r="B11890" s="82"/>
      <c r="C11890" s="82"/>
    </row>
    <row r="11891" spans="1:3" x14ac:dyDescent="0.2">
      <c r="A11891" s="82"/>
      <c r="B11891" s="82"/>
      <c r="C11891" s="82"/>
    </row>
    <row r="11892" spans="1:3" x14ac:dyDescent="0.2">
      <c r="A11892" s="82"/>
      <c r="B11892" s="82"/>
      <c r="C11892" s="82"/>
    </row>
    <row r="11893" spans="1:3" x14ac:dyDescent="0.2">
      <c r="A11893" s="82"/>
      <c r="B11893" s="82"/>
      <c r="C11893" s="82"/>
    </row>
    <row r="11894" spans="1:3" x14ac:dyDescent="0.2">
      <c r="A11894" s="82"/>
      <c r="B11894" s="82"/>
      <c r="C11894" s="82"/>
    </row>
    <row r="11895" spans="1:3" x14ac:dyDescent="0.2">
      <c r="A11895" s="82"/>
      <c r="B11895" s="82"/>
      <c r="C11895" s="82"/>
    </row>
    <row r="11896" spans="1:3" x14ac:dyDescent="0.2">
      <c r="A11896" s="82"/>
      <c r="B11896" s="82"/>
      <c r="C11896" s="82"/>
    </row>
    <row r="11897" spans="1:3" x14ac:dyDescent="0.2">
      <c r="A11897" s="82"/>
      <c r="B11897" s="82"/>
      <c r="C11897" s="82"/>
    </row>
    <row r="11898" spans="1:3" x14ac:dyDescent="0.2">
      <c r="A11898" s="82"/>
      <c r="B11898" s="82"/>
      <c r="C11898" s="82"/>
    </row>
    <row r="11899" spans="1:3" x14ac:dyDescent="0.2">
      <c r="A11899" s="82"/>
      <c r="B11899" s="82"/>
      <c r="C11899" s="82"/>
    </row>
    <row r="11900" spans="1:3" x14ac:dyDescent="0.2">
      <c r="A11900" s="82"/>
      <c r="B11900" s="82"/>
      <c r="C11900" s="82"/>
    </row>
    <row r="11901" spans="1:3" x14ac:dyDescent="0.2">
      <c r="A11901" s="82"/>
      <c r="B11901" s="82"/>
      <c r="C11901" s="82"/>
    </row>
    <row r="11902" spans="1:3" x14ac:dyDescent="0.2">
      <c r="A11902" s="82"/>
      <c r="B11902" s="82"/>
      <c r="C11902" s="82"/>
    </row>
    <row r="11903" spans="1:3" x14ac:dyDescent="0.2">
      <c r="A11903" s="82"/>
      <c r="B11903" s="82"/>
      <c r="C11903" s="82"/>
    </row>
    <row r="11904" spans="1:3" x14ac:dyDescent="0.2">
      <c r="A11904" s="82"/>
      <c r="B11904" s="82"/>
      <c r="C11904" s="82"/>
    </row>
    <row r="11905" spans="1:3" x14ac:dyDescent="0.2">
      <c r="A11905" s="82"/>
      <c r="B11905" s="82"/>
      <c r="C11905" s="82"/>
    </row>
    <row r="11906" spans="1:3" x14ac:dyDescent="0.2">
      <c r="A11906" s="82"/>
      <c r="B11906" s="82"/>
      <c r="C11906" s="82"/>
    </row>
    <row r="11907" spans="1:3" x14ac:dyDescent="0.2">
      <c r="A11907" s="82"/>
      <c r="B11907" s="82"/>
      <c r="C11907" s="82"/>
    </row>
    <row r="11908" spans="1:3" x14ac:dyDescent="0.2">
      <c r="A11908" s="82"/>
      <c r="B11908" s="82"/>
      <c r="C11908" s="82"/>
    </row>
    <row r="11909" spans="1:3" x14ac:dyDescent="0.2">
      <c r="A11909" s="82"/>
      <c r="B11909" s="82"/>
      <c r="C11909" s="82"/>
    </row>
    <row r="11910" spans="1:3" x14ac:dyDescent="0.2">
      <c r="A11910" s="82"/>
      <c r="B11910" s="82"/>
      <c r="C11910" s="82"/>
    </row>
    <row r="11911" spans="1:3" x14ac:dyDescent="0.2">
      <c r="A11911" s="82"/>
      <c r="B11911" s="82"/>
      <c r="C11911" s="82"/>
    </row>
    <row r="11912" spans="1:3" x14ac:dyDescent="0.2">
      <c r="A11912" s="82"/>
      <c r="B11912" s="82"/>
      <c r="C11912" s="82"/>
    </row>
    <row r="11913" spans="1:3" x14ac:dyDescent="0.2">
      <c r="A11913" s="82"/>
      <c r="B11913" s="82"/>
      <c r="C11913" s="82"/>
    </row>
    <row r="11914" spans="1:3" x14ac:dyDescent="0.2">
      <c r="A11914" s="82"/>
      <c r="B11914" s="82"/>
      <c r="C11914" s="82"/>
    </row>
    <row r="11915" spans="1:3" x14ac:dyDescent="0.2">
      <c r="A11915" s="82"/>
      <c r="B11915" s="82"/>
      <c r="C11915" s="82"/>
    </row>
    <row r="11916" spans="1:3" x14ac:dyDescent="0.2">
      <c r="A11916" s="82"/>
      <c r="B11916" s="82"/>
      <c r="C11916" s="82"/>
    </row>
    <row r="11917" spans="1:3" x14ac:dyDescent="0.2">
      <c r="A11917" s="82"/>
      <c r="B11917" s="82"/>
      <c r="C11917" s="82"/>
    </row>
    <row r="11918" spans="1:3" x14ac:dyDescent="0.2">
      <c r="A11918" s="82"/>
      <c r="B11918" s="82"/>
      <c r="C11918" s="82"/>
    </row>
    <row r="11919" spans="1:3" x14ac:dyDescent="0.2">
      <c r="A11919" s="82"/>
      <c r="B11919" s="82"/>
      <c r="C11919" s="82"/>
    </row>
    <row r="11920" spans="1:3" x14ac:dyDescent="0.2">
      <c r="A11920" s="82"/>
      <c r="B11920" s="82"/>
      <c r="C11920" s="82"/>
    </row>
    <row r="11921" spans="1:3" x14ac:dyDescent="0.2">
      <c r="A11921" s="82"/>
      <c r="B11921" s="82"/>
      <c r="C11921" s="82"/>
    </row>
    <row r="11922" spans="1:3" x14ac:dyDescent="0.2">
      <c r="A11922" s="82"/>
      <c r="B11922" s="82"/>
      <c r="C11922" s="82"/>
    </row>
    <row r="11923" spans="1:3" x14ac:dyDescent="0.2">
      <c r="A11923" s="82"/>
      <c r="B11923" s="82"/>
      <c r="C11923" s="82"/>
    </row>
    <row r="11924" spans="1:3" x14ac:dyDescent="0.2">
      <c r="A11924" s="82"/>
      <c r="B11924" s="82"/>
      <c r="C11924" s="82"/>
    </row>
    <row r="11925" spans="1:3" x14ac:dyDescent="0.2">
      <c r="A11925" s="82"/>
      <c r="B11925" s="82"/>
      <c r="C11925" s="82"/>
    </row>
    <row r="11926" spans="1:3" x14ac:dyDescent="0.2">
      <c r="A11926" s="82"/>
      <c r="B11926" s="82"/>
      <c r="C11926" s="82"/>
    </row>
    <row r="11927" spans="1:3" x14ac:dyDescent="0.2">
      <c r="A11927" s="82"/>
      <c r="B11927" s="82"/>
      <c r="C11927" s="82"/>
    </row>
    <row r="11928" spans="1:3" x14ac:dyDescent="0.2">
      <c r="A11928" s="82"/>
      <c r="B11928" s="82"/>
      <c r="C11928" s="82"/>
    </row>
    <row r="11929" spans="1:3" x14ac:dyDescent="0.2">
      <c r="A11929" s="82"/>
      <c r="B11929" s="82"/>
      <c r="C11929" s="82"/>
    </row>
    <row r="11930" spans="1:3" x14ac:dyDescent="0.2">
      <c r="A11930" s="82"/>
      <c r="B11930" s="82"/>
      <c r="C11930" s="82"/>
    </row>
    <row r="11931" spans="1:3" x14ac:dyDescent="0.2">
      <c r="A11931" s="82"/>
      <c r="B11931" s="82"/>
      <c r="C11931" s="82"/>
    </row>
    <row r="11932" spans="1:3" x14ac:dyDescent="0.2">
      <c r="A11932" s="82"/>
      <c r="B11932" s="82"/>
      <c r="C11932" s="82"/>
    </row>
    <row r="11933" spans="1:3" x14ac:dyDescent="0.2">
      <c r="A11933" s="82"/>
      <c r="B11933" s="82"/>
      <c r="C11933" s="82"/>
    </row>
    <row r="11934" spans="1:3" x14ac:dyDescent="0.2">
      <c r="A11934" s="82"/>
      <c r="B11934" s="82"/>
      <c r="C11934" s="82"/>
    </row>
    <row r="11935" spans="1:3" x14ac:dyDescent="0.2">
      <c r="A11935" s="82"/>
      <c r="B11935" s="82"/>
      <c r="C11935" s="82"/>
    </row>
    <row r="11936" spans="1:3" x14ac:dyDescent="0.2">
      <c r="A11936" s="82"/>
      <c r="B11936" s="82"/>
      <c r="C11936" s="82"/>
    </row>
    <row r="11937" spans="1:3" x14ac:dyDescent="0.2">
      <c r="A11937" s="82"/>
      <c r="B11937" s="82"/>
      <c r="C11937" s="82"/>
    </row>
    <row r="11938" spans="1:3" x14ac:dyDescent="0.2">
      <c r="A11938" s="82"/>
      <c r="B11938" s="82"/>
      <c r="C11938" s="82"/>
    </row>
    <row r="11939" spans="1:3" x14ac:dyDescent="0.2">
      <c r="A11939" s="82"/>
      <c r="B11939" s="82"/>
      <c r="C11939" s="82"/>
    </row>
    <row r="11940" spans="1:3" x14ac:dyDescent="0.2">
      <c r="A11940" s="82"/>
      <c r="B11940" s="82"/>
      <c r="C11940" s="82"/>
    </row>
    <row r="11941" spans="1:3" x14ac:dyDescent="0.2">
      <c r="A11941" s="82"/>
      <c r="B11941" s="82"/>
      <c r="C11941" s="82"/>
    </row>
    <row r="11942" spans="1:3" x14ac:dyDescent="0.2">
      <c r="A11942" s="82"/>
      <c r="B11942" s="82"/>
      <c r="C11942" s="82"/>
    </row>
    <row r="11943" spans="1:3" x14ac:dyDescent="0.2">
      <c r="A11943" s="82"/>
      <c r="B11943" s="82"/>
      <c r="C11943" s="82"/>
    </row>
    <row r="11944" spans="1:3" x14ac:dyDescent="0.2">
      <c r="A11944" s="82"/>
      <c r="B11944" s="82"/>
      <c r="C11944" s="82"/>
    </row>
    <row r="11945" spans="1:3" x14ac:dyDescent="0.2">
      <c r="A11945" s="82"/>
      <c r="B11945" s="82"/>
      <c r="C11945" s="82"/>
    </row>
    <row r="11946" spans="1:3" x14ac:dyDescent="0.2">
      <c r="A11946" s="82"/>
      <c r="B11946" s="82"/>
      <c r="C11946" s="82"/>
    </row>
    <row r="11947" spans="1:3" x14ac:dyDescent="0.2">
      <c r="A11947" s="82"/>
      <c r="B11947" s="82"/>
      <c r="C11947" s="82"/>
    </row>
    <row r="11948" spans="1:3" x14ac:dyDescent="0.2">
      <c r="A11948" s="82"/>
      <c r="B11948" s="82"/>
      <c r="C11948" s="82"/>
    </row>
    <row r="11949" spans="1:3" x14ac:dyDescent="0.2">
      <c r="A11949" s="82"/>
      <c r="B11949" s="82"/>
      <c r="C11949" s="82"/>
    </row>
    <row r="11950" spans="1:3" x14ac:dyDescent="0.2">
      <c r="A11950" s="82"/>
      <c r="B11950" s="82"/>
      <c r="C11950" s="82"/>
    </row>
    <row r="11951" spans="1:3" x14ac:dyDescent="0.2">
      <c r="A11951" s="82"/>
      <c r="B11951" s="82"/>
      <c r="C11951" s="82"/>
    </row>
    <row r="11952" spans="1:3" x14ac:dyDescent="0.2">
      <c r="A11952" s="82"/>
      <c r="B11952" s="82"/>
      <c r="C11952" s="82"/>
    </row>
    <row r="11953" spans="1:3" x14ac:dyDescent="0.2">
      <c r="A11953" s="82"/>
      <c r="B11953" s="82"/>
      <c r="C11953" s="82"/>
    </row>
    <row r="11954" spans="1:3" x14ac:dyDescent="0.2">
      <c r="A11954" s="82"/>
      <c r="B11954" s="82"/>
      <c r="C11954" s="82"/>
    </row>
    <row r="11955" spans="1:3" x14ac:dyDescent="0.2">
      <c r="A11955" s="82"/>
      <c r="B11955" s="82"/>
      <c r="C11955" s="82"/>
    </row>
    <row r="11956" spans="1:3" x14ac:dyDescent="0.2">
      <c r="A11956" s="82"/>
      <c r="B11956" s="82"/>
      <c r="C11956" s="82"/>
    </row>
    <row r="11957" spans="1:3" x14ac:dyDescent="0.2">
      <c r="A11957" s="82"/>
      <c r="B11957" s="82"/>
      <c r="C11957" s="82"/>
    </row>
    <row r="11958" spans="1:3" x14ac:dyDescent="0.2">
      <c r="A11958" s="82"/>
      <c r="B11958" s="82"/>
      <c r="C11958" s="82"/>
    </row>
    <row r="11959" spans="1:3" x14ac:dyDescent="0.2">
      <c r="A11959" s="82"/>
      <c r="B11959" s="82"/>
      <c r="C11959" s="82"/>
    </row>
    <row r="11960" spans="1:3" x14ac:dyDescent="0.2">
      <c r="A11960" s="82"/>
      <c r="B11960" s="82"/>
      <c r="C11960" s="82"/>
    </row>
    <row r="11961" spans="1:3" x14ac:dyDescent="0.2">
      <c r="A11961" s="82"/>
      <c r="B11961" s="82"/>
      <c r="C11961" s="82"/>
    </row>
    <row r="11962" spans="1:3" x14ac:dyDescent="0.2">
      <c r="A11962" s="82"/>
      <c r="B11962" s="82"/>
      <c r="C11962" s="82"/>
    </row>
    <row r="11963" spans="1:3" x14ac:dyDescent="0.2">
      <c r="A11963" s="82"/>
      <c r="B11963" s="82"/>
      <c r="C11963" s="82"/>
    </row>
    <row r="11964" spans="1:3" x14ac:dyDescent="0.2">
      <c r="A11964" s="82"/>
      <c r="B11964" s="82"/>
      <c r="C11964" s="82"/>
    </row>
    <row r="11965" spans="1:3" x14ac:dyDescent="0.2">
      <c r="A11965" s="82"/>
      <c r="B11965" s="82"/>
      <c r="C11965" s="82"/>
    </row>
    <row r="11966" spans="1:3" x14ac:dyDescent="0.2">
      <c r="A11966" s="82"/>
      <c r="B11966" s="82"/>
      <c r="C11966" s="82"/>
    </row>
    <row r="11967" spans="1:3" x14ac:dyDescent="0.2">
      <c r="A11967" s="82"/>
      <c r="B11967" s="82"/>
      <c r="C11967" s="82"/>
    </row>
    <row r="11968" spans="1:3" x14ac:dyDescent="0.2">
      <c r="A11968" s="82"/>
      <c r="B11968" s="82"/>
      <c r="C11968" s="82"/>
    </row>
    <row r="11969" spans="1:3" x14ac:dyDescent="0.2">
      <c r="A11969" s="82"/>
      <c r="B11969" s="82"/>
      <c r="C11969" s="82"/>
    </row>
    <row r="11970" spans="1:3" x14ac:dyDescent="0.2">
      <c r="A11970" s="82"/>
      <c r="B11970" s="82"/>
      <c r="C11970" s="82"/>
    </row>
    <row r="11971" spans="1:3" x14ac:dyDescent="0.2">
      <c r="A11971" s="82"/>
      <c r="B11971" s="82"/>
      <c r="C11971" s="82"/>
    </row>
    <row r="11972" spans="1:3" x14ac:dyDescent="0.2">
      <c r="A11972" s="82"/>
      <c r="B11972" s="82"/>
      <c r="C11972" s="82"/>
    </row>
    <row r="11973" spans="1:3" x14ac:dyDescent="0.2">
      <c r="A11973" s="82"/>
      <c r="B11973" s="82"/>
      <c r="C11973" s="82"/>
    </row>
    <row r="11974" spans="1:3" x14ac:dyDescent="0.2">
      <c r="A11974" s="82"/>
      <c r="B11974" s="82"/>
      <c r="C11974" s="82"/>
    </row>
    <row r="11975" spans="1:3" x14ac:dyDescent="0.2">
      <c r="A11975" s="82"/>
      <c r="B11975" s="82"/>
      <c r="C11975" s="82"/>
    </row>
    <row r="11976" spans="1:3" x14ac:dyDescent="0.2">
      <c r="A11976" s="82"/>
      <c r="B11976" s="82"/>
      <c r="C11976" s="82"/>
    </row>
    <row r="11977" spans="1:3" x14ac:dyDescent="0.2">
      <c r="A11977" s="82"/>
      <c r="B11977" s="82"/>
      <c r="C11977" s="82"/>
    </row>
    <row r="11978" spans="1:3" x14ac:dyDescent="0.2">
      <c r="A11978" s="82"/>
      <c r="B11978" s="82"/>
      <c r="C11978" s="82"/>
    </row>
    <row r="11979" spans="1:3" x14ac:dyDescent="0.2">
      <c r="A11979" s="82"/>
      <c r="B11979" s="82"/>
      <c r="C11979" s="82"/>
    </row>
    <row r="11980" spans="1:3" x14ac:dyDescent="0.2">
      <c r="A11980" s="82"/>
      <c r="B11980" s="82"/>
      <c r="C11980" s="82"/>
    </row>
    <row r="11981" spans="1:3" x14ac:dyDescent="0.2">
      <c r="A11981" s="82"/>
      <c r="B11981" s="82"/>
      <c r="C11981" s="82"/>
    </row>
    <row r="11982" spans="1:3" x14ac:dyDescent="0.2">
      <c r="A11982" s="82"/>
      <c r="B11982" s="82"/>
      <c r="C11982" s="82"/>
    </row>
    <row r="11983" spans="1:3" x14ac:dyDescent="0.2">
      <c r="A11983" s="82"/>
      <c r="B11983" s="82"/>
      <c r="C11983" s="82"/>
    </row>
    <row r="11984" spans="1:3" x14ac:dyDescent="0.2">
      <c r="A11984" s="82"/>
      <c r="B11984" s="82"/>
      <c r="C11984" s="82"/>
    </row>
    <row r="11985" spans="1:3" x14ac:dyDescent="0.2">
      <c r="A11985" s="82"/>
      <c r="B11985" s="82"/>
      <c r="C11985" s="82"/>
    </row>
    <row r="11986" spans="1:3" x14ac:dyDescent="0.2">
      <c r="A11986" s="82"/>
      <c r="B11986" s="82"/>
      <c r="C11986" s="82"/>
    </row>
    <row r="11987" spans="1:3" x14ac:dyDescent="0.2">
      <c r="A11987" s="82"/>
      <c r="B11987" s="82"/>
      <c r="C11987" s="82"/>
    </row>
    <row r="11988" spans="1:3" x14ac:dyDescent="0.2">
      <c r="A11988" s="82"/>
      <c r="B11988" s="82"/>
      <c r="C11988" s="82"/>
    </row>
    <row r="11989" spans="1:3" x14ac:dyDescent="0.2">
      <c r="A11989" s="82"/>
      <c r="B11989" s="82"/>
      <c r="C11989" s="82"/>
    </row>
    <row r="11990" spans="1:3" x14ac:dyDescent="0.2">
      <c r="A11990" s="82"/>
      <c r="B11990" s="82"/>
      <c r="C11990" s="82"/>
    </row>
    <row r="11991" spans="1:3" x14ac:dyDescent="0.2">
      <c r="A11991" s="82"/>
      <c r="B11991" s="82"/>
      <c r="C11991" s="82"/>
    </row>
    <row r="11992" spans="1:3" x14ac:dyDescent="0.2">
      <c r="A11992" s="82"/>
      <c r="B11992" s="82"/>
      <c r="C11992" s="82"/>
    </row>
    <row r="11993" spans="1:3" x14ac:dyDescent="0.2">
      <c r="A11993" s="82"/>
      <c r="B11993" s="82"/>
      <c r="C11993" s="82"/>
    </row>
    <row r="11994" spans="1:3" x14ac:dyDescent="0.2">
      <c r="A11994" s="82"/>
      <c r="B11994" s="82"/>
      <c r="C11994" s="82"/>
    </row>
    <row r="11995" spans="1:3" x14ac:dyDescent="0.2">
      <c r="A11995" s="82"/>
      <c r="B11995" s="82"/>
      <c r="C11995" s="82"/>
    </row>
    <row r="11996" spans="1:3" x14ac:dyDescent="0.2">
      <c r="A11996" s="82"/>
      <c r="B11996" s="82"/>
      <c r="C11996" s="82"/>
    </row>
    <row r="11997" spans="1:3" x14ac:dyDescent="0.2">
      <c r="A11997" s="82"/>
      <c r="B11997" s="82"/>
      <c r="C11997" s="82"/>
    </row>
    <row r="11998" spans="1:3" x14ac:dyDescent="0.2">
      <c r="A11998" s="82"/>
      <c r="B11998" s="82"/>
      <c r="C11998" s="82"/>
    </row>
    <row r="11999" spans="1:3" x14ac:dyDescent="0.2">
      <c r="A11999" s="82"/>
      <c r="B11999" s="82"/>
      <c r="C11999" s="82"/>
    </row>
    <row r="12000" spans="1:3" x14ac:dyDescent="0.2">
      <c r="A12000" s="82"/>
      <c r="B12000" s="82"/>
      <c r="C12000" s="82"/>
    </row>
    <row r="12001" spans="1:3" x14ac:dyDescent="0.2">
      <c r="A12001" s="82"/>
      <c r="B12001" s="82"/>
      <c r="C12001" s="82"/>
    </row>
    <row r="12002" spans="1:3" x14ac:dyDescent="0.2">
      <c r="A12002" s="82"/>
      <c r="B12002" s="82"/>
      <c r="C12002" s="82"/>
    </row>
    <row r="12003" spans="1:3" x14ac:dyDescent="0.2">
      <c r="A12003" s="82"/>
      <c r="B12003" s="82"/>
      <c r="C12003" s="82"/>
    </row>
    <row r="12004" spans="1:3" x14ac:dyDescent="0.2">
      <c r="A12004" s="82"/>
      <c r="B12004" s="82"/>
      <c r="C12004" s="82"/>
    </row>
    <row r="12005" spans="1:3" x14ac:dyDescent="0.2">
      <c r="A12005" s="82"/>
      <c r="B12005" s="82"/>
      <c r="C12005" s="82"/>
    </row>
    <row r="12006" spans="1:3" x14ac:dyDescent="0.2">
      <c r="A12006" s="82"/>
      <c r="B12006" s="82"/>
      <c r="C12006" s="82"/>
    </row>
    <row r="12007" spans="1:3" x14ac:dyDescent="0.2">
      <c r="A12007" s="82"/>
      <c r="B12007" s="82"/>
      <c r="C12007" s="82"/>
    </row>
    <row r="12008" spans="1:3" x14ac:dyDescent="0.2">
      <c r="A12008" s="82"/>
      <c r="B12008" s="82"/>
      <c r="C12008" s="82"/>
    </row>
    <row r="12009" spans="1:3" x14ac:dyDescent="0.2">
      <c r="A12009" s="82"/>
      <c r="B12009" s="82"/>
      <c r="C12009" s="82"/>
    </row>
    <row r="12010" spans="1:3" x14ac:dyDescent="0.2">
      <c r="A12010" s="82"/>
      <c r="B12010" s="82"/>
      <c r="C12010" s="82"/>
    </row>
    <row r="12011" spans="1:3" x14ac:dyDescent="0.2">
      <c r="A12011" s="82"/>
      <c r="B12011" s="82"/>
      <c r="C12011" s="82"/>
    </row>
    <row r="12012" spans="1:3" x14ac:dyDescent="0.2">
      <c r="A12012" s="82"/>
      <c r="B12012" s="82"/>
      <c r="C12012" s="82"/>
    </row>
    <row r="12013" spans="1:3" x14ac:dyDescent="0.2">
      <c r="A12013" s="82"/>
      <c r="B12013" s="82"/>
      <c r="C12013" s="82"/>
    </row>
    <row r="12014" spans="1:3" x14ac:dyDescent="0.2">
      <c r="A12014" s="82"/>
      <c r="B12014" s="82"/>
      <c r="C12014" s="82"/>
    </row>
    <row r="12015" spans="1:3" x14ac:dyDescent="0.2">
      <c r="A12015" s="82"/>
      <c r="B12015" s="82"/>
      <c r="C12015" s="82"/>
    </row>
    <row r="12016" spans="1:3" x14ac:dyDescent="0.2">
      <c r="A12016" s="82"/>
      <c r="B12016" s="82"/>
      <c r="C12016" s="82"/>
    </row>
    <row r="12017" spans="1:3" x14ac:dyDescent="0.2">
      <c r="A12017" s="82"/>
      <c r="B12017" s="82"/>
      <c r="C12017" s="82"/>
    </row>
    <row r="12018" spans="1:3" x14ac:dyDescent="0.2">
      <c r="A12018" s="82"/>
      <c r="B12018" s="82"/>
      <c r="C12018" s="82"/>
    </row>
    <row r="12019" spans="1:3" x14ac:dyDescent="0.2">
      <c r="A12019" s="82"/>
      <c r="B12019" s="82"/>
      <c r="C12019" s="82"/>
    </row>
    <row r="12020" spans="1:3" x14ac:dyDescent="0.2">
      <c r="A12020" s="82"/>
      <c r="B12020" s="82"/>
      <c r="C12020" s="82"/>
    </row>
    <row r="12021" spans="1:3" x14ac:dyDescent="0.2">
      <c r="A12021" s="82"/>
      <c r="B12021" s="82"/>
      <c r="C12021" s="82"/>
    </row>
    <row r="12022" spans="1:3" x14ac:dyDescent="0.2">
      <c r="A12022" s="82"/>
      <c r="B12022" s="82"/>
      <c r="C12022" s="82"/>
    </row>
    <row r="12023" spans="1:3" x14ac:dyDescent="0.2">
      <c r="A12023" s="82"/>
      <c r="B12023" s="82"/>
      <c r="C12023" s="82"/>
    </row>
    <row r="12024" spans="1:3" x14ac:dyDescent="0.2">
      <c r="A12024" s="82"/>
      <c r="B12024" s="82"/>
      <c r="C12024" s="82"/>
    </row>
    <row r="12025" spans="1:3" x14ac:dyDescent="0.2">
      <c r="A12025" s="82"/>
      <c r="B12025" s="82"/>
      <c r="C12025" s="82"/>
    </row>
    <row r="12026" spans="1:3" x14ac:dyDescent="0.2">
      <c r="A12026" s="82"/>
      <c r="B12026" s="82"/>
      <c r="C12026" s="82"/>
    </row>
    <row r="12027" spans="1:3" x14ac:dyDescent="0.2">
      <c r="A12027" s="82"/>
      <c r="B12027" s="82"/>
      <c r="C12027" s="82"/>
    </row>
    <row r="12028" spans="1:3" x14ac:dyDescent="0.2">
      <c r="A12028" s="82"/>
      <c r="B12028" s="82"/>
      <c r="C12028" s="82"/>
    </row>
    <row r="12029" spans="1:3" x14ac:dyDescent="0.2">
      <c r="A12029" s="82"/>
      <c r="B12029" s="82"/>
      <c r="C12029" s="82"/>
    </row>
    <row r="12030" spans="1:3" x14ac:dyDescent="0.2">
      <c r="A12030" s="82"/>
      <c r="B12030" s="82"/>
      <c r="C12030" s="82"/>
    </row>
    <row r="12031" spans="1:3" x14ac:dyDescent="0.2">
      <c r="A12031" s="82"/>
      <c r="B12031" s="82"/>
      <c r="C12031" s="82"/>
    </row>
    <row r="12032" spans="1:3" x14ac:dyDescent="0.2">
      <c r="A12032" s="82"/>
      <c r="B12032" s="82"/>
      <c r="C12032" s="82"/>
    </row>
    <row r="12033" spans="1:3" x14ac:dyDescent="0.2">
      <c r="A12033" s="82"/>
      <c r="B12033" s="82"/>
      <c r="C12033" s="82"/>
    </row>
    <row r="12034" spans="1:3" x14ac:dyDescent="0.2">
      <c r="A12034" s="82"/>
      <c r="B12034" s="82"/>
      <c r="C12034" s="82"/>
    </row>
    <row r="12035" spans="1:3" x14ac:dyDescent="0.2">
      <c r="A12035" s="82"/>
      <c r="B12035" s="82"/>
      <c r="C12035" s="82"/>
    </row>
    <row r="12036" spans="1:3" x14ac:dyDescent="0.2">
      <c r="A12036" s="82"/>
      <c r="B12036" s="82"/>
      <c r="C12036" s="82"/>
    </row>
    <row r="12037" spans="1:3" x14ac:dyDescent="0.2">
      <c r="A12037" s="82"/>
      <c r="B12037" s="82"/>
      <c r="C12037" s="82"/>
    </row>
    <row r="12038" spans="1:3" x14ac:dyDescent="0.2">
      <c r="A12038" s="82"/>
      <c r="B12038" s="82"/>
      <c r="C12038" s="82"/>
    </row>
    <row r="12039" spans="1:3" x14ac:dyDescent="0.2">
      <c r="A12039" s="82"/>
      <c r="B12039" s="82"/>
      <c r="C12039" s="82"/>
    </row>
    <row r="12040" spans="1:3" x14ac:dyDescent="0.2">
      <c r="A12040" s="82"/>
      <c r="B12040" s="82"/>
      <c r="C12040" s="82"/>
    </row>
    <row r="12041" spans="1:3" x14ac:dyDescent="0.2">
      <c r="A12041" s="82"/>
      <c r="B12041" s="82"/>
      <c r="C12041" s="82"/>
    </row>
    <row r="12042" spans="1:3" x14ac:dyDescent="0.2">
      <c r="A12042" s="82"/>
      <c r="B12042" s="82"/>
      <c r="C12042" s="82"/>
    </row>
    <row r="12043" spans="1:3" x14ac:dyDescent="0.2">
      <c r="A12043" s="82"/>
      <c r="B12043" s="82"/>
      <c r="C12043" s="82"/>
    </row>
    <row r="12044" spans="1:3" x14ac:dyDescent="0.2">
      <c r="A12044" s="82"/>
      <c r="B12044" s="82"/>
      <c r="C12044" s="82"/>
    </row>
    <row r="12045" spans="1:3" x14ac:dyDescent="0.2">
      <c r="A12045" s="82"/>
      <c r="B12045" s="82"/>
      <c r="C12045" s="82"/>
    </row>
    <row r="12046" spans="1:3" x14ac:dyDescent="0.2">
      <c r="A12046" s="82"/>
      <c r="B12046" s="82"/>
      <c r="C12046" s="82"/>
    </row>
    <row r="12047" spans="1:3" x14ac:dyDescent="0.2">
      <c r="A12047" s="82"/>
      <c r="B12047" s="82"/>
      <c r="C12047" s="82"/>
    </row>
    <row r="12048" spans="1:3" x14ac:dyDescent="0.2">
      <c r="A12048" s="82"/>
      <c r="B12048" s="82"/>
      <c r="C12048" s="82"/>
    </row>
    <row r="12049" spans="1:3" x14ac:dyDescent="0.2">
      <c r="A12049" s="82"/>
      <c r="B12049" s="82"/>
      <c r="C12049" s="82"/>
    </row>
    <row r="12050" spans="1:3" x14ac:dyDescent="0.2">
      <c r="A12050" s="82"/>
      <c r="B12050" s="82"/>
      <c r="C12050" s="82"/>
    </row>
    <row r="12051" spans="1:3" x14ac:dyDescent="0.2">
      <c r="A12051" s="82"/>
      <c r="B12051" s="82"/>
      <c r="C12051" s="82"/>
    </row>
    <row r="12052" spans="1:3" x14ac:dyDescent="0.2">
      <c r="A12052" s="82"/>
      <c r="B12052" s="82"/>
      <c r="C12052" s="82"/>
    </row>
    <row r="12053" spans="1:3" x14ac:dyDescent="0.2">
      <c r="A12053" s="82"/>
      <c r="B12053" s="82"/>
      <c r="C12053" s="82"/>
    </row>
    <row r="12054" spans="1:3" x14ac:dyDescent="0.2">
      <c r="A12054" s="82"/>
      <c r="B12054" s="82"/>
      <c r="C12054" s="82"/>
    </row>
    <row r="12055" spans="1:3" x14ac:dyDescent="0.2">
      <c r="A12055" s="82"/>
      <c r="B12055" s="82"/>
      <c r="C12055" s="82"/>
    </row>
    <row r="12056" spans="1:3" x14ac:dyDescent="0.2">
      <c r="A12056" s="82"/>
      <c r="B12056" s="82"/>
      <c r="C12056" s="82"/>
    </row>
    <row r="12057" spans="1:3" x14ac:dyDescent="0.2">
      <c r="A12057" s="82"/>
      <c r="B12057" s="82"/>
      <c r="C12057" s="82"/>
    </row>
    <row r="12058" spans="1:3" x14ac:dyDescent="0.2">
      <c r="A12058" s="82"/>
      <c r="B12058" s="82"/>
      <c r="C12058" s="82"/>
    </row>
    <row r="12059" spans="1:3" x14ac:dyDescent="0.2">
      <c r="A12059" s="82"/>
      <c r="B12059" s="82"/>
      <c r="C12059" s="82"/>
    </row>
    <row r="12060" spans="1:3" x14ac:dyDescent="0.2">
      <c r="A12060" s="82"/>
      <c r="B12060" s="82"/>
      <c r="C12060" s="82"/>
    </row>
    <row r="12061" spans="1:3" x14ac:dyDescent="0.2">
      <c r="A12061" s="82"/>
      <c r="B12061" s="82"/>
      <c r="C12061" s="82"/>
    </row>
    <row r="12062" spans="1:3" x14ac:dyDescent="0.2">
      <c r="A12062" s="82"/>
      <c r="B12062" s="82"/>
      <c r="C12062" s="82"/>
    </row>
    <row r="12063" spans="1:3" x14ac:dyDescent="0.2">
      <c r="A12063" s="82"/>
      <c r="B12063" s="82"/>
      <c r="C12063" s="82"/>
    </row>
    <row r="12064" spans="1:3" x14ac:dyDescent="0.2">
      <c r="A12064" s="82"/>
      <c r="B12064" s="82"/>
      <c r="C12064" s="82"/>
    </row>
    <row r="12065" spans="1:3" x14ac:dyDescent="0.2">
      <c r="A12065" s="82"/>
      <c r="B12065" s="82"/>
      <c r="C12065" s="82"/>
    </row>
    <row r="12066" spans="1:3" x14ac:dyDescent="0.2">
      <c r="A12066" s="82"/>
      <c r="B12066" s="82"/>
      <c r="C12066" s="82"/>
    </row>
    <row r="12067" spans="1:3" x14ac:dyDescent="0.2">
      <c r="A12067" s="82"/>
      <c r="B12067" s="82"/>
      <c r="C12067" s="82"/>
    </row>
    <row r="12068" spans="1:3" x14ac:dyDescent="0.2">
      <c r="A12068" s="82"/>
      <c r="B12068" s="82"/>
      <c r="C12068" s="82"/>
    </row>
    <row r="12069" spans="1:3" x14ac:dyDescent="0.2">
      <c r="A12069" s="82"/>
      <c r="B12069" s="82"/>
      <c r="C12069" s="82"/>
    </row>
    <row r="12070" spans="1:3" x14ac:dyDescent="0.2">
      <c r="A12070" s="82"/>
      <c r="B12070" s="82"/>
      <c r="C12070" s="82"/>
    </row>
    <row r="12071" spans="1:3" x14ac:dyDescent="0.2">
      <c r="A12071" s="82"/>
      <c r="B12071" s="82"/>
      <c r="C12071" s="82"/>
    </row>
    <row r="12072" spans="1:3" x14ac:dyDescent="0.2">
      <c r="A12072" s="82"/>
      <c r="B12072" s="82"/>
      <c r="C12072" s="82"/>
    </row>
    <row r="12073" spans="1:3" x14ac:dyDescent="0.2">
      <c r="A12073" s="82"/>
      <c r="B12073" s="82"/>
      <c r="C12073" s="82"/>
    </row>
    <row r="12074" spans="1:3" x14ac:dyDescent="0.2">
      <c r="A12074" s="82"/>
      <c r="B12074" s="82"/>
      <c r="C12074" s="82"/>
    </row>
    <row r="12075" spans="1:3" x14ac:dyDescent="0.2">
      <c r="A12075" s="82"/>
      <c r="B12075" s="82"/>
      <c r="C12075" s="82"/>
    </row>
    <row r="12076" spans="1:3" x14ac:dyDescent="0.2">
      <c r="A12076" s="82"/>
      <c r="B12076" s="82"/>
      <c r="C12076" s="82"/>
    </row>
    <row r="12077" spans="1:3" x14ac:dyDescent="0.2">
      <c r="A12077" s="82"/>
      <c r="B12077" s="82"/>
      <c r="C12077" s="82"/>
    </row>
    <row r="12078" spans="1:3" x14ac:dyDescent="0.2">
      <c r="A12078" s="82"/>
      <c r="B12078" s="82"/>
      <c r="C12078" s="82"/>
    </row>
    <row r="12079" spans="1:3" x14ac:dyDescent="0.2">
      <c r="A12079" s="82"/>
      <c r="B12079" s="82"/>
      <c r="C12079" s="82"/>
    </row>
    <row r="12080" spans="1:3" x14ac:dyDescent="0.2">
      <c r="A12080" s="82"/>
      <c r="B12080" s="82"/>
      <c r="C12080" s="82"/>
    </row>
    <row r="12081" spans="1:3" x14ac:dyDescent="0.2">
      <c r="A12081" s="82"/>
      <c r="B12081" s="82"/>
      <c r="C12081" s="82"/>
    </row>
    <row r="12082" spans="1:3" x14ac:dyDescent="0.2">
      <c r="A12082" s="82"/>
      <c r="B12082" s="82"/>
      <c r="C12082" s="82"/>
    </row>
    <row r="12083" spans="1:3" x14ac:dyDescent="0.2">
      <c r="A12083" s="82"/>
      <c r="B12083" s="82"/>
      <c r="C12083" s="82"/>
    </row>
    <row r="12084" spans="1:3" x14ac:dyDescent="0.2">
      <c r="A12084" s="82"/>
      <c r="B12084" s="82"/>
      <c r="C12084" s="82"/>
    </row>
    <row r="12085" spans="1:3" x14ac:dyDescent="0.2">
      <c r="A12085" s="82"/>
      <c r="B12085" s="82"/>
      <c r="C12085" s="82"/>
    </row>
    <row r="12086" spans="1:3" x14ac:dyDescent="0.2">
      <c r="A12086" s="82"/>
      <c r="B12086" s="82"/>
      <c r="C12086" s="82"/>
    </row>
    <row r="12087" spans="1:3" x14ac:dyDescent="0.2">
      <c r="A12087" s="82"/>
      <c r="B12087" s="82"/>
      <c r="C12087" s="82"/>
    </row>
    <row r="12088" spans="1:3" x14ac:dyDescent="0.2">
      <c r="A12088" s="82"/>
      <c r="B12088" s="82"/>
      <c r="C12088" s="82"/>
    </row>
    <row r="12089" spans="1:3" x14ac:dyDescent="0.2">
      <c r="A12089" s="82"/>
      <c r="B12089" s="82"/>
      <c r="C12089" s="82"/>
    </row>
    <row r="12090" spans="1:3" x14ac:dyDescent="0.2">
      <c r="A12090" s="82"/>
      <c r="B12090" s="82"/>
      <c r="C12090" s="82"/>
    </row>
    <row r="12091" spans="1:3" x14ac:dyDescent="0.2">
      <c r="A12091" s="82"/>
      <c r="B12091" s="82"/>
      <c r="C12091" s="82"/>
    </row>
    <row r="12092" spans="1:3" x14ac:dyDescent="0.2">
      <c r="A12092" s="82"/>
      <c r="B12092" s="82"/>
      <c r="C12092" s="82"/>
    </row>
    <row r="12093" spans="1:3" x14ac:dyDescent="0.2">
      <c r="A12093" s="82"/>
      <c r="B12093" s="82"/>
      <c r="C12093" s="82"/>
    </row>
    <row r="12094" spans="1:3" x14ac:dyDescent="0.2">
      <c r="A12094" s="82"/>
      <c r="B12094" s="82"/>
      <c r="C12094" s="82"/>
    </row>
    <row r="12095" spans="1:3" x14ac:dyDescent="0.2">
      <c r="A12095" s="82"/>
      <c r="B12095" s="82"/>
      <c r="C12095" s="82"/>
    </row>
    <row r="12096" spans="1:3" x14ac:dyDescent="0.2">
      <c r="A12096" s="82"/>
      <c r="B12096" s="82"/>
      <c r="C12096" s="82"/>
    </row>
    <row r="12097" spans="1:3" x14ac:dyDescent="0.2">
      <c r="A12097" s="82"/>
      <c r="B12097" s="82"/>
      <c r="C12097" s="82"/>
    </row>
    <row r="12098" spans="1:3" x14ac:dyDescent="0.2">
      <c r="A12098" s="82"/>
      <c r="B12098" s="82"/>
      <c r="C12098" s="82"/>
    </row>
    <row r="12099" spans="1:3" x14ac:dyDescent="0.2">
      <c r="A12099" s="82"/>
      <c r="B12099" s="82"/>
      <c r="C12099" s="82"/>
    </row>
    <row r="12100" spans="1:3" x14ac:dyDescent="0.2">
      <c r="A12100" s="82"/>
      <c r="B12100" s="82"/>
      <c r="C12100" s="82"/>
    </row>
    <row r="12101" spans="1:3" x14ac:dyDescent="0.2">
      <c r="A12101" s="82"/>
      <c r="B12101" s="82"/>
      <c r="C12101" s="82"/>
    </row>
    <row r="12102" spans="1:3" x14ac:dyDescent="0.2">
      <c r="A12102" s="82"/>
      <c r="B12102" s="82"/>
      <c r="C12102" s="82"/>
    </row>
    <row r="12103" spans="1:3" x14ac:dyDescent="0.2">
      <c r="A12103" s="82"/>
      <c r="B12103" s="82"/>
      <c r="C12103" s="82"/>
    </row>
    <row r="12104" spans="1:3" x14ac:dyDescent="0.2">
      <c r="A12104" s="82"/>
      <c r="B12104" s="82"/>
      <c r="C12104" s="82"/>
    </row>
    <row r="12105" spans="1:3" x14ac:dyDescent="0.2">
      <c r="A12105" s="82"/>
      <c r="B12105" s="82"/>
      <c r="C12105" s="82"/>
    </row>
    <row r="12106" spans="1:3" x14ac:dyDescent="0.2">
      <c r="A12106" s="82"/>
      <c r="B12106" s="82"/>
      <c r="C12106" s="82"/>
    </row>
    <row r="12107" spans="1:3" x14ac:dyDescent="0.2">
      <c r="A12107" s="82"/>
      <c r="B12107" s="82"/>
      <c r="C12107" s="82"/>
    </row>
    <row r="12108" spans="1:3" x14ac:dyDescent="0.2">
      <c r="A12108" s="82"/>
      <c r="B12108" s="82"/>
      <c r="C12108" s="82"/>
    </row>
    <row r="12109" spans="1:3" x14ac:dyDescent="0.2">
      <c r="A12109" s="82"/>
      <c r="B12109" s="82"/>
      <c r="C12109" s="82"/>
    </row>
    <row r="12110" spans="1:3" x14ac:dyDescent="0.2">
      <c r="A12110" s="82"/>
      <c r="B12110" s="82"/>
      <c r="C12110" s="82"/>
    </row>
    <row r="12111" spans="1:3" x14ac:dyDescent="0.2">
      <c r="A12111" s="82"/>
      <c r="B12111" s="82"/>
      <c r="C12111" s="82"/>
    </row>
    <row r="12112" spans="1:3" x14ac:dyDescent="0.2">
      <c r="A12112" s="82"/>
      <c r="B12112" s="82"/>
      <c r="C12112" s="82"/>
    </row>
    <row r="12113" spans="1:3" x14ac:dyDescent="0.2">
      <c r="A12113" s="82"/>
      <c r="B12113" s="82"/>
      <c r="C12113" s="82"/>
    </row>
    <row r="12114" spans="1:3" x14ac:dyDescent="0.2">
      <c r="A12114" s="82"/>
      <c r="B12114" s="82"/>
      <c r="C12114" s="82"/>
    </row>
    <row r="12115" spans="1:3" x14ac:dyDescent="0.2">
      <c r="A12115" s="82"/>
      <c r="B12115" s="82"/>
      <c r="C12115" s="82"/>
    </row>
    <row r="12116" spans="1:3" x14ac:dyDescent="0.2">
      <c r="A12116" s="82"/>
      <c r="B12116" s="82"/>
      <c r="C12116" s="82"/>
    </row>
    <row r="12117" spans="1:3" x14ac:dyDescent="0.2">
      <c r="A12117" s="82"/>
      <c r="B12117" s="82"/>
      <c r="C12117" s="82"/>
    </row>
    <row r="12118" spans="1:3" x14ac:dyDescent="0.2">
      <c r="A12118" s="82"/>
      <c r="B12118" s="82"/>
      <c r="C12118" s="82"/>
    </row>
    <row r="12119" spans="1:3" x14ac:dyDescent="0.2">
      <c r="A12119" s="82"/>
      <c r="B12119" s="82"/>
      <c r="C12119" s="82"/>
    </row>
    <row r="12120" spans="1:3" x14ac:dyDescent="0.2">
      <c r="A12120" s="82"/>
      <c r="B12120" s="82"/>
      <c r="C12120" s="82"/>
    </row>
    <row r="12121" spans="1:3" x14ac:dyDescent="0.2">
      <c r="A12121" s="82"/>
      <c r="B12121" s="82"/>
      <c r="C12121" s="82"/>
    </row>
    <row r="12122" spans="1:3" x14ac:dyDescent="0.2">
      <c r="A12122" s="82"/>
      <c r="B12122" s="82"/>
      <c r="C12122" s="82"/>
    </row>
    <row r="12123" spans="1:3" x14ac:dyDescent="0.2">
      <c r="A12123" s="82"/>
      <c r="B12123" s="82"/>
      <c r="C12123" s="82"/>
    </row>
    <row r="12124" spans="1:3" x14ac:dyDescent="0.2">
      <c r="A12124" s="82"/>
      <c r="B12124" s="82"/>
      <c r="C12124" s="82"/>
    </row>
    <row r="12125" spans="1:3" x14ac:dyDescent="0.2">
      <c r="A12125" s="82"/>
      <c r="B12125" s="82"/>
      <c r="C12125" s="82"/>
    </row>
    <row r="12126" spans="1:3" x14ac:dyDescent="0.2">
      <c r="A12126" s="82"/>
      <c r="B12126" s="82"/>
      <c r="C12126" s="82"/>
    </row>
    <row r="12127" spans="1:3" x14ac:dyDescent="0.2">
      <c r="A12127" s="82"/>
      <c r="B12127" s="82"/>
      <c r="C12127" s="82"/>
    </row>
    <row r="12128" spans="1:3" x14ac:dyDescent="0.2">
      <c r="A12128" s="82"/>
      <c r="B12128" s="82"/>
      <c r="C12128" s="82"/>
    </row>
    <row r="12129" spans="1:3" x14ac:dyDescent="0.2">
      <c r="A12129" s="82"/>
      <c r="B12129" s="82"/>
      <c r="C12129" s="82"/>
    </row>
    <row r="12130" spans="1:3" x14ac:dyDescent="0.2">
      <c r="A12130" s="82"/>
      <c r="B12130" s="82"/>
      <c r="C12130" s="82"/>
    </row>
    <row r="12131" spans="1:3" x14ac:dyDescent="0.2">
      <c r="A12131" s="82"/>
      <c r="B12131" s="82"/>
      <c r="C12131" s="82"/>
    </row>
    <row r="12132" spans="1:3" x14ac:dyDescent="0.2">
      <c r="A12132" s="82"/>
      <c r="B12132" s="82"/>
      <c r="C12132" s="82"/>
    </row>
    <row r="12133" spans="1:3" x14ac:dyDescent="0.2">
      <c r="A12133" s="82"/>
      <c r="B12133" s="82"/>
      <c r="C12133" s="82"/>
    </row>
    <row r="12134" spans="1:3" x14ac:dyDescent="0.2">
      <c r="A12134" s="82"/>
      <c r="B12134" s="82"/>
      <c r="C12134" s="82"/>
    </row>
    <row r="12135" spans="1:3" x14ac:dyDescent="0.2">
      <c r="A12135" s="82"/>
      <c r="B12135" s="82"/>
      <c r="C12135" s="82"/>
    </row>
    <row r="12136" spans="1:3" x14ac:dyDescent="0.2">
      <c r="A12136" s="82"/>
      <c r="B12136" s="82"/>
      <c r="C12136" s="82"/>
    </row>
    <row r="12137" spans="1:3" x14ac:dyDescent="0.2">
      <c r="A12137" s="82"/>
      <c r="B12137" s="82"/>
      <c r="C12137" s="82"/>
    </row>
    <row r="12138" spans="1:3" x14ac:dyDescent="0.2">
      <c r="A12138" s="82"/>
      <c r="B12138" s="82"/>
      <c r="C12138" s="82"/>
    </row>
    <row r="12139" spans="1:3" x14ac:dyDescent="0.2">
      <c r="A12139" s="82"/>
      <c r="B12139" s="82"/>
      <c r="C12139" s="82"/>
    </row>
    <row r="12140" spans="1:3" x14ac:dyDescent="0.2">
      <c r="A12140" s="82"/>
      <c r="B12140" s="82"/>
      <c r="C12140" s="82"/>
    </row>
    <row r="12141" spans="1:3" x14ac:dyDescent="0.2">
      <c r="A12141" s="82"/>
      <c r="B12141" s="82"/>
      <c r="C12141" s="82"/>
    </row>
    <row r="12142" spans="1:3" x14ac:dyDescent="0.2">
      <c r="A12142" s="82"/>
      <c r="B12142" s="82"/>
      <c r="C12142" s="82"/>
    </row>
    <row r="12143" spans="1:3" x14ac:dyDescent="0.2">
      <c r="A12143" s="82"/>
      <c r="B12143" s="82"/>
      <c r="C12143" s="82"/>
    </row>
    <row r="12144" spans="1:3" x14ac:dyDescent="0.2">
      <c r="A12144" s="82"/>
      <c r="B12144" s="82"/>
      <c r="C12144" s="82"/>
    </row>
    <row r="12145" spans="1:3" x14ac:dyDescent="0.2">
      <c r="A12145" s="82"/>
      <c r="B12145" s="82"/>
      <c r="C12145" s="82"/>
    </row>
    <row r="12146" spans="1:3" x14ac:dyDescent="0.2">
      <c r="A12146" s="82"/>
      <c r="B12146" s="82"/>
      <c r="C12146" s="82"/>
    </row>
    <row r="12147" spans="1:3" x14ac:dyDescent="0.2">
      <c r="A12147" s="82"/>
      <c r="B12147" s="82"/>
      <c r="C12147" s="82"/>
    </row>
    <row r="12148" spans="1:3" x14ac:dyDescent="0.2">
      <c r="A12148" s="82"/>
      <c r="B12148" s="82"/>
      <c r="C12148" s="82"/>
    </row>
    <row r="12149" spans="1:3" x14ac:dyDescent="0.2">
      <c r="A12149" s="82"/>
      <c r="B12149" s="82"/>
      <c r="C12149" s="82"/>
    </row>
    <row r="12150" spans="1:3" x14ac:dyDescent="0.2">
      <c r="A12150" s="82"/>
      <c r="B12150" s="82"/>
      <c r="C12150" s="82"/>
    </row>
    <row r="12151" spans="1:3" x14ac:dyDescent="0.2">
      <c r="A12151" s="82"/>
      <c r="B12151" s="82"/>
      <c r="C12151" s="82"/>
    </row>
    <row r="12152" spans="1:3" x14ac:dyDescent="0.2">
      <c r="A12152" s="82"/>
      <c r="B12152" s="82"/>
      <c r="C12152" s="82"/>
    </row>
    <row r="12153" spans="1:3" x14ac:dyDescent="0.2">
      <c r="A12153" s="82"/>
      <c r="B12153" s="82"/>
      <c r="C12153" s="82"/>
    </row>
    <row r="12154" spans="1:3" x14ac:dyDescent="0.2">
      <c r="A12154" s="82"/>
      <c r="B12154" s="82"/>
      <c r="C12154" s="82"/>
    </row>
    <row r="12155" spans="1:3" x14ac:dyDescent="0.2">
      <c r="A12155" s="82"/>
      <c r="B12155" s="82"/>
      <c r="C12155" s="82"/>
    </row>
    <row r="12156" spans="1:3" x14ac:dyDescent="0.2">
      <c r="A12156" s="82"/>
      <c r="B12156" s="82"/>
      <c r="C12156" s="82"/>
    </row>
    <row r="12157" spans="1:3" x14ac:dyDescent="0.2">
      <c r="A12157" s="82"/>
      <c r="B12157" s="82"/>
      <c r="C12157" s="82"/>
    </row>
    <row r="12158" spans="1:3" x14ac:dyDescent="0.2">
      <c r="A12158" s="82"/>
      <c r="B12158" s="82"/>
      <c r="C12158" s="82"/>
    </row>
    <row r="12159" spans="1:3" x14ac:dyDescent="0.2">
      <c r="A12159" s="82"/>
      <c r="B12159" s="82"/>
      <c r="C12159" s="82"/>
    </row>
    <row r="12160" spans="1:3" x14ac:dyDescent="0.2">
      <c r="A12160" s="82"/>
      <c r="B12160" s="82"/>
      <c r="C12160" s="82"/>
    </row>
    <row r="12161" spans="1:3" x14ac:dyDescent="0.2">
      <c r="A12161" s="82"/>
      <c r="B12161" s="82"/>
      <c r="C12161" s="82"/>
    </row>
    <row r="12162" spans="1:3" x14ac:dyDescent="0.2">
      <c r="A12162" s="82"/>
      <c r="B12162" s="82"/>
      <c r="C12162" s="82"/>
    </row>
    <row r="12163" spans="1:3" x14ac:dyDescent="0.2">
      <c r="A12163" s="82"/>
      <c r="B12163" s="82"/>
      <c r="C12163" s="82"/>
    </row>
    <row r="12164" spans="1:3" x14ac:dyDescent="0.2">
      <c r="A12164" s="82"/>
      <c r="B12164" s="82"/>
      <c r="C12164" s="82"/>
    </row>
    <row r="12165" spans="1:3" x14ac:dyDescent="0.2">
      <c r="A12165" s="82"/>
      <c r="B12165" s="82"/>
      <c r="C12165" s="82"/>
    </row>
    <row r="12166" spans="1:3" x14ac:dyDescent="0.2">
      <c r="A12166" s="82"/>
      <c r="B12166" s="82"/>
      <c r="C12166" s="82"/>
    </row>
    <row r="12167" spans="1:3" x14ac:dyDescent="0.2">
      <c r="A12167" s="82"/>
      <c r="B12167" s="82"/>
      <c r="C12167" s="82"/>
    </row>
    <row r="12168" spans="1:3" x14ac:dyDescent="0.2">
      <c r="A12168" s="82"/>
      <c r="B12168" s="82"/>
      <c r="C12168" s="82"/>
    </row>
    <row r="12169" spans="1:3" x14ac:dyDescent="0.2">
      <c r="A12169" s="82"/>
      <c r="B12169" s="82"/>
      <c r="C12169" s="82"/>
    </row>
    <row r="12170" spans="1:3" x14ac:dyDescent="0.2">
      <c r="A12170" s="82"/>
      <c r="B12170" s="82"/>
      <c r="C12170" s="82"/>
    </row>
    <row r="12171" spans="1:3" x14ac:dyDescent="0.2">
      <c r="A12171" s="82"/>
      <c r="B12171" s="82"/>
      <c r="C12171" s="82"/>
    </row>
    <row r="12172" spans="1:3" x14ac:dyDescent="0.2">
      <c r="A12172" s="82"/>
      <c r="B12172" s="82"/>
      <c r="C12172" s="82"/>
    </row>
    <row r="12173" spans="1:3" x14ac:dyDescent="0.2">
      <c r="A12173" s="82"/>
      <c r="B12173" s="82"/>
      <c r="C12173" s="82"/>
    </row>
    <row r="12174" spans="1:3" x14ac:dyDescent="0.2">
      <c r="A12174" s="82"/>
      <c r="B12174" s="82"/>
      <c r="C12174" s="82"/>
    </row>
    <row r="12175" spans="1:3" x14ac:dyDescent="0.2">
      <c r="A12175" s="82"/>
      <c r="B12175" s="82"/>
      <c r="C12175" s="82"/>
    </row>
    <row r="12176" spans="1:3" x14ac:dyDescent="0.2">
      <c r="A12176" s="82"/>
      <c r="B12176" s="82"/>
      <c r="C12176" s="82"/>
    </row>
    <row r="12177" spans="1:3" x14ac:dyDescent="0.2">
      <c r="A12177" s="82"/>
      <c r="B12177" s="82"/>
      <c r="C12177" s="82"/>
    </row>
    <row r="12178" spans="1:3" x14ac:dyDescent="0.2">
      <c r="A12178" s="82"/>
      <c r="B12178" s="82"/>
      <c r="C12178" s="82"/>
    </row>
    <row r="12179" spans="1:3" x14ac:dyDescent="0.2">
      <c r="A12179" s="82"/>
      <c r="B12179" s="82"/>
      <c r="C12179" s="82"/>
    </row>
    <row r="12180" spans="1:3" x14ac:dyDescent="0.2">
      <c r="A12180" s="82"/>
      <c r="B12180" s="82"/>
      <c r="C12180" s="82"/>
    </row>
    <row r="12181" spans="1:3" x14ac:dyDescent="0.2">
      <c r="A12181" s="82"/>
      <c r="B12181" s="82"/>
      <c r="C12181" s="82"/>
    </row>
    <row r="12182" spans="1:3" x14ac:dyDescent="0.2">
      <c r="A12182" s="82"/>
      <c r="B12182" s="82"/>
      <c r="C12182" s="82"/>
    </row>
    <row r="12183" spans="1:3" x14ac:dyDescent="0.2">
      <c r="A12183" s="82"/>
      <c r="B12183" s="82"/>
      <c r="C12183" s="82"/>
    </row>
    <row r="12184" spans="1:3" x14ac:dyDescent="0.2">
      <c r="A12184" s="82"/>
      <c r="B12184" s="82"/>
      <c r="C12184" s="82"/>
    </row>
    <row r="12185" spans="1:3" x14ac:dyDescent="0.2">
      <c r="A12185" s="82"/>
      <c r="B12185" s="82"/>
      <c r="C12185" s="82"/>
    </row>
    <row r="12186" spans="1:3" x14ac:dyDescent="0.2">
      <c r="A12186" s="82"/>
      <c r="B12186" s="82"/>
      <c r="C12186" s="82"/>
    </row>
    <row r="12187" spans="1:3" x14ac:dyDescent="0.2">
      <c r="A12187" s="82"/>
      <c r="B12187" s="82"/>
      <c r="C12187" s="82"/>
    </row>
    <row r="12188" spans="1:3" x14ac:dyDescent="0.2">
      <c r="A12188" s="82"/>
      <c r="B12188" s="82"/>
      <c r="C12188" s="82"/>
    </row>
    <row r="12189" spans="1:3" x14ac:dyDescent="0.2">
      <c r="A12189" s="82"/>
      <c r="B12189" s="82"/>
      <c r="C12189" s="82"/>
    </row>
    <row r="12190" spans="1:3" x14ac:dyDescent="0.2">
      <c r="A12190" s="82"/>
      <c r="B12190" s="82"/>
      <c r="C12190" s="82"/>
    </row>
    <row r="12191" spans="1:3" x14ac:dyDescent="0.2">
      <c r="A12191" s="82"/>
      <c r="B12191" s="82"/>
      <c r="C12191" s="82"/>
    </row>
    <row r="12192" spans="1:3" x14ac:dyDescent="0.2">
      <c r="A12192" s="82"/>
      <c r="B12192" s="82"/>
      <c r="C12192" s="82"/>
    </row>
    <row r="12193" spans="1:3" x14ac:dyDescent="0.2">
      <c r="A12193" s="82"/>
      <c r="B12193" s="82"/>
      <c r="C12193" s="82"/>
    </row>
    <row r="12194" spans="1:3" x14ac:dyDescent="0.2">
      <c r="A12194" s="82"/>
      <c r="B12194" s="82"/>
      <c r="C12194" s="82"/>
    </row>
    <row r="12195" spans="1:3" x14ac:dyDescent="0.2">
      <c r="A12195" s="82"/>
      <c r="B12195" s="82"/>
      <c r="C12195" s="82"/>
    </row>
    <row r="12196" spans="1:3" x14ac:dyDescent="0.2">
      <c r="A12196" s="82"/>
      <c r="B12196" s="82"/>
      <c r="C12196" s="82"/>
    </row>
    <row r="12197" spans="1:3" x14ac:dyDescent="0.2">
      <c r="A12197" s="82"/>
      <c r="B12197" s="82"/>
      <c r="C12197" s="82"/>
    </row>
    <row r="12198" spans="1:3" x14ac:dyDescent="0.2">
      <c r="A12198" s="82"/>
      <c r="B12198" s="82"/>
      <c r="C12198" s="82"/>
    </row>
    <row r="12199" spans="1:3" x14ac:dyDescent="0.2">
      <c r="A12199" s="82"/>
      <c r="B12199" s="82"/>
      <c r="C12199" s="82"/>
    </row>
    <row r="12200" spans="1:3" x14ac:dyDescent="0.2">
      <c r="A12200" s="82"/>
      <c r="B12200" s="82"/>
      <c r="C12200" s="82"/>
    </row>
    <row r="12201" spans="1:3" x14ac:dyDescent="0.2">
      <c r="A12201" s="82"/>
      <c r="B12201" s="82"/>
      <c r="C12201" s="82"/>
    </row>
    <row r="12202" spans="1:3" x14ac:dyDescent="0.2">
      <c r="A12202" s="82"/>
      <c r="B12202" s="82"/>
      <c r="C12202" s="82"/>
    </row>
    <row r="12203" spans="1:3" x14ac:dyDescent="0.2">
      <c r="A12203" s="82"/>
      <c r="B12203" s="82"/>
      <c r="C12203" s="82"/>
    </row>
    <row r="12204" spans="1:3" x14ac:dyDescent="0.2">
      <c r="A12204" s="82"/>
      <c r="B12204" s="82"/>
      <c r="C12204" s="82"/>
    </row>
    <row r="12205" spans="1:3" x14ac:dyDescent="0.2">
      <c r="A12205" s="82"/>
      <c r="B12205" s="82"/>
      <c r="C12205" s="82"/>
    </row>
    <row r="12206" spans="1:3" x14ac:dyDescent="0.2">
      <c r="A12206" s="82"/>
      <c r="B12206" s="82"/>
      <c r="C12206" s="82"/>
    </row>
    <row r="12207" spans="1:3" x14ac:dyDescent="0.2">
      <c r="A12207" s="82"/>
      <c r="B12207" s="82"/>
      <c r="C12207" s="82"/>
    </row>
    <row r="12208" spans="1:3" x14ac:dyDescent="0.2">
      <c r="A12208" s="82"/>
      <c r="B12208" s="82"/>
      <c r="C12208" s="82"/>
    </row>
    <row r="12209" spans="1:3" x14ac:dyDescent="0.2">
      <c r="A12209" s="82"/>
      <c r="B12209" s="82"/>
      <c r="C12209" s="82"/>
    </row>
    <row r="12210" spans="1:3" x14ac:dyDescent="0.2">
      <c r="A12210" s="82"/>
      <c r="B12210" s="82"/>
      <c r="C12210" s="82"/>
    </row>
    <row r="12211" spans="1:3" x14ac:dyDescent="0.2">
      <c r="A12211" s="82"/>
      <c r="B12211" s="82"/>
      <c r="C12211" s="82"/>
    </row>
    <row r="12212" spans="1:3" x14ac:dyDescent="0.2">
      <c r="A12212" s="82"/>
      <c r="B12212" s="82"/>
      <c r="C12212" s="82"/>
    </row>
    <row r="12213" spans="1:3" x14ac:dyDescent="0.2">
      <c r="A12213" s="82"/>
      <c r="B12213" s="82"/>
      <c r="C12213" s="82"/>
    </row>
    <row r="12214" spans="1:3" x14ac:dyDescent="0.2">
      <c r="A12214" s="82"/>
      <c r="B12214" s="82"/>
      <c r="C12214" s="82"/>
    </row>
    <row r="12215" spans="1:3" x14ac:dyDescent="0.2">
      <c r="A12215" s="82"/>
      <c r="B12215" s="82"/>
      <c r="C12215" s="82"/>
    </row>
    <row r="12216" spans="1:3" x14ac:dyDescent="0.2">
      <c r="A12216" s="82"/>
      <c r="B12216" s="82"/>
      <c r="C12216" s="82"/>
    </row>
    <row r="12217" spans="1:3" x14ac:dyDescent="0.2">
      <c r="A12217" s="82"/>
      <c r="B12217" s="82"/>
      <c r="C12217" s="82"/>
    </row>
    <row r="12218" spans="1:3" x14ac:dyDescent="0.2">
      <c r="A12218" s="82"/>
      <c r="B12218" s="82"/>
      <c r="C12218" s="82"/>
    </row>
    <row r="12219" spans="1:3" x14ac:dyDescent="0.2">
      <c r="A12219" s="82"/>
      <c r="B12219" s="82"/>
      <c r="C12219" s="82"/>
    </row>
    <row r="12220" spans="1:3" x14ac:dyDescent="0.2">
      <c r="A12220" s="82"/>
      <c r="B12220" s="82"/>
      <c r="C12220" s="82"/>
    </row>
    <row r="12221" spans="1:3" x14ac:dyDescent="0.2">
      <c r="A12221" s="82"/>
      <c r="B12221" s="82"/>
      <c r="C12221" s="82"/>
    </row>
    <row r="12222" spans="1:3" x14ac:dyDescent="0.2">
      <c r="A12222" s="82"/>
      <c r="B12222" s="82"/>
      <c r="C12222" s="82"/>
    </row>
    <row r="12223" spans="1:3" x14ac:dyDescent="0.2">
      <c r="A12223" s="82"/>
      <c r="B12223" s="82"/>
      <c r="C12223" s="82"/>
    </row>
    <row r="12224" spans="1:3" x14ac:dyDescent="0.2">
      <c r="A12224" s="82"/>
      <c r="B12224" s="82"/>
      <c r="C12224" s="82"/>
    </row>
    <row r="12225" spans="1:3" x14ac:dyDescent="0.2">
      <c r="A12225" s="82"/>
      <c r="B12225" s="82"/>
      <c r="C12225" s="82"/>
    </row>
    <row r="12226" spans="1:3" x14ac:dyDescent="0.2">
      <c r="A12226" s="82"/>
      <c r="B12226" s="82"/>
      <c r="C12226" s="82"/>
    </row>
    <row r="12227" spans="1:3" x14ac:dyDescent="0.2">
      <c r="A12227" s="82"/>
      <c r="B12227" s="82"/>
      <c r="C12227" s="82"/>
    </row>
    <row r="12228" spans="1:3" x14ac:dyDescent="0.2">
      <c r="A12228" s="82"/>
      <c r="B12228" s="82"/>
      <c r="C12228" s="82"/>
    </row>
    <row r="12229" spans="1:3" x14ac:dyDescent="0.2">
      <c r="A12229" s="82"/>
      <c r="B12229" s="82"/>
      <c r="C12229" s="82"/>
    </row>
    <row r="12230" spans="1:3" x14ac:dyDescent="0.2">
      <c r="A12230" s="82"/>
      <c r="B12230" s="82"/>
      <c r="C12230" s="82"/>
    </row>
    <row r="12231" spans="1:3" x14ac:dyDescent="0.2">
      <c r="A12231" s="82"/>
      <c r="B12231" s="82"/>
      <c r="C12231" s="82"/>
    </row>
    <row r="12232" spans="1:3" x14ac:dyDescent="0.2">
      <c r="A12232" s="82"/>
      <c r="B12232" s="82"/>
      <c r="C12232" s="82"/>
    </row>
    <row r="12233" spans="1:3" x14ac:dyDescent="0.2">
      <c r="A12233" s="82"/>
      <c r="B12233" s="82"/>
      <c r="C12233" s="82"/>
    </row>
    <row r="12234" spans="1:3" x14ac:dyDescent="0.2">
      <c r="A12234" s="82"/>
      <c r="B12234" s="82"/>
      <c r="C12234" s="82"/>
    </row>
    <row r="12235" spans="1:3" x14ac:dyDescent="0.2">
      <c r="A12235" s="82"/>
      <c r="B12235" s="82"/>
      <c r="C12235" s="82"/>
    </row>
    <row r="12236" spans="1:3" x14ac:dyDescent="0.2">
      <c r="A12236" s="82"/>
      <c r="B12236" s="82"/>
      <c r="C12236" s="82"/>
    </row>
    <row r="12237" spans="1:3" x14ac:dyDescent="0.2">
      <c r="A12237" s="82"/>
      <c r="B12237" s="82"/>
      <c r="C12237" s="82"/>
    </row>
    <row r="12238" spans="1:3" x14ac:dyDescent="0.2">
      <c r="A12238" s="82"/>
      <c r="B12238" s="82"/>
      <c r="C12238" s="82"/>
    </row>
    <row r="12239" spans="1:3" x14ac:dyDescent="0.2">
      <c r="A12239" s="82"/>
      <c r="B12239" s="82"/>
      <c r="C12239" s="82"/>
    </row>
    <row r="12240" spans="1:3" x14ac:dyDescent="0.2">
      <c r="A12240" s="82"/>
      <c r="B12240" s="82"/>
      <c r="C12240" s="82"/>
    </row>
    <row r="12241" spans="1:3" x14ac:dyDescent="0.2">
      <c r="A12241" s="82"/>
      <c r="B12241" s="82"/>
      <c r="C12241" s="82"/>
    </row>
    <row r="12242" spans="1:3" x14ac:dyDescent="0.2">
      <c r="A12242" s="82"/>
      <c r="B12242" s="82"/>
      <c r="C12242" s="82"/>
    </row>
    <row r="12243" spans="1:3" x14ac:dyDescent="0.2">
      <c r="A12243" s="82"/>
      <c r="B12243" s="82"/>
      <c r="C12243" s="82"/>
    </row>
    <row r="12244" spans="1:3" x14ac:dyDescent="0.2">
      <c r="A12244" s="82"/>
      <c r="B12244" s="82"/>
      <c r="C12244" s="82"/>
    </row>
    <row r="12245" spans="1:3" x14ac:dyDescent="0.2">
      <c r="A12245" s="82"/>
      <c r="B12245" s="82"/>
      <c r="C12245" s="82"/>
    </row>
    <row r="12246" spans="1:3" x14ac:dyDescent="0.2">
      <c r="A12246" s="82"/>
      <c r="B12246" s="82"/>
      <c r="C12246" s="82"/>
    </row>
    <row r="12247" spans="1:3" x14ac:dyDescent="0.2">
      <c r="A12247" s="82"/>
      <c r="B12247" s="82"/>
      <c r="C12247" s="82"/>
    </row>
    <row r="12248" spans="1:3" x14ac:dyDescent="0.2">
      <c r="A12248" s="82"/>
      <c r="B12248" s="82"/>
      <c r="C12248" s="82"/>
    </row>
    <row r="12249" spans="1:3" x14ac:dyDescent="0.2">
      <c r="A12249" s="82"/>
      <c r="B12249" s="82"/>
      <c r="C12249" s="82"/>
    </row>
    <row r="12250" spans="1:3" x14ac:dyDescent="0.2">
      <c r="A12250" s="82"/>
      <c r="B12250" s="82"/>
      <c r="C12250" s="82"/>
    </row>
    <row r="12251" spans="1:3" x14ac:dyDescent="0.2">
      <c r="A12251" s="82"/>
      <c r="B12251" s="82"/>
      <c r="C12251" s="82"/>
    </row>
    <row r="12252" spans="1:3" x14ac:dyDescent="0.2">
      <c r="A12252" s="82"/>
      <c r="B12252" s="82"/>
      <c r="C12252" s="82"/>
    </row>
    <row r="12253" spans="1:3" x14ac:dyDescent="0.2">
      <c r="A12253" s="82"/>
      <c r="B12253" s="82"/>
      <c r="C12253" s="82"/>
    </row>
    <row r="12254" spans="1:3" x14ac:dyDescent="0.2">
      <c r="A12254" s="82"/>
      <c r="B12254" s="82"/>
      <c r="C12254" s="82"/>
    </row>
    <row r="12255" spans="1:3" x14ac:dyDescent="0.2">
      <c r="A12255" s="82"/>
      <c r="B12255" s="82"/>
      <c r="C12255" s="82"/>
    </row>
    <row r="12256" spans="1:3" x14ac:dyDescent="0.2">
      <c r="A12256" s="82"/>
      <c r="B12256" s="82"/>
      <c r="C12256" s="82"/>
    </row>
    <row r="12257" spans="1:3" x14ac:dyDescent="0.2">
      <c r="A12257" s="82"/>
      <c r="B12257" s="82"/>
      <c r="C12257" s="82"/>
    </row>
    <row r="12258" spans="1:3" x14ac:dyDescent="0.2">
      <c r="A12258" s="82"/>
      <c r="B12258" s="82"/>
      <c r="C12258" s="82"/>
    </row>
    <row r="12259" spans="1:3" x14ac:dyDescent="0.2">
      <c r="A12259" s="82"/>
      <c r="B12259" s="82"/>
      <c r="C12259" s="82"/>
    </row>
    <row r="12260" spans="1:3" x14ac:dyDescent="0.2">
      <c r="A12260" s="82"/>
      <c r="B12260" s="82"/>
      <c r="C12260" s="82"/>
    </row>
    <row r="12261" spans="1:3" x14ac:dyDescent="0.2">
      <c r="A12261" s="82"/>
      <c r="B12261" s="82"/>
      <c r="C12261" s="82"/>
    </row>
    <row r="12262" spans="1:3" x14ac:dyDescent="0.2">
      <c r="A12262" s="82"/>
      <c r="B12262" s="82"/>
      <c r="C12262" s="82"/>
    </row>
    <row r="12263" spans="1:3" x14ac:dyDescent="0.2">
      <c r="A12263" s="82"/>
      <c r="B12263" s="82"/>
      <c r="C12263" s="82"/>
    </row>
    <row r="12264" spans="1:3" x14ac:dyDescent="0.2">
      <c r="A12264" s="82"/>
      <c r="B12264" s="82"/>
      <c r="C12264" s="82"/>
    </row>
    <row r="12265" spans="1:3" x14ac:dyDescent="0.2">
      <c r="A12265" s="82"/>
      <c r="B12265" s="82"/>
      <c r="C12265" s="82"/>
    </row>
    <row r="12266" spans="1:3" x14ac:dyDescent="0.2">
      <c r="A12266" s="82"/>
      <c r="B12266" s="82"/>
      <c r="C12266" s="82"/>
    </row>
    <row r="12267" spans="1:3" x14ac:dyDescent="0.2">
      <c r="A12267" s="82"/>
      <c r="B12267" s="82"/>
      <c r="C12267" s="82"/>
    </row>
    <row r="12268" spans="1:3" x14ac:dyDescent="0.2">
      <c r="A12268" s="82"/>
      <c r="B12268" s="82"/>
      <c r="C12268" s="82"/>
    </row>
    <row r="12269" spans="1:3" x14ac:dyDescent="0.2">
      <c r="A12269" s="82"/>
      <c r="B12269" s="82"/>
      <c r="C12269" s="82"/>
    </row>
    <row r="12270" spans="1:3" x14ac:dyDescent="0.2">
      <c r="A12270" s="82"/>
      <c r="B12270" s="82"/>
      <c r="C12270" s="82"/>
    </row>
    <row r="12271" spans="1:3" x14ac:dyDescent="0.2">
      <c r="A12271" s="82"/>
      <c r="B12271" s="82"/>
      <c r="C12271" s="82"/>
    </row>
    <row r="12272" spans="1:3" x14ac:dyDescent="0.2">
      <c r="A12272" s="82"/>
      <c r="B12272" s="82"/>
      <c r="C12272" s="82"/>
    </row>
    <row r="12273" spans="1:3" x14ac:dyDescent="0.2">
      <c r="A12273" s="82"/>
      <c r="B12273" s="82"/>
      <c r="C12273" s="82"/>
    </row>
    <row r="12274" spans="1:3" x14ac:dyDescent="0.2">
      <c r="A12274" s="82"/>
      <c r="B12274" s="82"/>
      <c r="C12274" s="82"/>
    </row>
    <row r="12275" spans="1:3" x14ac:dyDescent="0.2">
      <c r="A12275" s="82"/>
      <c r="B12275" s="82"/>
      <c r="C12275" s="82"/>
    </row>
    <row r="12276" spans="1:3" x14ac:dyDescent="0.2">
      <c r="A12276" s="82"/>
      <c r="B12276" s="82"/>
      <c r="C12276" s="82"/>
    </row>
    <row r="12277" spans="1:3" x14ac:dyDescent="0.2">
      <c r="A12277" s="82"/>
      <c r="B12277" s="82"/>
      <c r="C12277" s="82"/>
    </row>
    <row r="12278" spans="1:3" x14ac:dyDescent="0.2">
      <c r="A12278" s="82"/>
      <c r="B12278" s="82"/>
      <c r="C12278" s="82"/>
    </row>
    <row r="12279" spans="1:3" x14ac:dyDescent="0.2">
      <c r="A12279" s="82"/>
      <c r="B12279" s="82"/>
      <c r="C12279" s="82"/>
    </row>
    <row r="12280" spans="1:3" x14ac:dyDescent="0.2">
      <c r="A12280" s="82"/>
      <c r="B12280" s="82"/>
      <c r="C12280" s="82"/>
    </row>
    <row r="12281" spans="1:3" x14ac:dyDescent="0.2">
      <c r="A12281" s="82"/>
      <c r="B12281" s="82"/>
      <c r="C12281" s="82"/>
    </row>
    <row r="12282" spans="1:3" x14ac:dyDescent="0.2">
      <c r="A12282" s="82"/>
      <c r="B12282" s="82"/>
      <c r="C12282" s="82"/>
    </row>
    <row r="12283" spans="1:3" x14ac:dyDescent="0.2">
      <c r="A12283" s="82"/>
      <c r="B12283" s="82"/>
      <c r="C12283" s="82"/>
    </row>
    <row r="12284" spans="1:3" x14ac:dyDescent="0.2">
      <c r="A12284" s="82"/>
      <c r="B12284" s="82"/>
      <c r="C12284" s="82"/>
    </row>
    <row r="12285" spans="1:3" x14ac:dyDescent="0.2">
      <c r="A12285" s="82"/>
      <c r="B12285" s="82"/>
      <c r="C12285" s="82"/>
    </row>
    <row r="12286" spans="1:3" x14ac:dyDescent="0.2">
      <c r="A12286" s="82"/>
      <c r="B12286" s="82"/>
      <c r="C12286" s="82"/>
    </row>
    <row r="12287" spans="1:3" x14ac:dyDescent="0.2">
      <c r="A12287" s="82"/>
      <c r="B12287" s="82"/>
      <c r="C12287" s="82"/>
    </row>
    <row r="12288" spans="1:3" x14ac:dyDescent="0.2">
      <c r="A12288" s="82"/>
      <c r="B12288" s="82"/>
      <c r="C12288" s="82"/>
    </row>
    <row r="12289" spans="1:3" x14ac:dyDescent="0.2">
      <c r="A12289" s="82"/>
      <c r="B12289" s="82"/>
      <c r="C12289" s="82"/>
    </row>
    <row r="12290" spans="1:3" x14ac:dyDescent="0.2">
      <c r="A12290" s="82"/>
      <c r="B12290" s="82"/>
      <c r="C12290" s="82"/>
    </row>
    <row r="12291" spans="1:3" x14ac:dyDescent="0.2">
      <c r="A12291" s="82"/>
      <c r="B12291" s="82"/>
      <c r="C12291" s="82"/>
    </row>
    <row r="12292" spans="1:3" x14ac:dyDescent="0.2">
      <c r="A12292" s="82"/>
      <c r="B12292" s="82"/>
      <c r="C12292" s="82"/>
    </row>
    <row r="12293" spans="1:3" x14ac:dyDescent="0.2">
      <c r="A12293" s="82"/>
      <c r="B12293" s="82"/>
      <c r="C12293" s="82"/>
    </row>
    <row r="12294" spans="1:3" x14ac:dyDescent="0.2">
      <c r="A12294" s="82"/>
      <c r="B12294" s="82"/>
      <c r="C12294" s="82"/>
    </row>
    <row r="12295" spans="1:3" x14ac:dyDescent="0.2">
      <c r="A12295" s="82"/>
      <c r="B12295" s="82"/>
      <c r="C12295" s="82"/>
    </row>
    <row r="12296" spans="1:3" x14ac:dyDescent="0.2">
      <c r="A12296" s="82"/>
      <c r="B12296" s="82"/>
      <c r="C12296" s="82"/>
    </row>
    <row r="12297" spans="1:3" x14ac:dyDescent="0.2">
      <c r="A12297" s="82"/>
      <c r="B12297" s="82"/>
      <c r="C12297" s="82"/>
    </row>
    <row r="12298" spans="1:3" x14ac:dyDescent="0.2">
      <c r="A12298" s="82"/>
      <c r="B12298" s="82"/>
      <c r="C12298" s="82"/>
    </row>
    <row r="12299" spans="1:3" x14ac:dyDescent="0.2">
      <c r="A12299" s="82"/>
      <c r="B12299" s="82"/>
      <c r="C12299" s="82"/>
    </row>
    <row r="12300" spans="1:3" x14ac:dyDescent="0.2">
      <c r="A12300" s="82"/>
      <c r="B12300" s="82"/>
      <c r="C12300" s="82"/>
    </row>
    <row r="12301" spans="1:3" x14ac:dyDescent="0.2">
      <c r="A12301" s="82"/>
      <c r="B12301" s="82"/>
      <c r="C12301" s="82"/>
    </row>
    <row r="12302" spans="1:3" x14ac:dyDescent="0.2">
      <c r="A12302" s="82"/>
      <c r="B12302" s="82"/>
      <c r="C12302" s="82"/>
    </row>
    <row r="12303" spans="1:3" x14ac:dyDescent="0.2">
      <c r="A12303" s="82"/>
      <c r="B12303" s="82"/>
      <c r="C12303" s="82"/>
    </row>
    <row r="12304" spans="1:3" x14ac:dyDescent="0.2">
      <c r="A12304" s="82"/>
      <c r="B12304" s="82"/>
      <c r="C12304" s="82"/>
    </row>
    <row r="12305" spans="1:3" x14ac:dyDescent="0.2">
      <c r="A12305" s="82"/>
      <c r="B12305" s="82"/>
      <c r="C12305" s="82"/>
    </row>
    <row r="12306" spans="1:3" x14ac:dyDescent="0.2">
      <c r="A12306" s="82"/>
      <c r="B12306" s="82"/>
      <c r="C12306" s="82"/>
    </row>
    <row r="12307" spans="1:3" x14ac:dyDescent="0.2">
      <c r="A12307" s="82"/>
      <c r="B12307" s="82"/>
      <c r="C12307" s="82"/>
    </row>
    <row r="12308" spans="1:3" x14ac:dyDescent="0.2">
      <c r="A12308" s="82"/>
      <c r="B12308" s="82"/>
      <c r="C12308" s="82"/>
    </row>
    <row r="12309" spans="1:3" x14ac:dyDescent="0.2">
      <c r="A12309" s="82"/>
      <c r="B12309" s="82"/>
      <c r="C12309" s="82"/>
    </row>
    <row r="12310" spans="1:3" x14ac:dyDescent="0.2">
      <c r="A12310" s="82"/>
      <c r="B12310" s="82"/>
      <c r="C12310" s="82"/>
    </row>
    <row r="12311" spans="1:3" x14ac:dyDescent="0.2">
      <c r="A12311" s="82"/>
      <c r="B12311" s="82"/>
      <c r="C12311" s="82"/>
    </row>
    <row r="12312" spans="1:3" x14ac:dyDescent="0.2">
      <c r="A12312" s="82"/>
      <c r="B12312" s="82"/>
      <c r="C12312" s="82"/>
    </row>
    <row r="12313" spans="1:3" x14ac:dyDescent="0.2">
      <c r="A12313" s="82"/>
      <c r="B12313" s="82"/>
      <c r="C12313" s="82"/>
    </row>
    <row r="12314" spans="1:3" x14ac:dyDescent="0.2">
      <c r="A12314" s="82"/>
      <c r="B12314" s="82"/>
      <c r="C12314" s="82"/>
    </row>
    <row r="12315" spans="1:3" x14ac:dyDescent="0.2">
      <c r="A12315" s="82"/>
      <c r="B12315" s="82"/>
      <c r="C12315" s="82"/>
    </row>
    <row r="12316" spans="1:3" x14ac:dyDescent="0.2">
      <c r="A12316" s="82"/>
      <c r="B12316" s="82"/>
      <c r="C12316" s="82"/>
    </row>
    <row r="12317" spans="1:3" x14ac:dyDescent="0.2">
      <c r="A12317" s="82"/>
      <c r="B12317" s="82"/>
      <c r="C12317" s="82"/>
    </row>
    <row r="12318" spans="1:3" x14ac:dyDescent="0.2">
      <c r="A12318" s="82"/>
      <c r="B12318" s="82"/>
      <c r="C12318" s="82"/>
    </row>
    <row r="12319" spans="1:3" x14ac:dyDescent="0.2">
      <c r="A12319" s="82"/>
      <c r="B12319" s="82"/>
      <c r="C12319" s="82"/>
    </row>
    <row r="12320" spans="1:3" x14ac:dyDescent="0.2">
      <c r="A12320" s="82"/>
      <c r="B12320" s="82"/>
      <c r="C12320" s="82"/>
    </row>
    <row r="12321" spans="1:3" x14ac:dyDescent="0.2">
      <c r="A12321" s="82"/>
      <c r="B12321" s="82"/>
      <c r="C12321" s="82"/>
    </row>
    <row r="12322" spans="1:3" x14ac:dyDescent="0.2">
      <c r="A12322" s="82"/>
      <c r="B12322" s="82"/>
      <c r="C12322" s="82"/>
    </row>
    <row r="12323" spans="1:3" x14ac:dyDescent="0.2">
      <c r="A12323" s="82"/>
      <c r="B12323" s="82"/>
      <c r="C12323" s="82"/>
    </row>
    <row r="12324" spans="1:3" x14ac:dyDescent="0.2">
      <c r="A12324" s="82"/>
      <c r="B12324" s="82"/>
      <c r="C12324" s="82"/>
    </row>
    <row r="12325" spans="1:3" x14ac:dyDescent="0.2">
      <c r="A12325" s="82"/>
      <c r="B12325" s="82"/>
      <c r="C12325" s="82"/>
    </row>
    <row r="12326" spans="1:3" x14ac:dyDescent="0.2">
      <c r="A12326" s="82"/>
      <c r="B12326" s="82"/>
      <c r="C12326" s="82"/>
    </row>
    <row r="12327" spans="1:3" x14ac:dyDescent="0.2">
      <c r="A12327" s="82"/>
      <c r="B12327" s="82"/>
      <c r="C12327" s="82"/>
    </row>
    <row r="12328" spans="1:3" x14ac:dyDescent="0.2">
      <c r="A12328" s="82"/>
      <c r="B12328" s="82"/>
      <c r="C12328" s="82"/>
    </row>
    <row r="12329" spans="1:3" x14ac:dyDescent="0.2">
      <c r="A12329" s="82"/>
      <c r="B12329" s="82"/>
      <c r="C12329" s="82"/>
    </row>
    <row r="12330" spans="1:3" x14ac:dyDescent="0.2">
      <c r="A12330" s="82"/>
      <c r="B12330" s="82"/>
      <c r="C12330" s="82"/>
    </row>
    <row r="12331" spans="1:3" x14ac:dyDescent="0.2">
      <c r="A12331" s="82"/>
      <c r="B12331" s="82"/>
      <c r="C12331" s="82"/>
    </row>
    <row r="12332" spans="1:3" x14ac:dyDescent="0.2">
      <c r="A12332" s="82"/>
      <c r="B12332" s="82"/>
      <c r="C12332" s="82"/>
    </row>
    <row r="12333" spans="1:3" x14ac:dyDescent="0.2">
      <c r="A12333" s="82"/>
      <c r="B12333" s="82"/>
      <c r="C12333" s="82"/>
    </row>
    <row r="12334" spans="1:3" x14ac:dyDescent="0.2">
      <c r="A12334" s="82"/>
      <c r="B12334" s="82"/>
      <c r="C12334" s="82"/>
    </row>
    <row r="12335" spans="1:3" x14ac:dyDescent="0.2">
      <c r="A12335" s="82"/>
      <c r="B12335" s="82"/>
      <c r="C12335" s="82"/>
    </row>
    <row r="12336" spans="1:3" x14ac:dyDescent="0.2">
      <c r="A12336" s="82"/>
      <c r="B12336" s="82"/>
      <c r="C12336" s="82"/>
    </row>
    <row r="12337" spans="1:3" x14ac:dyDescent="0.2">
      <c r="A12337" s="82"/>
      <c r="B12337" s="82"/>
      <c r="C12337" s="82"/>
    </row>
    <row r="12338" spans="1:3" x14ac:dyDescent="0.2">
      <c r="A12338" s="82"/>
      <c r="B12338" s="82"/>
      <c r="C12338" s="82"/>
    </row>
    <row r="12339" spans="1:3" x14ac:dyDescent="0.2">
      <c r="A12339" s="82"/>
      <c r="B12339" s="82"/>
      <c r="C12339" s="82"/>
    </row>
    <row r="12340" spans="1:3" x14ac:dyDescent="0.2">
      <c r="A12340" s="82"/>
      <c r="B12340" s="82"/>
      <c r="C12340" s="82"/>
    </row>
    <row r="12341" spans="1:3" x14ac:dyDescent="0.2">
      <c r="A12341" s="82"/>
      <c r="B12341" s="82"/>
      <c r="C12341" s="82"/>
    </row>
    <row r="12342" spans="1:3" x14ac:dyDescent="0.2">
      <c r="A12342" s="82"/>
      <c r="B12342" s="82"/>
      <c r="C12342" s="82"/>
    </row>
    <row r="12343" spans="1:3" x14ac:dyDescent="0.2">
      <c r="A12343" s="82"/>
      <c r="B12343" s="82"/>
      <c r="C12343" s="82"/>
    </row>
    <row r="12344" spans="1:3" x14ac:dyDescent="0.2">
      <c r="A12344" s="82"/>
      <c r="B12344" s="82"/>
      <c r="C12344" s="82"/>
    </row>
    <row r="12345" spans="1:3" x14ac:dyDescent="0.2">
      <c r="A12345" s="82"/>
      <c r="B12345" s="82"/>
      <c r="C12345" s="82"/>
    </row>
    <row r="12346" spans="1:3" x14ac:dyDescent="0.2">
      <c r="A12346" s="82"/>
      <c r="B12346" s="82"/>
      <c r="C12346" s="82"/>
    </row>
    <row r="12347" spans="1:3" x14ac:dyDescent="0.2">
      <c r="A12347" s="82"/>
      <c r="B12347" s="82"/>
      <c r="C12347" s="82"/>
    </row>
    <row r="12348" spans="1:3" x14ac:dyDescent="0.2">
      <c r="A12348" s="82"/>
      <c r="B12348" s="82"/>
      <c r="C12348" s="82"/>
    </row>
    <row r="12349" spans="1:3" x14ac:dyDescent="0.2">
      <c r="A12349" s="82"/>
      <c r="B12349" s="82"/>
      <c r="C12349" s="82"/>
    </row>
    <row r="12350" spans="1:3" x14ac:dyDescent="0.2">
      <c r="A12350" s="82"/>
      <c r="B12350" s="82"/>
      <c r="C12350" s="82"/>
    </row>
    <row r="12351" spans="1:3" x14ac:dyDescent="0.2">
      <c r="A12351" s="82"/>
      <c r="B12351" s="82"/>
      <c r="C12351" s="82"/>
    </row>
    <row r="12352" spans="1:3" x14ac:dyDescent="0.2">
      <c r="A12352" s="82"/>
      <c r="B12352" s="82"/>
      <c r="C12352" s="82"/>
    </row>
    <row r="12353" spans="1:3" x14ac:dyDescent="0.2">
      <c r="A12353" s="82"/>
      <c r="B12353" s="82"/>
      <c r="C12353" s="82"/>
    </row>
    <row r="12354" spans="1:3" x14ac:dyDescent="0.2">
      <c r="A12354" s="82"/>
      <c r="B12354" s="82"/>
      <c r="C12354" s="82"/>
    </row>
    <row r="12355" spans="1:3" x14ac:dyDescent="0.2">
      <c r="A12355" s="82"/>
      <c r="B12355" s="82"/>
      <c r="C12355" s="82"/>
    </row>
    <row r="12356" spans="1:3" x14ac:dyDescent="0.2">
      <c r="A12356" s="82"/>
      <c r="B12356" s="82"/>
      <c r="C12356" s="82"/>
    </row>
    <row r="12357" spans="1:3" x14ac:dyDescent="0.2">
      <c r="A12357" s="82"/>
      <c r="B12357" s="82"/>
      <c r="C12357" s="82"/>
    </row>
    <row r="12358" spans="1:3" x14ac:dyDescent="0.2">
      <c r="A12358" s="82"/>
      <c r="B12358" s="82"/>
      <c r="C12358" s="82"/>
    </row>
    <row r="12359" spans="1:3" x14ac:dyDescent="0.2">
      <c r="A12359" s="82"/>
      <c r="B12359" s="82"/>
      <c r="C12359" s="82"/>
    </row>
    <row r="12360" spans="1:3" x14ac:dyDescent="0.2">
      <c r="A12360" s="82"/>
      <c r="B12360" s="82"/>
      <c r="C12360" s="82"/>
    </row>
    <row r="12361" spans="1:3" x14ac:dyDescent="0.2">
      <c r="A12361" s="82"/>
      <c r="B12361" s="82"/>
      <c r="C12361" s="82"/>
    </row>
    <row r="12362" spans="1:3" x14ac:dyDescent="0.2">
      <c r="A12362" s="82"/>
      <c r="B12362" s="82"/>
      <c r="C12362" s="82"/>
    </row>
    <row r="12363" spans="1:3" x14ac:dyDescent="0.2">
      <c r="A12363" s="82"/>
      <c r="B12363" s="82"/>
      <c r="C12363" s="82"/>
    </row>
    <row r="12364" spans="1:3" x14ac:dyDescent="0.2">
      <c r="A12364" s="82"/>
      <c r="B12364" s="82"/>
      <c r="C12364" s="82"/>
    </row>
    <row r="12365" spans="1:3" x14ac:dyDescent="0.2">
      <c r="A12365" s="82"/>
      <c r="B12365" s="82"/>
      <c r="C12365" s="82"/>
    </row>
    <row r="12366" spans="1:3" x14ac:dyDescent="0.2">
      <c r="A12366" s="82"/>
      <c r="B12366" s="82"/>
      <c r="C12366" s="82"/>
    </row>
    <row r="12367" spans="1:3" x14ac:dyDescent="0.2">
      <c r="A12367" s="82"/>
      <c r="B12367" s="82"/>
      <c r="C12367" s="82"/>
    </row>
    <row r="12368" spans="1:3" x14ac:dyDescent="0.2">
      <c r="A12368" s="82"/>
      <c r="B12368" s="82"/>
      <c r="C12368" s="82"/>
    </row>
    <row r="12369" spans="1:3" x14ac:dyDescent="0.2">
      <c r="A12369" s="82"/>
      <c r="B12369" s="82"/>
      <c r="C12369" s="82"/>
    </row>
    <row r="12370" spans="1:3" x14ac:dyDescent="0.2">
      <c r="A12370" s="82"/>
      <c r="B12370" s="82"/>
      <c r="C12370" s="82"/>
    </row>
    <row r="12371" spans="1:3" x14ac:dyDescent="0.2">
      <c r="A12371" s="82"/>
      <c r="B12371" s="82"/>
      <c r="C12371" s="82"/>
    </row>
    <row r="12372" spans="1:3" x14ac:dyDescent="0.2">
      <c r="A12372" s="82"/>
      <c r="B12372" s="82"/>
      <c r="C12372" s="82"/>
    </row>
    <row r="12373" spans="1:3" x14ac:dyDescent="0.2">
      <c r="A12373" s="82"/>
      <c r="B12373" s="82"/>
      <c r="C12373" s="82"/>
    </row>
    <row r="12374" spans="1:3" x14ac:dyDescent="0.2">
      <c r="A12374" s="82"/>
      <c r="B12374" s="82"/>
      <c r="C12374" s="82"/>
    </row>
    <row r="12375" spans="1:3" x14ac:dyDescent="0.2">
      <c r="A12375" s="82"/>
      <c r="B12375" s="82"/>
      <c r="C12375" s="82"/>
    </row>
    <row r="12376" spans="1:3" x14ac:dyDescent="0.2">
      <c r="A12376" s="82"/>
      <c r="B12376" s="82"/>
      <c r="C12376" s="82"/>
    </row>
    <row r="12377" spans="1:3" x14ac:dyDescent="0.2">
      <c r="A12377" s="82"/>
      <c r="B12377" s="82"/>
      <c r="C12377" s="82"/>
    </row>
    <row r="12378" spans="1:3" x14ac:dyDescent="0.2">
      <c r="A12378" s="82"/>
      <c r="B12378" s="82"/>
      <c r="C12378" s="82"/>
    </row>
    <row r="12379" spans="1:3" x14ac:dyDescent="0.2">
      <c r="A12379" s="82"/>
      <c r="B12379" s="82"/>
      <c r="C12379" s="82"/>
    </row>
    <row r="12380" spans="1:3" x14ac:dyDescent="0.2">
      <c r="A12380" s="82"/>
      <c r="B12380" s="82"/>
      <c r="C12380" s="82"/>
    </row>
    <row r="12381" spans="1:3" x14ac:dyDescent="0.2">
      <c r="A12381" s="82"/>
      <c r="B12381" s="82"/>
      <c r="C12381" s="82"/>
    </row>
    <row r="12382" spans="1:3" x14ac:dyDescent="0.2">
      <c r="A12382" s="82"/>
      <c r="B12382" s="82"/>
      <c r="C12382" s="82"/>
    </row>
    <row r="12383" spans="1:3" x14ac:dyDescent="0.2">
      <c r="A12383" s="82"/>
      <c r="B12383" s="82"/>
      <c r="C12383" s="82"/>
    </row>
    <row r="12384" spans="1:3" x14ac:dyDescent="0.2">
      <c r="A12384" s="82"/>
      <c r="B12384" s="82"/>
      <c r="C12384" s="82"/>
    </row>
    <row r="12385" spans="1:3" x14ac:dyDescent="0.2">
      <c r="A12385" s="82"/>
      <c r="B12385" s="82"/>
      <c r="C12385" s="82"/>
    </row>
    <row r="12386" spans="1:3" x14ac:dyDescent="0.2">
      <c r="A12386" s="82"/>
      <c r="B12386" s="82"/>
      <c r="C12386" s="82"/>
    </row>
    <row r="12387" spans="1:3" x14ac:dyDescent="0.2">
      <c r="A12387" s="82"/>
      <c r="B12387" s="82"/>
      <c r="C12387" s="82"/>
    </row>
    <row r="12388" spans="1:3" x14ac:dyDescent="0.2">
      <c r="A12388" s="82"/>
      <c r="B12388" s="82"/>
      <c r="C12388" s="82"/>
    </row>
    <row r="12389" spans="1:3" x14ac:dyDescent="0.2">
      <c r="A12389" s="82"/>
      <c r="B12389" s="82"/>
      <c r="C12389" s="82"/>
    </row>
    <row r="12390" spans="1:3" x14ac:dyDescent="0.2">
      <c r="A12390" s="82"/>
      <c r="B12390" s="82"/>
      <c r="C12390" s="82"/>
    </row>
    <row r="12391" spans="1:3" x14ac:dyDescent="0.2">
      <c r="A12391" s="82"/>
      <c r="B12391" s="82"/>
      <c r="C12391" s="82"/>
    </row>
    <row r="12392" spans="1:3" x14ac:dyDescent="0.2">
      <c r="A12392" s="82"/>
      <c r="B12392" s="82"/>
      <c r="C12392" s="82"/>
    </row>
    <row r="12393" spans="1:3" x14ac:dyDescent="0.2">
      <c r="A12393" s="82"/>
      <c r="B12393" s="82"/>
      <c r="C12393" s="82"/>
    </row>
    <row r="12394" spans="1:3" x14ac:dyDescent="0.2">
      <c r="A12394" s="82"/>
      <c r="B12394" s="82"/>
      <c r="C12394" s="82"/>
    </row>
    <row r="12395" spans="1:3" x14ac:dyDescent="0.2">
      <c r="A12395" s="82"/>
      <c r="B12395" s="82"/>
      <c r="C12395" s="82"/>
    </row>
    <row r="12396" spans="1:3" x14ac:dyDescent="0.2">
      <c r="A12396" s="82"/>
      <c r="B12396" s="82"/>
      <c r="C12396" s="82"/>
    </row>
    <row r="12397" spans="1:3" x14ac:dyDescent="0.2">
      <c r="A12397" s="82"/>
      <c r="B12397" s="82"/>
      <c r="C12397" s="82"/>
    </row>
    <row r="12398" spans="1:3" x14ac:dyDescent="0.2">
      <c r="A12398" s="82"/>
      <c r="B12398" s="82"/>
      <c r="C12398" s="82"/>
    </row>
    <row r="12399" spans="1:3" x14ac:dyDescent="0.2">
      <c r="A12399" s="82"/>
      <c r="B12399" s="82"/>
      <c r="C12399" s="82"/>
    </row>
    <row r="12400" spans="1:3" x14ac:dyDescent="0.2">
      <c r="A12400" s="82"/>
      <c r="B12400" s="82"/>
      <c r="C12400" s="82"/>
    </row>
    <row r="12401" spans="1:3" x14ac:dyDescent="0.2">
      <c r="A12401" s="82"/>
      <c r="B12401" s="82"/>
      <c r="C12401" s="82"/>
    </row>
    <row r="12402" spans="1:3" x14ac:dyDescent="0.2">
      <c r="A12402" s="82"/>
      <c r="B12402" s="82"/>
      <c r="C12402" s="82"/>
    </row>
    <row r="12403" spans="1:3" x14ac:dyDescent="0.2">
      <c r="A12403" s="82"/>
      <c r="B12403" s="82"/>
      <c r="C12403" s="82"/>
    </row>
    <row r="12404" spans="1:3" x14ac:dyDescent="0.2">
      <c r="A12404" s="82"/>
      <c r="B12404" s="82"/>
      <c r="C12404" s="82"/>
    </row>
    <row r="12405" spans="1:3" x14ac:dyDescent="0.2">
      <c r="A12405" s="82"/>
      <c r="B12405" s="82"/>
      <c r="C12405" s="82"/>
    </row>
    <row r="12406" spans="1:3" x14ac:dyDescent="0.2">
      <c r="A12406" s="82"/>
      <c r="B12406" s="82"/>
      <c r="C12406" s="82"/>
    </row>
    <row r="12407" spans="1:3" x14ac:dyDescent="0.2">
      <c r="A12407" s="82"/>
      <c r="B12407" s="82"/>
      <c r="C12407" s="82"/>
    </row>
    <row r="12408" spans="1:3" x14ac:dyDescent="0.2">
      <c r="A12408" s="82"/>
      <c r="B12408" s="82"/>
      <c r="C12408" s="82"/>
    </row>
    <row r="12409" spans="1:3" x14ac:dyDescent="0.2">
      <c r="A12409" s="82"/>
      <c r="B12409" s="82"/>
      <c r="C12409" s="82"/>
    </row>
    <row r="12410" spans="1:3" x14ac:dyDescent="0.2">
      <c r="A12410" s="82"/>
      <c r="B12410" s="82"/>
      <c r="C12410" s="82"/>
    </row>
    <row r="12411" spans="1:3" x14ac:dyDescent="0.2">
      <c r="A12411" s="82"/>
      <c r="B12411" s="82"/>
      <c r="C12411" s="82"/>
    </row>
    <row r="12412" spans="1:3" x14ac:dyDescent="0.2">
      <c r="A12412" s="82"/>
      <c r="B12412" s="82"/>
      <c r="C12412" s="82"/>
    </row>
    <row r="12413" spans="1:3" x14ac:dyDescent="0.2">
      <c r="A12413" s="82"/>
      <c r="B12413" s="82"/>
      <c r="C12413" s="82"/>
    </row>
    <row r="12414" spans="1:3" x14ac:dyDescent="0.2">
      <c r="A12414" s="82"/>
      <c r="B12414" s="82"/>
      <c r="C12414" s="82"/>
    </row>
    <row r="12415" spans="1:3" x14ac:dyDescent="0.2">
      <c r="A12415" s="82"/>
      <c r="B12415" s="82"/>
      <c r="C12415" s="82"/>
    </row>
    <row r="12416" spans="1:3" x14ac:dyDescent="0.2">
      <c r="A12416" s="82"/>
      <c r="B12416" s="82"/>
      <c r="C12416" s="82"/>
    </row>
    <row r="12417" spans="1:3" x14ac:dyDescent="0.2">
      <c r="A12417" s="82"/>
      <c r="B12417" s="82"/>
      <c r="C12417" s="82"/>
    </row>
    <row r="12418" spans="1:3" x14ac:dyDescent="0.2">
      <c r="A12418" s="82"/>
      <c r="B12418" s="82"/>
      <c r="C12418" s="82"/>
    </row>
    <row r="12419" spans="1:3" x14ac:dyDescent="0.2">
      <c r="A12419" s="82"/>
      <c r="B12419" s="82"/>
      <c r="C12419" s="82"/>
    </row>
    <row r="12420" spans="1:3" x14ac:dyDescent="0.2">
      <c r="A12420" s="82"/>
      <c r="B12420" s="82"/>
      <c r="C12420" s="82"/>
    </row>
    <row r="12421" spans="1:3" x14ac:dyDescent="0.2">
      <c r="A12421" s="82"/>
      <c r="B12421" s="82"/>
      <c r="C12421" s="82"/>
    </row>
    <row r="12422" spans="1:3" x14ac:dyDescent="0.2">
      <c r="A12422" s="82"/>
      <c r="B12422" s="82"/>
      <c r="C12422" s="82"/>
    </row>
    <row r="12423" spans="1:3" x14ac:dyDescent="0.2">
      <c r="A12423" s="82"/>
      <c r="B12423" s="82"/>
      <c r="C12423" s="82"/>
    </row>
    <row r="12424" spans="1:3" x14ac:dyDescent="0.2">
      <c r="A12424" s="82"/>
      <c r="B12424" s="82"/>
      <c r="C12424" s="82"/>
    </row>
    <row r="12425" spans="1:3" x14ac:dyDescent="0.2">
      <c r="A12425" s="82"/>
      <c r="B12425" s="82"/>
      <c r="C12425" s="82"/>
    </row>
    <row r="12426" spans="1:3" x14ac:dyDescent="0.2">
      <c r="A12426" s="82"/>
      <c r="B12426" s="82"/>
      <c r="C12426" s="82"/>
    </row>
    <row r="12427" spans="1:3" x14ac:dyDescent="0.2">
      <c r="A12427" s="82"/>
      <c r="B12427" s="82"/>
      <c r="C12427" s="82"/>
    </row>
    <row r="12428" spans="1:3" x14ac:dyDescent="0.2">
      <c r="A12428" s="82"/>
      <c r="B12428" s="82"/>
      <c r="C12428" s="82"/>
    </row>
    <row r="12429" spans="1:3" x14ac:dyDescent="0.2">
      <c r="A12429" s="82"/>
      <c r="B12429" s="82"/>
      <c r="C12429" s="82"/>
    </row>
    <row r="12430" spans="1:3" x14ac:dyDescent="0.2">
      <c r="A12430" s="82"/>
      <c r="B12430" s="82"/>
      <c r="C12430" s="82"/>
    </row>
    <row r="12431" spans="1:3" x14ac:dyDescent="0.2">
      <c r="A12431" s="82"/>
      <c r="B12431" s="82"/>
      <c r="C12431" s="82"/>
    </row>
    <row r="12432" spans="1:3" x14ac:dyDescent="0.2">
      <c r="A12432" s="82"/>
      <c r="B12432" s="82"/>
      <c r="C12432" s="82"/>
    </row>
    <row r="12433" spans="1:3" x14ac:dyDescent="0.2">
      <c r="A12433" s="82"/>
      <c r="B12433" s="82"/>
      <c r="C12433" s="82"/>
    </row>
    <row r="12434" spans="1:3" x14ac:dyDescent="0.2">
      <c r="A12434" s="82"/>
      <c r="B12434" s="82"/>
      <c r="C12434" s="82"/>
    </row>
    <row r="12435" spans="1:3" x14ac:dyDescent="0.2">
      <c r="A12435" s="82"/>
      <c r="B12435" s="82"/>
      <c r="C12435" s="82"/>
    </row>
    <row r="12436" spans="1:3" x14ac:dyDescent="0.2">
      <c r="A12436" s="82"/>
      <c r="B12436" s="82"/>
      <c r="C12436" s="82"/>
    </row>
    <row r="12437" spans="1:3" x14ac:dyDescent="0.2">
      <c r="A12437" s="82"/>
      <c r="B12437" s="82"/>
      <c r="C12437" s="82"/>
    </row>
    <row r="12438" spans="1:3" x14ac:dyDescent="0.2">
      <c r="A12438" s="82"/>
      <c r="B12438" s="82"/>
      <c r="C12438" s="82"/>
    </row>
    <row r="12439" spans="1:3" x14ac:dyDescent="0.2">
      <c r="A12439" s="82"/>
      <c r="B12439" s="82"/>
      <c r="C12439" s="82"/>
    </row>
    <row r="12440" spans="1:3" x14ac:dyDescent="0.2">
      <c r="A12440" s="82"/>
      <c r="B12440" s="82"/>
      <c r="C12440" s="82"/>
    </row>
    <row r="12441" spans="1:3" x14ac:dyDescent="0.2">
      <c r="A12441" s="82"/>
      <c r="B12441" s="82"/>
      <c r="C12441" s="82"/>
    </row>
    <row r="12442" spans="1:3" x14ac:dyDescent="0.2">
      <c r="A12442" s="82"/>
      <c r="B12442" s="82"/>
      <c r="C12442" s="82"/>
    </row>
    <row r="12443" spans="1:3" x14ac:dyDescent="0.2">
      <c r="A12443" s="82"/>
      <c r="B12443" s="82"/>
      <c r="C12443" s="82"/>
    </row>
    <row r="12444" spans="1:3" x14ac:dyDescent="0.2">
      <c r="A12444" s="82"/>
      <c r="B12444" s="82"/>
      <c r="C12444" s="82"/>
    </row>
    <row r="12445" spans="1:3" x14ac:dyDescent="0.2">
      <c r="A12445" s="82"/>
      <c r="B12445" s="82"/>
      <c r="C12445" s="82"/>
    </row>
    <row r="12446" spans="1:3" x14ac:dyDescent="0.2">
      <c r="A12446" s="82"/>
      <c r="B12446" s="82"/>
      <c r="C12446" s="82"/>
    </row>
    <row r="12447" spans="1:3" x14ac:dyDescent="0.2">
      <c r="A12447" s="82"/>
      <c r="B12447" s="82"/>
      <c r="C12447" s="82"/>
    </row>
    <row r="12448" spans="1:3" x14ac:dyDescent="0.2">
      <c r="A12448" s="82"/>
      <c r="B12448" s="82"/>
      <c r="C12448" s="82"/>
    </row>
    <row r="12449" spans="1:3" x14ac:dyDescent="0.2">
      <c r="A12449" s="82"/>
      <c r="B12449" s="82"/>
      <c r="C12449" s="82"/>
    </row>
    <row r="12450" spans="1:3" x14ac:dyDescent="0.2">
      <c r="A12450" s="82"/>
      <c r="B12450" s="82"/>
      <c r="C12450" s="82"/>
    </row>
    <row r="12451" spans="1:3" x14ac:dyDescent="0.2">
      <c r="A12451" s="82"/>
      <c r="B12451" s="82"/>
      <c r="C12451" s="82"/>
    </row>
    <row r="12452" spans="1:3" x14ac:dyDescent="0.2">
      <c r="A12452" s="82"/>
      <c r="B12452" s="82"/>
      <c r="C12452" s="82"/>
    </row>
    <row r="12453" spans="1:3" x14ac:dyDescent="0.2">
      <c r="A12453" s="82"/>
      <c r="B12453" s="82"/>
      <c r="C12453" s="82"/>
    </row>
    <row r="12454" spans="1:3" x14ac:dyDescent="0.2">
      <c r="A12454" s="82"/>
      <c r="B12454" s="82"/>
      <c r="C12454" s="82"/>
    </row>
    <row r="12455" spans="1:3" x14ac:dyDescent="0.2">
      <c r="A12455" s="82"/>
      <c r="B12455" s="82"/>
      <c r="C12455" s="82"/>
    </row>
    <row r="12456" spans="1:3" x14ac:dyDescent="0.2">
      <c r="A12456" s="82"/>
      <c r="B12456" s="82"/>
      <c r="C12456" s="82"/>
    </row>
    <row r="12457" spans="1:3" x14ac:dyDescent="0.2">
      <c r="A12457" s="82"/>
      <c r="B12457" s="82"/>
      <c r="C12457" s="82"/>
    </row>
    <row r="12458" spans="1:3" x14ac:dyDescent="0.2">
      <c r="A12458" s="82"/>
      <c r="B12458" s="82"/>
      <c r="C12458" s="82"/>
    </row>
    <row r="12459" spans="1:3" x14ac:dyDescent="0.2">
      <c r="A12459" s="82"/>
      <c r="B12459" s="82"/>
      <c r="C12459" s="82"/>
    </row>
    <row r="12460" spans="1:3" x14ac:dyDescent="0.2">
      <c r="A12460" s="82"/>
      <c r="B12460" s="82"/>
      <c r="C12460" s="82"/>
    </row>
    <row r="12461" spans="1:3" x14ac:dyDescent="0.2">
      <c r="A12461" s="82"/>
      <c r="B12461" s="82"/>
      <c r="C12461" s="82"/>
    </row>
    <row r="12462" spans="1:3" x14ac:dyDescent="0.2">
      <c r="A12462" s="82"/>
      <c r="B12462" s="82"/>
      <c r="C12462" s="82"/>
    </row>
    <row r="12463" spans="1:3" x14ac:dyDescent="0.2">
      <c r="A12463" s="82"/>
      <c r="B12463" s="82"/>
      <c r="C12463" s="82"/>
    </row>
    <row r="12464" spans="1:3" x14ac:dyDescent="0.2">
      <c r="A12464" s="82"/>
      <c r="B12464" s="82"/>
      <c r="C12464" s="82"/>
    </row>
    <row r="12465" spans="1:3" x14ac:dyDescent="0.2">
      <c r="A12465" s="82"/>
      <c r="B12465" s="82"/>
      <c r="C12465" s="82"/>
    </row>
    <row r="12466" spans="1:3" x14ac:dyDescent="0.2">
      <c r="A12466" s="82"/>
      <c r="B12466" s="82"/>
      <c r="C12466" s="82"/>
    </row>
    <row r="12467" spans="1:3" x14ac:dyDescent="0.2">
      <c r="A12467" s="82"/>
      <c r="B12467" s="82"/>
      <c r="C12467" s="82"/>
    </row>
    <row r="12468" spans="1:3" x14ac:dyDescent="0.2">
      <c r="A12468" s="82"/>
      <c r="B12468" s="82"/>
      <c r="C12468" s="82"/>
    </row>
    <row r="12469" spans="1:3" x14ac:dyDescent="0.2">
      <c r="A12469" s="82"/>
      <c r="B12469" s="82"/>
      <c r="C12469" s="82"/>
    </row>
    <row r="12470" spans="1:3" x14ac:dyDescent="0.2">
      <c r="A12470" s="82"/>
      <c r="B12470" s="82"/>
      <c r="C12470" s="82"/>
    </row>
    <row r="12471" spans="1:3" x14ac:dyDescent="0.2">
      <c r="A12471" s="82"/>
      <c r="B12471" s="82"/>
      <c r="C12471" s="82"/>
    </row>
    <row r="12472" spans="1:3" x14ac:dyDescent="0.2">
      <c r="A12472" s="82"/>
      <c r="B12472" s="82"/>
      <c r="C12472" s="82"/>
    </row>
    <row r="12473" spans="1:3" x14ac:dyDescent="0.2">
      <c r="A12473" s="82"/>
      <c r="B12473" s="82"/>
      <c r="C12473" s="82"/>
    </row>
    <row r="12474" spans="1:3" x14ac:dyDescent="0.2">
      <c r="A12474" s="82"/>
      <c r="B12474" s="82"/>
      <c r="C12474" s="82"/>
    </row>
    <row r="12475" spans="1:3" x14ac:dyDescent="0.2">
      <c r="A12475" s="82"/>
      <c r="B12475" s="82"/>
      <c r="C12475" s="82"/>
    </row>
    <row r="12476" spans="1:3" x14ac:dyDescent="0.2">
      <c r="A12476" s="82"/>
      <c r="B12476" s="82"/>
      <c r="C12476" s="82"/>
    </row>
    <row r="12477" spans="1:3" x14ac:dyDescent="0.2">
      <c r="A12477" s="82"/>
      <c r="B12477" s="82"/>
      <c r="C12477" s="82"/>
    </row>
    <row r="12478" spans="1:3" x14ac:dyDescent="0.2">
      <c r="A12478" s="82"/>
      <c r="B12478" s="82"/>
      <c r="C12478" s="82"/>
    </row>
    <row r="12479" spans="1:3" x14ac:dyDescent="0.2">
      <c r="A12479" s="82"/>
      <c r="B12479" s="82"/>
      <c r="C12479" s="82"/>
    </row>
    <row r="12480" spans="1:3" x14ac:dyDescent="0.2">
      <c r="A12480" s="82"/>
      <c r="B12480" s="82"/>
      <c r="C12480" s="82"/>
    </row>
    <row r="12481" spans="1:3" x14ac:dyDescent="0.2">
      <c r="A12481" s="82"/>
      <c r="B12481" s="82"/>
      <c r="C12481" s="82"/>
    </row>
    <row r="12482" spans="1:3" x14ac:dyDescent="0.2">
      <c r="A12482" s="82"/>
      <c r="B12482" s="82"/>
      <c r="C12482" s="82"/>
    </row>
    <row r="12483" spans="1:3" x14ac:dyDescent="0.2">
      <c r="A12483" s="82"/>
      <c r="B12483" s="82"/>
      <c r="C12483" s="82"/>
    </row>
    <row r="12484" spans="1:3" x14ac:dyDescent="0.2">
      <c r="A12484" s="82"/>
      <c r="B12484" s="82"/>
      <c r="C12484" s="82"/>
    </row>
    <row r="12485" spans="1:3" x14ac:dyDescent="0.2">
      <c r="A12485" s="82"/>
      <c r="B12485" s="82"/>
      <c r="C12485" s="82"/>
    </row>
    <row r="12486" spans="1:3" x14ac:dyDescent="0.2">
      <c r="A12486" s="82"/>
      <c r="B12486" s="82"/>
      <c r="C12486" s="82"/>
    </row>
    <row r="12487" spans="1:3" x14ac:dyDescent="0.2">
      <c r="A12487" s="82"/>
      <c r="B12487" s="82"/>
      <c r="C12487" s="82"/>
    </row>
    <row r="12488" spans="1:3" x14ac:dyDescent="0.2">
      <c r="A12488" s="82"/>
      <c r="B12488" s="82"/>
      <c r="C12488" s="82"/>
    </row>
    <row r="12489" spans="1:3" x14ac:dyDescent="0.2">
      <c r="A12489" s="82"/>
      <c r="B12489" s="82"/>
      <c r="C12489" s="82"/>
    </row>
    <row r="12490" spans="1:3" x14ac:dyDescent="0.2">
      <c r="A12490" s="82"/>
      <c r="B12490" s="82"/>
      <c r="C12490" s="82"/>
    </row>
    <row r="12491" spans="1:3" x14ac:dyDescent="0.2">
      <c r="A12491" s="82"/>
      <c r="B12491" s="82"/>
      <c r="C12491" s="82"/>
    </row>
    <row r="12492" spans="1:3" x14ac:dyDescent="0.2">
      <c r="A12492" s="82"/>
      <c r="B12492" s="82"/>
      <c r="C12492" s="82"/>
    </row>
    <row r="12493" spans="1:3" x14ac:dyDescent="0.2">
      <c r="A12493" s="82"/>
      <c r="B12493" s="82"/>
      <c r="C12493" s="82"/>
    </row>
    <row r="12494" spans="1:3" x14ac:dyDescent="0.2">
      <c r="A12494" s="82"/>
      <c r="B12494" s="82"/>
      <c r="C12494" s="82"/>
    </row>
    <row r="12495" spans="1:3" x14ac:dyDescent="0.2">
      <c r="A12495" s="82"/>
      <c r="B12495" s="82"/>
      <c r="C12495" s="82"/>
    </row>
    <row r="12496" spans="1:3" x14ac:dyDescent="0.2">
      <c r="A12496" s="82"/>
      <c r="B12496" s="82"/>
      <c r="C12496" s="82"/>
    </row>
    <row r="12497" spans="1:3" x14ac:dyDescent="0.2">
      <c r="A12497" s="82"/>
      <c r="B12497" s="82"/>
      <c r="C12497" s="82"/>
    </row>
    <row r="12498" spans="1:3" x14ac:dyDescent="0.2">
      <c r="A12498" s="82"/>
      <c r="B12498" s="82"/>
      <c r="C12498" s="82"/>
    </row>
    <row r="12499" spans="1:3" x14ac:dyDescent="0.2">
      <c r="A12499" s="82"/>
      <c r="B12499" s="82"/>
      <c r="C12499" s="82"/>
    </row>
    <row r="12500" spans="1:3" x14ac:dyDescent="0.2">
      <c r="A12500" s="82"/>
      <c r="B12500" s="82"/>
      <c r="C12500" s="82"/>
    </row>
    <row r="12501" spans="1:3" x14ac:dyDescent="0.2">
      <c r="A12501" s="82"/>
      <c r="B12501" s="82"/>
      <c r="C12501" s="82"/>
    </row>
    <row r="12502" spans="1:3" x14ac:dyDescent="0.2">
      <c r="A12502" s="82"/>
      <c r="B12502" s="82"/>
      <c r="C12502" s="82"/>
    </row>
    <row r="12503" spans="1:3" x14ac:dyDescent="0.2">
      <c r="A12503" s="82"/>
      <c r="B12503" s="82"/>
      <c r="C12503" s="82"/>
    </row>
    <row r="12504" spans="1:3" x14ac:dyDescent="0.2">
      <c r="A12504" s="82"/>
      <c r="B12504" s="82"/>
      <c r="C12504" s="82"/>
    </row>
    <row r="12505" spans="1:3" x14ac:dyDescent="0.2">
      <c r="A12505" s="82"/>
      <c r="B12505" s="82"/>
      <c r="C12505" s="82"/>
    </row>
    <row r="12506" spans="1:3" x14ac:dyDescent="0.2">
      <c r="A12506" s="82"/>
      <c r="B12506" s="82"/>
      <c r="C12506" s="82"/>
    </row>
    <row r="12507" spans="1:3" x14ac:dyDescent="0.2">
      <c r="A12507" s="82"/>
      <c r="B12507" s="82"/>
      <c r="C12507" s="82"/>
    </row>
    <row r="12508" spans="1:3" x14ac:dyDescent="0.2">
      <c r="A12508" s="82"/>
      <c r="B12508" s="82"/>
      <c r="C12508" s="82"/>
    </row>
    <row r="12509" spans="1:3" x14ac:dyDescent="0.2">
      <c r="A12509" s="82"/>
      <c r="B12509" s="82"/>
      <c r="C12509" s="82"/>
    </row>
    <row r="12510" spans="1:3" x14ac:dyDescent="0.2">
      <c r="A12510" s="82"/>
      <c r="B12510" s="82"/>
      <c r="C12510" s="82"/>
    </row>
    <row r="12511" spans="1:3" x14ac:dyDescent="0.2">
      <c r="A12511" s="82"/>
      <c r="B12511" s="82"/>
      <c r="C12511" s="82"/>
    </row>
    <row r="12512" spans="1:3" x14ac:dyDescent="0.2">
      <c r="A12512" s="82"/>
      <c r="B12512" s="82"/>
      <c r="C12512" s="82"/>
    </row>
    <row r="12513" spans="1:3" x14ac:dyDescent="0.2">
      <c r="A12513" s="82"/>
      <c r="B12513" s="82"/>
      <c r="C12513" s="82"/>
    </row>
    <row r="12514" spans="1:3" x14ac:dyDescent="0.2">
      <c r="A12514" s="82"/>
      <c r="B12514" s="82"/>
      <c r="C12514" s="82"/>
    </row>
    <row r="12515" spans="1:3" x14ac:dyDescent="0.2">
      <c r="A12515" s="82"/>
      <c r="B12515" s="82"/>
      <c r="C12515" s="82"/>
    </row>
    <row r="12516" spans="1:3" x14ac:dyDescent="0.2">
      <c r="A12516" s="82"/>
      <c r="B12516" s="82"/>
      <c r="C12516" s="82"/>
    </row>
    <row r="12517" spans="1:3" x14ac:dyDescent="0.2">
      <c r="A12517" s="82"/>
      <c r="B12517" s="82"/>
      <c r="C12517" s="82"/>
    </row>
    <row r="12518" spans="1:3" x14ac:dyDescent="0.2">
      <c r="A12518" s="82"/>
      <c r="B12518" s="82"/>
      <c r="C12518" s="82"/>
    </row>
    <row r="12519" spans="1:3" x14ac:dyDescent="0.2">
      <c r="A12519" s="82"/>
      <c r="B12519" s="82"/>
      <c r="C12519" s="82"/>
    </row>
    <row r="12520" spans="1:3" x14ac:dyDescent="0.2">
      <c r="A12520" s="82"/>
      <c r="B12520" s="82"/>
      <c r="C12520" s="82"/>
    </row>
    <row r="12521" spans="1:3" x14ac:dyDescent="0.2">
      <c r="A12521" s="82"/>
      <c r="B12521" s="82"/>
      <c r="C12521" s="82"/>
    </row>
    <row r="12522" spans="1:3" x14ac:dyDescent="0.2">
      <c r="A12522" s="82"/>
      <c r="B12522" s="82"/>
      <c r="C12522" s="82"/>
    </row>
    <row r="12523" spans="1:3" x14ac:dyDescent="0.2">
      <c r="A12523" s="82"/>
      <c r="B12523" s="82"/>
      <c r="C12523" s="82"/>
    </row>
    <row r="12524" spans="1:3" x14ac:dyDescent="0.2">
      <c r="A12524" s="82"/>
      <c r="B12524" s="82"/>
      <c r="C12524" s="82"/>
    </row>
    <row r="12525" spans="1:3" x14ac:dyDescent="0.2">
      <c r="A12525" s="82"/>
      <c r="B12525" s="82"/>
      <c r="C12525" s="82"/>
    </row>
    <row r="12526" spans="1:3" x14ac:dyDescent="0.2">
      <c r="A12526" s="82"/>
      <c r="B12526" s="82"/>
      <c r="C12526" s="82"/>
    </row>
    <row r="12527" spans="1:3" x14ac:dyDescent="0.2">
      <c r="A12527" s="82"/>
      <c r="B12527" s="82"/>
      <c r="C12527" s="82"/>
    </row>
    <row r="12528" spans="1:3" x14ac:dyDescent="0.2">
      <c r="A12528" s="82"/>
      <c r="B12528" s="82"/>
      <c r="C12528" s="82"/>
    </row>
    <row r="12529" spans="1:3" x14ac:dyDescent="0.2">
      <c r="A12529" s="82"/>
      <c r="B12529" s="82"/>
      <c r="C12529" s="82"/>
    </row>
    <row r="12530" spans="1:3" x14ac:dyDescent="0.2">
      <c r="A12530" s="82"/>
      <c r="B12530" s="82"/>
      <c r="C12530" s="82"/>
    </row>
    <row r="12531" spans="1:3" x14ac:dyDescent="0.2">
      <c r="A12531" s="82"/>
      <c r="B12531" s="82"/>
      <c r="C12531" s="82"/>
    </row>
    <row r="12532" spans="1:3" x14ac:dyDescent="0.2">
      <c r="A12532" s="82"/>
      <c r="B12532" s="82"/>
      <c r="C12532" s="82"/>
    </row>
    <row r="12533" spans="1:3" x14ac:dyDescent="0.2">
      <c r="A12533" s="82"/>
      <c r="B12533" s="82"/>
      <c r="C12533" s="82"/>
    </row>
    <row r="12534" spans="1:3" x14ac:dyDescent="0.2">
      <c r="A12534" s="82"/>
      <c r="B12534" s="82"/>
      <c r="C12534" s="82"/>
    </row>
    <row r="12535" spans="1:3" x14ac:dyDescent="0.2">
      <c r="A12535" s="82"/>
      <c r="B12535" s="82"/>
      <c r="C12535" s="82"/>
    </row>
    <row r="12536" spans="1:3" x14ac:dyDescent="0.2">
      <c r="A12536" s="82"/>
      <c r="B12536" s="82"/>
      <c r="C12536" s="82"/>
    </row>
    <row r="12537" spans="1:3" x14ac:dyDescent="0.2">
      <c r="A12537" s="82"/>
      <c r="B12537" s="82"/>
      <c r="C12537" s="82"/>
    </row>
    <row r="12538" spans="1:3" x14ac:dyDescent="0.2">
      <c r="A12538" s="82"/>
      <c r="B12538" s="82"/>
      <c r="C12538" s="82"/>
    </row>
    <row r="12539" spans="1:3" x14ac:dyDescent="0.2">
      <c r="A12539" s="82"/>
      <c r="B12539" s="82"/>
      <c r="C12539" s="82"/>
    </row>
    <row r="12540" spans="1:3" x14ac:dyDescent="0.2">
      <c r="A12540" s="82"/>
      <c r="B12540" s="82"/>
      <c r="C12540" s="82"/>
    </row>
    <row r="12541" spans="1:3" x14ac:dyDescent="0.2">
      <c r="A12541" s="82"/>
      <c r="B12541" s="82"/>
      <c r="C12541" s="82"/>
    </row>
    <row r="12542" spans="1:3" x14ac:dyDescent="0.2">
      <c r="A12542" s="82"/>
      <c r="B12542" s="82"/>
      <c r="C12542" s="82"/>
    </row>
    <row r="12543" spans="1:3" x14ac:dyDescent="0.2">
      <c r="A12543" s="82"/>
      <c r="B12543" s="82"/>
      <c r="C12543" s="82"/>
    </row>
    <row r="12544" spans="1:3" x14ac:dyDescent="0.2">
      <c r="A12544" s="82"/>
      <c r="B12544" s="82"/>
      <c r="C12544" s="82"/>
    </row>
    <row r="12545" spans="1:3" x14ac:dyDescent="0.2">
      <c r="A12545" s="82"/>
      <c r="B12545" s="82"/>
      <c r="C12545" s="82"/>
    </row>
    <row r="12546" spans="1:3" x14ac:dyDescent="0.2">
      <c r="A12546" s="82"/>
      <c r="B12546" s="82"/>
      <c r="C12546" s="82"/>
    </row>
    <row r="12547" spans="1:3" x14ac:dyDescent="0.2">
      <c r="A12547" s="82"/>
      <c r="B12547" s="82"/>
      <c r="C12547" s="82"/>
    </row>
    <row r="12548" spans="1:3" x14ac:dyDescent="0.2">
      <c r="A12548" s="82"/>
      <c r="B12548" s="82"/>
      <c r="C12548" s="82"/>
    </row>
    <row r="12549" spans="1:3" x14ac:dyDescent="0.2">
      <c r="A12549" s="82"/>
      <c r="B12549" s="82"/>
      <c r="C12549" s="82"/>
    </row>
    <row r="12550" spans="1:3" x14ac:dyDescent="0.2">
      <c r="A12550" s="82"/>
      <c r="B12550" s="82"/>
      <c r="C12550" s="82"/>
    </row>
    <row r="12551" spans="1:3" x14ac:dyDescent="0.2">
      <c r="A12551" s="82"/>
      <c r="B12551" s="82"/>
      <c r="C12551" s="82"/>
    </row>
    <row r="12552" spans="1:3" x14ac:dyDescent="0.2">
      <c r="A12552" s="82"/>
      <c r="B12552" s="82"/>
      <c r="C12552" s="82"/>
    </row>
    <row r="12553" spans="1:3" x14ac:dyDescent="0.2">
      <c r="A12553" s="82"/>
      <c r="B12553" s="82"/>
      <c r="C12553" s="82"/>
    </row>
    <row r="12554" spans="1:3" x14ac:dyDescent="0.2">
      <c r="A12554" s="82"/>
      <c r="B12554" s="82"/>
      <c r="C12554" s="82"/>
    </row>
    <row r="12555" spans="1:3" x14ac:dyDescent="0.2">
      <c r="A12555" s="82"/>
      <c r="B12555" s="82"/>
      <c r="C12555" s="82"/>
    </row>
    <row r="12556" spans="1:3" x14ac:dyDescent="0.2">
      <c r="A12556" s="82"/>
      <c r="B12556" s="82"/>
      <c r="C12556" s="82"/>
    </row>
    <row r="12557" spans="1:3" x14ac:dyDescent="0.2">
      <c r="A12557" s="82"/>
      <c r="B12557" s="82"/>
      <c r="C12557" s="82"/>
    </row>
    <row r="12558" spans="1:3" x14ac:dyDescent="0.2">
      <c r="A12558" s="82"/>
      <c r="B12558" s="82"/>
      <c r="C12558" s="82"/>
    </row>
    <row r="12559" spans="1:3" x14ac:dyDescent="0.2">
      <c r="A12559" s="82"/>
      <c r="B12559" s="82"/>
      <c r="C12559" s="82"/>
    </row>
    <row r="12560" spans="1:3" x14ac:dyDescent="0.2">
      <c r="A12560" s="82"/>
      <c r="B12560" s="82"/>
      <c r="C12560" s="82"/>
    </row>
    <row r="12561" spans="1:3" x14ac:dyDescent="0.2">
      <c r="A12561" s="82"/>
      <c r="B12561" s="82"/>
      <c r="C12561" s="82"/>
    </row>
    <row r="12562" spans="1:3" x14ac:dyDescent="0.2">
      <c r="A12562" s="82"/>
      <c r="B12562" s="82"/>
      <c r="C12562" s="82"/>
    </row>
    <row r="12563" spans="1:3" x14ac:dyDescent="0.2">
      <c r="A12563" s="82"/>
      <c r="B12563" s="82"/>
      <c r="C12563" s="82"/>
    </row>
    <row r="12564" spans="1:3" x14ac:dyDescent="0.2">
      <c r="A12564" s="82"/>
      <c r="B12564" s="82"/>
      <c r="C12564" s="82"/>
    </row>
    <row r="12565" spans="1:3" x14ac:dyDescent="0.2">
      <c r="A12565" s="82"/>
      <c r="B12565" s="82"/>
      <c r="C12565" s="82"/>
    </row>
    <row r="12566" spans="1:3" x14ac:dyDescent="0.2">
      <c r="A12566" s="82"/>
      <c r="B12566" s="82"/>
      <c r="C12566" s="82"/>
    </row>
    <row r="12567" spans="1:3" x14ac:dyDescent="0.2">
      <c r="A12567" s="82"/>
      <c r="B12567" s="82"/>
      <c r="C12567" s="82"/>
    </row>
    <row r="12568" spans="1:3" x14ac:dyDescent="0.2">
      <c r="A12568" s="82"/>
      <c r="B12568" s="82"/>
      <c r="C12568" s="82"/>
    </row>
    <row r="12569" spans="1:3" x14ac:dyDescent="0.2">
      <c r="A12569" s="82"/>
      <c r="B12569" s="82"/>
      <c r="C12569" s="82"/>
    </row>
    <row r="12570" spans="1:3" x14ac:dyDescent="0.2">
      <c r="A12570" s="82"/>
      <c r="B12570" s="82"/>
      <c r="C12570" s="82"/>
    </row>
    <row r="12571" spans="1:3" x14ac:dyDescent="0.2">
      <c r="A12571" s="82"/>
      <c r="B12571" s="82"/>
      <c r="C12571" s="82"/>
    </row>
    <row r="12572" spans="1:3" x14ac:dyDescent="0.2">
      <c r="A12572" s="82"/>
      <c r="B12572" s="82"/>
      <c r="C12572" s="82"/>
    </row>
    <row r="12573" spans="1:3" x14ac:dyDescent="0.2">
      <c r="A12573" s="82"/>
      <c r="B12573" s="82"/>
      <c r="C12573" s="82"/>
    </row>
    <row r="12574" spans="1:3" x14ac:dyDescent="0.2">
      <c r="A12574" s="82"/>
      <c r="B12574" s="82"/>
      <c r="C12574" s="82"/>
    </row>
    <row r="12575" spans="1:3" x14ac:dyDescent="0.2">
      <c r="A12575" s="82"/>
      <c r="B12575" s="82"/>
      <c r="C12575" s="82"/>
    </row>
    <row r="12576" spans="1:3" x14ac:dyDescent="0.2">
      <c r="A12576" s="82"/>
      <c r="B12576" s="82"/>
      <c r="C12576" s="82"/>
    </row>
    <row r="12577" spans="1:3" x14ac:dyDescent="0.2">
      <c r="A12577" s="82"/>
      <c r="B12577" s="82"/>
      <c r="C12577" s="82"/>
    </row>
    <row r="12578" spans="1:3" x14ac:dyDescent="0.2">
      <c r="A12578" s="82"/>
      <c r="B12578" s="82"/>
      <c r="C12578" s="82"/>
    </row>
    <row r="12579" spans="1:3" x14ac:dyDescent="0.2">
      <c r="A12579" s="82"/>
      <c r="B12579" s="82"/>
      <c r="C12579" s="82"/>
    </row>
    <row r="12580" spans="1:3" x14ac:dyDescent="0.2">
      <c r="A12580" s="82"/>
      <c r="B12580" s="82"/>
      <c r="C12580" s="82"/>
    </row>
    <row r="12581" spans="1:3" x14ac:dyDescent="0.2">
      <c r="A12581" s="82"/>
      <c r="B12581" s="82"/>
      <c r="C12581" s="82"/>
    </row>
    <row r="12582" spans="1:3" x14ac:dyDescent="0.2">
      <c r="A12582" s="82"/>
      <c r="B12582" s="82"/>
      <c r="C12582" s="82"/>
    </row>
    <row r="12583" spans="1:3" x14ac:dyDescent="0.2">
      <c r="A12583" s="82"/>
      <c r="B12583" s="82"/>
      <c r="C12583" s="82"/>
    </row>
    <row r="12584" spans="1:3" x14ac:dyDescent="0.2">
      <c r="A12584" s="82"/>
      <c r="B12584" s="82"/>
      <c r="C12584" s="82"/>
    </row>
    <row r="12585" spans="1:3" x14ac:dyDescent="0.2">
      <c r="A12585" s="82"/>
      <c r="B12585" s="82"/>
      <c r="C12585" s="82"/>
    </row>
    <row r="12586" spans="1:3" x14ac:dyDescent="0.2">
      <c r="A12586" s="82"/>
      <c r="B12586" s="82"/>
      <c r="C12586" s="82"/>
    </row>
    <row r="12587" spans="1:3" x14ac:dyDescent="0.2">
      <c r="A12587" s="82"/>
      <c r="B12587" s="82"/>
      <c r="C12587" s="82"/>
    </row>
    <row r="12588" spans="1:3" x14ac:dyDescent="0.2">
      <c r="A12588" s="82"/>
      <c r="B12588" s="82"/>
      <c r="C12588" s="82"/>
    </row>
    <row r="12589" spans="1:3" x14ac:dyDescent="0.2">
      <c r="A12589" s="82"/>
      <c r="B12589" s="82"/>
      <c r="C12589" s="82"/>
    </row>
    <row r="12590" spans="1:3" x14ac:dyDescent="0.2">
      <c r="A12590" s="82"/>
      <c r="B12590" s="82"/>
      <c r="C12590" s="82"/>
    </row>
    <row r="12591" spans="1:3" x14ac:dyDescent="0.2">
      <c r="A12591" s="82"/>
      <c r="B12591" s="82"/>
      <c r="C12591" s="82"/>
    </row>
    <row r="12592" spans="1:3" x14ac:dyDescent="0.2">
      <c r="A12592" s="82"/>
      <c r="B12592" s="82"/>
      <c r="C12592" s="82"/>
    </row>
    <row r="12593" spans="1:3" x14ac:dyDescent="0.2">
      <c r="A12593" s="82"/>
      <c r="B12593" s="82"/>
      <c r="C12593" s="82"/>
    </row>
    <row r="12594" spans="1:3" x14ac:dyDescent="0.2">
      <c r="A12594" s="82"/>
      <c r="B12594" s="82"/>
      <c r="C12594" s="82"/>
    </row>
    <row r="12595" spans="1:3" x14ac:dyDescent="0.2">
      <c r="A12595" s="82"/>
      <c r="B12595" s="82"/>
      <c r="C12595" s="82"/>
    </row>
    <row r="12596" spans="1:3" x14ac:dyDescent="0.2">
      <c r="A12596" s="82"/>
      <c r="B12596" s="82"/>
      <c r="C12596" s="82"/>
    </row>
    <row r="12597" spans="1:3" x14ac:dyDescent="0.2">
      <c r="A12597" s="82"/>
      <c r="B12597" s="82"/>
      <c r="C12597" s="82"/>
    </row>
    <row r="12598" spans="1:3" x14ac:dyDescent="0.2">
      <c r="A12598" s="82"/>
      <c r="B12598" s="82"/>
      <c r="C12598" s="82"/>
    </row>
    <row r="12599" spans="1:3" x14ac:dyDescent="0.2">
      <c r="A12599" s="82"/>
      <c r="B12599" s="82"/>
      <c r="C12599" s="82"/>
    </row>
    <row r="12600" spans="1:3" x14ac:dyDescent="0.2">
      <c r="A12600" s="82"/>
      <c r="B12600" s="82"/>
      <c r="C12600" s="82"/>
    </row>
    <row r="12601" spans="1:3" x14ac:dyDescent="0.2">
      <c r="A12601" s="82"/>
      <c r="B12601" s="82"/>
      <c r="C12601" s="82"/>
    </row>
    <row r="12602" spans="1:3" x14ac:dyDescent="0.2">
      <c r="A12602" s="82"/>
      <c r="B12602" s="82"/>
      <c r="C12602" s="82"/>
    </row>
    <row r="12603" spans="1:3" x14ac:dyDescent="0.2">
      <c r="A12603" s="82"/>
      <c r="B12603" s="82"/>
      <c r="C12603" s="82"/>
    </row>
    <row r="12604" spans="1:3" x14ac:dyDescent="0.2">
      <c r="A12604" s="82"/>
      <c r="B12604" s="82"/>
      <c r="C12604" s="82"/>
    </row>
    <row r="12605" spans="1:3" x14ac:dyDescent="0.2">
      <c r="A12605" s="82"/>
      <c r="B12605" s="82"/>
      <c r="C12605" s="82"/>
    </row>
    <row r="12606" spans="1:3" x14ac:dyDescent="0.2">
      <c r="A12606" s="82"/>
      <c r="B12606" s="82"/>
      <c r="C12606" s="82"/>
    </row>
    <row r="12607" spans="1:3" x14ac:dyDescent="0.2">
      <c r="A12607" s="82"/>
      <c r="B12607" s="82"/>
      <c r="C12607" s="82"/>
    </row>
    <row r="12608" spans="1:3" x14ac:dyDescent="0.2">
      <c r="A12608" s="82"/>
      <c r="B12608" s="82"/>
      <c r="C12608" s="82"/>
    </row>
    <row r="12609" spans="1:3" x14ac:dyDescent="0.2">
      <c r="A12609" s="82"/>
      <c r="B12609" s="82"/>
      <c r="C12609" s="82"/>
    </row>
    <row r="12610" spans="1:3" x14ac:dyDescent="0.2">
      <c r="A12610" s="82"/>
      <c r="B12610" s="82"/>
      <c r="C12610" s="82"/>
    </row>
    <row r="12611" spans="1:3" x14ac:dyDescent="0.2">
      <c r="A12611" s="82"/>
      <c r="B12611" s="82"/>
      <c r="C12611" s="82"/>
    </row>
    <row r="12612" spans="1:3" x14ac:dyDescent="0.2">
      <c r="A12612" s="82"/>
      <c r="B12612" s="82"/>
      <c r="C12612" s="82"/>
    </row>
    <row r="12613" spans="1:3" x14ac:dyDescent="0.2">
      <c r="A12613" s="82"/>
      <c r="B12613" s="82"/>
      <c r="C12613" s="82"/>
    </row>
    <row r="12614" spans="1:3" x14ac:dyDescent="0.2">
      <c r="A12614" s="82"/>
      <c r="B12614" s="82"/>
      <c r="C12614" s="82"/>
    </row>
    <row r="12615" spans="1:3" x14ac:dyDescent="0.2">
      <c r="A12615" s="82"/>
      <c r="B12615" s="82"/>
      <c r="C12615" s="82"/>
    </row>
    <row r="12616" spans="1:3" x14ac:dyDescent="0.2">
      <c r="A12616" s="82"/>
      <c r="B12616" s="82"/>
      <c r="C12616" s="82"/>
    </row>
    <row r="12617" spans="1:3" x14ac:dyDescent="0.2">
      <c r="A12617" s="82"/>
      <c r="B12617" s="82"/>
      <c r="C12617" s="82"/>
    </row>
    <row r="12618" spans="1:3" x14ac:dyDescent="0.2">
      <c r="A12618" s="82"/>
      <c r="B12618" s="82"/>
      <c r="C12618" s="82"/>
    </row>
    <row r="12619" spans="1:3" x14ac:dyDescent="0.2">
      <c r="A12619" s="82"/>
      <c r="B12619" s="82"/>
      <c r="C12619" s="82"/>
    </row>
    <row r="12620" spans="1:3" x14ac:dyDescent="0.2">
      <c r="A12620" s="82"/>
      <c r="B12620" s="82"/>
      <c r="C12620" s="82"/>
    </row>
    <row r="12621" spans="1:3" x14ac:dyDescent="0.2">
      <c r="A12621" s="82"/>
      <c r="B12621" s="82"/>
      <c r="C12621" s="82"/>
    </row>
    <row r="12622" spans="1:3" x14ac:dyDescent="0.2">
      <c r="A12622" s="82"/>
      <c r="B12622" s="82"/>
      <c r="C12622" s="82"/>
    </row>
    <row r="12623" spans="1:3" x14ac:dyDescent="0.2">
      <c r="A12623" s="82"/>
      <c r="B12623" s="82"/>
      <c r="C12623" s="82"/>
    </row>
    <row r="12624" spans="1:3" x14ac:dyDescent="0.2">
      <c r="A12624" s="82"/>
      <c r="B12624" s="82"/>
      <c r="C12624" s="82"/>
    </row>
    <row r="12625" spans="1:3" x14ac:dyDescent="0.2">
      <c r="A12625" s="82"/>
      <c r="B12625" s="82"/>
      <c r="C12625" s="82"/>
    </row>
    <row r="12626" spans="1:3" x14ac:dyDescent="0.2">
      <c r="A12626" s="82"/>
      <c r="B12626" s="82"/>
      <c r="C12626" s="82"/>
    </row>
    <row r="12627" spans="1:3" x14ac:dyDescent="0.2">
      <c r="A12627" s="82"/>
      <c r="B12627" s="82"/>
      <c r="C12627" s="82"/>
    </row>
    <row r="12628" spans="1:3" x14ac:dyDescent="0.2">
      <c r="A12628" s="82"/>
      <c r="B12628" s="82"/>
      <c r="C12628" s="82"/>
    </row>
    <row r="12629" spans="1:3" x14ac:dyDescent="0.2">
      <c r="A12629" s="82"/>
      <c r="B12629" s="82"/>
      <c r="C12629" s="82"/>
    </row>
    <row r="12630" spans="1:3" x14ac:dyDescent="0.2">
      <c r="A12630" s="82"/>
      <c r="B12630" s="82"/>
      <c r="C12630" s="82"/>
    </row>
    <row r="12631" spans="1:3" x14ac:dyDescent="0.2">
      <c r="A12631" s="82"/>
      <c r="B12631" s="82"/>
      <c r="C12631" s="82"/>
    </row>
    <row r="12632" spans="1:3" x14ac:dyDescent="0.2">
      <c r="A12632" s="82"/>
      <c r="B12632" s="82"/>
      <c r="C12632" s="82"/>
    </row>
    <row r="12633" spans="1:3" x14ac:dyDescent="0.2">
      <c r="A12633" s="82"/>
      <c r="B12633" s="82"/>
      <c r="C12633" s="82"/>
    </row>
    <row r="12634" spans="1:3" x14ac:dyDescent="0.2">
      <c r="A12634" s="82"/>
      <c r="B12634" s="82"/>
      <c r="C12634" s="82"/>
    </row>
    <row r="12635" spans="1:3" x14ac:dyDescent="0.2">
      <c r="A12635" s="82"/>
      <c r="B12635" s="82"/>
      <c r="C12635" s="82"/>
    </row>
    <row r="12636" spans="1:3" x14ac:dyDescent="0.2">
      <c r="A12636" s="82"/>
      <c r="B12636" s="82"/>
      <c r="C12636" s="82"/>
    </row>
    <row r="12637" spans="1:3" x14ac:dyDescent="0.2">
      <c r="A12637" s="82"/>
      <c r="B12637" s="82"/>
      <c r="C12637" s="82"/>
    </row>
    <row r="12638" spans="1:3" x14ac:dyDescent="0.2">
      <c r="A12638" s="82"/>
      <c r="B12638" s="82"/>
      <c r="C12638" s="82"/>
    </row>
    <row r="12639" spans="1:3" x14ac:dyDescent="0.2">
      <c r="A12639" s="82"/>
      <c r="B12639" s="82"/>
      <c r="C12639" s="82"/>
    </row>
    <row r="12640" spans="1:3" x14ac:dyDescent="0.2">
      <c r="A12640" s="82"/>
      <c r="B12640" s="82"/>
      <c r="C12640" s="82"/>
    </row>
    <row r="12641" spans="1:3" x14ac:dyDescent="0.2">
      <c r="A12641" s="82"/>
      <c r="B12641" s="82"/>
      <c r="C12641" s="82"/>
    </row>
    <row r="12642" spans="1:3" x14ac:dyDescent="0.2">
      <c r="A12642" s="82"/>
      <c r="B12642" s="82"/>
      <c r="C12642" s="82"/>
    </row>
    <row r="12643" spans="1:3" x14ac:dyDescent="0.2">
      <c r="A12643" s="82"/>
      <c r="B12643" s="82"/>
      <c r="C12643" s="82"/>
    </row>
    <row r="12644" spans="1:3" x14ac:dyDescent="0.2">
      <c r="A12644" s="82"/>
      <c r="B12644" s="82"/>
      <c r="C12644" s="82"/>
    </row>
    <row r="12645" spans="1:3" x14ac:dyDescent="0.2">
      <c r="A12645" s="82"/>
      <c r="B12645" s="82"/>
      <c r="C12645" s="82"/>
    </row>
    <row r="12646" spans="1:3" x14ac:dyDescent="0.2">
      <c r="A12646" s="82"/>
      <c r="B12646" s="82"/>
      <c r="C12646" s="82"/>
    </row>
    <row r="12647" spans="1:3" x14ac:dyDescent="0.2">
      <c r="A12647" s="82"/>
      <c r="B12647" s="82"/>
      <c r="C12647" s="82"/>
    </row>
    <row r="12648" spans="1:3" x14ac:dyDescent="0.2">
      <c r="A12648" s="82"/>
      <c r="B12648" s="82"/>
      <c r="C12648" s="82"/>
    </row>
    <row r="12649" spans="1:3" x14ac:dyDescent="0.2">
      <c r="A12649" s="82"/>
      <c r="B12649" s="82"/>
      <c r="C12649" s="82"/>
    </row>
    <row r="12650" spans="1:3" x14ac:dyDescent="0.2">
      <c r="A12650" s="82"/>
      <c r="B12650" s="82"/>
      <c r="C12650" s="82"/>
    </row>
    <row r="12651" spans="1:3" x14ac:dyDescent="0.2">
      <c r="A12651" s="82"/>
      <c r="B12651" s="82"/>
      <c r="C12651" s="82"/>
    </row>
    <row r="12652" spans="1:3" x14ac:dyDescent="0.2">
      <c r="A12652" s="82"/>
      <c r="B12652" s="82"/>
      <c r="C12652" s="82"/>
    </row>
    <row r="12653" spans="1:3" x14ac:dyDescent="0.2">
      <c r="A12653" s="82"/>
      <c r="B12653" s="82"/>
      <c r="C12653" s="82"/>
    </row>
    <row r="12654" spans="1:3" x14ac:dyDescent="0.2">
      <c r="A12654" s="82"/>
      <c r="B12654" s="82"/>
      <c r="C12654" s="82"/>
    </row>
    <row r="12655" spans="1:3" x14ac:dyDescent="0.2">
      <c r="A12655" s="82"/>
      <c r="B12655" s="82"/>
      <c r="C12655" s="82"/>
    </row>
    <row r="12656" spans="1:3" x14ac:dyDescent="0.2">
      <c r="A12656" s="82"/>
      <c r="B12656" s="82"/>
      <c r="C12656" s="82"/>
    </row>
    <row r="12657" spans="1:3" x14ac:dyDescent="0.2">
      <c r="A12657" s="82"/>
      <c r="B12657" s="82"/>
      <c r="C12657" s="82"/>
    </row>
    <row r="12658" spans="1:3" x14ac:dyDescent="0.2">
      <c r="A12658" s="82"/>
      <c r="B12658" s="82"/>
      <c r="C12658" s="82"/>
    </row>
    <row r="12659" spans="1:3" x14ac:dyDescent="0.2">
      <c r="A12659" s="82"/>
      <c r="B12659" s="82"/>
      <c r="C12659" s="82"/>
    </row>
    <row r="12660" spans="1:3" x14ac:dyDescent="0.2">
      <c r="A12660" s="82"/>
      <c r="B12660" s="82"/>
      <c r="C12660" s="82"/>
    </row>
    <row r="12661" spans="1:3" x14ac:dyDescent="0.2">
      <c r="A12661" s="82"/>
      <c r="B12661" s="82"/>
      <c r="C12661" s="82"/>
    </row>
    <row r="12662" spans="1:3" x14ac:dyDescent="0.2">
      <c r="A12662" s="82"/>
      <c r="B12662" s="82"/>
      <c r="C12662" s="82"/>
    </row>
    <row r="12663" spans="1:3" x14ac:dyDescent="0.2">
      <c r="A12663" s="82"/>
      <c r="B12663" s="82"/>
      <c r="C12663" s="82"/>
    </row>
    <row r="12664" spans="1:3" x14ac:dyDescent="0.2">
      <c r="A12664" s="82"/>
      <c r="B12664" s="82"/>
      <c r="C12664" s="82"/>
    </row>
    <row r="12665" spans="1:3" x14ac:dyDescent="0.2">
      <c r="A12665" s="82"/>
      <c r="B12665" s="82"/>
      <c r="C12665" s="82"/>
    </row>
    <row r="12666" spans="1:3" x14ac:dyDescent="0.2">
      <c r="A12666" s="82"/>
      <c r="B12666" s="82"/>
      <c r="C12666" s="82"/>
    </row>
    <row r="12667" spans="1:3" x14ac:dyDescent="0.2">
      <c r="A12667" s="82"/>
      <c r="B12667" s="82"/>
      <c r="C12667" s="82"/>
    </row>
    <row r="12668" spans="1:3" x14ac:dyDescent="0.2">
      <c r="A12668" s="82"/>
      <c r="B12668" s="82"/>
      <c r="C12668" s="82"/>
    </row>
    <row r="12669" spans="1:3" x14ac:dyDescent="0.2">
      <c r="A12669" s="82"/>
      <c r="B12669" s="82"/>
      <c r="C12669" s="82"/>
    </row>
    <row r="12670" spans="1:3" x14ac:dyDescent="0.2">
      <c r="A12670" s="82"/>
      <c r="B12670" s="82"/>
      <c r="C12670" s="82"/>
    </row>
    <row r="12671" spans="1:3" x14ac:dyDescent="0.2">
      <c r="A12671" s="82"/>
      <c r="B12671" s="82"/>
      <c r="C12671" s="82"/>
    </row>
    <row r="12672" spans="1:3" x14ac:dyDescent="0.2">
      <c r="A12672" s="82"/>
      <c r="B12672" s="82"/>
      <c r="C12672" s="82"/>
    </row>
    <row r="12673" spans="1:3" x14ac:dyDescent="0.2">
      <c r="A12673" s="82"/>
      <c r="B12673" s="82"/>
      <c r="C12673" s="82"/>
    </row>
    <row r="12674" spans="1:3" x14ac:dyDescent="0.2">
      <c r="A12674" s="82"/>
      <c r="B12674" s="82"/>
      <c r="C12674" s="82"/>
    </row>
    <row r="12675" spans="1:3" x14ac:dyDescent="0.2">
      <c r="A12675" s="82"/>
      <c r="B12675" s="82"/>
      <c r="C12675" s="82"/>
    </row>
    <row r="12676" spans="1:3" x14ac:dyDescent="0.2">
      <c r="A12676" s="82"/>
      <c r="B12676" s="82"/>
      <c r="C12676" s="82"/>
    </row>
    <row r="12677" spans="1:3" x14ac:dyDescent="0.2">
      <c r="A12677" s="82"/>
      <c r="B12677" s="82"/>
      <c r="C12677" s="82"/>
    </row>
    <row r="12678" spans="1:3" x14ac:dyDescent="0.2">
      <c r="A12678" s="82"/>
      <c r="B12678" s="82"/>
      <c r="C12678" s="82"/>
    </row>
    <row r="12679" spans="1:3" x14ac:dyDescent="0.2">
      <c r="A12679" s="82"/>
      <c r="B12679" s="82"/>
      <c r="C12679" s="82"/>
    </row>
    <row r="12680" spans="1:3" x14ac:dyDescent="0.2">
      <c r="A12680" s="82"/>
      <c r="B12680" s="82"/>
      <c r="C12680" s="82"/>
    </row>
    <row r="12681" spans="1:3" x14ac:dyDescent="0.2">
      <c r="A12681" s="82"/>
      <c r="B12681" s="82"/>
      <c r="C12681" s="82"/>
    </row>
    <row r="12682" spans="1:3" x14ac:dyDescent="0.2">
      <c r="A12682" s="82"/>
      <c r="B12682" s="82"/>
      <c r="C12682" s="82"/>
    </row>
    <row r="12683" spans="1:3" x14ac:dyDescent="0.2">
      <c r="A12683" s="82"/>
      <c r="B12683" s="82"/>
      <c r="C12683" s="82"/>
    </row>
    <row r="12684" spans="1:3" x14ac:dyDescent="0.2">
      <c r="A12684" s="82"/>
      <c r="B12684" s="82"/>
      <c r="C12684" s="82"/>
    </row>
    <row r="12685" spans="1:3" x14ac:dyDescent="0.2">
      <c r="A12685" s="82"/>
      <c r="B12685" s="82"/>
      <c r="C12685" s="82"/>
    </row>
    <row r="12686" spans="1:3" x14ac:dyDescent="0.2">
      <c r="A12686" s="82"/>
      <c r="B12686" s="82"/>
      <c r="C12686" s="82"/>
    </row>
    <row r="12687" spans="1:3" x14ac:dyDescent="0.2">
      <c r="A12687" s="82"/>
      <c r="B12687" s="82"/>
      <c r="C12687" s="82"/>
    </row>
    <row r="12688" spans="1:3" x14ac:dyDescent="0.2">
      <c r="A12688" s="82"/>
      <c r="B12688" s="82"/>
      <c r="C12688" s="82"/>
    </row>
    <row r="12689" spans="1:3" x14ac:dyDescent="0.2">
      <c r="A12689" s="82"/>
      <c r="B12689" s="82"/>
      <c r="C12689" s="82"/>
    </row>
    <row r="12690" spans="1:3" x14ac:dyDescent="0.2">
      <c r="A12690" s="82"/>
      <c r="B12690" s="82"/>
      <c r="C12690" s="82"/>
    </row>
    <row r="12691" spans="1:3" x14ac:dyDescent="0.2">
      <c r="A12691" s="82"/>
      <c r="B12691" s="82"/>
      <c r="C12691" s="82"/>
    </row>
    <row r="12692" spans="1:3" x14ac:dyDescent="0.2">
      <c r="A12692" s="82"/>
      <c r="B12692" s="82"/>
      <c r="C12692" s="82"/>
    </row>
    <row r="12693" spans="1:3" x14ac:dyDescent="0.2">
      <c r="A12693" s="82"/>
      <c r="B12693" s="82"/>
      <c r="C12693" s="82"/>
    </row>
    <row r="12694" spans="1:3" x14ac:dyDescent="0.2">
      <c r="A12694" s="82"/>
      <c r="B12694" s="82"/>
      <c r="C12694" s="82"/>
    </row>
    <row r="12695" spans="1:3" x14ac:dyDescent="0.2">
      <c r="A12695" s="82"/>
      <c r="B12695" s="82"/>
      <c r="C12695" s="82"/>
    </row>
    <row r="12696" spans="1:3" x14ac:dyDescent="0.2">
      <c r="A12696" s="82"/>
      <c r="B12696" s="82"/>
      <c r="C12696" s="82"/>
    </row>
    <row r="12697" spans="1:3" x14ac:dyDescent="0.2">
      <c r="A12697" s="82"/>
      <c r="B12697" s="82"/>
      <c r="C12697" s="82"/>
    </row>
    <row r="12698" spans="1:3" x14ac:dyDescent="0.2">
      <c r="A12698" s="82"/>
      <c r="B12698" s="82"/>
      <c r="C12698" s="82"/>
    </row>
    <row r="12699" spans="1:3" x14ac:dyDescent="0.2">
      <c r="A12699" s="82"/>
      <c r="B12699" s="82"/>
      <c r="C12699" s="82"/>
    </row>
    <row r="12700" spans="1:3" x14ac:dyDescent="0.2">
      <c r="A12700" s="82"/>
      <c r="B12700" s="82"/>
      <c r="C12700" s="82"/>
    </row>
    <row r="12701" spans="1:3" x14ac:dyDescent="0.2">
      <c r="A12701" s="82"/>
      <c r="B12701" s="82"/>
      <c r="C12701" s="82"/>
    </row>
    <row r="12702" spans="1:3" x14ac:dyDescent="0.2">
      <c r="A12702" s="82"/>
      <c r="B12702" s="82"/>
      <c r="C12702" s="82"/>
    </row>
    <row r="12703" spans="1:3" x14ac:dyDescent="0.2">
      <c r="A12703" s="82"/>
      <c r="B12703" s="82"/>
      <c r="C12703" s="82"/>
    </row>
    <row r="12704" spans="1:3" x14ac:dyDescent="0.2">
      <c r="A12704" s="82"/>
      <c r="B12704" s="82"/>
      <c r="C12704" s="82"/>
    </row>
    <row r="12705" spans="1:3" x14ac:dyDescent="0.2">
      <c r="A12705" s="82"/>
      <c r="B12705" s="82"/>
      <c r="C12705" s="82"/>
    </row>
    <row r="12706" spans="1:3" x14ac:dyDescent="0.2">
      <c r="A12706" s="82"/>
      <c r="B12706" s="82"/>
      <c r="C12706" s="82"/>
    </row>
    <row r="12707" spans="1:3" x14ac:dyDescent="0.2">
      <c r="A12707" s="82"/>
      <c r="B12707" s="82"/>
      <c r="C12707" s="82"/>
    </row>
    <row r="12708" spans="1:3" x14ac:dyDescent="0.2">
      <c r="A12708" s="82"/>
      <c r="B12708" s="82"/>
      <c r="C12708" s="82"/>
    </row>
    <row r="12709" spans="1:3" x14ac:dyDescent="0.2">
      <c r="A12709" s="82"/>
      <c r="B12709" s="82"/>
      <c r="C12709" s="82"/>
    </row>
    <row r="12710" spans="1:3" x14ac:dyDescent="0.2">
      <c r="A12710" s="82"/>
      <c r="B12710" s="82"/>
      <c r="C12710" s="82"/>
    </row>
    <row r="12711" spans="1:3" x14ac:dyDescent="0.2">
      <c r="A12711" s="82"/>
      <c r="B12711" s="82"/>
      <c r="C12711" s="82"/>
    </row>
    <row r="12712" spans="1:3" x14ac:dyDescent="0.2">
      <c r="A12712" s="82"/>
      <c r="B12712" s="82"/>
      <c r="C12712" s="82"/>
    </row>
    <row r="12713" spans="1:3" x14ac:dyDescent="0.2">
      <c r="A12713" s="82"/>
      <c r="B12713" s="82"/>
      <c r="C12713" s="82"/>
    </row>
    <row r="12714" spans="1:3" x14ac:dyDescent="0.2">
      <c r="A12714" s="82"/>
      <c r="B12714" s="82"/>
      <c r="C12714" s="82"/>
    </row>
    <row r="12715" spans="1:3" x14ac:dyDescent="0.2">
      <c r="A12715" s="82"/>
      <c r="B12715" s="82"/>
      <c r="C12715" s="82"/>
    </row>
    <row r="12716" spans="1:3" x14ac:dyDescent="0.2">
      <c r="A12716" s="82"/>
      <c r="B12716" s="82"/>
      <c r="C12716" s="82"/>
    </row>
    <row r="12717" spans="1:3" x14ac:dyDescent="0.2">
      <c r="A12717" s="82"/>
      <c r="B12717" s="82"/>
      <c r="C12717" s="82"/>
    </row>
    <row r="12718" spans="1:3" x14ac:dyDescent="0.2">
      <c r="A12718" s="82"/>
      <c r="B12718" s="82"/>
      <c r="C12718" s="82"/>
    </row>
    <row r="12719" spans="1:3" x14ac:dyDescent="0.2">
      <c r="A12719" s="82"/>
      <c r="B12719" s="82"/>
      <c r="C12719" s="82"/>
    </row>
    <row r="12720" spans="1:3" x14ac:dyDescent="0.2">
      <c r="A12720" s="82"/>
      <c r="B12720" s="82"/>
      <c r="C12720" s="82"/>
    </row>
    <row r="12721" spans="1:3" x14ac:dyDescent="0.2">
      <c r="A12721" s="82"/>
      <c r="B12721" s="82"/>
      <c r="C12721" s="82"/>
    </row>
    <row r="12722" spans="1:3" x14ac:dyDescent="0.2">
      <c r="A12722" s="82"/>
      <c r="B12722" s="82"/>
      <c r="C12722" s="82"/>
    </row>
    <row r="12723" spans="1:3" x14ac:dyDescent="0.2">
      <c r="A12723" s="82"/>
      <c r="B12723" s="82"/>
      <c r="C12723" s="82"/>
    </row>
    <row r="12724" spans="1:3" x14ac:dyDescent="0.2">
      <c r="A12724" s="82"/>
      <c r="B12724" s="82"/>
      <c r="C12724" s="82"/>
    </row>
    <row r="12725" spans="1:3" x14ac:dyDescent="0.2">
      <c r="A12725" s="82"/>
      <c r="B12725" s="82"/>
      <c r="C12725" s="82"/>
    </row>
    <row r="12726" spans="1:3" x14ac:dyDescent="0.2">
      <c r="A12726" s="82"/>
      <c r="B12726" s="82"/>
      <c r="C12726" s="82"/>
    </row>
    <row r="12727" spans="1:3" x14ac:dyDescent="0.2">
      <c r="A12727" s="82"/>
      <c r="B12727" s="82"/>
      <c r="C12727" s="82"/>
    </row>
    <row r="12728" spans="1:3" x14ac:dyDescent="0.2">
      <c r="A12728" s="82"/>
      <c r="B12728" s="82"/>
      <c r="C12728" s="82"/>
    </row>
    <row r="12729" spans="1:3" x14ac:dyDescent="0.2">
      <c r="A12729" s="82"/>
      <c r="B12729" s="82"/>
      <c r="C12729" s="82"/>
    </row>
    <row r="12730" spans="1:3" x14ac:dyDescent="0.2">
      <c r="A12730" s="82"/>
      <c r="B12730" s="82"/>
      <c r="C12730" s="82"/>
    </row>
    <row r="12731" spans="1:3" x14ac:dyDescent="0.2">
      <c r="A12731" s="82"/>
      <c r="B12731" s="82"/>
      <c r="C12731" s="82"/>
    </row>
    <row r="12732" spans="1:3" x14ac:dyDescent="0.2">
      <c r="A12732" s="82"/>
      <c r="B12732" s="82"/>
      <c r="C12732" s="82"/>
    </row>
    <row r="12733" spans="1:3" x14ac:dyDescent="0.2">
      <c r="A12733" s="82"/>
      <c r="B12733" s="82"/>
      <c r="C12733" s="82"/>
    </row>
    <row r="12734" spans="1:3" x14ac:dyDescent="0.2">
      <c r="A12734" s="82"/>
      <c r="B12734" s="82"/>
      <c r="C12734" s="82"/>
    </row>
    <row r="12735" spans="1:3" x14ac:dyDescent="0.2">
      <c r="A12735" s="82"/>
      <c r="B12735" s="82"/>
      <c r="C12735" s="82"/>
    </row>
    <row r="12736" spans="1:3" x14ac:dyDescent="0.2">
      <c r="A12736" s="82"/>
      <c r="B12736" s="82"/>
      <c r="C12736" s="82"/>
    </row>
    <row r="12737" spans="1:3" x14ac:dyDescent="0.2">
      <c r="A12737" s="82"/>
      <c r="B12737" s="82"/>
      <c r="C12737" s="82"/>
    </row>
    <row r="12738" spans="1:3" x14ac:dyDescent="0.2">
      <c r="A12738" s="82"/>
      <c r="B12738" s="82"/>
      <c r="C12738" s="82"/>
    </row>
    <row r="12739" spans="1:3" x14ac:dyDescent="0.2">
      <c r="A12739" s="82"/>
      <c r="B12739" s="82"/>
      <c r="C12739" s="82"/>
    </row>
    <row r="12740" spans="1:3" x14ac:dyDescent="0.2">
      <c r="A12740" s="82"/>
      <c r="B12740" s="82"/>
      <c r="C12740" s="82"/>
    </row>
    <row r="12741" spans="1:3" x14ac:dyDescent="0.2">
      <c r="A12741" s="82"/>
      <c r="B12741" s="82"/>
      <c r="C12741" s="82"/>
    </row>
    <row r="12742" spans="1:3" x14ac:dyDescent="0.2">
      <c r="A12742" s="82"/>
      <c r="B12742" s="82"/>
      <c r="C12742" s="82"/>
    </row>
    <row r="12743" spans="1:3" x14ac:dyDescent="0.2">
      <c r="A12743" s="82"/>
      <c r="B12743" s="82"/>
      <c r="C12743" s="82"/>
    </row>
    <row r="12744" spans="1:3" x14ac:dyDescent="0.2">
      <c r="A12744" s="82"/>
      <c r="B12744" s="82"/>
      <c r="C12744" s="82"/>
    </row>
    <row r="12745" spans="1:3" x14ac:dyDescent="0.2">
      <c r="A12745" s="82"/>
      <c r="B12745" s="82"/>
      <c r="C12745" s="82"/>
    </row>
    <row r="12746" spans="1:3" x14ac:dyDescent="0.2">
      <c r="A12746" s="82"/>
      <c r="B12746" s="82"/>
      <c r="C12746" s="82"/>
    </row>
    <row r="12747" spans="1:3" x14ac:dyDescent="0.2">
      <c r="A12747" s="82"/>
      <c r="B12747" s="82"/>
      <c r="C12747" s="82"/>
    </row>
    <row r="12748" spans="1:3" x14ac:dyDescent="0.2">
      <c r="A12748" s="82"/>
      <c r="B12748" s="82"/>
      <c r="C12748" s="82"/>
    </row>
    <row r="12749" spans="1:3" x14ac:dyDescent="0.2">
      <c r="A12749" s="82"/>
      <c r="B12749" s="82"/>
      <c r="C12749" s="82"/>
    </row>
    <row r="12750" spans="1:3" x14ac:dyDescent="0.2">
      <c r="A12750" s="82"/>
      <c r="B12750" s="82"/>
      <c r="C12750" s="82"/>
    </row>
    <row r="12751" spans="1:3" x14ac:dyDescent="0.2">
      <c r="A12751" s="82"/>
      <c r="B12751" s="82"/>
      <c r="C12751" s="82"/>
    </row>
    <row r="12752" spans="1:3" x14ac:dyDescent="0.2">
      <c r="A12752" s="82"/>
      <c r="B12752" s="82"/>
      <c r="C12752" s="82"/>
    </row>
    <row r="12753" spans="1:3" x14ac:dyDescent="0.2">
      <c r="A12753" s="82"/>
      <c r="B12753" s="82"/>
      <c r="C12753" s="82"/>
    </row>
    <row r="12754" spans="1:3" x14ac:dyDescent="0.2">
      <c r="A12754" s="82"/>
      <c r="B12754" s="82"/>
      <c r="C12754" s="82"/>
    </row>
    <row r="12755" spans="1:3" x14ac:dyDescent="0.2">
      <c r="A12755" s="82"/>
      <c r="B12755" s="82"/>
      <c r="C12755" s="82"/>
    </row>
    <row r="12756" spans="1:3" x14ac:dyDescent="0.2">
      <c r="A12756" s="82"/>
      <c r="B12756" s="82"/>
      <c r="C12756" s="82"/>
    </row>
    <row r="12757" spans="1:3" x14ac:dyDescent="0.2">
      <c r="A12757" s="82"/>
      <c r="B12757" s="82"/>
      <c r="C12757" s="82"/>
    </row>
    <row r="12758" spans="1:3" x14ac:dyDescent="0.2">
      <c r="A12758" s="82"/>
      <c r="B12758" s="82"/>
      <c r="C12758" s="82"/>
    </row>
    <row r="12759" spans="1:3" x14ac:dyDescent="0.2">
      <c r="A12759" s="82"/>
      <c r="B12759" s="82"/>
      <c r="C12759" s="82"/>
    </row>
    <row r="12760" spans="1:3" x14ac:dyDescent="0.2">
      <c r="A12760" s="82"/>
      <c r="B12760" s="82"/>
      <c r="C12760" s="82"/>
    </row>
    <row r="12761" spans="1:3" x14ac:dyDescent="0.2">
      <c r="A12761" s="82"/>
      <c r="B12761" s="82"/>
      <c r="C12761" s="82"/>
    </row>
    <row r="12762" spans="1:3" x14ac:dyDescent="0.2">
      <c r="A12762" s="82"/>
      <c r="B12762" s="82"/>
      <c r="C12762" s="82"/>
    </row>
    <row r="12763" spans="1:3" x14ac:dyDescent="0.2">
      <c r="A12763" s="82"/>
      <c r="B12763" s="82"/>
      <c r="C12763" s="82"/>
    </row>
    <row r="12764" spans="1:3" x14ac:dyDescent="0.2">
      <c r="A12764" s="82"/>
      <c r="B12764" s="82"/>
      <c r="C12764" s="82"/>
    </row>
    <row r="12765" spans="1:3" x14ac:dyDescent="0.2">
      <c r="A12765" s="82"/>
      <c r="B12765" s="82"/>
      <c r="C12765" s="82"/>
    </row>
    <row r="12766" spans="1:3" x14ac:dyDescent="0.2">
      <c r="A12766" s="82"/>
      <c r="B12766" s="82"/>
      <c r="C12766" s="82"/>
    </row>
    <row r="12767" spans="1:3" x14ac:dyDescent="0.2">
      <c r="A12767" s="82"/>
      <c r="B12767" s="82"/>
      <c r="C12767" s="82"/>
    </row>
    <row r="12768" spans="1:3" x14ac:dyDescent="0.2">
      <c r="A12768" s="82"/>
      <c r="B12768" s="82"/>
      <c r="C12768" s="82"/>
    </row>
    <row r="12769" spans="1:3" x14ac:dyDescent="0.2">
      <c r="A12769" s="82"/>
      <c r="B12769" s="82"/>
      <c r="C12769" s="82"/>
    </row>
    <row r="12770" spans="1:3" x14ac:dyDescent="0.2">
      <c r="A12770" s="82"/>
      <c r="B12770" s="82"/>
      <c r="C12770" s="82"/>
    </row>
    <row r="12771" spans="1:3" x14ac:dyDescent="0.2">
      <c r="A12771" s="82"/>
      <c r="B12771" s="82"/>
      <c r="C12771" s="82"/>
    </row>
    <row r="12772" spans="1:3" x14ac:dyDescent="0.2">
      <c r="A12772" s="82"/>
      <c r="B12772" s="82"/>
      <c r="C12772" s="82"/>
    </row>
    <row r="12773" spans="1:3" x14ac:dyDescent="0.2">
      <c r="A12773" s="82"/>
      <c r="B12773" s="82"/>
      <c r="C12773" s="82"/>
    </row>
    <row r="12774" spans="1:3" x14ac:dyDescent="0.2">
      <c r="A12774" s="82"/>
      <c r="B12774" s="82"/>
      <c r="C12774" s="82"/>
    </row>
    <row r="12775" spans="1:3" x14ac:dyDescent="0.2">
      <c r="A12775" s="82"/>
      <c r="B12775" s="82"/>
      <c r="C12775" s="82"/>
    </row>
    <row r="12776" spans="1:3" x14ac:dyDescent="0.2">
      <c r="A12776" s="82"/>
      <c r="B12776" s="82"/>
      <c r="C12776" s="82"/>
    </row>
    <row r="12777" spans="1:3" x14ac:dyDescent="0.2">
      <c r="A12777" s="82"/>
      <c r="B12777" s="82"/>
      <c r="C12777" s="82"/>
    </row>
    <row r="12778" spans="1:3" x14ac:dyDescent="0.2">
      <c r="A12778" s="82"/>
      <c r="B12778" s="82"/>
      <c r="C12778" s="82"/>
    </row>
    <row r="12779" spans="1:3" x14ac:dyDescent="0.2">
      <c r="A12779" s="82"/>
      <c r="B12779" s="82"/>
      <c r="C12779" s="82"/>
    </row>
    <row r="12780" spans="1:3" x14ac:dyDescent="0.2">
      <c r="A12780" s="82"/>
      <c r="B12780" s="82"/>
      <c r="C12780" s="82"/>
    </row>
    <row r="12781" spans="1:3" x14ac:dyDescent="0.2">
      <c r="A12781" s="82"/>
      <c r="B12781" s="82"/>
      <c r="C12781" s="82"/>
    </row>
    <row r="12782" spans="1:3" x14ac:dyDescent="0.2">
      <c r="A12782" s="82"/>
      <c r="B12782" s="82"/>
      <c r="C12782" s="82"/>
    </row>
    <row r="12783" spans="1:3" x14ac:dyDescent="0.2">
      <c r="A12783" s="82"/>
      <c r="B12783" s="82"/>
      <c r="C12783" s="82"/>
    </row>
    <row r="12784" spans="1:3" x14ac:dyDescent="0.2">
      <c r="A12784" s="82"/>
      <c r="B12784" s="82"/>
      <c r="C12784" s="82"/>
    </row>
    <row r="12785" spans="1:3" x14ac:dyDescent="0.2">
      <c r="A12785" s="82"/>
      <c r="B12785" s="82"/>
      <c r="C12785" s="82"/>
    </row>
    <row r="12786" spans="1:3" x14ac:dyDescent="0.2">
      <c r="A12786" s="82"/>
      <c r="B12786" s="82"/>
      <c r="C12786" s="82"/>
    </row>
    <row r="12787" spans="1:3" x14ac:dyDescent="0.2">
      <c r="A12787" s="82"/>
      <c r="B12787" s="82"/>
      <c r="C12787" s="82"/>
    </row>
    <row r="12788" spans="1:3" x14ac:dyDescent="0.2">
      <c r="A12788" s="82"/>
      <c r="B12788" s="82"/>
      <c r="C12788" s="82"/>
    </row>
    <row r="12789" spans="1:3" x14ac:dyDescent="0.2">
      <c r="A12789" s="82"/>
      <c r="B12789" s="82"/>
      <c r="C12789" s="82"/>
    </row>
    <row r="12790" spans="1:3" x14ac:dyDescent="0.2">
      <c r="A12790" s="82"/>
      <c r="B12790" s="82"/>
      <c r="C12790" s="82"/>
    </row>
    <row r="12791" spans="1:3" x14ac:dyDescent="0.2">
      <c r="A12791" s="82"/>
      <c r="B12791" s="82"/>
      <c r="C12791" s="82"/>
    </row>
    <row r="12792" spans="1:3" x14ac:dyDescent="0.2">
      <c r="A12792" s="82"/>
      <c r="B12792" s="82"/>
      <c r="C12792" s="82"/>
    </row>
    <row r="12793" spans="1:3" x14ac:dyDescent="0.2">
      <c r="A12793" s="82"/>
      <c r="B12793" s="82"/>
      <c r="C12793" s="82"/>
    </row>
    <row r="12794" spans="1:3" x14ac:dyDescent="0.2">
      <c r="A12794" s="82"/>
      <c r="B12794" s="82"/>
      <c r="C12794" s="82"/>
    </row>
    <row r="12795" spans="1:3" x14ac:dyDescent="0.2">
      <c r="A12795" s="82"/>
      <c r="B12795" s="82"/>
      <c r="C12795" s="82"/>
    </row>
    <row r="12796" spans="1:3" x14ac:dyDescent="0.2">
      <c r="A12796" s="82"/>
      <c r="B12796" s="82"/>
      <c r="C12796" s="82"/>
    </row>
    <row r="12797" spans="1:3" x14ac:dyDescent="0.2">
      <c r="A12797" s="82"/>
      <c r="B12797" s="82"/>
      <c r="C12797" s="82"/>
    </row>
    <row r="12798" spans="1:3" x14ac:dyDescent="0.2">
      <c r="A12798" s="82"/>
      <c r="B12798" s="82"/>
      <c r="C12798" s="82"/>
    </row>
    <row r="12799" spans="1:3" x14ac:dyDescent="0.2">
      <c r="A12799" s="82"/>
      <c r="B12799" s="82"/>
      <c r="C12799" s="82"/>
    </row>
    <row r="12800" spans="1:3" x14ac:dyDescent="0.2">
      <c r="A12800" s="82"/>
      <c r="B12800" s="82"/>
      <c r="C12800" s="82"/>
    </row>
    <row r="12801" spans="1:3" x14ac:dyDescent="0.2">
      <c r="A12801" s="82"/>
      <c r="B12801" s="82"/>
      <c r="C12801" s="82"/>
    </row>
    <row r="12802" spans="1:3" x14ac:dyDescent="0.2">
      <c r="A12802" s="82"/>
      <c r="B12802" s="82"/>
      <c r="C12802" s="82"/>
    </row>
    <row r="12803" spans="1:3" x14ac:dyDescent="0.2">
      <c r="A12803" s="82"/>
      <c r="B12803" s="82"/>
      <c r="C12803" s="82"/>
    </row>
    <row r="12804" spans="1:3" x14ac:dyDescent="0.2">
      <c r="A12804" s="82"/>
      <c r="B12804" s="82"/>
      <c r="C12804" s="82"/>
    </row>
    <row r="12805" spans="1:3" x14ac:dyDescent="0.2">
      <c r="A12805" s="82"/>
      <c r="B12805" s="82"/>
      <c r="C12805" s="82"/>
    </row>
    <row r="12806" spans="1:3" x14ac:dyDescent="0.2">
      <c r="A12806" s="82"/>
      <c r="B12806" s="82"/>
      <c r="C12806" s="82"/>
    </row>
    <row r="12807" spans="1:3" x14ac:dyDescent="0.2">
      <c r="A12807" s="82"/>
      <c r="B12807" s="82"/>
      <c r="C12807" s="82"/>
    </row>
    <row r="12808" spans="1:3" x14ac:dyDescent="0.2">
      <c r="A12808" s="82"/>
      <c r="B12808" s="82"/>
      <c r="C12808" s="82"/>
    </row>
    <row r="12809" spans="1:3" x14ac:dyDescent="0.2">
      <c r="A12809" s="82"/>
      <c r="B12809" s="82"/>
      <c r="C12809" s="82"/>
    </row>
    <row r="12810" spans="1:3" x14ac:dyDescent="0.2">
      <c r="A12810" s="82"/>
      <c r="B12810" s="82"/>
      <c r="C12810" s="82"/>
    </row>
    <row r="12811" spans="1:3" x14ac:dyDescent="0.2">
      <c r="A12811" s="82"/>
      <c r="B12811" s="82"/>
      <c r="C12811" s="82"/>
    </row>
    <row r="12812" spans="1:3" x14ac:dyDescent="0.2">
      <c r="A12812" s="82"/>
      <c r="B12812" s="82"/>
      <c r="C12812" s="82"/>
    </row>
    <row r="12813" spans="1:3" x14ac:dyDescent="0.2">
      <c r="A12813" s="82"/>
      <c r="B12813" s="82"/>
      <c r="C12813" s="82"/>
    </row>
    <row r="12814" spans="1:3" x14ac:dyDescent="0.2">
      <c r="A12814" s="82"/>
      <c r="B12814" s="82"/>
      <c r="C12814" s="82"/>
    </row>
    <row r="12815" spans="1:3" x14ac:dyDescent="0.2">
      <c r="A12815" s="82"/>
      <c r="B12815" s="82"/>
      <c r="C12815" s="82"/>
    </row>
    <row r="12816" spans="1:3" x14ac:dyDescent="0.2">
      <c r="A12816" s="82"/>
      <c r="B12816" s="82"/>
      <c r="C12816" s="82"/>
    </row>
    <row r="12817" spans="1:3" x14ac:dyDescent="0.2">
      <c r="A12817" s="82"/>
      <c r="B12817" s="82"/>
      <c r="C12817" s="82"/>
    </row>
    <row r="12818" spans="1:3" x14ac:dyDescent="0.2">
      <c r="A12818" s="82"/>
      <c r="B12818" s="82"/>
      <c r="C12818" s="82"/>
    </row>
    <row r="12819" spans="1:3" x14ac:dyDescent="0.2">
      <c r="A12819" s="82"/>
      <c r="B12819" s="82"/>
      <c r="C12819" s="82"/>
    </row>
    <row r="12820" spans="1:3" x14ac:dyDescent="0.2">
      <c r="A12820" s="82"/>
      <c r="B12820" s="82"/>
      <c r="C12820" s="82"/>
    </row>
    <row r="12821" spans="1:3" x14ac:dyDescent="0.2">
      <c r="A12821" s="82"/>
      <c r="B12821" s="82"/>
      <c r="C12821" s="82"/>
    </row>
    <row r="12822" spans="1:3" x14ac:dyDescent="0.2">
      <c r="A12822" s="82"/>
      <c r="B12822" s="82"/>
      <c r="C12822" s="82"/>
    </row>
    <row r="12823" spans="1:3" x14ac:dyDescent="0.2">
      <c r="A12823" s="82"/>
      <c r="B12823" s="82"/>
      <c r="C12823" s="82"/>
    </row>
    <row r="12824" spans="1:3" x14ac:dyDescent="0.2">
      <c r="A12824" s="82"/>
      <c r="B12824" s="82"/>
      <c r="C12824" s="82"/>
    </row>
    <row r="12825" spans="1:3" x14ac:dyDescent="0.2">
      <c r="A12825" s="82"/>
      <c r="B12825" s="82"/>
      <c r="C12825" s="82"/>
    </row>
    <row r="12826" spans="1:3" x14ac:dyDescent="0.2">
      <c r="A12826" s="82"/>
      <c r="B12826" s="82"/>
      <c r="C12826" s="82"/>
    </row>
    <row r="12827" spans="1:3" x14ac:dyDescent="0.2">
      <c r="A12827" s="82"/>
      <c r="B12827" s="82"/>
      <c r="C12827" s="82"/>
    </row>
    <row r="12828" spans="1:3" x14ac:dyDescent="0.2">
      <c r="A12828" s="82"/>
      <c r="B12828" s="82"/>
      <c r="C12828" s="82"/>
    </row>
    <row r="12829" spans="1:3" x14ac:dyDescent="0.2">
      <c r="A12829" s="82"/>
      <c r="B12829" s="82"/>
      <c r="C12829" s="82"/>
    </row>
    <row r="12830" spans="1:3" x14ac:dyDescent="0.2">
      <c r="A12830" s="82"/>
      <c r="B12830" s="82"/>
      <c r="C12830" s="82"/>
    </row>
    <row r="12831" spans="1:3" x14ac:dyDescent="0.2">
      <c r="A12831" s="82"/>
      <c r="B12831" s="82"/>
      <c r="C12831" s="82"/>
    </row>
    <row r="12832" spans="1:3" x14ac:dyDescent="0.2">
      <c r="A12832" s="82"/>
      <c r="B12832" s="82"/>
      <c r="C12832" s="82"/>
    </row>
    <row r="12833" spans="1:3" x14ac:dyDescent="0.2">
      <c r="A12833" s="82"/>
      <c r="B12833" s="82"/>
      <c r="C12833" s="82"/>
    </row>
    <row r="12834" spans="1:3" x14ac:dyDescent="0.2">
      <c r="A12834" s="82"/>
      <c r="B12834" s="82"/>
      <c r="C12834" s="82"/>
    </row>
    <row r="12835" spans="1:3" x14ac:dyDescent="0.2">
      <c r="A12835" s="82"/>
      <c r="B12835" s="82"/>
      <c r="C12835" s="82"/>
    </row>
    <row r="12836" spans="1:3" x14ac:dyDescent="0.2">
      <c r="A12836" s="82"/>
      <c r="B12836" s="82"/>
      <c r="C12836" s="82"/>
    </row>
    <row r="12837" spans="1:3" x14ac:dyDescent="0.2">
      <c r="A12837" s="82"/>
      <c r="B12837" s="82"/>
      <c r="C12837" s="82"/>
    </row>
    <row r="12838" spans="1:3" x14ac:dyDescent="0.2">
      <c r="A12838" s="82"/>
      <c r="B12838" s="82"/>
      <c r="C12838" s="82"/>
    </row>
    <row r="12839" spans="1:3" x14ac:dyDescent="0.2">
      <c r="A12839" s="82"/>
      <c r="B12839" s="82"/>
      <c r="C12839" s="82"/>
    </row>
    <row r="12840" spans="1:3" x14ac:dyDescent="0.2">
      <c r="A12840" s="82"/>
      <c r="B12840" s="82"/>
      <c r="C12840" s="82"/>
    </row>
    <row r="12841" spans="1:3" x14ac:dyDescent="0.2">
      <c r="A12841" s="82"/>
      <c r="B12841" s="82"/>
      <c r="C12841" s="82"/>
    </row>
    <row r="12842" spans="1:3" x14ac:dyDescent="0.2">
      <c r="A12842" s="82"/>
      <c r="B12842" s="82"/>
      <c r="C12842" s="82"/>
    </row>
    <row r="12843" spans="1:3" x14ac:dyDescent="0.2">
      <c r="A12843" s="82"/>
      <c r="B12843" s="82"/>
      <c r="C12843" s="82"/>
    </row>
    <row r="12844" spans="1:3" x14ac:dyDescent="0.2">
      <c r="A12844" s="82"/>
      <c r="B12844" s="82"/>
      <c r="C12844" s="82"/>
    </row>
    <row r="12845" spans="1:3" x14ac:dyDescent="0.2">
      <c r="A12845" s="82"/>
      <c r="B12845" s="82"/>
      <c r="C12845" s="82"/>
    </row>
    <row r="12846" spans="1:3" x14ac:dyDescent="0.2">
      <c r="A12846" s="82"/>
      <c r="B12846" s="82"/>
      <c r="C12846" s="82"/>
    </row>
    <row r="12847" spans="1:3" x14ac:dyDescent="0.2">
      <c r="A12847" s="82"/>
      <c r="B12847" s="82"/>
      <c r="C12847" s="82"/>
    </row>
    <row r="12848" spans="1:3" x14ac:dyDescent="0.2">
      <c r="A12848" s="82"/>
      <c r="B12848" s="82"/>
      <c r="C12848" s="82"/>
    </row>
    <row r="12849" spans="1:3" x14ac:dyDescent="0.2">
      <c r="A12849" s="82"/>
      <c r="B12849" s="82"/>
      <c r="C12849" s="82"/>
    </row>
    <row r="12850" spans="1:3" x14ac:dyDescent="0.2">
      <c r="A12850" s="82"/>
      <c r="B12850" s="82"/>
      <c r="C12850" s="82"/>
    </row>
    <row r="12851" spans="1:3" x14ac:dyDescent="0.2">
      <c r="A12851" s="82"/>
      <c r="B12851" s="82"/>
      <c r="C12851" s="82"/>
    </row>
    <row r="12852" spans="1:3" x14ac:dyDescent="0.2">
      <c r="A12852" s="82"/>
      <c r="B12852" s="82"/>
      <c r="C12852" s="82"/>
    </row>
    <row r="12853" spans="1:3" x14ac:dyDescent="0.2">
      <c r="A12853" s="82"/>
      <c r="B12853" s="82"/>
      <c r="C12853" s="82"/>
    </row>
    <row r="12854" spans="1:3" x14ac:dyDescent="0.2">
      <c r="A12854" s="82"/>
      <c r="B12854" s="82"/>
      <c r="C12854" s="82"/>
    </row>
    <row r="12855" spans="1:3" x14ac:dyDescent="0.2">
      <c r="A12855" s="82"/>
      <c r="B12855" s="82"/>
      <c r="C12855" s="82"/>
    </row>
    <row r="12856" spans="1:3" x14ac:dyDescent="0.2">
      <c r="A12856" s="82"/>
      <c r="B12856" s="82"/>
      <c r="C12856" s="82"/>
    </row>
    <row r="12857" spans="1:3" x14ac:dyDescent="0.2">
      <c r="A12857" s="82"/>
      <c r="B12857" s="82"/>
      <c r="C12857" s="82"/>
    </row>
    <row r="12858" spans="1:3" x14ac:dyDescent="0.2">
      <c r="A12858" s="82"/>
      <c r="B12858" s="82"/>
      <c r="C12858" s="82"/>
    </row>
    <row r="12859" spans="1:3" x14ac:dyDescent="0.2">
      <c r="A12859" s="82"/>
      <c r="B12859" s="82"/>
      <c r="C12859" s="82"/>
    </row>
    <row r="12860" spans="1:3" x14ac:dyDescent="0.2">
      <c r="A12860" s="82"/>
      <c r="B12860" s="82"/>
      <c r="C12860" s="82"/>
    </row>
    <row r="12861" spans="1:3" x14ac:dyDescent="0.2">
      <c r="A12861" s="82"/>
      <c r="B12861" s="82"/>
      <c r="C12861" s="82"/>
    </row>
    <row r="12862" spans="1:3" x14ac:dyDescent="0.2">
      <c r="A12862" s="82"/>
      <c r="B12862" s="82"/>
      <c r="C12862" s="82"/>
    </row>
    <row r="12863" spans="1:3" x14ac:dyDescent="0.2">
      <c r="A12863" s="82"/>
      <c r="B12863" s="82"/>
      <c r="C12863" s="82"/>
    </row>
    <row r="12864" spans="1:3" x14ac:dyDescent="0.2">
      <c r="A12864" s="82"/>
      <c r="B12864" s="82"/>
      <c r="C12864" s="82"/>
    </row>
    <row r="12865" spans="1:3" x14ac:dyDescent="0.2">
      <c r="A12865" s="82"/>
      <c r="B12865" s="82"/>
      <c r="C12865" s="82"/>
    </row>
    <row r="12866" spans="1:3" x14ac:dyDescent="0.2">
      <c r="A12866" s="82"/>
      <c r="B12866" s="82"/>
      <c r="C12866" s="82"/>
    </row>
    <row r="12867" spans="1:3" x14ac:dyDescent="0.2">
      <c r="A12867" s="82"/>
      <c r="B12867" s="82"/>
      <c r="C12867" s="82"/>
    </row>
    <row r="12868" spans="1:3" x14ac:dyDescent="0.2">
      <c r="A12868" s="82"/>
      <c r="B12868" s="82"/>
      <c r="C12868" s="82"/>
    </row>
    <row r="12869" spans="1:3" x14ac:dyDescent="0.2">
      <c r="A12869" s="82"/>
      <c r="B12869" s="82"/>
      <c r="C12869" s="82"/>
    </row>
    <row r="12870" spans="1:3" x14ac:dyDescent="0.2">
      <c r="A12870" s="82"/>
      <c r="B12870" s="82"/>
      <c r="C12870" s="82"/>
    </row>
    <row r="12871" spans="1:3" x14ac:dyDescent="0.2">
      <c r="A12871" s="82"/>
      <c r="B12871" s="82"/>
      <c r="C12871" s="82"/>
    </row>
    <row r="12872" spans="1:3" x14ac:dyDescent="0.2">
      <c r="A12872" s="82"/>
      <c r="B12872" s="82"/>
      <c r="C12872" s="82"/>
    </row>
    <row r="12873" spans="1:3" x14ac:dyDescent="0.2">
      <c r="A12873" s="82"/>
      <c r="B12873" s="82"/>
      <c r="C12873" s="82"/>
    </row>
    <row r="12874" spans="1:3" x14ac:dyDescent="0.2">
      <c r="A12874" s="82"/>
      <c r="B12874" s="82"/>
      <c r="C12874" s="82"/>
    </row>
    <row r="12875" spans="1:3" x14ac:dyDescent="0.2">
      <c r="A12875" s="82"/>
      <c r="B12875" s="82"/>
      <c r="C12875" s="82"/>
    </row>
    <row r="12876" spans="1:3" x14ac:dyDescent="0.2">
      <c r="A12876" s="82"/>
      <c r="B12876" s="82"/>
      <c r="C12876" s="82"/>
    </row>
    <row r="12877" spans="1:3" x14ac:dyDescent="0.2">
      <c r="A12877" s="82"/>
      <c r="B12877" s="82"/>
      <c r="C12877" s="82"/>
    </row>
    <row r="12878" spans="1:3" x14ac:dyDescent="0.2">
      <c r="A12878" s="82"/>
      <c r="B12878" s="82"/>
      <c r="C12878" s="82"/>
    </row>
    <row r="12879" spans="1:3" x14ac:dyDescent="0.2">
      <c r="A12879" s="82"/>
      <c r="B12879" s="82"/>
      <c r="C12879" s="82"/>
    </row>
    <row r="12880" spans="1:3" x14ac:dyDescent="0.2">
      <c r="A12880" s="82"/>
      <c r="B12880" s="82"/>
      <c r="C12880" s="82"/>
    </row>
    <row r="12881" spans="1:3" x14ac:dyDescent="0.2">
      <c r="A12881" s="82"/>
      <c r="B12881" s="82"/>
      <c r="C12881" s="82"/>
    </row>
    <row r="12882" spans="1:3" x14ac:dyDescent="0.2">
      <c r="A12882" s="82"/>
      <c r="B12882" s="82"/>
      <c r="C12882" s="82"/>
    </row>
    <row r="12883" spans="1:3" x14ac:dyDescent="0.2">
      <c r="A12883" s="82"/>
      <c r="B12883" s="82"/>
      <c r="C12883" s="82"/>
    </row>
    <row r="12884" spans="1:3" x14ac:dyDescent="0.2">
      <c r="A12884" s="82"/>
      <c r="B12884" s="82"/>
      <c r="C12884" s="82"/>
    </row>
    <row r="12885" spans="1:3" x14ac:dyDescent="0.2">
      <c r="A12885" s="82"/>
      <c r="B12885" s="82"/>
      <c r="C12885" s="82"/>
    </row>
    <row r="12886" spans="1:3" x14ac:dyDescent="0.2">
      <c r="A12886" s="82"/>
      <c r="B12886" s="82"/>
      <c r="C12886" s="82"/>
    </row>
    <row r="12887" spans="1:3" x14ac:dyDescent="0.2">
      <c r="A12887" s="82"/>
      <c r="B12887" s="82"/>
      <c r="C12887" s="82"/>
    </row>
    <row r="12888" spans="1:3" x14ac:dyDescent="0.2">
      <c r="A12888" s="82"/>
      <c r="B12888" s="82"/>
      <c r="C12888" s="82"/>
    </row>
    <row r="12889" spans="1:3" x14ac:dyDescent="0.2">
      <c r="A12889" s="82"/>
      <c r="B12889" s="82"/>
      <c r="C12889" s="82"/>
    </row>
    <row r="12890" spans="1:3" x14ac:dyDescent="0.2">
      <c r="A12890" s="82"/>
      <c r="B12890" s="82"/>
      <c r="C12890" s="82"/>
    </row>
    <row r="12891" spans="1:3" x14ac:dyDescent="0.2">
      <c r="A12891" s="82"/>
      <c r="B12891" s="82"/>
      <c r="C12891" s="82"/>
    </row>
    <row r="12892" spans="1:3" x14ac:dyDescent="0.2">
      <c r="A12892" s="82"/>
      <c r="B12892" s="82"/>
      <c r="C12892" s="82"/>
    </row>
    <row r="12893" spans="1:3" x14ac:dyDescent="0.2">
      <c r="A12893" s="82"/>
      <c r="B12893" s="82"/>
      <c r="C12893" s="82"/>
    </row>
    <row r="12894" spans="1:3" x14ac:dyDescent="0.2">
      <c r="A12894" s="82"/>
      <c r="B12894" s="82"/>
      <c r="C12894" s="82"/>
    </row>
    <row r="12895" spans="1:3" x14ac:dyDescent="0.2">
      <c r="A12895" s="82"/>
      <c r="B12895" s="82"/>
      <c r="C12895" s="82"/>
    </row>
    <row r="12896" spans="1:3" x14ac:dyDescent="0.2">
      <c r="A12896" s="82"/>
      <c r="B12896" s="82"/>
      <c r="C12896" s="82"/>
    </row>
    <row r="12897" spans="1:3" x14ac:dyDescent="0.2">
      <c r="A12897" s="82"/>
      <c r="B12897" s="82"/>
      <c r="C12897" s="82"/>
    </row>
    <row r="12898" spans="1:3" x14ac:dyDescent="0.2">
      <c r="A12898" s="82"/>
      <c r="B12898" s="82"/>
      <c r="C12898" s="82"/>
    </row>
    <row r="12899" spans="1:3" x14ac:dyDescent="0.2">
      <c r="A12899" s="82"/>
      <c r="B12899" s="82"/>
      <c r="C12899" s="82"/>
    </row>
    <row r="12900" spans="1:3" x14ac:dyDescent="0.2">
      <c r="A12900" s="82"/>
      <c r="B12900" s="82"/>
      <c r="C12900" s="82"/>
    </row>
    <row r="12901" spans="1:3" x14ac:dyDescent="0.2">
      <c r="A12901" s="82"/>
      <c r="B12901" s="82"/>
      <c r="C12901" s="82"/>
    </row>
    <row r="12902" spans="1:3" x14ac:dyDescent="0.2">
      <c r="A12902" s="82"/>
      <c r="B12902" s="82"/>
      <c r="C12902" s="82"/>
    </row>
    <row r="12903" spans="1:3" x14ac:dyDescent="0.2">
      <c r="A12903" s="82"/>
      <c r="B12903" s="82"/>
      <c r="C12903" s="82"/>
    </row>
    <row r="12904" spans="1:3" x14ac:dyDescent="0.2">
      <c r="A12904" s="82"/>
      <c r="B12904" s="82"/>
      <c r="C12904" s="82"/>
    </row>
    <row r="12905" spans="1:3" x14ac:dyDescent="0.2">
      <c r="A12905" s="82"/>
      <c r="B12905" s="82"/>
      <c r="C12905" s="82"/>
    </row>
    <row r="12906" spans="1:3" x14ac:dyDescent="0.2">
      <c r="A12906" s="82"/>
      <c r="B12906" s="82"/>
      <c r="C12906" s="82"/>
    </row>
    <row r="12907" spans="1:3" x14ac:dyDescent="0.2">
      <c r="A12907" s="82"/>
      <c r="B12907" s="82"/>
      <c r="C12907" s="82"/>
    </row>
    <row r="12908" spans="1:3" x14ac:dyDescent="0.2">
      <c r="A12908" s="82"/>
      <c r="B12908" s="82"/>
      <c r="C12908" s="82"/>
    </row>
    <row r="12909" spans="1:3" x14ac:dyDescent="0.2">
      <c r="A12909" s="82"/>
      <c r="B12909" s="82"/>
      <c r="C12909" s="82"/>
    </row>
    <row r="12910" spans="1:3" x14ac:dyDescent="0.2">
      <c r="A12910" s="82"/>
      <c r="B12910" s="82"/>
      <c r="C12910" s="82"/>
    </row>
    <row r="12911" spans="1:3" x14ac:dyDescent="0.2">
      <c r="A12911" s="82"/>
      <c r="B12911" s="82"/>
      <c r="C12911" s="82"/>
    </row>
    <row r="12912" spans="1:3" x14ac:dyDescent="0.2">
      <c r="A12912" s="82"/>
      <c r="B12912" s="82"/>
      <c r="C12912" s="82"/>
    </row>
    <row r="12913" spans="1:3" x14ac:dyDescent="0.2">
      <c r="A12913" s="82"/>
      <c r="B12913" s="82"/>
      <c r="C12913" s="82"/>
    </row>
    <row r="12914" spans="1:3" x14ac:dyDescent="0.2">
      <c r="A12914" s="82"/>
      <c r="B12914" s="82"/>
      <c r="C12914" s="82"/>
    </row>
    <row r="12915" spans="1:3" x14ac:dyDescent="0.2">
      <c r="A12915" s="82"/>
      <c r="B12915" s="82"/>
      <c r="C12915" s="82"/>
    </row>
    <row r="12916" spans="1:3" x14ac:dyDescent="0.2">
      <c r="A12916" s="82"/>
      <c r="B12916" s="82"/>
      <c r="C12916" s="82"/>
    </row>
    <row r="12917" spans="1:3" x14ac:dyDescent="0.2">
      <c r="A12917" s="82"/>
      <c r="B12917" s="82"/>
      <c r="C12917" s="82"/>
    </row>
    <row r="12918" spans="1:3" x14ac:dyDescent="0.2">
      <c r="A12918" s="82"/>
      <c r="B12918" s="82"/>
      <c r="C12918" s="82"/>
    </row>
    <row r="12919" spans="1:3" x14ac:dyDescent="0.2">
      <c r="A12919" s="82"/>
      <c r="B12919" s="82"/>
      <c r="C12919" s="82"/>
    </row>
    <row r="12920" spans="1:3" x14ac:dyDescent="0.2">
      <c r="A12920" s="82"/>
      <c r="B12920" s="82"/>
      <c r="C12920" s="82"/>
    </row>
    <row r="12921" spans="1:3" x14ac:dyDescent="0.2">
      <c r="A12921" s="82"/>
      <c r="B12921" s="82"/>
      <c r="C12921" s="82"/>
    </row>
    <row r="12922" spans="1:3" x14ac:dyDescent="0.2">
      <c r="A12922" s="82"/>
      <c r="B12922" s="82"/>
      <c r="C12922" s="82"/>
    </row>
    <row r="12923" spans="1:3" x14ac:dyDescent="0.2">
      <c r="A12923" s="82"/>
      <c r="B12923" s="82"/>
      <c r="C12923" s="82"/>
    </row>
    <row r="12924" spans="1:3" x14ac:dyDescent="0.2">
      <c r="A12924" s="82"/>
      <c r="B12924" s="82"/>
      <c r="C12924" s="82"/>
    </row>
    <row r="12925" spans="1:3" x14ac:dyDescent="0.2">
      <c r="A12925" s="82"/>
      <c r="B12925" s="82"/>
      <c r="C12925" s="82"/>
    </row>
    <row r="12926" spans="1:3" x14ac:dyDescent="0.2">
      <c r="A12926" s="82"/>
      <c r="B12926" s="82"/>
      <c r="C12926" s="82"/>
    </row>
    <row r="12927" spans="1:3" x14ac:dyDescent="0.2">
      <c r="A12927" s="82"/>
      <c r="B12927" s="82"/>
      <c r="C12927" s="82"/>
    </row>
    <row r="12928" spans="1:3" x14ac:dyDescent="0.2">
      <c r="A12928" s="82"/>
      <c r="B12928" s="82"/>
      <c r="C12928" s="82"/>
    </row>
    <row r="12929" spans="1:3" x14ac:dyDescent="0.2">
      <c r="A12929" s="82"/>
      <c r="B12929" s="82"/>
      <c r="C12929" s="82"/>
    </row>
    <row r="12930" spans="1:3" x14ac:dyDescent="0.2">
      <c r="A12930" s="82"/>
      <c r="B12930" s="82"/>
      <c r="C12930" s="82"/>
    </row>
    <row r="12931" spans="1:3" x14ac:dyDescent="0.2">
      <c r="A12931" s="82"/>
      <c r="B12931" s="82"/>
      <c r="C12931" s="82"/>
    </row>
    <row r="12932" spans="1:3" x14ac:dyDescent="0.2">
      <c r="A12932" s="82"/>
      <c r="B12932" s="82"/>
      <c r="C12932" s="82"/>
    </row>
    <row r="12933" spans="1:3" x14ac:dyDescent="0.2">
      <c r="A12933" s="82"/>
      <c r="B12933" s="82"/>
      <c r="C12933" s="82"/>
    </row>
    <row r="12934" spans="1:3" x14ac:dyDescent="0.2">
      <c r="A12934" s="82"/>
      <c r="B12934" s="82"/>
      <c r="C12934" s="82"/>
    </row>
    <row r="12935" spans="1:3" x14ac:dyDescent="0.2">
      <c r="A12935" s="82"/>
      <c r="B12935" s="82"/>
      <c r="C12935" s="82"/>
    </row>
    <row r="12936" spans="1:3" x14ac:dyDescent="0.2">
      <c r="A12936" s="82"/>
      <c r="B12936" s="82"/>
      <c r="C12936" s="82"/>
    </row>
    <row r="12937" spans="1:3" x14ac:dyDescent="0.2">
      <c r="A12937" s="82"/>
      <c r="B12937" s="82"/>
      <c r="C12937" s="82"/>
    </row>
    <row r="12938" spans="1:3" x14ac:dyDescent="0.2">
      <c r="A12938" s="82"/>
      <c r="B12938" s="82"/>
      <c r="C12938" s="82"/>
    </row>
    <row r="12939" spans="1:3" x14ac:dyDescent="0.2">
      <c r="A12939" s="82"/>
      <c r="B12939" s="82"/>
      <c r="C12939" s="82"/>
    </row>
    <row r="12940" spans="1:3" x14ac:dyDescent="0.2">
      <c r="A12940" s="82"/>
      <c r="B12940" s="82"/>
      <c r="C12940" s="82"/>
    </row>
    <row r="12941" spans="1:3" x14ac:dyDescent="0.2">
      <c r="A12941" s="82"/>
      <c r="B12941" s="82"/>
      <c r="C12941" s="82"/>
    </row>
    <row r="12942" spans="1:3" x14ac:dyDescent="0.2">
      <c r="A12942" s="82"/>
      <c r="B12942" s="82"/>
      <c r="C12942" s="82"/>
    </row>
    <row r="12943" spans="1:3" x14ac:dyDescent="0.2">
      <c r="A12943" s="82"/>
      <c r="B12943" s="82"/>
      <c r="C12943" s="82"/>
    </row>
    <row r="12944" spans="1:3" x14ac:dyDescent="0.2">
      <c r="A12944" s="82"/>
      <c r="B12944" s="82"/>
      <c r="C12944" s="82"/>
    </row>
    <row r="12945" spans="1:3" x14ac:dyDescent="0.2">
      <c r="A12945" s="82"/>
      <c r="B12945" s="82"/>
      <c r="C12945" s="82"/>
    </row>
    <row r="12946" spans="1:3" x14ac:dyDescent="0.2">
      <c r="A12946" s="82"/>
      <c r="B12946" s="82"/>
      <c r="C12946" s="82"/>
    </row>
    <row r="12947" spans="1:3" x14ac:dyDescent="0.2">
      <c r="A12947" s="82"/>
      <c r="B12947" s="82"/>
      <c r="C12947" s="82"/>
    </row>
    <row r="12948" spans="1:3" x14ac:dyDescent="0.2">
      <c r="A12948" s="82"/>
      <c r="B12948" s="82"/>
      <c r="C12948" s="82"/>
    </row>
    <row r="12949" spans="1:3" x14ac:dyDescent="0.2">
      <c r="A12949" s="82"/>
      <c r="B12949" s="82"/>
      <c r="C12949" s="82"/>
    </row>
    <row r="12950" spans="1:3" x14ac:dyDescent="0.2">
      <c r="A12950" s="82"/>
      <c r="B12950" s="82"/>
      <c r="C12950" s="82"/>
    </row>
    <row r="12951" spans="1:3" x14ac:dyDescent="0.2">
      <c r="A12951" s="82"/>
      <c r="B12951" s="82"/>
      <c r="C12951" s="82"/>
    </row>
    <row r="12952" spans="1:3" x14ac:dyDescent="0.2">
      <c r="A12952" s="82"/>
      <c r="B12952" s="82"/>
      <c r="C12952" s="82"/>
    </row>
    <row r="12953" spans="1:3" x14ac:dyDescent="0.2">
      <c r="A12953" s="82"/>
      <c r="B12953" s="82"/>
      <c r="C12953" s="82"/>
    </row>
    <row r="12954" spans="1:3" x14ac:dyDescent="0.2">
      <c r="A12954" s="82"/>
      <c r="B12954" s="82"/>
      <c r="C12954" s="82"/>
    </row>
    <row r="12955" spans="1:3" x14ac:dyDescent="0.2">
      <c r="A12955" s="82"/>
      <c r="B12955" s="82"/>
      <c r="C12955" s="82"/>
    </row>
    <row r="12956" spans="1:3" x14ac:dyDescent="0.2">
      <c r="A12956" s="82"/>
      <c r="B12956" s="82"/>
      <c r="C12956" s="82"/>
    </row>
    <row r="12957" spans="1:3" x14ac:dyDescent="0.2">
      <c r="A12957" s="82"/>
      <c r="B12957" s="82"/>
      <c r="C12957" s="82"/>
    </row>
    <row r="12958" spans="1:3" x14ac:dyDescent="0.2">
      <c r="A12958" s="82"/>
      <c r="B12958" s="82"/>
      <c r="C12958" s="82"/>
    </row>
    <row r="12959" spans="1:3" x14ac:dyDescent="0.2">
      <c r="A12959" s="82"/>
      <c r="B12959" s="82"/>
      <c r="C12959" s="82"/>
    </row>
    <row r="12960" spans="1:3" x14ac:dyDescent="0.2">
      <c r="A12960" s="82"/>
      <c r="B12960" s="82"/>
      <c r="C12960" s="82"/>
    </row>
    <row r="12961" spans="1:3" x14ac:dyDescent="0.2">
      <c r="A12961" s="82"/>
      <c r="B12961" s="82"/>
      <c r="C12961" s="82"/>
    </row>
    <row r="12962" spans="1:3" x14ac:dyDescent="0.2">
      <c r="A12962" s="82"/>
      <c r="B12962" s="82"/>
      <c r="C12962" s="82"/>
    </row>
    <row r="12963" spans="1:3" x14ac:dyDescent="0.2">
      <c r="A12963" s="82"/>
      <c r="B12963" s="82"/>
      <c r="C12963" s="82"/>
    </row>
    <row r="12964" spans="1:3" x14ac:dyDescent="0.2">
      <c r="A12964" s="82"/>
      <c r="B12964" s="82"/>
      <c r="C12964" s="82"/>
    </row>
    <row r="12965" spans="1:3" x14ac:dyDescent="0.2">
      <c r="A12965" s="82"/>
      <c r="B12965" s="82"/>
      <c r="C12965" s="82"/>
    </row>
    <row r="12966" spans="1:3" x14ac:dyDescent="0.2">
      <c r="A12966" s="82"/>
      <c r="B12966" s="82"/>
      <c r="C12966" s="82"/>
    </row>
    <row r="12967" spans="1:3" x14ac:dyDescent="0.2">
      <c r="A12967" s="82"/>
      <c r="B12967" s="82"/>
      <c r="C12967" s="82"/>
    </row>
    <row r="12968" spans="1:3" x14ac:dyDescent="0.2">
      <c r="A12968" s="82"/>
      <c r="B12968" s="82"/>
      <c r="C12968" s="82"/>
    </row>
    <row r="12969" spans="1:3" x14ac:dyDescent="0.2">
      <c r="A12969" s="82"/>
      <c r="B12969" s="82"/>
      <c r="C12969" s="82"/>
    </row>
    <row r="12970" spans="1:3" x14ac:dyDescent="0.2">
      <c r="A12970" s="82"/>
      <c r="B12970" s="82"/>
      <c r="C12970" s="82"/>
    </row>
    <row r="12971" spans="1:3" x14ac:dyDescent="0.2">
      <c r="A12971" s="82"/>
      <c r="B12971" s="82"/>
      <c r="C12971" s="82"/>
    </row>
    <row r="12972" spans="1:3" x14ac:dyDescent="0.2">
      <c r="A12972" s="82"/>
      <c r="B12972" s="82"/>
      <c r="C12972" s="82"/>
    </row>
    <row r="12973" spans="1:3" x14ac:dyDescent="0.2">
      <c r="A12973" s="82"/>
      <c r="B12973" s="82"/>
      <c r="C12973" s="82"/>
    </row>
    <row r="12974" spans="1:3" x14ac:dyDescent="0.2">
      <c r="A12974" s="82"/>
      <c r="B12974" s="82"/>
      <c r="C12974" s="82"/>
    </row>
    <row r="12975" spans="1:3" x14ac:dyDescent="0.2">
      <c r="A12975" s="82"/>
      <c r="B12975" s="82"/>
      <c r="C12975" s="82"/>
    </row>
    <row r="12976" spans="1:3" x14ac:dyDescent="0.2">
      <c r="A12976" s="82"/>
      <c r="B12976" s="82"/>
      <c r="C12976" s="82"/>
    </row>
    <row r="12977" spans="1:3" x14ac:dyDescent="0.2">
      <c r="A12977" s="82"/>
      <c r="B12977" s="82"/>
      <c r="C12977" s="82"/>
    </row>
    <row r="12978" spans="1:3" x14ac:dyDescent="0.2">
      <c r="A12978" s="82"/>
      <c r="B12978" s="82"/>
      <c r="C12978" s="82"/>
    </row>
    <row r="12979" spans="1:3" x14ac:dyDescent="0.2">
      <c r="A12979" s="82"/>
      <c r="B12979" s="82"/>
      <c r="C12979" s="82"/>
    </row>
    <row r="12980" spans="1:3" x14ac:dyDescent="0.2">
      <c r="A12980" s="82"/>
      <c r="B12980" s="82"/>
      <c r="C12980" s="82"/>
    </row>
    <row r="12981" spans="1:3" x14ac:dyDescent="0.2">
      <c r="A12981" s="82"/>
      <c r="B12981" s="82"/>
      <c r="C12981" s="82"/>
    </row>
    <row r="12982" spans="1:3" x14ac:dyDescent="0.2">
      <c r="A12982" s="82"/>
      <c r="B12982" s="82"/>
      <c r="C12982" s="82"/>
    </row>
    <row r="12983" spans="1:3" x14ac:dyDescent="0.2">
      <c r="A12983" s="82"/>
      <c r="B12983" s="82"/>
      <c r="C12983" s="82"/>
    </row>
    <row r="12984" spans="1:3" x14ac:dyDescent="0.2">
      <c r="A12984" s="82"/>
      <c r="B12984" s="82"/>
      <c r="C12984" s="82"/>
    </row>
    <row r="12985" spans="1:3" x14ac:dyDescent="0.2">
      <c r="A12985" s="82"/>
      <c r="B12985" s="82"/>
      <c r="C12985" s="82"/>
    </row>
    <row r="12986" spans="1:3" x14ac:dyDescent="0.2">
      <c r="A12986" s="82"/>
      <c r="B12986" s="82"/>
      <c r="C12986" s="82"/>
    </row>
    <row r="12987" spans="1:3" x14ac:dyDescent="0.2">
      <c r="A12987" s="82"/>
      <c r="B12987" s="82"/>
      <c r="C12987" s="82"/>
    </row>
    <row r="12988" spans="1:3" x14ac:dyDescent="0.2">
      <c r="A12988" s="82"/>
      <c r="B12988" s="82"/>
      <c r="C12988" s="82"/>
    </row>
    <row r="12989" spans="1:3" x14ac:dyDescent="0.2">
      <c r="A12989" s="82"/>
      <c r="B12989" s="82"/>
      <c r="C12989" s="82"/>
    </row>
    <row r="12990" spans="1:3" x14ac:dyDescent="0.2">
      <c r="A12990" s="82"/>
      <c r="B12990" s="82"/>
      <c r="C12990" s="82"/>
    </row>
    <row r="12991" spans="1:3" x14ac:dyDescent="0.2">
      <c r="A12991" s="82"/>
      <c r="B12991" s="82"/>
      <c r="C12991" s="82"/>
    </row>
    <row r="12992" spans="1:3" x14ac:dyDescent="0.2">
      <c r="A12992" s="82"/>
      <c r="B12992" s="82"/>
      <c r="C12992" s="82"/>
    </row>
    <row r="12993" spans="1:3" x14ac:dyDescent="0.2">
      <c r="A12993" s="82"/>
      <c r="B12993" s="82"/>
      <c r="C12993" s="82"/>
    </row>
    <row r="12994" spans="1:3" x14ac:dyDescent="0.2">
      <c r="A12994" s="82"/>
      <c r="B12994" s="82"/>
      <c r="C12994" s="82"/>
    </row>
    <row r="12995" spans="1:3" x14ac:dyDescent="0.2">
      <c r="A12995" s="82"/>
      <c r="B12995" s="82"/>
      <c r="C12995" s="82"/>
    </row>
    <row r="12996" spans="1:3" x14ac:dyDescent="0.2">
      <c r="A12996" s="82"/>
      <c r="B12996" s="82"/>
      <c r="C12996" s="82"/>
    </row>
    <row r="12997" spans="1:3" x14ac:dyDescent="0.2">
      <c r="A12997" s="82"/>
      <c r="B12997" s="82"/>
      <c r="C12997" s="82"/>
    </row>
    <row r="12998" spans="1:3" x14ac:dyDescent="0.2">
      <c r="A12998" s="82"/>
      <c r="B12998" s="82"/>
      <c r="C12998" s="82"/>
    </row>
    <row r="12999" spans="1:3" x14ac:dyDescent="0.2">
      <c r="A12999" s="82"/>
      <c r="B12999" s="82"/>
      <c r="C12999" s="82"/>
    </row>
    <row r="13000" spans="1:3" x14ac:dyDescent="0.2">
      <c r="A13000" s="82"/>
      <c r="B13000" s="82"/>
      <c r="C13000" s="82"/>
    </row>
    <row r="13001" spans="1:3" x14ac:dyDescent="0.2">
      <c r="A13001" s="82"/>
      <c r="B13001" s="82"/>
      <c r="C13001" s="82"/>
    </row>
    <row r="13002" spans="1:3" x14ac:dyDescent="0.2">
      <c r="A13002" s="82"/>
      <c r="B13002" s="82"/>
      <c r="C13002" s="82"/>
    </row>
    <row r="13003" spans="1:3" x14ac:dyDescent="0.2">
      <c r="A13003" s="82"/>
      <c r="B13003" s="82"/>
      <c r="C13003" s="82"/>
    </row>
    <row r="13004" spans="1:3" x14ac:dyDescent="0.2">
      <c r="A13004" s="82"/>
      <c r="B13004" s="82"/>
      <c r="C13004" s="82"/>
    </row>
    <row r="13005" spans="1:3" x14ac:dyDescent="0.2">
      <c r="A13005" s="82"/>
      <c r="B13005" s="82"/>
      <c r="C13005" s="82"/>
    </row>
    <row r="13006" spans="1:3" x14ac:dyDescent="0.2">
      <c r="A13006" s="82"/>
      <c r="B13006" s="82"/>
      <c r="C13006" s="82"/>
    </row>
    <row r="13007" spans="1:3" x14ac:dyDescent="0.2">
      <c r="A13007" s="82"/>
      <c r="B13007" s="82"/>
      <c r="C13007" s="82"/>
    </row>
    <row r="13008" spans="1:3" x14ac:dyDescent="0.2">
      <c r="A13008" s="82"/>
      <c r="B13008" s="82"/>
      <c r="C13008" s="82"/>
    </row>
    <row r="13009" spans="1:3" x14ac:dyDescent="0.2">
      <c r="A13009" s="82"/>
      <c r="B13009" s="82"/>
      <c r="C13009" s="82"/>
    </row>
    <row r="13010" spans="1:3" x14ac:dyDescent="0.2">
      <c r="A13010" s="82"/>
      <c r="B13010" s="82"/>
      <c r="C13010" s="82"/>
    </row>
    <row r="13011" spans="1:3" x14ac:dyDescent="0.2">
      <c r="A13011" s="82"/>
      <c r="B13011" s="82"/>
      <c r="C13011" s="82"/>
    </row>
    <row r="13012" spans="1:3" x14ac:dyDescent="0.2">
      <c r="A13012" s="82"/>
      <c r="B13012" s="82"/>
      <c r="C13012" s="82"/>
    </row>
    <row r="13013" spans="1:3" x14ac:dyDescent="0.2">
      <c r="A13013" s="82"/>
      <c r="B13013" s="82"/>
      <c r="C13013" s="82"/>
    </row>
    <row r="13014" spans="1:3" x14ac:dyDescent="0.2">
      <c r="A13014" s="82"/>
      <c r="B13014" s="82"/>
      <c r="C13014" s="82"/>
    </row>
    <row r="13015" spans="1:3" x14ac:dyDescent="0.2">
      <c r="A13015" s="82"/>
      <c r="B13015" s="82"/>
      <c r="C13015" s="82"/>
    </row>
    <row r="13016" spans="1:3" x14ac:dyDescent="0.2">
      <c r="A13016" s="82"/>
      <c r="B13016" s="82"/>
      <c r="C13016" s="82"/>
    </row>
    <row r="13017" spans="1:3" x14ac:dyDescent="0.2">
      <c r="A13017" s="82"/>
      <c r="B13017" s="82"/>
      <c r="C13017" s="82"/>
    </row>
    <row r="13018" spans="1:3" x14ac:dyDescent="0.2">
      <c r="A13018" s="82"/>
      <c r="B13018" s="82"/>
      <c r="C13018" s="82"/>
    </row>
    <row r="13019" spans="1:3" x14ac:dyDescent="0.2">
      <c r="A13019" s="82"/>
      <c r="B13019" s="82"/>
      <c r="C13019" s="82"/>
    </row>
    <row r="13020" spans="1:3" x14ac:dyDescent="0.2">
      <c r="A13020" s="82"/>
      <c r="B13020" s="82"/>
      <c r="C13020" s="82"/>
    </row>
    <row r="13021" spans="1:3" x14ac:dyDescent="0.2">
      <c r="A13021" s="82"/>
      <c r="B13021" s="82"/>
      <c r="C13021" s="82"/>
    </row>
    <row r="13022" spans="1:3" x14ac:dyDescent="0.2">
      <c r="A13022" s="82"/>
      <c r="B13022" s="82"/>
      <c r="C13022" s="82"/>
    </row>
    <row r="13023" spans="1:3" x14ac:dyDescent="0.2">
      <c r="A13023" s="82"/>
      <c r="B13023" s="82"/>
      <c r="C13023" s="82"/>
    </row>
    <row r="13024" spans="1:3" x14ac:dyDescent="0.2">
      <c r="A13024" s="82"/>
      <c r="B13024" s="82"/>
      <c r="C13024" s="82"/>
    </row>
    <row r="13025" spans="1:3" x14ac:dyDescent="0.2">
      <c r="A13025" s="82"/>
      <c r="B13025" s="82"/>
      <c r="C13025" s="82"/>
    </row>
    <row r="13026" spans="1:3" x14ac:dyDescent="0.2">
      <c r="A13026" s="82"/>
      <c r="B13026" s="82"/>
      <c r="C13026" s="82"/>
    </row>
    <row r="13027" spans="1:3" x14ac:dyDescent="0.2">
      <c r="A13027" s="82"/>
      <c r="B13027" s="82"/>
      <c r="C13027" s="82"/>
    </row>
    <row r="13028" spans="1:3" x14ac:dyDescent="0.2">
      <c r="A13028" s="82"/>
      <c r="B13028" s="82"/>
      <c r="C13028" s="82"/>
    </row>
    <row r="13029" spans="1:3" x14ac:dyDescent="0.2">
      <c r="A13029" s="82"/>
      <c r="B13029" s="82"/>
      <c r="C13029" s="82"/>
    </row>
    <row r="13030" spans="1:3" x14ac:dyDescent="0.2">
      <c r="A13030" s="82"/>
      <c r="B13030" s="82"/>
      <c r="C13030" s="82"/>
    </row>
    <row r="13031" spans="1:3" x14ac:dyDescent="0.2">
      <c r="A13031" s="82"/>
      <c r="B13031" s="82"/>
      <c r="C13031" s="82"/>
    </row>
    <row r="13032" spans="1:3" x14ac:dyDescent="0.2">
      <c r="A13032" s="82"/>
      <c r="B13032" s="82"/>
      <c r="C13032" s="82"/>
    </row>
    <row r="13033" spans="1:3" x14ac:dyDescent="0.2">
      <c r="A13033" s="82"/>
      <c r="B13033" s="82"/>
      <c r="C13033" s="82"/>
    </row>
    <row r="13034" spans="1:3" x14ac:dyDescent="0.2">
      <c r="A13034" s="82"/>
      <c r="B13034" s="82"/>
      <c r="C13034" s="82"/>
    </row>
    <row r="13035" spans="1:3" x14ac:dyDescent="0.2">
      <c r="A13035" s="82"/>
      <c r="B13035" s="82"/>
      <c r="C13035" s="82"/>
    </row>
    <row r="13036" spans="1:3" x14ac:dyDescent="0.2">
      <c r="A13036" s="82"/>
      <c r="B13036" s="82"/>
      <c r="C13036" s="82"/>
    </row>
    <row r="13037" spans="1:3" x14ac:dyDescent="0.2">
      <c r="A13037" s="82"/>
      <c r="B13037" s="82"/>
      <c r="C13037" s="82"/>
    </row>
    <row r="13038" spans="1:3" x14ac:dyDescent="0.2">
      <c r="A13038" s="82"/>
      <c r="B13038" s="82"/>
      <c r="C13038" s="82"/>
    </row>
    <row r="13039" spans="1:3" x14ac:dyDescent="0.2">
      <c r="A13039" s="82"/>
      <c r="B13039" s="82"/>
      <c r="C13039" s="82"/>
    </row>
    <row r="13040" spans="1:3" x14ac:dyDescent="0.2">
      <c r="A13040" s="82"/>
      <c r="B13040" s="82"/>
      <c r="C13040" s="82"/>
    </row>
    <row r="13041" spans="1:3" x14ac:dyDescent="0.2">
      <c r="A13041" s="82"/>
      <c r="B13041" s="82"/>
      <c r="C13041" s="82"/>
    </row>
    <row r="13042" spans="1:3" x14ac:dyDescent="0.2">
      <c r="A13042" s="82"/>
      <c r="B13042" s="82"/>
      <c r="C13042" s="82"/>
    </row>
    <row r="13043" spans="1:3" x14ac:dyDescent="0.2">
      <c r="A13043" s="82"/>
      <c r="B13043" s="82"/>
      <c r="C13043" s="82"/>
    </row>
    <row r="13044" spans="1:3" x14ac:dyDescent="0.2">
      <c r="A13044" s="82"/>
      <c r="B13044" s="82"/>
      <c r="C13044" s="82"/>
    </row>
    <row r="13045" spans="1:3" x14ac:dyDescent="0.2">
      <c r="A13045" s="82"/>
      <c r="B13045" s="82"/>
      <c r="C13045" s="82"/>
    </row>
    <row r="13046" spans="1:3" x14ac:dyDescent="0.2">
      <c r="A13046" s="82"/>
      <c r="B13046" s="82"/>
      <c r="C13046" s="82"/>
    </row>
    <row r="13047" spans="1:3" x14ac:dyDescent="0.2">
      <c r="A13047" s="82"/>
      <c r="B13047" s="82"/>
      <c r="C13047" s="82"/>
    </row>
    <row r="13048" spans="1:3" x14ac:dyDescent="0.2">
      <c r="A13048" s="82"/>
      <c r="B13048" s="82"/>
      <c r="C13048" s="82"/>
    </row>
    <row r="13049" spans="1:3" x14ac:dyDescent="0.2">
      <c r="A13049" s="82"/>
      <c r="B13049" s="82"/>
      <c r="C13049" s="82"/>
    </row>
    <row r="13050" spans="1:3" x14ac:dyDescent="0.2">
      <c r="A13050" s="82"/>
      <c r="B13050" s="82"/>
      <c r="C13050" s="82"/>
    </row>
    <row r="13051" spans="1:3" x14ac:dyDescent="0.2">
      <c r="A13051" s="82"/>
      <c r="B13051" s="82"/>
      <c r="C13051" s="82"/>
    </row>
    <row r="13052" spans="1:3" x14ac:dyDescent="0.2">
      <c r="A13052" s="82"/>
      <c r="B13052" s="82"/>
      <c r="C13052" s="82"/>
    </row>
    <row r="13053" spans="1:3" x14ac:dyDescent="0.2">
      <c r="A13053" s="82"/>
      <c r="B13053" s="82"/>
      <c r="C13053" s="82"/>
    </row>
    <row r="13054" spans="1:3" x14ac:dyDescent="0.2">
      <c r="A13054" s="82"/>
      <c r="B13054" s="82"/>
      <c r="C13054" s="82"/>
    </row>
    <row r="13055" spans="1:3" x14ac:dyDescent="0.2">
      <c r="A13055" s="82"/>
      <c r="B13055" s="82"/>
      <c r="C13055" s="82"/>
    </row>
    <row r="13056" spans="1:3" x14ac:dyDescent="0.2">
      <c r="A13056" s="82"/>
      <c r="B13056" s="82"/>
      <c r="C13056" s="82"/>
    </row>
    <row r="13057" spans="1:3" x14ac:dyDescent="0.2">
      <c r="A13057" s="82"/>
      <c r="B13057" s="82"/>
      <c r="C13057" s="82"/>
    </row>
    <row r="13058" spans="1:3" x14ac:dyDescent="0.2">
      <c r="A13058" s="82"/>
      <c r="B13058" s="82"/>
      <c r="C13058" s="82"/>
    </row>
    <row r="13059" spans="1:3" x14ac:dyDescent="0.2">
      <c r="A13059" s="82"/>
      <c r="B13059" s="82"/>
      <c r="C13059" s="82"/>
    </row>
    <row r="13060" spans="1:3" x14ac:dyDescent="0.2">
      <c r="A13060" s="82"/>
      <c r="B13060" s="82"/>
      <c r="C13060" s="82"/>
    </row>
    <row r="13061" spans="1:3" x14ac:dyDescent="0.2">
      <c r="A13061" s="82"/>
      <c r="B13061" s="82"/>
      <c r="C13061" s="82"/>
    </row>
    <row r="13062" spans="1:3" x14ac:dyDescent="0.2">
      <c r="A13062" s="82"/>
      <c r="B13062" s="82"/>
      <c r="C13062" s="82"/>
    </row>
    <row r="13063" spans="1:3" x14ac:dyDescent="0.2">
      <c r="A13063" s="82"/>
      <c r="B13063" s="82"/>
      <c r="C13063" s="82"/>
    </row>
    <row r="13064" spans="1:3" x14ac:dyDescent="0.2">
      <c r="A13064" s="82"/>
      <c r="B13064" s="82"/>
      <c r="C13064" s="82"/>
    </row>
    <row r="13065" spans="1:3" x14ac:dyDescent="0.2">
      <c r="A13065" s="82"/>
      <c r="B13065" s="82"/>
      <c r="C13065" s="82"/>
    </row>
    <row r="13066" spans="1:3" x14ac:dyDescent="0.2">
      <c r="A13066" s="82"/>
      <c r="B13066" s="82"/>
      <c r="C13066" s="82"/>
    </row>
    <row r="13067" spans="1:3" x14ac:dyDescent="0.2">
      <c r="A13067" s="82"/>
      <c r="B13067" s="82"/>
      <c r="C13067" s="82"/>
    </row>
    <row r="13068" spans="1:3" x14ac:dyDescent="0.2">
      <c r="A13068" s="82"/>
      <c r="B13068" s="82"/>
      <c r="C13068" s="82"/>
    </row>
    <row r="13069" spans="1:3" x14ac:dyDescent="0.2">
      <c r="A13069" s="82"/>
      <c r="B13069" s="82"/>
      <c r="C13069" s="82"/>
    </row>
    <row r="13070" spans="1:3" x14ac:dyDescent="0.2">
      <c r="A13070" s="82"/>
      <c r="B13070" s="82"/>
      <c r="C13070" s="82"/>
    </row>
    <row r="13071" spans="1:3" x14ac:dyDescent="0.2">
      <c r="A13071" s="82"/>
      <c r="B13071" s="82"/>
      <c r="C13071" s="82"/>
    </row>
    <row r="13072" spans="1:3" x14ac:dyDescent="0.2">
      <c r="A13072" s="82"/>
      <c r="B13072" s="82"/>
      <c r="C13072" s="82"/>
    </row>
    <row r="13073" spans="1:3" x14ac:dyDescent="0.2">
      <c r="A13073" s="82"/>
      <c r="B13073" s="82"/>
      <c r="C13073" s="82"/>
    </row>
    <row r="13074" spans="1:3" x14ac:dyDescent="0.2">
      <c r="A13074" s="82"/>
      <c r="B13074" s="82"/>
      <c r="C13074" s="82"/>
    </row>
    <row r="13075" spans="1:3" x14ac:dyDescent="0.2">
      <c r="A13075" s="82"/>
      <c r="B13075" s="82"/>
      <c r="C13075" s="82"/>
    </row>
    <row r="13076" spans="1:3" x14ac:dyDescent="0.2">
      <c r="A13076" s="82"/>
      <c r="B13076" s="82"/>
      <c r="C13076" s="82"/>
    </row>
    <row r="13077" spans="1:3" x14ac:dyDescent="0.2">
      <c r="A13077" s="82"/>
      <c r="B13077" s="82"/>
      <c r="C13077" s="82"/>
    </row>
    <row r="13078" spans="1:3" x14ac:dyDescent="0.2">
      <c r="A13078" s="82"/>
      <c r="B13078" s="82"/>
      <c r="C13078" s="82"/>
    </row>
    <row r="13079" spans="1:3" x14ac:dyDescent="0.2">
      <c r="A13079" s="82"/>
      <c r="B13079" s="82"/>
      <c r="C13079" s="82"/>
    </row>
    <row r="13080" spans="1:3" x14ac:dyDescent="0.2">
      <c r="A13080" s="82"/>
      <c r="B13080" s="82"/>
      <c r="C13080" s="82"/>
    </row>
    <row r="13081" spans="1:3" x14ac:dyDescent="0.2">
      <c r="A13081" s="82"/>
      <c r="B13081" s="82"/>
      <c r="C13081" s="82"/>
    </row>
    <row r="13082" spans="1:3" x14ac:dyDescent="0.2">
      <c r="A13082" s="82"/>
      <c r="B13082" s="82"/>
      <c r="C13082" s="82"/>
    </row>
    <row r="13083" spans="1:3" x14ac:dyDescent="0.2">
      <c r="A13083" s="82"/>
      <c r="B13083" s="82"/>
      <c r="C13083" s="82"/>
    </row>
    <row r="13084" spans="1:3" x14ac:dyDescent="0.2">
      <c r="A13084" s="82"/>
      <c r="B13084" s="82"/>
      <c r="C13084" s="82"/>
    </row>
    <row r="13085" spans="1:3" x14ac:dyDescent="0.2">
      <c r="A13085" s="82"/>
      <c r="B13085" s="82"/>
      <c r="C13085" s="82"/>
    </row>
    <row r="13086" spans="1:3" x14ac:dyDescent="0.2">
      <c r="A13086" s="82"/>
      <c r="B13086" s="82"/>
      <c r="C13086" s="82"/>
    </row>
    <row r="13087" spans="1:3" x14ac:dyDescent="0.2">
      <c r="A13087" s="82"/>
      <c r="B13087" s="82"/>
      <c r="C13087" s="82"/>
    </row>
    <row r="13088" spans="1:3" x14ac:dyDescent="0.2">
      <c r="A13088" s="82"/>
      <c r="B13088" s="82"/>
      <c r="C13088" s="82"/>
    </row>
    <row r="13089" spans="1:3" x14ac:dyDescent="0.2">
      <c r="A13089" s="82"/>
      <c r="B13089" s="82"/>
      <c r="C13089" s="82"/>
    </row>
    <row r="13090" spans="1:3" x14ac:dyDescent="0.2">
      <c r="A13090" s="82"/>
      <c r="B13090" s="82"/>
      <c r="C13090" s="82"/>
    </row>
    <row r="13091" spans="1:3" x14ac:dyDescent="0.2">
      <c r="A13091" s="82"/>
      <c r="B13091" s="82"/>
      <c r="C13091" s="82"/>
    </row>
    <row r="13092" spans="1:3" x14ac:dyDescent="0.2">
      <c r="A13092" s="82"/>
      <c r="B13092" s="82"/>
      <c r="C13092" s="82"/>
    </row>
    <row r="13093" spans="1:3" x14ac:dyDescent="0.2">
      <c r="A13093" s="82"/>
      <c r="B13093" s="82"/>
      <c r="C13093" s="82"/>
    </row>
    <row r="13094" spans="1:3" x14ac:dyDescent="0.2">
      <c r="A13094" s="82"/>
      <c r="B13094" s="82"/>
      <c r="C13094" s="82"/>
    </row>
    <row r="13095" spans="1:3" x14ac:dyDescent="0.2">
      <c r="A13095" s="82"/>
      <c r="B13095" s="82"/>
      <c r="C13095" s="82"/>
    </row>
    <row r="13096" spans="1:3" x14ac:dyDescent="0.2">
      <c r="A13096" s="82"/>
      <c r="B13096" s="82"/>
      <c r="C13096" s="82"/>
    </row>
    <row r="13097" spans="1:3" x14ac:dyDescent="0.2">
      <c r="A13097" s="82"/>
      <c r="B13097" s="82"/>
      <c r="C13097" s="82"/>
    </row>
    <row r="13098" spans="1:3" x14ac:dyDescent="0.2">
      <c r="A13098" s="82"/>
      <c r="B13098" s="82"/>
      <c r="C13098" s="82"/>
    </row>
    <row r="13099" spans="1:3" x14ac:dyDescent="0.2">
      <c r="A13099" s="82"/>
      <c r="B13099" s="82"/>
      <c r="C13099" s="82"/>
    </row>
    <row r="13100" spans="1:3" x14ac:dyDescent="0.2">
      <c r="A13100" s="82"/>
      <c r="B13100" s="82"/>
      <c r="C13100" s="82"/>
    </row>
    <row r="13101" spans="1:3" x14ac:dyDescent="0.2">
      <c r="A13101" s="82"/>
      <c r="B13101" s="82"/>
      <c r="C13101" s="82"/>
    </row>
    <row r="13102" spans="1:3" x14ac:dyDescent="0.2">
      <c r="A13102" s="82"/>
      <c r="B13102" s="82"/>
      <c r="C13102" s="82"/>
    </row>
    <row r="13103" spans="1:3" x14ac:dyDescent="0.2">
      <c r="A13103" s="82"/>
      <c r="B13103" s="82"/>
      <c r="C13103" s="82"/>
    </row>
    <row r="13104" spans="1:3" x14ac:dyDescent="0.2">
      <c r="A13104" s="82"/>
      <c r="B13104" s="82"/>
      <c r="C13104" s="82"/>
    </row>
    <row r="13105" spans="1:3" x14ac:dyDescent="0.2">
      <c r="A13105" s="82"/>
      <c r="B13105" s="82"/>
      <c r="C13105" s="82"/>
    </row>
    <row r="13106" spans="1:3" x14ac:dyDescent="0.2">
      <c r="A13106" s="82"/>
      <c r="B13106" s="82"/>
      <c r="C13106" s="82"/>
    </row>
    <row r="13107" spans="1:3" x14ac:dyDescent="0.2">
      <c r="A13107" s="82"/>
      <c r="B13107" s="82"/>
      <c r="C13107" s="82"/>
    </row>
    <row r="13108" spans="1:3" x14ac:dyDescent="0.2">
      <c r="A13108" s="82"/>
      <c r="B13108" s="82"/>
      <c r="C13108" s="82"/>
    </row>
    <row r="13109" spans="1:3" x14ac:dyDescent="0.2">
      <c r="A13109" s="82"/>
      <c r="B13109" s="82"/>
      <c r="C13109" s="82"/>
    </row>
    <row r="13110" spans="1:3" x14ac:dyDescent="0.2">
      <c r="A13110" s="82"/>
      <c r="B13110" s="82"/>
      <c r="C13110" s="82"/>
    </row>
    <row r="13111" spans="1:3" x14ac:dyDescent="0.2">
      <c r="A13111" s="82"/>
      <c r="B13111" s="82"/>
      <c r="C13111" s="82"/>
    </row>
    <row r="13112" spans="1:3" x14ac:dyDescent="0.2">
      <c r="A13112" s="82"/>
      <c r="B13112" s="82"/>
      <c r="C13112" s="82"/>
    </row>
    <row r="13113" spans="1:3" x14ac:dyDescent="0.2">
      <c r="A13113" s="82"/>
      <c r="B13113" s="82"/>
      <c r="C13113" s="82"/>
    </row>
    <row r="13114" spans="1:3" x14ac:dyDescent="0.2">
      <c r="A13114" s="82"/>
      <c r="B13114" s="82"/>
      <c r="C13114" s="82"/>
    </row>
    <row r="13115" spans="1:3" x14ac:dyDescent="0.2">
      <c r="A13115" s="82"/>
      <c r="B13115" s="82"/>
      <c r="C13115" s="82"/>
    </row>
    <row r="13116" spans="1:3" x14ac:dyDescent="0.2">
      <c r="A13116" s="82"/>
      <c r="B13116" s="82"/>
      <c r="C13116" s="82"/>
    </row>
    <row r="13117" spans="1:3" x14ac:dyDescent="0.2">
      <c r="A13117" s="82"/>
      <c r="B13117" s="82"/>
      <c r="C13117" s="82"/>
    </row>
    <row r="13118" spans="1:3" x14ac:dyDescent="0.2">
      <c r="A13118" s="82"/>
      <c r="B13118" s="82"/>
      <c r="C13118" s="82"/>
    </row>
    <row r="13119" spans="1:3" x14ac:dyDescent="0.2">
      <c r="A13119" s="82"/>
      <c r="B13119" s="82"/>
      <c r="C13119" s="82"/>
    </row>
    <row r="13120" spans="1:3" x14ac:dyDescent="0.2">
      <c r="A13120" s="82"/>
      <c r="B13120" s="82"/>
      <c r="C13120" s="82"/>
    </row>
    <row r="13121" spans="1:3" x14ac:dyDescent="0.2">
      <c r="A13121" s="82"/>
      <c r="B13121" s="82"/>
      <c r="C13121" s="82"/>
    </row>
    <row r="13122" spans="1:3" x14ac:dyDescent="0.2">
      <c r="A13122" s="82"/>
      <c r="B13122" s="82"/>
      <c r="C13122" s="82"/>
    </row>
    <row r="13123" spans="1:3" x14ac:dyDescent="0.2">
      <c r="A13123" s="82"/>
      <c r="B13123" s="82"/>
      <c r="C13123" s="82"/>
    </row>
    <row r="13124" spans="1:3" x14ac:dyDescent="0.2">
      <c r="A13124" s="82"/>
      <c r="B13124" s="82"/>
      <c r="C13124" s="82"/>
    </row>
    <row r="13125" spans="1:3" x14ac:dyDescent="0.2">
      <c r="A13125" s="82"/>
      <c r="B13125" s="82"/>
      <c r="C13125" s="82"/>
    </row>
    <row r="13126" spans="1:3" x14ac:dyDescent="0.2">
      <c r="A13126" s="82"/>
      <c r="B13126" s="82"/>
      <c r="C13126" s="82"/>
    </row>
    <row r="13127" spans="1:3" x14ac:dyDescent="0.2">
      <c r="A13127" s="82"/>
      <c r="B13127" s="82"/>
      <c r="C13127" s="82"/>
    </row>
    <row r="13128" spans="1:3" x14ac:dyDescent="0.2">
      <c r="A13128" s="82"/>
      <c r="B13128" s="82"/>
      <c r="C13128" s="82"/>
    </row>
    <row r="13129" spans="1:3" x14ac:dyDescent="0.2">
      <c r="A13129" s="82"/>
      <c r="B13129" s="82"/>
      <c r="C13129" s="82"/>
    </row>
    <row r="13130" spans="1:3" x14ac:dyDescent="0.2">
      <c r="A13130" s="82"/>
      <c r="B13130" s="82"/>
      <c r="C13130" s="82"/>
    </row>
    <row r="13131" spans="1:3" x14ac:dyDescent="0.2">
      <c r="A13131" s="82"/>
      <c r="B13131" s="82"/>
      <c r="C13131" s="82"/>
    </row>
    <row r="13132" spans="1:3" x14ac:dyDescent="0.2">
      <c r="A13132" s="82"/>
      <c r="B13132" s="82"/>
      <c r="C13132" s="82"/>
    </row>
    <row r="13133" spans="1:3" x14ac:dyDescent="0.2">
      <c r="A13133" s="82"/>
      <c r="B13133" s="82"/>
      <c r="C13133" s="82"/>
    </row>
    <row r="13134" spans="1:3" x14ac:dyDescent="0.2">
      <c r="A13134" s="82"/>
      <c r="B13134" s="82"/>
      <c r="C13134" s="82"/>
    </row>
    <row r="13135" spans="1:3" x14ac:dyDescent="0.2">
      <c r="A13135" s="82"/>
      <c r="B13135" s="82"/>
      <c r="C13135" s="82"/>
    </row>
    <row r="13136" spans="1:3" x14ac:dyDescent="0.2">
      <c r="A13136" s="82"/>
      <c r="B13136" s="82"/>
      <c r="C13136" s="82"/>
    </row>
    <row r="13137" spans="1:3" x14ac:dyDescent="0.2">
      <c r="A13137" s="82"/>
      <c r="B13137" s="82"/>
      <c r="C13137" s="82"/>
    </row>
    <row r="13138" spans="1:3" x14ac:dyDescent="0.2">
      <c r="A13138" s="82"/>
      <c r="B13138" s="82"/>
      <c r="C13138" s="82"/>
    </row>
    <row r="13139" spans="1:3" x14ac:dyDescent="0.2">
      <c r="A13139" s="82"/>
      <c r="B13139" s="82"/>
      <c r="C13139" s="82"/>
    </row>
    <row r="13140" spans="1:3" x14ac:dyDescent="0.2">
      <c r="A13140" s="82"/>
      <c r="B13140" s="82"/>
      <c r="C13140" s="82"/>
    </row>
    <row r="13141" spans="1:3" x14ac:dyDescent="0.2">
      <c r="A13141" s="82"/>
      <c r="B13141" s="82"/>
      <c r="C13141" s="82"/>
    </row>
    <row r="13142" spans="1:3" x14ac:dyDescent="0.2">
      <c r="A13142" s="82"/>
      <c r="B13142" s="82"/>
      <c r="C13142" s="82"/>
    </row>
    <row r="13143" spans="1:3" x14ac:dyDescent="0.2">
      <c r="A13143" s="82"/>
      <c r="B13143" s="82"/>
      <c r="C13143" s="82"/>
    </row>
    <row r="13144" spans="1:3" x14ac:dyDescent="0.2">
      <c r="A13144" s="82"/>
      <c r="B13144" s="82"/>
      <c r="C13144" s="82"/>
    </row>
    <row r="13145" spans="1:3" x14ac:dyDescent="0.2">
      <c r="A13145" s="82"/>
      <c r="B13145" s="82"/>
      <c r="C13145" s="82"/>
    </row>
    <row r="13146" spans="1:3" x14ac:dyDescent="0.2">
      <c r="A13146" s="82"/>
      <c r="B13146" s="82"/>
      <c r="C13146" s="82"/>
    </row>
    <row r="13147" spans="1:3" x14ac:dyDescent="0.2">
      <c r="A13147" s="82"/>
      <c r="B13147" s="82"/>
      <c r="C13147" s="82"/>
    </row>
    <row r="13148" spans="1:3" x14ac:dyDescent="0.2">
      <c r="A13148" s="82"/>
      <c r="B13148" s="82"/>
      <c r="C13148" s="82"/>
    </row>
    <row r="13149" spans="1:3" x14ac:dyDescent="0.2">
      <c r="A13149" s="82"/>
      <c r="B13149" s="82"/>
      <c r="C13149" s="82"/>
    </row>
    <row r="13150" spans="1:3" x14ac:dyDescent="0.2">
      <c r="A13150" s="82"/>
      <c r="B13150" s="82"/>
      <c r="C13150" s="82"/>
    </row>
    <row r="13151" spans="1:3" x14ac:dyDescent="0.2">
      <c r="A13151" s="82"/>
      <c r="B13151" s="82"/>
      <c r="C13151" s="82"/>
    </row>
    <row r="13152" spans="1:3" x14ac:dyDescent="0.2">
      <c r="A13152" s="82"/>
      <c r="B13152" s="82"/>
      <c r="C13152" s="82"/>
    </row>
    <row r="13153" spans="1:3" x14ac:dyDescent="0.2">
      <c r="A13153" s="82"/>
      <c r="B13153" s="82"/>
      <c r="C13153" s="82"/>
    </row>
    <row r="13154" spans="1:3" x14ac:dyDescent="0.2">
      <c r="A13154" s="82"/>
      <c r="B13154" s="82"/>
      <c r="C13154" s="82"/>
    </row>
    <row r="13155" spans="1:3" x14ac:dyDescent="0.2">
      <c r="A13155" s="82"/>
      <c r="B13155" s="82"/>
      <c r="C13155" s="82"/>
    </row>
    <row r="13156" spans="1:3" x14ac:dyDescent="0.2">
      <c r="A13156" s="82"/>
      <c r="B13156" s="82"/>
      <c r="C13156" s="82"/>
    </row>
    <row r="13157" spans="1:3" x14ac:dyDescent="0.2">
      <c r="A13157" s="82"/>
      <c r="B13157" s="82"/>
      <c r="C13157" s="82"/>
    </row>
    <row r="13158" spans="1:3" x14ac:dyDescent="0.2">
      <c r="A13158" s="82"/>
      <c r="B13158" s="82"/>
      <c r="C13158" s="82"/>
    </row>
    <row r="13159" spans="1:3" x14ac:dyDescent="0.2">
      <c r="A13159" s="82"/>
      <c r="B13159" s="82"/>
      <c r="C13159" s="82"/>
    </row>
    <row r="13160" spans="1:3" x14ac:dyDescent="0.2">
      <c r="A13160" s="82"/>
      <c r="B13160" s="82"/>
      <c r="C13160" s="82"/>
    </row>
    <row r="13161" spans="1:3" x14ac:dyDescent="0.2">
      <c r="A13161" s="82"/>
      <c r="B13161" s="82"/>
      <c r="C13161" s="82"/>
    </row>
    <row r="13162" spans="1:3" x14ac:dyDescent="0.2">
      <c r="A13162" s="82"/>
      <c r="B13162" s="82"/>
      <c r="C13162" s="82"/>
    </row>
    <row r="13163" spans="1:3" x14ac:dyDescent="0.2">
      <c r="A13163" s="82"/>
      <c r="B13163" s="82"/>
      <c r="C13163" s="82"/>
    </row>
    <row r="13164" spans="1:3" x14ac:dyDescent="0.2">
      <c r="A13164" s="82"/>
      <c r="B13164" s="82"/>
      <c r="C13164" s="82"/>
    </row>
    <row r="13165" spans="1:3" x14ac:dyDescent="0.2">
      <c r="A13165" s="82"/>
      <c r="B13165" s="82"/>
      <c r="C13165" s="82"/>
    </row>
    <row r="13166" spans="1:3" x14ac:dyDescent="0.2">
      <c r="A13166" s="82"/>
      <c r="B13166" s="82"/>
      <c r="C13166" s="82"/>
    </row>
    <row r="13167" spans="1:3" x14ac:dyDescent="0.2">
      <c r="A13167" s="82"/>
      <c r="B13167" s="82"/>
      <c r="C13167" s="82"/>
    </row>
    <row r="13168" spans="1:3" x14ac:dyDescent="0.2">
      <c r="A13168" s="82"/>
      <c r="B13168" s="82"/>
      <c r="C13168" s="82"/>
    </row>
    <row r="13169" spans="1:3" x14ac:dyDescent="0.2">
      <c r="A13169" s="82"/>
      <c r="B13169" s="82"/>
      <c r="C13169" s="82"/>
    </row>
    <row r="13170" spans="1:3" x14ac:dyDescent="0.2">
      <c r="A13170" s="82"/>
      <c r="B13170" s="82"/>
      <c r="C13170" s="82"/>
    </row>
    <row r="13171" spans="1:3" x14ac:dyDescent="0.2">
      <c r="A13171" s="82"/>
      <c r="B13171" s="82"/>
      <c r="C13171" s="82"/>
    </row>
    <row r="13172" spans="1:3" x14ac:dyDescent="0.2">
      <c r="A13172" s="82"/>
      <c r="B13172" s="82"/>
      <c r="C13172" s="82"/>
    </row>
    <row r="13173" spans="1:3" x14ac:dyDescent="0.2">
      <c r="A13173" s="82"/>
      <c r="B13173" s="82"/>
      <c r="C13173" s="82"/>
    </row>
    <row r="13174" spans="1:3" x14ac:dyDescent="0.2">
      <c r="A13174" s="82"/>
      <c r="B13174" s="82"/>
      <c r="C13174" s="82"/>
    </row>
    <row r="13175" spans="1:3" x14ac:dyDescent="0.2">
      <c r="A13175" s="82"/>
      <c r="B13175" s="82"/>
      <c r="C13175" s="82"/>
    </row>
    <row r="13176" spans="1:3" x14ac:dyDescent="0.2">
      <c r="A13176" s="82"/>
      <c r="B13176" s="82"/>
      <c r="C13176" s="82"/>
    </row>
    <row r="13177" spans="1:3" x14ac:dyDescent="0.2">
      <c r="A13177" s="82"/>
      <c r="B13177" s="82"/>
      <c r="C13177" s="82"/>
    </row>
    <row r="13178" spans="1:3" x14ac:dyDescent="0.2">
      <c r="A13178" s="82"/>
      <c r="B13178" s="82"/>
      <c r="C13178" s="82"/>
    </row>
    <row r="13179" spans="1:3" x14ac:dyDescent="0.2">
      <c r="A13179" s="82"/>
      <c r="B13179" s="82"/>
      <c r="C13179" s="82"/>
    </row>
    <row r="13180" spans="1:3" x14ac:dyDescent="0.2">
      <c r="A13180" s="82"/>
      <c r="B13180" s="82"/>
      <c r="C13180" s="82"/>
    </row>
    <row r="13181" spans="1:3" x14ac:dyDescent="0.2">
      <c r="A13181" s="82"/>
      <c r="B13181" s="82"/>
      <c r="C13181" s="82"/>
    </row>
    <row r="13182" spans="1:3" x14ac:dyDescent="0.2">
      <c r="A13182" s="82"/>
      <c r="B13182" s="82"/>
      <c r="C13182" s="82"/>
    </row>
    <row r="13183" spans="1:3" x14ac:dyDescent="0.2">
      <c r="A13183" s="82"/>
      <c r="B13183" s="82"/>
      <c r="C13183" s="82"/>
    </row>
    <row r="13184" spans="1:3" x14ac:dyDescent="0.2">
      <c r="A13184" s="82"/>
      <c r="B13184" s="82"/>
      <c r="C13184" s="82"/>
    </row>
    <row r="13185" spans="1:3" x14ac:dyDescent="0.2">
      <c r="A13185" s="82"/>
      <c r="B13185" s="82"/>
      <c r="C13185" s="82"/>
    </row>
    <row r="13186" spans="1:3" x14ac:dyDescent="0.2">
      <c r="A13186" s="82"/>
      <c r="B13186" s="82"/>
      <c r="C13186" s="82"/>
    </row>
    <row r="13187" spans="1:3" x14ac:dyDescent="0.2">
      <c r="A13187" s="82"/>
      <c r="B13187" s="82"/>
      <c r="C13187" s="82"/>
    </row>
    <row r="13188" spans="1:3" x14ac:dyDescent="0.2">
      <c r="A13188" s="82"/>
      <c r="B13188" s="82"/>
      <c r="C13188" s="82"/>
    </row>
    <row r="13189" spans="1:3" x14ac:dyDescent="0.2">
      <c r="A13189" s="82"/>
      <c r="B13189" s="82"/>
      <c r="C13189" s="82"/>
    </row>
    <row r="13190" spans="1:3" x14ac:dyDescent="0.2">
      <c r="A13190" s="82"/>
      <c r="B13190" s="82"/>
      <c r="C13190" s="82"/>
    </row>
    <row r="13191" spans="1:3" x14ac:dyDescent="0.2">
      <c r="A13191" s="82"/>
      <c r="B13191" s="82"/>
      <c r="C13191" s="82"/>
    </row>
    <row r="13192" spans="1:3" x14ac:dyDescent="0.2">
      <c r="A13192" s="82"/>
      <c r="B13192" s="82"/>
      <c r="C13192" s="82"/>
    </row>
    <row r="13193" spans="1:3" x14ac:dyDescent="0.2">
      <c r="A13193" s="82"/>
      <c r="B13193" s="82"/>
      <c r="C13193" s="82"/>
    </row>
    <row r="13194" spans="1:3" x14ac:dyDescent="0.2">
      <c r="A13194" s="82"/>
      <c r="B13194" s="82"/>
      <c r="C13194" s="82"/>
    </row>
    <row r="13195" spans="1:3" x14ac:dyDescent="0.2">
      <c r="A13195" s="82"/>
      <c r="B13195" s="82"/>
      <c r="C13195" s="82"/>
    </row>
    <row r="13196" spans="1:3" x14ac:dyDescent="0.2">
      <c r="A13196" s="82"/>
      <c r="B13196" s="82"/>
      <c r="C13196" s="82"/>
    </row>
    <row r="13197" spans="1:3" x14ac:dyDescent="0.2">
      <c r="A13197" s="82"/>
      <c r="B13197" s="82"/>
      <c r="C13197" s="82"/>
    </row>
    <row r="13198" spans="1:3" x14ac:dyDescent="0.2">
      <c r="A13198" s="82"/>
      <c r="B13198" s="82"/>
      <c r="C13198" s="82"/>
    </row>
    <row r="13199" spans="1:3" x14ac:dyDescent="0.2">
      <c r="A13199" s="82"/>
      <c r="B13199" s="82"/>
      <c r="C13199" s="82"/>
    </row>
    <row r="13200" spans="1:3" x14ac:dyDescent="0.2">
      <c r="A13200" s="82"/>
      <c r="B13200" s="82"/>
      <c r="C13200" s="82"/>
    </row>
    <row r="13201" spans="1:3" x14ac:dyDescent="0.2">
      <c r="A13201" s="82"/>
      <c r="B13201" s="82"/>
      <c r="C13201" s="82"/>
    </row>
    <row r="13202" spans="1:3" x14ac:dyDescent="0.2">
      <c r="A13202" s="82"/>
      <c r="B13202" s="82"/>
      <c r="C13202" s="82"/>
    </row>
    <row r="13203" spans="1:3" x14ac:dyDescent="0.2">
      <c r="A13203" s="82"/>
      <c r="B13203" s="82"/>
      <c r="C13203" s="82"/>
    </row>
    <row r="13204" spans="1:3" x14ac:dyDescent="0.2">
      <c r="A13204" s="82"/>
      <c r="B13204" s="82"/>
      <c r="C13204" s="82"/>
    </row>
    <row r="13205" spans="1:3" x14ac:dyDescent="0.2">
      <c r="A13205" s="82"/>
      <c r="B13205" s="82"/>
      <c r="C13205" s="82"/>
    </row>
    <row r="13206" spans="1:3" x14ac:dyDescent="0.2">
      <c r="A13206" s="82"/>
      <c r="B13206" s="82"/>
      <c r="C13206" s="82"/>
    </row>
    <row r="13207" spans="1:3" x14ac:dyDescent="0.2">
      <c r="A13207" s="82"/>
      <c r="B13207" s="82"/>
      <c r="C13207" s="82"/>
    </row>
    <row r="13208" spans="1:3" x14ac:dyDescent="0.2">
      <c r="A13208" s="82"/>
      <c r="B13208" s="82"/>
      <c r="C13208" s="82"/>
    </row>
    <row r="13209" spans="1:3" x14ac:dyDescent="0.2">
      <c r="A13209" s="82"/>
      <c r="B13209" s="82"/>
      <c r="C13209" s="82"/>
    </row>
    <row r="13210" spans="1:3" x14ac:dyDescent="0.2">
      <c r="A13210" s="82"/>
      <c r="B13210" s="82"/>
      <c r="C13210" s="82"/>
    </row>
    <row r="13211" spans="1:3" x14ac:dyDescent="0.2">
      <c r="A13211" s="82"/>
      <c r="B13211" s="82"/>
      <c r="C13211" s="82"/>
    </row>
    <row r="13212" spans="1:3" x14ac:dyDescent="0.2">
      <c r="A13212" s="82"/>
      <c r="B13212" s="82"/>
      <c r="C13212" s="82"/>
    </row>
    <row r="13213" spans="1:3" x14ac:dyDescent="0.2">
      <c r="A13213" s="82"/>
      <c r="B13213" s="82"/>
      <c r="C13213" s="82"/>
    </row>
    <row r="13214" spans="1:3" x14ac:dyDescent="0.2">
      <c r="A13214" s="82"/>
      <c r="B13214" s="82"/>
      <c r="C13214" s="82"/>
    </row>
    <row r="13215" spans="1:3" x14ac:dyDescent="0.2">
      <c r="A13215" s="82"/>
      <c r="B13215" s="82"/>
      <c r="C13215" s="82"/>
    </row>
    <row r="13216" spans="1:3" x14ac:dyDescent="0.2">
      <c r="A13216" s="82"/>
      <c r="B13216" s="82"/>
      <c r="C13216" s="82"/>
    </row>
    <row r="13217" spans="1:3" x14ac:dyDescent="0.2">
      <c r="A13217" s="82"/>
      <c r="B13217" s="82"/>
      <c r="C13217" s="82"/>
    </row>
    <row r="13218" spans="1:3" x14ac:dyDescent="0.2">
      <c r="A13218" s="82"/>
      <c r="B13218" s="82"/>
      <c r="C13218" s="82"/>
    </row>
    <row r="13219" spans="1:3" x14ac:dyDescent="0.2">
      <c r="A13219" s="82"/>
      <c r="B13219" s="82"/>
      <c r="C13219" s="82"/>
    </row>
    <row r="13220" spans="1:3" x14ac:dyDescent="0.2">
      <c r="A13220" s="82"/>
      <c r="B13220" s="82"/>
      <c r="C13220" s="82"/>
    </row>
    <row r="13221" spans="1:3" x14ac:dyDescent="0.2">
      <c r="A13221" s="82"/>
      <c r="B13221" s="82"/>
      <c r="C13221" s="82"/>
    </row>
    <row r="13222" spans="1:3" x14ac:dyDescent="0.2">
      <c r="A13222" s="82"/>
      <c r="B13222" s="82"/>
      <c r="C13222" s="82"/>
    </row>
    <row r="13223" spans="1:3" x14ac:dyDescent="0.2">
      <c r="A13223" s="82"/>
      <c r="B13223" s="82"/>
      <c r="C13223" s="82"/>
    </row>
    <row r="13224" spans="1:3" x14ac:dyDescent="0.2">
      <c r="A13224" s="82"/>
      <c r="B13224" s="82"/>
      <c r="C13224" s="82"/>
    </row>
    <row r="13225" spans="1:3" x14ac:dyDescent="0.2">
      <c r="A13225" s="82"/>
      <c r="B13225" s="82"/>
      <c r="C13225" s="82"/>
    </row>
    <row r="13226" spans="1:3" x14ac:dyDescent="0.2">
      <c r="A13226" s="82"/>
      <c r="B13226" s="82"/>
      <c r="C13226" s="82"/>
    </row>
    <row r="13227" spans="1:3" x14ac:dyDescent="0.2">
      <c r="A13227" s="82"/>
      <c r="B13227" s="82"/>
      <c r="C13227" s="82"/>
    </row>
    <row r="13228" spans="1:3" x14ac:dyDescent="0.2">
      <c r="A13228" s="82"/>
      <c r="B13228" s="82"/>
      <c r="C13228" s="82"/>
    </row>
    <row r="13229" spans="1:3" x14ac:dyDescent="0.2">
      <c r="A13229" s="82"/>
      <c r="B13229" s="82"/>
      <c r="C13229" s="82"/>
    </row>
    <row r="13230" spans="1:3" x14ac:dyDescent="0.2">
      <c r="A13230" s="82"/>
      <c r="B13230" s="82"/>
      <c r="C13230" s="82"/>
    </row>
    <row r="13231" spans="1:3" x14ac:dyDescent="0.2">
      <c r="A13231" s="82"/>
      <c r="B13231" s="82"/>
      <c r="C13231" s="82"/>
    </row>
    <row r="13232" spans="1:3" x14ac:dyDescent="0.2">
      <c r="A13232" s="82"/>
      <c r="B13232" s="82"/>
      <c r="C13232" s="82"/>
    </row>
    <row r="13233" spans="1:3" x14ac:dyDescent="0.2">
      <c r="A13233" s="82"/>
      <c r="B13233" s="82"/>
      <c r="C13233" s="82"/>
    </row>
    <row r="13234" spans="1:3" x14ac:dyDescent="0.2">
      <c r="A13234" s="82"/>
      <c r="B13234" s="82"/>
      <c r="C13234" s="82"/>
    </row>
    <row r="13235" spans="1:3" x14ac:dyDescent="0.2">
      <c r="A13235" s="82"/>
      <c r="B13235" s="82"/>
      <c r="C13235" s="82"/>
    </row>
    <row r="13236" spans="1:3" x14ac:dyDescent="0.2">
      <c r="A13236" s="82"/>
      <c r="B13236" s="82"/>
      <c r="C13236" s="82"/>
    </row>
    <row r="13237" spans="1:3" x14ac:dyDescent="0.2">
      <c r="A13237" s="82"/>
      <c r="B13237" s="82"/>
      <c r="C13237" s="82"/>
    </row>
    <row r="13238" spans="1:3" x14ac:dyDescent="0.2">
      <c r="A13238" s="82"/>
      <c r="B13238" s="82"/>
      <c r="C13238" s="82"/>
    </row>
    <row r="13239" spans="1:3" x14ac:dyDescent="0.2">
      <c r="A13239" s="82"/>
      <c r="B13239" s="82"/>
      <c r="C13239" s="82"/>
    </row>
    <row r="13240" spans="1:3" x14ac:dyDescent="0.2">
      <c r="A13240" s="82"/>
      <c r="B13240" s="82"/>
      <c r="C13240" s="82"/>
    </row>
    <row r="13241" spans="1:3" x14ac:dyDescent="0.2">
      <c r="A13241" s="82"/>
      <c r="B13241" s="82"/>
      <c r="C13241" s="82"/>
    </row>
    <row r="13242" spans="1:3" x14ac:dyDescent="0.2">
      <c r="A13242" s="82"/>
      <c r="B13242" s="82"/>
      <c r="C13242" s="82"/>
    </row>
    <row r="13243" spans="1:3" x14ac:dyDescent="0.2">
      <c r="A13243" s="82"/>
      <c r="B13243" s="82"/>
      <c r="C13243" s="82"/>
    </row>
    <row r="13244" spans="1:3" x14ac:dyDescent="0.2">
      <c r="A13244" s="82"/>
      <c r="B13244" s="82"/>
      <c r="C13244" s="82"/>
    </row>
    <row r="13245" spans="1:3" x14ac:dyDescent="0.2">
      <c r="A13245" s="82"/>
      <c r="B13245" s="82"/>
      <c r="C13245" s="82"/>
    </row>
    <row r="13246" spans="1:3" x14ac:dyDescent="0.2">
      <c r="A13246" s="82"/>
      <c r="B13246" s="82"/>
      <c r="C13246" s="82"/>
    </row>
    <row r="13247" spans="1:3" x14ac:dyDescent="0.2">
      <c r="A13247" s="82"/>
      <c r="B13247" s="82"/>
      <c r="C13247" s="82"/>
    </row>
    <row r="13248" spans="1:3" x14ac:dyDescent="0.2">
      <c r="A13248" s="82"/>
      <c r="B13248" s="82"/>
      <c r="C13248" s="82"/>
    </row>
    <row r="13249" spans="1:3" x14ac:dyDescent="0.2">
      <c r="A13249" s="82"/>
      <c r="B13249" s="82"/>
      <c r="C13249" s="82"/>
    </row>
    <row r="13250" spans="1:3" x14ac:dyDescent="0.2">
      <c r="A13250" s="82"/>
      <c r="B13250" s="82"/>
      <c r="C13250" s="82"/>
    </row>
    <row r="13251" spans="1:3" x14ac:dyDescent="0.2">
      <c r="A13251" s="82"/>
      <c r="B13251" s="82"/>
      <c r="C13251" s="82"/>
    </row>
    <row r="13252" spans="1:3" x14ac:dyDescent="0.2">
      <c r="A13252" s="82"/>
      <c r="B13252" s="82"/>
      <c r="C13252" s="82"/>
    </row>
    <row r="13253" spans="1:3" x14ac:dyDescent="0.2">
      <c r="A13253" s="82"/>
      <c r="B13253" s="82"/>
      <c r="C13253" s="82"/>
    </row>
    <row r="13254" spans="1:3" x14ac:dyDescent="0.2">
      <c r="A13254" s="82"/>
      <c r="B13254" s="82"/>
      <c r="C13254" s="82"/>
    </row>
    <row r="13255" spans="1:3" x14ac:dyDescent="0.2">
      <c r="A13255" s="82"/>
      <c r="B13255" s="82"/>
      <c r="C13255" s="82"/>
    </row>
    <row r="13256" spans="1:3" x14ac:dyDescent="0.2">
      <c r="A13256" s="82"/>
      <c r="B13256" s="82"/>
      <c r="C13256" s="82"/>
    </row>
    <row r="13257" spans="1:3" x14ac:dyDescent="0.2">
      <c r="A13257" s="82"/>
      <c r="B13257" s="82"/>
      <c r="C13257" s="82"/>
    </row>
    <row r="13258" spans="1:3" x14ac:dyDescent="0.2">
      <c r="A13258" s="82"/>
      <c r="B13258" s="82"/>
      <c r="C13258" s="82"/>
    </row>
    <row r="13259" spans="1:3" x14ac:dyDescent="0.2">
      <c r="A13259" s="82"/>
      <c r="B13259" s="82"/>
      <c r="C13259" s="82"/>
    </row>
    <row r="13260" spans="1:3" x14ac:dyDescent="0.2">
      <c r="A13260" s="82"/>
      <c r="B13260" s="82"/>
      <c r="C13260" s="82"/>
    </row>
    <row r="13261" spans="1:3" x14ac:dyDescent="0.2">
      <c r="A13261" s="82"/>
      <c r="B13261" s="82"/>
      <c r="C13261" s="82"/>
    </row>
    <row r="13262" spans="1:3" x14ac:dyDescent="0.2">
      <c r="A13262" s="82"/>
      <c r="B13262" s="82"/>
      <c r="C13262" s="82"/>
    </row>
    <row r="13263" spans="1:3" x14ac:dyDescent="0.2">
      <c r="A13263" s="82"/>
      <c r="B13263" s="82"/>
      <c r="C13263" s="82"/>
    </row>
    <row r="13264" spans="1:3" x14ac:dyDescent="0.2">
      <c r="A13264" s="82"/>
      <c r="B13264" s="82"/>
      <c r="C13264" s="82"/>
    </row>
    <row r="13265" spans="1:3" x14ac:dyDescent="0.2">
      <c r="A13265" s="82"/>
      <c r="B13265" s="82"/>
      <c r="C13265" s="82"/>
    </row>
    <row r="13266" spans="1:3" x14ac:dyDescent="0.2">
      <c r="A13266" s="82"/>
      <c r="B13266" s="82"/>
      <c r="C13266" s="82"/>
    </row>
    <row r="13267" spans="1:3" x14ac:dyDescent="0.2">
      <c r="A13267" s="82"/>
      <c r="B13267" s="82"/>
      <c r="C13267" s="82"/>
    </row>
    <row r="13268" spans="1:3" x14ac:dyDescent="0.2">
      <c r="A13268" s="82"/>
      <c r="B13268" s="82"/>
      <c r="C13268" s="82"/>
    </row>
    <row r="13269" spans="1:3" x14ac:dyDescent="0.2">
      <c r="A13269" s="82"/>
      <c r="B13269" s="82"/>
      <c r="C13269" s="82"/>
    </row>
    <row r="13270" spans="1:3" x14ac:dyDescent="0.2">
      <c r="A13270" s="82"/>
      <c r="B13270" s="82"/>
      <c r="C13270" s="82"/>
    </row>
    <row r="13271" spans="1:3" x14ac:dyDescent="0.2">
      <c r="A13271" s="82"/>
      <c r="B13271" s="82"/>
      <c r="C13271" s="82"/>
    </row>
    <row r="13272" spans="1:3" x14ac:dyDescent="0.2">
      <c r="A13272" s="82"/>
      <c r="B13272" s="82"/>
      <c r="C13272" s="82"/>
    </row>
    <row r="13273" spans="1:3" x14ac:dyDescent="0.2">
      <c r="A13273" s="82"/>
      <c r="B13273" s="82"/>
      <c r="C13273" s="82"/>
    </row>
    <row r="13274" spans="1:3" x14ac:dyDescent="0.2">
      <c r="A13274" s="82"/>
      <c r="B13274" s="82"/>
      <c r="C13274" s="82"/>
    </row>
    <row r="13275" spans="1:3" x14ac:dyDescent="0.2">
      <c r="A13275" s="82"/>
      <c r="B13275" s="82"/>
      <c r="C13275" s="82"/>
    </row>
    <row r="13276" spans="1:3" x14ac:dyDescent="0.2">
      <c r="A13276" s="82"/>
      <c r="B13276" s="82"/>
      <c r="C13276" s="82"/>
    </row>
    <row r="13277" spans="1:3" x14ac:dyDescent="0.2">
      <c r="A13277" s="82"/>
      <c r="B13277" s="82"/>
      <c r="C13277" s="82"/>
    </row>
    <row r="13278" spans="1:3" x14ac:dyDescent="0.2">
      <c r="A13278" s="82"/>
      <c r="B13278" s="82"/>
      <c r="C13278" s="82"/>
    </row>
    <row r="13279" spans="1:3" x14ac:dyDescent="0.2">
      <c r="A13279" s="82"/>
      <c r="B13279" s="82"/>
      <c r="C13279" s="82"/>
    </row>
    <row r="13280" spans="1:3" x14ac:dyDescent="0.2">
      <c r="A13280" s="82"/>
      <c r="B13280" s="82"/>
      <c r="C13280" s="82"/>
    </row>
    <row r="13281" spans="1:3" x14ac:dyDescent="0.2">
      <c r="A13281" s="82"/>
      <c r="B13281" s="82"/>
      <c r="C13281" s="82"/>
    </row>
    <row r="13282" spans="1:3" x14ac:dyDescent="0.2">
      <c r="A13282" s="82"/>
      <c r="B13282" s="82"/>
      <c r="C13282" s="82"/>
    </row>
    <row r="13283" spans="1:3" x14ac:dyDescent="0.2">
      <c r="A13283" s="82"/>
      <c r="B13283" s="82"/>
      <c r="C13283" s="82"/>
    </row>
    <row r="13284" spans="1:3" x14ac:dyDescent="0.2">
      <c r="A13284" s="82"/>
      <c r="B13284" s="82"/>
      <c r="C13284" s="82"/>
    </row>
    <row r="13285" spans="1:3" x14ac:dyDescent="0.2">
      <c r="A13285" s="82"/>
      <c r="B13285" s="82"/>
      <c r="C13285" s="82"/>
    </row>
    <row r="13286" spans="1:3" x14ac:dyDescent="0.2">
      <c r="A13286" s="82"/>
      <c r="B13286" s="82"/>
      <c r="C13286" s="82"/>
    </row>
    <row r="13287" spans="1:3" x14ac:dyDescent="0.2">
      <c r="A13287" s="82"/>
      <c r="B13287" s="82"/>
      <c r="C13287" s="82"/>
    </row>
    <row r="13288" spans="1:3" x14ac:dyDescent="0.2">
      <c r="A13288" s="82"/>
      <c r="B13288" s="82"/>
      <c r="C13288" s="82"/>
    </row>
    <row r="13289" spans="1:3" x14ac:dyDescent="0.2">
      <c r="A13289" s="82"/>
      <c r="B13289" s="82"/>
      <c r="C13289" s="82"/>
    </row>
    <row r="13290" spans="1:3" x14ac:dyDescent="0.2">
      <c r="A13290" s="82"/>
      <c r="B13290" s="82"/>
      <c r="C13290" s="82"/>
    </row>
    <row r="13291" spans="1:3" x14ac:dyDescent="0.2">
      <c r="A13291" s="82"/>
      <c r="B13291" s="82"/>
      <c r="C13291" s="82"/>
    </row>
    <row r="13292" spans="1:3" x14ac:dyDescent="0.2">
      <c r="A13292" s="82"/>
      <c r="B13292" s="82"/>
      <c r="C13292" s="82"/>
    </row>
    <row r="13293" spans="1:3" x14ac:dyDescent="0.2">
      <c r="A13293" s="82"/>
      <c r="B13293" s="82"/>
      <c r="C13293" s="82"/>
    </row>
    <row r="13294" spans="1:3" x14ac:dyDescent="0.2">
      <c r="A13294" s="82"/>
      <c r="B13294" s="82"/>
      <c r="C13294" s="82"/>
    </row>
    <row r="13295" spans="1:3" x14ac:dyDescent="0.2">
      <c r="A13295" s="82"/>
      <c r="B13295" s="82"/>
      <c r="C13295" s="82"/>
    </row>
    <row r="13296" spans="1:3" x14ac:dyDescent="0.2">
      <c r="A13296" s="82"/>
      <c r="B13296" s="82"/>
      <c r="C13296" s="82"/>
    </row>
    <row r="13297" spans="1:3" x14ac:dyDescent="0.2">
      <c r="A13297" s="82"/>
      <c r="B13297" s="82"/>
      <c r="C13297" s="82"/>
    </row>
    <row r="13298" spans="1:3" x14ac:dyDescent="0.2">
      <c r="A13298" s="82"/>
      <c r="B13298" s="82"/>
      <c r="C13298" s="82"/>
    </row>
    <row r="13299" spans="1:3" x14ac:dyDescent="0.2">
      <c r="A13299" s="82"/>
      <c r="B13299" s="82"/>
      <c r="C13299" s="82"/>
    </row>
    <row r="13300" spans="1:3" x14ac:dyDescent="0.2">
      <c r="A13300" s="82"/>
      <c r="B13300" s="82"/>
      <c r="C13300" s="82"/>
    </row>
    <row r="13301" spans="1:3" x14ac:dyDescent="0.2">
      <c r="A13301" s="82"/>
      <c r="B13301" s="82"/>
      <c r="C13301" s="82"/>
    </row>
    <row r="13302" spans="1:3" x14ac:dyDescent="0.2">
      <c r="A13302" s="82"/>
      <c r="B13302" s="82"/>
      <c r="C13302" s="82"/>
    </row>
    <row r="13303" spans="1:3" x14ac:dyDescent="0.2">
      <c r="A13303" s="82"/>
      <c r="B13303" s="82"/>
      <c r="C13303" s="82"/>
    </row>
    <row r="13304" spans="1:3" x14ac:dyDescent="0.2">
      <c r="A13304" s="82"/>
      <c r="B13304" s="82"/>
      <c r="C13304" s="82"/>
    </row>
    <row r="13305" spans="1:3" x14ac:dyDescent="0.2">
      <c r="A13305" s="82"/>
      <c r="B13305" s="82"/>
      <c r="C13305" s="82"/>
    </row>
    <row r="13306" spans="1:3" x14ac:dyDescent="0.2">
      <c r="A13306" s="82"/>
      <c r="B13306" s="82"/>
      <c r="C13306" s="82"/>
    </row>
    <row r="13307" spans="1:3" x14ac:dyDescent="0.2">
      <c r="A13307" s="82"/>
      <c r="B13307" s="82"/>
      <c r="C13307" s="82"/>
    </row>
    <row r="13308" spans="1:3" x14ac:dyDescent="0.2">
      <c r="A13308" s="82"/>
      <c r="B13308" s="82"/>
      <c r="C13308" s="82"/>
    </row>
    <row r="13309" spans="1:3" x14ac:dyDescent="0.2">
      <c r="A13309" s="82"/>
      <c r="B13309" s="82"/>
      <c r="C13309" s="82"/>
    </row>
    <row r="13310" spans="1:3" x14ac:dyDescent="0.2">
      <c r="A13310" s="82"/>
      <c r="B13310" s="82"/>
      <c r="C13310" s="82"/>
    </row>
    <row r="13311" spans="1:3" x14ac:dyDescent="0.2">
      <c r="A13311" s="82"/>
      <c r="B13311" s="82"/>
      <c r="C13311" s="82"/>
    </row>
    <row r="13312" spans="1:3" x14ac:dyDescent="0.2">
      <c r="A13312" s="82"/>
      <c r="B13312" s="82"/>
      <c r="C13312" s="82"/>
    </row>
    <row r="13313" spans="1:3" x14ac:dyDescent="0.2">
      <c r="A13313" s="82"/>
      <c r="B13313" s="82"/>
      <c r="C13313" s="82"/>
    </row>
    <row r="13314" spans="1:3" x14ac:dyDescent="0.2">
      <c r="A13314" s="82"/>
      <c r="B13314" s="82"/>
      <c r="C13314" s="82"/>
    </row>
    <row r="13315" spans="1:3" x14ac:dyDescent="0.2">
      <c r="A13315" s="82"/>
      <c r="B13315" s="82"/>
      <c r="C13315" s="82"/>
    </row>
    <row r="13316" spans="1:3" x14ac:dyDescent="0.2">
      <c r="A13316" s="82"/>
      <c r="B13316" s="82"/>
      <c r="C13316" s="82"/>
    </row>
    <row r="13317" spans="1:3" x14ac:dyDescent="0.2">
      <c r="A13317" s="82"/>
      <c r="B13317" s="82"/>
      <c r="C13317" s="82"/>
    </row>
    <row r="13318" spans="1:3" x14ac:dyDescent="0.2">
      <c r="A13318" s="82"/>
      <c r="B13318" s="82"/>
      <c r="C13318" s="82"/>
    </row>
    <row r="13319" spans="1:3" x14ac:dyDescent="0.2">
      <c r="A13319" s="82"/>
      <c r="B13319" s="82"/>
      <c r="C13319" s="82"/>
    </row>
    <row r="13320" spans="1:3" x14ac:dyDescent="0.2">
      <c r="A13320" s="82"/>
      <c r="B13320" s="82"/>
      <c r="C13320" s="82"/>
    </row>
    <row r="13321" spans="1:3" x14ac:dyDescent="0.2">
      <c r="A13321" s="82"/>
      <c r="B13321" s="82"/>
      <c r="C13321" s="82"/>
    </row>
    <row r="13322" spans="1:3" x14ac:dyDescent="0.2">
      <c r="A13322" s="82"/>
      <c r="B13322" s="82"/>
      <c r="C13322" s="82"/>
    </row>
    <row r="13323" spans="1:3" x14ac:dyDescent="0.2">
      <c r="A13323" s="82"/>
      <c r="B13323" s="82"/>
      <c r="C13323" s="82"/>
    </row>
    <row r="13324" spans="1:3" x14ac:dyDescent="0.2">
      <c r="A13324" s="82"/>
      <c r="B13324" s="82"/>
      <c r="C13324" s="82"/>
    </row>
    <row r="13325" spans="1:3" x14ac:dyDescent="0.2">
      <c r="A13325" s="82"/>
      <c r="B13325" s="82"/>
      <c r="C13325" s="82"/>
    </row>
    <row r="13326" spans="1:3" x14ac:dyDescent="0.2">
      <c r="A13326" s="82"/>
      <c r="B13326" s="82"/>
      <c r="C13326" s="82"/>
    </row>
    <row r="13327" spans="1:3" x14ac:dyDescent="0.2">
      <c r="A13327" s="82"/>
      <c r="B13327" s="82"/>
      <c r="C13327" s="82"/>
    </row>
    <row r="13328" spans="1:3" x14ac:dyDescent="0.2">
      <c r="A13328" s="82"/>
      <c r="B13328" s="82"/>
      <c r="C13328" s="82"/>
    </row>
    <row r="13329" spans="1:3" x14ac:dyDescent="0.2">
      <c r="A13329" s="82"/>
      <c r="B13329" s="82"/>
      <c r="C13329" s="82"/>
    </row>
    <row r="13330" spans="1:3" x14ac:dyDescent="0.2">
      <c r="A13330" s="82"/>
      <c r="B13330" s="82"/>
      <c r="C13330" s="82"/>
    </row>
    <row r="13331" spans="1:3" x14ac:dyDescent="0.2">
      <c r="A13331" s="82"/>
      <c r="B13331" s="82"/>
      <c r="C13331" s="82"/>
    </row>
    <row r="13332" spans="1:3" x14ac:dyDescent="0.2">
      <c r="A13332" s="82"/>
      <c r="B13332" s="82"/>
      <c r="C13332" s="82"/>
    </row>
    <row r="13333" spans="1:3" x14ac:dyDescent="0.2">
      <c r="A13333" s="82"/>
      <c r="B13333" s="82"/>
      <c r="C13333" s="82"/>
    </row>
    <row r="13334" spans="1:3" x14ac:dyDescent="0.2">
      <c r="A13334" s="82"/>
      <c r="B13334" s="82"/>
      <c r="C13334" s="82"/>
    </row>
    <row r="13335" spans="1:3" x14ac:dyDescent="0.2">
      <c r="A13335" s="82"/>
      <c r="B13335" s="82"/>
      <c r="C13335" s="82"/>
    </row>
    <row r="13336" spans="1:3" x14ac:dyDescent="0.2">
      <c r="A13336" s="82"/>
      <c r="B13336" s="82"/>
      <c r="C13336" s="82"/>
    </row>
    <row r="13337" spans="1:3" x14ac:dyDescent="0.2">
      <c r="A13337" s="82"/>
      <c r="B13337" s="82"/>
      <c r="C13337" s="82"/>
    </row>
    <row r="13338" spans="1:3" x14ac:dyDescent="0.2">
      <c r="A13338" s="82"/>
      <c r="B13338" s="82"/>
      <c r="C13338" s="82"/>
    </row>
    <row r="13339" spans="1:3" x14ac:dyDescent="0.2">
      <c r="A13339" s="82"/>
      <c r="B13339" s="82"/>
      <c r="C13339" s="82"/>
    </row>
    <row r="13340" spans="1:3" x14ac:dyDescent="0.2">
      <c r="A13340" s="82"/>
      <c r="B13340" s="82"/>
      <c r="C13340" s="82"/>
    </row>
    <row r="13341" spans="1:3" x14ac:dyDescent="0.2">
      <c r="A13341" s="82"/>
      <c r="B13341" s="82"/>
      <c r="C13341" s="82"/>
    </row>
    <row r="13342" spans="1:3" x14ac:dyDescent="0.2">
      <c r="A13342" s="82"/>
      <c r="B13342" s="82"/>
      <c r="C13342" s="82"/>
    </row>
    <row r="13343" spans="1:3" x14ac:dyDescent="0.2">
      <c r="A13343" s="82"/>
      <c r="B13343" s="82"/>
      <c r="C13343" s="82"/>
    </row>
    <row r="13344" spans="1:3" x14ac:dyDescent="0.2">
      <c r="A13344" s="82"/>
      <c r="B13344" s="82"/>
      <c r="C13344" s="82"/>
    </row>
    <row r="13345" spans="1:3" x14ac:dyDescent="0.2">
      <c r="A13345" s="82"/>
      <c r="B13345" s="82"/>
      <c r="C13345" s="82"/>
    </row>
    <row r="13346" spans="1:3" x14ac:dyDescent="0.2">
      <c r="A13346" s="82"/>
      <c r="B13346" s="82"/>
      <c r="C13346" s="82"/>
    </row>
    <row r="13347" spans="1:3" x14ac:dyDescent="0.2">
      <c r="A13347" s="82"/>
      <c r="B13347" s="82"/>
      <c r="C13347" s="82"/>
    </row>
    <row r="13348" spans="1:3" x14ac:dyDescent="0.2">
      <c r="A13348" s="82"/>
      <c r="B13348" s="82"/>
      <c r="C13348" s="82"/>
    </row>
    <row r="13349" spans="1:3" x14ac:dyDescent="0.2">
      <c r="A13349" s="82"/>
      <c r="B13349" s="82"/>
      <c r="C13349" s="82"/>
    </row>
    <row r="13350" spans="1:3" x14ac:dyDescent="0.2">
      <c r="A13350" s="82"/>
      <c r="B13350" s="82"/>
      <c r="C13350" s="82"/>
    </row>
    <row r="13351" spans="1:3" x14ac:dyDescent="0.2">
      <c r="A13351" s="82"/>
      <c r="B13351" s="82"/>
      <c r="C13351" s="82"/>
    </row>
    <row r="13352" spans="1:3" x14ac:dyDescent="0.2">
      <c r="A13352" s="82"/>
      <c r="B13352" s="82"/>
      <c r="C13352" s="82"/>
    </row>
    <row r="13353" spans="1:3" x14ac:dyDescent="0.2">
      <c r="A13353" s="82"/>
      <c r="B13353" s="82"/>
      <c r="C13353" s="82"/>
    </row>
    <row r="13354" spans="1:3" x14ac:dyDescent="0.2">
      <c r="A13354" s="82"/>
      <c r="B13354" s="82"/>
      <c r="C13354" s="82"/>
    </row>
    <row r="13355" spans="1:3" x14ac:dyDescent="0.2">
      <c r="A13355" s="82"/>
      <c r="B13355" s="82"/>
      <c r="C13355" s="82"/>
    </row>
    <row r="13356" spans="1:3" x14ac:dyDescent="0.2">
      <c r="A13356" s="82"/>
      <c r="B13356" s="82"/>
      <c r="C13356" s="82"/>
    </row>
    <row r="13357" spans="1:3" x14ac:dyDescent="0.2">
      <c r="A13357" s="82"/>
      <c r="B13357" s="82"/>
      <c r="C13357" s="82"/>
    </row>
    <row r="13358" spans="1:3" x14ac:dyDescent="0.2">
      <c r="A13358" s="82"/>
      <c r="B13358" s="82"/>
      <c r="C13358" s="82"/>
    </row>
    <row r="13359" spans="1:3" x14ac:dyDescent="0.2">
      <c r="A13359" s="82"/>
      <c r="B13359" s="82"/>
      <c r="C13359" s="82"/>
    </row>
    <row r="13360" spans="1:3" x14ac:dyDescent="0.2">
      <c r="A13360" s="82"/>
      <c r="B13360" s="82"/>
      <c r="C13360" s="82"/>
    </row>
    <row r="13361" spans="1:3" x14ac:dyDescent="0.2">
      <c r="A13361" s="82"/>
      <c r="B13361" s="82"/>
      <c r="C13361" s="82"/>
    </row>
    <row r="13362" spans="1:3" x14ac:dyDescent="0.2">
      <c r="A13362" s="82"/>
      <c r="B13362" s="82"/>
      <c r="C13362" s="82"/>
    </row>
    <row r="13363" spans="1:3" x14ac:dyDescent="0.2">
      <c r="A13363" s="82"/>
      <c r="B13363" s="82"/>
      <c r="C13363" s="82"/>
    </row>
    <row r="13364" spans="1:3" x14ac:dyDescent="0.2">
      <c r="A13364" s="82"/>
      <c r="B13364" s="82"/>
      <c r="C13364" s="82"/>
    </row>
    <row r="13365" spans="1:3" x14ac:dyDescent="0.2">
      <c r="A13365" s="82"/>
      <c r="B13365" s="82"/>
      <c r="C13365" s="82"/>
    </row>
    <row r="13366" spans="1:3" x14ac:dyDescent="0.2">
      <c r="A13366" s="82"/>
      <c r="B13366" s="82"/>
      <c r="C13366" s="82"/>
    </row>
    <row r="13367" spans="1:3" x14ac:dyDescent="0.2">
      <c r="A13367" s="82"/>
      <c r="B13367" s="82"/>
      <c r="C13367" s="82"/>
    </row>
    <row r="13368" spans="1:3" x14ac:dyDescent="0.2">
      <c r="A13368" s="82"/>
      <c r="B13368" s="82"/>
      <c r="C13368" s="82"/>
    </row>
    <row r="13369" spans="1:3" x14ac:dyDescent="0.2">
      <c r="A13369" s="82"/>
      <c r="B13369" s="82"/>
      <c r="C13369" s="82"/>
    </row>
    <row r="13370" spans="1:3" x14ac:dyDescent="0.2">
      <c r="A13370" s="82"/>
      <c r="B13370" s="82"/>
      <c r="C13370" s="82"/>
    </row>
    <row r="13371" spans="1:3" x14ac:dyDescent="0.2">
      <c r="A13371" s="82"/>
      <c r="B13371" s="82"/>
      <c r="C13371" s="82"/>
    </row>
    <row r="13372" spans="1:3" x14ac:dyDescent="0.2">
      <c r="A13372" s="82"/>
      <c r="B13372" s="82"/>
      <c r="C13372" s="82"/>
    </row>
    <row r="13373" spans="1:3" x14ac:dyDescent="0.2">
      <c r="A13373" s="82"/>
      <c r="B13373" s="82"/>
      <c r="C13373" s="82"/>
    </row>
    <row r="13374" spans="1:3" x14ac:dyDescent="0.2">
      <c r="A13374" s="82"/>
      <c r="B13374" s="82"/>
      <c r="C13374" s="82"/>
    </row>
    <row r="13375" spans="1:3" x14ac:dyDescent="0.2">
      <c r="A13375" s="82"/>
      <c r="B13375" s="82"/>
      <c r="C13375" s="82"/>
    </row>
    <row r="13376" spans="1:3" x14ac:dyDescent="0.2">
      <c r="A13376" s="82"/>
      <c r="B13376" s="82"/>
      <c r="C13376" s="82"/>
    </row>
    <row r="13377" spans="1:3" x14ac:dyDescent="0.2">
      <c r="A13377" s="82"/>
      <c r="B13377" s="82"/>
      <c r="C13377" s="82"/>
    </row>
    <row r="13378" spans="1:3" x14ac:dyDescent="0.2">
      <c r="A13378" s="82"/>
      <c r="B13378" s="82"/>
      <c r="C13378" s="82"/>
    </row>
    <row r="13379" spans="1:3" x14ac:dyDescent="0.2">
      <c r="A13379" s="82"/>
      <c r="B13379" s="82"/>
      <c r="C13379" s="82"/>
    </row>
    <row r="13380" spans="1:3" x14ac:dyDescent="0.2">
      <c r="A13380" s="82"/>
      <c r="B13380" s="82"/>
      <c r="C13380" s="82"/>
    </row>
    <row r="13381" spans="1:3" x14ac:dyDescent="0.2">
      <c r="A13381" s="82"/>
      <c r="B13381" s="82"/>
      <c r="C13381" s="82"/>
    </row>
    <row r="13382" spans="1:3" x14ac:dyDescent="0.2">
      <c r="A13382" s="82"/>
      <c r="B13382" s="82"/>
      <c r="C13382" s="82"/>
    </row>
    <row r="13383" spans="1:3" x14ac:dyDescent="0.2">
      <c r="A13383" s="82"/>
      <c r="B13383" s="82"/>
      <c r="C13383" s="82"/>
    </row>
    <row r="13384" spans="1:3" x14ac:dyDescent="0.2">
      <c r="A13384" s="82"/>
      <c r="B13384" s="82"/>
      <c r="C13384" s="82"/>
    </row>
    <row r="13385" spans="1:3" x14ac:dyDescent="0.2">
      <c r="A13385" s="82"/>
      <c r="B13385" s="82"/>
      <c r="C13385" s="82"/>
    </row>
    <row r="13386" spans="1:3" x14ac:dyDescent="0.2">
      <c r="A13386" s="82"/>
      <c r="B13386" s="82"/>
      <c r="C13386" s="82"/>
    </row>
    <row r="13387" spans="1:3" x14ac:dyDescent="0.2">
      <c r="A13387" s="82"/>
      <c r="B13387" s="82"/>
      <c r="C13387" s="82"/>
    </row>
    <row r="13388" spans="1:3" x14ac:dyDescent="0.2">
      <c r="A13388" s="82"/>
      <c r="B13388" s="82"/>
      <c r="C13388" s="82"/>
    </row>
    <row r="13389" spans="1:3" x14ac:dyDescent="0.2">
      <c r="A13389" s="82"/>
      <c r="B13389" s="82"/>
      <c r="C13389" s="82"/>
    </row>
    <row r="13390" spans="1:3" x14ac:dyDescent="0.2">
      <c r="A13390" s="82"/>
      <c r="B13390" s="82"/>
      <c r="C13390" s="82"/>
    </row>
    <row r="13391" spans="1:3" x14ac:dyDescent="0.2">
      <c r="A13391" s="82"/>
      <c r="B13391" s="82"/>
      <c r="C13391" s="82"/>
    </row>
    <row r="13392" spans="1:3" x14ac:dyDescent="0.2">
      <c r="A13392" s="82"/>
      <c r="B13392" s="82"/>
      <c r="C13392" s="82"/>
    </row>
    <row r="13393" spans="1:3" x14ac:dyDescent="0.2">
      <c r="A13393" s="82"/>
      <c r="B13393" s="82"/>
      <c r="C13393" s="82"/>
    </row>
    <row r="13394" spans="1:3" x14ac:dyDescent="0.2">
      <c r="A13394" s="82"/>
      <c r="B13394" s="82"/>
      <c r="C13394" s="82"/>
    </row>
    <row r="13395" spans="1:3" x14ac:dyDescent="0.2">
      <c r="A13395" s="82"/>
      <c r="B13395" s="82"/>
      <c r="C13395" s="82"/>
    </row>
    <row r="13396" spans="1:3" x14ac:dyDescent="0.2">
      <c r="A13396" s="82"/>
      <c r="B13396" s="82"/>
      <c r="C13396" s="82"/>
    </row>
    <row r="13397" spans="1:3" x14ac:dyDescent="0.2">
      <c r="A13397" s="82"/>
      <c r="B13397" s="82"/>
      <c r="C13397" s="82"/>
    </row>
    <row r="13398" spans="1:3" x14ac:dyDescent="0.2">
      <c r="A13398" s="82"/>
      <c r="B13398" s="82"/>
      <c r="C13398" s="82"/>
    </row>
    <row r="13399" spans="1:3" x14ac:dyDescent="0.2">
      <c r="A13399" s="82"/>
      <c r="B13399" s="82"/>
      <c r="C13399" s="82"/>
    </row>
    <row r="13400" spans="1:3" x14ac:dyDescent="0.2">
      <c r="A13400" s="82"/>
      <c r="B13400" s="82"/>
      <c r="C13400" s="82"/>
    </row>
    <row r="13401" spans="1:3" x14ac:dyDescent="0.2">
      <c r="A13401" s="82"/>
      <c r="B13401" s="82"/>
      <c r="C13401" s="82"/>
    </row>
    <row r="13402" spans="1:3" x14ac:dyDescent="0.2">
      <c r="A13402" s="82"/>
      <c r="B13402" s="82"/>
      <c r="C13402" s="82"/>
    </row>
    <row r="13403" spans="1:3" x14ac:dyDescent="0.2">
      <c r="A13403" s="82"/>
      <c r="B13403" s="82"/>
      <c r="C13403" s="82"/>
    </row>
    <row r="13404" spans="1:3" x14ac:dyDescent="0.2">
      <c r="A13404" s="82"/>
      <c r="B13404" s="82"/>
      <c r="C13404" s="82"/>
    </row>
    <row r="13405" spans="1:3" x14ac:dyDescent="0.2">
      <c r="A13405" s="82"/>
      <c r="B13405" s="82"/>
      <c r="C13405" s="82"/>
    </row>
    <row r="13406" spans="1:3" x14ac:dyDescent="0.2">
      <c r="A13406" s="82"/>
      <c r="B13406" s="82"/>
      <c r="C13406" s="82"/>
    </row>
    <row r="13407" spans="1:3" x14ac:dyDescent="0.2">
      <c r="A13407" s="82"/>
      <c r="B13407" s="82"/>
      <c r="C13407" s="82"/>
    </row>
    <row r="13408" spans="1:3" x14ac:dyDescent="0.2">
      <c r="A13408" s="82"/>
      <c r="B13408" s="82"/>
      <c r="C13408" s="82"/>
    </row>
    <row r="13409" spans="1:3" x14ac:dyDescent="0.2">
      <c r="A13409" s="82"/>
      <c r="B13409" s="82"/>
      <c r="C13409" s="82"/>
    </row>
    <row r="13410" spans="1:3" x14ac:dyDescent="0.2">
      <c r="A13410" s="82"/>
      <c r="B13410" s="82"/>
      <c r="C13410" s="82"/>
    </row>
    <row r="13411" spans="1:3" x14ac:dyDescent="0.2">
      <c r="A13411" s="82"/>
      <c r="B13411" s="82"/>
      <c r="C13411" s="82"/>
    </row>
    <row r="13412" spans="1:3" x14ac:dyDescent="0.2">
      <c r="A13412" s="82"/>
      <c r="B13412" s="82"/>
      <c r="C13412" s="82"/>
    </row>
    <row r="13413" spans="1:3" x14ac:dyDescent="0.2">
      <c r="A13413" s="82"/>
      <c r="B13413" s="82"/>
      <c r="C13413" s="82"/>
    </row>
    <row r="13414" spans="1:3" x14ac:dyDescent="0.2">
      <c r="A13414" s="82"/>
      <c r="B13414" s="82"/>
      <c r="C13414" s="82"/>
    </row>
    <row r="13415" spans="1:3" x14ac:dyDescent="0.2">
      <c r="A13415" s="82"/>
      <c r="B13415" s="82"/>
      <c r="C13415" s="82"/>
    </row>
    <row r="13416" spans="1:3" x14ac:dyDescent="0.2">
      <c r="A13416" s="82"/>
      <c r="B13416" s="82"/>
      <c r="C13416" s="82"/>
    </row>
    <row r="13417" spans="1:3" x14ac:dyDescent="0.2">
      <c r="A13417" s="82"/>
      <c r="B13417" s="82"/>
      <c r="C13417" s="82"/>
    </row>
    <row r="13418" spans="1:3" x14ac:dyDescent="0.2">
      <c r="A13418" s="82"/>
      <c r="B13418" s="82"/>
      <c r="C13418" s="82"/>
    </row>
    <row r="13419" spans="1:3" x14ac:dyDescent="0.2">
      <c r="A13419" s="82"/>
      <c r="B13419" s="82"/>
      <c r="C13419" s="82"/>
    </row>
    <row r="13420" spans="1:3" x14ac:dyDescent="0.2">
      <c r="A13420" s="82"/>
      <c r="B13420" s="82"/>
      <c r="C13420" s="82"/>
    </row>
    <row r="13421" spans="1:3" x14ac:dyDescent="0.2">
      <c r="A13421" s="82"/>
      <c r="B13421" s="82"/>
      <c r="C13421" s="82"/>
    </row>
    <row r="13422" spans="1:3" x14ac:dyDescent="0.2">
      <c r="A13422" s="82"/>
      <c r="B13422" s="82"/>
      <c r="C13422" s="82"/>
    </row>
    <row r="13423" spans="1:3" x14ac:dyDescent="0.2">
      <c r="A13423" s="82"/>
      <c r="B13423" s="82"/>
      <c r="C13423" s="82"/>
    </row>
    <row r="13424" spans="1:3" x14ac:dyDescent="0.2">
      <c r="A13424" s="82"/>
      <c r="B13424" s="82"/>
      <c r="C13424" s="82"/>
    </row>
    <row r="13425" spans="1:3" x14ac:dyDescent="0.2">
      <c r="A13425" s="82"/>
      <c r="B13425" s="82"/>
      <c r="C13425" s="82"/>
    </row>
    <row r="13426" spans="1:3" x14ac:dyDescent="0.2">
      <c r="A13426" s="82"/>
      <c r="B13426" s="82"/>
      <c r="C13426" s="82"/>
    </row>
    <row r="13427" spans="1:3" x14ac:dyDescent="0.2">
      <c r="A13427" s="82"/>
      <c r="B13427" s="82"/>
      <c r="C13427" s="82"/>
    </row>
    <row r="13428" spans="1:3" x14ac:dyDescent="0.2">
      <c r="A13428" s="82"/>
      <c r="B13428" s="82"/>
      <c r="C13428" s="82"/>
    </row>
    <row r="13429" spans="1:3" x14ac:dyDescent="0.2">
      <c r="A13429" s="82"/>
      <c r="B13429" s="82"/>
      <c r="C13429" s="82"/>
    </row>
    <row r="13430" spans="1:3" x14ac:dyDescent="0.2">
      <c r="A13430" s="82"/>
      <c r="B13430" s="82"/>
      <c r="C13430" s="82"/>
    </row>
    <row r="13431" spans="1:3" x14ac:dyDescent="0.2">
      <c r="A13431" s="82"/>
      <c r="B13431" s="82"/>
      <c r="C13431" s="82"/>
    </row>
    <row r="13432" spans="1:3" x14ac:dyDescent="0.2">
      <c r="A13432" s="82"/>
      <c r="B13432" s="82"/>
      <c r="C13432" s="82"/>
    </row>
    <row r="13433" spans="1:3" x14ac:dyDescent="0.2">
      <c r="A13433" s="82"/>
      <c r="B13433" s="82"/>
      <c r="C13433" s="82"/>
    </row>
    <row r="13434" spans="1:3" x14ac:dyDescent="0.2">
      <c r="A13434" s="82"/>
      <c r="B13434" s="82"/>
      <c r="C13434" s="82"/>
    </row>
    <row r="13435" spans="1:3" x14ac:dyDescent="0.2">
      <c r="A13435" s="82"/>
      <c r="B13435" s="82"/>
      <c r="C13435" s="82"/>
    </row>
    <row r="13436" spans="1:3" x14ac:dyDescent="0.2">
      <c r="A13436" s="82"/>
      <c r="B13436" s="82"/>
      <c r="C13436" s="82"/>
    </row>
    <row r="13437" spans="1:3" x14ac:dyDescent="0.2">
      <c r="A13437" s="82"/>
      <c r="B13437" s="82"/>
      <c r="C13437" s="82"/>
    </row>
    <row r="13438" spans="1:3" x14ac:dyDescent="0.2">
      <c r="A13438" s="82"/>
      <c r="B13438" s="82"/>
      <c r="C13438" s="82"/>
    </row>
    <row r="13439" spans="1:3" x14ac:dyDescent="0.2">
      <c r="A13439" s="82"/>
      <c r="B13439" s="82"/>
      <c r="C13439" s="82"/>
    </row>
    <row r="13440" spans="1:3" x14ac:dyDescent="0.2">
      <c r="A13440" s="82"/>
      <c r="B13440" s="82"/>
      <c r="C13440" s="82"/>
    </row>
    <row r="13441" spans="1:3" x14ac:dyDescent="0.2">
      <c r="A13441" s="82"/>
      <c r="B13441" s="82"/>
      <c r="C13441" s="82"/>
    </row>
    <row r="13442" spans="1:3" x14ac:dyDescent="0.2">
      <c r="A13442" s="82"/>
      <c r="B13442" s="82"/>
      <c r="C13442" s="82"/>
    </row>
    <row r="13443" spans="1:3" x14ac:dyDescent="0.2">
      <c r="A13443" s="82"/>
      <c r="B13443" s="82"/>
      <c r="C13443" s="82"/>
    </row>
    <row r="13444" spans="1:3" x14ac:dyDescent="0.2">
      <c r="A13444" s="82"/>
      <c r="B13444" s="82"/>
      <c r="C13444" s="82"/>
    </row>
    <row r="13445" spans="1:3" x14ac:dyDescent="0.2">
      <c r="A13445" s="82"/>
      <c r="B13445" s="82"/>
      <c r="C13445" s="82"/>
    </row>
    <row r="13446" spans="1:3" x14ac:dyDescent="0.2">
      <c r="A13446" s="82"/>
      <c r="B13446" s="82"/>
      <c r="C13446" s="82"/>
    </row>
    <row r="13447" spans="1:3" x14ac:dyDescent="0.2">
      <c r="A13447" s="82"/>
      <c r="B13447" s="82"/>
      <c r="C13447" s="82"/>
    </row>
    <row r="13448" spans="1:3" x14ac:dyDescent="0.2">
      <c r="A13448" s="82"/>
      <c r="B13448" s="82"/>
      <c r="C13448" s="82"/>
    </row>
    <row r="13449" spans="1:3" x14ac:dyDescent="0.2">
      <c r="A13449" s="82"/>
      <c r="B13449" s="82"/>
      <c r="C13449" s="82"/>
    </row>
    <row r="13450" spans="1:3" x14ac:dyDescent="0.2">
      <c r="A13450" s="82"/>
      <c r="B13450" s="82"/>
      <c r="C13450" s="82"/>
    </row>
    <row r="13451" spans="1:3" x14ac:dyDescent="0.2">
      <c r="A13451" s="82"/>
      <c r="B13451" s="82"/>
      <c r="C13451" s="82"/>
    </row>
    <row r="13452" spans="1:3" x14ac:dyDescent="0.2">
      <c r="A13452" s="82"/>
      <c r="B13452" s="82"/>
      <c r="C13452" s="82"/>
    </row>
    <row r="13453" spans="1:3" x14ac:dyDescent="0.2">
      <c r="A13453" s="82"/>
      <c r="B13453" s="82"/>
      <c r="C13453" s="82"/>
    </row>
    <row r="13454" spans="1:3" x14ac:dyDescent="0.2">
      <c r="A13454" s="82"/>
      <c r="B13454" s="82"/>
      <c r="C13454" s="82"/>
    </row>
    <row r="13455" spans="1:3" x14ac:dyDescent="0.2">
      <c r="A13455" s="82"/>
      <c r="B13455" s="82"/>
      <c r="C13455" s="82"/>
    </row>
    <row r="13456" spans="1:3" x14ac:dyDescent="0.2">
      <c r="A13456" s="82"/>
      <c r="B13456" s="82"/>
      <c r="C13456" s="82"/>
    </row>
    <row r="13457" spans="1:3" x14ac:dyDescent="0.2">
      <c r="A13457" s="82"/>
      <c r="B13457" s="82"/>
      <c r="C13457" s="82"/>
    </row>
    <row r="13458" spans="1:3" x14ac:dyDescent="0.2">
      <c r="A13458" s="82"/>
      <c r="B13458" s="82"/>
      <c r="C13458" s="82"/>
    </row>
    <row r="13459" spans="1:3" x14ac:dyDescent="0.2">
      <c r="A13459" s="82"/>
      <c r="B13459" s="82"/>
      <c r="C13459" s="82"/>
    </row>
    <row r="13460" spans="1:3" x14ac:dyDescent="0.2">
      <c r="A13460" s="82"/>
      <c r="B13460" s="82"/>
      <c r="C13460" s="82"/>
    </row>
    <row r="13461" spans="1:3" x14ac:dyDescent="0.2">
      <c r="A13461" s="82"/>
      <c r="B13461" s="82"/>
      <c r="C13461" s="82"/>
    </row>
    <row r="13462" spans="1:3" x14ac:dyDescent="0.2">
      <c r="A13462" s="82"/>
      <c r="B13462" s="82"/>
      <c r="C13462" s="82"/>
    </row>
    <row r="13463" spans="1:3" x14ac:dyDescent="0.2">
      <c r="A13463" s="82"/>
      <c r="B13463" s="82"/>
      <c r="C13463" s="82"/>
    </row>
    <row r="13464" spans="1:3" x14ac:dyDescent="0.2">
      <c r="A13464" s="82"/>
      <c r="B13464" s="82"/>
      <c r="C13464" s="82"/>
    </row>
    <row r="13465" spans="1:3" x14ac:dyDescent="0.2">
      <c r="A13465" s="82"/>
      <c r="B13465" s="82"/>
      <c r="C13465" s="82"/>
    </row>
    <row r="13466" spans="1:3" x14ac:dyDescent="0.2">
      <c r="A13466" s="82"/>
      <c r="B13466" s="82"/>
      <c r="C13466" s="82"/>
    </row>
    <row r="13467" spans="1:3" x14ac:dyDescent="0.2">
      <c r="A13467" s="82"/>
      <c r="B13467" s="82"/>
      <c r="C13467" s="82"/>
    </row>
    <row r="13468" spans="1:3" x14ac:dyDescent="0.2">
      <c r="A13468" s="82"/>
      <c r="B13468" s="82"/>
      <c r="C13468" s="82"/>
    </row>
    <row r="13469" spans="1:3" x14ac:dyDescent="0.2">
      <c r="A13469" s="82"/>
      <c r="B13469" s="82"/>
      <c r="C13469" s="82"/>
    </row>
    <row r="13470" spans="1:3" x14ac:dyDescent="0.2">
      <c r="A13470" s="82"/>
      <c r="B13470" s="82"/>
      <c r="C13470" s="82"/>
    </row>
    <row r="13471" spans="1:3" x14ac:dyDescent="0.2">
      <c r="A13471" s="82"/>
      <c r="B13471" s="82"/>
      <c r="C13471" s="82"/>
    </row>
    <row r="13472" spans="1:3" x14ac:dyDescent="0.2">
      <c r="A13472" s="82"/>
      <c r="B13472" s="82"/>
      <c r="C13472" s="82"/>
    </row>
    <row r="13473" spans="1:3" x14ac:dyDescent="0.2">
      <c r="A13473" s="82"/>
      <c r="B13473" s="82"/>
      <c r="C13473" s="82"/>
    </row>
    <row r="13474" spans="1:3" x14ac:dyDescent="0.2">
      <c r="A13474" s="82"/>
      <c r="B13474" s="82"/>
      <c r="C13474" s="82"/>
    </row>
    <row r="13475" spans="1:3" x14ac:dyDescent="0.2">
      <c r="A13475" s="82"/>
      <c r="B13475" s="82"/>
      <c r="C13475" s="82"/>
    </row>
    <row r="13476" spans="1:3" x14ac:dyDescent="0.2">
      <c r="A13476" s="82"/>
      <c r="B13476" s="82"/>
      <c r="C13476" s="82"/>
    </row>
    <row r="13477" spans="1:3" x14ac:dyDescent="0.2">
      <c r="A13477" s="82"/>
      <c r="B13477" s="82"/>
      <c r="C13477" s="82"/>
    </row>
    <row r="13478" spans="1:3" x14ac:dyDescent="0.2">
      <c r="A13478" s="82"/>
      <c r="B13478" s="82"/>
      <c r="C13478" s="82"/>
    </row>
    <row r="13479" spans="1:3" x14ac:dyDescent="0.2">
      <c r="A13479" s="82"/>
      <c r="B13479" s="82"/>
      <c r="C13479" s="82"/>
    </row>
    <row r="13480" spans="1:3" x14ac:dyDescent="0.2">
      <c r="A13480" s="82"/>
      <c r="B13480" s="82"/>
      <c r="C13480" s="82"/>
    </row>
    <row r="13481" spans="1:3" x14ac:dyDescent="0.2">
      <c r="A13481" s="82"/>
      <c r="B13481" s="82"/>
      <c r="C13481" s="82"/>
    </row>
    <row r="13482" spans="1:3" x14ac:dyDescent="0.2">
      <c r="A13482" s="82"/>
      <c r="B13482" s="82"/>
      <c r="C13482" s="82"/>
    </row>
    <row r="13483" spans="1:3" x14ac:dyDescent="0.2">
      <c r="A13483" s="82"/>
      <c r="B13483" s="82"/>
      <c r="C13483" s="82"/>
    </row>
    <row r="13484" spans="1:3" x14ac:dyDescent="0.2">
      <c r="A13484" s="82"/>
      <c r="B13484" s="82"/>
      <c r="C13484" s="82"/>
    </row>
    <row r="13485" spans="1:3" x14ac:dyDescent="0.2">
      <c r="A13485" s="82"/>
      <c r="B13485" s="82"/>
      <c r="C13485" s="82"/>
    </row>
    <row r="13486" spans="1:3" x14ac:dyDescent="0.2">
      <c r="A13486" s="82"/>
      <c r="B13486" s="82"/>
      <c r="C13486" s="82"/>
    </row>
    <row r="13487" spans="1:3" x14ac:dyDescent="0.2">
      <c r="A13487" s="82"/>
      <c r="B13487" s="82"/>
      <c r="C13487" s="82"/>
    </row>
    <row r="13488" spans="1:3" x14ac:dyDescent="0.2">
      <c r="A13488" s="82"/>
      <c r="B13488" s="82"/>
      <c r="C13488" s="82"/>
    </row>
    <row r="13489" spans="1:3" x14ac:dyDescent="0.2">
      <c r="A13489" s="82"/>
      <c r="B13489" s="82"/>
      <c r="C13489" s="82"/>
    </row>
    <row r="13490" spans="1:3" x14ac:dyDescent="0.2">
      <c r="A13490" s="82"/>
      <c r="B13490" s="82"/>
      <c r="C13490" s="82"/>
    </row>
    <row r="13491" spans="1:3" x14ac:dyDescent="0.2">
      <c r="A13491" s="82"/>
      <c r="B13491" s="82"/>
      <c r="C13491" s="82"/>
    </row>
    <row r="13492" spans="1:3" x14ac:dyDescent="0.2">
      <c r="A13492" s="82"/>
      <c r="B13492" s="82"/>
      <c r="C13492" s="82"/>
    </row>
    <row r="13493" spans="1:3" x14ac:dyDescent="0.2">
      <c r="A13493" s="82"/>
      <c r="B13493" s="82"/>
      <c r="C13493" s="82"/>
    </row>
    <row r="13494" spans="1:3" x14ac:dyDescent="0.2">
      <c r="A13494" s="82"/>
      <c r="B13494" s="82"/>
      <c r="C13494" s="82"/>
    </row>
    <row r="13495" spans="1:3" x14ac:dyDescent="0.2">
      <c r="A13495" s="82"/>
      <c r="B13495" s="82"/>
      <c r="C13495" s="82"/>
    </row>
    <row r="13496" spans="1:3" x14ac:dyDescent="0.2">
      <c r="A13496" s="82"/>
      <c r="B13496" s="82"/>
      <c r="C13496" s="82"/>
    </row>
    <row r="13497" spans="1:3" x14ac:dyDescent="0.2">
      <c r="A13497" s="82"/>
      <c r="B13497" s="82"/>
      <c r="C13497" s="82"/>
    </row>
    <row r="13498" spans="1:3" x14ac:dyDescent="0.2">
      <c r="A13498" s="82"/>
      <c r="B13498" s="82"/>
      <c r="C13498" s="82"/>
    </row>
    <row r="13499" spans="1:3" x14ac:dyDescent="0.2">
      <c r="A13499" s="82"/>
      <c r="B13499" s="82"/>
      <c r="C13499" s="82"/>
    </row>
    <row r="13500" spans="1:3" x14ac:dyDescent="0.2">
      <c r="A13500" s="82"/>
      <c r="B13500" s="82"/>
      <c r="C13500" s="82"/>
    </row>
    <row r="13501" spans="1:3" x14ac:dyDescent="0.2">
      <c r="A13501" s="82"/>
      <c r="B13501" s="82"/>
      <c r="C13501" s="82"/>
    </row>
    <row r="13502" spans="1:3" x14ac:dyDescent="0.2">
      <c r="A13502" s="82"/>
      <c r="B13502" s="82"/>
      <c r="C13502" s="82"/>
    </row>
    <row r="13503" spans="1:3" x14ac:dyDescent="0.2">
      <c r="A13503" s="82"/>
      <c r="B13503" s="82"/>
      <c r="C13503" s="82"/>
    </row>
    <row r="13504" spans="1:3" x14ac:dyDescent="0.2">
      <c r="A13504" s="82"/>
      <c r="B13504" s="82"/>
      <c r="C13504" s="82"/>
    </row>
    <row r="13505" spans="1:3" x14ac:dyDescent="0.2">
      <c r="A13505" s="82"/>
      <c r="B13505" s="82"/>
      <c r="C13505" s="82"/>
    </row>
    <row r="13506" spans="1:3" x14ac:dyDescent="0.2">
      <c r="A13506" s="82"/>
      <c r="B13506" s="82"/>
      <c r="C13506" s="82"/>
    </row>
    <row r="13507" spans="1:3" x14ac:dyDescent="0.2">
      <c r="A13507" s="82"/>
      <c r="B13507" s="82"/>
      <c r="C13507" s="82"/>
    </row>
    <row r="13508" spans="1:3" x14ac:dyDescent="0.2">
      <c r="A13508" s="82"/>
      <c r="B13508" s="82"/>
      <c r="C13508" s="82"/>
    </row>
    <row r="13509" spans="1:3" x14ac:dyDescent="0.2">
      <c r="A13509" s="82"/>
      <c r="B13509" s="82"/>
      <c r="C13509" s="82"/>
    </row>
    <row r="13510" spans="1:3" x14ac:dyDescent="0.2">
      <c r="A13510" s="82"/>
      <c r="B13510" s="82"/>
      <c r="C13510" s="82"/>
    </row>
    <row r="13511" spans="1:3" x14ac:dyDescent="0.2">
      <c r="A13511" s="82"/>
      <c r="B13511" s="82"/>
      <c r="C13511" s="82"/>
    </row>
    <row r="13512" spans="1:3" x14ac:dyDescent="0.2">
      <c r="A13512" s="82"/>
      <c r="B13512" s="82"/>
      <c r="C13512" s="82"/>
    </row>
    <row r="13513" spans="1:3" x14ac:dyDescent="0.2">
      <c r="A13513" s="82"/>
      <c r="B13513" s="82"/>
      <c r="C13513" s="82"/>
    </row>
    <row r="13514" spans="1:3" x14ac:dyDescent="0.2">
      <c r="A13514" s="82"/>
      <c r="B13514" s="82"/>
      <c r="C13514" s="82"/>
    </row>
    <row r="13515" spans="1:3" x14ac:dyDescent="0.2">
      <c r="A13515" s="82"/>
      <c r="B13515" s="82"/>
      <c r="C13515" s="82"/>
    </row>
    <row r="13516" spans="1:3" x14ac:dyDescent="0.2">
      <c r="A13516" s="82"/>
      <c r="B13516" s="82"/>
      <c r="C13516" s="82"/>
    </row>
    <row r="13517" spans="1:3" x14ac:dyDescent="0.2">
      <c r="A13517" s="82"/>
      <c r="B13517" s="82"/>
      <c r="C13517" s="82"/>
    </row>
    <row r="13518" spans="1:3" x14ac:dyDescent="0.2">
      <c r="A13518" s="82"/>
      <c r="B13518" s="82"/>
      <c r="C13518" s="82"/>
    </row>
    <row r="13519" spans="1:3" x14ac:dyDescent="0.2">
      <c r="A13519" s="82"/>
      <c r="B13519" s="82"/>
      <c r="C13519" s="82"/>
    </row>
    <row r="13520" spans="1:3" x14ac:dyDescent="0.2">
      <c r="A13520" s="82"/>
      <c r="B13520" s="82"/>
      <c r="C13520" s="82"/>
    </row>
    <row r="13521" spans="1:3" x14ac:dyDescent="0.2">
      <c r="A13521" s="82"/>
      <c r="B13521" s="82"/>
      <c r="C13521" s="82"/>
    </row>
    <row r="13522" spans="1:3" x14ac:dyDescent="0.2">
      <c r="A13522" s="82"/>
      <c r="B13522" s="82"/>
      <c r="C13522" s="82"/>
    </row>
    <row r="13523" spans="1:3" x14ac:dyDescent="0.2">
      <c r="A13523" s="82"/>
      <c r="B13523" s="82"/>
      <c r="C13523" s="82"/>
    </row>
    <row r="13524" spans="1:3" x14ac:dyDescent="0.2">
      <c r="A13524" s="82"/>
      <c r="B13524" s="82"/>
      <c r="C13524" s="82"/>
    </row>
    <row r="13525" spans="1:3" x14ac:dyDescent="0.2">
      <c r="A13525" s="82"/>
      <c r="B13525" s="82"/>
      <c r="C13525" s="82"/>
    </row>
    <row r="13526" spans="1:3" x14ac:dyDescent="0.2">
      <c r="A13526" s="82"/>
      <c r="B13526" s="82"/>
      <c r="C13526" s="82"/>
    </row>
    <row r="13527" spans="1:3" x14ac:dyDescent="0.2">
      <c r="A13527" s="82"/>
      <c r="B13527" s="82"/>
      <c r="C13527" s="82"/>
    </row>
    <row r="13528" spans="1:3" x14ac:dyDescent="0.2">
      <c r="A13528" s="82"/>
      <c r="B13528" s="82"/>
      <c r="C13528" s="82"/>
    </row>
    <row r="13529" spans="1:3" x14ac:dyDescent="0.2">
      <c r="A13529" s="82"/>
      <c r="B13529" s="82"/>
      <c r="C13529" s="82"/>
    </row>
    <row r="13530" spans="1:3" x14ac:dyDescent="0.2">
      <c r="A13530" s="82"/>
      <c r="B13530" s="82"/>
      <c r="C13530" s="82"/>
    </row>
    <row r="13531" spans="1:3" x14ac:dyDescent="0.2">
      <c r="A13531" s="82"/>
      <c r="B13531" s="82"/>
      <c r="C13531" s="82"/>
    </row>
    <row r="13532" spans="1:3" x14ac:dyDescent="0.2">
      <c r="A13532" s="82"/>
      <c r="B13532" s="82"/>
      <c r="C13532" s="82"/>
    </row>
    <row r="13533" spans="1:3" x14ac:dyDescent="0.2">
      <c r="A13533" s="82"/>
      <c r="B13533" s="82"/>
      <c r="C13533" s="82"/>
    </row>
    <row r="13534" spans="1:3" x14ac:dyDescent="0.2">
      <c r="A13534" s="82"/>
      <c r="B13534" s="82"/>
      <c r="C13534" s="82"/>
    </row>
    <row r="13535" spans="1:3" x14ac:dyDescent="0.2">
      <c r="A13535" s="82"/>
      <c r="B13535" s="82"/>
      <c r="C13535" s="82"/>
    </row>
    <row r="13536" spans="1:3" x14ac:dyDescent="0.2">
      <c r="A13536" s="82"/>
      <c r="B13536" s="82"/>
      <c r="C13536" s="82"/>
    </row>
    <row r="13537" spans="1:3" x14ac:dyDescent="0.2">
      <c r="A13537" s="82"/>
      <c r="B13537" s="82"/>
      <c r="C13537" s="82"/>
    </row>
    <row r="13538" spans="1:3" x14ac:dyDescent="0.2">
      <c r="A13538" s="82"/>
      <c r="B13538" s="82"/>
      <c r="C13538" s="82"/>
    </row>
    <row r="13539" spans="1:3" x14ac:dyDescent="0.2">
      <c r="A13539" s="82"/>
      <c r="B13539" s="82"/>
      <c r="C13539" s="82"/>
    </row>
    <row r="13540" spans="1:3" x14ac:dyDescent="0.2">
      <c r="A13540" s="82"/>
      <c r="B13540" s="82"/>
      <c r="C13540" s="82"/>
    </row>
    <row r="13541" spans="1:3" x14ac:dyDescent="0.2">
      <c r="A13541" s="82"/>
      <c r="B13541" s="82"/>
      <c r="C13541" s="82"/>
    </row>
    <row r="13542" spans="1:3" x14ac:dyDescent="0.2">
      <c r="A13542" s="82"/>
      <c r="B13542" s="82"/>
      <c r="C13542" s="82"/>
    </row>
    <row r="13543" spans="1:3" x14ac:dyDescent="0.2">
      <c r="A13543" s="82"/>
      <c r="B13543" s="82"/>
      <c r="C13543" s="82"/>
    </row>
    <row r="13544" spans="1:3" x14ac:dyDescent="0.2">
      <c r="A13544" s="82"/>
      <c r="B13544" s="82"/>
      <c r="C13544" s="82"/>
    </row>
    <row r="13545" spans="1:3" x14ac:dyDescent="0.2">
      <c r="A13545" s="82"/>
      <c r="B13545" s="82"/>
      <c r="C13545" s="82"/>
    </row>
    <row r="13546" spans="1:3" x14ac:dyDescent="0.2">
      <c r="A13546" s="82"/>
      <c r="B13546" s="82"/>
      <c r="C13546" s="82"/>
    </row>
    <row r="13547" spans="1:3" x14ac:dyDescent="0.2">
      <c r="A13547" s="82"/>
      <c r="B13547" s="82"/>
      <c r="C13547" s="82"/>
    </row>
    <row r="13548" spans="1:3" x14ac:dyDescent="0.2">
      <c r="A13548" s="82"/>
      <c r="B13548" s="82"/>
      <c r="C13548" s="82"/>
    </row>
    <row r="13549" spans="1:3" x14ac:dyDescent="0.2">
      <c r="A13549" s="82"/>
      <c r="B13549" s="82"/>
      <c r="C13549" s="82"/>
    </row>
    <row r="13550" spans="1:3" x14ac:dyDescent="0.2">
      <c r="A13550" s="82"/>
      <c r="B13550" s="82"/>
      <c r="C13550" s="82"/>
    </row>
    <row r="13551" spans="1:3" x14ac:dyDescent="0.2">
      <c r="A13551" s="82"/>
      <c r="B13551" s="82"/>
      <c r="C13551" s="82"/>
    </row>
    <row r="13552" spans="1:3" x14ac:dyDescent="0.2">
      <c r="A13552" s="82"/>
      <c r="B13552" s="82"/>
      <c r="C13552" s="82"/>
    </row>
    <row r="13553" spans="1:3" x14ac:dyDescent="0.2">
      <c r="A13553" s="82"/>
      <c r="B13553" s="82"/>
      <c r="C13553" s="82"/>
    </row>
    <row r="13554" spans="1:3" x14ac:dyDescent="0.2">
      <c r="A13554" s="82"/>
      <c r="B13554" s="82"/>
      <c r="C13554" s="82"/>
    </row>
    <row r="13555" spans="1:3" x14ac:dyDescent="0.2">
      <c r="A13555" s="82"/>
      <c r="B13555" s="82"/>
      <c r="C13555" s="82"/>
    </row>
    <row r="13556" spans="1:3" x14ac:dyDescent="0.2">
      <c r="A13556" s="82"/>
      <c r="B13556" s="82"/>
      <c r="C13556" s="82"/>
    </row>
    <row r="13557" spans="1:3" x14ac:dyDescent="0.2">
      <c r="A13557" s="82"/>
      <c r="B13557" s="82"/>
      <c r="C13557" s="82"/>
    </row>
    <row r="13558" spans="1:3" x14ac:dyDescent="0.2">
      <c r="A13558" s="82"/>
      <c r="B13558" s="82"/>
      <c r="C13558" s="82"/>
    </row>
    <row r="13559" spans="1:3" x14ac:dyDescent="0.2">
      <c r="A13559" s="82"/>
      <c r="B13559" s="82"/>
      <c r="C13559" s="82"/>
    </row>
    <row r="13560" spans="1:3" x14ac:dyDescent="0.2">
      <c r="A13560" s="82"/>
      <c r="B13560" s="82"/>
      <c r="C13560" s="82"/>
    </row>
    <row r="13561" spans="1:3" x14ac:dyDescent="0.2">
      <c r="A13561" s="82"/>
      <c r="B13561" s="82"/>
      <c r="C13561" s="82"/>
    </row>
    <row r="13562" spans="1:3" x14ac:dyDescent="0.2">
      <c r="A13562" s="82"/>
      <c r="B13562" s="82"/>
      <c r="C13562" s="82"/>
    </row>
    <row r="13563" spans="1:3" x14ac:dyDescent="0.2">
      <c r="A13563" s="82"/>
      <c r="B13563" s="82"/>
      <c r="C13563" s="82"/>
    </row>
    <row r="13564" spans="1:3" x14ac:dyDescent="0.2">
      <c r="A13564" s="82"/>
      <c r="B13564" s="82"/>
      <c r="C13564" s="82"/>
    </row>
    <row r="13565" spans="1:3" x14ac:dyDescent="0.2">
      <c r="A13565" s="82"/>
      <c r="B13565" s="82"/>
      <c r="C13565" s="82"/>
    </row>
    <row r="13566" spans="1:3" x14ac:dyDescent="0.2">
      <c r="A13566" s="82"/>
      <c r="B13566" s="82"/>
      <c r="C13566" s="82"/>
    </row>
    <row r="13567" spans="1:3" x14ac:dyDescent="0.2">
      <c r="A13567" s="82"/>
      <c r="B13567" s="82"/>
      <c r="C13567" s="82"/>
    </row>
    <row r="13568" spans="1:3" x14ac:dyDescent="0.2">
      <c r="A13568" s="82"/>
      <c r="B13568" s="82"/>
      <c r="C13568" s="82"/>
    </row>
    <row r="13569" spans="1:3" x14ac:dyDescent="0.2">
      <c r="A13569" s="82"/>
      <c r="B13569" s="82"/>
      <c r="C13569" s="82"/>
    </row>
    <row r="13570" spans="1:3" x14ac:dyDescent="0.2">
      <c r="A13570" s="82"/>
      <c r="B13570" s="82"/>
      <c r="C13570" s="82"/>
    </row>
    <row r="13571" spans="1:3" x14ac:dyDescent="0.2">
      <c r="A13571" s="82"/>
      <c r="B13571" s="82"/>
      <c r="C13571" s="82"/>
    </row>
    <row r="13572" spans="1:3" x14ac:dyDescent="0.2">
      <c r="A13572" s="82"/>
      <c r="B13572" s="82"/>
      <c r="C13572" s="82"/>
    </row>
    <row r="13573" spans="1:3" x14ac:dyDescent="0.2">
      <c r="A13573" s="82"/>
      <c r="B13573" s="82"/>
      <c r="C13573" s="82"/>
    </row>
    <row r="13574" spans="1:3" x14ac:dyDescent="0.2">
      <c r="A13574" s="82"/>
      <c r="B13574" s="82"/>
      <c r="C13574" s="82"/>
    </row>
    <row r="13575" spans="1:3" x14ac:dyDescent="0.2">
      <c r="A13575" s="82"/>
      <c r="B13575" s="82"/>
      <c r="C13575" s="82"/>
    </row>
    <row r="13576" spans="1:3" x14ac:dyDescent="0.2">
      <c r="A13576" s="82"/>
      <c r="B13576" s="82"/>
      <c r="C13576" s="82"/>
    </row>
    <row r="13577" spans="1:3" x14ac:dyDescent="0.2">
      <c r="A13577" s="82"/>
      <c r="B13577" s="82"/>
      <c r="C13577" s="82"/>
    </row>
    <row r="13578" spans="1:3" x14ac:dyDescent="0.2">
      <c r="A13578" s="82"/>
      <c r="B13578" s="82"/>
      <c r="C13578" s="82"/>
    </row>
    <row r="13579" spans="1:3" x14ac:dyDescent="0.2">
      <c r="A13579" s="82"/>
      <c r="B13579" s="82"/>
      <c r="C13579" s="82"/>
    </row>
    <row r="13580" spans="1:3" x14ac:dyDescent="0.2">
      <c r="A13580" s="82"/>
      <c r="B13580" s="82"/>
      <c r="C13580" s="82"/>
    </row>
    <row r="13581" spans="1:3" x14ac:dyDescent="0.2">
      <c r="A13581" s="82"/>
      <c r="B13581" s="82"/>
      <c r="C13581" s="82"/>
    </row>
    <row r="13582" spans="1:3" x14ac:dyDescent="0.2">
      <c r="A13582" s="82"/>
      <c r="B13582" s="82"/>
      <c r="C13582" s="82"/>
    </row>
    <row r="13583" spans="1:3" x14ac:dyDescent="0.2">
      <c r="A13583" s="82"/>
      <c r="B13583" s="82"/>
      <c r="C13583" s="82"/>
    </row>
    <row r="13584" spans="1:3" x14ac:dyDescent="0.2">
      <c r="A13584" s="82"/>
      <c r="B13584" s="82"/>
      <c r="C13584" s="82"/>
    </row>
    <row r="13585" spans="1:3" x14ac:dyDescent="0.2">
      <c r="A13585" s="82"/>
      <c r="B13585" s="82"/>
      <c r="C13585" s="82"/>
    </row>
    <row r="13586" spans="1:3" x14ac:dyDescent="0.2">
      <c r="A13586" s="82"/>
      <c r="B13586" s="82"/>
      <c r="C13586" s="82"/>
    </row>
    <row r="13587" spans="1:3" x14ac:dyDescent="0.2">
      <c r="A13587" s="82"/>
      <c r="B13587" s="82"/>
      <c r="C13587" s="82"/>
    </row>
    <row r="13588" spans="1:3" x14ac:dyDescent="0.2">
      <c r="A13588" s="82"/>
      <c r="B13588" s="82"/>
      <c r="C13588" s="82"/>
    </row>
    <row r="13589" spans="1:3" x14ac:dyDescent="0.2">
      <c r="A13589" s="82"/>
      <c r="B13589" s="82"/>
      <c r="C13589" s="82"/>
    </row>
    <row r="13590" spans="1:3" x14ac:dyDescent="0.2">
      <c r="A13590" s="82"/>
      <c r="B13590" s="82"/>
      <c r="C13590" s="82"/>
    </row>
    <row r="13591" spans="1:3" x14ac:dyDescent="0.2">
      <c r="A13591" s="82"/>
      <c r="B13591" s="82"/>
      <c r="C13591" s="82"/>
    </row>
    <row r="13592" spans="1:3" x14ac:dyDescent="0.2">
      <c r="A13592" s="82"/>
      <c r="B13592" s="82"/>
      <c r="C13592" s="82"/>
    </row>
    <row r="13593" spans="1:3" x14ac:dyDescent="0.2">
      <c r="A13593" s="82"/>
      <c r="B13593" s="82"/>
      <c r="C13593" s="82"/>
    </row>
    <row r="13594" spans="1:3" x14ac:dyDescent="0.2">
      <c r="A13594" s="82"/>
      <c r="B13594" s="82"/>
      <c r="C13594" s="82"/>
    </row>
    <row r="13595" spans="1:3" x14ac:dyDescent="0.2">
      <c r="A13595" s="82"/>
      <c r="B13595" s="82"/>
      <c r="C13595" s="82"/>
    </row>
    <row r="13596" spans="1:3" x14ac:dyDescent="0.2">
      <c r="A13596" s="82"/>
      <c r="B13596" s="82"/>
      <c r="C13596" s="82"/>
    </row>
    <row r="13597" spans="1:3" x14ac:dyDescent="0.2">
      <c r="A13597" s="82"/>
      <c r="B13597" s="82"/>
      <c r="C13597" s="82"/>
    </row>
    <row r="13598" spans="1:3" x14ac:dyDescent="0.2">
      <c r="A13598" s="82"/>
      <c r="B13598" s="82"/>
      <c r="C13598" s="82"/>
    </row>
    <row r="13599" spans="1:3" x14ac:dyDescent="0.2">
      <c r="A13599" s="82"/>
      <c r="B13599" s="82"/>
      <c r="C13599" s="82"/>
    </row>
    <row r="13600" spans="1:3" x14ac:dyDescent="0.2">
      <c r="A13600" s="82"/>
      <c r="B13600" s="82"/>
      <c r="C13600" s="82"/>
    </row>
    <row r="13601" spans="1:3" x14ac:dyDescent="0.2">
      <c r="A13601" s="82"/>
      <c r="B13601" s="82"/>
      <c r="C13601" s="82"/>
    </row>
    <row r="13602" spans="1:3" x14ac:dyDescent="0.2">
      <c r="A13602" s="82"/>
      <c r="B13602" s="82"/>
      <c r="C13602" s="82"/>
    </row>
    <row r="13603" spans="1:3" x14ac:dyDescent="0.2">
      <c r="A13603" s="82"/>
      <c r="B13603" s="82"/>
      <c r="C13603" s="82"/>
    </row>
    <row r="13604" spans="1:3" x14ac:dyDescent="0.2">
      <c r="A13604" s="82"/>
      <c r="B13604" s="82"/>
      <c r="C13604" s="82"/>
    </row>
    <row r="13605" spans="1:3" x14ac:dyDescent="0.2">
      <c r="A13605" s="82"/>
      <c r="B13605" s="82"/>
      <c r="C13605" s="82"/>
    </row>
    <row r="13606" spans="1:3" x14ac:dyDescent="0.2">
      <c r="A13606" s="82"/>
      <c r="B13606" s="82"/>
      <c r="C13606" s="82"/>
    </row>
    <row r="13607" spans="1:3" x14ac:dyDescent="0.2">
      <c r="A13607" s="82"/>
      <c r="B13607" s="82"/>
      <c r="C13607" s="82"/>
    </row>
    <row r="13608" spans="1:3" x14ac:dyDescent="0.2">
      <c r="A13608" s="82"/>
      <c r="B13608" s="82"/>
      <c r="C13608" s="82"/>
    </row>
    <row r="13609" spans="1:3" x14ac:dyDescent="0.2">
      <c r="A13609" s="82"/>
      <c r="B13609" s="82"/>
      <c r="C13609" s="82"/>
    </row>
    <row r="13610" spans="1:3" x14ac:dyDescent="0.2">
      <c r="A13610" s="82"/>
      <c r="B13610" s="82"/>
      <c r="C13610" s="82"/>
    </row>
    <row r="13611" spans="1:3" x14ac:dyDescent="0.2">
      <c r="A13611" s="82"/>
      <c r="B13611" s="82"/>
      <c r="C13611" s="82"/>
    </row>
    <row r="13612" spans="1:3" x14ac:dyDescent="0.2">
      <c r="A13612" s="82"/>
      <c r="B13612" s="82"/>
      <c r="C13612" s="82"/>
    </row>
    <row r="13613" spans="1:3" x14ac:dyDescent="0.2">
      <c r="A13613" s="82"/>
      <c r="B13613" s="82"/>
      <c r="C13613" s="82"/>
    </row>
    <row r="13614" spans="1:3" x14ac:dyDescent="0.2">
      <c r="A13614" s="82"/>
      <c r="B13614" s="82"/>
      <c r="C13614" s="82"/>
    </row>
    <row r="13615" spans="1:3" x14ac:dyDescent="0.2">
      <c r="A13615" s="82"/>
      <c r="B13615" s="82"/>
      <c r="C13615" s="82"/>
    </row>
    <row r="13616" spans="1:3" x14ac:dyDescent="0.2">
      <c r="A13616" s="82"/>
      <c r="B13616" s="82"/>
      <c r="C13616" s="82"/>
    </row>
    <row r="13617" spans="1:3" x14ac:dyDescent="0.2">
      <c r="A13617" s="82"/>
      <c r="B13617" s="82"/>
      <c r="C13617" s="82"/>
    </row>
    <row r="13618" spans="1:3" x14ac:dyDescent="0.2">
      <c r="A13618" s="82"/>
      <c r="B13618" s="82"/>
      <c r="C13618" s="82"/>
    </row>
    <row r="13619" spans="1:3" x14ac:dyDescent="0.2">
      <c r="A13619" s="82"/>
      <c r="B13619" s="82"/>
      <c r="C13619" s="82"/>
    </row>
    <row r="13620" spans="1:3" x14ac:dyDescent="0.2">
      <c r="A13620" s="82"/>
      <c r="B13620" s="82"/>
      <c r="C13620" s="82"/>
    </row>
    <row r="13621" spans="1:3" x14ac:dyDescent="0.2">
      <c r="A13621" s="82"/>
      <c r="B13621" s="82"/>
      <c r="C13621" s="82"/>
    </row>
    <row r="13622" spans="1:3" x14ac:dyDescent="0.2">
      <c r="A13622" s="82"/>
      <c r="B13622" s="82"/>
      <c r="C13622" s="82"/>
    </row>
    <row r="13623" spans="1:3" x14ac:dyDescent="0.2">
      <c r="A13623" s="82"/>
      <c r="B13623" s="82"/>
      <c r="C13623" s="82"/>
    </row>
    <row r="13624" spans="1:3" x14ac:dyDescent="0.2">
      <c r="A13624" s="82"/>
      <c r="B13624" s="82"/>
      <c r="C13624" s="82"/>
    </row>
    <row r="13625" spans="1:3" x14ac:dyDescent="0.2">
      <c r="A13625" s="82"/>
      <c r="B13625" s="82"/>
      <c r="C13625" s="82"/>
    </row>
    <row r="13626" spans="1:3" x14ac:dyDescent="0.2">
      <c r="A13626" s="82"/>
      <c r="B13626" s="82"/>
      <c r="C13626" s="82"/>
    </row>
    <row r="13627" spans="1:3" x14ac:dyDescent="0.2">
      <c r="A13627" s="82"/>
      <c r="B13627" s="82"/>
      <c r="C13627" s="82"/>
    </row>
    <row r="13628" spans="1:3" x14ac:dyDescent="0.2">
      <c r="A13628" s="82"/>
      <c r="B13628" s="82"/>
      <c r="C13628" s="82"/>
    </row>
    <row r="13629" spans="1:3" x14ac:dyDescent="0.2">
      <c r="A13629" s="82"/>
      <c r="B13629" s="82"/>
      <c r="C13629" s="82"/>
    </row>
    <row r="13630" spans="1:3" x14ac:dyDescent="0.2">
      <c r="A13630" s="82"/>
      <c r="B13630" s="82"/>
      <c r="C13630" s="82"/>
    </row>
    <row r="13631" spans="1:3" x14ac:dyDescent="0.2">
      <c r="A13631" s="82"/>
      <c r="B13631" s="82"/>
      <c r="C13631" s="82"/>
    </row>
    <row r="13632" spans="1:3" x14ac:dyDescent="0.2">
      <c r="A13632" s="82"/>
      <c r="B13632" s="82"/>
      <c r="C13632" s="82"/>
    </row>
    <row r="13633" spans="1:3" x14ac:dyDescent="0.2">
      <c r="A13633" s="82"/>
      <c r="B13633" s="82"/>
      <c r="C13633" s="82"/>
    </row>
    <row r="13634" spans="1:3" x14ac:dyDescent="0.2">
      <c r="A13634" s="82"/>
      <c r="B13634" s="82"/>
      <c r="C13634" s="82"/>
    </row>
    <row r="13635" spans="1:3" x14ac:dyDescent="0.2">
      <c r="A13635" s="82"/>
      <c r="B13635" s="82"/>
      <c r="C13635" s="82"/>
    </row>
    <row r="13636" spans="1:3" x14ac:dyDescent="0.2">
      <c r="A13636" s="82"/>
      <c r="B13636" s="82"/>
      <c r="C13636" s="82"/>
    </row>
    <row r="13637" spans="1:3" x14ac:dyDescent="0.2">
      <c r="A13637" s="82"/>
      <c r="B13637" s="82"/>
      <c r="C13637" s="82"/>
    </row>
    <row r="13638" spans="1:3" x14ac:dyDescent="0.2">
      <c r="A13638" s="82"/>
      <c r="B13638" s="82"/>
      <c r="C13638" s="82"/>
    </row>
    <row r="13639" spans="1:3" x14ac:dyDescent="0.2">
      <c r="A13639" s="82"/>
      <c r="B13639" s="82"/>
      <c r="C13639" s="82"/>
    </row>
    <row r="13640" spans="1:3" x14ac:dyDescent="0.2">
      <c r="A13640" s="82"/>
      <c r="B13640" s="82"/>
      <c r="C13640" s="82"/>
    </row>
    <row r="13641" spans="1:3" x14ac:dyDescent="0.2">
      <c r="A13641" s="82"/>
      <c r="B13641" s="82"/>
      <c r="C13641" s="82"/>
    </row>
    <row r="13642" spans="1:3" x14ac:dyDescent="0.2">
      <c r="A13642" s="82"/>
      <c r="B13642" s="82"/>
      <c r="C13642" s="82"/>
    </row>
    <row r="13643" spans="1:3" x14ac:dyDescent="0.2">
      <c r="A13643" s="82"/>
      <c r="B13643" s="82"/>
      <c r="C13643" s="82"/>
    </row>
    <row r="13644" spans="1:3" x14ac:dyDescent="0.2">
      <c r="A13644" s="82"/>
      <c r="B13644" s="82"/>
      <c r="C13644" s="82"/>
    </row>
    <row r="13645" spans="1:3" x14ac:dyDescent="0.2">
      <c r="A13645" s="82"/>
      <c r="B13645" s="82"/>
      <c r="C13645" s="82"/>
    </row>
    <row r="13646" spans="1:3" x14ac:dyDescent="0.2">
      <c r="A13646" s="82"/>
      <c r="B13646" s="82"/>
      <c r="C13646" s="82"/>
    </row>
    <row r="13647" spans="1:3" x14ac:dyDescent="0.2">
      <c r="A13647" s="82"/>
      <c r="B13647" s="82"/>
      <c r="C13647" s="82"/>
    </row>
    <row r="13648" spans="1:3" x14ac:dyDescent="0.2">
      <c r="A13648" s="82"/>
      <c r="B13648" s="82"/>
      <c r="C13648" s="82"/>
    </row>
    <row r="13649" spans="1:3" x14ac:dyDescent="0.2">
      <c r="A13649" s="82"/>
      <c r="B13649" s="82"/>
      <c r="C13649" s="82"/>
    </row>
    <row r="13650" spans="1:3" x14ac:dyDescent="0.2">
      <c r="A13650" s="82"/>
      <c r="B13650" s="82"/>
      <c r="C13650" s="82"/>
    </row>
    <row r="13651" spans="1:3" x14ac:dyDescent="0.2">
      <c r="A13651" s="82"/>
      <c r="B13651" s="82"/>
      <c r="C13651" s="82"/>
    </row>
    <row r="13652" spans="1:3" x14ac:dyDescent="0.2">
      <c r="A13652" s="82"/>
      <c r="B13652" s="82"/>
      <c r="C13652" s="82"/>
    </row>
    <row r="13653" spans="1:3" x14ac:dyDescent="0.2">
      <c r="A13653" s="82"/>
      <c r="B13653" s="82"/>
      <c r="C13653" s="82"/>
    </row>
    <row r="13654" spans="1:3" x14ac:dyDescent="0.2">
      <c r="A13654" s="82"/>
      <c r="B13654" s="82"/>
      <c r="C13654" s="82"/>
    </row>
    <row r="13655" spans="1:3" x14ac:dyDescent="0.2">
      <c r="A13655" s="82"/>
      <c r="B13655" s="82"/>
      <c r="C13655" s="82"/>
    </row>
    <row r="13656" spans="1:3" x14ac:dyDescent="0.2">
      <c r="A13656" s="82"/>
      <c r="B13656" s="82"/>
      <c r="C13656" s="82"/>
    </row>
    <row r="13657" spans="1:3" x14ac:dyDescent="0.2">
      <c r="A13657" s="82"/>
      <c r="B13657" s="82"/>
      <c r="C13657" s="82"/>
    </row>
    <row r="13658" spans="1:3" x14ac:dyDescent="0.2">
      <c r="A13658" s="82"/>
      <c r="B13658" s="82"/>
      <c r="C13658" s="82"/>
    </row>
    <row r="13659" spans="1:3" x14ac:dyDescent="0.2">
      <c r="A13659" s="82"/>
      <c r="B13659" s="82"/>
      <c r="C13659" s="82"/>
    </row>
    <row r="13660" spans="1:3" x14ac:dyDescent="0.2">
      <c r="A13660" s="82"/>
      <c r="B13660" s="82"/>
      <c r="C13660" s="82"/>
    </row>
    <row r="13661" spans="1:3" x14ac:dyDescent="0.2">
      <c r="A13661" s="82"/>
      <c r="B13661" s="82"/>
      <c r="C13661" s="82"/>
    </row>
    <row r="13662" spans="1:3" x14ac:dyDescent="0.2">
      <c r="A13662" s="82"/>
      <c r="B13662" s="82"/>
      <c r="C13662" s="82"/>
    </row>
    <row r="13663" spans="1:3" x14ac:dyDescent="0.2">
      <c r="A13663" s="82"/>
      <c r="B13663" s="82"/>
      <c r="C13663" s="82"/>
    </row>
    <row r="13664" spans="1:3" x14ac:dyDescent="0.2">
      <c r="A13664" s="82"/>
      <c r="B13664" s="82"/>
      <c r="C13664" s="82"/>
    </row>
    <row r="13665" spans="1:3" x14ac:dyDescent="0.2">
      <c r="A13665" s="82"/>
      <c r="B13665" s="82"/>
      <c r="C13665" s="82"/>
    </row>
    <row r="13666" spans="1:3" x14ac:dyDescent="0.2">
      <c r="A13666" s="82"/>
      <c r="B13666" s="82"/>
      <c r="C13666" s="82"/>
    </row>
    <row r="13667" spans="1:3" x14ac:dyDescent="0.2">
      <c r="A13667" s="82"/>
      <c r="B13667" s="82"/>
      <c r="C13667" s="82"/>
    </row>
    <row r="13668" spans="1:3" x14ac:dyDescent="0.2">
      <c r="A13668" s="82"/>
      <c r="B13668" s="82"/>
      <c r="C13668" s="82"/>
    </row>
    <row r="13669" spans="1:3" x14ac:dyDescent="0.2">
      <c r="A13669" s="82"/>
      <c r="B13669" s="82"/>
      <c r="C13669" s="82"/>
    </row>
    <row r="13670" spans="1:3" x14ac:dyDescent="0.2">
      <c r="A13670" s="82"/>
      <c r="B13670" s="82"/>
      <c r="C13670" s="82"/>
    </row>
    <row r="13671" spans="1:3" x14ac:dyDescent="0.2">
      <c r="A13671" s="82"/>
      <c r="B13671" s="82"/>
      <c r="C13671" s="82"/>
    </row>
    <row r="13672" spans="1:3" x14ac:dyDescent="0.2">
      <c r="A13672" s="82"/>
      <c r="B13672" s="82"/>
      <c r="C13672" s="82"/>
    </row>
    <row r="13673" spans="1:3" x14ac:dyDescent="0.2">
      <c r="A13673" s="82"/>
      <c r="B13673" s="82"/>
      <c r="C13673" s="82"/>
    </row>
    <row r="13674" spans="1:3" x14ac:dyDescent="0.2">
      <c r="A13674" s="82"/>
      <c r="B13674" s="82"/>
      <c r="C13674" s="82"/>
    </row>
    <row r="13675" spans="1:3" x14ac:dyDescent="0.2">
      <c r="A13675" s="82"/>
      <c r="B13675" s="82"/>
      <c r="C13675" s="82"/>
    </row>
    <row r="13676" spans="1:3" x14ac:dyDescent="0.2">
      <c r="A13676" s="82"/>
      <c r="B13676" s="82"/>
      <c r="C13676" s="82"/>
    </row>
    <row r="13677" spans="1:3" x14ac:dyDescent="0.2">
      <c r="A13677" s="82"/>
      <c r="B13677" s="82"/>
      <c r="C13677" s="82"/>
    </row>
    <row r="13678" spans="1:3" x14ac:dyDescent="0.2">
      <c r="A13678" s="82"/>
      <c r="B13678" s="82"/>
      <c r="C13678" s="82"/>
    </row>
    <row r="13679" spans="1:3" x14ac:dyDescent="0.2">
      <c r="A13679" s="82"/>
      <c r="B13679" s="82"/>
      <c r="C13679" s="82"/>
    </row>
    <row r="13680" spans="1:3" x14ac:dyDescent="0.2">
      <c r="A13680" s="82"/>
      <c r="B13680" s="82"/>
      <c r="C13680" s="82"/>
    </row>
    <row r="13681" spans="1:3" x14ac:dyDescent="0.2">
      <c r="A13681" s="82"/>
      <c r="B13681" s="82"/>
      <c r="C13681" s="82"/>
    </row>
    <row r="13682" spans="1:3" x14ac:dyDescent="0.2">
      <c r="A13682" s="82"/>
      <c r="B13682" s="82"/>
      <c r="C13682" s="82"/>
    </row>
    <row r="13683" spans="1:3" x14ac:dyDescent="0.2">
      <c r="A13683" s="82"/>
      <c r="B13683" s="82"/>
      <c r="C13683" s="82"/>
    </row>
    <row r="13684" spans="1:3" x14ac:dyDescent="0.2">
      <c r="A13684" s="82"/>
      <c r="B13684" s="82"/>
      <c r="C13684" s="82"/>
    </row>
    <row r="13685" spans="1:3" x14ac:dyDescent="0.2">
      <c r="A13685" s="82"/>
      <c r="B13685" s="82"/>
      <c r="C13685" s="82"/>
    </row>
    <row r="13686" spans="1:3" x14ac:dyDescent="0.2">
      <c r="A13686" s="82"/>
      <c r="B13686" s="82"/>
      <c r="C13686" s="82"/>
    </row>
    <row r="13687" spans="1:3" x14ac:dyDescent="0.2">
      <c r="A13687" s="82"/>
      <c r="B13687" s="82"/>
      <c r="C13687" s="82"/>
    </row>
    <row r="13688" spans="1:3" x14ac:dyDescent="0.2">
      <c r="A13688" s="82"/>
      <c r="B13688" s="82"/>
      <c r="C13688" s="82"/>
    </row>
    <row r="13689" spans="1:3" x14ac:dyDescent="0.2">
      <c r="A13689" s="82"/>
      <c r="B13689" s="82"/>
      <c r="C13689" s="82"/>
    </row>
    <row r="13690" spans="1:3" x14ac:dyDescent="0.2">
      <c r="A13690" s="82"/>
      <c r="B13690" s="82"/>
      <c r="C13690" s="82"/>
    </row>
    <row r="13691" spans="1:3" x14ac:dyDescent="0.2">
      <c r="A13691" s="82"/>
      <c r="B13691" s="82"/>
      <c r="C13691" s="82"/>
    </row>
    <row r="13692" spans="1:3" x14ac:dyDescent="0.2">
      <c r="A13692" s="82"/>
      <c r="B13692" s="82"/>
      <c r="C13692" s="82"/>
    </row>
    <row r="13693" spans="1:3" x14ac:dyDescent="0.2">
      <c r="A13693" s="82"/>
      <c r="B13693" s="82"/>
      <c r="C13693" s="82"/>
    </row>
    <row r="13694" spans="1:3" x14ac:dyDescent="0.2">
      <c r="A13694" s="82"/>
      <c r="B13694" s="82"/>
      <c r="C13694" s="82"/>
    </row>
    <row r="13695" spans="1:3" x14ac:dyDescent="0.2">
      <c r="A13695" s="82"/>
      <c r="B13695" s="82"/>
      <c r="C13695" s="82"/>
    </row>
    <row r="13696" spans="1:3" x14ac:dyDescent="0.2">
      <c r="A13696" s="82"/>
      <c r="B13696" s="82"/>
      <c r="C13696" s="82"/>
    </row>
    <row r="13697" spans="1:3" x14ac:dyDescent="0.2">
      <c r="A13697" s="82"/>
      <c r="B13697" s="82"/>
      <c r="C13697" s="82"/>
    </row>
    <row r="13698" spans="1:3" x14ac:dyDescent="0.2">
      <c r="A13698" s="82"/>
      <c r="B13698" s="82"/>
      <c r="C13698" s="82"/>
    </row>
    <row r="13699" spans="1:3" x14ac:dyDescent="0.2">
      <c r="A13699" s="82"/>
      <c r="B13699" s="82"/>
      <c r="C13699" s="82"/>
    </row>
    <row r="13700" spans="1:3" x14ac:dyDescent="0.2">
      <c r="A13700" s="82"/>
      <c r="B13700" s="82"/>
      <c r="C13700" s="82"/>
    </row>
    <row r="13701" spans="1:3" x14ac:dyDescent="0.2">
      <c r="A13701" s="82"/>
      <c r="B13701" s="82"/>
      <c r="C13701" s="82"/>
    </row>
    <row r="13702" spans="1:3" x14ac:dyDescent="0.2">
      <c r="A13702" s="82"/>
      <c r="B13702" s="82"/>
      <c r="C13702" s="82"/>
    </row>
    <row r="13703" spans="1:3" x14ac:dyDescent="0.2">
      <c r="A13703" s="82"/>
      <c r="B13703" s="82"/>
      <c r="C13703" s="82"/>
    </row>
    <row r="13704" spans="1:3" x14ac:dyDescent="0.2">
      <c r="A13704" s="82"/>
      <c r="B13704" s="82"/>
      <c r="C13704" s="82"/>
    </row>
    <row r="13705" spans="1:3" x14ac:dyDescent="0.2">
      <c r="A13705" s="82"/>
      <c r="B13705" s="82"/>
      <c r="C13705" s="82"/>
    </row>
    <row r="13706" spans="1:3" x14ac:dyDescent="0.2">
      <c r="A13706" s="82"/>
      <c r="B13706" s="82"/>
      <c r="C13706" s="82"/>
    </row>
    <row r="13707" spans="1:3" x14ac:dyDescent="0.2">
      <c r="A13707" s="82"/>
      <c r="B13707" s="82"/>
      <c r="C13707" s="82"/>
    </row>
    <row r="13708" spans="1:3" x14ac:dyDescent="0.2">
      <c r="A13708" s="82"/>
      <c r="B13708" s="82"/>
      <c r="C13708" s="82"/>
    </row>
    <row r="13709" spans="1:3" x14ac:dyDescent="0.2">
      <c r="A13709" s="82"/>
      <c r="B13709" s="82"/>
      <c r="C13709" s="82"/>
    </row>
    <row r="13710" spans="1:3" x14ac:dyDescent="0.2">
      <c r="A13710" s="82"/>
      <c r="B13710" s="82"/>
      <c r="C13710" s="82"/>
    </row>
    <row r="13711" spans="1:3" x14ac:dyDescent="0.2">
      <c r="A13711" s="82"/>
      <c r="B13711" s="82"/>
      <c r="C13711" s="82"/>
    </row>
    <row r="13712" spans="1:3" x14ac:dyDescent="0.2">
      <c r="A13712" s="82"/>
      <c r="B13712" s="82"/>
      <c r="C13712" s="82"/>
    </row>
    <row r="13713" spans="1:3" x14ac:dyDescent="0.2">
      <c r="A13713" s="82"/>
      <c r="B13713" s="82"/>
      <c r="C13713" s="82"/>
    </row>
    <row r="13714" spans="1:3" x14ac:dyDescent="0.2">
      <c r="A13714" s="82"/>
      <c r="B13714" s="82"/>
      <c r="C13714" s="82"/>
    </row>
    <row r="13715" spans="1:3" x14ac:dyDescent="0.2">
      <c r="A13715" s="82"/>
      <c r="B13715" s="82"/>
      <c r="C13715" s="82"/>
    </row>
    <row r="13716" spans="1:3" x14ac:dyDescent="0.2">
      <c r="A13716" s="82"/>
      <c r="B13716" s="82"/>
      <c r="C13716" s="82"/>
    </row>
    <row r="13717" spans="1:3" x14ac:dyDescent="0.2">
      <c r="A13717" s="82"/>
      <c r="B13717" s="82"/>
      <c r="C13717" s="82"/>
    </row>
    <row r="13718" spans="1:3" x14ac:dyDescent="0.2">
      <c r="A13718" s="82"/>
      <c r="B13718" s="82"/>
      <c r="C13718" s="82"/>
    </row>
    <row r="13719" spans="1:3" x14ac:dyDescent="0.2">
      <c r="A13719" s="82"/>
      <c r="B13719" s="82"/>
      <c r="C13719" s="82"/>
    </row>
    <row r="13720" spans="1:3" x14ac:dyDescent="0.2">
      <c r="A13720" s="82"/>
      <c r="B13720" s="82"/>
      <c r="C13720" s="82"/>
    </row>
    <row r="13721" spans="1:3" x14ac:dyDescent="0.2">
      <c r="A13721" s="82"/>
      <c r="B13721" s="82"/>
      <c r="C13721" s="82"/>
    </row>
    <row r="13722" spans="1:3" x14ac:dyDescent="0.2">
      <c r="A13722" s="82"/>
      <c r="B13722" s="82"/>
      <c r="C13722" s="82"/>
    </row>
    <row r="13723" spans="1:3" x14ac:dyDescent="0.2">
      <c r="A13723" s="82"/>
      <c r="B13723" s="82"/>
      <c r="C13723" s="82"/>
    </row>
    <row r="13724" spans="1:3" x14ac:dyDescent="0.2">
      <c r="A13724" s="82"/>
      <c r="B13724" s="82"/>
      <c r="C13724" s="82"/>
    </row>
    <row r="13725" spans="1:3" x14ac:dyDescent="0.2">
      <c r="A13725" s="82"/>
      <c r="B13725" s="82"/>
      <c r="C13725" s="82"/>
    </row>
    <row r="13726" spans="1:3" x14ac:dyDescent="0.2">
      <c r="A13726" s="82"/>
      <c r="B13726" s="82"/>
      <c r="C13726" s="82"/>
    </row>
    <row r="13727" spans="1:3" x14ac:dyDescent="0.2">
      <c r="A13727" s="82"/>
      <c r="B13727" s="82"/>
      <c r="C13727" s="82"/>
    </row>
    <row r="13728" spans="1:3" x14ac:dyDescent="0.2">
      <c r="A13728" s="82"/>
      <c r="B13728" s="82"/>
      <c r="C13728" s="82"/>
    </row>
    <row r="13729" spans="1:3" x14ac:dyDescent="0.2">
      <c r="A13729" s="82"/>
      <c r="B13729" s="82"/>
      <c r="C13729" s="82"/>
    </row>
    <row r="13730" spans="1:3" x14ac:dyDescent="0.2">
      <c r="A13730" s="82"/>
      <c r="B13730" s="82"/>
      <c r="C13730" s="82"/>
    </row>
    <row r="13731" spans="1:3" x14ac:dyDescent="0.2">
      <c r="A13731" s="82"/>
      <c r="B13731" s="82"/>
      <c r="C13731" s="82"/>
    </row>
    <row r="13732" spans="1:3" x14ac:dyDescent="0.2">
      <c r="A13732" s="82"/>
      <c r="B13732" s="82"/>
      <c r="C13732" s="82"/>
    </row>
    <row r="13733" spans="1:3" x14ac:dyDescent="0.2">
      <c r="A13733" s="82"/>
      <c r="B13733" s="82"/>
      <c r="C13733" s="82"/>
    </row>
    <row r="13734" spans="1:3" x14ac:dyDescent="0.2">
      <c r="A13734" s="82"/>
      <c r="B13734" s="82"/>
      <c r="C13734" s="82"/>
    </row>
    <row r="13735" spans="1:3" x14ac:dyDescent="0.2">
      <c r="A13735" s="82"/>
      <c r="B13735" s="82"/>
      <c r="C13735" s="82"/>
    </row>
    <row r="13736" spans="1:3" x14ac:dyDescent="0.2">
      <c r="A13736" s="82"/>
      <c r="B13736" s="82"/>
      <c r="C13736" s="82"/>
    </row>
    <row r="13737" spans="1:3" x14ac:dyDescent="0.2">
      <c r="A13737" s="82"/>
      <c r="B13737" s="82"/>
      <c r="C13737" s="82"/>
    </row>
    <row r="13738" spans="1:3" x14ac:dyDescent="0.2">
      <c r="A13738" s="82"/>
      <c r="B13738" s="82"/>
      <c r="C13738" s="82"/>
    </row>
    <row r="13739" spans="1:3" x14ac:dyDescent="0.2">
      <c r="A13739" s="82"/>
      <c r="B13739" s="82"/>
      <c r="C13739" s="82"/>
    </row>
    <row r="13740" spans="1:3" x14ac:dyDescent="0.2">
      <c r="A13740" s="82"/>
      <c r="B13740" s="82"/>
      <c r="C13740" s="82"/>
    </row>
    <row r="13741" spans="1:3" x14ac:dyDescent="0.2">
      <c r="A13741" s="82"/>
      <c r="B13741" s="82"/>
      <c r="C13741" s="82"/>
    </row>
    <row r="13742" spans="1:3" x14ac:dyDescent="0.2">
      <c r="A13742" s="82"/>
      <c r="B13742" s="82"/>
      <c r="C13742" s="82"/>
    </row>
    <row r="13743" spans="1:3" x14ac:dyDescent="0.2">
      <c r="A13743" s="82"/>
      <c r="B13743" s="82"/>
      <c r="C13743" s="82"/>
    </row>
    <row r="13744" spans="1:3" x14ac:dyDescent="0.2">
      <c r="A13744" s="82"/>
      <c r="B13744" s="82"/>
      <c r="C13744" s="82"/>
    </row>
    <row r="13745" spans="1:3" x14ac:dyDescent="0.2">
      <c r="A13745" s="82"/>
      <c r="B13745" s="82"/>
      <c r="C13745" s="82"/>
    </row>
    <row r="13746" spans="1:3" x14ac:dyDescent="0.2">
      <c r="A13746" s="82"/>
      <c r="B13746" s="82"/>
      <c r="C13746" s="82"/>
    </row>
    <row r="13747" spans="1:3" x14ac:dyDescent="0.2">
      <c r="A13747" s="82"/>
      <c r="B13747" s="82"/>
      <c r="C13747" s="82"/>
    </row>
    <row r="13748" spans="1:3" x14ac:dyDescent="0.2">
      <c r="A13748" s="82"/>
      <c r="B13748" s="82"/>
      <c r="C13748" s="82"/>
    </row>
    <row r="13749" spans="1:3" x14ac:dyDescent="0.2">
      <c r="A13749" s="82"/>
      <c r="B13749" s="82"/>
      <c r="C13749" s="82"/>
    </row>
    <row r="13750" spans="1:3" x14ac:dyDescent="0.2">
      <c r="A13750" s="82"/>
      <c r="B13750" s="82"/>
      <c r="C13750" s="82"/>
    </row>
    <row r="13751" spans="1:3" x14ac:dyDescent="0.2">
      <c r="A13751" s="82"/>
      <c r="B13751" s="82"/>
      <c r="C13751" s="82"/>
    </row>
    <row r="13752" spans="1:3" x14ac:dyDescent="0.2">
      <c r="A13752" s="82"/>
      <c r="B13752" s="82"/>
      <c r="C13752" s="82"/>
    </row>
    <row r="13753" spans="1:3" x14ac:dyDescent="0.2">
      <c r="A13753" s="82"/>
      <c r="B13753" s="82"/>
      <c r="C13753" s="82"/>
    </row>
    <row r="13754" spans="1:3" x14ac:dyDescent="0.2">
      <c r="A13754" s="82"/>
      <c r="B13754" s="82"/>
      <c r="C13754" s="82"/>
    </row>
    <row r="13755" spans="1:3" x14ac:dyDescent="0.2">
      <c r="A13755" s="82"/>
      <c r="B13755" s="82"/>
      <c r="C13755" s="82"/>
    </row>
    <row r="13756" spans="1:3" x14ac:dyDescent="0.2">
      <c r="A13756" s="82"/>
      <c r="B13756" s="82"/>
      <c r="C13756" s="82"/>
    </row>
    <row r="13757" spans="1:3" x14ac:dyDescent="0.2">
      <c r="A13757" s="82"/>
      <c r="B13757" s="82"/>
      <c r="C13757" s="82"/>
    </row>
    <row r="13758" spans="1:3" x14ac:dyDescent="0.2">
      <c r="A13758" s="82"/>
      <c r="B13758" s="82"/>
      <c r="C13758" s="82"/>
    </row>
    <row r="13759" spans="1:3" x14ac:dyDescent="0.2">
      <c r="A13759" s="82"/>
      <c r="B13759" s="82"/>
      <c r="C13759" s="82"/>
    </row>
    <row r="13760" spans="1:3" x14ac:dyDescent="0.2">
      <c r="A13760" s="82"/>
      <c r="B13760" s="82"/>
      <c r="C13760" s="82"/>
    </row>
    <row r="13761" spans="1:3" x14ac:dyDescent="0.2">
      <c r="A13761" s="82"/>
      <c r="B13761" s="82"/>
      <c r="C13761" s="82"/>
    </row>
    <row r="13762" spans="1:3" x14ac:dyDescent="0.2">
      <c r="A13762" s="82"/>
      <c r="B13762" s="82"/>
      <c r="C13762" s="82"/>
    </row>
    <row r="13763" spans="1:3" x14ac:dyDescent="0.2">
      <c r="A13763" s="82"/>
      <c r="B13763" s="82"/>
      <c r="C13763" s="82"/>
    </row>
    <row r="13764" spans="1:3" x14ac:dyDescent="0.2">
      <c r="A13764" s="82"/>
      <c r="B13764" s="82"/>
      <c r="C13764" s="82"/>
    </row>
    <row r="13765" spans="1:3" x14ac:dyDescent="0.2">
      <c r="A13765" s="82"/>
      <c r="B13765" s="82"/>
      <c r="C13765" s="82"/>
    </row>
    <row r="13766" spans="1:3" x14ac:dyDescent="0.2">
      <c r="A13766" s="82"/>
      <c r="B13766" s="82"/>
      <c r="C13766" s="82"/>
    </row>
    <row r="13767" spans="1:3" x14ac:dyDescent="0.2">
      <c r="A13767" s="82"/>
      <c r="B13767" s="82"/>
      <c r="C13767" s="82"/>
    </row>
    <row r="13768" spans="1:3" x14ac:dyDescent="0.2">
      <c r="A13768" s="82"/>
      <c r="B13768" s="82"/>
      <c r="C13768" s="82"/>
    </row>
    <row r="13769" spans="1:3" x14ac:dyDescent="0.2">
      <c r="A13769" s="82"/>
      <c r="B13769" s="82"/>
      <c r="C13769" s="82"/>
    </row>
    <row r="13770" spans="1:3" x14ac:dyDescent="0.2">
      <c r="A13770" s="82"/>
      <c r="B13770" s="82"/>
      <c r="C13770" s="82"/>
    </row>
    <row r="13771" spans="1:3" x14ac:dyDescent="0.2">
      <c r="A13771" s="82"/>
      <c r="B13771" s="82"/>
      <c r="C13771" s="82"/>
    </row>
    <row r="13772" spans="1:3" x14ac:dyDescent="0.2">
      <c r="A13772" s="82"/>
      <c r="B13772" s="82"/>
      <c r="C13772" s="82"/>
    </row>
    <row r="13773" spans="1:3" x14ac:dyDescent="0.2">
      <c r="A13773" s="82"/>
      <c r="B13773" s="82"/>
      <c r="C13773" s="82"/>
    </row>
    <row r="13774" spans="1:3" x14ac:dyDescent="0.2">
      <c r="A13774" s="82"/>
      <c r="B13774" s="82"/>
      <c r="C13774" s="82"/>
    </row>
    <row r="13775" spans="1:3" x14ac:dyDescent="0.2">
      <c r="A13775" s="82"/>
      <c r="B13775" s="82"/>
      <c r="C13775" s="82"/>
    </row>
    <row r="13776" spans="1:3" x14ac:dyDescent="0.2">
      <c r="A13776" s="82"/>
      <c r="B13776" s="82"/>
      <c r="C13776" s="82"/>
    </row>
    <row r="13777" spans="1:3" x14ac:dyDescent="0.2">
      <c r="A13777" s="82"/>
      <c r="B13777" s="82"/>
      <c r="C13777" s="82"/>
    </row>
    <row r="13778" spans="1:3" x14ac:dyDescent="0.2">
      <c r="A13778" s="82"/>
      <c r="B13778" s="82"/>
      <c r="C13778" s="82"/>
    </row>
    <row r="13779" spans="1:3" x14ac:dyDescent="0.2">
      <c r="A13779" s="82"/>
      <c r="B13779" s="82"/>
      <c r="C13779" s="82"/>
    </row>
    <row r="13780" spans="1:3" x14ac:dyDescent="0.2">
      <c r="A13780" s="82"/>
      <c r="B13780" s="82"/>
      <c r="C13780" s="82"/>
    </row>
    <row r="13781" spans="1:3" x14ac:dyDescent="0.2">
      <c r="A13781" s="82"/>
      <c r="B13781" s="82"/>
      <c r="C13781" s="82"/>
    </row>
    <row r="13782" spans="1:3" x14ac:dyDescent="0.2">
      <c r="A13782" s="82"/>
      <c r="B13782" s="82"/>
      <c r="C13782" s="82"/>
    </row>
    <row r="13783" spans="1:3" x14ac:dyDescent="0.2">
      <c r="A13783" s="82"/>
      <c r="B13783" s="82"/>
      <c r="C13783" s="82"/>
    </row>
    <row r="13784" spans="1:3" x14ac:dyDescent="0.2">
      <c r="A13784" s="82"/>
      <c r="B13784" s="82"/>
      <c r="C13784" s="82"/>
    </row>
    <row r="13785" spans="1:3" x14ac:dyDescent="0.2">
      <c r="A13785" s="82"/>
      <c r="B13785" s="82"/>
      <c r="C13785" s="82"/>
    </row>
    <row r="13786" spans="1:3" x14ac:dyDescent="0.2">
      <c r="A13786" s="82"/>
      <c r="B13786" s="82"/>
      <c r="C13786" s="82"/>
    </row>
    <row r="13787" spans="1:3" x14ac:dyDescent="0.2">
      <c r="A13787" s="82"/>
      <c r="B13787" s="82"/>
      <c r="C13787" s="82"/>
    </row>
    <row r="13788" spans="1:3" x14ac:dyDescent="0.2">
      <c r="A13788" s="82"/>
      <c r="B13788" s="82"/>
      <c r="C13788" s="82"/>
    </row>
    <row r="13789" spans="1:3" x14ac:dyDescent="0.2">
      <c r="A13789" s="82"/>
      <c r="B13789" s="82"/>
      <c r="C13789" s="82"/>
    </row>
    <row r="13790" spans="1:3" x14ac:dyDescent="0.2">
      <c r="A13790" s="82"/>
      <c r="B13790" s="82"/>
      <c r="C13790" s="82"/>
    </row>
    <row r="13791" spans="1:3" x14ac:dyDescent="0.2">
      <c r="A13791" s="82"/>
      <c r="B13791" s="82"/>
      <c r="C13791" s="82"/>
    </row>
    <row r="13792" spans="1:3" x14ac:dyDescent="0.2">
      <c r="A13792" s="82"/>
      <c r="B13792" s="82"/>
      <c r="C13792" s="82"/>
    </row>
    <row r="13793" spans="1:3" x14ac:dyDescent="0.2">
      <c r="A13793" s="82"/>
      <c r="B13793" s="82"/>
      <c r="C13793" s="82"/>
    </row>
    <row r="13794" spans="1:3" x14ac:dyDescent="0.2">
      <c r="A13794" s="82"/>
      <c r="B13794" s="82"/>
      <c r="C13794" s="82"/>
    </row>
    <row r="13795" spans="1:3" x14ac:dyDescent="0.2">
      <c r="A13795" s="82"/>
      <c r="B13795" s="82"/>
      <c r="C13795" s="82"/>
    </row>
    <row r="13796" spans="1:3" x14ac:dyDescent="0.2">
      <c r="A13796" s="82"/>
      <c r="B13796" s="82"/>
      <c r="C13796" s="82"/>
    </row>
    <row r="13797" spans="1:3" x14ac:dyDescent="0.2">
      <c r="A13797" s="82"/>
      <c r="B13797" s="82"/>
      <c r="C13797" s="82"/>
    </row>
    <row r="13798" spans="1:3" x14ac:dyDescent="0.2">
      <c r="A13798" s="82"/>
      <c r="B13798" s="82"/>
      <c r="C13798" s="82"/>
    </row>
    <row r="13799" spans="1:3" x14ac:dyDescent="0.2">
      <c r="A13799" s="82"/>
      <c r="B13799" s="82"/>
      <c r="C13799" s="82"/>
    </row>
    <row r="13800" spans="1:3" x14ac:dyDescent="0.2">
      <c r="A13800" s="82"/>
      <c r="B13800" s="82"/>
      <c r="C13800" s="82"/>
    </row>
    <row r="13801" spans="1:3" x14ac:dyDescent="0.2">
      <c r="A13801" s="82"/>
      <c r="B13801" s="82"/>
      <c r="C13801" s="82"/>
    </row>
    <row r="13802" spans="1:3" x14ac:dyDescent="0.2">
      <c r="A13802" s="82"/>
      <c r="B13802" s="82"/>
      <c r="C13802" s="82"/>
    </row>
    <row r="13803" spans="1:3" x14ac:dyDescent="0.2">
      <c r="A13803" s="82"/>
      <c r="B13803" s="82"/>
      <c r="C13803" s="82"/>
    </row>
    <row r="13804" spans="1:3" x14ac:dyDescent="0.2">
      <c r="A13804" s="82"/>
      <c r="B13804" s="82"/>
      <c r="C13804" s="82"/>
    </row>
    <row r="13805" spans="1:3" x14ac:dyDescent="0.2">
      <c r="A13805" s="82"/>
      <c r="B13805" s="82"/>
      <c r="C13805" s="82"/>
    </row>
    <row r="13806" spans="1:3" x14ac:dyDescent="0.2">
      <c r="A13806" s="82"/>
      <c r="B13806" s="82"/>
      <c r="C13806" s="82"/>
    </row>
    <row r="13807" spans="1:3" x14ac:dyDescent="0.2">
      <c r="A13807" s="82"/>
      <c r="B13807" s="82"/>
      <c r="C13807" s="82"/>
    </row>
    <row r="13808" spans="1:3" x14ac:dyDescent="0.2">
      <c r="A13808" s="82"/>
      <c r="B13808" s="82"/>
      <c r="C13808" s="82"/>
    </row>
    <row r="13809" spans="1:3" x14ac:dyDescent="0.2">
      <c r="A13809" s="82"/>
      <c r="B13809" s="82"/>
      <c r="C13809" s="82"/>
    </row>
    <row r="13810" spans="1:3" x14ac:dyDescent="0.2">
      <c r="A13810" s="82"/>
      <c r="B13810" s="82"/>
      <c r="C13810" s="82"/>
    </row>
    <row r="13811" spans="1:3" x14ac:dyDescent="0.2">
      <c r="A13811" s="82"/>
      <c r="B13811" s="82"/>
      <c r="C13811" s="82"/>
    </row>
    <row r="13812" spans="1:3" x14ac:dyDescent="0.2">
      <c r="A13812" s="82"/>
      <c r="B13812" s="82"/>
      <c r="C13812" s="82"/>
    </row>
    <row r="13813" spans="1:3" x14ac:dyDescent="0.2">
      <c r="A13813" s="82"/>
      <c r="B13813" s="82"/>
      <c r="C13813" s="82"/>
    </row>
    <row r="13814" spans="1:3" x14ac:dyDescent="0.2">
      <c r="A13814" s="82"/>
      <c r="B13814" s="82"/>
      <c r="C13814" s="82"/>
    </row>
    <row r="13815" spans="1:3" x14ac:dyDescent="0.2">
      <c r="A13815" s="82"/>
      <c r="B13815" s="82"/>
      <c r="C13815" s="82"/>
    </row>
    <row r="13816" spans="1:3" x14ac:dyDescent="0.2">
      <c r="A13816" s="82"/>
      <c r="B13816" s="82"/>
      <c r="C13816" s="82"/>
    </row>
    <row r="13817" spans="1:3" x14ac:dyDescent="0.2">
      <c r="A13817" s="82"/>
      <c r="B13817" s="82"/>
      <c r="C13817" s="82"/>
    </row>
    <row r="13818" spans="1:3" x14ac:dyDescent="0.2">
      <c r="A13818" s="82"/>
      <c r="B13818" s="82"/>
      <c r="C13818" s="82"/>
    </row>
    <row r="13819" spans="1:3" x14ac:dyDescent="0.2">
      <c r="A13819" s="82"/>
      <c r="B13819" s="82"/>
      <c r="C13819" s="82"/>
    </row>
    <row r="13820" spans="1:3" x14ac:dyDescent="0.2">
      <c r="A13820" s="82"/>
      <c r="B13820" s="82"/>
      <c r="C13820" s="82"/>
    </row>
    <row r="13821" spans="1:3" x14ac:dyDescent="0.2">
      <c r="A13821" s="82"/>
      <c r="B13821" s="82"/>
      <c r="C13821" s="82"/>
    </row>
    <row r="13822" spans="1:3" x14ac:dyDescent="0.2">
      <c r="A13822" s="82"/>
      <c r="B13822" s="82"/>
      <c r="C13822" s="82"/>
    </row>
    <row r="13823" spans="1:3" x14ac:dyDescent="0.2">
      <c r="A13823" s="82"/>
      <c r="B13823" s="82"/>
      <c r="C13823" s="82"/>
    </row>
    <row r="13824" spans="1:3" x14ac:dyDescent="0.2">
      <c r="A13824" s="82"/>
      <c r="B13824" s="82"/>
      <c r="C13824" s="82"/>
    </row>
    <row r="13825" spans="1:3" x14ac:dyDescent="0.2">
      <c r="A13825" s="82"/>
      <c r="B13825" s="82"/>
      <c r="C13825" s="82"/>
    </row>
    <row r="13826" spans="1:3" x14ac:dyDescent="0.2">
      <c r="A13826" s="82"/>
      <c r="B13826" s="82"/>
      <c r="C13826" s="82"/>
    </row>
    <row r="13827" spans="1:3" x14ac:dyDescent="0.2">
      <c r="A13827" s="82"/>
      <c r="B13827" s="82"/>
      <c r="C13827" s="82"/>
    </row>
    <row r="13828" spans="1:3" x14ac:dyDescent="0.2">
      <c r="A13828" s="82"/>
      <c r="B13828" s="82"/>
      <c r="C13828" s="82"/>
    </row>
    <row r="13829" spans="1:3" x14ac:dyDescent="0.2">
      <c r="A13829" s="82"/>
      <c r="B13829" s="82"/>
      <c r="C13829" s="82"/>
    </row>
    <row r="13830" spans="1:3" x14ac:dyDescent="0.2">
      <c r="A13830" s="82"/>
      <c r="B13830" s="82"/>
      <c r="C13830" s="82"/>
    </row>
    <row r="13831" spans="1:3" x14ac:dyDescent="0.2">
      <c r="A13831" s="82"/>
      <c r="B13831" s="82"/>
      <c r="C13831" s="82"/>
    </row>
    <row r="13832" spans="1:3" x14ac:dyDescent="0.2">
      <c r="A13832" s="82"/>
      <c r="B13832" s="82"/>
      <c r="C13832" s="82"/>
    </row>
    <row r="13833" spans="1:3" x14ac:dyDescent="0.2">
      <c r="A13833" s="82"/>
      <c r="B13833" s="82"/>
      <c r="C13833" s="82"/>
    </row>
    <row r="13834" spans="1:3" x14ac:dyDescent="0.2">
      <c r="A13834" s="82"/>
      <c r="B13834" s="82"/>
      <c r="C13834" s="82"/>
    </row>
    <row r="13835" spans="1:3" x14ac:dyDescent="0.2">
      <c r="A13835" s="82"/>
      <c r="B13835" s="82"/>
      <c r="C13835" s="82"/>
    </row>
    <row r="13836" spans="1:3" x14ac:dyDescent="0.2">
      <c r="A13836" s="82"/>
      <c r="B13836" s="82"/>
      <c r="C13836" s="82"/>
    </row>
    <row r="13837" spans="1:3" x14ac:dyDescent="0.2">
      <c r="A13837" s="82"/>
      <c r="B13837" s="82"/>
      <c r="C13837" s="82"/>
    </row>
    <row r="13838" spans="1:3" x14ac:dyDescent="0.2">
      <c r="A13838" s="82"/>
      <c r="B13838" s="82"/>
      <c r="C13838" s="82"/>
    </row>
    <row r="13839" spans="1:3" x14ac:dyDescent="0.2">
      <c r="A13839" s="82"/>
      <c r="B13839" s="82"/>
      <c r="C13839" s="82"/>
    </row>
    <row r="13840" spans="1:3" x14ac:dyDescent="0.2">
      <c r="A13840" s="82"/>
      <c r="B13840" s="82"/>
      <c r="C13840" s="82"/>
    </row>
    <row r="13841" spans="1:3" x14ac:dyDescent="0.2">
      <c r="A13841" s="82"/>
      <c r="B13841" s="82"/>
      <c r="C13841" s="82"/>
    </row>
    <row r="13842" spans="1:3" x14ac:dyDescent="0.2">
      <c r="A13842" s="82"/>
      <c r="B13842" s="82"/>
      <c r="C13842" s="82"/>
    </row>
    <row r="13843" spans="1:3" x14ac:dyDescent="0.2">
      <c r="A13843" s="82"/>
      <c r="B13843" s="82"/>
      <c r="C13843" s="82"/>
    </row>
    <row r="13844" spans="1:3" x14ac:dyDescent="0.2">
      <c r="A13844" s="82"/>
      <c r="B13844" s="82"/>
      <c r="C13844" s="82"/>
    </row>
    <row r="13845" spans="1:3" x14ac:dyDescent="0.2">
      <c r="A13845" s="82"/>
      <c r="B13845" s="82"/>
      <c r="C13845" s="82"/>
    </row>
    <row r="13846" spans="1:3" x14ac:dyDescent="0.2">
      <c r="A13846" s="82"/>
      <c r="B13846" s="82"/>
      <c r="C13846" s="82"/>
    </row>
    <row r="13847" spans="1:3" x14ac:dyDescent="0.2">
      <c r="A13847" s="82"/>
      <c r="B13847" s="82"/>
      <c r="C13847" s="82"/>
    </row>
    <row r="13848" spans="1:3" x14ac:dyDescent="0.2">
      <c r="A13848" s="82"/>
      <c r="B13848" s="82"/>
      <c r="C13848" s="82"/>
    </row>
    <row r="13849" spans="1:3" x14ac:dyDescent="0.2">
      <c r="A13849" s="82"/>
      <c r="B13849" s="82"/>
      <c r="C13849" s="82"/>
    </row>
    <row r="13850" spans="1:3" x14ac:dyDescent="0.2">
      <c r="A13850" s="82"/>
      <c r="B13850" s="82"/>
      <c r="C13850" s="82"/>
    </row>
    <row r="13851" spans="1:3" x14ac:dyDescent="0.2">
      <c r="A13851" s="82"/>
      <c r="B13851" s="82"/>
      <c r="C13851" s="82"/>
    </row>
    <row r="13852" spans="1:3" x14ac:dyDescent="0.2">
      <c r="A13852" s="82"/>
      <c r="B13852" s="82"/>
      <c r="C13852" s="82"/>
    </row>
    <row r="13853" spans="1:3" x14ac:dyDescent="0.2">
      <c r="A13853" s="82"/>
      <c r="B13853" s="82"/>
      <c r="C13853" s="82"/>
    </row>
    <row r="13854" spans="1:3" x14ac:dyDescent="0.2">
      <c r="A13854" s="82"/>
      <c r="B13854" s="82"/>
      <c r="C13854" s="82"/>
    </row>
    <row r="13855" spans="1:3" x14ac:dyDescent="0.2">
      <c r="A13855" s="82"/>
      <c r="B13855" s="82"/>
      <c r="C13855" s="82"/>
    </row>
    <row r="13856" spans="1:3" x14ac:dyDescent="0.2">
      <c r="A13856" s="82"/>
      <c r="B13856" s="82"/>
      <c r="C13856" s="82"/>
    </row>
    <row r="13857" spans="1:3" x14ac:dyDescent="0.2">
      <c r="A13857" s="82"/>
      <c r="B13857" s="82"/>
      <c r="C13857" s="82"/>
    </row>
    <row r="13858" spans="1:3" x14ac:dyDescent="0.2">
      <c r="A13858" s="82"/>
      <c r="B13858" s="82"/>
      <c r="C13858" s="82"/>
    </row>
    <row r="13859" spans="1:3" x14ac:dyDescent="0.2">
      <c r="A13859" s="82"/>
      <c r="B13859" s="82"/>
      <c r="C13859" s="82"/>
    </row>
    <row r="13860" spans="1:3" x14ac:dyDescent="0.2">
      <c r="A13860" s="82"/>
      <c r="B13860" s="82"/>
      <c r="C13860" s="82"/>
    </row>
    <row r="13861" spans="1:3" x14ac:dyDescent="0.2">
      <c r="A13861" s="82"/>
      <c r="B13861" s="82"/>
      <c r="C13861" s="82"/>
    </row>
    <row r="13862" spans="1:3" x14ac:dyDescent="0.2">
      <c r="A13862" s="82"/>
      <c r="B13862" s="82"/>
      <c r="C13862" s="82"/>
    </row>
    <row r="13863" spans="1:3" x14ac:dyDescent="0.2">
      <c r="A13863" s="82"/>
      <c r="B13863" s="82"/>
      <c r="C13863" s="82"/>
    </row>
    <row r="13864" spans="1:3" x14ac:dyDescent="0.2">
      <c r="A13864" s="82"/>
      <c r="B13864" s="82"/>
      <c r="C13864" s="82"/>
    </row>
    <row r="13865" spans="1:3" x14ac:dyDescent="0.2">
      <c r="A13865" s="82"/>
      <c r="B13865" s="82"/>
      <c r="C13865" s="82"/>
    </row>
    <row r="13866" spans="1:3" x14ac:dyDescent="0.2">
      <c r="A13866" s="82"/>
      <c r="B13866" s="82"/>
      <c r="C13866" s="82"/>
    </row>
    <row r="13867" spans="1:3" x14ac:dyDescent="0.2">
      <c r="A13867" s="82"/>
      <c r="B13867" s="82"/>
      <c r="C13867" s="82"/>
    </row>
    <row r="13868" spans="1:3" x14ac:dyDescent="0.2">
      <c r="A13868" s="82"/>
      <c r="B13868" s="82"/>
      <c r="C13868" s="82"/>
    </row>
    <row r="13869" spans="1:3" x14ac:dyDescent="0.2">
      <c r="A13869" s="82"/>
      <c r="B13869" s="82"/>
      <c r="C13869" s="82"/>
    </row>
    <row r="13870" spans="1:3" x14ac:dyDescent="0.2">
      <c r="A13870" s="82"/>
      <c r="B13870" s="82"/>
      <c r="C13870" s="82"/>
    </row>
    <row r="13871" spans="1:3" x14ac:dyDescent="0.2">
      <c r="A13871" s="82"/>
      <c r="B13871" s="82"/>
      <c r="C13871" s="82"/>
    </row>
    <row r="13872" spans="1:3" x14ac:dyDescent="0.2">
      <c r="A13872" s="82"/>
      <c r="B13872" s="82"/>
      <c r="C13872" s="82"/>
    </row>
    <row r="13873" spans="1:3" x14ac:dyDescent="0.2">
      <c r="A13873" s="82"/>
      <c r="B13873" s="82"/>
      <c r="C13873" s="82"/>
    </row>
    <row r="13874" spans="1:3" x14ac:dyDescent="0.2">
      <c r="A13874" s="82"/>
      <c r="B13874" s="82"/>
      <c r="C13874" s="82"/>
    </row>
    <row r="13875" spans="1:3" x14ac:dyDescent="0.2">
      <c r="A13875" s="82"/>
      <c r="B13875" s="82"/>
      <c r="C13875" s="82"/>
    </row>
    <row r="13876" spans="1:3" x14ac:dyDescent="0.2">
      <c r="A13876" s="82"/>
      <c r="B13876" s="82"/>
      <c r="C13876" s="82"/>
    </row>
    <row r="13877" spans="1:3" x14ac:dyDescent="0.2">
      <c r="A13877" s="82"/>
      <c r="B13877" s="82"/>
      <c r="C13877" s="82"/>
    </row>
    <row r="13878" spans="1:3" x14ac:dyDescent="0.2">
      <c r="A13878" s="82"/>
      <c r="B13878" s="82"/>
      <c r="C13878" s="82"/>
    </row>
    <row r="13879" spans="1:3" x14ac:dyDescent="0.2">
      <c r="A13879" s="82"/>
      <c r="B13879" s="82"/>
      <c r="C13879" s="82"/>
    </row>
    <row r="13880" spans="1:3" x14ac:dyDescent="0.2">
      <c r="A13880" s="82"/>
      <c r="B13880" s="82"/>
      <c r="C13880" s="82"/>
    </row>
    <row r="13881" spans="1:3" x14ac:dyDescent="0.2">
      <c r="A13881" s="82"/>
      <c r="B13881" s="82"/>
      <c r="C13881" s="82"/>
    </row>
    <row r="13882" spans="1:3" x14ac:dyDescent="0.2">
      <c r="A13882" s="82"/>
      <c r="B13882" s="82"/>
      <c r="C13882" s="82"/>
    </row>
    <row r="13883" spans="1:3" x14ac:dyDescent="0.2">
      <c r="A13883" s="82"/>
      <c r="B13883" s="82"/>
      <c r="C13883" s="82"/>
    </row>
    <row r="13884" spans="1:3" x14ac:dyDescent="0.2">
      <c r="A13884" s="82"/>
      <c r="B13884" s="82"/>
      <c r="C13884" s="82"/>
    </row>
    <row r="13885" spans="1:3" x14ac:dyDescent="0.2">
      <c r="A13885" s="82"/>
      <c r="B13885" s="82"/>
      <c r="C13885" s="82"/>
    </row>
    <row r="13886" spans="1:3" x14ac:dyDescent="0.2">
      <c r="A13886" s="82"/>
      <c r="B13886" s="82"/>
      <c r="C13886" s="82"/>
    </row>
    <row r="13887" spans="1:3" x14ac:dyDescent="0.2">
      <c r="A13887" s="82"/>
      <c r="B13887" s="82"/>
      <c r="C13887" s="82"/>
    </row>
    <row r="13888" spans="1:3" x14ac:dyDescent="0.2">
      <c r="A13888" s="82"/>
      <c r="B13888" s="82"/>
      <c r="C13888" s="82"/>
    </row>
    <row r="13889" spans="1:3" x14ac:dyDescent="0.2">
      <c r="A13889" s="82"/>
      <c r="B13889" s="82"/>
      <c r="C13889" s="82"/>
    </row>
    <row r="13890" spans="1:3" x14ac:dyDescent="0.2">
      <c r="A13890" s="82"/>
      <c r="B13890" s="82"/>
      <c r="C13890" s="82"/>
    </row>
    <row r="13891" spans="1:3" x14ac:dyDescent="0.2">
      <c r="A13891" s="82"/>
      <c r="B13891" s="82"/>
      <c r="C13891" s="82"/>
    </row>
    <row r="13892" spans="1:3" x14ac:dyDescent="0.2">
      <c r="A13892" s="82"/>
      <c r="B13892" s="82"/>
      <c r="C13892" s="82"/>
    </row>
    <row r="13893" spans="1:3" x14ac:dyDescent="0.2">
      <c r="A13893" s="82"/>
      <c r="B13893" s="82"/>
      <c r="C13893" s="82"/>
    </row>
    <row r="13894" spans="1:3" x14ac:dyDescent="0.2">
      <c r="A13894" s="82"/>
      <c r="B13894" s="82"/>
      <c r="C13894" s="82"/>
    </row>
    <row r="13895" spans="1:3" x14ac:dyDescent="0.2">
      <c r="A13895" s="82"/>
      <c r="B13895" s="82"/>
      <c r="C13895" s="82"/>
    </row>
    <row r="13896" spans="1:3" x14ac:dyDescent="0.2">
      <c r="A13896" s="82"/>
      <c r="B13896" s="82"/>
      <c r="C13896" s="82"/>
    </row>
    <row r="13897" spans="1:3" x14ac:dyDescent="0.2">
      <c r="A13897" s="82"/>
      <c r="B13897" s="82"/>
      <c r="C13897" s="82"/>
    </row>
    <row r="13898" spans="1:3" x14ac:dyDescent="0.2">
      <c r="A13898" s="82"/>
      <c r="B13898" s="82"/>
      <c r="C13898" s="82"/>
    </row>
    <row r="13899" spans="1:3" x14ac:dyDescent="0.2">
      <c r="A13899" s="82"/>
      <c r="B13899" s="82"/>
      <c r="C13899" s="82"/>
    </row>
    <row r="13900" spans="1:3" x14ac:dyDescent="0.2">
      <c r="A13900" s="82"/>
      <c r="B13900" s="82"/>
      <c r="C13900" s="82"/>
    </row>
    <row r="13901" spans="1:3" x14ac:dyDescent="0.2">
      <c r="A13901" s="82"/>
      <c r="B13901" s="82"/>
      <c r="C13901" s="82"/>
    </row>
    <row r="13902" spans="1:3" x14ac:dyDescent="0.2">
      <c r="A13902" s="82"/>
      <c r="B13902" s="82"/>
      <c r="C13902" s="82"/>
    </row>
    <row r="13903" spans="1:3" x14ac:dyDescent="0.2">
      <c r="A13903" s="82"/>
      <c r="B13903" s="82"/>
      <c r="C13903" s="82"/>
    </row>
    <row r="13904" spans="1:3" x14ac:dyDescent="0.2">
      <c r="A13904" s="82"/>
      <c r="B13904" s="82"/>
      <c r="C13904" s="82"/>
    </row>
    <row r="13905" spans="1:3" x14ac:dyDescent="0.2">
      <c r="A13905" s="82"/>
      <c r="B13905" s="82"/>
      <c r="C13905" s="82"/>
    </row>
    <row r="13906" spans="1:3" x14ac:dyDescent="0.2">
      <c r="A13906" s="82"/>
      <c r="B13906" s="82"/>
      <c r="C13906" s="82"/>
    </row>
    <row r="13907" spans="1:3" x14ac:dyDescent="0.2">
      <c r="A13907" s="82"/>
      <c r="B13907" s="82"/>
      <c r="C13907" s="82"/>
    </row>
    <row r="13908" spans="1:3" x14ac:dyDescent="0.2">
      <c r="A13908" s="82"/>
      <c r="B13908" s="82"/>
      <c r="C13908" s="82"/>
    </row>
    <row r="13909" spans="1:3" x14ac:dyDescent="0.2">
      <c r="A13909" s="82"/>
      <c r="B13909" s="82"/>
      <c r="C13909" s="82"/>
    </row>
    <row r="13910" spans="1:3" x14ac:dyDescent="0.2">
      <c r="A13910" s="82"/>
      <c r="B13910" s="82"/>
      <c r="C13910" s="82"/>
    </row>
    <row r="13911" spans="1:3" x14ac:dyDescent="0.2">
      <c r="A13911" s="82"/>
      <c r="B13911" s="82"/>
      <c r="C13911" s="82"/>
    </row>
    <row r="13912" spans="1:3" x14ac:dyDescent="0.2">
      <c r="A13912" s="82"/>
      <c r="B13912" s="82"/>
      <c r="C13912" s="82"/>
    </row>
    <row r="13913" spans="1:3" x14ac:dyDescent="0.2">
      <c r="A13913" s="82"/>
      <c r="B13913" s="82"/>
      <c r="C13913" s="82"/>
    </row>
    <row r="13914" spans="1:3" x14ac:dyDescent="0.2">
      <c r="A13914" s="82"/>
      <c r="B13914" s="82"/>
      <c r="C13914" s="82"/>
    </row>
    <row r="13915" spans="1:3" x14ac:dyDescent="0.2">
      <c r="A13915" s="82"/>
      <c r="B13915" s="82"/>
      <c r="C13915" s="82"/>
    </row>
    <row r="13916" spans="1:3" x14ac:dyDescent="0.2">
      <c r="A13916" s="82"/>
      <c r="B13916" s="82"/>
      <c r="C13916" s="82"/>
    </row>
    <row r="13917" spans="1:3" x14ac:dyDescent="0.2">
      <c r="A13917" s="82"/>
      <c r="B13917" s="82"/>
      <c r="C13917" s="82"/>
    </row>
    <row r="13918" spans="1:3" x14ac:dyDescent="0.2">
      <c r="A13918" s="82"/>
      <c r="B13918" s="82"/>
      <c r="C13918" s="82"/>
    </row>
    <row r="13919" spans="1:3" x14ac:dyDescent="0.2">
      <c r="A13919" s="82"/>
      <c r="B13919" s="82"/>
      <c r="C13919" s="82"/>
    </row>
    <row r="13920" spans="1:3" x14ac:dyDescent="0.2">
      <c r="A13920" s="82"/>
      <c r="B13920" s="82"/>
      <c r="C13920" s="82"/>
    </row>
    <row r="13921" spans="1:3" x14ac:dyDescent="0.2">
      <c r="A13921" s="82"/>
      <c r="B13921" s="82"/>
      <c r="C13921" s="82"/>
    </row>
    <row r="13922" spans="1:3" x14ac:dyDescent="0.2">
      <c r="A13922" s="82"/>
      <c r="B13922" s="82"/>
      <c r="C13922" s="82"/>
    </row>
    <row r="13923" spans="1:3" x14ac:dyDescent="0.2">
      <c r="A13923" s="82"/>
      <c r="B13923" s="82"/>
      <c r="C13923" s="82"/>
    </row>
    <row r="13924" spans="1:3" x14ac:dyDescent="0.2">
      <c r="A13924" s="82"/>
      <c r="B13924" s="82"/>
      <c r="C13924" s="82"/>
    </row>
    <row r="13925" spans="1:3" x14ac:dyDescent="0.2">
      <c r="A13925" s="82"/>
      <c r="B13925" s="82"/>
      <c r="C13925" s="82"/>
    </row>
    <row r="13926" spans="1:3" x14ac:dyDescent="0.2">
      <c r="A13926" s="82"/>
      <c r="B13926" s="82"/>
      <c r="C13926" s="82"/>
    </row>
    <row r="13927" spans="1:3" x14ac:dyDescent="0.2">
      <c r="A13927" s="82"/>
      <c r="B13927" s="82"/>
      <c r="C13927" s="82"/>
    </row>
    <row r="13928" spans="1:3" x14ac:dyDescent="0.2">
      <c r="A13928" s="82"/>
      <c r="B13928" s="82"/>
      <c r="C13928" s="82"/>
    </row>
    <row r="13929" spans="1:3" x14ac:dyDescent="0.2">
      <c r="A13929" s="82"/>
      <c r="B13929" s="82"/>
      <c r="C13929" s="82"/>
    </row>
    <row r="13930" spans="1:3" x14ac:dyDescent="0.2">
      <c r="A13930" s="82"/>
      <c r="B13930" s="82"/>
      <c r="C13930" s="82"/>
    </row>
    <row r="13931" spans="1:3" x14ac:dyDescent="0.2">
      <c r="A13931" s="82"/>
      <c r="B13931" s="82"/>
      <c r="C13931" s="82"/>
    </row>
    <row r="13932" spans="1:3" x14ac:dyDescent="0.2">
      <c r="A13932" s="82"/>
      <c r="B13932" s="82"/>
      <c r="C13932" s="82"/>
    </row>
    <row r="13933" spans="1:3" x14ac:dyDescent="0.2">
      <c r="A13933" s="82"/>
      <c r="B13933" s="82"/>
      <c r="C13933" s="82"/>
    </row>
    <row r="13934" spans="1:3" x14ac:dyDescent="0.2">
      <c r="A13934" s="82"/>
      <c r="B13934" s="82"/>
      <c r="C13934" s="82"/>
    </row>
    <row r="13935" spans="1:3" x14ac:dyDescent="0.2">
      <c r="A13935" s="82"/>
      <c r="B13935" s="82"/>
      <c r="C13935" s="82"/>
    </row>
    <row r="13936" spans="1:3" x14ac:dyDescent="0.2">
      <c r="A13936" s="82"/>
      <c r="B13936" s="82"/>
      <c r="C13936" s="82"/>
    </row>
    <row r="13937" spans="1:3" x14ac:dyDescent="0.2">
      <c r="A13937" s="82"/>
      <c r="B13937" s="82"/>
      <c r="C13937" s="82"/>
    </row>
    <row r="13938" spans="1:3" x14ac:dyDescent="0.2">
      <c r="A13938" s="82"/>
      <c r="B13938" s="82"/>
      <c r="C13938" s="82"/>
    </row>
    <row r="13939" spans="1:3" x14ac:dyDescent="0.2">
      <c r="A13939" s="82"/>
      <c r="B13939" s="82"/>
      <c r="C13939" s="82"/>
    </row>
    <row r="13940" spans="1:3" x14ac:dyDescent="0.2">
      <c r="A13940" s="82"/>
      <c r="B13940" s="82"/>
      <c r="C13940" s="82"/>
    </row>
    <row r="13941" spans="1:3" x14ac:dyDescent="0.2">
      <c r="A13941" s="82"/>
      <c r="B13941" s="82"/>
      <c r="C13941" s="82"/>
    </row>
    <row r="13942" spans="1:3" x14ac:dyDescent="0.2">
      <c r="A13942" s="82"/>
      <c r="B13942" s="82"/>
      <c r="C13942" s="82"/>
    </row>
    <row r="13943" spans="1:3" x14ac:dyDescent="0.2">
      <c r="A13943" s="82"/>
      <c r="B13943" s="82"/>
      <c r="C13943" s="82"/>
    </row>
    <row r="13944" spans="1:3" x14ac:dyDescent="0.2">
      <c r="A13944" s="82"/>
      <c r="B13944" s="82"/>
      <c r="C13944" s="82"/>
    </row>
    <row r="13945" spans="1:3" x14ac:dyDescent="0.2">
      <c r="A13945" s="82"/>
      <c r="B13945" s="82"/>
      <c r="C13945" s="82"/>
    </row>
    <row r="13946" spans="1:3" x14ac:dyDescent="0.2">
      <c r="A13946" s="82"/>
      <c r="B13946" s="82"/>
      <c r="C13946" s="82"/>
    </row>
    <row r="13947" spans="1:3" x14ac:dyDescent="0.2">
      <c r="A13947" s="82"/>
      <c r="B13947" s="82"/>
      <c r="C13947" s="82"/>
    </row>
    <row r="13948" spans="1:3" x14ac:dyDescent="0.2">
      <c r="A13948" s="82"/>
      <c r="B13948" s="82"/>
      <c r="C13948" s="82"/>
    </row>
    <row r="13949" spans="1:3" x14ac:dyDescent="0.2">
      <c r="A13949" s="82"/>
      <c r="B13949" s="82"/>
      <c r="C13949" s="82"/>
    </row>
    <row r="13950" spans="1:3" x14ac:dyDescent="0.2">
      <c r="A13950" s="82"/>
      <c r="B13950" s="82"/>
      <c r="C13950" s="82"/>
    </row>
    <row r="13951" spans="1:3" x14ac:dyDescent="0.2">
      <c r="A13951" s="82"/>
      <c r="B13951" s="82"/>
      <c r="C13951" s="82"/>
    </row>
    <row r="13952" spans="1:3" x14ac:dyDescent="0.2">
      <c r="A13952" s="82"/>
      <c r="B13952" s="82"/>
      <c r="C13952" s="82"/>
    </row>
    <row r="13953" spans="1:3" x14ac:dyDescent="0.2">
      <c r="A13953" s="82"/>
      <c r="B13953" s="82"/>
      <c r="C13953" s="82"/>
    </row>
    <row r="13954" spans="1:3" x14ac:dyDescent="0.2">
      <c r="A13954" s="82"/>
      <c r="B13954" s="82"/>
      <c r="C13954" s="82"/>
    </row>
    <row r="13955" spans="1:3" x14ac:dyDescent="0.2">
      <c r="A13955" s="82"/>
      <c r="B13955" s="82"/>
      <c r="C13955" s="82"/>
    </row>
    <row r="13956" spans="1:3" x14ac:dyDescent="0.2">
      <c r="A13956" s="82"/>
      <c r="B13956" s="82"/>
      <c r="C13956" s="82"/>
    </row>
    <row r="13957" spans="1:3" x14ac:dyDescent="0.2">
      <c r="A13957" s="82"/>
      <c r="B13957" s="82"/>
      <c r="C13957" s="82"/>
    </row>
    <row r="13958" spans="1:3" x14ac:dyDescent="0.2">
      <c r="A13958" s="82"/>
      <c r="B13958" s="82"/>
      <c r="C13958" s="82"/>
    </row>
    <row r="13959" spans="1:3" x14ac:dyDescent="0.2">
      <c r="A13959" s="82"/>
      <c r="B13959" s="82"/>
      <c r="C13959" s="82"/>
    </row>
    <row r="13960" spans="1:3" x14ac:dyDescent="0.2">
      <c r="A13960" s="82"/>
      <c r="B13960" s="82"/>
      <c r="C13960" s="82"/>
    </row>
    <row r="13961" spans="1:3" x14ac:dyDescent="0.2">
      <c r="A13961" s="82"/>
      <c r="B13961" s="82"/>
      <c r="C13961" s="82"/>
    </row>
    <row r="13962" spans="1:3" x14ac:dyDescent="0.2">
      <c r="A13962" s="82"/>
      <c r="B13962" s="82"/>
      <c r="C13962" s="82"/>
    </row>
    <row r="13963" spans="1:3" x14ac:dyDescent="0.2">
      <c r="A13963" s="82"/>
      <c r="B13963" s="82"/>
      <c r="C13963" s="82"/>
    </row>
    <row r="13964" spans="1:3" x14ac:dyDescent="0.2">
      <c r="A13964" s="82"/>
      <c r="B13964" s="82"/>
      <c r="C13964" s="82"/>
    </row>
    <row r="13965" spans="1:3" x14ac:dyDescent="0.2">
      <c r="A13965" s="82"/>
      <c r="B13965" s="82"/>
      <c r="C13965" s="82"/>
    </row>
    <row r="13966" spans="1:3" x14ac:dyDescent="0.2">
      <c r="A13966" s="82"/>
      <c r="B13966" s="82"/>
      <c r="C13966" s="82"/>
    </row>
    <row r="13967" spans="1:3" x14ac:dyDescent="0.2">
      <c r="A13967" s="82"/>
      <c r="B13967" s="82"/>
      <c r="C13967" s="82"/>
    </row>
    <row r="13968" spans="1:3" x14ac:dyDescent="0.2">
      <c r="A13968" s="82"/>
      <c r="B13968" s="82"/>
      <c r="C13968" s="82"/>
    </row>
    <row r="13969" spans="1:3" x14ac:dyDescent="0.2">
      <c r="A13969" s="82"/>
      <c r="B13969" s="82"/>
      <c r="C13969" s="82"/>
    </row>
    <row r="13970" spans="1:3" x14ac:dyDescent="0.2">
      <c r="A13970" s="82"/>
      <c r="B13970" s="82"/>
      <c r="C13970" s="82"/>
    </row>
    <row r="13971" spans="1:3" x14ac:dyDescent="0.2">
      <c r="A13971" s="82"/>
      <c r="B13971" s="82"/>
      <c r="C13971" s="82"/>
    </row>
    <row r="13972" spans="1:3" x14ac:dyDescent="0.2">
      <c r="A13972" s="82"/>
      <c r="B13972" s="82"/>
      <c r="C13972" s="82"/>
    </row>
    <row r="13973" spans="1:3" x14ac:dyDescent="0.2">
      <c r="A13973" s="82"/>
      <c r="B13973" s="82"/>
      <c r="C13973" s="82"/>
    </row>
    <row r="13974" spans="1:3" x14ac:dyDescent="0.2">
      <c r="A13974" s="82"/>
      <c r="B13974" s="82"/>
      <c r="C13974" s="82"/>
    </row>
    <row r="13975" spans="1:3" x14ac:dyDescent="0.2">
      <c r="A13975" s="82"/>
      <c r="B13975" s="82"/>
      <c r="C13975" s="82"/>
    </row>
    <row r="13976" spans="1:3" x14ac:dyDescent="0.2">
      <c r="A13976" s="82"/>
      <c r="B13976" s="82"/>
      <c r="C13976" s="82"/>
    </row>
    <row r="13977" spans="1:3" x14ac:dyDescent="0.2">
      <c r="A13977" s="82"/>
      <c r="B13977" s="82"/>
      <c r="C13977" s="82"/>
    </row>
    <row r="13978" spans="1:3" x14ac:dyDescent="0.2">
      <c r="A13978" s="82"/>
      <c r="B13978" s="82"/>
      <c r="C13978" s="82"/>
    </row>
    <row r="13979" spans="1:3" x14ac:dyDescent="0.2">
      <c r="A13979" s="82"/>
      <c r="B13979" s="82"/>
      <c r="C13979" s="82"/>
    </row>
    <row r="13980" spans="1:3" x14ac:dyDescent="0.2">
      <c r="A13980" s="82"/>
      <c r="B13980" s="82"/>
      <c r="C13980" s="82"/>
    </row>
    <row r="13981" spans="1:3" x14ac:dyDescent="0.2">
      <c r="A13981" s="82"/>
      <c r="B13981" s="82"/>
      <c r="C13981" s="82"/>
    </row>
    <row r="13982" spans="1:3" x14ac:dyDescent="0.2">
      <c r="A13982" s="82"/>
      <c r="B13982" s="82"/>
      <c r="C13982" s="82"/>
    </row>
    <row r="13983" spans="1:3" x14ac:dyDescent="0.2">
      <c r="A13983" s="82"/>
      <c r="B13983" s="82"/>
      <c r="C13983" s="82"/>
    </row>
    <row r="13984" spans="1:3" x14ac:dyDescent="0.2">
      <c r="A13984" s="82"/>
      <c r="B13984" s="82"/>
      <c r="C13984" s="82"/>
    </row>
    <row r="13985" spans="1:3" x14ac:dyDescent="0.2">
      <c r="A13985" s="82"/>
      <c r="B13985" s="82"/>
      <c r="C13985" s="82"/>
    </row>
    <row r="13986" spans="1:3" x14ac:dyDescent="0.2">
      <c r="A13986" s="82"/>
      <c r="B13986" s="82"/>
      <c r="C13986" s="82"/>
    </row>
    <row r="13987" spans="1:3" x14ac:dyDescent="0.2">
      <c r="A13987" s="82"/>
      <c r="B13987" s="82"/>
      <c r="C13987" s="82"/>
    </row>
    <row r="13988" spans="1:3" x14ac:dyDescent="0.2">
      <c r="A13988" s="82"/>
      <c r="B13988" s="82"/>
      <c r="C13988" s="82"/>
    </row>
    <row r="13989" spans="1:3" x14ac:dyDescent="0.2">
      <c r="A13989" s="82"/>
      <c r="B13989" s="82"/>
      <c r="C13989" s="82"/>
    </row>
    <row r="13990" spans="1:3" x14ac:dyDescent="0.2">
      <c r="A13990" s="82"/>
      <c r="B13990" s="82"/>
      <c r="C13990" s="82"/>
    </row>
    <row r="13991" spans="1:3" x14ac:dyDescent="0.2">
      <c r="A13991" s="82"/>
      <c r="B13991" s="82"/>
      <c r="C13991" s="82"/>
    </row>
    <row r="13992" spans="1:3" x14ac:dyDescent="0.2">
      <c r="A13992" s="82"/>
      <c r="B13992" s="82"/>
      <c r="C13992" s="82"/>
    </row>
    <row r="13993" spans="1:3" x14ac:dyDescent="0.2">
      <c r="A13993" s="82"/>
      <c r="B13993" s="82"/>
      <c r="C13993" s="82"/>
    </row>
    <row r="13994" spans="1:3" x14ac:dyDescent="0.2">
      <c r="A13994" s="82"/>
      <c r="B13994" s="82"/>
      <c r="C13994" s="82"/>
    </row>
    <row r="13995" spans="1:3" x14ac:dyDescent="0.2">
      <c r="A13995" s="82"/>
      <c r="B13995" s="82"/>
      <c r="C13995" s="82"/>
    </row>
    <row r="13996" spans="1:3" x14ac:dyDescent="0.2">
      <c r="A13996" s="82"/>
      <c r="B13996" s="82"/>
      <c r="C13996" s="82"/>
    </row>
    <row r="13997" spans="1:3" x14ac:dyDescent="0.2">
      <c r="A13997" s="82"/>
      <c r="B13997" s="82"/>
      <c r="C13997" s="82"/>
    </row>
    <row r="13998" spans="1:3" x14ac:dyDescent="0.2">
      <c r="A13998" s="82"/>
      <c r="B13998" s="82"/>
      <c r="C13998" s="82"/>
    </row>
    <row r="13999" spans="1:3" x14ac:dyDescent="0.2">
      <c r="A13999" s="82"/>
      <c r="B13999" s="82"/>
      <c r="C13999" s="82"/>
    </row>
    <row r="14000" spans="1:3" x14ac:dyDescent="0.2">
      <c r="A14000" s="82"/>
      <c r="B14000" s="82"/>
      <c r="C14000" s="82"/>
    </row>
    <row r="14001" spans="1:3" x14ac:dyDescent="0.2">
      <c r="A14001" s="82"/>
      <c r="B14001" s="82"/>
      <c r="C14001" s="82"/>
    </row>
    <row r="14002" spans="1:3" x14ac:dyDescent="0.2">
      <c r="A14002" s="82"/>
      <c r="B14002" s="82"/>
      <c r="C14002" s="82"/>
    </row>
    <row r="14003" spans="1:3" x14ac:dyDescent="0.2">
      <c r="A14003" s="82"/>
      <c r="B14003" s="82"/>
      <c r="C14003" s="82"/>
    </row>
    <row r="14004" spans="1:3" x14ac:dyDescent="0.2">
      <c r="A14004" s="82"/>
      <c r="B14004" s="82"/>
      <c r="C14004" s="82"/>
    </row>
    <row r="14005" spans="1:3" x14ac:dyDescent="0.2">
      <c r="A14005" s="82"/>
      <c r="B14005" s="82"/>
      <c r="C14005" s="82"/>
    </row>
    <row r="14006" spans="1:3" x14ac:dyDescent="0.2">
      <c r="A14006" s="82"/>
      <c r="B14006" s="82"/>
      <c r="C14006" s="82"/>
    </row>
    <row r="14007" spans="1:3" x14ac:dyDescent="0.2">
      <c r="A14007" s="82"/>
      <c r="B14007" s="82"/>
      <c r="C14007" s="82"/>
    </row>
    <row r="14008" spans="1:3" x14ac:dyDescent="0.2">
      <c r="A14008" s="82"/>
      <c r="B14008" s="82"/>
      <c r="C14008" s="82"/>
    </row>
    <row r="14009" spans="1:3" x14ac:dyDescent="0.2">
      <c r="A14009" s="82"/>
      <c r="B14009" s="82"/>
      <c r="C14009" s="82"/>
    </row>
    <row r="14010" spans="1:3" x14ac:dyDescent="0.2">
      <c r="A14010" s="82"/>
      <c r="B14010" s="82"/>
      <c r="C14010" s="82"/>
    </row>
    <row r="14011" spans="1:3" x14ac:dyDescent="0.2">
      <c r="A14011" s="82"/>
      <c r="B14011" s="82"/>
      <c r="C14011" s="82"/>
    </row>
    <row r="14012" spans="1:3" x14ac:dyDescent="0.2">
      <c r="A14012" s="82"/>
      <c r="B14012" s="82"/>
      <c r="C14012" s="82"/>
    </row>
    <row r="14013" spans="1:3" x14ac:dyDescent="0.2">
      <c r="A14013" s="82"/>
      <c r="B14013" s="82"/>
      <c r="C14013" s="82"/>
    </row>
    <row r="14014" spans="1:3" x14ac:dyDescent="0.2">
      <c r="A14014" s="82"/>
      <c r="B14014" s="82"/>
      <c r="C14014" s="82"/>
    </row>
    <row r="14015" spans="1:3" x14ac:dyDescent="0.2">
      <c r="A14015" s="82"/>
      <c r="B14015" s="82"/>
      <c r="C14015" s="82"/>
    </row>
    <row r="14016" spans="1:3" x14ac:dyDescent="0.2">
      <c r="A14016" s="82"/>
      <c r="B14016" s="82"/>
      <c r="C14016" s="82"/>
    </row>
    <row r="14017" spans="1:3" x14ac:dyDescent="0.2">
      <c r="A14017" s="82"/>
      <c r="B14017" s="82"/>
      <c r="C14017" s="82"/>
    </row>
    <row r="14018" spans="1:3" x14ac:dyDescent="0.2">
      <c r="A14018" s="82"/>
      <c r="B14018" s="82"/>
      <c r="C14018" s="82"/>
    </row>
    <row r="14019" spans="1:3" x14ac:dyDescent="0.2">
      <c r="A14019" s="82"/>
      <c r="B14019" s="82"/>
      <c r="C14019" s="82"/>
    </row>
    <row r="14020" spans="1:3" x14ac:dyDescent="0.2">
      <c r="A14020" s="82"/>
      <c r="B14020" s="82"/>
      <c r="C14020" s="82"/>
    </row>
    <row r="14021" spans="1:3" x14ac:dyDescent="0.2">
      <c r="A14021" s="82"/>
      <c r="B14021" s="82"/>
      <c r="C14021" s="82"/>
    </row>
    <row r="14022" spans="1:3" x14ac:dyDescent="0.2">
      <c r="A14022" s="82"/>
      <c r="B14022" s="82"/>
      <c r="C14022" s="82"/>
    </row>
    <row r="14023" spans="1:3" x14ac:dyDescent="0.2">
      <c r="A14023" s="82"/>
      <c r="B14023" s="82"/>
      <c r="C14023" s="82"/>
    </row>
    <row r="14024" spans="1:3" x14ac:dyDescent="0.2">
      <c r="A14024" s="82"/>
      <c r="B14024" s="82"/>
      <c r="C14024" s="82"/>
    </row>
    <row r="14025" spans="1:3" x14ac:dyDescent="0.2">
      <c r="A14025" s="82"/>
      <c r="B14025" s="82"/>
      <c r="C14025" s="82"/>
    </row>
    <row r="14026" spans="1:3" x14ac:dyDescent="0.2">
      <c r="A14026" s="82"/>
      <c r="B14026" s="82"/>
      <c r="C14026" s="82"/>
    </row>
    <row r="14027" spans="1:3" x14ac:dyDescent="0.2">
      <c r="A14027" s="82"/>
      <c r="B14027" s="82"/>
      <c r="C14027" s="82"/>
    </row>
    <row r="14028" spans="1:3" x14ac:dyDescent="0.2">
      <c r="A14028" s="82"/>
      <c r="B14028" s="82"/>
      <c r="C14028" s="82"/>
    </row>
    <row r="14029" spans="1:3" x14ac:dyDescent="0.2">
      <c r="A14029" s="82"/>
      <c r="B14029" s="82"/>
      <c r="C14029" s="82"/>
    </row>
    <row r="14030" spans="1:3" x14ac:dyDescent="0.2">
      <c r="A14030" s="82"/>
      <c r="B14030" s="82"/>
      <c r="C14030" s="82"/>
    </row>
    <row r="14031" spans="1:3" x14ac:dyDescent="0.2">
      <c r="A14031" s="82"/>
      <c r="B14031" s="82"/>
      <c r="C14031" s="82"/>
    </row>
    <row r="14032" spans="1:3" x14ac:dyDescent="0.2">
      <c r="A14032" s="82"/>
      <c r="B14032" s="82"/>
      <c r="C14032" s="82"/>
    </row>
    <row r="14033" spans="1:3" x14ac:dyDescent="0.2">
      <c r="A14033" s="82"/>
      <c r="B14033" s="82"/>
      <c r="C14033" s="82"/>
    </row>
    <row r="14034" spans="1:3" x14ac:dyDescent="0.2">
      <c r="A14034" s="82"/>
      <c r="B14034" s="82"/>
      <c r="C14034" s="82"/>
    </row>
    <row r="14035" spans="1:3" x14ac:dyDescent="0.2">
      <c r="A14035" s="82"/>
      <c r="B14035" s="82"/>
      <c r="C14035" s="82"/>
    </row>
    <row r="14036" spans="1:3" x14ac:dyDescent="0.2">
      <c r="A14036" s="82"/>
      <c r="B14036" s="82"/>
      <c r="C14036" s="82"/>
    </row>
    <row r="14037" spans="1:3" x14ac:dyDescent="0.2">
      <c r="A14037" s="82"/>
      <c r="B14037" s="82"/>
      <c r="C14037" s="82"/>
    </row>
    <row r="14038" spans="1:3" x14ac:dyDescent="0.2">
      <c r="A14038" s="82"/>
      <c r="B14038" s="82"/>
      <c r="C14038" s="82"/>
    </row>
    <row r="14039" spans="1:3" x14ac:dyDescent="0.2">
      <c r="A14039" s="82"/>
      <c r="B14039" s="82"/>
      <c r="C14039" s="82"/>
    </row>
    <row r="14040" spans="1:3" x14ac:dyDescent="0.2">
      <c r="A14040" s="82"/>
      <c r="B14040" s="82"/>
      <c r="C14040" s="82"/>
    </row>
    <row r="14041" spans="1:3" x14ac:dyDescent="0.2">
      <c r="A14041" s="82"/>
      <c r="B14041" s="82"/>
      <c r="C14041" s="82"/>
    </row>
    <row r="14042" spans="1:3" x14ac:dyDescent="0.2">
      <c r="A14042" s="82"/>
      <c r="B14042" s="82"/>
      <c r="C14042" s="82"/>
    </row>
    <row r="14043" spans="1:3" x14ac:dyDescent="0.2">
      <c r="A14043" s="82"/>
      <c r="B14043" s="82"/>
      <c r="C14043" s="82"/>
    </row>
    <row r="14044" spans="1:3" x14ac:dyDescent="0.2">
      <c r="A14044" s="82"/>
      <c r="B14044" s="82"/>
      <c r="C14044" s="82"/>
    </row>
    <row r="14045" spans="1:3" x14ac:dyDescent="0.2">
      <c r="A14045" s="82"/>
      <c r="B14045" s="82"/>
      <c r="C14045" s="82"/>
    </row>
    <row r="14046" spans="1:3" x14ac:dyDescent="0.2">
      <c r="A14046" s="82"/>
      <c r="B14046" s="82"/>
      <c r="C14046" s="82"/>
    </row>
    <row r="14047" spans="1:3" x14ac:dyDescent="0.2">
      <c r="A14047" s="82"/>
      <c r="B14047" s="82"/>
      <c r="C14047" s="82"/>
    </row>
    <row r="14048" spans="1:3" x14ac:dyDescent="0.2">
      <c r="A14048" s="82"/>
      <c r="B14048" s="82"/>
      <c r="C14048" s="82"/>
    </row>
    <row r="14049" spans="1:3" x14ac:dyDescent="0.2">
      <c r="A14049" s="82"/>
      <c r="B14049" s="82"/>
      <c r="C14049" s="82"/>
    </row>
    <row r="14050" spans="1:3" x14ac:dyDescent="0.2">
      <c r="A14050" s="82"/>
      <c r="B14050" s="82"/>
      <c r="C14050" s="82"/>
    </row>
    <row r="14051" spans="1:3" x14ac:dyDescent="0.2">
      <c r="A14051" s="82"/>
      <c r="B14051" s="82"/>
      <c r="C14051" s="82"/>
    </row>
    <row r="14052" spans="1:3" x14ac:dyDescent="0.2">
      <c r="A14052" s="82"/>
      <c r="B14052" s="82"/>
      <c r="C14052" s="82"/>
    </row>
    <row r="14053" spans="1:3" x14ac:dyDescent="0.2">
      <c r="A14053" s="82"/>
      <c r="B14053" s="82"/>
      <c r="C14053" s="82"/>
    </row>
    <row r="14054" spans="1:3" x14ac:dyDescent="0.2">
      <c r="A14054" s="82"/>
      <c r="B14054" s="82"/>
      <c r="C14054" s="82"/>
    </row>
    <row r="14055" spans="1:3" x14ac:dyDescent="0.2">
      <c r="A14055" s="82"/>
      <c r="B14055" s="82"/>
      <c r="C14055" s="82"/>
    </row>
    <row r="14056" spans="1:3" x14ac:dyDescent="0.2">
      <c r="A14056" s="82"/>
      <c r="B14056" s="82"/>
      <c r="C14056" s="82"/>
    </row>
    <row r="14057" spans="1:3" x14ac:dyDescent="0.2">
      <c r="A14057" s="82"/>
      <c r="B14057" s="82"/>
      <c r="C14057" s="82"/>
    </row>
    <row r="14058" spans="1:3" x14ac:dyDescent="0.2">
      <c r="A14058" s="82"/>
      <c r="B14058" s="82"/>
      <c r="C14058" s="82"/>
    </row>
    <row r="14059" spans="1:3" x14ac:dyDescent="0.2">
      <c r="A14059" s="82"/>
      <c r="B14059" s="82"/>
      <c r="C14059" s="82"/>
    </row>
    <row r="14060" spans="1:3" x14ac:dyDescent="0.2">
      <c r="A14060" s="82"/>
      <c r="B14060" s="82"/>
      <c r="C14060" s="82"/>
    </row>
    <row r="14061" spans="1:3" x14ac:dyDescent="0.2">
      <c r="A14061" s="82"/>
      <c r="B14061" s="82"/>
      <c r="C14061" s="82"/>
    </row>
    <row r="14062" spans="1:3" x14ac:dyDescent="0.2">
      <c r="A14062" s="82"/>
      <c r="B14062" s="82"/>
      <c r="C14062" s="82"/>
    </row>
    <row r="14063" spans="1:3" x14ac:dyDescent="0.2">
      <c r="A14063" s="82"/>
      <c r="B14063" s="82"/>
      <c r="C14063" s="82"/>
    </row>
    <row r="14064" spans="1:3" x14ac:dyDescent="0.2">
      <c r="A14064" s="82"/>
      <c r="B14064" s="82"/>
      <c r="C14064" s="82"/>
    </row>
    <row r="14065" spans="1:3" x14ac:dyDescent="0.2">
      <c r="A14065" s="82"/>
      <c r="B14065" s="82"/>
      <c r="C14065" s="82"/>
    </row>
    <row r="14066" spans="1:3" x14ac:dyDescent="0.2">
      <c r="A14066" s="82"/>
      <c r="B14066" s="82"/>
      <c r="C14066" s="82"/>
    </row>
    <row r="14067" spans="1:3" x14ac:dyDescent="0.2">
      <c r="A14067" s="82"/>
      <c r="B14067" s="82"/>
      <c r="C14067" s="82"/>
    </row>
    <row r="14068" spans="1:3" x14ac:dyDescent="0.2">
      <c r="A14068" s="82"/>
      <c r="B14068" s="82"/>
      <c r="C14068" s="82"/>
    </row>
    <row r="14069" spans="1:3" x14ac:dyDescent="0.2">
      <c r="A14069" s="82"/>
      <c r="B14069" s="82"/>
      <c r="C14069" s="82"/>
    </row>
    <row r="14070" spans="1:3" x14ac:dyDescent="0.2">
      <c r="A14070" s="82"/>
      <c r="B14070" s="82"/>
      <c r="C14070" s="82"/>
    </row>
    <row r="14071" spans="1:3" x14ac:dyDescent="0.2">
      <c r="A14071" s="82"/>
      <c r="B14071" s="82"/>
      <c r="C14071" s="82"/>
    </row>
    <row r="14072" spans="1:3" x14ac:dyDescent="0.2">
      <c r="A14072" s="82"/>
      <c r="B14072" s="82"/>
      <c r="C14072" s="82"/>
    </row>
    <row r="14073" spans="1:3" x14ac:dyDescent="0.2">
      <c r="A14073" s="82"/>
      <c r="B14073" s="82"/>
      <c r="C14073" s="82"/>
    </row>
    <row r="14074" spans="1:3" x14ac:dyDescent="0.2">
      <c r="A14074" s="82"/>
      <c r="B14074" s="82"/>
      <c r="C14074" s="82"/>
    </row>
    <row r="14075" spans="1:3" x14ac:dyDescent="0.2">
      <c r="A14075" s="82"/>
      <c r="B14075" s="82"/>
      <c r="C14075" s="82"/>
    </row>
    <row r="14076" spans="1:3" x14ac:dyDescent="0.2">
      <c r="A14076" s="82"/>
      <c r="B14076" s="82"/>
      <c r="C14076" s="82"/>
    </row>
    <row r="14077" spans="1:3" x14ac:dyDescent="0.2">
      <c r="A14077" s="82"/>
      <c r="B14077" s="82"/>
      <c r="C14077" s="82"/>
    </row>
    <row r="14078" spans="1:3" x14ac:dyDescent="0.2">
      <c r="A14078" s="82"/>
      <c r="B14078" s="82"/>
      <c r="C14078" s="82"/>
    </row>
    <row r="14079" spans="1:3" x14ac:dyDescent="0.2">
      <c r="A14079" s="82"/>
      <c r="B14079" s="82"/>
      <c r="C14079" s="82"/>
    </row>
    <row r="14080" spans="1:3" x14ac:dyDescent="0.2">
      <c r="A14080" s="82"/>
      <c r="B14080" s="82"/>
      <c r="C14080" s="82"/>
    </row>
    <row r="14081" spans="1:3" x14ac:dyDescent="0.2">
      <c r="A14081" s="82"/>
      <c r="B14081" s="82"/>
      <c r="C14081" s="82"/>
    </row>
    <row r="14082" spans="1:3" x14ac:dyDescent="0.2">
      <c r="A14082" s="82"/>
      <c r="B14082" s="82"/>
      <c r="C14082" s="82"/>
    </row>
    <row r="14083" spans="1:3" x14ac:dyDescent="0.2">
      <c r="A14083" s="82"/>
      <c r="B14083" s="82"/>
      <c r="C14083" s="82"/>
    </row>
    <row r="14084" spans="1:3" x14ac:dyDescent="0.2">
      <c r="A14084" s="82"/>
      <c r="B14084" s="82"/>
      <c r="C14084" s="82"/>
    </row>
    <row r="14085" spans="1:3" x14ac:dyDescent="0.2">
      <c r="A14085" s="82"/>
      <c r="B14085" s="82"/>
      <c r="C14085" s="82"/>
    </row>
    <row r="14086" spans="1:3" x14ac:dyDescent="0.2">
      <c r="A14086" s="82"/>
      <c r="B14086" s="82"/>
      <c r="C14086" s="82"/>
    </row>
    <row r="14087" spans="1:3" x14ac:dyDescent="0.2">
      <c r="A14087" s="82"/>
      <c r="B14087" s="82"/>
      <c r="C14087" s="82"/>
    </row>
    <row r="14088" spans="1:3" x14ac:dyDescent="0.2">
      <c r="A14088" s="82"/>
      <c r="B14088" s="82"/>
      <c r="C14088" s="82"/>
    </row>
    <row r="14089" spans="1:3" x14ac:dyDescent="0.2">
      <c r="A14089" s="82"/>
      <c r="B14089" s="82"/>
      <c r="C14089" s="82"/>
    </row>
    <row r="14090" spans="1:3" x14ac:dyDescent="0.2">
      <c r="A14090" s="82"/>
      <c r="B14090" s="82"/>
      <c r="C14090" s="82"/>
    </row>
    <row r="14091" spans="1:3" x14ac:dyDescent="0.2">
      <c r="A14091" s="82"/>
      <c r="B14091" s="82"/>
      <c r="C14091" s="82"/>
    </row>
    <row r="14092" spans="1:3" x14ac:dyDescent="0.2">
      <c r="A14092" s="82"/>
      <c r="B14092" s="82"/>
      <c r="C14092" s="82"/>
    </row>
    <row r="14093" spans="1:3" x14ac:dyDescent="0.2">
      <c r="A14093" s="82"/>
      <c r="B14093" s="82"/>
      <c r="C14093" s="82"/>
    </row>
    <row r="14094" spans="1:3" x14ac:dyDescent="0.2">
      <c r="A14094" s="82"/>
      <c r="B14094" s="82"/>
      <c r="C14094" s="82"/>
    </row>
    <row r="14095" spans="1:3" x14ac:dyDescent="0.2">
      <c r="A14095" s="82"/>
      <c r="B14095" s="82"/>
      <c r="C14095" s="82"/>
    </row>
    <row r="14096" spans="1:3" x14ac:dyDescent="0.2">
      <c r="A14096" s="82"/>
      <c r="B14096" s="82"/>
      <c r="C14096" s="82"/>
    </row>
    <row r="14097" spans="1:3" x14ac:dyDescent="0.2">
      <c r="A14097" s="82"/>
      <c r="B14097" s="82"/>
      <c r="C14097" s="82"/>
    </row>
    <row r="14098" spans="1:3" x14ac:dyDescent="0.2">
      <c r="A14098" s="82"/>
      <c r="B14098" s="82"/>
      <c r="C14098" s="82"/>
    </row>
    <row r="14099" spans="1:3" x14ac:dyDescent="0.2">
      <c r="A14099" s="82"/>
      <c r="B14099" s="82"/>
      <c r="C14099" s="82"/>
    </row>
    <row r="14100" spans="1:3" x14ac:dyDescent="0.2">
      <c r="A14100" s="82"/>
      <c r="B14100" s="82"/>
      <c r="C14100" s="82"/>
    </row>
    <row r="14101" spans="1:3" x14ac:dyDescent="0.2">
      <c r="A14101" s="82"/>
      <c r="B14101" s="82"/>
      <c r="C14101" s="82"/>
    </row>
    <row r="14102" spans="1:3" x14ac:dyDescent="0.2">
      <c r="A14102" s="82"/>
      <c r="B14102" s="82"/>
      <c r="C14102" s="82"/>
    </row>
    <row r="14103" spans="1:3" x14ac:dyDescent="0.2">
      <c r="A14103" s="82"/>
      <c r="B14103" s="82"/>
      <c r="C14103" s="82"/>
    </row>
    <row r="14104" spans="1:3" x14ac:dyDescent="0.2">
      <c r="A14104" s="82"/>
      <c r="B14104" s="82"/>
      <c r="C14104" s="82"/>
    </row>
    <row r="14105" spans="1:3" x14ac:dyDescent="0.2">
      <c r="A14105" s="82"/>
      <c r="B14105" s="82"/>
      <c r="C14105" s="82"/>
    </row>
    <row r="14106" spans="1:3" x14ac:dyDescent="0.2">
      <c r="A14106" s="82"/>
      <c r="B14106" s="82"/>
      <c r="C14106" s="82"/>
    </row>
    <row r="14107" spans="1:3" x14ac:dyDescent="0.2">
      <c r="A14107" s="82"/>
      <c r="B14107" s="82"/>
      <c r="C14107" s="82"/>
    </row>
    <row r="14108" spans="1:3" x14ac:dyDescent="0.2">
      <c r="A14108" s="82"/>
      <c r="B14108" s="82"/>
      <c r="C14108" s="82"/>
    </row>
    <row r="14109" spans="1:3" x14ac:dyDescent="0.2">
      <c r="A14109" s="82"/>
      <c r="B14109" s="82"/>
      <c r="C14109" s="82"/>
    </row>
    <row r="14110" spans="1:3" x14ac:dyDescent="0.2">
      <c r="A14110" s="82"/>
      <c r="B14110" s="82"/>
      <c r="C14110" s="82"/>
    </row>
    <row r="14111" spans="1:3" x14ac:dyDescent="0.2">
      <c r="A14111" s="82"/>
      <c r="B14111" s="82"/>
      <c r="C14111" s="82"/>
    </row>
    <row r="14112" spans="1:3" x14ac:dyDescent="0.2">
      <c r="A14112" s="82"/>
      <c r="B14112" s="82"/>
      <c r="C14112" s="82"/>
    </row>
    <row r="14113" spans="1:3" x14ac:dyDescent="0.2">
      <c r="A14113" s="82"/>
      <c r="B14113" s="82"/>
      <c r="C14113" s="82"/>
    </row>
    <row r="14114" spans="1:3" x14ac:dyDescent="0.2">
      <c r="A14114" s="82"/>
      <c r="B14114" s="82"/>
      <c r="C14114" s="82"/>
    </row>
    <row r="14115" spans="1:3" x14ac:dyDescent="0.2">
      <c r="A14115" s="82"/>
      <c r="B14115" s="82"/>
      <c r="C14115" s="82"/>
    </row>
    <row r="14116" spans="1:3" x14ac:dyDescent="0.2">
      <c r="A14116" s="82"/>
      <c r="B14116" s="82"/>
      <c r="C14116" s="82"/>
    </row>
    <row r="14117" spans="1:3" x14ac:dyDescent="0.2">
      <c r="A14117" s="82"/>
      <c r="B14117" s="82"/>
      <c r="C14117" s="82"/>
    </row>
    <row r="14118" spans="1:3" x14ac:dyDescent="0.2">
      <c r="A14118" s="82"/>
      <c r="B14118" s="82"/>
      <c r="C14118" s="82"/>
    </row>
    <row r="14119" spans="1:3" x14ac:dyDescent="0.2">
      <c r="A14119" s="82"/>
      <c r="B14119" s="82"/>
      <c r="C14119" s="82"/>
    </row>
    <row r="14120" spans="1:3" x14ac:dyDescent="0.2">
      <c r="A14120" s="82"/>
      <c r="B14120" s="82"/>
      <c r="C14120" s="82"/>
    </row>
    <row r="14121" spans="1:3" x14ac:dyDescent="0.2">
      <c r="A14121" s="82"/>
      <c r="B14121" s="82"/>
      <c r="C14121" s="82"/>
    </row>
    <row r="14122" spans="1:3" x14ac:dyDescent="0.2">
      <c r="A14122" s="82"/>
      <c r="B14122" s="82"/>
      <c r="C14122" s="82"/>
    </row>
    <row r="14123" spans="1:3" x14ac:dyDescent="0.2">
      <c r="A14123" s="82"/>
      <c r="B14123" s="82"/>
      <c r="C14123" s="82"/>
    </row>
    <row r="14124" spans="1:3" x14ac:dyDescent="0.2">
      <c r="A14124" s="82"/>
      <c r="B14124" s="82"/>
      <c r="C14124" s="82"/>
    </row>
    <row r="14125" spans="1:3" x14ac:dyDescent="0.2">
      <c r="A14125" s="82"/>
      <c r="B14125" s="82"/>
      <c r="C14125" s="82"/>
    </row>
    <row r="14126" spans="1:3" x14ac:dyDescent="0.2">
      <c r="A14126" s="82"/>
      <c r="B14126" s="82"/>
      <c r="C14126" s="82"/>
    </row>
    <row r="14127" spans="1:3" x14ac:dyDescent="0.2">
      <c r="A14127" s="82"/>
      <c r="B14127" s="82"/>
      <c r="C14127" s="82"/>
    </row>
    <row r="14128" spans="1:3" x14ac:dyDescent="0.2">
      <c r="A14128" s="82"/>
      <c r="B14128" s="82"/>
      <c r="C14128" s="82"/>
    </row>
    <row r="14129" spans="1:3" x14ac:dyDescent="0.2">
      <c r="A14129" s="82"/>
      <c r="B14129" s="82"/>
      <c r="C14129" s="82"/>
    </row>
    <row r="14130" spans="1:3" x14ac:dyDescent="0.2">
      <c r="A14130" s="82"/>
      <c r="B14130" s="82"/>
      <c r="C14130" s="82"/>
    </row>
    <row r="14131" spans="1:3" x14ac:dyDescent="0.2">
      <c r="A14131" s="82"/>
      <c r="B14131" s="82"/>
      <c r="C14131" s="82"/>
    </row>
    <row r="14132" spans="1:3" x14ac:dyDescent="0.2">
      <c r="A14132" s="82"/>
      <c r="B14132" s="82"/>
      <c r="C14132" s="82"/>
    </row>
    <row r="14133" spans="1:3" x14ac:dyDescent="0.2">
      <c r="A14133" s="82"/>
      <c r="B14133" s="82"/>
      <c r="C14133" s="82"/>
    </row>
    <row r="14134" spans="1:3" x14ac:dyDescent="0.2">
      <c r="A14134" s="82"/>
      <c r="B14134" s="82"/>
      <c r="C14134" s="82"/>
    </row>
    <row r="14135" spans="1:3" x14ac:dyDescent="0.2">
      <c r="A14135" s="82"/>
      <c r="B14135" s="82"/>
      <c r="C14135" s="82"/>
    </row>
    <row r="14136" spans="1:3" x14ac:dyDescent="0.2">
      <c r="A14136" s="82"/>
      <c r="B14136" s="82"/>
      <c r="C14136" s="82"/>
    </row>
    <row r="14137" spans="1:3" x14ac:dyDescent="0.2">
      <c r="A14137" s="82"/>
      <c r="B14137" s="82"/>
      <c r="C14137" s="82"/>
    </row>
    <row r="14138" spans="1:3" x14ac:dyDescent="0.2">
      <c r="A14138" s="82"/>
      <c r="B14138" s="82"/>
      <c r="C14138" s="82"/>
    </row>
    <row r="14139" spans="1:3" x14ac:dyDescent="0.2">
      <c r="A14139" s="82"/>
      <c r="B14139" s="82"/>
      <c r="C14139" s="82"/>
    </row>
    <row r="14140" spans="1:3" x14ac:dyDescent="0.2">
      <c r="A14140" s="82"/>
      <c r="B14140" s="82"/>
      <c r="C14140" s="82"/>
    </row>
    <row r="14141" spans="1:3" x14ac:dyDescent="0.2">
      <c r="A14141" s="82"/>
      <c r="B14141" s="82"/>
      <c r="C14141" s="82"/>
    </row>
    <row r="14142" spans="1:3" x14ac:dyDescent="0.2">
      <c r="A14142" s="82"/>
      <c r="B14142" s="82"/>
      <c r="C14142" s="82"/>
    </row>
    <row r="14143" spans="1:3" x14ac:dyDescent="0.2">
      <c r="A14143" s="82"/>
      <c r="B14143" s="82"/>
      <c r="C14143" s="82"/>
    </row>
    <row r="14144" spans="1:3" x14ac:dyDescent="0.2">
      <c r="A14144" s="82"/>
      <c r="B14144" s="82"/>
      <c r="C14144" s="82"/>
    </row>
    <row r="14145" spans="1:3" x14ac:dyDescent="0.2">
      <c r="A14145" s="82"/>
      <c r="B14145" s="82"/>
      <c r="C14145" s="82"/>
    </row>
    <row r="14146" spans="1:3" x14ac:dyDescent="0.2">
      <c r="A14146" s="82"/>
      <c r="B14146" s="82"/>
      <c r="C14146" s="82"/>
    </row>
    <row r="14147" spans="1:3" x14ac:dyDescent="0.2">
      <c r="A14147" s="82"/>
      <c r="B14147" s="82"/>
      <c r="C14147" s="82"/>
    </row>
    <row r="14148" spans="1:3" x14ac:dyDescent="0.2">
      <c r="A14148" s="82"/>
      <c r="B14148" s="82"/>
      <c r="C14148" s="82"/>
    </row>
    <row r="14149" spans="1:3" x14ac:dyDescent="0.2">
      <c r="A14149" s="82"/>
      <c r="B14149" s="82"/>
      <c r="C14149" s="82"/>
    </row>
    <row r="14150" spans="1:3" x14ac:dyDescent="0.2">
      <c r="A14150" s="82"/>
      <c r="B14150" s="82"/>
      <c r="C14150" s="82"/>
    </row>
    <row r="14151" spans="1:3" x14ac:dyDescent="0.2">
      <c r="A14151" s="82"/>
      <c r="B14151" s="82"/>
      <c r="C14151" s="82"/>
    </row>
    <row r="14152" spans="1:3" x14ac:dyDescent="0.2">
      <c r="A14152" s="82"/>
      <c r="B14152" s="82"/>
      <c r="C14152" s="82"/>
    </row>
    <row r="14153" spans="1:3" x14ac:dyDescent="0.2">
      <c r="A14153" s="82"/>
      <c r="B14153" s="82"/>
      <c r="C14153" s="82"/>
    </row>
    <row r="14154" spans="1:3" x14ac:dyDescent="0.2">
      <c r="A14154" s="82"/>
      <c r="B14154" s="82"/>
      <c r="C14154" s="82"/>
    </row>
    <row r="14155" spans="1:3" x14ac:dyDescent="0.2">
      <c r="A14155" s="82"/>
      <c r="B14155" s="82"/>
      <c r="C14155" s="82"/>
    </row>
    <row r="14156" spans="1:3" x14ac:dyDescent="0.2">
      <c r="A14156" s="82"/>
      <c r="B14156" s="82"/>
      <c r="C14156" s="82"/>
    </row>
    <row r="14157" spans="1:3" x14ac:dyDescent="0.2">
      <c r="A14157" s="82"/>
      <c r="B14157" s="82"/>
      <c r="C14157" s="82"/>
    </row>
    <row r="14158" spans="1:3" x14ac:dyDescent="0.2">
      <c r="A14158" s="82"/>
      <c r="B14158" s="82"/>
      <c r="C14158" s="82"/>
    </row>
    <row r="14159" spans="1:3" x14ac:dyDescent="0.2">
      <c r="A14159" s="82"/>
      <c r="B14159" s="82"/>
      <c r="C14159" s="82"/>
    </row>
    <row r="14160" spans="1:3" x14ac:dyDescent="0.2">
      <c r="A14160" s="82"/>
      <c r="B14160" s="82"/>
      <c r="C14160" s="82"/>
    </row>
    <row r="14161" spans="1:3" x14ac:dyDescent="0.2">
      <c r="A14161" s="82"/>
      <c r="B14161" s="82"/>
      <c r="C14161" s="82"/>
    </row>
    <row r="14162" spans="1:3" x14ac:dyDescent="0.2">
      <c r="A14162" s="82"/>
      <c r="B14162" s="82"/>
      <c r="C14162" s="82"/>
    </row>
    <row r="14163" spans="1:3" x14ac:dyDescent="0.2">
      <c r="A14163" s="82"/>
      <c r="B14163" s="82"/>
      <c r="C14163" s="82"/>
    </row>
    <row r="14164" spans="1:3" x14ac:dyDescent="0.2">
      <c r="A14164" s="82"/>
      <c r="B14164" s="82"/>
      <c r="C14164" s="82"/>
    </row>
    <row r="14165" spans="1:3" x14ac:dyDescent="0.2">
      <c r="A14165" s="82"/>
      <c r="B14165" s="82"/>
      <c r="C14165" s="82"/>
    </row>
    <row r="14166" spans="1:3" x14ac:dyDescent="0.2">
      <c r="A14166" s="82"/>
      <c r="B14166" s="82"/>
      <c r="C14166" s="82"/>
    </row>
    <row r="14167" spans="1:3" x14ac:dyDescent="0.2">
      <c r="A14167" s="82"/>
      <c r="B14167" s="82"/>
      <c r="C14167" s="82"/>
    </row>
    <row r="14168" spans="1:3" x14ac:dyDescent="0.2">
      <c r="A14168" s="82"/>
      <c r="B14168" s="82"/>
      <c r="C14168" s="82"/>
    </row>
    <row r="14169" spans="1:3" x14ac:dyDescent="0.2">
      <c r="A14169" s="82"/>
      <c r="B14169" s="82"/>
      <c r="C14169" s="82"/>
    </row>
    <row r="14170" spans="1:3" x14ac:dyDescent="0.2">
      <c r="A14170" s="82"/>
      <c r="B14170" s="82"/>
      <c r="C14170" s="82"/>
    </row>
    <row r="14171" spans="1:3" x14ac:dyDescent="0.2">
      <c r="A14171" s="82"/>
      <c r="B14171" s="82"/>
      <c r="C14171" s="82"/>
    </row>
    <row r="14172" spans="1:3" x14ac:dyDescent="0.2">
      <c r="A14172" s="82"/>
      <c r="B14172" s="82"/>
      <c r="C14172" s="82"/>
    </row>
    <row r="14173" spans="1:3" x14ac:dyDescent="0.2">
      <c r="A14173" s="82"/>
      <c r="B14173" s="82"/>
      <c r="C14173" s="82"/>
    </row>
    <row r="14174" spans="1:3" x14ac:dyDescent="0.2">
      <c r="A14174" s="82"/>
      <c r="B14174" s="82"/>
      <c r="C14174" s="82"/>
    </row>
    <row r="14175" spans="1:3" x14ac:dyDescent="0.2">
      <c r="A14175" s="82"/>
      <c r="B14175" s="82"/>
      <c r="C14175" s="82"/>
    </row>
    <row r="14176" spans="1:3" x14ac:dyDescent="0.2">
      <c r="A14176" s="82"/>
      <c r="B14176" s="82"/>
      <c r="C14176" s="82"/>
    </row>
    <row r="14177" spans="1:3" x14ac:dyDescent="0.2">
      <c r="A14177" s="82"/>
      <c r="B14177" s="82"/>
      <c r="C14177" s="82"/>
    </row>
    <row r="14178" spans="1:3" x14ac:dyDescent="0.2">
      <c r="A14178" s="82"/>
      <c r="B14178" s="82"/>
      <c r="C14178" s="82"/>
    </row>
    <row r="14179" spans="1:3" x14ac:dyDescent="0.2">
      <c r="A14179" s="82"/>
      <c r="B14179" s="82"/>
      <c r="C14179" s="82"/>
    </row>
    <row r="14180" spans="1:3" x14ac:dyDescent="0.2">
      <c r="A14180" s="82"/>
      <c r="B14180" s="82"/>
      <c r="C14180" s="82"/>
    </row>
    <row r="14181" spans="1:3" x14ac:dyDescent="0.2">
      <c r="A14181" s="82"/>
      <c r="B14181" s="82"/>
      <c r="C14181" s="82"/>
    </row>
    <row r="14182" spans="1:3" x14ac:dyDescent="0.2">
      <c r="A14182" s="82"/>
      <c r="B14182" s="82"/>
      <c r="C14182" s="82"/>
    </row>
    <row r="14183" spans="1:3" x14ac:dyDescent="0.2">
      <c r="A14183" s="82"/>
      <c r="B14183" s="82"/>
      <c r="C14183" s="82"/>
    </row>
    <row r="14184" spans="1:3" x14ac:dyDescent="0.2">
      <c r="A14184" s="82"/>
      <c r="B14184" s="82"/>
      <c r="C14184" s="82"/>
    </row>
    <row r="14185" spans="1:3" x14ac:dyDescent="0.2">
      <c r="A14185" s="82"/>
      <c r="B14185" s="82"/>
      <c r="C14185" s="82"/>
    </row>
    <row r="14186" spans="1:3" x14ac:dyDescent="0.2">
      <c r="A14186" s="82"/>
      <c r="B14186" s="82"/>
      <c r="C14186" s="82"/>
    </row>
    <row r="14187" spans="1:3" x14ac:dyDescent="0.2">
      <c r="A14187" s="82"/>
      <c r="B14187" s="82"/>
      <c r="C14187" s="82"/>
    </row>
    <row r="14188" spans="1:3" x14ac:dyDescent="0.2">
      <c r="A14188" s="82"/>
      <c r="B14188" s="82"/>
      <c r="C14188" s="82"/>
    </row>
    <row r="14189" spans="1:3" x14ac:dyDescent="0.2">
      <c r="A14189" s="82"/>
      <c r="B14189" s="82"/>
      <c r="C14189" s="82"/>
    </row>
    <row r="14190" spans="1:3" x14ac:dyDescent="0.2">
      <c r="A14190" s="82"/>
      <c r="B14190" s="82"/>
      <c r="C14190" s="82"/>
    </row>
    <row r="14191" spans="1:3" x14ac:dyDescent="0.2">
      <c r="A14191" s="82"/>
      <c r="B14191" s="82"/>
      <c r="C14191" s="82"/>
    </row>
    <row r="14192" spans="1:3" x14ac:dyDescent="0.2">
      <c r="A14192" s="82"/>
      <c r="B14192" s="82"/>
      <c r="C14192" s="82"/>
    </row>
    <row r="14193" spans="1:3" x14ac:dyDescent="0.2">
      <c r="A14193" s="82"/>
      <c r="B14193" s="82"/>
      <c r="C14193" s="82"/>
    </row>
    <row r="14194" spans="1:3" x14ac:dyDescent="0.2">
      <c r="A14194" s="82"/>
      <c r="B14194" s="82"/>
      <c r="C14194" s="82"/>
    </row>
    <row r="14195" spans="1:3" x14ac:dyDescent="0.2">
      <c r="A14195" s="82"/>
      <c r="B14195" s="82"/>
      <c r="C14195" s="82"/>
    </row>
    <row r="14196" spans="1:3" x14ac:dyDescent="0.2">
      <c r="A14196" s="82"/>
      <c r="B14196" s="82"/>
      <c r="C14196" s="82"/>
    </row>
    <row r="14197" spans="1:3" x14ac:dyDescent="0.2">
      <c r="A14197" s="82"/>
      <c r="B14197" s="82"/>
      <c r="C14197" s="82"/>
    </row>
    <row r="14198" spans="1:3" x14ac:dyDescent="0.2">
      <c r="A14198" s="82"/>
      <c r="B14198" s="82"/>
      <c r="C14198" s="82"/>
    </row>
    <row r="14199" spans="1:3" x14ac:dyDescent="0.2">
      <c r="A14199" s="82"/>
      <c r="B14199" s="82"/>
      <c r="C14199" s="82"/>
    </row>
    <row r="14200" spans="1:3" x14ac:dyDescent="0.2">
      <c r="A14200" s="82"/>
      <c r="B14200" s="82"/>
      <c r="C14200" s="82"/>
    </row>
    <row r="14201" spans="1:3" x14ac:dyDescent="0.2">
      <c r="A14201" s="82"/>
      <c r="B14201" s="82"/>
      <c r="C14201" s="82"/>
    </row>
    <row r="14202" spans="1:3" x14ac:dyDescent="0.2">
      <c r="A14202" s="82"/>
      <c r="B14202" s="82"/>
      <c r="C14202" s="82"/>
    </row>
    <row r="14203" spans="1:3" x14ac:dyDescent="0.2">
      <c r="A14203" s="82"/>
      <c r="B14203" s="82"/>
      <c r="C14203" s="82"/>
    </row>
    <row r="14204" spans="1:3" x14ac:dyDescent="0.2">
      <c r="A14204" s="82"/>
      <c r="B14204" s="82"/>
      <c r="C14204" s="82"/>
    </row>
    <row r="14205" spans="1:3" x14ac:dyDescent="0.2">
      <c r="A14205" s="82"/>
      <c r="B14205" s="82"/>
      <c r="C14205" s="82"/>
    </row>
    <row r="14206" spans="1:3" x14ac:dyDescent="0.2">
      <c r="A14206" s="82"/>
      <c r="B14206" s="82"/>
      <c r="C14206" s="82"/>
    </row>
    <row r="14207" spans="1:3" x14ac:dyDescent="0.2">
      <c r="A14207" s="82"/>
      <c r="B14207" s="82"/>
      <c r="C14207" s="82"/>
    </row>
    <row r="14208" spans="1:3" x14ac:dyDescent="0.2">
      <c r="A14208" s="82"/>
      <c r="B14208" s="82"/>
      <c r="C14208" s="82"/>
    </row>
    <row r="14209" spans="1:3" x14ac:dyDescent="0.2">
      <c r="A14209" s="82"/>
      <c r="B14209" s="82"/>
      <c r="C14209" s="82"/>
    </row>
    <row r="14210" spans="1:3" x14ac:dyDescent="0.2">
      <c r="A14210" s="82"/>
      <c r="B14210" s="82"/>
      <c r="C14210" s="82"/>
    </row>
    <row r="14211" spans="1:3" x14ac:dyDescent="0.2">
      <c r="A14211" s="82"/>
      <c r="B14211" s="82"/>
      <c r="C14211" s="82"/>
    </row>
    <row r="14212" spans="1:3" x14ac:dyDescent="0.2">
      <c r="A14212" s="82"/>
      <c r="B14212" s="82"/>
      <c r="C14212" s="82"/>
    </row>
    <row r="14213" spans="1:3" x14ac:dyDescent="0.2">
      <c r="A14213" s="82"/>
      <c r="B14213" s="82"/>
      <c r="C14213" s="82"/>
    </row>
    <row r="14214" spans="1:3" x14ac:dyDescent="0.2">
      <c r="A14214" s="82"/>
      <c r="B14214" s="82"/>
      <c r="C14214" s="82"/>
    </row>
    <row r="14215" spans="1:3" x14ac:dyDescent="0.2">
      <c r="A14215" s="82"/>
      <c r="B14215" s="82"/>
      <c r="C14215" s="82"/>
    </row>
    <row r="14216" spans="1:3" x14ac:dyDescent="0.2">
      <c r="A14216" s="82"/>
      <c r="B14216" s="82"/>
      <c r="C14216" s="82"/>
    </row>
    <row r="14217" spans="1:3" x14ac:dyDescent="0.2">
      <c r="A14217" s="82"/>
      <c r="B14217" s="82"/>
      <c r="C14217" s="82"/>
    </row>
    <row r="14218" spans="1:3" x14ac:dyDescent="0.2">
      <c r="A14218" s="82"/>
      <c r="B14218" s="82"/>
      <c r="C14218" s="82"/>
    </row>
    <row r="14219" spans="1:3" x14ac:dyDescent="0.2">
      <c r="A14219" s="82"/>
      <c r="B14219" s="82"/>
      <c r="C14219" s="82"/>
    </row>
    <row r="14220" spans="1:3" x14ac:dyDescent="0.2">
      <c r="A14220" s="82"/>
      <c r="B14220" s="82"/>
      <c r="C14220" s="82"/>
    </row>
    <row r="14221" spans="1:3" x14ac:dyDescent="0.2">
      <c r="A14221" s="82"/>
      <c r="B14221" s="82"/>
      <c r="C14221" s="82"/>
    </row>
    <row r="14222" spans="1:3" x14ac:dyDescent="0.2">
      <c r="A14222" s="82"/>
      <c r="B14222" s="82"/>
      <c r="C14222" s="82"/>
    </row>
    <row r="14223" spans="1:3" x14ac:dyDescent="0.2">
      <c r="A14223" s="82"/>
      <c r="B14223" s="82"/>
      <c r="C14223" s="82"/>
    </row>
    <row r="14224" spans="1:3" x14ac:dyDescent="0.2">
      <c r="A14224" s="82"/>
      <c r="B14224" s="82"/>
      <c r="C14224" s="82"/>
    </row>
    <row r="14225" spans="1:3" x14ac:dyDescent="0.2">
      <c r="A14225" s="82"/>
      <c r="B14225" s="82"/>
      <c r="C14225" s="82"/>
    </row>
    <row r="14226" spans="1:3" x14ac:dyDescent="0.2">
      <c r="A14226" s="82"/>
      <c r="B14226" s="82"/>
      <c r="C14226" s="82"/>
    </row>
    <row r="14227" spans="1:3" x14ac:dyDescent="0.2">
      <c r="A14227" s="82"/>
      <c r="B14227" s="82"/>
      <c r="C14227" s="82"/>
    </row>
    <row r="14228" spans="1:3" x14ac:dyDescent="0.2">
      <c r="A14228" s="82"/>
      <c r="B14228" s="82"/>
      <c r="C14228" s="82"/>
    </row>
    <row r="14229" spans="1:3" x14ac:dyDescent="0.2">
      <c r="A14229" s="82"/>
      <c r="B14229" s="82"/>
      <c r="C14229" s="82"/>
    </row>
    <row r="14230" spans="1:3" x14ac:dyDescent="0.2">
      <c r="A14230" s="82"/>
      <c r="B14230" s="82"/>
      <c r="C14230" s="82"/>
    </row>
    <row r="14231" spans="1:3" x14ac:dyDescent="0.2">
      <c r="A14231" s="82"/>
      <c r="B14231" s="82"/>
      <c r="C14231" s="82"/>
    </row>
    <row r="14232" spans="1:3" x14ac:dyDescent="0.2">
      <c r="A14232" s="82"/>
      <c r="B14232" s="82"/>
      <c r="C14232" s="82"/>
    </row>
    <row r="14233" spans="1:3" x14ac:dyDescent="0.2">
      <c r="A14233" s="82"/>
      <c r="B14233" s="82"/>
      <c r="C14233" s="82"/>
    </row>
    <row r="14234" spans="1:3" x14ac:dyDescent="0.2">
      <c r="A14234" s="82"/>
      <c r="B14234" s="82"/>
      <c r="C14234" s="82"/>
    </row>
    <row r="14235" spans="1:3" x14ac:dyDescent="0.2">
      <c r="A14235" s="82"/>
      <c r="B14235" s="82"/>
      <c r="C14235" s="82"/>
    </row>
    <row r="14236" spans="1:3" x14ac:dyDescent="0.2">
      <c r="A14236" s="82"/>
      <c r="B14236" s="82"/>
      <c r="C14236" s="82"/>
    </row>
    <row r="14237" spans="1:3" x14ac:dyDescent="0.2">
      <c r="A14237" s="82"/>
      <c r="B14237" s="82"/>
      <c r="C14237" s="82"/>
    </row>
    <row r="14238" spans="1:3" x14ac:dyDescent="0.2">
      <c r="A14238" s="82"/>
      <c r="B14238" s="82"/>
      <c r="C14238" s="82"/>
    </row>
    <row r="14239" spans="1:3" x14ac:dyDescent="0.2">
      <c r="A14239" s="82"/>
      <c r="B14239" s="82"/>
      <c r="C14239" s="82"/>
    </row>
    <row r="14240" spans="1:3" x14ac:dyDescent="0.2">
      <c r="A14240" s="82"/>
      <c r="B14240" s="82"/>
      <c r="C14240" s="82"/>
    </row>
    <row r="14241" spans="1:3" x14ac:dyDescent="0.2">
      <c r="A14241" s="82"/>
      <c r="B14241" s="82"/>
      <c r="C14241" s="82"/>
    </row>
    <row r="14242" spans="1:3" x14ac:dyDescent="0.2">
      <c r="A14242" s="82"/>
      <c r="B14242" s="82"/>
      <c r="C14242" s="82"/>
    </row>
    <row r="14243" spans="1:3" x14ac:dyDescent="0.2">
      <c r="A14243" s="82"/>
      <c r="B14243" s="82"/>
      <c r="C14243" s="82"/>
    </row>
    <row r="14244" spans="1:3" x14ac:dyDescent="0.2">
      <c r="A14244" s="82"/>
      <c r="B14244" s="82"/>
      <c r="C14244" s="82"/>
    </row>
    <row r="14245" spans="1:3" x14ac:dyDescent="0.2">
      <c r="A14245" s="82"/>
      <c r="B14245" s="82"/>
      <c r="C14245" s="82"/>
    </row>
    <row r="14246" spans="1:3" x14ac:dyDescent="0.2">
      <c r="A14246" s="82"/>
      <c r="B14246" s="82"/>
      <c r="C14246" s="82"/>
    </row>
    <row r="14247" spans="1:3" x14ac:dyDescent="0.2">
      <c r="A14247" s="82"/>
      <c r="B14247" s="82"/>
      <c r="C14247" s="82"/>
    </row>
    <row r="14248" spans="1:3" x14ac:dyDescent="0.2">
      <c r="A14248" s="82"/>
      <c r="B14248" s="82"/>
      <c r="C14248" s="82"/>
    </row>
    <row r="14249" spans="1:3" x14ac:dyDescent="0.2">
      <c r="A14249" s="82"/>
      <c r="B14249" s="82"/>
      <c r="C14249" s="82"/>
    </row>
    <row r="14250" spans="1:3" x14ac:dyDescent="0.2">
      <c r="A14250" s="82"/>
      <c r="B14250" s="82"/>
      <c r="C14250" s="82"/>
    </row>
    <row r="14251" spans="1:3" x14ac:dyDescent="0.2">
      <c r="A14251" s="82"/>
      <c r="B14251" s="82"/>
      <c r="C14251" s="82"/>
    </row>
    <row r="14252" spans="1:3" x14ac:dyDescent="0.2">
      <c r="A14252" s="82"/>
      <c r="B14252" s="82"/>
      <c r="C14252" s="82"/>
    </row>
    <row r="14253" spans="1:3" x14ac:dyDescent="0.2">
      <c r="A14253" s="82"/>
      <c r="B14253" s="82"/>
      <c r="C14253" s="82"/>
    </row>
    <row r="14254" spans="1:3" x14ac:dyDescent="0.2">
      <c r="A14254" s="82"/>
      <c r="B14254" s="82"/>
      <c r="C14254" s="82"/>
    </row>
    <row r="14255" spans="1:3" x14ac:dyDescent="0.2">
      <c r="A14255" s="82"/>
      <c r="B14255" s="82"/>
      <c r="C14255" s="82"/>
    </row>
    <row r="14256" spans="1:3" x14ac:dyDescent="0.2">
      <c r="A14256" s="82"/>
      <c r="B14256" s="82"/>
      <c r="C14256" s="82"/>
    </row>
    <row r="14257" spans="1:3" x14ac:dyDescent="0.2">
      <c r="A14257" s="82"/>
      <c r="B14257" s="82"/>
      <c r="C14257" s="82"/>
    </row>
    <row r="14258" spans="1:3" x14ac:dyDescent="0.2">
      <c r="A14258" s="82"/>
      <c r="B14258" s="82"/>
      <c r="C14258" s="82"/>
    </row>
    <row r="14259" spans="1:3" x14ac:dyDescent="0.2">
      <c r="A14259" s="82"/>
      <c r="B14259" s="82"/>
      <c r="C14259" s="82"/>
    </row>
    <row r="14260" spans="1:3" x14ac:dyDescent="0.2">
      <c r="A14260" s="82"/>
      <c r="B14260" s="82"/>
      <c r="C14260" s="82"/>
    </row>
    <row r="14261" spans="1:3" x14ac:dyDescent="0.2">
      <c r="A14261" s="82"/>
      <c r="B14261" s="82"/>
      <c r="C14261" s="82"/>
    </row>
    <row r="14262" spans="1:3" x14ac:dyDescent="0.2">
      <c r="A14262" s="82"/>
      <c r="B14262" s="82"/>
      <c r="C14262" s="82"/>
    </row>
    <row r="14263" spans="1:3" x14ac:dyDescent="0.2">
      <c r="A14263" s="82"/>
      <c r="B14263" s="82"/>
      <c r="C14263" s="82"/>
    </row>
    <row r="14264" spans="1:3" x14ac:dyDescent="0.2">
      <c r="A14264" s="82"/>
      <c r="B14264" s="82"/>
      <c r="C14264" s="82"/>
    </row>
    <row r="14265" spans="1:3" x14ac:dyDescent="0.2">
      <c r="A14265" s="82"/>
      <c r="B14265" s="82"/>
      <c r="C14265" s="82"/>
    </row>
    <row r="14266" spans="1:3" x14ac:dyDescent="0.2">
      <c r="A14266" s="82"/>
      <c r="B14266" s="82"/>
      <c r="C14266" s="82"/>
    </row>
    <row r="14267" spans="1:3" x14ac:dyDescent="0.2">
      <c r="A14267" s="82"/>
      <c r="B14267" s="82"/>
      <c r="C14267" s="82"/>
    </row>
    <row r="14268" spans="1:3" x14ac:dyDescent="0.2">
      <c r="A14268" s="82"/>
      <c r="B14268" s="82"/>
      <c r="C14268" s="82"/>
    </row>
    <row r="14269" spans="1:3" x14ac:dyDescent="0.2">
      <c r="A14269" s="82"/>
      <c r="B14269" s="82"/>
      <c r="C14269" s="82"/>
    </row>
    <row r="14270" spans="1:3" x14ac:dyDescent="0.2">
      <c r="A14270" s="82"/>
      <c r="B14270" s="82"/>
      <c r="C14270" s="82"/>
    </row>
    <row r="14271" spans="1:3" x14ac:dyDescent="0.2">
      <c r="A14271" s="82"/>
      <c r="B14271" s="82"/>
      <c r="C14271" s="82"/>
    </row>
    <row r="14272" spans="1:3" x14ac:dyDescent="0.2">
      <c r="A14272" s="82"/>
      <c r="B14272" s="82"/>
      <c r="C14272" s="82"/>
    </row>
    <row r="14273" spans="1:3" x14ac:dyDescent="0.2">
      <c r="A14273" s="82"/>
      <c r="B14273" s="82"/>
      <c r="C14273" s="82"/>
    </row>
    <row r="14274" spans="1:3" x14ac:dyDescent="0.2">
      <c r="A14274" s="82"/>
      <c r="B14274" s="82"/>
      <c r="C14274" s="82"/>
    </row>
    <row r="14275" spans="1:3" x14ac:dyDescent="0.2">
      <c r="A14275" s="82"/>
      <c r="B14275" s="82"/>
      <c r="C14275" s="82"/>
    </row>
    <row r="14276" spans="1:3" x14ac:dyDescent="0.2">
      <c r="A14276" s="82"/>
      <c r="B14276" s="82"/>
      <c r="C14276" s="82"/>
    </row>
    <row r="14277" spans="1:3" x14ac:dyDescent="0.2">
      <c r="A14277" s="82"/>
      <c r="B14277" s="82"/>
      <c r="C14277" s="82"/>
    </row>
    <row r="14278" spans="1:3" x14ac:dyDescent="0.2">
      <c r="A14278" s="82"/>
      <c r="B14278" s="82"/>
      <c r="C14278" s="82"/>
    </row>
    <row r="14279" spans="1:3" x14ac:dyDescent="0.2">
      <c r="A14279" s="82"/>
      <c r="B14279" s="82"/>
      <c r="C14279" s="82"/>
    </row>
    <row r="14280" spans="1:3" x14ac:dyDescent="0.2">
      <c r="A14280" s="82"/>
      <c r="B14280" s="82"/>
      <c r="C14280" s="82"/>
    </row>
    <row r="14281" spans="1:3" x14ac:dyDescent="0.2">
      <c r="A14281" s="82"/>
      <c r="B14281" s="82"/>
      <c r="C14281" s="82"/>
    </row>
    <row r="14282" spans="1:3" x14ac:dyDescent="0.2">
      <c r="A14282" s="82"/>
      <c r="B14282" s="82"/>
      <c r="C14282" s="82"/>
    </row>
    <row r="14283" spans="1:3" x14ac:dyDescent="0.2">
      <c r="A14283" s="82"/>
      <c r="B14283" s="82"/>
      <c r="C14283" s="82"/>
    </row>
    <row r="14284" spans="1:3" x14ac:dyDescent="0.2">
      <c r="A14284" s="82"/>
      <c r="B14284" s="82"/>
      <c r="C14284" s="82"/>
    </row>
    <row r="14285" spans="1:3" x14ac:dyDescent="0.2">
      <c r="A14285" s="82"/>
      <c r="B14285" s="82"/>
      <c r="C14285" s="82"/>
    </row>
    <row r="14286" spans="1:3" x14ac:dyDescent="0.2">
      <c r="A14286" s="82"/>
      <c r="B14286" s="82"/>
      <c r="C14286" s="82"/>
    </row>
    <row r="14287" spans="1:3" x14ac:dyDescent="0.2">
      <c r="A14287" s="82"/>
      <c r="B14287" s="82"/>
      <c r="C14287" s="82"/>
    </row>
    <row r="14288" spans="1:3" x14ac:dyDescent="0.2">
      <c r="A14288" s="82"/>
      <c r="B14288" s="82"/>
      <c r="C14288" s="82"/>
    </row>
    <row r="14289" spans="1:3" x14ac:dyDescent="0.2">
      <c r="A14289" s="82"/>
      <c r="B14289" s="82"/>
      <c r="C14289" s="82"/>
    </row>
    <row r="14290" spans="1:3" x14ac:dyDescent="0.2">
      <c r="A14290" s="82"/>
      <c r="B14290" s="82"/>
      <c r="C14290" s="82"/>
    </row>
    <row r="14291" spans="1:3" x14ac:dyDescent="0.2">
      <c r="A14291" s="82"/>
      <c r="B14291" s="82"/>
      <c r="C14291" s="82"/>
    </row>
    <row r="14292" spans="1:3" x14ac:dyDescent="0.2">
      <c r="A14292" s="82"/>
      <c r="B14292" s="82"/>
      <c r="C14292" s="82"/>
    </row>
    <row r="14293" spans="1:3" x14ac:dyDescent="0.2">
      <c r="A14293" s="82"/>
      <c r="B14293" s="82"/>
      <c r="C14293" s="82"/>
    </row>
    <row r="14294" spans="1:3" x14ac:dyDescent="0.2">
      <c r="A14294" s="82"/>
      <c r="B14294" s="82"/>
      <c r="C14294" s="82"/>
    </row>
    <row r="14295" spans="1:3" x14ac:dyDescent="0.2">
      <c r="A14295" s="82"/>
      <c r="B14295" s="82"/>
      <c r="C14295" s="82"/>
    </row>
    <row r="14296" spans="1:3" x14ac:dyDescent="0.2">
      <c r="A14296" s="82"/>
      <c r="B14296" s="82"/>
      <c r="C14296" s="82"/>
    </row>
    <row r="14297" spans="1:3" x14ac:dyDescent="0.2">
      <c r="A14297" s="82"/>
      <c r="B14297" s="82"/>
      <c r="C14297" s="82"/>
    </row>
    <row r="14298" spans="1:3" x14ac:dyDescent="0.2">
      <c r="A14298" s="82"/>
      <c r="B14298" s="82"/>
      <c r="C14298" s="82"/>
    </row>
    <row r="14299" spans="1:3" x14ac:dyDescent="0.2">
      <c r="A14299" s="82"/>
      <c r="B14299" s="82"/>
      <c r="C14299" s="82"/>
    </row>
    <row r="14300" spans="1:3" x14ac:dyDescent="0.2">
      <c r="A14300" s="82"/>
      <c r="B14300" s="82"/>
      <c r="C14300" s="82"/>
    </row>
    <row r="14301" spans="1:3" x14ac:dyDescent="0.2">
      <c r="A14301" s="82"/>
      <c r="B14301" s="82"/>
      <c r="C14301" s="82"/>
    </row>
    <row r="14302" spans="1:3" x14ac:dyDescent="0.2">
      <c r="A14302" s="82"/>
      <c r="B14302" s="82"/>
      <c r="C14302" s="82"/>
    </row>
    <row r="14303" spans="1:3" x14ac:dyDescent="0.2">
      <c r="A14303" s="82"/>
      <c r="B14303" s="82"/>
      <c r="C14303" s="82"/>
    </row>
    <row r="14304" spans="1:3" x14ac:dyDescent="0.2">
      <c r="A14304" s="82"/>
      <c r="B14304" s="82"/>
      <c r="C14304" s="82"/>
    </row>
    <row r="14305" spans="1:3" x14ac:dyDescent="0.2">
      <c r="A14305" s="82"/>
      <c r="B14305" s="82"/>
      <c r="C14305" s="82"/>
    </row>
    <row r="14306" spans="1:3" x14ac:dyDescent="0.2">
      <c r="A14306" s="82"/>
      <c r="B14306" s="82"/>
      <c r="C14306" s="82"/>
    </row>
    <row r="14307" spans="1:3" x14ac:dyDescent="0.2">
      <c r="A14307" s="82"/>
      <c r="B14307" s="82"/>
      <c r="C14307" s="82"/>
    </row>
    <row r="14308" spans="1:3" x14ac:dyDescent="0.2">
      <c r="A14308" s="82"/>
      <c r="B14308" s="82"/>
      <c r="C14308" s="82"/>
    </row>
    <row r="14309" spans="1:3" x14ac:dyDescent="0.2">
      <c r="A14309" s="82"/>
      <c r="B14309" s="82"/>
      <c r="C14309" s="82"/>
    </row>
    <row r="14310" spans="1:3" x14ac:dyDescent="0.2">
      <c r="A14310" s="82"/>
      <c r="B14310" s="82"/>
      <c r="C14310" s="82"/>
    </row>
    <row r="14311" spans="1:3" x14ac:dyDescent="0.2">
      <c r="A14311" s="82"/>
      <c r="B14311" s="82"/>
      <c r="C14311" s="82"/>
    </row>
    <row r="14312" spans="1:3" x14ac:dyDescent="0.2">
      <c r="A14312" s="82"/>
      <c r="B14312" s="82"/>
      <c r="C14312" s="82"/>
    </row>
    <row r="14313" spans="1:3" x14ac:dyDescent="0.2">
      <c r="A14313" s="82"/>
      <c r="B14313" s="82"/>
      <c r="C14313" s="82"/>
    </row>
    <row r="14314" spans="1:3" x14ac:dyDescent="0.2">
      <c r="A14314" s="82"/>
      <c r="B14314" s="82"/>
      <c r="C14314" s="82"/>
    </row>
    <row r="14315" spans="1:3" x14ac:dyDescent="0.2">
      <c r="A14315" s="82"/>
      <c r="B14315" s="82"/>
      <c r="C14315" s="82"/>
    </row>
    <row r="14316" spans="1:3" x14ac:dyDescent="0.2">
      <c r="A14316" s="82"/>
      <c r="B14316" s="82"/>
      <c r="C14316" s="82"/>
    </row>
    <row r="14317" spans="1:3" x14ac:dyDescent="0.2">
      <c r="A14317" s="82"/>
      <c r="B14317" s="82"/>
      <c r="C14317" s="82"/>
    </row>
    <row r="14318" spans="1:3" x14ac:dyDescent="0.2">
      <c r="A14318" s="82"/>
      <c r="B14318" s="82"/>
      <c r="C14318" s="82"/>
    </row>
    <row r="14319" spans="1:3" x14ac:dyDescent="0.2">
      <c r="A14319" s="82"/>
      <c r="B14319" s="82"/>
      <c r="C14319" s="82"/>
    </row>
    <row r="14320" spans="1:3" x14ac:dyDescent="0.2">
      <c r="A14320" s="82"/>
      <c r="B14320" s="82"/>
      <c r="C14320" s="82"/>
    </row>
    <row r="14321" spans="1:3" x14ac:dyDescent="0.2">
      <c r="A14321" s="82"/>
      <c r="B14321" s="82"/>
      <c r="C14321" s="82"/>
    </row>
    <row r="14322" spans="1:3" x14ac:dyDescent="0.2">
      <c r="A14322" s="82"/>
      <c r="B14322" s="82"/>
      <c r="C14322" s="82"/>
    </row>
    <row r="14323" spans="1:3" x14ac:dyDescent="0.2">
      <c r="A14323" s="82"/>
      <c r="B14323" s="82"/>
      <c r="C14323" s="82"/>
    </row>
    <row r="14324" spans="1:3" x14ac:dyDescent="0.2">
      <c r="A14324" s="82"/>
      <c r="B14324" s="82"/>
      <c r="C14324" s="82"/>
    </row>
    <row r="14325" spans="1:3" x14ac:dyDescent="0.2">
      <c r="A14325" s="82"/>
      <c r="B14325" s="82"/>
      <c r="C14325" s="82"/>
    </row>
    <row r="14326" spans="1:3" x14ac:dyDescent="0.2">
      <c r="A14326" s="82"/>
      <c r="B14326" s="82"/>
      <c r="C14326" s="82"/>
    </row>
    <row r="14327" spans="1:3" x14ac:dyDescent="0.2">
      <c r="A14327" s="82"/>
      <c r="B14327" s="82"/>
      <c r="C14327" s="82"/>
    </row>
    <row r="14328" spans="1:3" x14ac:dyDescent="0.2">
      <c r="A14328" s="82"/>
      <c r="B14328" s="82"/>
      <c r="C14328" s="82"/>
    </row>
    <row r="14329" spans="1:3" x14ac:dyDescent="0.2">
      <c r="A14329" s="82"/>
      <c r="B14329" s="82"/>
      <c r="C14329" s="82"/>
    </row>
    <row r="14330" spans="1:3" x14ac:dyDescent="0.2">
      <c r="A14330" s="82"/>
      <c r="B14330" s="82"/>
      <c r="C14330" s="82"/>
    </row>
    <row r="14331" spans="1:3" x14ac:dyDescent="0.2">
      <c r="A14331" s="82"/>
      <c r="B14331" s="82"/>
      <c r="C14331" s="82"/>
    </row>
    <row r="14332" spans="1:3" x14ac:dyDescent="0.2">
      <c r="A14332" s="82"/>
      <c r="B14332" s="82"/>
      <c r="C14332" s="82"/>
    </row>
    <row r="14333" spans="1:3" x14ac:dyDescent="0.2">
      <c r="A14333" s="82"/>
      <c r="B14333" s="82"/>
      <c r="C14333" s="82"/>
    </row>
    <row r="14334" spans="1:3" x14ac:dyDescent="0.2">
      <c r="A14334" s="82"/>
      <c r="B14334" s="82"/>
      <c r="C14334" s="82"/>
    </row>
    <row r="14335" spans="1:3" x14ac:dyDescent="0.2">
      <c r="A14335" s="82"/>
      <c r="B14335" s="82"/>
      <c r="C14335" s="82"/>
    </row>
    <row r="14336" spans="1:3" x14ac:dyDescent="0.2">
      <c r="A14336" s="82"/>
      <c r="B14336" s="82"/>
      <c r="C14336" s="82"/>
    </row>
    <row r="14337" spans="1:3" x14ac:dyDescent="0.2">
      <c r="A14337" s="82"/>
      <c r="B14337" s="82"/>
      <c r="C14337" s="82"/>
    </row>
    <row r="14338" spans="1:3" x14ac:dyDescent="0.2">
      <c r="A14338" s="82"/>
      <c r="B14338" s="82"/>
      <c r="C14338" s="82"/>
    </row>
    <row r="14339" spans="1:3" x14ac:dyDescent="0.2">
      <c r="A14339" s="82"/>
      <c r="B14339" s="82"/>
      <c r="C14339" s="82"/>
    </row>
    <row r="14340" spans="1:3" x14ac:dyDescent="0.2">
      <c r="A14340" s="82"/>
      <c r="B14340" s="82"/>
      <c r="C14340" s="82"/>
    </row>
    <row r="14341" spans="1:3" x14ac:dyDescent="0.2">
      <c r="A14341" s="82"/>
      <c r="B14341" s="82"/>
      <c r="C14341" s="82"/>
    </row>
    <row r="14342" spans="1:3" x14ac:dyDescent="0.2">
      <c r="A14342" s="82"/>
      <c r="B14342" s="82"/>
      <c r="C14342" s="82"/>
    </row>
    <row r="14343" spans="1:3" x14ac:dyDescent="0.2">
      <c r="A14343" s="82"/>
      <c r="B14343" s="82"/>
      <c r="C14343" s="82"/>
    </row>
    <row r="14344" spans="1:3" x14ac:dyDescent="0.2">
      <c r="A14344" s="82"/>
      <c r="B14344" s="82"/>
      <c r="C14344" s="82"/>
    </row>
    <row r="14345" spans="1:3" x14ac:dyDescent="0.2">
      <c r="A14345" s="82"/>
      <c r="B14345" s="82"/>
      <c r="C14345" s="82"/>
    </row>
    <row r="14346" spans="1:3" x14ac:dyDescent="0.2">
      <c r="A14346" s="82"/>
      <c r="B14346" s="82"/>
      <c r="C14346" s="82"/>
    </row>
    <row r="14347" spans="1:3" x14ac:dyDescent="0.2">
      <c r="A14347" s="82"/>
      <c r="B14347" s="82"/>
      <c r="C14347" s="82"/>
    </row>
    <row r="14348" spans="1:3" x14ac:dyDescent="0.2">
      <c r="A14348" s="82"/>
      <c r="B14348" s="82"/>
      <c r="C14348" s="82"/>
    </row>
    <row r="14349" spans="1:3" x14ac:dyDescent="0.2">
      <c r="A14349" s="82"/>
      <c r="B14349" s="82"/>
      <c r="C14349" s="82"/>
    </row>
    <row r="14350" spans="1:3" x14ac:dyDescent="0.2">
      <c r="A14350" s="82"/>
      <c r="B14350" s="82"/>
      <c r="C14350" s="82"/>
    </row>
    <row r="14351" spans="1:3" x14ac:dyDescent="0.2">
      <c r="A14351" s="82"/>
      <c r="B14351" s="82"/>
      <c r="C14351" s="82"/>
    </row>
    <row r="14352" spans="1:3" x14ac:dyDescent="0.2">
      <c r="A14352" s="82"/>
      <c r="B14352" s="82"/>
      <c r="C14352" s="82"/>
    </row>
    <row r="14353" spans="1:3" x14ac:dyDescent="0.2">
      <c r="A14353" s="82"/>
      <c r="B14353" s="82"/>
      <c r="C14353" s="82"/>
    </row>
    <row r="14354" spans="1:3" x14ac:dyDescent="0.2">
      <c r="A14354" s="82"/>
      <c r="B14354" s="82"/>
      <c r="C14354" s="82"/>
    </row>
    <row r="14355" spans="1:3" x14ac:dyDescent="0.2">
      <c r="A14355" s="82"/>
      <c r="B14355" s="82"/>
      <c r="C14355" s="82"/>
    </row>
    <row r="14356" spans="1:3" x14ac:dyDescent="0.2">
      <c r="A14356" s="82"/>
      <c r="B14356" s="82"/>
      <c r="C14356" s="82"/>
    </row>
    <row r="14357" spans="1:3" x14ac:dyDescent="0.2">
      <c r="A14357" s="82"/>
      <c r="B14357" s="82"/>
      <c r="C14357" s="82"/>
    </row>
    <row r="14358" spans="1:3" x14ac:dyDescent="0.2">
      <c r="A14358" s="82"/>
      <c r="B14358" s="82"/>
      <c r="C14358" s="82"/>
    </row>
    <row r="14359" spans="1:3" x14ac:dyDescent="0.2">
      <c r="A14359" s="82"/>
      <c r="B14359" s="82"/>
      <c r="C14359" s="82"/>
    </row>
    <row r="14360" spans="1:3" x14ac:dyDescent="0.2">
      <c r="A14360" s="82"/>
      <c r="B14360" s="82"/>
      <c r="C14360" s="82"/>
    </row>
    <row r="14361" spans="1:3" x14ac:dyDescent="0.2">
      <c r="A14361" s="82"/>
      <c r="B14361" s="82"/>
      <c r="C14361" s="82"/>
    </row>
    <row r="14362" spans="1:3" x14ac:dyDescent="0.2">
      <c r="A14362" s="82"/>
      <c r="B14362" s="82"/>
      <c r="C14362" s="82"/>
    </row>
    <row r="14363" spans="1:3" x14ac:dyDescent="0.2">
      <c r="A14363" s="82"/>
      <c r="B14363" s="82"/>
      <c r="C14363" s="82"/>
    </row>
    <row r="14364" spans="1:3" x14ac:dyDescent="0.2">
      <c r="A14364" s="82"/>
      <c r="B14364" s="82"/>
      <c r="C14364" s="82"/>
    </row>
    <row r="14365" spans="1:3" x14ac:dyDescent="0.2">
      <c r="A14365" s="82"/>
      <c r="B14365" s="82"/>
      <c r="C14365" s="82"/>
    </row>
    <row r="14366" spans="1:3" x14ac:dyDescent="0.2">
      <c r="A14366" s="82"/>
      <c r="B14366" s="82"/>
      <c r="C14366" s="82"/>
    </row>
    <row r="14367" spans="1:3" x14ac:dyDescent="0.2">
      <c r="A14367" s="82"/>
      <c r="B14367" s="82"/>
      <c r="C14367" s="82"/>
    </row>
    <row r="14368" spans="1:3" x14ac:dyDescent="0.2">
      <c r="A14368" s="82"/>
      <c r="B14368" s="82"/>
      <c r="C14368" s="82"/>
    </row>
    <row r="14369" spans="1:3" x14ac:dyDescent="0.2">
      <c r="A14369" s="82"/>
      <c r="B14369" s="82"/>
      <c r="C14369" s="82"/>
    </row>
    <row r="14370" spans="1:3" x14ac:dyDescent="0.2">
      <c r="A14370" s="82"/>
      <c r="B14370" s="82"/>
      <c r="C14370" s="82"/>
    </row>
    <row r="14371" spans="1:3" x14ac:dyDescent="0.2">
      <c r="A14371" s="82"/>
      <c r="B14371" s="82"/>
      <c r="C14371" s="82"/>
    </row>
    <row r="14372" spans="1:3" x14ac:dyDescent="0.2">
      <c r="A14372" s="82"/>
      <c r="B14372" s="82"/>
      <c r="C14372" s="82"/>
    </row>
    <row r="14373" spans="1:3" x14ac:dyDescent="0.2">
      <c r="A14373" s="82"/>
      <c r="B14373" s="82"/>
      <c r="C14373" s="82"/>
    </row>
    <row r="14374" spans="1:3" x14ac:dyDescent="0.2">
      <c r="A14374" s="82"/>
      <c r="B14374" s="82"/>
      <c r="C14374" s="82"/>
    </row>
    <row r="14375" spans="1:3" x14ac:dyDescent="0.2">
      <c r="A14375" s="82"/>
      <c r="B14375" s="82"/>
      <c r="C14375" s="82"/>
    </row>
    <row r="14376" spans="1:3" x14ac:dyDescent="0.2">
      <c r="A14376" s="82"/>
      <c r="B14376" s="82"/>
      <c r="C14376" s="82"/>
    </row>
    <row r="14377" spans="1:3" x14ac:dyDescent="0.2">
      <c r="A14377" s="82"/>
      <c r="B14377" s="82"/>
      <c r="C14377" s="82"/>
    </row>
    <row r="14378" spans="1:3" x14ac:dyDescent="0.2">
      <c r="A14378" s="82"/>
      <c r="B14378" s="82"/>
      <c r="C14378" s="82"/>
    </row>
    <row r="14379" spans="1:3" x14ac:dyDescent="0.2">
      <c r="A14379" s="82"/>
      <c r="B14379" s="82"/>
      <c r="C14379" s="82"/>
    </row>
    <row r="14380" spans="1:3" x14ac:dyDescent="0.2">
      <c r="A14380" s="82"/>
      <c r="B14380" s="82"/>
      <c r="C14380" s="82"/>
    </row>
    <row r="14381" spans="1:3" x14ac:dyDescent="0.2">
      <c r="A14381" s="82"/>
      <c r="B14381" s="82"/>
      <c r="C14381" s="82"/>
    </row>
    <row r="14382" spans="1:3" x14ac:dyDescent="0.2">
      <c r="A14382" s="82"/>
      <c r="B14382" s="82"/>
      <c r="C14382" s="82"/>
    </row>
    <row r="14383" spans="1:3" x14ac:dyDescent="0.2">
      <c r="A14383" s="82"/>
      <c r="B14383" s="82"/>
      <c r="C14383" s="82"/>
    </row>
    <row r="14384" spans="1:3" x14ac:dyDescent="0.2">
      <c r="A14384" s="82"/>
      <c r="B14384" s="82"/>
      <c r="C14384" s="82"/>
    </row>
    <row r="14385" spans="1:3" x14ac:dyDescent="0.2">
      <c r="A14385" s="82"/>
      <c r="B14385" s="82"/>
      <c r="C14385" s="82"/>
    </row>
    <row r="14386" spans="1:3" x14ac:dyDescent="0.2">
      <c r="A14386" s="82"/>
      <c r="B14386" s="82"/>
      <c r="C14386" s="82"/>
    </row>
    <row r="14387" spans="1:3" x14ac:dyDescent="0.2">
      <c r="A14387" s="82"/>
      <c r="B14387" s="82"/>
      <c r="C14387" s="82"/>
    </row>
    <row r="14388" spans="1:3" x14ac:dyDescent="0.2">
      <c r="A14388" s="82"/>
      <c r="B14388" s="82"/>
      <c r="C14388" s="82"/>
    </row>
    <row r="14389" spans="1:3" x14ac:dyDescent="0.2">
      <c r="A14389" s="82"/>
      <c r="B14389" s="82"/>
      <c r="C14389" s="82"/>
    </row>
    <row r="14390" spans="1:3" x14ac:dyDescent="0.2">
      <c r="A14390" s="82"/>
      <c r="B14390" s="82"/>
      <c r="C14390" s="82"/>
    </row>
    <row r="14391" spans="1:3" x14ac:dyDescent="0.2">
      <c r="A14391" s="82"/>
      <c r="B14391" s="82"/>
      <c r="C14391" s="82"/>
    </row>
    <row r="14392" spans="1:3" x14ac:dyDescent="0.2">
      <c r="A14392" s="82"/>
      <c r="B14392" s="82"/>
      <c r="C14392" s="82"/>
    </row>
    <row r="14393" spans="1:3" x14ac:dyDescent="0.2">
      <c r="A14393" s="82"/>
      <c r="B14393" s="82"/>
      <c r="C14393" s="82"/>
    </row>
    <row r="14394" spans="1:3" x14ac:dyDescent="0.2">
      <c r="A14394" s="82"/>
      <c r="B14394" s="82"/>
      <c r="C14394" s="82"/>
    </row>
    <row r="14395" spans="1:3" x14ac:dyDescent="0.2">
      <c r="A14395" s="82"/>
      <c r="B14395" s="82"/>
      <c r="C14395" s="82"/>
    </row>
    <row r="14396" spans="1:3" x14ac:dyDescent="0.2">
      <c r="A14396" s="82"/>
      <c r="B14396" s="82"/>
      <c r="C14396" s="82"/>
    </row>
    <row r="14397" spans="1:3" x14ac:dyDescent="0.2">
      <c r="A14397" s="82"/>
      <c r="B14397" s="82"/>
      <c r="C14397" s="82"/>
    </row>
    <row r="14398" spans="1:3" x14ac:dyDescent="0.2">
      <c r="A14398" s="82"/>
      <c r="B14398" s="82"/>
      <c r="C14398" s="82"/>
    </row>
    <row r="14399" spans="1:3" x14ac:dyDescent="0.2">
      <c r="A14399" s="82"/>
      <c r="B14399" s="82"/>
      <c r="C14399" s="82"/>
    </row>
    <row r="14400" spans="1:3" x14ac:dyDescent="0.2">
      <c r="A14400" s="82"/>
      <c r="B14400" s="82"/>
      <c r="C14400" s="82"/>
    </row>
    <row r="14401" spans="1:3" x14ac:dyDescent="0.2">
      <c r="A14401" s="82"/>
      <c r="B14401" s="82"/>
      <c r="C14401" s="82"/>
    </row>
    <row r="14402" spans="1:3" x14ac:dyDescent="0.2">
      <c r="A14402" s="82"/>
      <c r="B14402" s="82"/>
      <c r="C14402" s="82"/>
    </row>
    <row r="14403" spans="1:3" x14ac:dyDescent="0.2">
      <c r="A14403" s="82"/>
      <c r="B14403" s="82"/>
      <c r="C14403" s="82"/>
    </row>
    <row r="14404" spans="1:3" x14ac:dyDescent="0.2">
      <c r="A14404" s="82"/>
      <c r="B14404" s="82"/>
      <c r="C14404" s="82"/>
    </row>
    <row r="14405" spans="1:3" x14ac:dyDescent="0.2">
      <c r="A14405" s="82"/>
      <c r="B14405" s="82"/>
      <c r="C14405" s="82"/>
    </row>
    <row r="14406" spans="1:3" x14ac:dyDescent="0.2">
      <c r="A14406" s="82"/>
      <c r="B14406" s="82"/>
      <c r="C14406" s="82"/>
    </row>
    <row r="14407" spans="1:3" x14ac:dyDescent="0.2">
      <c r="A14407" s="82"/>
      <c r="B14407" s="82"/>
      <c r="C14407" s="82"/>
    </row>
    <row r="14408" spans="1:3" x14ac:dyDescent="0.2">
      <c r="A14408" s="82"/>
      <c r="B14408" s="82"/>
      <c r="C14408" s="82"/>
    </row>
    <row r="14409" spans="1:3" x14ac:dyDescent="0.2">
      <c r="A14409" s="82"/>
      <c r="B14409" s="82"/>
      <c r="C14409" s="82"/>
    </row>
    <row r="14410" spans="1:3" x14ac:dyDescent="0.2">
      <c r="A14410" s="82"/>
      <c r="B14410" s="82"/>
      <c r="C14410" s="82"/>
    </row>
    <row r="14411" spans="1:3" x14ac:dyDescent="0.2">
      <c r="A14411" s="82"/>
      <c r="B14411" s="82"/>
      <c r="C14411" s="82"/>
    </row>
    <row r="14412" spans="1:3" x14ac:dyDescent="0.2">
      <c r="A14412" s="82"/>
      <c r="B14412" s="82"/>
      <c r="C14412" s="82"/>
    </row>
    <row r="14413" spans="1:3" x14ac:dyDescent="0.2">
      <c r="A14413" s="82"/>
      <c r="B14413" s="82"/>
      <c r="C14413" s="82"/>
    </row>
    <row r="14414" spans="1:3" x14ac:dyDescent="0.2">
      <c r="A14414" s="82"/>
      <c r="B14414" s="82"/>
      <c r="C14414" s="82"/>
    </row>
    <row r="14415" spans="1:3" x14ac:dyDescent="0.2">
      <c r="A14415" s="82"/>
      <c r="B14415" s="82"/>
      <c r="C14415" s="82"/>
    </row>
    <row r="14416" spans="1:3" x14ac:dyDescent="0.2">
      <c r="A14416" s="82"/>
      <c r="B14416" s="82"/>
      <c r="C14416" s="82"/>
    </row>
    <row r="14417" spans="1:3" x14ac:dyDescent="0.2">
      <c r="A14417" s="82"/>
      <c r="B14417" s="82"/>
      <c r="C14417" s="82"/>
    </row>
    <row r="14418" spans="1:3" x14ac:dyDescent="0.2">
      <c r="A14418" s="82"/>
      <c r="B14418" s="82"/>
      <c r="C14418" s="82"/>
    </row>
    <row r="14419" spans="1:3" x14ac:dyDescent="0.2">
      <c r="A14419" s="82"/>
      <c r="B14419" s="82"/>
      <c r="C14419" s="82"/>
    </row>
    <row r="14420" spans="1:3" x14ac:dyDescent="0.2">
      <c r="A14420" s="82"/>
      <c r="B14420" s="82"/>
      <c r="C14420" s="82"/>
    </row>
    <row r="14421" spans="1:3" x14ac:dyDescent="0.2">
      <c r="A14421" s="82"/>
      <c r="B14421" s="82"/>
      <c r="C14421" s="82"/>
    </row>
    <row r="14422" spans="1:3" x14ac:dyDescent="0.2">
      <c r="A14422" s="82"/>
      <c r="B14422" s="82"/>
      <c r="C14422" s="82"/>
    </row>
    <row r="14423" spans="1:3" x14ac:dyDescent="0.2">
      <c r="A14423" s="82"/>
      <c r="B14423" s="82"/>
      <c r="C14423" s="82"/>
    </row>
    <row r="14424" spans="1:3" x14ac:dyDescent="0.2">
      <c r="A14424" s="82"/>
      <c r="B14424" s="82"/>
      <c r="C14424" s="82"/>
    </row>
    <row r="14425" spans="1:3" x14ac:dyDescent="0.2">
      <c r="A14425" s="82"/>
      <c r="B14425" s="82"/>
      <c r="C14425" s="82"/>
    </row>
    <row r="14426" spans="1:3" x14ac:dyDescent="0.2">
      <c r="A14426" s="82"/>
      <c r="B14426" s="82"/>
      <c r="C14426" s="82"/>
    </row>
    <row r="14427" spans="1:3" x14ac:dyDescent="0.2">
      <c r="A14427" s="82"/>
      <c r="B14427" s="82"/>
      <c r="C14427" s="82"/>
    </row>
    <row r="14428" spans="1:3" x14ac:dyDescent="0.2">
      <c r="A14428" s="82"/>
      <c r="B14428" s="82"/>
      <c r="C14428" s="82"/>
    </row>
    <row r="14429" spans="1:3" x14ac:dyDescent="0.2">
      <c r="A14429" s="82"/>
      <c r="B14429" s="82"/>
      <c r="C14429" s="82"/>
    </row>
    <row r="14430" spans="1:3" x14ac:dyDescent="0.2">
      <c r="A14430" s="82"/>
      <c r="B14430" s="82"/>
      <c r="C14430" s="82"/>
    </row>
    <row r="14431" spans="1:3" x14ac:dyDescent="0.2">
      <c r="A14431" s="82"/>
      <c r="B14431" s="82"/>
      <c r="C14431" s="82"/>
    </row>
    <row r="14432" spans="1:3" x14ac:dyDescent="0.2">
      <c r="A14432" s="82"/>
      <c r="B14432" s="82"/>
      <c r="C14432" s="82"/>
    </row>
    <row r="14433" spans="1:3" x14ac:dyDescent="0.2">
      <c r="A14433" s="82"/>
      <c r="B14433" s="82"/>
      <c r="C14433" s="82"/>
    </row>
    <row r="14434" spans="1:3" x14ac:dyDescent="0.2">
      <c r="A14434" s="82"/>
      <c r="B14434" s="82"/>
      <c r="C14434" s="82"/>
    </row>
    <row r="14435" spans="1:3" x14ac:dyDescent="0.2">
      <c r="A14435" s="82"/>
      <c r="B14435" s="82"/>
      <c r="C14435" s="82"/>
    </row>
    <row r="14436" spans="1:3" x14ac:dyDescent="0.2">
      <c r="A14436" s="82"/>
      <c r="B14436" s="82"/>
      <c r="C14436" s="82"/>
    </row>
    <row r="14437" spans="1:3" x14ac:dyDescent="0.2">
      <c r="A14437" s="82"/>
      <c r="B14437" s="82"/>
      <c r="C14437" s="82"/>
    </row>
    <row r="14438" spans="1:3" x14ac:dyDescent="0.2">
      <c r="A14438" s="82"/>
      <c r="B14438" s="82"/>
      <c r="C14438" s="82"/>
    </row>
    <row r="14439" spans="1:3" x14ac:dyDescent="0.2">
      <c r="A14439" s="82"/>
      <c r="B14439" s="82"/>
      <c r="C14439" s="82"/>
    </row>
    <row r="14440" spans="1:3" x14ac:dyDescent="0.2">
      <c r="A14440" s="82"/>
      <c r="B14440" s="82"/>
      <c r="C14440" s="82"/>
    </row>
    <row r="14441" spans="1:3" x14ac:dyDescent="0.2">
      <c r="A14441" s="82"/>
      <c r="B14441" s="82"/>
      <c r="C14441" s="82"/>
    </row>
    <row r="14442" spans="1:3" x14ac:dyDescent="0.2">
      <c r="A14442" s="82"/>
      <c r="B14442" s="82"/>
      <c r="C14442" s="82"/>
    </row>
    <row r="14443" spans="1:3" x14ac:dyDescent="0.2">
      <c r="A14443" s="82"/>
      <c r="B14443" s="82"/>
      <c r="C14443" s="82"/>
    </row>
    <row r="14444" spans="1:3" x14ac:dyDescent="0.2">
      <c r="A14444" s="82"/>
      <c r="B14444" s="82"/>
      <c r="C14444" s="82"/>
    </row>
    <row r="14445" spans="1:3" x14ac:dyDescent="0.2">
      <c r="A14445" s="82"/>
      <c r="B14445" s="82"/>
      <c r="C14445" s="82"/>
    </row>
    <row r="14446" spans="1:3" x14ac:dyDescent="0.2">
      <c r="A14446" s="82"/>
      <c r="B14446" s="82"/>
      <c r="C14446" s="82"/>
    </row>
    <row r="14447" spans="1:3" x14ac:dyDescent="0.2">
      <c r="A14447" s="82"/>
      <c r="B14447" s="82"/>
      <c r="C14447" s="82"/>
    </row>
    <row r="14448" spans="1:3" x14ac:dyDescent="0.2">
      <c r="A14448" s="82"/>
      <c r="B14448" s="82"/>
      <c r="C14448" s="82"/>
    </row>
    <row r="14449" spans="1:3" x14ac:dyDescent="0.2">
      <c r="A14449" s="82"/>
      <c r="B14449" s="82"/>
      <c r="C14449" s="82"/>
    </row>
    <row r="14450" spans="1:3" x14ac:dyDescent="0.2">
      <c r="A14450" s="82"/>
      <c r="B14450" s="82"/>
      <c r="C14450" s="82"/>
    </row>
    <row r="14451" spans="1:3" x14ac:dyDescent="0.2">
      <c r="A14451" s="82"/>
      <c r="B14451" s="82"/>
      <c r="C14451" s="82"/>
    </row>
    <row r="14452" spans="1:3" x14ac:dyDescent="0.2">
      <c r="A14452" s="82"/>
      <c r="B14452" s="82"/>
      <c r="C14452" s="82"/>
    </row>
    <row r="14453" spans="1:3" x14ac:dyDescent="0.2">
      <c r="A14453" s="82"/>
      <c r="B14453" s="82"/>
      <c r="C14453" s="82"/>
    </row>
    <row r="14454" spans="1:3" x14ac:dyDescent="0.2">
      <c r="A14454" s="82"/>
      <c r="B14454" s="82"/>
      <c r="C14454" s="82"/>
    </row>
    <row r="14455" spans="1:3" x14ac:dyDescent="0.2">
      <c r="A14455" s="82"/>
      <c r="B14455" s="82"/>
      <c r="C14455" s="82"/>
    </row>
    <row r="14456" spans="1:3" x14ac:dyDescent="0.2">
      <c r="A14456" s="82"/>
      <c r="B14456" s="82"/>
      <c r="C14456" s="82"/>
    </row>
    <row r="14457" spans="1:3" x14ac:dyDescent="0.2">
      <c r="A14457" s="82"/>
      <c r="B14457" s="82"/>
      <c r="C14457" s="82"/>
    </row>
    <row r="14458" spans="1:3" x14ac:dyDescent="0.2">
      <c r="A14458" s="82"/>
      <c r="B14458" s="82"/>
      <c r="C14458" s="82"/>
    </row>
    <row r="14459" spans="1:3" x14ac:dyDescent="0.2">
      <c r="A14459" s="82"/>
      <c r="B14459" s="82"/>
      <c r="C14459" s="82"/>
    </row>
    <row r="14460" spans="1:3" x14ac:dyDescent="0.2">
      <c r="A14460" s="82"/>
      <c r="B14460" s="82"/>
      <c r="C14460" s="82"/>
    </row>
    <row r="14461" spans="1:3" x14ac:dyDescent="0.2">
      <c r="A14461" s="82"/>
      <c r="B14461" s="82"/>
      <c r="C14461" s="82"/>
    </row>
    <row r="14462" spans="1:3" x14ac:dyDescent="0.2">
      <c r="A14462" s="82"/>
      <c r="B14462" s="82"/>
      <c r="C14462" s="82"/>
    </row>
    <row r="14463" spans="1:3" x14ac:dyDescent="0.2">
      <c r="A14463" s="82"/>
      <c r="B14463" s="82"/>
      <c r="C14463" s="82"/>
    </row>
    <row r="14464" spans="1:3" x14ac:dyDescent="0.2">
      <c r="A14464" s="82"/>
      <c r="B14464" s="82"/>
      <c r="C14464" s="82"/>
    </row>
    <row r="14465" spans="1:3" x14ac:dyDescent="0.2">
      <c r="A14465" s="82"/>
      <c r="B14465" s="82"/>
      <c r="C14465" s="82"/>
    </row>
    <row r="14466" spans="1:3" x14ac:dyDescent="0.2">
      <c r="A14466" s="82"/>
      <c r="B14466" s="82"/>
      <c r="C14466" s="82"/>
    </row>
    <row r="14467" spans="1:3" x14ac:dyDescent="0.2">
      <c r="A14467" s="82"/>
      <c r="B14467" s="82"/>
      <c r="C14467" s="82"/>
    </row>
    <row r="14468" spans="1:3" x14ac:dyDescent="0.2">
      <c r="A14468" s="82"/>
      <c r="B14468" s="82"/>
      <c r="C14468" s="82"/>
    </row>
    <row r="14469" spans="1:3" x14ac:dyDescent="0.2">
      <c r="A14469" s="82"/>
      <c r="B14469" s="82"/>
      <c r="C14469" s="82"/>
    </row>
    <row r="14470" spans="1:3" x14ac:dyDescent="0.2">
      <c r="A14470" s="82"/>
      <c r="B14470" s="82"/>
      <c r="C14470" s="82"/>
    </row>
    <row r="14471" spans="1:3" x14ac:dyDescent="0.2">
      <c r="A14471" s="82"/>
      <c r="B14471" s="82"/>
      <c r="C14471" s="82"/>
    </row>
    <row r="14472" spans="1:3" x14ac:dyDescent="0.2">
      <c r="A14472" s="82"/>
      <c r="B14472" s="82"/>
      <c r="C14472" s="82"/>
    </row>
    <row r="14473" spans="1:3" x14ac:dyDescent="0.2">
      <c r="A14473" s="82"/>
      <c r="B14473" s="82"/>
      <c r="C14473" s="82"/>
    </row>
    <row r="14474" spans="1:3" x14ac:dyDescent="0.2">
      <c r="A14474" s="82"/>
      <c r="B14474" s="82"/>
      <c r="C14474" s="82"/>
    </row>
    <row r="14475" spans="1:3" x14ac:dyDescent="0.2">
      <c r="A14475" s="82"/>
      <c r="B14475" s="82"/>
      <c r="C14475" s="82"/>
    </row>
    <row r="14476" spans="1:3" x14ac:dyDescent="0.2">
      <c r="A14476" s="82"/>
      <c r="B14476" s="82"/>
      <c r="C14476" s="82"/>
    </row>
    <row r="14477" spans="1:3" x14ac:dyDescent="0.2">
      <c r="A14477" s="82"/>
      <c r="B14477" s="82"/>
      <c r="C14477" s="82"/>
    </row>
    <row r="14478" spans="1:3" x14ac:dyDescent="0.2">
      <c r="A14478" s="82"/>
      <c r="B14478" s="82"/>
      <c r="C14478" s="82"/>
    </row>
    <row r="14479" spans="1:3" x14ac:dyDescent="0.2">
      <c r="A14479" s="82"/>
      <c r="B14479" s="82"/>
      <c r="C14479" s="82"/>
    </row>
    <row r="14480" spans="1:3" x14ac:dyDescent="0.2">
      <c r="A14480" s="82"/>
      <c r="B14480" s="82"/>
      <c r="C14480" s="82"/>
    </row>
    <row r="14481" spans="1:3" x14ac:dyDescent="0.2">
      <c r="A14481" s="82"/>
      <c r="B14481" s="82"/>
      <c r="C14481" s="82"/>
    </row>
    <row r="14482" spans="1:3" x14ac:dyDescent="0.2">
      <c r="A14482" s="82"/>
      <c r="B14482" s="82"/>
      <c r="C14482" s="82"/>
    </row>
    <row r="14483" spans="1:3" x14ac:dyDescent="0.2">
      <c r="A14483" s="82"/>
      <c r="B14483" s="82"/>
      <c r="C14483" s="82"/>
    </row>
    <row r="14484" spans="1:3" x14ac:dyDescent="0.2">
      <c r="A14484" s="82"/>
      <c r="B14484" s="82"/>
      <c r="C14484" s="82"/>
    </row>
    <row r="14485" spans="1:3" x14ac:dyDescent="0.2">
      <c r="A14485" s="82"/>
      <c r="B14485" s="82"/>
      <c r="C14485" s="82"/>
    </row>
    <row r="14486" spans="1:3" x14ac:dyDescent="0.2">
      <c r="A14486" s="82"/>
      <c r="B14486" s="82"/>
      <c r="C14486" s="82"/>
    </row>
    <row r="14487" spans="1:3" x14ac:dyDescent="0.2">
      <c r="A14487" s="82"/>
      <c r="B14487" s="82"/>
      <c r="C14487" s="82"/>
    </row>
    <row r="14488" spans="1:3" x14ac:dyDescent="0.2">
      <c r="A14488" s="82"/>
      <c r="B14488" s="82"/>
      <c r="C14488" s="82"/>
    </row>
    <row r="14489" spans="1:3" x14ac:dyDescent="0.2">
      <c r="A14489" s="82"/>
      <c r="B14489" s="82"/>
      <c r="C14489" s="82"/>
    </row>
    <row r="14490" spans="1:3" x14ac:dyDescent="0.2">
      <c r="A14490" s="82"/>
      <c r="B14490" s="82"/>
      <c r="C14490" s="82"/>
    </row>
    <row r="14491" spans="1:3" x14ac:dyDescent="0.2">
      <c r="A14491" s="82"/>
      <c r="B14491" s="82"/>
      <c r="C14491" s="82"/>
    </row>
    <row r="14492" spans="1:3" x14ac:dyDescent="0.2">
      <c r="A14492" s="82"/>
      <c r="B14492" s="82"/>
      <c r="C14492" s="82"/>
    </row>
    <row r="14493" spans="1:3" x14ac:dyDescent="0.2">
      <c r="A14493" s="82"/>
      <c r="B14493" s="82"/>
      <c r="C14493" s="82"/>
    </row>
    <row r="14494" spans="1:3" x14ac:dyDescent="0.2">
      <c r="A14494" s="82"/>
      <c r="B14494" s="82"/>
      <c r="C14494" s="82"/>
    </row>
    <row r="14495" spans="1:3" x14ac:dyDescent="0.2">
      <c r="A14495" s="82"/>
      <c r="B14495" s="82"/>
      <c r="C14495" s="82"/>
    </row>
    <row r="14496" spans="1:3" x14ac:dyDescent="0.2">
      <c r="A14496" s="82"/>
      <c r="B14496" s="82"/>
      <c r="C14496" s="82"/>
    </row>
    <row r="14497" spans="1:3" x14ac:dyDescent="0.2">
      <c r="A14497" s="82"/>
      <c r="B14497" s="82"/>
      <c r="C14497" s="82"/>
    </row>
    <row r="14498" spans="1:3" x14ac:dyDescent="0.2">
      <c r="A14498" s="82"/>
      <c r="B14498" s="82"/>
      <c r="C14498" s="82"/>
    </row>
    <row r="14499" spans="1:3" x14ac:dyDescent="0.2">
      <c r="A14499" s="82"/>
      <c r="B14499" s="82"/>
      <c r="C14499" s="82"/>
    </row>
    <row r="14500" spans="1:3" x14ac:dyDescent="0.2">
      <c r="A14500" s="82"/>
      <c r="B14500" s="82"/>
      <c r="C14500" s="82"/>
    </row>
    <row r="14501" spans="1:3" x14ac:dyDescent="0.2">
      <c r="A14501" s="82"/>
      <c r="B14501" s="82"/>
      <c r="C14501" s="82"/>
    </row>
    <row r="14502" spans="1:3" x14ac:dyDescent="0.2">
      <c r="A14502" s="82"/>
      <c r="B14502" s="82"/>
      <c r="C14502" s="82"/>
    </row>
    <row r="14503" spans="1:3" x14ac:dyDescent="0.2">
      <c r="A14503" s="82"/>
      <c r="B14503" s="82"/>
      <c r="C14503" s="82"/>
    </row>
    <row r="14504" spans="1:3" x14ac:dyDescent="0.2">
      <c r="A14504" s="82"/>
      <c r="B14504" s="82"/>
      <c r="C14504" s="82"/>
    </row>
    <row r="14505" spans="1:3" x14ac:dyDescent="0.2">
      <c r="A14505" s="82"/>
      <c r="B14505" s="82"/>
      <c r="C14505" s="82"/>
    </row>
    <row r="14506" spans="1:3" x14ac:dyDescent="0.2">
      <c r="A14506" s="82"/>
      <c r="B14506" s="82"/>
      <c r="C14506" s="82"/>
    </row>
    <row r="14507" spans="1:3" x14ac:dyDescent="0.2">
      <c r="A14507" s="82"/>
      <c r="B14507" s="82"/>
      <c r="C14507" s="82"/>
    </row>
    <row r="14508" spans="1:3" x14ac:dyDescent="0.2">
      <c r="A14508" s="82"/>
      <c r="B14508" s="82"/>
      <c r="C14508" s="82"/>
    </row>
    <row r="14509" spans="1:3" x14ac:dyDescent="0.2">
      <c r="A14509" s="82"/>
      <c r="B14509" s="82"/>
      <c r="C14509" s="82"/>
    </row>
    <row r="14510" spans="1:3" x14ac:dyDescent="0.2">
      <c r="A14510" s="82"/>
      <c r="B14510" s="82"/>
      <c r="C14510" s="82"/>
    </row>
    <row r="14511" spans="1:3" x14ac:dyDescent="0.2">
      <c r="A14511" s="82"/>
      <c r="B14511" s="82"/>
      <c r="C14511" s="82"/>
    </row>
    <row r="14512" spans="1:3" x14ac:dyDescent="0.2">
      <c r="A14512" s="82"/>
      <c r="B14512" s="82"/>
      <c r="C14512" s="82"/>
    </row>
    <row r="14513" spans="1:3" x14ac:dyDescent="0.2">
      <c r="A14513" s="82"/>
      <c r="B14513" s="82"/>
      <c r="C14513" s="82"/>
    </row>
    <row r="14514" spans="1:3" x14ac:dyDescent="0.2">
      <c r="A14514" s="82"/>
      <c r="B14514" s="82"/>
      <c r="C14514" s="82"/>
    </row>
    <row r="14515" spans="1:3" x14ac:dyDescent="0.2">
      <c r="A14515" s="82"/>
      <c r="B14515" s="82"/>
      <c r="C14515" s="82"/>
    </row>
    <row r="14516" spans="1:3" x14ac:dyDescent="0.2">
      <c r="A14516" s="82"/>
      <c r="B14516" s="82"/>
      <c r="C14516" s="82"/>
    </row>
    <row r="14517" spans="1:3" x14ac:dyDescent="0.2">
      <c r="A14517" s="82"/>
      <c r="B14517" s="82"/>
      <c r="C14517" s="82"/>
    </row>
    <row r="14518" spans="1:3" x14ac:dyDescent="0.2">
      <c r="A14518" s="82"/>
      <c r="B14518" s="82"/>
      <c r="C14518" s="82"/>
    </row>
    <row r="14519" spans="1:3" x14ac:dyDescent="0.2">
      <c r="A14519" s="82"/>
      <c r="B14519" s="82"/>
      <c r="C14519" s="82"/>
    </row>
    <row r="14520" spans="1:3" x14ac:dyDescent="0.2">
      <c r="A14520" s="82"/>
      <c r="B14520" s="82"/>
      <c r="C14520" s="82"/>
    </row>
    <row r="14521" spans="1:3" x14ac:dyDescent="0.2">
      <c r="A14521" s="82"/>
      <c r="B14521" s="82"/>
      <c r="C14521" s="82"/>
    </row>
    <row r="14522" spans="1:3" x14ac:dyDescent="0.2">
      <c r="A14522" s="82"/>
      <c r="B14522" s="82"/>
      <c r="C14522" s="82"/>
    </row>
    <row r="14523" spans="1:3" x14ac:dyDescent="0.2">
      <c r="A14523" s="82"/>
      <c r="B14523" s="82"/>
      <c r="C14523" s="82"/>
    </row>
    <row r="14524" spans="1:3" x14ac:dyDescent="0.2">
      <c r="A14524" s="82"/>
      <c r="B14524" s="82"/>
      <c r="C14524" s="82"/>
    </row>
    <row r="14525" spans="1:3" x14ac:dyDescent="0.2">
      <c r="A14525" s="82"/>
      <c r="B14525" s="82"/>
      <c r="C14525" s="82"/>
    </row>
    <row r="14526" spans="1:3" x14ac:dyDescent="0.2">
      <c r="A14526" s="82"/>
      <c r="B14526" s="82"/>
      <c r="C14526" s="82"/>
    </row>
    <row r="14527" spans="1:3" x14ac:dyDescent="0.2">
      <c r="A14527" s="82"/>
      <c r="B14527" s="82"/>
      <c r="C14527" s="82"/>
    </row>
    <row r="14528" spans="1:3" x14ac:dyDescent="0.2">
      <c r="A14528" s="82"/>
      <c r="B14528" s="82"/>
      <c r="C14528" s="82"/>
    </row>
    <row r="14529" spans="1:3" x14ac:dyDescent="0.2">
      <c r="A14529" s="82"/>
      <c r="B14529" s="82"/>
      <c r="C14529" s="82"/>
    </row>
    <row r="14530" spans="1:3" x14ac:dyDescent="0.2">
      <c r="A14530" s="82"/>
      <c r="B14530" s="82"/>
      <c r="C14530" s="82"/>
    </row>
    <row r="14531" spans="1:3" x14ac:dyDescent="0.2">
      <c r="A14531" s="82"/>
      <c r="B14531" s="82"/>
      <c r="C14531" s="82"/>
    </row>
    <row r="14532" spans="1:3" x14ac:dyDescent="0.2">
      <c r="A14532" s="82"/>
      <c r="B14532" s="82"/>
      <c r="C14532" s="82"/>
    </row>
    <row r="14533" spans="1:3" x14ac:dyDescent="0.2">
      <c r="A14533" s="82"/>
      <c r="B14533" s="82"/>
      <c r="C14533" s="82"/>
    </row>
    <row r="14534" spans="1:3" x14ac:dyDescent="0.2">
      <c r="A14534" s="82"/>
      <c r="B14534" s="82"/>
      <c r="C14534" s="82"/>
    </row>
    <row r="14535" spans="1:3" x14ac:dyDescent="0.2">
      <c r="A14535" s="82"/>
      <c r="B14535" s="82"/>
      <c r="C14535" s="82"/>
    </row>
    <row r="14536" spans="1:3" x14ac:dyDescent="0.2">
      <c r="A14536" s="82"/>
      <c r="B14536" s="82"/>
      <c r="C14536" s="82"/>
    </row>
    <row r="14537" spans="1:3" x14ac:dyDescent="0.2">
      <c r="A14537" s="82"/>
      <c r="B14537" s="82"/>
      <c r="C14537" s="82"/>
    </row>
    <row r="14538" spans="1:3" x14ac:dyDescent="0.2">
      <c r="A14538" s="82"/>
      <c r="B14538" s="82"/>
      <c r="C14538" s="82"/>
    </row>
    <row r="14539" spans="1:3" x14ac:dyDescent="0.2">
      <c r="A14539" s="82"/>
      <c r="B14539" s="82"/>
      <c r="C14539" s="82"/>
    </row>
    <row r="14540" spans="1:3" x14ac:dyDescent="0.2">
      <c r="A14540" s="82"/>
      <c r="B14540" s="82"/>
      <c r="C14540" s="82"/>
    </row>
    <row r="14541" spans="1:3" x14ac:dyDescent="0.2">
      <c r="A14541" s="82"/>
      <c r="B14541" s="82"/>
      <c r="C14541" s="82"/>
    </row>
    <row r="14542" spans="1:3" x14ac:dyDescent="0.2">
      <c r="A14542" s="82"/>
      <c r="B14542" s="82"/>
      <c r="C14542" s="82"/>
    </row>
    <row r="14543" spans="1:3" x14ac:dyDescent="0.2">
      <c r="A14543" s="82"/>
      <c r="B14543" s="82"/>
      <c r="C14543" s="82"/>
    </row>
    <row r="14544" spans="1:3" x14ac:dyDescent="0.2">
      <c r="A14544" s="82"/>
      <c r="B14544" s="82"/>
      <c r="C14544" s="82"/>
    </row>
    <row r="14545" spans="1:3" x14ac:dyDescent="0.2">
      <c r="A14545" s="82"/>
      <c r="B14545" s="82"/>
      <c r="C14545" s="82"/>
    </row>
    <row r="14546" spans="1:3" x14ac:dyDescent="0.2">
      <c r="A14546" s="82"/>
      <c r="B14546" s="82"/>
      <c r="C14546" s="82"/>
    </row>
    <row r="14547" spans="1:3" x14ac:dyDescent="0.2">
      <c r="A14547" s="82"/>
      <c r="B14547" s="82"/>
      <c r="C14547" s="82"/>
    </row>
    <row r="14548" spans="1:3" x14ac:dyDescent="0.2">
      <c r="A14548" s="82"/>
      <c r="B14548" s="82"/>
      <c r="C14548" s="82"/>
    </row>
    <row r="14549" spans="1:3" x14ac:dyDescent="0.2">
      <c r="A14549" s="82"/>
      <c r="B14549" s="82"/>
      <c r="C14549" s="82"/>
    </row>
    <row r="14550" spans="1:3" x14ac:dyDescent="0.2">
      <c r="A14550" s="82"/>
      <c r="B14550" s="82"/>
      <c r="C14550" s="82"/>
    </row>
    <row r="14551" spans="1:3" x14ac:dyDescent="0.2">
      <c r="A14551" s="82"/>
      <c r="B14551" s="82"/>
      <c r="C14551" s="82"/>
    </row>
    <row r="14552" spans="1:3" x14ac:dyDescent="0.2">
      <c r="A14552" s="82"/>
      <c r="B14552" s="82"/>
      <c r="C14552" s="82"/>
    </row>
    <row r="14553" spans="1:3" x14ac:dyDescent="0.2">
      <c r="A14553" s="82"/>
      <c r="B14553" s="82"/>
      <c r="C14553" s="82"/>
    </row>
    <row r="14554" spans="1:3" x14ac:dyDescent="0.2">
      <c r="A14554" s="82"/>
      <c r="B14554" s="82"/>
      <c r="C14554" s="82"/>
    </row>
    <row r="14555" spans="1:3" x14ac:dyDescent="0.2">
      <c r="A14555" s="82"/>
      <c r="B14555" s="82"/>
      <c r="C14555" s="82"/>
    </row>
    <row r="14556" spans="1:3" x14ac:dyDescent="0.2">
      <c r="A14556" s="82"/>
      <c r="B14556" s="82"/>
      <c r="C14556" s="82"/>
    </row>
    <row r="14557" spans="1:3" x14ac:dyDescent="0.2">
      <c r="A14557" s="82"/>
      <c r="B14557" s="82"/>
      <c r="C14557" s="82"/>
    </row>
    <row r="14558" spans="1:3" x14ac:dyDescent="0.2">
      <c r="A14558" s="82"/>
      <c r="B14558" s="82"/>
      <c r="C14558" s="82"/>
    </row>
    <row r="14559" spans="1:3" x14ac:dyDescent="0.2">
      <c r="A14559" s="82"/>
      <c r="B14559" s="82"/>
      <c r="C14559" s="82"/>
    </row>
    <row r="14560" spans="1:3" x14ac:dyDescent="0.2">
      <c r="A14560" s="82"/>
      <c r="B14560" s="82"/>
      <c r="C14560" s="82"/>
    </row>
    <row r="14561" spans="1:3" x14ac:dyDescent="0.2">
      <c r="A14561" s="82"/>
      <c r="B14561" s="82"/>
      <c r="C14561" s="82"/>
    </row>
    <row r="14562" spans="1:3" x14ac:dyDescent="0.2">
      <c r="A14562" s="82"/>
      <c r="B14562" s="82"/>
      <c r="C14562" s="82"/>
    </row>
    <row r="14563" spans="1:3" x14ac:dyDescent="0.2">
      <c r="A14563" s="82"/>
      <c r="B14563" s="82"/>
      <c r="C14563" s="82"/>
    </row>
    <row r="14564" spans="1:3" x14ac:dyDescent="0.2">
      <c r="A14564" s="82"/>
      <c r="B14564" s="82"/>
      <c r="C14564" s="82"/>
    </row>
    <row r="14565" spans="1:3" x14ac:dyDescent="0.2">
      <c r="A14565" s="82"/>
      <c r="B14565" s="82"/>
      <c r="C14565" s="82"/>
    </row>
    <row r="14566" spans="1:3" x14ac:dyDescent="0.2">
      <c r="A14566" s="82"/>
      <c r="B14566" s="82"/>
      <c r="C14566" s="82"/>
    </row>
    <row r="14567" spans="1:3" x14ac:dyDescent="0.2">
      <c r="A14567" s="82"/>
      <c r="B14567" s="82"/>
      <c r="C14567" s="82"/>
    </row>
    <row r="14568" spans="1:3" x14ac:dyDescent="0.2">
      <c r="A14568" s="82"/>
      <c r="B14568" s="82"/>
      <c r="C14568" s="82"/>
    </row>
    <row r="14569" spans="1:3" x14ac:dyDescent="0.2">
      <c r="A14569" s="82"/>
      <c r="B14569" s="82"/>
      <c r="C14569" s="82"/>
    </row>
    <row r="14570" spans="1:3" x14ac:dyDescent="0.2">
      <c r="A14570" s="82"/>
      <c r="B14570" s="82"/>
      <c r="C14570" s="82"/>
    </row>
    <row r="14571" spans="1:3" x14ac:dyDescent="0.2">
      <c r="A14571" s="82"/>
      <c r="B14571" s="82"/>
      <c r="C14571" s="82"/>
    </row>
    <row r="14572" spans="1:3" x14ac:dyDescent="0.2">
      <c r="A14572" s="82"/>
      <c r="B14572" s="82"/>
      <c r="C14572" s="82"/>
    </row>
    <row r="14573" spans="1:3" x14ac:dyDescent="0.2">
      <c r="A14573" s="82"/>
      <c r="B14573" s="82"/>
      <c r="C14573" s="82"/>
    </row>
    <row r="14574" spans="1:3" x14ac:dyDescent="0.2">
      <c r="A14574" s="82"/>
      <c r="B14574" s="82"/>
      <c r="C14574" s="82"/>
    </row>
    <row r="14575" spans="1:3" x14ac:dyDescent="0.2">
      <c r="A14575" s="82"/>
      <c r="B14575" s="82"/>
      <c r="C14575" s="82"/>
    </row>
    <row r="14576" spans="1:3" x14ac:dyDescent="0.2">
      <c r="A14576" s="82"/>
      <c r="B14576" s="82"/>
      <c r="C14576" s="82"/>
    </row>
    <row r="14577" spans="1:3" x14ac:dyDescent="0.2">
      <c r="A14577" s="82"/>
      <c r="B14577" s="82"/>
      <c r="C14577" s="82"/>
    </row>
    <row r="14578" spans="1:3" x14ac:dyDescent="0.2">
      <c r="A14578" s="82"/>
      <c r="B14578" s="82"/>
      <c r="C14578" s="82"/>
    </row>
    <row r="14579" spans="1:3" x14ac:dyDescent="0.2">
      <c r="A14579" s="82"/>
      <c r="B14579" s="82"/>
      <c r="C14579" s="82"/>
    </row>
    <row r="14580" spans="1:3" x14ac:dyDescent="0.2">
      <c r="A14580" s="82"/>
      <c r="B14580" s="82"/>
      <c r="C14580" s="82"/>
    </row>
    <row r="14581" spans="1:3" x14ac:dyDescent="0.2">
      <c r="A14581" s="82"/>
      <c r="B14581" s="82"/>
      <c r="C14581" s="82"/>
    </row>
    <row r="14582" spans="1:3" x14ac:dyDescent="0.2">
      <c r="A14582" s="82"/>
      <c r="B14582" s="82"/>
      <c r="C14582" s="82"/>
    </row>
    <row r="14583" spans="1:3" x14ac:dyDescent="0.2">
      <c r="A14583" s="82"/>
      <c r="B14583" s="82"/>
      <c r="C14583" s="82"/>
    </row>
    <row r="14584" spans="1:3" x14ac:dyDescent="0.2">
      <c r="A14584" s="82"/>
      <c r="B14584" s="82"/>
      <c r="C14584" s="82"/>
    </row>
    <row r="14585" spans="1:3" x14ac:dyDescent="0.2">
      <c r="A14585" s="82"/>
      <c r="B14585" s="82"/>
      <c r="C14585" s="82"/>
    </row>
    <row r="14586" spans="1:3" x14ac:dyDescent="0.2">
      <c r="A14586" s="82"/>
      <c r="B14586" s="82"/>
      <c r="C14586" s="82"/>
    </row>
    <row r="14587" spans="1:3" x14ac:dyDescent="0.2">
      <c r="A14587" s="82"/>
      <c r="B14587" s="82"/>
      <c r="C14587" s="82"/>
    </row>
    <row r="14588" spans="1:3" x14ac:dyDescent="0.2">
      <c r="A14588" s="82"/>
      <c r="B14588" s="82"/>
      <c r="C14588" s="82"/>
    </row>
    <row r="14589" spans="1:3" x14ac:dyDescent="0.2">
      <c r="A14589" s="82"/>
      <c r="B14589" s="82"/>
      <c r="C14589" s="82"/>
    </row>
    <row r="14590" spans="1:3" x14ac:dyDescent="0.2">
      <c r="A14590" s="82"/>
      <c r="B14590" s="82"/>
      <c r="C14590" s="82"/>
    </row>
    <row r="14591" spans="1:3" x14ac:dyDescent="0.2">
      <c r="A14591" s="82"/>
      <c r="B14591" s="82"/>
      <c r="C14591" s="82"/>
    </row>
    <row r="14592" spans="1:3" x14ac:dyDescent="0.2">
      <c r="A14592" s="82"/>
      <c r="B14592" s="82"/>
      <c r="C14592" s="82"/>
    </row>
    <row r="14593" spans="1:3" x14ac:dyDescent="0.2">
      <c r="A14593" s="82"/>
      <c r="B14593" s="82"/>
      <c r="C14593" s="82"/>
    </row>
    <row r="14594" spans="1:3" x14ac:dyDescent="0.2">
      <c r="A14594" s="82"/>
      <c r="B14594" s="82"/>
      <c r="C14594" s="82"/>
    </row>
    <row r="14595" spans="1:3" x14ac:dyDescent="0.2">
      <c r="A14595" s="82"/>
      <c r="B14595" s="82"/>
      <c r="C14595" s="82"/>
    </row>
    <row r="14596" spans="1:3" x14ac:dyDescent="0.2">
      <c r="A14596" s="82"/>
      <c r="B14596" s="82"/>
      <c r="C14596" s="82"/>
    </row>
    <row r="14597" spans="1:3" x14ac:dyDescent="0.2">
      <c r="A14597" s="82"/>
      <c r="B14597" s="82"/>
      <c r="C14597" s="82"/>
    </row>
    <row r="14598" spans="1:3" x14ac:dyDescent="0.2">
      <c r="A14598" s="82"/>
      <c r="B14598" s="82"/>
      <c r="C14598" s="82"/>
    </row>
    <row r="14599" spans="1:3" x14ac:dyDescent="0.2">
      <c r="A14599" s="82"/>
      <c r="B14599" s="82"/>
      <c r="C14599" s="82"/>
    </row>
    <row r="14600" spans="1:3" x14ac:dyDescent="0.2">
      <c r="A14600" s="82"/>
      <c r="B14600" s="82"/>
      <c r="C14600" s="82"/>
    </row>
    <row r="14601" spans="1:3" x14ac:dyDescent="0.2">
      <c r="A14601" s="82"/>
      <c r="B14601" s="82"/>
      <c r="C14601" s="82"/>
    </row>
    <row r="14602" spans="1:3" x14ac:dyDescent="0.2">
      <c r="A14602" s="82"/>
      <c r="B14602" s="82"/>
      <c r="C14602" s="82"/>
    </row>
    <row r="14603" spans="1:3" x14ac:dyDescent="0.2">
      <c r="A14603" s="82"/>
      <c r="B14603" s="82"/>
      <c r="C14603" s="82"/>
    </row>
    <row r="14604" spans="1:3" x14ac:dyDescent="0.2">
      <c r="A14604" s="82"/>
      <c r="B14604" s="82"/>
      <c r="C14604" s="82"/>
    </row>
    <row r="14605" spans="1:3" x14ac:dyDescent="0.2">
      <c r="A14605" s="82"/>
      <c r="B14605" s="82"/>
      <c r="C14605" s="82"/>
    </row>
    <row r="14606" spans="1:3" x14ac:dyDescent="0.2">
      <c r="A14606" s="82"/>
      <c r="B14606" s="82"/>
      <c r="C14606" s="82"/>
    </row>
    <row r="14607" spans="1:3" x14ac:dyDescent="0.2">
      <c r="A14607" s="82"/>
      <c r="B14607" s="82"/>
      <c r="C14607" s="82"/>
    </row>
    <row r="14608" spans="1:3" x14ac:dyDescent="0.2">
      <c r="A14608" s="82"/>
      <c r="B14608" s="82"/>
      <c r="C14608" s="82"/>
    </row>
    <row r="14609" spans="1:3" x14ac:dyDescent="0.2">
      <c r="A14609" s="82"/>
      <c r="B14609" s="82"/>
      <c r="C14609" s="82"/>
    </row>
    <row r="14610" spans="1:3" x14ac:dyDescent="0.2">
      <c r="A14610" s="82"/>
      <c r="B14610" s="82"/>
      <c r="C14610" s="82"/>
    </row>
    <row r="14611" spans="1:3" x14ac:dyDescent="0.2">
      <c r="A14611" s="82"/>
      <c r="B14611" s="82"/>
      <c r="C14611" s="82"/>
    </row>
    <row r="14612" spans="1:3" x14ac:dyDescent="0.2">
      <c r="A14612" s="82"/>
      <c r="B14612" s="82"/>
      <c r="C14612" s="82"/>
    </row>
    <row r="14613" spans="1:3" x14ac:dyDescent="0.2">
      <c r="A14613" s="82"/>
      <c r="B14613" s="82"/>
      <c r="C14613" s="82"/>
    </row>
    <row r="14614" spans="1:3" x14ac:dyDescent="0.2">
      <c r="A14614" s="82"/>
      <c r="B14614" s="82"/>
      <c r="C14614" s="82"/>
    </row>
    <row r="14615" spans="1:3" x14ac:dyDescent="0.2">
      <c r="A14615" s="82"/>
      <c r="B14615" s="82"/>
      <c r="C14615" s="82"/>
    </row>
    <row r="14616" spans="1:3" x14ac:dyDescent="0.2">
      <c r="A14616" s="82"/>
      <c r="B14616" s="82"/>
      <c r="C14616" s="82"/>
    </row>
    <row r="14617" spans="1:3" x14ac:dyDescent="0.2">
      <c r="A14617" s="82"/>
      <c r="B14617" s="82"/>
      <c r="C14617" s="82"/>
    </row>
    <row r="14618" spans="1:3" x14ac:dyDescent="0.2">
      <c r="A14618" s="82"/>
      <c r="B14618" s="82"/>
      <c r="C14618" s="82"/>
    </row>
    <row r="14619" spans="1:3" x14ac:dyDescent="0.2">
      <c r="A14619" s="82"/>
      <c r="B14619" s="82"/>
      <c r="C14619" s="82"/>
    </row>
    <row r="14620" spans="1:3" x14ac:dyDescent="0.2">
      <c r="A14620" s="82"/>
      <c r="B14620" s="82"/>
      <c r="C14620" s="82"/>
    </row>
    <row r="14621" spans="1:3" x14ac:dyDescent="0.2">
      <c r="A14621" s="82"/>
      <c r="B14621" s="82"/>
      <c r="C14621" s="82"/>
    </row>
    <row r="14622" spans="1:3" x14ac:dyDescent="0.2">
      <c r="A14622" s="82"/>
      <c r="B14622" s="82"/>
      <c r="C14622" s="82"/>
    </row>
    <row r="14623" spans="1:3" x14ac:dyDescent="0.2">
      <c r="A14623" s="82"/>
      <c r="B14623" s="82"/>
      <c r="C14623" s="82"/>
    </row>
    <row r="14624" spans="1:3" x14ac:dyDescent="0.2">
      <c r="A14624" s="82"/>
      <c r="B14624" s="82"/>
      <c r="C14624" s="82"/>
    </row>
    <row r="14625" spans="1:3" x14ac:dyDescent="0.2">
      <c r="A14625" s="82"/>
      <c r="B14625" s="82"/>
      <c r="C14625" s="82"/>
    </row>
    <row r="14626" spans="1:3" x14ac:dyDescent="0.2">
      <c r="A14626" s="82"/>
      <c r="B14626" s="82"/>
      <c r="C14626" s="82"/>
    </row>
    <row r="14627" spans="1:3" x14ac:dyDescent="0.2">
      <c r="A14627" s="82"/>
      <c r="B14627" s="82"/>
      <c r="C14627" s="82"/>
    </row>
    <row r="14628" spans="1:3" x14ac:dyDescent="0.2">
      <c r="A14628" s="82"/>
      <c r="B14628" s="82"/>
      <c r="C14628" s="82"/>
    </row>
    <row r="14629" spans="1:3" x14ac:dyDescent="0.2">
      <c r="A14629" s="82"/>
      <c r="B14629" s="82"/>
      <c r="C14629" s="82"/>
    </row>
    <row r="14630" spans="1:3" x14ac:dyDescent="0.2">
      <c r="A14630" s="82"/>
      <c r="B14630" s="82"/>
      <c r="C14630" s="82"/>
    </row>
    <row r="14631" spans="1:3" x14ac:dyDescent="0.2">
      <c r="A14631" s="82"/>
      <c r="B14631" s="82"/>
      <c r="C14631" s="82"/>
    </row>
    <row r="14632" spans="1:3" x14ac:dyDescent="0.2">
      <c r="A14632" s="82"/>
      <c r="B14632" s="82"/>
      <c r="C14632" s="82"/>
    </row>
    <row r="14633" spans="1:3" x14ac:dyDescent="0.2">
      <c r="A14633" s="82"/>
      <c r="B14633" s="82"/>
      <c r="C14633" s="82"/>
    </row>
    <row r="14634" spans="1:3" x14ac:dyDescent="0.2">
      <c r="A14634" s="82"/>
      <c r="B14634" s="82"/>
      <c r="C14634" s="82"/>
    </row>
    <row r="14635" spans="1:3" x14ac:dyDescent="0.2">
      <c r="A14635" s="82"/>
      <c r="B14635" s="82"/>
      <c r="C14635" s="82"/>
    </row>
    <row r="14636" spans="1:3" x14ac:dyDescent="0.2">
      <c r="A14636" s="82"/>
      <c r="B14636" s="82"/>
      <c r="C14636" s="82"/>
    </row>
    <row r="14637" spans="1:3" x14ac:dyDescent="0.2">
      <c r="A14637" s="82"/>
      <c r="B14637" s="82"/>
      <c r="C14637" s="82"/>
    </row>
    <row r="14638" spans="1:3" x14ac:dyDescent="0.2">
      <c r="A14638" s="82"/>
      <c r="B14638" s="82"/>
      <c r="C14638" s="82"/>
    </row>
    <row r="14639" spans="1:3" x14ac:dyDescent="0.2">
      <c r="A14639" s="82"/>
      <c r="B14639" s="82"/>
      <c r="C14639" s="82"/>
    </row>
    <row r="14640" spans="1:3" x14ac:dyDescent="0.2">
      <c r="A14640" s="82"/>
      <c r="B14640" s="82"/>
      <c r="C14640" s="82"/>
    </row>
    <row r="14641" spans="1:3" x14ac:dyDescent="0.2">
      <c r="A14641" s="82"/>
      <c r="B14641" s="82"/>
      <c r="C14641" s="82"/>
    </row>
    <row r="14642" spans="1:3" x14ac:dyDescent="0.2">
      <c r="A14642" s="82"/>
      <c r="B14642" s="82"/>
      <c r="C14642" s="82"/>
    </row>
    <row r="14643" spans="1:3" x14ac:dyDescent="0.2">
      <c r="A14643" s="82"/>
      <c r="B14643" s="82"/>
      <c r="C14643" s="82"/>
    </row>
    <row r="14644" spans="1:3" x14ac:dyDescent="0.2">
      <c r="A14644" s="82"/>
      <c r="B14644" s="82"/>
      <c r="C14644" s="82"/>
    </row>
    <row r="14645" spans="1:3" x14ac:dyDescent="0.2">
      <c r="A14645" s="82"/>
      <c r="B14645" s="82"/>
      <c r="C14645" s="82"/>
    </row>
    <row r="14646" spans="1:3" x14ac:dyDescent="0.2">
      <c r="A14646" s="82"/>
      <c r="B14646" s="82"/>
      <c r="C14646" s="82"/>
    </row>
    <row r="14647" spans="1:3" x14ac:dyDescent="0.2">
      <c r="A14647" s="82"/>
      <c r="B14647" s="82"/>
      <c r="C14647" s="82"/>
    </row>
    <row r="14648" spans="1:3" x14ac:dyDescent="0.2">
      <c r="A14648" s="82"/>
      <c r="B14648" s="82"/>
      <c r="C14648" s="82"/>
    </row>
    <row r="14649" spans="1:3" x14ac:dyDescent="0.2">
      <c r="A14649" s="82"/>
      <c r="B14649" s="82"/>
      <c r="C14649" s="82"/>
    </row>
    <row r="14650" spans="1:3" x14ac:dyDescent="0.2">
      <c r="A14650" s="82"/>
      <c r="B14650" s="82"/>
      <c r="C14650" s="82"/>
    </row>
    <row r="14651" spans="1:3" x14ac:dyDescent="0.2">
      <c r="A14651" s="82"/>
      <c r="B14651" s="82"/>
      <c r="C14651" s="82"/>
    </row>
    <row r="14652" spans="1:3" x14ac:dyDescent="0.2">
      <c r="A14652" s="82"/>
      <c r="B14652" s="82"/>
      <c r="C14652" s="82"/>
    </row>
    <row r="14653" spans="1:3" x14ac:dyDescent="0.2">
      <c r="A14653" s="82"/>
      <c r="B14653" s="82"/>
      <c r="C14653" s="82"/>
    </row>
    <row r="14654" spans="1:3" x14ac:dyDescent="0.2">
      <c r="A14654" s="82"/>
      <c r="B14654" s="82"/>
      <c r="C14654" s="82"/>
    </row>
    <row r="14655" spans="1:3" x14ac:dyDescent="0.2">
      <c r="A14655" s="82"/>
      <c r="B14655" s="82"/>
      <c r="C14655" s="82"/>
    </row>
    <row r="14656" spans="1:3" x14ac:dyDescent="0.2">
      <c r="A14656" s="82"/>
      <c r="B14656" s="82"/>
      <c r="C14656" s="82"/>
    </row>
    <row r="14657" spans="1:3" x14ac:dyDescent="0.2">
      <c r="A14657" s="82"/>
      <c r="B14657" s="82"/>
      <c r="C14657" s="82"/>
    </row>
    <row r="14658" spans="1:3" x14ac:dyDescent="0.2">
      <c r="A14658" s="82"/>
      <c r="B14658" s="82"/>
      <c r="C14658" s="82"/>
    </row>
    <row r="14659" spans="1:3" x14ac:dyDescent="0.2">
      <c r="A14659" s="82"/>
      <c r="B14659" s="82"/>
      <c r="C14659" s="82"/>
    </row>
    <row r="14660" spans="1:3" x14ac:dyDescent="0.2">
      <c r="A14660" s="82"/>
      <c r="B14660" s="82"/>
      <c r="C14660" s="82"/>
    </row>
    <row r="14661" spans="1:3" x14ac:dyDescent="0.2">
      <c r="A14661" s="82"/>
      <c r="B14661" s="82"/>
      <c r="C14661" s="82"/>
    </row>
    <row r="14662" spans="1:3" x14ac:dyDescent="0.2">
      <c r="A14662" s="82"/>
      <c r="B14662" s="82"/>
      <c r="C14662" s="82"/>
    </row>
    <row r="14663" spans="1:3" x14ac:dyDescent="0.2">
      <c r="A14663" s="82"/>
      <c r="B14663" s="82"/>
      <c r="C14663" s="82"/>
    </row>
    <row r="14664" spans="1:3" x14ac:dyDescent="0.2">
      <c r="A14664" s="82"/>
      <c r="B14664" s="82"/>
      <c r="C14664" s="82"/>
    </row>
    <row r="14665" spans="1:3" x14ac:dyDescent="0.2">
      <c r="A14665" s="82"/>
      <c r="B14665" s="82"/>
      <c r="C14665" s="82"/>
    </row>
    <row r="14666" spans="1:3" x14ac:dyDescent="0.2">
      <c r="A14666" s="82"/>
      <c r="B14666" s="82"/>
      <c r="C14666" s="82"/>
    </row>
    <row r="14667" spans="1:3" x14ac:dyDescent="0.2">
      <c r="A14667" s="82"/>
      <c r="B14667" s="82"/>
      <c r="C14667" s="82"/>
    </row>
    <row r="14668" spans="1:3" x14ac:dyDescent="0.2">
      <c r="A14668" s="82"/>
      <c r="B14668" s="82"/>
      <c r="C14668" s="82"/>
    </row>
    <row r="14669" spans="1:3" x14ac:dyDescent="0.2">
      <c r="A14669" s="82"/>
      <c r="B14669" s="82"/>
      <c r="C14669" s="82"/>
    </row>
    <row r="14670" spans="1:3" x14ac:dyDescent="0.2">
      <c r="A14670" s="82"/>
      <c r="B14670" s="82"/>
      <c r="C14670" s="82"/>
    </row>
    <row r="14671" spans="1:3" x14ac:dyDescent="0.2">
      <c r="A14671" s="82"/>
      <c r="B14671" s="82"/>
      <c r="C14671" s="82"/>
    </row>
    <row r="14672" spans="1:3" x14ac:dyDescent="0.2">
      <c r="A14672" s="82"/>
      <c r="B14672" s="82"/>
      <c r="C14672" s="82"/>
    </row>
    <row r="14673" spans="1:3" x14ac:dyDescent="0.2">
      <c r="A14673" s="82"/>
      <c r="B14673" s="82"/>
      <c r="C14673" s="82"/>
    </row>
    <row r="14674" spans="1:3" x14ac:dyDescent="0.2">
      <c r="A14674" s="82"/>
      <c r="B14674" s="82"/>
      <c r="C14674" s="82"/>
    </row>
    <row r="14675" spans="1:3" x14ac:dyDescent="0.2">
      <c r="A14675" s="82"/>
      <c r="B14675" s="82"/>
      <c r="C14675" s="82"/>
    </row>
    <row r="14676" spans="1:3" x14ac:dyDescent="0.2">
      <c r="A14676" s="82"/>
      <c r="B14676" s="82"/>
      <c r="C14676" s="82"/>
    </row>
    <row r="14677" spans="1:3" x14ac:dyDescent="0.2">
      <c r="A14677" s="82"/>
      <c r="B14677" s="82"/>
      <c r="C14677" s="82"/>
    </row>
    <row r="14678" spans="1:3" x14ac:dyDescent="0.2">
      <c r="A14678" s="82"/>
      <c r="B14678" s="82"/>
      <c r="C14678" s="82"/>
    </row>
    <row r="14679" spans="1:3" x14ac:dyDescent="0.2">
      <c r="A14679" s="82"/>
      <c r="B14679" s="82"/>
      <c r="C14679" s="82"/>
    </row>
    <row r="14680" spans="1:3" x14ac:dyDescent="0.2">
      <c r="A14680" s="82"/>
      <c r="B14680" s="82"/>
      <c r="C14680" s="82"/>
    </row>
    <row r="14681" spans="1:3" x14ac:dyDescent="0.2">
      <c r="A14681" s="82"/>
      <c r="B14681" s="82"/>
      <c r="C14681" s="82"/>
    </row>
    <row r="14682" spans="1:3" x14ac:dyDescent="0.2">
      <c r="A14682" s="82"/>
      <c r="B14682" s="82"/>
      <c r="C14682" s="82"/>
    </row>
    <row r="14683" spans="1:3" x14ac:dyDescent="0.2">
      <c r="A14683" s="82"/>
      <c r="B14683" s="82"/>
      <c r="C14683" s="82"/>
    </row>
    <row r="14684" spans="1:3" x14ac:dyDescent="0.2">
      <c r="A14684" s="82"/>
      <c r="B14684" s="82"/>
      <c r="C14684" s="82"/>
    </row>
    <row r="14685" spans="1:3" x14ac:dyDescent="0.2">
      <c r="A14685" s="82"/>
      <c r="B14685" s="82"/>
      <c r="C14685" s="82"/>
    </row>
    <row r="14686" spans="1:3" x14ac:dyDescent="0.2">
      <c r="A14686" s="82"/>
      <c r="B14686" s="82"/>
      <c r="C14686" s="82"/>
    </row>
    <row r="14687" spans="1:3" x14ac:dyDescent="0.2">
      <c r="A14687" s="82"/>
      <c r="B14687" s="82"/>
      <c r="C14687" s="82"/>
    </row>
    <row r="14688" spans="1:3" x14ac:dyDescent="0.2">
      <c r="A14688" s="82"/>
      <c r="B14688" s="82"/>
      <c r="C14688" s="82"/>
    </row>
    <row r="14689" spans="1:3" x14ac:dyDescent="0.2">
      <c r="A14689" s="82"/>
      <c r="B14689" s="82"/>
      <c r="C14689" s="82"/>
    </row>
    <row r="14690" spans="1:3" x14ac:dyDescent="0.2">
      <c r="A14690" s="82"/>
      <c r="B14690" s="82"/>
      <c r="C14690" s="82"/>
    </row>
    <row r="14691" spans="1:3" x14ac:dyDescent="0.2">
      <c r="A14691" s="82"/>
      <c r="B14691" s="82"/>
      <c r="C14691" s="82"/>
    </row>
    <row r="14692" spans="1:3" x14ac:dyDescent="0.2">
      <c r="A14692" s="82"/>
      <c r="B14692" s="82"/>
      <c r="C14692" s="82"/>
    </row>
    <row r="14693" spans="1:3" x14ac:dyDescent="0.2">
      <c r="A14693" s="82"/>
      <c r="B14693" s="82"/>
      <c r="C14693" s="82"/>
    </row>
    <row r="14694" spans="1:3" x14ac:dyDescent="0.2">
      <c r="A14694" s="82"/>
      <c r="B14694" s="82"/>
      <c r="C14694" s="82"/>
    </row>
    <row r="14695" spans="1:3" x14ac:dyDescent="0.2">
      <c r="A14695" s="82"/>
      <c r="B14695" s="82"/>
      <c r="C14695" s="82"/>
    </row>
    <row r="14696" spans="1:3" x14ac:dyDescent="0.2">
      <c r="A14696" s="82"/>
      <c r="B14696" s="82"/>
      <c r="C14696" s="82"/>
    </row>
    <row r="14697" spans="1:3" x14ac:dyDescent="0.2">
      <c r="A14697" s="82"/>
      <c r="B14697" s="82"/>
      <c r="C14697" s="82"/>
    </row>
    <row r="14698" spans="1:3" x14ac:dyDescent="0.2">
      <c r="A14698" s="82"/>
      <c r="B14698" s="82"/>
      <c r="C14698" s="82"/>
    </row>
    <row r="14699" spans="1:3" x14ac:dyDescent="0.2">
      <c r="A14699" s="82"/>
      <c r="B14699" s="82"/>
      <c r="C14699" s="82"/>
    </row>
    <row r="14700" spans="1:3" x14ac:dyDescent="0.2">
      <c r="A14700" s="82"/>
      <c r="B14700" s="82"/>
      <c r="C14700" s="82"/>
    </row>
    <row r="14701" spans="1:3" x14ac:dyDescent="0.2">
      <c r="A14701" s="82"/>
      <c r="B14701" s="82"/>
      <c r="C14701" s="82"/>
    </row>
    <row r="14702" spans="1:3" x14ac:dyDescent="0.2">
      <c r="A14702" s="82"/>
      <c r="B14702" s="82"/>
      <c r="C14702" s="82"/>
    </row>
    <row r="14703" spans="1:3" x14ac:dyDescent="0.2">
      <c r="A14703" s="82"/>
      <c r="B14703" s="82"/>
      <c r="C14703" s="82"/>
    </row>
    <row r="14704" spans="1:3" x14ac:dyDescent="0.2">
      <c r="A14704" s="82"/>
      <c r="B14704" s="82"/>
      <c r="C14704" s="82"/>
    </row>
    <row r="14705" spans="1:3" x14ac:dyDescent="0.2">
      <c r="A14705" s="82"/>
      <c r="B14705" s="82"/>
      <c r="C14705" s="82"/>
    </row>
    <row r="14706" spans="1:3" x14ac:dyDescent="0.2">
      <c r="A14706" s="82"/>
      <c r="B14706" s="82"/>
      <c r="C14706" s="82"/>
    </row>
    <row r="14707" spans="1:3" x14ac:dyDescent="0.2">
      <c r="A14707" s="82"/>
      <c r="B14707" s="82"/>
      <c r="C14707" s="82"/>
    </row>
    <row r="14708" spans="1:3" x14ac:dyDescent="0.2">
      <c r="A14708" s="82"/>
      <c r="B14708" s="82"/>
      <c r="C14708" s="82"/>
    </row>
    <row r="14709" spans="1:3" x14ac:dyDescent="0.2">
      <c r="A14709" s="82"/>
      <c r="B14709" s="82"/>
      <c r="C14709" s="82"/>
    </row>
    <row r="14710" spans="1:3" x14ac:dyDescent="0.2">
      <c r="A14710" s="82"/>
      <c r="B14710" s="82"/>
      <c r="C14710" s="82"/>
    </row>
    <row r="14711" spans="1:3" x14ac:dyDescent="0.2">
      <c r="A14711" s="82"/>
      <c r="B14711" s="82"/>
      <c r="C14711" s="82"/>
    </row>
    <row r="14712" spans="1:3" x14ac:dyDescent="0.2">
      <c r="A14712" s="82"/>
      <c r="B14712" s="82"/>
      <c r="C14712" s="82"/>
    </row>
    <row r="14713" spans="1:3" x14ac:dyDescent="0.2">
      <c r="A14713" s="82"/>
      <c r="B14713" s="82"/>
      <c r="C14713" s="82"/>
    </row>
    <row r="14714" spans="1:3" x14ac:dyDescent="0.2">
      <c r="A14714" s="82"/>
      <c r="B14714" s="82"/>
      <c r="C14714" s="82"/>
    </row>
    <row r="14715" spans="1:3" x14ac:dyDescent="0.2">
      <c r="A14715" s="82"/>
      <c r="B14715" s="82"/>
      <c r="C14715" s="82"/>
    </row>
    <row r="14716" spans="1:3" x14ac:dyDescent="0.2">
      <c r="A14716" s="82"/>
      <c r="B14716" s="82"/>
      <c r="C14716" s="82"/>
    </row>
    <row r="14717" spans="1:3" x14ac:dyDescent="0.2">
      <c r="A14717" s="82"/>
      <c r="B14717" s="82"/>
      <c r="C14717" s="82"/>
    </row>
    <row r="14718" spans="1:3" x14ac:dyDescent="0.2">
      <c r="A14718" s="82"/>
      <c r="B14718" s="82"/>
      <c r="C14718" s="82"/>
    </row>
    <row r="14719" spans="1:3" x14ac:dyDescent="0.2">
      <c r="A14719" s="82"/>
      <c r="B14719" s="82"/>
      <c r="C14719" s="82"/>
    </row>
    <row r="14720" spans="1:3" x14ac:dyDescent="0.2">
      <c r="A14720" s="82"/>
      <c r="B14720" s="82"/>
      <c r="C14720" s="82"/>
    </row>
    <row r="14721" spans="1:3" x14ac:dyDescent="0.2">
      <c r="A14721" s="82"/>
      <c r="B14721" s="82"/>
      <c r="C14721" s="82"/>
    </row>
    <row r="14722" spans="1:3" x14ac:dyDescent="0.2">
      <c r="A14722" s="82"/>
      <c r="B14722" s="82"/>
      <c r="C14722" s="82"/>
    </row>
    <row r="14723" spans="1:3" x14ac:dyDescent="0.2">
      <c r="A14723" s="82"/>
      <c r="B14723" s="82"/>
      <c r="C14723" s="82"/>
    </row>
    <row r="14724" spans="1:3" x14ac:dyDescent="0.2">
      <c r="A14724" s="82"/>
      <c r="B14724" s="82"/>
      <c r="C14724" s="82"/>
    </row>
    <row r="14725" spans="1:3" x14ac:dyDescent="0.2">
      <c r="A14725" s="82"/>
      <c r="B14725" s="82"/>
      <c r="C14725" s="82"/>
    </row>
    <row r="14726" spans="1:3" x14ac:dyDescent="0.2">
      <c r="A14726" s="82"/>
      <c r="B14726" s="82"/>
      <c r="C14726" s="82"/>
    </row>
    <row r="14727" spans="1:3" x14ac:dyDescent="0.2">
      <c r="A14727" s="82"/>
      <c r="B14727" s="82"/>
      <c r="C14727" s="82"/>
    </row>
    <row r="14728" spans="1:3" x14ac:dyDescent="0.2">
      <c r="A14728" s="82"/>
      <c r="B14728" s="82"/>
      <c r="C14728" s="82"/>
    </row>
    <row r="14729" spans="1:3" x14ac:dyDescent="0.2">
      <c r="A14729" s="82"/>
      <c r="B14729" s="82"/>
      <c r="C14729" s="82"/>
    </row>
    <row r="14730" spans="1:3" x14ac:dyDescent="0.2">
      <c r="A14730" s="82"/>
      <c r="B14730" s="82"/>
      <c r="C14730" s="82"/>
    </row>
    <row r="14731" spans="1:3" x14ac:dyDescent="0.2">
      <c r="A14731" s="82"/>
      <c r="B14731" s="82"/>
      <c r="C14731" s="82"/>
    </row>
    <row r="14732" spans="1:3" x14ac:dyDescent="0.2">
      <c r="A14732" s="82"/>
      <c r="B14732" s="82"/>
      <c r="C14732" s="82"/>
    </row>
    <row r="14733" spans="1:3" x14ac:dyDescent="0.2">
      <c r="A14733" s="82"/>
      <c r="B14733" s="82"/>
      <c r="C14733" s="82"/>
    </row>
    <row r="14734" spans="1:3" x14ac:dyDescent="0.2">
      <c r="A14734" s="82"/>
      <c r="B14734" s="82"/>
      <c r="C14734" s="82"/>
    </row>
    <row r="14735" spans="1:3" x14ac:dyDescent="0.2">
      <c r="A14735" s="82"/>
      <c r="B14735" s="82"/>
      <c r="C14735" s="82"/>
    </row>
    <row r="14736" spans="1:3" x14ac:dyDescent="0.2">
      <c r="A14736" s="82"/>
      <c r="B14736" s="82"/>
      <c r="C14736" s="82"/>
    </row>
    <row r="14737" spans="1:3" x14ac:dyDescent="0.2">
      <c r="A14737" s="82"/>
      <c r="B14737" s="82"/>
      <c r="C14737" s="82"/>
    </row>
    <row r="14738" spans="1:3" x14ac:dyDescent="0.2">
      <c r="A14738" s="82"/>
      <c r="B14738" s="82"/>
      <c r="C14738" s="82"/>
    </row>
    <row r="14739" spans="1:3" x14ac:dyDescent="0.2">
      <c r="A14739" s="82"/>
      <c r="B14739" s="82"/>
      <c r="C14739" s="82"/>
    </row>
    <row r="14740" spans="1:3" x14ac:dyDescent="0.2">
      <c r="A14740" s="82"/>
      <c r="B14740" s="82"/>
      <c r="C14740" s="82"/>
    </row>
    <row r="14741" spans="1:3" x14ac:dyDescent="0.2">
      <c r="A14741" s="82"/>
      <c r="B14741" s="82"/>
      <c r="C14741" s="82"/>
    </row>
    <row r="14742" spans="1:3" x14ac:dyDescent="0.2">
      <c r="A14742" s="82"/>
      <c r="B14742" s="82"/>
      <c r="C14742" s="82"/>
    </row>
    <row r="14743" spans="1:3" x14ac:dyDescent="0.2">
      <c r="A14743" s="82"/>
      <c r="B14743" s="82"/>
      <c r="C14743" s="82"/>
    </row>
    <row r="14744" spans="1:3" x14ac:dyDescent="0.2">
      <c r="A14744" s="82"/>
      <c r="B14744" s="82"/>
      <c r="C14744" s="82"/>
    </row>
    <row r="14745" spans="1:3" x14ac:dyDescent="0.2">
      <c r="A14745" s="82"/>
      <c r="B14745" s="82"/>
      <c r="C14745" s="82"/>
    </row>
    <row r="14746" spans="1:3" x14ac:dyDescent="0.2">
      <c r="A14746" s="82"/>
      <c r="B14746" s="82"/>
      <c r="C14746" s="82"/>
    </row>
    <row r="14747" spans="1:3" x14ac:dyDescent="0.2">
      <c r="A14747" s="82"/>
      <c r="B14747" s="82"/>
      <c r="C14747" s="82"/>
    </row>
    <row r="14748" spans="1:3" x14ac:dyDescent="0.2">
      <c r="A14748" s="82"/>
      <c r="B14748" s="82"/>
      <c r="C14748" s="82"/>
    </row>
    <row r="14749" spans="1:3" x14ac:dyDescent="0.2">
      <c r="A14749" s="82"/>
      <c r="B14749" s="82"/>
      <c r="C14749" s="82"/>
    </row>
    <row r="14750" spans="1:3" x14ac:dyDescent="0.2">
      <c r="A14750" s="82"/>
      <c r="B14750" s="82"/>
      <c r="C14750" s="82"/>
    </row>
    <row r="14751" spans="1:3" x14ac:dyDescent="0.2">
      <c r="A14751" s="82"/>
      <c r="B14751" s="82"/>
      <c r="C14751" s="82"/>
    </row>
    <row r="14752" spans="1:3" x14ac:dyDescent="0.2">
      <c r="A14752" s="82"/>
      <c r="B14752" s="82"/>
      <c r="C14752" s="82"/>
    </row>
    <row r="14753" spans="1:3" x14ac:dyDescent="0.2">
      <c r="A14753" s="82"/>
      <c r="B14753" s="82"/>
      <c r="C14753" s="82"/>
    </row>
    <row r="14754" spans="1:3" x14ac:dyDescent="0.2">
      <c r="A14754" s="82"/>
      <c r="B14754" s="82"/>
      <c r="C14754" s="82"/>
    </row>
    <row r="14755" spans="1:3" x14ac:dyDescent="0.2">
      <c r="A14755" s="82"/>
      <c r="B14755" s="82"/>
      <c r="C14755" s="82"/>
    </row>
    <row r="14756" spans="1:3" x14ac:dyDescent="0.2">
      <c r="A14756" s="82"/>
      <c r="B14756" s="82"/>
      <c r="C14756" s="82"/>
    </row>
    <row r="14757" spans="1:3" x14ac:dyDescent="0.2">
      <c r="A14757" s="82"/>
      <c r="B14757" s="82"/>
      <c r="C14757" s="82"/>
    </row>
    <row r="14758" spans="1:3" x14ac:dyDescent="0.2">
      <c r="A14758" s="82"/>
      <c r="B14758" s="82"/>
      <c r="C14758" s="82"/>
    </row>
    <row r="14759" spans="1:3" x14ac:dyDescent="0.2">
      <c r="A14759" s="82"/>
      <c r="B14759" s="82"/>
      <c r="C14759" s="82"/>
    </row>
    <row r="14760" spans="1:3" x14ac:dyDescent="0.2">
      <c r="A14760" s="82"/>
      <c r="B14760" s="82"/>
      <c r="C14760" s="82"/>
    </row>
    <row r="14761" spans="1:3" x14ac:dyDescent="0.2">
      <c r="A14761" s="82"/>
      <c r="B14761" s="82"/>
      <c r="C14761" s="82"/>
    </row>
    <row r="14762" spans="1:3" x14ac:dyDescent="0.2">
      <c r="A14762" s="82"/>
      <c r="B14762" s="82"/>
      <c r="C14762" s="82"/>
    </row>
    <row r="14763" spans="1:3" x14ac:dyDescent="0.2">
      <c r="A14763" s="82"/>
      <c r="B14763" s="82"/>
      <c r="C14763" s="82"/>
    </row>
    <row r="14764" spans="1:3" x14ac:dyDescent="0.2">
      <c r="A14764" s="82"/>
      <c r="B14764" s="82"/>
      <c r="C14764" s="82"/>
    </row>
    <row r="14765" spans="1:3" x14ac:dyDescent="0.2">
      <c r="A14765" s="82"/>
      <c r="B14765" s="82"/>
      <c r="C14765" s="82"/>
    </row>
    <row r="14766" spans="1:3" x14ac:dyDescent="0.2">
      <c r="A14766" s="82"/>
      <c r="B14766" s="82"/>
      <c r="C14766" s="82"/>
    </row>
    <row r="14767" spans="1:3" x14ac:dyDescent="0.2">
      <c r="A14767" s="82"/>
      <c r="B14767" s="82"/>
      <c r="C14767" s="82"/>
    </row>
    <row r="14768" spans="1:3" x14ac:dyDescent="0.2">
      <c r="A14768" s="82"/>
      <c r="B14768" s="82"/>
      <c r="C14768" s="82"/>
    </row>
    <row r="14769" spans="1:3" x14ac:dyDescent="0.2">
      <c r="A14769" s="82"/>
      <c r="B14769" s="82"/>
      <c r="C14769" s="82"/>
    </row>
    <row r="14770" spans="1:3" x14ac:dyDescent="0.2">
      <c r="A14770" s="82"/>
      <c r="B14770" s="82"/>
      <c r="C14770" s="82"/>
    </row>
    <row r="14771" spans="1:3" x14ac:dyDescent="0.2">
      <c r="A14771" s="82"/>
      <c r="B14771" s="82"/>
      <c r="C14771" s="82"/>
    </row>
    <row r="14772" spans="1:3" x14ac:dyDescent="0.2">
      <c r="A14772" s="82"/>
      <c r="B14772" s="82"/>
      <c r="C14772" s="82"/>
    </row>
    <row r="14773" spans="1:3" x14ac:dyDescent="0.2">
      <c r="A14773" s="82"/>
      <c r="B14773" s="82"/>
      <c r="C14773" s="82"/>
    </row>
    <row r="14774" spans="1:3" x14ac:dyDescent="0.2">
      <c r="A14774" s="82"/>
      <c r="B14774" s="82"/>
      <c r="C14774" s="82"/>
    </row>
    <row r="14775" spans="1:3" x14ac:dyDescent="0.2">
      <c r="A14775" s="82"/>
      <c r="B14775" s="82"/>
      <c r="C14775" s="82"/>
    </row>
    <row r="14776" spans="1:3" x14ac:dyDescent="0.2">
      <c r="A14776" s="82"/>
      <c r="B14776" s="82"/>
      <c r="C14776" s="82"/>
    </row>
    <row r="14777" spans="1:3" x14ac:dyDescent="0.2">
      <c r="A14777" s="82"/>
      <c r="B14777" s="82"/>
      <c r="C14777" s="82"/>
    </row>
    <row r="14778" spans="1:3" x14ac:dyDescent="0.2">
      <c r="A14778" s="82"/>
      <c r="B14778" s="82"/>
      <c r="C14778" s="82"/>
    </row>
    <row r="14779" spans="1:3" x14ac:dyDescent="0.2">
      <c r="A14779" s="82"/>
      <c r="B14779" s="82"/>
      <c r="C14779" s="82"/>
    </row>
    <row r="14780" spans="1:3" x14ac:dyDescent="0.2">
      <c r="A14780" s="82"/>
      <c r="B14780" s="82"/>
      <c r="C14780" s="82"/>
    </row>
    <row r="14781" spans="1:3" x14ac:dyDescent="0.2">
      <c r="A14781" s="82"/>
      <c r="B14781" s="82"/>
      <c r="C14781" s="82"/>
    </row>
    <row r="14782" spans="1:3" x14ac:dyDescent="0.2">
      <c r="A14782" s="82"/>
      <c r="B14782" s="82"/>
      <c r="C14782" s="82"/>
    </row>
    <row r="14783" spans="1:3" x14ac:dyDescent="0.2">
      <c r="A14783" s="82"/>
      <c r="B14783" s="82"/>
      <c r="C14783" s="82"/>
    </row>
    <row r="14784" spans="1:3" x14ac:dyDescent="0.2">
      <c r="A14784" s="82"/>
      <c r="B14784" s="82"/>
      <c r="C14784" s="82"/>
    </row>
    <row r="14785" spans="1:3" x14ac:dyDescent="0.2">
      <c r="A14785" s="82"/>
      <c r="B14785" s="82"/>
      <c r="C14785" s="82"/>
    </row>
    <row r="14786" spans="1:3" x14ac:dyDescent="0.2">
      <c r="A14786" s="82"/>
      <c r="B14786" s="82"/>
      <c r="C14786" s="82"/>
    </row>
    <row r="14787" spans="1:3" x14ac:dyDescent="0.2">
      <c r="A14787" s="82"/>
      <c r="B14787" s="82"/>
      <c r="C14787" s="82"/>
    </row>
    <row r="14788" spans="1:3" x14ac:dyDescent="0.2">
      <c r="A14788" s="82"/>
      <c r="B14788" s="82"/>
      <c r="C14788" s="82"/>
    </row>
    <row r="14789" spans="1:3" x14ac:dyDescent="0.2">
      <c r="A14789" s="82"/>
      <c r="B14789" s="82"/>
      <c r="C14789" s="82"/>
    </row>
    <row r="14790" spans="1:3" x14ac:dyDescent="0.2">
      <c r="A14790" s="82"/>
      <c r="B14790" s="82"/>
      <c r="C14790" s="82"/>
    </row>
    <row r="14791" spans="1:3" x14ac:dyDescent="0.2">
      <c r="A14791" s="82"/>
      <c r="B14791" s="82"/>
      <c r="C14791" s="82"/>
    </row>
    <row r="14792" spans="1:3" x14ac:dyDescent="0.2">
      <c r="A14792" s="82"/>
      <c r="B14792" s="82"/>
      <c r="C14792" s="82"/>
    </row>
    <row r="14793" spans="1:3" x14ac:dyDescent="0.2">
      <c r="A14793" s="82"/>
      <c r="B14793" s="82"/>
      <c r="C14793" s="82"/>
    </row>
    <row r="14794" spans="1:3" x14ac:dyDescent="0.2">
      <c r="A14794" s="82"/>
      <c r="B14794" s="82"/>
      <c r="C14794" s="82"/>
    </row>
    <row r="14795" spans="1:3" x14ac:dyDescent="0.2">
      <c r="A14795" s="82"/>
      <c r="B14795" s="82"/>
      <c r="C14795" s="82"/>
    </row>
    <row r="14796" spans="1:3" x14ac:dyDescent="0.2">
      <c r="A14796" s="82"/>
      <c r="B14796" s="82"/>
      <c r="C14796" s="82"/>
    </row>
    <row r="14797" spans="1:3" x14ac:dyDescent="0.2">
      <c r="A14797" s="82"/>
      <c r="B14797" s="82"/>
      <c r="C14797" s="82"/>
    </row>
    <row r="14798" spans="1:3" x14ac:dyDescent="0.2">
      <c r="A14798" s="82"/>
      <c r="B14798" s="82"/>
      <c r="C14798" s="82"/>
    </row>
    <row r="14799" spans="1:3" x14ac:dyDescent="0.2">
      <c r="A14799" s="82"/>
      <c r="B14799" s="82"/>
      <c r="C14799" s="82"/>
    </row>
    <row r="14800" spans="1:3" x14ac:dyDescent="0.2">
      <c r="A14800" s="82"/>
      <c r="B14800" s="82"/>
      <c r="C14800" s="82"/>
    </row>
    <row r="14801" spans="1:3" x14ac:dyDescent="0.2">
      <c r="A14801" s="82"/>
      <c r="B14801" s="82"/>
      <c r="C14801" s="82"/>
    </row>
    <row r="14802" spans="1:3" x14ac:dyDescent="0.2">
      <c r="A14802" s="82"/>
      <c r="B14802" s="82"/>
      <c r="C14802" s="82"/>
    </row>
    <row r="14803" spans="1:3" x14ac:dyDescent="0.2">
      <c r="A14803" s="82"/>
      <c r="B14803" s="82"/>
      <c r="C14803" s="82"/>
    </row>
    <row r="14804" spans="1:3" x14ac:dyDescent="0.2">
      <c r="A14804" s="82"/>
      <c r="B14804" s="82"/>
      <c r="C14804" s="82"/>
    </row>
    <row r="14805" spans="1:3" x14ac:dyDescent="0.2">
      <c r="A14805" s="82"/>
      <c r="B14805" s="82"/>
      <c r="C14805" s="82"/>
    </row>
    <row r="14806" spans="1:3" x14ac:dyDescent="0.2">
      <c r="A14806" s="82"/>
      <c r="B14806" s="82"/>
      <c r="C14806" s="82"/>
    </row>
    <row r="14807" spans="1:3" x14ac:dyDescent="0.2">
      <c r="A14807" s="82"/>
      <c r="B14807" s="82"/>
      <c r="C14807" s="82"/>
    </row>
    <row r="14808" spans="1:3" x14ac:dyDescent="0.2">
      <c r="A14808" s="82"/>
      <c r="B14808" s="82"/>
      <c r="C14808" s="82"/>
    </row>
    <row r="14809" spans="1:3" x14ac:dyDescent="0.2">
      <c r="A14809" s="82"/>
      <c r="B14809" s="82"/>
      <c r="C14809" s="82"/>
    </row>
    <row r="14810" spans="1:3" x14ac:dyDescent="0.2">
      <c r="A14810" s="82"/>
      <c r="B14810" s="82"/>
      <c r="C14810" s="82"/>
    </row>
    <row r="14811" spans="1:3" x14ac:dyDescent="0.2">
      <c r="A14811" s="82"/>
      <c r="B14811" s="82"/>
      <c r="C14811" s="82"/>
    </row>
    <row r="14812" spans="1:3" x14ac:dyDescent="0.2">
      <c r="A14812" s="82"/>
      <c r="B14812" s="82"/>
      <c r="C14812" s="82"/>
    </row>
    <row r="14813" spans="1:3" x14ac:dyDescent="0.2">
      <c r="A14813" s="82"/>
      <c r="B14813" s="82"/>
      <c r="C14813" s="82"/>
    </row>
    <row r="14814" spans="1:3" x14ac:dyDescent="0.2">
      <c r="A14814" s="82"/>
      <c r="B14814" s="82"/>
      <c r="C14814" s="82"/>
    </row>
    <row r="14815" spans="1:3" x14ac:dyDescent="0.2">
      <c r="A14815" s="82"/>
      <c r="B14815" s="82"/>
      <c r="C14815" s="82"/>
    </row>
    <row r="14816" spans="1:3" x14ac:dyDescent="0.2">
      <c r="A14816" s="82"/>
      <c r="B14816" s="82"/>
      <c r="C14816" s="82"/>
    </row>
    <row r="14817" spans="1:3" x14ac:dyDescent="0.2">
      <c r="A14817" s="82"/>
      <c r="B14817" s="82"/>
      <c r="C14817" s="82"/>
    </row>
    <row r="14818" spans="1:3" x14ac:dyDescent="0.2">
      <c r="A14818" s="82"/>
      <c r="B14818" s="82"/>
      <c r="C14818" s="82"/>
    </row>
    <row r="14819" spans="1:3" x14ac:dyDescent="0.2">
      <c r="A14819" s="82"/>
      <c r="B14819" s="82"/>
      <c r="C14819" s="82"/>
    </row>
    <row r="14820" spans="1:3" x14ac:dyDescent="0.2">
      <c r="A14820" s="82"/>
      <c r="B14820" s="82"/>
      <c r="C14820" s="82"/>
    </row>
    <row r="14821" spans="1:3" x14ac:dyDescent="0.2">
      <c r="A14821" s="82"/>
      <c r="B14821" s="82"/>
      <c r="C14821" s="82"/>
    </row>
    <row r="14822" spans="1:3" x14ac:dyDescent="0.2">
      <c r="A14822" s="82"/>
      <c r="B14822" s="82"/>
      <c r="C14822" s="82"/>
    </row>
    <row r="14823" spans="1:3" x14ac:dyDescent="0.2">
      <c r="A14823" s="82"/>
      <c r="B14823" s="82"/>
      <c r="C14823" s="82"/>
    </row>
    <row r="14824" spans="1:3" x14ac:dyDescent="0.2">
      <c r="A14824" s="82"/>
      <c r="B14824" s="82"/>
      <c r="C14824" s="82"/>
    </row>
    <row r="14825" spans="1:3" x14ac:dyDescent="0.2">
      <c r="A14825" s="82"/>
      <c r="B14825" s="82"/>
      <c r="C14825" s="82"/>
    </row>
    <row r="14826" spans="1:3" x14ac:dyDescent="0.2">
      <c r="A14826" s="82"/>
      <c r="B14826" s="82"/>
      <c r="C14826" s="82"/>
    </row>
    <row r="14827" spans="1:3" x14ac:dyDescent="0.2">
      <c r="A14827" s="82"/>
      <c r="B14827" s="82"/>
      <c r="C14827" s="82"/>
    </row>
    <row r="14828" spans="1:3" x14ac:dyDescent="0.2">
      <c r="A14828" s="82"/>
      <c r="B14828" s="82"/>
      <c r="C14828" s="82"/>
    </row>
    <row r="14829" spans="1:3" x14ac:dyDescent="0.2">
      <c r="A14829" s="82"/>
      <c r="B14829" s="82"/>
      <c r="C14829" s="82"/>
    </row>
    <row r="14830" spans="1:3" x14ac:dyDescent="0.2">
      <c r="A14830" s="82"/>
      <c r="B14830" s="82"/>
      <c r="C14830" s="82"/>
    </row>
    <row r="14831" spans="1:3" x14ac:dyDescent="0.2">
      <c r="A14831" s="82"/>
      <c r="B14831" s="82"/>
      <c r="C14831" s="82"/>
    </row>
    <row r="14832" spans="1:3" x14ac:dyDescent="0.2">
      <c r="A14832" s="82"/>
      <c r="B14832" s="82"/>
      <c r="C14832" s="82"/>
    </row>
    <row r="14833" spans="1:3" x14ac:dyDescent="0.2">
      <c r="A14833" s="82"/>
      <c r="B14833" s="82"/>
      <c r="C14833" s="82"/>
    </row>
    <row r="14834" spans="1:3" x14ac:dyDescent="0.2">
      <c r="A14834" s="82"/>
      <c r="B14834" s="82"/>
      <c r="C14834" s="82"/>
    </row>
    <row r="14835" spans="1:3" x14ac:dyDescent="0.2">
      <c r="A14835" s="82"/>
      <c r="B14835" s="82"/>
      <c r="C14835" s="82"/>
    </row>
    <row r="14836" spans="1:3" x14ac:dyDescent="0.2">
      <c r="A14836" s="82"/>
      <c r="B14836" s="82"/>
      <c r="C14836" s="82"/>
    </row>
    <row r="14837" spans="1:3" x14ac:dyDescent="0.2">
      <c r="A14837" s="82"/>
      <c r="B14837" s="82"/>
      <c r="C14837" s="82"/>
    </row>
    <row r="14838" spans="1:3" x14ac:dyDescent="0.2">
      <c r="A14838" s="82"/>
      <c r="B14838" s="82"/>
      <c r="C14838" s="82"/>
    </row>
    <row r="14839" spans="1:3" x14ac:dyDescent="0.2">
      <c r="A14839" s="82"/>
      <c r="B14839" s="82"/>
      <c r="C14839" s="82"/>
    </row>
    <row r="14840" spans="1:3" x14ac:dyDescent="0.2">
      <c r="A14840" s="82"/>
      <c r="B14840" s="82"/>
      <c r="C14840" s="82"/>
    </row>
    <row r="14841" spans="1:3" x14ac:dyDescent="0.2">
      <c r="A14841" s="82"/>
      <c r="B14841" s="82"/>
      <c r="C14841" s="82"/>
    </row>
    <row r="14842" spans="1:3" x14ac:dyDescent="0.2">
      <c r="A14842" s="82"/>
      <c r="B14842" s="82"/>
      <c r="C14842" s="82"/>
    </row>
    <row r="14843" spans="1:3" x14ac:dyDescent="0.2">
      <c r="A14843" s="82"/>
      <c r="B14843" s="82"/>
      <c r="C14843" s="82"/>
    </row>
    <row r="14844" spans="1:3" x14ac:dyDescent="0.2">
      <c r="A14844" s="82"/>
      <c r="B14844" s="82"/>
      <c r="C14844" s="82"/>
    </row>
    <row r="14845" spans="1:3" x14ac:dyDescent="0.2">
      <c r="A14845" s="82"/>
      <c r="B14845" s="82"/>
      <c r="C14845" s="82"/>
    </row>
    <row r="14846" spans="1:3" x14ac:dyDescent="0.2">
      <c r="A14846" s="82"/>
      <c r="B14846" s="82"/>
      <c r="C14846" s="82"/>
    </row>
    <row r="14847" spans="1:3" x14ac:dyDescent="0.2">
      <c r="A14847" s="82"/>
      <c r="B14847" s="82"/>
      <c r="C14847" s="82"/>
    </row>
    <row r="14848" spans="1:3" x14ac:dyDescent="0.2">
      <c r="A14848" s="82"/>
      <c r="B14848" s="82"/>
      <c r="C14848" s="82"/>
    </row>
    <row r="14849" spans="1:3" x14ac:dyDescent="0.2">
      <c r="A14849" s="82"/>
      <c r="B14849" s="82"/>
      <c r="C14849" s="82"/>
    </row>
    <row r="14850" spans="1:3" x14ac:dyDescent="0.2">
      <c r="A14850" s="82"/>
      <c r="B14850" s="82"/>
      <c r="C14850" s="82"/>
    </row>
    <row r="14851" spans="1:3" x14ac:dyDescent="0.2">
      <c r="A14851" s="82"/>
      <c r="B14851" s="82"/>
      <c r="C14851" s="82"/>
    </row>
    <row r="14852" spans="1:3" x14ac:dyDescent="0.2">
      <c r="A14852" s="82"/>
      <c r="B14852" s="82"/>
      <c r="C14852" s="82"/>
    </row>
    <row r="14853" spans="1:3" x14ac:dyDescent="0.2">
      <c r="A14853" s="82"/>
      <c r="B14853" s="82"/>
      <c r="C14853" s="82"/>
    </row>
    <row r="14854" spans="1:3" x14ac:dyDescent="0.2">
      <c r="A14854" s="82"/>
      <c r="B14854" s="82"/>
      <c r="C14854" s="82"/>
    </row>
    <row r="14855" spans="1:3" x14ac:dyDescent="0.2">
      <c r="A14855" s="82"/>
      <c r="B14855" s="82"/>
      <c r="C14855" s="82"/>
    </row>
    <row r="14856" spans="1:3" x14ac:dyDescent="0.2">
      <c r="A14856" s="82"/>
      <c r="B14856" s="82"/>
      <c r="C14856" s="82"/>
    </row>
    <row r="14857" spans="1:3" x14ac:dyDescent="0.2">
      <c r="A14857" s="82"/>
      <c r="B14857" s="82"/>
      <c r="C14857" s="82"/>
    </row>
    <row r="14858" spans="1:3" x14ac:dyDescent="0.2">
      <c r="A14858" s="82"/>
      <c r="B14858" s="82"/>
      <c r="C14858" s="82"/>
    </row>
    <row r="14859" spans="1:3" x14ac:dyDescent="0.2">
      <c r="A14859" s="82"/>
      <c r="B14859" s="82"/>
      <c r="C14859" s="82"/>
    </row>
    <row r="14860" spans="1:3" x14ac:dyDescent="0.2">
      <c r="A14860" s="82"/>
      <c r="B14860" s="82"/>
      <c r="C14860" s="82"/>
    </row>
    <row r="14861" spans="1:3" x14ac:dyDescent="0.2">
      <c r="A14861" s="82"/>
      <c r="B14861" s="82"/>
      <c r="C14861" s="82"/>
    </row>
    <row r="14862" spans="1:3" x14ac:dyDescent="0.2">
      <c r="A14862" s="82"/>
      <c r="B14862" s="82"/>
      <c r="C14862" s="82"/>
    </row>
    <row r="14863" spans="1:3" x14ac:dyDescent="0.2">
      <c r="A14863" s="82"/>
      <c r="B14863" s="82"/>
      <c r="C14863" s="82"/>
    </row>
    <row r="14864" spans="1:3" x14ac:dyDescent="0.2">
      <c r="A14864" s="82"/>
      <c r="B14864" s="82"/>
      <c r="C14864" s="82"/>
    </row>
    <row r="14865" spans="1:3" x14ac:dyDescent="0.2">
      <c r="A14865" s="82"/>
      <c r="B14865" s="82"/>
      <c r="C14865" s="82"/>
    </row>
    <row r="14866" spans="1:3" x14ac:dyDescent="0.2">
      <c r="A14866" s="82"/>
      <c r="B14866" s="82"/>
      <c r="C14866" s="82"/>
    </row>
    <row r="14867" spans="1:3" x14ac:dyDescent="0.2">
      <c r="A14867" s="82"/>
      <c r="B14867" s="82"/>
      <c r="C14867" s="82"/>
    </row>
    <row r="14868" spans="1:3" x14ac:dyDescent="0.2">
      <c r="A14868" s="82"/>
      <c r="B14868" s="82"/>
      <c r="C14868" s="82"/>
    </row>
    <row r="14869" spans="1:3" x14ac:dyDescent="0.2">
      <c r="A14869" s="82"/>
      <c r="B14869" s="82"/>
      <c r="C14869" s="82"/>
    </row>
    <row r="14870" spans="1:3" x14ac:dyDescent="0.2">
      <c r="A14870" s="82"/>
      <c r="B14870" s="82"/>
      <c r="C14870" s="82"/>
    </row>
    <row r="14871" spans="1:3" x14ac:dyDescent="0.2">
      <c r="A14871" s="82"/>
      <c r="B14871" s="82"/>
      <c r="C14871" s="82"/>
    </row>
    <row r="14872" spans="1:3" x14ac:dyDescent="0.2">
      <c r="A14872" s="82"/>
      <c r="B14872" s="82"/>
      <c r="C14872" s="82"/>
    </row>
    <row r="14873" spans="1:3" x14ac:dyDescent="0.2">
      <c r="A14873" s="82"/>
      <c r="B14873" s="82"/>
      <c r="C14873" s="82"/>
    </row>
    <row r="14874" spans="1:3" x14ac:dyDescent="0.2">
      <c r="A14874" s="82"/>
      <c r="B14874" s="82"/>
      <c r="C14874" s="82"/>
    </row>
    <row r="14875" spans="1:3" x14ac:dyDescent="0.2">
      <c r="A14875" s="82"/>
      <c r="B14875" s="82"/>
      <c r="C14875" s="82"/>
    </row>
    <row r="14876" spans="1:3" x14ac:dyDescent="0.2">
      <c r="A14876" s="82"/>
      <c r="B14876" s="82"/>
      <c r="C14876" s="82"/>
    </row>
    <row r="14877" spans="1:3" x14ac:dyDescent="0.2">
      <c r="A14877" s="82"/>
      <c r="B14877" s="82"/>
      <c r="C14877" s="82"/>
    </row>
    <row r="14878" spans="1:3" x14ac:dyDescent="0.2">
      <c r="A14878" s="82"/>
      <c r="B14878" s="82"/>
      <c r="C14878" s="82"/>
    </row>
    <row r="14879" spans="1:3" x14ac:dyDescent="0.2">
      <c r="A14879" s="82"/>
      <c r="B14879" s="82"/>
      <c r="C14879" s="82"/>
    </row>
    <row r="14880" spans="1:3" x14ac:dyDescent="0.2">
      <c r="A14880" s="82"/>
      <c r="B14880" s="82"/>
      <c r="C14880" s="82"/>
    </row>
    <row r="14881" spans="1:3" x14ac:dyDescent="0.2">
      <c r="A14881" s="82"/>
      <c r="B14881" s="82"/>
      <c r="C14881" s="82"/>
    </row>
    <row r="14882" spans="1:3" x14ac:dyDescent="0.2">
      <c r="A14882" s="82"/>
      <c r="B14882" s="82"/>
      <c r="C14882" s="82"/>
    </row>
    <row r="14883" spans="1:3" x14ac:dyDescent="0.2">
      <c r="A14883" s="82"/>
      <c r="B14883" s="82"/>
      <c r="C14883" s="82"/>
    </row>
    <row r="14884" spans="1:3" x14ac:dyDescent="0.2">
      <c r="A14884" s="82"/>
      <c r="B14884" s="82"/>
      <c r="C14884" s="82"/>
    </row>
    <row r="14885" spans="1:3" x14ac:dyDescent="0.2">
      <c r="A14885" s="82"/>
      <c r="B14885" s="82"/>
      <c r="C14885" s="82"/>
    </row>
    <row r="14886" spans="1:3" x14ac:dyDescent="0.2">
      <c r="A14886" s="82"/>
      <c r="B14886" s="82"/>
      <c r="C14886" s="82"/>
    </row>
    <row r="14887" spans="1:3" x14ac:dyDescent="0.2">
      <c r="A14887" s="82"/>
      <c r="B14887" s="82"/>
      <c r="C14887" s="82"/>
    </row>
    <row r="14888" spans="1:3" x14ac:dyDescent="0.2">
      <c r="A14888" s="82"/>
      <c r="B14888" s="82"/>
      <c r="C14888" s="82"/>
    </row>
    <row r="14889" spans="1:3" x14ac:dyDescent="0.2">
      <c r="A14889" s="82"/>
      <c r="B14889" s="82"/>
      <c r="C14889" s="82"/>
    </row>
    <row r="14890" spans="1:3" x14ac:dyDescent="0.2">
      <c r="A14890" s="82"/>
      <c r="B14890" s="82"/>
      <c r="C14890" s="82"/>
    </row>
    <row r="14891" spans="1:3" x14ac:dyDescent="0.2">
      <c r="A14891" s="82"/>
      <c r="B14891" s="82"/>
      <c r="C14891" s="82"/>
    </row>
    <row r="14892" spans="1:3" x14ac:dyDescent="0.2">
      <c r="A14892" s="82"/>
      <c r="B14892" s="82"/>
      <c r="C14892" s="82"/>
    </row>
    <row r="14893" spans="1:3" x14ac:dyDescent="0.2">
      <c r="A14893" s="82"/>
      <c r="B14893" s="82"/>
      <c r="C14893" s="82"/>
    </row>
    <row r="14894" spans="1:3" x14ac:dyDescent="0.2">
      <c r="A14894" s="82"/>
      <c r="B14894" s="82"/>
      <c r="C14894" s="82"/>
    </row>
    <row r="14895" spans="1:3" x14ac:dyDescent="0.2">
      <c r="A14895" s="82"/>
      <c r="B14895" s="82"/>
      <c r="C14895" s="82"/>
    </row>
    <row r="14896" spans="1:3" x14ac:dyDescent="0.2">
      <c r="A14896" s="82"/>
      <c r="B14896" s="82"/>
      <c r="C14896" s="82"/>
    </row>
    <row r="14897" spans="1:3" x14ac:dyDescent="0.2">
      <c r="A14897" s="82"/>
      <c r="B14897" s="82"/>
      <c r="C14897" s="82"/>
    </row>
    <row r="14898" spans="1:3" x14ac:dyDescent="0.2">
      <c r="A14898" s="82"/>
      <c r="B14898" s="82"/>
      <c r="C14898" s="82"/>
    </row>
    <row r="14899" spans="1:3" x14ac:dyDescent="0.2">
      <c r="A14899" s="82"/>
      <c r="B14899" s="82"/>
      <c r="C14899" s="82"/>
    </row>
    <row r="14900" spans="1:3" x14ac:dyDescent="0.2">
      <c r="A14900" s="82"/>
      <c r="B14900" s="82"/>
      <c r="C14900" s="82"/>
    </row>
    <row r="14901" spans="1:3" x14ac:dyDescent="0.2">
      <c r="A14901" s="82"/>
      <c r="B14901" s="82"/>
      <c r="C14901" s="82"/>
    </row>
    <row r="14902" spans="1:3" x14ac:dyDescent="0.2">
      <c r="A14902" s="82"/>
      <c r="B14902" s="82"/>
      <c r="C14902" s="82"/>
    </row>
    <row r="14903" spans="1:3" x14ac:dyDescent="0.2">
      <c r="A14903" s="82"/>
      <c r="B14903" s="82"/>
      <c r="C14903" s="82"/>
    </row>
    <row r="14904" spans="1:3" x14ac:dyDescent="0.2">
      <c r="A14904" s="82"/>
      <c r="B14904" s="82"/>
      <c r="C14904" s="82"/>
    </row>
    <row r="14905" spans="1:3" x14ac:dyDescent="0.2">
      <c r="A14905" s="82"/>
      <c r="B14905" s="82"/>
      <c r="C14905" s="82"/>
    </row>
    <row r="14906" spans="1:3" x14ac:dyDescent="0.2">
      <c r="A14906" s="82"/>
      <c r="B14906" s="82"/>
      <c r="C14906" s="82"/>
    </row>
    <row r="14907" spans="1:3" x14ac:dyDescent="0.2">
      <c r="A14907" s="82"/>
      <c r="B14907" s="82"/>
      <c r="C14907" s="82"/>
    </row>
    <row r="14908" spans="1:3" x14ac:dyDescent="0.2">
      <c r="A14908" s="82"/>
      <c r="B14908" s="82"/>
      <c r="C14908" s="82"/>
    </row>
    <row r="14909" spans="1:3" x14ac:dyDescent="0.2">
      <c r="A14909" s="82"/>
      <c r="B14909" s="82"/>
      <c r="C14909" s="82"/>
    </row>
    <row r="14910" spans="1:3" x14ac:dyDescent="0.2">
      <c r="A14910" s="82"/>
      <c r="B14910" s="82"/>
      <c r="C14910" s="82"/>
    </row>
    <row r="14911" spans="1:3" x14ac:dyDescent="0.2">
      <c r="A14911" s="82"/>
      <c r="B14911" s="82"/>
      <c r="C14911" s="82"/>
    </row>
    <row r="14912" spans="1:3" x14ac:dyDescent="0.2">
      <c r="A14912" s="82"/>
      <c r="B14912" s="82"/>
      <c r="C14912" s="82"/>
    </row>
    <row r="14913" spans="1:3" x14ac:dyDescent="0.2">
      <c r="A14913" s="82"/>
      <c r="B14913" s="82"/>
      <c r="C14913" s="82"/>
    </row>
    <row r="14914" spans="1:3" x14ac:dyDescent="0.2">
      <c r="A14914" s="82"/>
      <c r="B14914" s="82"/>
      <c r="C14914" s="82"/>
    </row>
    <row r="14915" spans="1:3" x14ac:dyDescent="0.2">
      <c r="A14915" s="82"/>
      <c r="B14915" s="82"/>
      <c r="C14915" s="82"/>
    </row>
    <row r="14916" spans="1:3" x14ac:dyDescent="0.2">
      <c r="A14916" s="82"/>
      <c r="B14916" s="82"/>
      <c r="C14916" s="82"/>
    </row>
    <row r="14917" spans="1:3" x14ac:dyDescent="0.2">
      <c r="A14917" s="82"/>
      <c r="B14917" s="82"/>
      <c r="C14917" s="82"/>
    </row>
    <row r="14918" spans="1:3" x14ac:dyDescent="0.2">
      <c r="A14918" s="82"/>
      <c r="B14918" s="82"/>
      <c r="C14918" s="82"/>
    </row>
    <row r="14919" spans="1:3" x14ac:dyDescent="0.2">
      <c r="A14919" s="82"/>
      <c r="B14919" s="82"/>
      <c r="C14919" s="82"/>
    </row>
    <row r="14920" spans="1:3" x14ac:dyDescent="0.2">
      <c r="A14920" s="82"/>
      <c r="B14920" s="82"/>
      <c r="C14920" s="82"/>
    </row>
    <row r="14921" spans="1:3" x14ac:dyDescent="0.2">
      <c r="A14921" s="82"/>
      <c r="B14921" s="82"/>
      <c r="C14921" s="82"/>
    </row>
    <row r="14922" spans="1:3" x14ac:dyDescent="0.2">
      <c r="A14922" s="82"/>
      <c r="B14922" s="82"/>
      <c r="C14922" s="82"/>
    </row>
    <row r="14923" spans="1:3" x14ac:dyDescent="0.2">
      <c r="A14923" s="82"/>
      <c r="B14923" s="82"/>
      <c r="C14923" s="82"/>
    </row>
    <row r="14924" spans="1:3" x14ac:dyDescent="0.2">
      <c r="A14924" s="82"/>
      <c r="B14924" s="82"/>
      <c r="C14924" s="82"/>
    </row>
    <row r="14925" spans="1:3" x14ac:dyDescent="0.2">
      <c r="A14925" s="82"/>
      <c r="B14925" s="82"/>
      <c r="C14925" s="82"/>
    </row>
    <row r="14926" spans="1:3" x14ac:dyDescent="0.2">
      <c r="A14926" s="82"/>
      <c r="B14926" s="82"/>
      <c r="C14926" s="82"/>
    </row>
    <row r="14927" spans="1:3" x14ac:dyDescent="0.2">
      <c r="A14927" s="82"/>
      <c r="B14927" s="82"/>
      <c r="C14927" s="82"/>
    </row>
    <row r="14928" spans="1:3" x14ac:dyDescent="0.2">
      <c r="A14928" s="82"/>
      <c r="B14928" s="82"/>
      <c r="C14928" s="82"/>
    </row>
    <row r="14929" spans="1:3" x14ac:dyDescent="0.2">
      <c r="A14929" s="82"/>
      <c r="B14929" s="82"/>
      <c r="C14929" s="82"/>
    </row>
    <row r="14930" spans="1:3" x14ac:dyDescent="0.2">
      <c r="A14930" s="82"/>
      <c r="B14930" s="82"/>
      <c r="C14930" s="82"/>
    </row>
    <row r="14931" spans="1:3" x14ac:dyDescent="0.2">
      <c r="A14931" s="82"/>
      <c r="B14931" s="82"/>
      <c r="C14931" s="82"/>
    </row>
    <row r="14932" spans="1:3" x14ac:dyDescent="0.2">
      <c r="A14932" s="82"/>
      <c r="B14932" s="82"/>
      <c r="C14932" s="82"/>
    </row>
    <row r="14933" spans="1:3" x14ac:dyDescent="0.2">
      <c r="A14933" s="82"/>
      <c r="B14933" s="82"/>
      <c r="C14933" s="82"/>
    </row>
    <row r="14934" spans="1:3" x14ac:dyDescent="0.2">
      <c r="A14934" s="82"/>
      <c r="B14934" s="82"/>
      <c r="C14934" s="82"/>
    </row>
    <row r="14935" spans="1:3" x14ac:dyDescent="0.2">
      <c r="A14935" s="82"/>
      <c r="B14935" s="82"/>
      <c r="C14935" s="82"/>
    </row>
    <row r="14936" spans="1:3" x14ac:dyDescent="0.2">
      <c r="A14936" s="82"/>
      <c r="B14936" s="82"/>
      <c r="C14936" s="82"/>
    </row>
    <row r="14937" spans="1:3" x14ac:dyDescent="0.2">
      <c r="A14937" s="82"/>
      <c r="B14937" s="82"/>
      <c r="C14937" s="82"/>
    </row>
    <row r="14938" spans="1:3" x14ac:dyDescent="0.2">
      <c r="A14938" s="82"/>
      <c r="B14938" s="82"/>
      <c r="C14938" s="82"/>
    </row>
    <row r="14939" spans="1:3" x14ac:dyDescent="0.2">
      <c r="A14939" s="82"/>
      <c r="B14939" s="82"/>
      <c r="C14939" s="82"/>
    </row>
    <row r="14940" spans="1:3" x14ac:dyDescent="0.2">
      <c r="A14940" s="82"/>
      <c r="B14940" s="82"/>
      <c r="C14940" s="82"/>
    </row>
    <row r="14941" spans="1:3" x14ac:dyDescent="0.2">
      <c r="A14941" s="82"/>
      <c r="B14941" s="82"/>
      <c r="C14941" s="82"/>
    </row>
    <row r="14942" spans="1:3" x14ac:dyDescent="0.2">
      <c r="A14942" s="82"/>
      <c r="B14942" s="82"/>
      <c r="C14942" s="82"/>
    </row>
    <row r="14943" spans="1:3" x14ac:dyDescent="0.2">
      <c r="A14943" s="82"/>
      <c r="B14943" s="82"/>
      <c r="C14943" s="82"/>
    </row>
    <row r="14944" spans="1:3" x14ac:dyDescent="0.2">
      <c r="A14944" s="82"/>
      <c r="B14944" s="82"/>
      <c r="C14944" s="82"/>
    </row>
    <row r="14945" spans="1:3" x14ac:dyDescent="0.2">
      <c r="A14945" s="82"/>
      <c r="B14945" s="82"/>
      <c r="C14945" s="82"/>
    </row>
    <row r="14946" spans="1:3" x14ac:dyDescent="0.2">
      <c r="A14946" s="82"/>
      <c r="B14946" s="82"/>
      <c r="C14946" s="82"/>
    </row>
    <row r="14947" spans="1:3" x14ac:dyDescent="0.2">
      <c r="A14947" s="82"/>
      <c r="B14947" s="82"/>
      <c r="C14947" s="82"/>
    </row>
    <row r="14948" spans="1:3" x14ac:dyDescent="0.2">
      <c r="A14948" s="82"/>
      <c r="B14948" s="82"/>
      <c r="C14948" s="82"/>
    </row>
    <row r="14949" spans="1:3" x14ac:dyDescent="0.2">
      <c r="A14949" s="82"/>
      <c r="B14949" s="82"/>
      <c r="C14949" s="82"/>
    </row>
    <row r="14950" spans="1:3" x14ac:dyDescent="0.2">
      <c r="A14950" s="82"/>
      <c r="B14950" s="82"/>
      <c r="C14950" s="82"/>
    </row>
    <row r="14951" spans="1:3" x14ac:dyDescent="0.2">
      <c r="A14951" s="82"/>
      <c r="B14951" s="82"/>
      <c r="C14951" s="82"/>
    </row>
    <row r="14952" spans="1:3" x14ac:dyDescent="0.2">
      <c r="A14952" s="82"/>
      <c r="B14952" s="82"/>
      <c r="C14952" s="82"/>
    </row>
    <row r="14953" spans="1:3" x14ac:dyDescent="0.2">
      <c r="A14953" s="82"/>
      <c r="B14953" s="82"/>
      <c r="C14953" s="82"/>
    </row>
    <row r="14954" spans="1:3" x14ac:dyDescent="0.2">
      <c r="A14954" s="82"/>
      <c r="B14954" s="82"/>
      <c r="C14954" s="82"/>
    </row>
    <row r="14955" spans="1:3" x14ac:dyDescent="0.2">
      <c r="A14955" s="82"/>
      <c r="B14955" s="82"/>
      <c r="C14955" s="82"/>
    </row>
    <row r="14956" spans="1:3" x14ac:dyDescent="0.2">
      <c r="A14956" s="82"/>
      <c r="B14956" s="82"/>
      <c r="C14956" s="82"/>
    </row>
    <row r="14957" spans="1:3" x14ac:dyDescent="0.2">
      <c r="A14957" s="82"/>
      <c r="B14957" s="82"/>
      <c r="C14957" s="82"/>
    </row>
    <row r="14958" spans="1:3" x14ac:dyDescent="0.2">
      <c r="A14958" s="82"/>
      <c r="B14958" s="82"/>
      <c r="C14958" s="82"/>
    </row>
    <row r="14959" spans="1:3" x14ac:dyDescent="0.2">
      <c r="A14959" s="82"/>
      <c r="B14959" s="82"/>
      <c r="C14959" s="82"/>
    </row>
    <row r="14960" spans="1:3" x14ac:dyDescent="0.2">
      <c r="A14960" s="82"/>
      <c r="B14960" s="82"/>
      <c r="C14960" s="82"/>
    </row>
    <row r="14961" spans="1:3" x14ac:dyDescent="0.2">
      <c r="A14961" s="82"/>
      <c r="B14961" s="82"/>
      <c r="C14961" s="82"/>
    </row>
    <row r="14962" spans="1:3" x14ac:dyDescent="0.2">
      <c r="A14962" s="82"/>
      <c r="B14962" s="82"/>
      <c r="C14962" s="82"/>
    </row>
    <row r="14963" spans="1:3" x14ac:dyDescent="0.2">
      <c r="A14963" s="82"/>
      <c r="B14963" s="82"/>
      <c r="C14963" s="82"/>
    </row>
    <row r="14964" spans="1:3" x14ac:dyDescent="0.2">
      <c r="A14964" s="82"/>
      <c r="B14964" s="82"/>
      <c r="C14964" s="82"/>
    </row>
    <row r="14965" spans="1:3" x14ac:dyDescent="0.2">
      <c r="A14965" s="82"/>
      <c r="B14965" s="82"/>
      <c r="C14965" s="82"/>
    </row>
    <row r="14966" spans="1:3" x14ac:dyDescent="0.2">
      <c r="A14966" s="82"/>
      <c r="B14966" s="82"/>
      <c r="C14966" s="82"/>
    </row>
    <row r="14967" spans="1:3" x14ac:dyDescent="0.2">
      <c r="A14967" s="82"/>
      <c r="B14967" s="82"/>
      <c r="C14967" s="82"/>
    </row>
    <row r="14968" spans="1:3" x14ac:dyDescent="0.2">
      <c r="A14968" s="82"/>
      <c r="B14968" s="82"/>
      <c r="C14968" s="82"/>
    </row>
    <row r="14969" spans="1:3" x14ac:dyDescent="0.2">
      <c r="A14969" s="82"/>
      <c r="B14969" s="82"/>
      <c r="C14969" s="82"/>
    </row>
    <row r="14970" spans="1:3" x14ac:dyDescent="0.2">
      <c r="A14970" s="82"/>
      <c r="B14970" s="82"/>
      <c r="C14970" s="82"/>
    </row>
    <row r="14971" spans="1:3" x14ac:dyDescent="0.2">
      <c r="A14971" s="82"/>
      <c r="B14971" s="82"/>
      <c r="C14971" s="82"/>
    </row>
    <row r="14972" spans="1:3" x14ac:dyDescent="0.2">
      <c r="A14972" s="82"/>
      <c r="B14972" s="82"/>
      <c r="C14972" s="82"/>
    </row>
    <row r="14973" spans="1:3" x14ac:dyDescent="0.2">
      <c r="A14973" s="82"/>
      <c r="B14973" s="82"/>
      <c r="C14973" s="82"/>
    </row>
    <row r="14974" spans="1:3" x14ac:dyDescent="0.2">
      <c r="A14974" s="82"/>
      <c r="B14974" s="82"/>
      <c r="C14974" s="82"/>
    </row>
    <row r="14975" spans="1:3" x14ac:dyDescent="0.2">
      <c r="A14975" s="82"/>
      <c r="B14975" s="82"/>
      <c r="C14975" s="82"/>
    </row>
    <row r="14976" spans="1:3" x14ac:dyDescent="0.2">
      <c r="A14976" s="82"/>
      <c r="B14976" s="82"/>
      <c r="C14976" s="82"/>
    </row>
    <row r="14977" spans="1:3" x14ac:dyDescent="0.2">
      <c r="A14977" s="82"/>
      <c r="B14977" s="82"/>
      <c r="C14977" s="82"/>
    </row>
    <row r="14978" spans="1:3" x14ac:dyDescent="0.2">
      <c r="A14978" s="82"/>
      <c r="B14978" s="82"/>
      <c r="C14978" s="82"/>
    </row>
    <row r="14979" spans="1:3" x14ac:dyDescent="0.2">
      <c r="A14979" s="82"/>
      <c r="B14979" s="82"/>
      <c r="C14979" s="82"/>
    </row>
    <row r="14980" spans="1:3" x14ac:dyDescent="0.2">
      <c r="A14980" s="82"/>
      <c r="B14980" s="82"/>
      <c r="C14980" s="82"/>
    </row>
    <row r="14981" spans="1:3" x14ac:dyDescent="0.2">
      <c r="A14981" s="82"/>
      <c r="B14981" s="82"/>
      <c r="C14981" s="82"/>
    </row>
    <row r="14982" spans="1:3" x14ac:dyDescent="0.2">
      <c r="A14982" s="82"/>
      <c r="B14982" s="82"/>
      <c r="C14982" s="82"/>
    </row>
    <row r="14983" spans="1:3" x14ac:dyDescent="0.2">
      <c r="A14983" s="82"/>
      <c r="B14983" s="82"/>
      <c r="C14983" s="82"/>
    </row>
    <row r="14984" spans="1:3" x14ac:dyDescent="0.2">
      <c r="A14984" s="82"/>
      <c r="B14984" s="82"/>
      <c r="C14984" s="82"/>
    </row>
    <row r="14985" spans="1:3" x14ac:dyDescent="0.2">
      <c r="A14985" s="82"/>
      <c r="B14985" s="82"/>
      <c r="C14985" s="82"/>
    </row>
    <row r="14986" spans="1:3" x14ac:dyDescent="0.2">
      <c r="A14986" s="82"/>
      <c r="B14986" s="82"/>
      <c r="C14986" s="82"/>
    </row>
    <row r="14987" spans="1:3" x14ac:dyDescent="0.2">
      <c r="A14987" s="82"/>
      <c r="B14987" s="82"/>
      <c r="C14987" s="82"/>
    </row>
    <row r="14988" spans="1:3" x14ac:dyDescent="0.2">
      <c r="A14988" s="82"/>
      <c r="B14988" s="82"/>
      <c r="C14988" s="82"/>
    </row>
    <row r="14989" spans="1:3" x14ac:dyDescent="0.2">
      <c r="A14989" s="82"/>
      <c r="B14989" s="82"/>
      <c r="C14989" s="82"/>
    </row>
    <row r="14990" spans="1:3" x14ac:dyDescent="0.2">
      <c r="A14990" s="82"/>
      <c r="B14990" s="82"/>
      <c r="C14990" s="82"/>
    </row>
    <row r="14991" spans="1:3" x14ac:dyDescent="0.2">
      <c r="A14991" s="82"/>
      <c r="B14991" s="82"/>
      <c r="C14991" s="82"/>
    </row>
    <row r="14992" spans="1:3" x14ac:dyDescent="0.2">
      <c r="A14992" s="82"/>
      <c r="B14992" s="82"/>
      <c r="C14992" s="82"/>
    </row>
    <row r="14993" spans="1:3" x14ac:dyDescent="0.2">
      <c r="A14993" s="82"/>
      <c r="B14993" s="82"/>
      <c r="C14993" s="82"/>
    </row>
    <row r="14994" spans="1:3" x14ac:dyDescent="0.2">
      <c r="A14994" s="82"/>
      <c r="B14994" s="82"/>
      <c r="C14994" s="82"/>
    </row>
    <row r="14995" spans="1:3" x14ac:dyDescent="0.2">
      <c r="A14995" s="82"/>
      <c r="B14995" s="82"/>
      <c r="C14995" s="82"/>
    </row>
    <row r="14996" spans="1:3" x14ac:dyDescent="0.2">
      <c r="A14996" s="82"/>
      <c r="B14996" s="82"/>
      <c r="C14996" s="82"/>
    </row>
    <row r="14997" spans="1:3" x14ac:dyDescent="0.2">
      <c r="A14997" s="82"/>
      <c r="B14997" s="82"/>
      <c r="C14997" s="82"/>
    </row>
    <row r="14998" spans="1:3" x14ac:dyDescent="0.2">
      <c r="A14998" s="82"/>
      <c r="B14998" s="82"/>
      <c r="C14998" s="82"/>
    </row>
    <row r="14999" spans="1:3" x14ac:dyDescent="0.2">
      <c r="A14999" s="82"/>
      <c r="B14999" s="82"/>
      <c r="C14999" s="82"/>
    </row>
    <row r="15000" spans="1:3" x14ac:dyDescent="0.2">
      <c r="A15000" s="82"/>
      <c r="B15000" s="82"/>
      <c r="C15000" s="82"/>
    </row>
    <row r="15001" spans="1:3" x14ac:dyDescent="0.2">
      <c r="A15001" s="82"/>
      <c r="B15001" s="82"/>
      <c r="C15001" s="82"/>
    </row>
    <row r="15002" spans="1:3" x14ac:dyDescent="0.2">
      <c r="A15002" s="82"/>
      <c r="B15002" s="82"/>
      <c r="C15002" s="82"/>
    </row>
    <row r="15003" spans="1:3" x14ac:dyDescent="0.2">
      <c r="A15003" s="82"/>
      <c r="B15003" s="82"/>
      <c r="C15003" s="82"/>
    </row>
    <row r="15004" spans="1:3" x14ac:dyDescent="0.2">
      <c r="A15004" s="82"/>
      <c r="B15004" s="82"/>
      <c r="C15004" s="82"/>
    </row>
    <row r="15005" spans="1:3" x14ac:dyDescent="0.2">
      <c r="A15005" s="82"/>
      <c r="B15005" s="82"/>
      <c r="C15005" s="82"/>
    </row>
    <row r="15006" spans="1:3" x14ac:dyDescent="0.2">
      <c r="A15006" s="82"/>
      <c r="B15006" s="82"/>
      <c r="C15006" s="82"/>
    </row>
    <row r="15007" spans="1:3" x14ac:dyDescent="0.2">
      <c r="A15007" s="82"/>
      <c r="B15007" s="82"/>
      <c r="C15007" s="82"/>
    </row>
    <row r="15008" spans="1:3" x14ac:dyDescent="0.2">
      <c r="A15008" s="82"/>
      <c r="B15008" s="82"/>
      <c r="C15008" s="82"/>
    </row>
    <row r="15009" spans="1:3" x14ac:dyDescent="0.2">
      <c r="A15009" s="82"/>
      <c r="B15009" s="82"/>
      <c r="C15009" s="82"/>
    </row>
    <row r="15010" spans="1:3" x14ac:dyDescent="0.2">
      <c r="A15010" s="82"/>
      <c r="B15010" s="82"/>
      <c r="C15010" s="82"/>
    </row>
    <row r="15011" spans="1:3" x14ac:dyDescent="0.2">
      <c r="A15011" s="82"/>
      <c r="B15011" s="82"/>
      <c r="C15011" s="82"/>
    </row>
    <row r="15012" spans="1:3" x14ac:dyDescent="0.2">
      <c r="A15012" s="82"/>
      <c r="B15012" s="82"/>
      <c r="C15012" s="82"/>
    </row>
    <row r="15013" spans="1:3" x14ac:dyDescent="0.2">
      <c r="A15013" s="82"/>
      <c r="B15013" s="82"/>
      <c r="C15013" s="82"/>
    </row>
    <row r="15014" spans="1:3" x14ac:dyDescent="0.2">
      <c r="A15014" s="82"/>
      <c r="B15014" s="82"/>
      <c r="C15014" s="82"/>
    </row>
    <row r="15015" spans="1:3" x14ac:dyDescent="0.2">
      <c r="A15015" s="82"/>
      <c r="B15015" s="82"/>
      <c r="C15015" s="82"/>
    </row>
    <row r="15016" spans="1:3" x14ac:dyDescent="0.2">
      <c r="A15016" s="82"/>
      <c r="B15016" s="82"/>
      <c r="C15016" s="82"/>
    </row>
    <row r="15017" spans="1:3" x14ac:dyDescent="0.2">
      <c r="A15017" s="82"/>
      <c r="B15017" s="82"/>
      <c r="C15017" s="82"/>
    </row>
    <row r="15018" spans="1:3" x14ac:dyDescent="0.2">
      <c r="A15018" s="82"/>
      <c r="B15018" s="82"/>
      <c r="C15018" s="82"/>
    </row>
    <row r="15019" spans="1:3" x14ac:dyDescent="0.2">
      <c r="A15019" s="82"/>
      <c r="B15019" s="82"/>
      <c r="C15019" s="82"/>
    </row>
    <row r="15020" spans="1:3" x14ac:dyDescent="0.2">
      <c r="A15020" s="82"/>
      <c r="B15020" s="82"/>
      <c r="C15020" s="82"/>
    </row>
    <row r="15021" spans="1:3" x14ac:dyDescent="0.2">
      <c r="A15021" s="82"/>
      <c r="B15021" s="82"/>
      <c r="C15021" s="82"/>
    </row>
    <row r="15022" spans="1:3" x14ac:dyDescent="0.2">
      <c r="A15022" s="82"/>
      <c r="B15022" s="82"/>
      <c r="C15022" s="82"/>
    </row>
    <row r="15023" spans="1:3" x14ac:dyDescent="0.2">
      <c r="A15023" s="82"/>
      <c r="B15023" s="82"/>
      <c r="C15023" s="82"/>
    </row>
    <row r="15024" spans="1:3" x14ac:dyDescent="0.2">
      <c r="A15024" s="82"/>
      <c r="B15024" s="82"/>
      <c r="C15024" s="82"/>
    </row>
    <row r="15025" spans="1:3" x14ac:dyDescent="0.2">
      <c r="A15025" s="82"/>
      <c r="B15025" s="82"/>
      <c r="C15025" s="82"/>
    </row>
    <row r="15026" spans="1:3" x14ac:dyDescent="0.2">
      <c r="A15026" s="82"/>
      <c r="B15026" s="82"/>
      <c r="C15026" s="82"/>
    </row>
    <row r="15027" spans="1:3" x14ac:dyDescent="0.2">
      <c r="A15027" s="82"/>
      <c r="B15027" s="82"/>
      <c r="C15027" s="82"/>
    </row>
    <row r="15028" spans="1:3" x14ac:dyDescent="0.2">
      <c r="A15028" s="82"/>
      <c r="B15028" s="82"/>
      <c r="C15028" s="82"/>
    </row>
    <row r="15029" spans="1:3" x14ac:dyDescent="0.2">
      <c r="A15029" s="82"/>
      <c r="B15029" s="82"/>
      <c r="C15029" s="82"/>
    </row>
    <row r="15030" spans="1:3" x14ac:dyDescent="0.2">
      <c r="A15030" s="82"/>
      <c r="B15030" s="82"/>
      <c r="C15030" s="82"/>
    </row>
    <row r="15031" spans="1:3" x14ac:dyDescent="0.2">
      <c r="A15031" s="82"/>
      <c r="B15031" s="82"/>
      <c r="C15031" s="82"/>
    </row>
    <row r="15032" spans="1:3" x14ac:dyDescent="0.2">
      <c r="A15032" s="82"/>
      <c r="B15032" s="82"/>
      <c r="C15032" s="82"/>
    </row>
    <row r="15033" spans="1:3" x14ac:dyDescent="0.2">
      <c r="A15033" s="82"/>
      <c r="B15033" s="82"/>
      <c r="C15033" s="82"/>
    </row>
    <row r="15034" spans="1:3" x14ac:dyDescent="0.2">
      <c r="A15034" s="82"/>
      <c r="B15034" s="82"/>
      <c r="C15034" s="82"/>
    </row>
    <row r="15035" spans="1:3" x14ac:dyDescent="0.2">
      <c r="A15035" s="82"/>
      <c r="B15035" s="82"/>
      <c r="C15035" s="82"/>
    </row>
    <row r="15036" spans="1:3" x14ac:dyDescent="0.2">
      <c r="A15036" s="82"/>
      <c r="B15036" s="82"/>
      <c r="C15036" s="82"/>
    </row>
    <row r="15037" spans="1:3" x14ac:dyDescent="0.2">
      <c r="A15037" s="82"/>
      <c r="B15037" s="82"/>
      <c r="C15037" s="82"/>
    </row>
    <row r="15038" spans="1:3" x14ac:dyDescent="0.2">
      <c r="A15038" s="82"/>
      <c r="B15038" s="82"/>
      <c r="C15038" s="82"/>
    </row>
    <row r="15039" spans="1:3" x14ac:dyDescent="0.2">
      <c r="A15039" s="82"/>
      <c r="B15039" s="82"/>
      <c r="C15039" s="82"/>
    </row>
    <row r="15040" spans="1:3" x14ac:dyDescent="0.2">
      <c r="A15040" s="82"/>
      <c r="B15040" s="82"/>
      <c r="C15040" s="82"/>
    </row>
    <row r="15041" spans="1:3" x14ac:dyDescent="0.2">
      <c r="A15041" s="82"/>
      <c r="B15041" s="82"/>
      <c r="C15041" s="82"/>
    </row>
    <row r="15042" spans="1:3" x14ac:dyDescent="0.2">
      <c r="A15042" s="82"/>
      <c r="B15042" s="82"/>
      <c r="C15042" s="82"/>
    </row>
    <row r="15043" spans="1:3" x14ac:dyDescent="0.2">
      <c r="A15043" s="82"/>
      <c r="B15043" s="82"/>
      <c r="C15043" s="82"/>
    </row>
    <row r="15044" spans="1:3" x14ac:dyDescent="0.2">
      <c r="A15044" s="82"/>
      <c r="B15044" s="82"/>
      <c r="C15044" s="82"/>
    </row>
    <row r="15045" spans="1:3" x14ac:dyDescent="0.2">
      <c r="A15045" s="82"/>
      <c r="B15045" s="82"/>
      <c r="C15045" s="82"/>
    </row>
    <row r="15046" spans="1:3" x14ac:dyDescent="0.2">
      <c r="A15046" s="82"/>
      <c r="B15046" s="82"/>
      <c r="C15046" s="82"/>
    </row>
    <row r="15047" spans="1:3" x14ac:dyDescent="0.2">
      <c r="A15047" s="82"/>
      <c r="B15047" s="82"/>
      <c r="C15047" s="82"/>
    </row>
    <row r="15048" spans="1:3" x14ac:dyDescent="0.2">
      <c r="A15048" s="82"/>
      <c r="B15048" s="82"/>
      <c r="C15048" s="82"/>
    </row>
    <row r="15049" spans="1:3" x14ac:dyDescent="0.2">
      <c r="A15049" s="82"/>
      <c r="B15049" s="82"/>
      <c r="C15049" s="82"/>
    </row>
    <row r="15050" spans="1:3" x14ac:dyDescent="0.2">
      <c r="A15050" s="82"/>
      <c r="B15050" s="82"/>
      <c r="C15050" s="82"/>
    </row>
    <row r="15051" spans="1:3" x14ac:dyDescent="0.2">
      <c r="A15051" s="82"/>
      <c r="B15051" s="82"/>
      <c r="C15051" s="82"/>
    </row>
    <row r="15052" spans="1:3" x14ac:dyDescent="0.2">
      <c r="A15052" s="82"/>
      <c r="B15052" s="82"/>
      <c r="C15052" s="82"/>
    </row>
    <row r="15053" spans="1:3" x14ac:dyDescent="0.2">
      <c r="A15053" s="82"/>
      <c r="B15053" s="82"/>
      <c r="C15053" s="82"/>
    </row>
    <row r="15054" spans="1:3" x14ac:dyDescent="0.2">
      <c r="A15054" s="82"/>
      <c r="B15054" s="82"/>
      <c r="C15054" s="82"/>
    </row>
    <row r="15055" spans="1:3" x14ac:dyDescent="0.2">
      <c r="A15055" s="82"/>
      <c r="B15055" s="82"/>
      <c r="C15055" s="82"/>
    </row>
    <row r="15056" spans="1:3" x14ac:dyDescent="0.2">
      <c r="A15056" s="82"/>
      <c r="B15056" s="82"/>
      <c r="C15056" s="82"/>
    </row>
    <row r="15057" spans="1:3" x14ac:dyDescent="0.2">
      <c r="A15057" s="82"/>
      <c r="B15057" s="82"/>
      <c r="C15057" s="82"/>
    </row>
    <row r="15058" spans="1:3" x14ac:dyDescent="0.2">
      <c r="A15058" s="82"/>
      <c r="B15058" s="82"/>
      <c r="C15058" s="82"/>
    </row>
    <row r="15059" spans="1:3" x14ac:dyDescent="0.2">
      <c r="A15059" s="82"/>
      <c r="B15059" s="82"/>
      <c r="C15059" s="82"/>
    </row>
    <row r="15060" spans="1:3" x14ac:dyDescent="0.2">
      <c r="A15060" s="82"/>
      <c r="B15060" s="82"/>
      <c r="C15060" s="82"/>
    </row>
    <row r="15061" spans="1:3" x14ac:dyDescent="0.2">
      <c r="A15061" s="82"/>
      <c r="B15061" s="82"/>
      <c r="C15061" s="82"/>
    </row>
    <row r="15062" spans="1:3" x14ac:dyDescent="0.2">
      <c r="A15062" s="82"/>
      <c r="B15062" s="82"/>
      <c r="C15062" s="82"/>
    </row>
    <row r="15063" spans="1:3" x14ac:dyDescent="0.2">
      <c r="A15063" s="82"/>
      <c r="B15063" s="82"/>
      <c r="C15063" s="82"/>
    </row>
    <row r="15064" spans="1:3" x14ac:dyDescent="0.2">
      <c r="A15064" s="82"/>
      <c r="B15064" s="82"/>
      <c r="C15064" s="82"/>
    </row>
    <row r="15065" spans="1:3" x14ac:dyDescent="0.2">
      <c r="A15065" s="82"/>
      <c r="B15065" s="82"/>
      <c r="C15065" s="82"/>
    </row>
    <row r="15066" spans="1:3" x14ac:dyDescent="0.2">
      <c r="A15066" s="82"/>
      <c r="B15066" s="82"/>
      <c r="C15066" s="82"/>
    </row>
    <row r="15067" spans="1:3" x14ac:dyDescent="0.2">
      <c r="A15067" s="82"/>
      <c r="B15067" s="82"/>
      <c r="C15067" s="82"/>
    </row>
    <row r="15068" spans="1:3" x14ac:dyDescent="0.2">
      <c r="A15068" s="82"/>
      <c r="B15068" s="82"/>
      <c r="C15068" s="82"/>
    </row>
    <row r="15069" spans="1:3" x14ac:dyDescent="0.2">
      <c r="A15069" s="82"/>
      <c r="B15069" s="82"/>
      <c r="C15069" s="82"/>
    </row>
    <row r="15070" spans="1:3" x14ac:dyDescent="0.2">
      <c r="A15070" s="82"/>
      <c r="B15070" s="82"/>
      <c r="C15070" s="82"/>
    </row>
    <row r="15071" spans="1:3" x14ac:dyDescent="0.2">
      <c r="A15071" s="82"/>
      <c r="B15071" s="82"/>
      <c r="C15071" s="82"/>
    </row>
    <row r="15072" spans="1:3" x14ac:dyDescent="0.2">
      <c r="A15072" s="82"/>
      <c r="B15072" s="82"/>
      <c r="C15072" s="82"/>
    </row>
    <row r="15073" spans="1:3" x14ac:dyDescent="0.2">
      <c r="A15073" s="82"/>
      <c r="B15073" s="82"/>
      <c r="C15073" s="82"/>
    </row>
    <row r="15074" spans="1:3" x14ac:dyDescent="0.2">
      <c r="A15074" s="82"/>
      <c r="B15074" s="82"/>
      <c r="C15074" s="82"/>
    </row>
    <row r="15075" spans="1:3" x14ac:dyDescent="0.2">
      <c r="A15075" s="82"/>
      <c r="B15075" s="82"/>
      <c r="C15075" s="82"/>
    </row>
    <row r="15076" spans="1:3" x14ac:dyDescent="0.2">
      <c r="A15076" s="82"/>
      <c r="B15076" s="82"/>
      <c r="C15076" s="82"/>
    </row>
    <row r="15077" spans="1:3" x14ac:dyDescent="0.2">
      <c r="A15077" s="82"/>
      <c r="B15077" s="82"/>
      <c r="C15077" s="82"/>
    </row>
    <row r="15078" spans="1:3" x14ac:dyDescent="0.2">
      <c r="A15078" s="82"/>
      <c r="B15078" s="82"/>
      <c r="C15078" s="82"/>
    </row>
    <row r="15079" spans="1:3" x14ac:dyDescent="0.2">
      <c r="A15079" s="82"/>
      <c r="B15079" s="82"/>
      <c r="C15079" s="82"/>
    </row>
    <row r="15080" spans="1:3" x14ac:dyDescent="0.2">
      <c r="A15080" s="82"/>
      <c r="B15080" s="82"/>
      <c r="C15080" s="82"/>
    </row>
    <row r="15081" spans="1:3" x14ac:dyDescent="0.2">
      <c r="A15081" s="82"/>
      <c r="B15081" s="82"/>
      <c r="C15081" s="82"/>
    </row>
    <row r="15082" spans="1:3" x14ac:dyDescent="0.2">
      <c r="A15082" s="82"/>
      <c r="B15082" s="82"/>
      <c r="C15082" s="82"/>
    </row>
    <row r="15083" spans="1:3" x14ac:dyDescent="0.2">
      <c r="A15083" s="82"/>
      <c r="B15083" s="82"/>
      <c r="C15083" s="82"/>
    </row>
    <row r="15084" spans="1:3" x14ac:dyDescent="0.2">
      <c r="A15084" s="82"/>
      <c r="B15084" s="82"/>
      <c r="C15084" s="82"/>
    </row>
    <row r="15085" spans="1:3" x14ac:dyDescent="0.2">
      <c r="A15085" s="82"/>
      <c r="B15085" s="82"/>
      <c r="C15085" s="82"/>
    </row>
    <row r="15086" spans="1:3" x14ac:dyDescent="0.2">
      <c r="A15086" s="82"/>
      <c r="B15086" s="82"/>
      <c r="C15086" s="82"/>
    </row>
    <row r="15087" spans="1:3" x14ac:dyDescent="0.2">
      <c r="A15087" s="82"/>
      <c r="B15087" s="82"/>
      <c r="C15087" s="82"/>
    </row>
    <row r="15088" spans="1:3" x14ac:dyDescent="0.2">
      <c r="A15088" s="82"/>
      <c r="B15088" s="82"/>
      <c r="C15088" s="82"/>
    </row>
    <row r="15089" spans="1:3" x14ac:dyDescent="0.2">
      <c r="A15089" s="82"/>
      <c r="B15089" s="82"/>
      <c r="C15089" s="82"/>
    </row>
    <row r="15090" spans="1:3" x14ac:dyDescent="0.2">
      <c r="A15090" s="82"/>
      <c r="B15090" s="82"/>
      <c r="C15090" s="82"/>
    </row>
    <row r="15091" spans="1:3" x14ac:dyDescent="0.2">
      <c r="A15091" s="82"/>
      <c r="B15091" s="82"/>
      <c r="C15091" s="82"/>
    </row>
    <row r="15092" spans="1:3" x14ac:dyDescent="0.2">
      <c r="A15092" s="82"/>
      <c r="B15092" s="82"/>
      <c r="C15092" s="82"/>
    </row>
    <row r="15093" spans="1:3" x14ac:dyDescent="0.2">
      <c r="A15093" s="82"/>
      <c r="B15093" s="82"/>
      <c r="C15093" s="82"/>
    </row>
    <row r="15094" spans="1:3" x14ac:dyDescent="0.2">
      <c r="A15094" s="82"/>
      <c r="B15094" s="82"/>
      <c r="C15094" s="82"/>
    </row>
    <row r="15095" spans="1:3" x14ac:dyDescent="0.2">
      <c r="A15095" s="82"/>
      <c r="B15095" s="82"/>
      <c r="C15095" s="82"/>
    </row>
    <row r="15096" spans="1:3" x14ac:dyDescent="0.2">
      <c r="A15096" s="82"/>
      <c r="B15096" s="82"/>
      <c r="C15096" s="82"/>
    </row>
    <row r="15097" spans="1:3" x14ac:dyDescent="0.2">
      <c r="A15097" s="82"/>
      <c r="B15097" s="82"/>
      <c r="C15097" s="82"/>
    </row>
    <row r="15098" spans="1:3" x14ac:dyDescent="0.2">
      <c r="A15098" s="82"/>
      <c r="B15098" s="82"/>
      <c r="C15098" s="82"/>
    </row>
    <row r="15099" spans="1:3" x14ac:dyDescent="0.2">
      <c r="A15099" s="82"/>
      <c r="B15099" s="82"/>
      <c r="C15099" s="82"/>
    </row>
    <row r="15100" spans="1:3" x14ac:dyDescent="0.2">
      <c r="A15100" s="82"/>
      <c r="B15100" s="82"/>
      <c r="C15100" s="82"/>
    </row>
    <row r="15101" spans="1:3" x14ac:dyDescent="0.2">
      <c r="A15101" s="82"/>
      <c r="B15101" s="82"/>
      <c r="C15101" s="82"/>
    </row>
    <row r="15102" spans="1:3" x14ac:dyDescent="0.2">
      <c r="A15102" s="82"/>
      <c r="B15102" s="82"/>
      <c r="C15102" s="82"/>
    </row>
    <row r="15103" spans="1:3" x14ac:dyDescent="0.2">
      <c r="A15103" s="82"/>
      <c r="B15103" s="82"/>
      <c r="C15103" s="82"/>
    </row>
    <row r="15104" spans="1:3" x14ac:dyDescent="0.2">
      <c r="A15104" s="82"/>
      <c r="B15104" s="82"/>
      <c r="C15104" s="82"/>
    </row>
    <row r="15105" spans="1:3" x14ac:dyDescent="0.2">
      <c r="A15105" s="82"/>
      <c r="B15105" s="82"/>
      <c r="C15105" s="82"/>
    </row>
    <row r="15106" spans="1:3" x14ac:dyDescent="0.2">
      <c r="A15106" s="82"/>
      <c r="B15106" s="82"/>
      <c r="C15106" s="82"/>
    </row>
    <row r="15107" spans="1:3" x14ac:dyDescent="0.2">
      <c r="A15107" s="82"/>
      <c r="B15107" s="82"/>
      <c r="C15107" s="82"/>
    </row>
    <row r="15108" spans="1:3" x14ac:dyDescent="0.2">
      <c r="A15108" s="82"/>
      <c r="B15108" s="82"/>
      <c r="C15108" s="82"/>
    </row>
    <row r="15109" spans="1:3" x14ac:dyDescent="0.2">
      <c r="A15109" s="82"/>
      <c r="B15109" s="82"/>
      <c r="C15109" s="82"/>
    </row>
    <row r="15110" spans="1:3" x14ac:dyDescent="0.2">
      <c r="A15110" s="82"/>
      <c r="B15110" s="82"/>
      <c r="C15110" s="82"/>
    </row>
    <row r="15111" spans="1:3" x14ac:dyDescent="0.2">
      <c r="A15111" s="82"/>
      <c r="B15111" s="82"/>
      <c r="C15111" s="82"/>
    </row>
    <row r="15112" spans="1:3" x14ac:dyDescent="0.2">
      <c r="A15112" s="82"/>
      <c r="B15112" s="82"/>
      <c r="C15112" s="82"/>
    </row>
    <row r="15113" spans="1:3" x14ac:dyDescent="0.2">
      <c r="A15113" s="82"/>
      <c r="B15113" s="82"/>
      <c r="C15113" s="82"/>
    </row>
    <row r="15114" spans="1:3" x14ac:dyDescent="0.2">
      <c r="A15114" s="82"/>
      <c r="B15114" s="82"/>
      <c r="C15114" s="82"/>
    </row>
    <row r="15115" spans="1:3" x14ac:dyDescent="0.2">
      <c r="A15115" s="82"/>
      <c r="B15115" s="82"/>
      <c r="C15115" s="82"/>
    </row>
    <row r="15116" spans="1:3" x14ac:dyDescent="0.2">
      <c r="A15116" s="82"/>
      <c r="B15116" s="82"/>
      <c r="C15116" s="82"/>
    </row>
    <row r="15117" spans="1:3" x14ac:dyDescent="0.2">
      <c r="A15117" s="82"/>
      <c r="B15117" s="82"/>
      <c r="C15117" s="82"/>
    </row>
    <row r="15118" spans="1:3" x14ac:dyDescent="0.2">
      <c r="A15118" s="82"/>
      <c r="B15118" s="82"/>
      <c r="C15118" s="82"/>
    </row>
    <row r="15119" spans="1:3" x14ac:dyDescent="0.2">
      <c r="A15119" s="82"/>
      <c r="B15119" s="82"/>
      <c r="C15119" s="82"/>
    </row>
    <row r="15120" spans="1:3" x14ac:dyDescent="0.2">
      <c r="A15120" s="82"/>
      <c r="B15120" s="82"/>
      <c r="C15120" s="82"/>
    </row>
    <row r="15121" spans="1:3" x14ac:dyDescent="0.2">
      <c r="A15121" s="82"/>
      <c r="B15121" s="82"/>
      <c r="C15121" s="82"/>
    </row>
    <row r="15122" spans="1:3" x14ac:dyDescent="0.2">
      <c r="A15122" s="82"/>
      <c r="B15122" s="82"/>
      <c r="C15122" s="82"/>
    </row>
    <row r="15123" spans="1:3" x14ac:dyDescent="0.2">
      <c r="A15123" s="82"/>
      <c r="B15123" s="82"/>
      <c r="C15123" s="82"/>
    </row>
    <row r="15124" spans="1:3" x14ac:dyDescent="0.2">
      <c r="A15124" s="82"/>
      <c r="B15124" s="82"/>
      <c r="C15124" s="82"/>
    </row>
    <row r="15125" spans="1:3" x14ac:dyDescent="0.2">
      <c r="A15125" s="82"/>
      <c r="B15125" s="82"/>
      <c r="C15125" s="82"/>
    </row>
    <row r="15126" spans="1:3" x14ac:dyDescent="0.2">
      <c r="A15126" s="82"/>
      <c r="B15126" s="82"/>
      <c r="C15126" s="82"/>
    </row>
    <row r="15127" spans="1:3" x14ac:dyDescent="0.2">
      <c r="A15127" s="82"/>
      <c r="B15127" s="82"/>
      <c r="C15127" s="82"/>
    </row>
    <row r="15128" spans="1:3" x14ac:dyDescent="0.2">
      <c r="A15128" s="82"/>
      <c r="B15128" s="82"/>
      <c r="C15128" s="82"/>
    </row>
    <row r="15129" spans="1:3" x14ac:dyDescent="0.2">
      <c r="A15129" s="82"/>
      <c r="B15129" s="82"/>
      <c r="C15129" s="82"/>
    </row>
    <row r="15130" spans="1:3" x14ac:dyDescent="0.2">
      <c r="A15130" s="82"/>
      <c r="B15130" s="82"/>
      <c r="C15130" s="82"/>
    </row>
    <row r="15131" spans="1:3" x14ac:dyDescent="0.2">
      <c r="A15131" s="82"/>
      <c r="B15131" s="82"/>
      <c r="C15131" s="82"/>
    </row>
    <row r="15132" spans="1:3" x14ac:dyDescent="0.2">
      <c r="A15132" s="82"/>
      <c r="B15132" s="82"/>
      <c r="C15132" s="82"/>
    </row>
    <row r="15133" spans="1:3" x14ac:dyDescent="0.2">
      <c r="A15133" s="82"/>
      <c r="B15133" s="82"/>
      <c r="C15133" s="82"/>
    </row>
    <row r="15134" spans="1:3" x14ac:dyDescent="0.2">
      <c r="A15134" s="82"/>
      <c r="B15134" s="82"/>
      <c r="C15134" s="82"/>
    </row>
    <row r="15135" spans="1:3" x14ac:dyDescent="0.2">
      <c r="A15135" s="82"/>
      <c r="B15135" s="82"/>
      <c r="C15135" s="82"/>
    </row>
    <row r="15136" spans="1:3" x14ac:dyDescent="0.2">
      <c r="A15136" s="82"/>
      <c r="B15136" s="82"/>
      <c r="C15136" s="82"/>
    </row>
    <row r="15137" spans="1:3" x14ac:dyDescent="0.2">
      <c r="A15137" s="82"/>
      <c r="B15137" s="82"/>
      <c r="C15137" s="82"/>
    </row>
    <row r="15138" spans="1:3" x14ac:dyDescent="0.2">
      <c r="A15138" s="82"/>
      <c r="B15138" s="82"/>
      <c r="C15138" s="82"/>
    </row>
    <row r="15139" spans="1:3" x14ac:dyDescent="0.2">
      <c r="A15139" s="82"/>
      <c r="B15139" s="82"/>
      <c r="C15139" s="82"/>
    </row>
    <row r="15140" spans="1:3" x14ac:dyDescent="0.2">
      <c r="A15140" s="82"/>
      <c r="B15140" s="82"/>
      <c r="C15140" s="82"/>
    </row>
    <row r="15141" spans="1:3" x14ac:dyDescent="0.2">
      <c r="A15141" s="82"/>
      <c r="B15141" s="82"/>
      <c r="C15141" s="82"/>
    </row>
    <row r="15142" spans="1:3" x14ac:dyDescent="0.2">
      <c r="A15142" s="82"/>
      <c r="B15142" s="82"/>
      <c r="C15142" s="82"/>
    </row>
    <row r="15143" spans="1:3" x14ac:dyDescent="0.2">
      <c r="A15143" s="82"/>
      <c r="B15143" s="82"/>
      <c r="C15143" s="82"/>
    </row>
    <row r="15144" spans="1:3" x14ac:dyDescent="0.2">
      <c r="A15144" s="82"/>
      <c r="B15144" s="82"/>
      <c r="C15144" s="82"/>
    </row>
    <row r="15145" spans="1:3" x14ac:dyDescent="0.2">
      <c r="A15145" s="82"/>
      <c r="B15145" s="82"/>
      <c r="C15145" s="82"/>
    </row>
    <row r="15146" spans="1:3" x14ac:dyDescent="0.2">
      <c r="A15146" s="82"/>
      <c r="B15146" s="82"/>
      <c r="C15146" s="82"/>
    </row>
    <row r="15147" spans="1:3" x14ac:dyDescent="0.2">
      <c r="A15147" s="82"/>
      <c r="B15147" s="82"/>
      <c r="C15147" s="82"/>
    </row>
    <row r="15148" spans="1:3" x14ac:dyDescent="0.2">
      <c r="A15148" s="82"/>
      <c r="B15148" s="82"/>
      <c r="C15148" s="82"/>
    </row>
    <row r="15149" spans="1:3" x14ac:dyDescent="0.2">
      <c r="A15149" s="82"/>
      <c r="B15149" s="82"/>
      <c r="C15149" s="82"/>
    </row>
    <row r="15150" spans="1:3" x14ac:dyDescent="0.2">
      <c r="A15150" s="82"/>
      <c r="B15150" s="82"/>
      <c r="C15150" s="82"/>
    </row>
    <row r="15151" spans="1:3" x14ac:dyDescent="0.2">
      <c r="A15151" s="82"/>
      <c r="B15151" s="82"/>
      <c r="C15151" s="82"/>
    </row>
    <row r="15152" spans="1:3" x14ac:dyDescent="0.2">
      <c r="A15152" s="82"/>
      <c r="B15152" s="82"/>
      <c r="C15152" s="82"/>
    </row>
    <row r="15153" spans="1:3" x14ac:dyDescent="0.2">
      <c r="A15153" s="82"/>
      <c r="B15153" s="82"/>
      <c r="C15153" s="82"/>
    </row>
    <row r="15154" spans="1:3" x14ac:dyDescent="0.2">
      <c r="A15154" s="82"/>
      <c r="B15154" s="82"/>
      <c r="C15154" s="82"/>
    </row>
    <row r="15155" spans="1:3" x14ac:dyDescent="0.2">
      <c r="A15155" s="82"/>
      <c r="B15155" s="82"/>
      <c r="C15155" s="82"/>
    </row>
    <row r="15156" spans="1:3" x14ac:dyDescent="0.2">
      <c r="A15156" s="82"/>
      <c r="B15156" s="82"/>
      <c r="C15156" s="82"/>
    </row>
    <row r="15157" spans="1:3" x14ac:dyDescent="0.2">
      <c r="A15157" s="82"/>
      <c r="B15157" s="82"/>
      <c r="C15157" s="82"/>
    </row>
    <row r="15158" spans="1:3" x14ac:dyDescent="0.2">
      <c r="A15158" s="82"/>
      <c r="B15158" s="82"/>
      <c r="C15158" s="82"/>
    </row>
    <row r="15159" spans="1:3" x14ac:dyDescent="0.2">
      <c r="A15159" s="82"/>
      <c r="B15159" s="82"/>
      <c r="C15159" s="82"/>
    </row>
    <row r="15160" spans="1:3" x14ac:dyDescent="0.2">
      <c r="A15160" s="82"/>
      <c r="B15160" s="82"/>
      <c r="C15160" s="82"/>
    </row>
    <row r="15161" spans="1:3" x14ac:dyDescent="0.2">
      <c r="A15161" s="82"/>
      <c r="B15161" s="82"/>
      <c r="C15161" s="82"/>
    </row>
    <row r="15162" spans="1:3" x14ac:dyDescent="0.2">
      <c r="A15162" s="82"/>
      <c r="B15162" s="82"/>
      <c r="C15162" s="82"/>
    </row>
    <row r="15163" spans="1:3" x14ac:dyDescent="0.2">
      <c r="A15163" s="82"/>
      <c r="B15163" s="82"/>
      <c r="C15163" s="82"/>
    </row>
    <row r="15164" spans="1:3" x14ac:dyDescent="0.2">
      <c r="A15164" s="82"/>
      <c r="B15164" s="82"/>
      <c r="C15164" s="82"/>
    </row>
    <row r="15165" spans="1:3" x14ac:dyDescent="0.2">
      <c r="A15165" s="82"/>
      <c r="B15165" s="82"/>
      <c r="C15165" s="82"/>
    </row>
    <row r="15166" spans="1:3" x14ac:dyDescent="0.2">
      <c r="A15166" s="82"/>
      <c r="B15166" s="82"/>
      <c r="C15166" s="82"/>
    </row>
    <row r="15167" spans="1:3" x14ac:dyDescent="0.2">
      <c r="A15167" s="82"/>
      <c r="B15167" s="82"/>
      <c r="C15167" s="82"/>
    </row>
    <row r="15168" spans="1:3" x14ac:dyDescent="0.2">
      <c r="A15168" s="82"/>
      <c r="B15168" s="82"/>
      <c r="C15168" s="82"/>
    </row>
    <row r="15169" spans="1:3" x14ac:dyDescent="0.2">
      <c r="A15169" s="82"/>
      <c r="B15169" s="82"/>
      <c r="C15169" s="82"/>
    </row>
    <row r="15170" spans="1:3" x14ac:dyDescent="0.2">
      <c r="A15170" s="82"/>
      <c r="B15170" s="82"/>
      <c r="C15170" s="82"/>
    </row>
    <row r="15171" spans="1:3" x14ac:dyDescent="0.2">
      <c r="A15171" s="82"/>
      <c r="B15171" s="82"/>
      <c r="C15171" s="82"/>
    </row>
    <row r="15172" spans="1:3" x14ac:dyDescent="0.2">
      <c r="A15172" s="82"/>
      <c r="B15172" s="82"/>
      <c r="C15172" s="82"/>
    </row>
    <row r="15173" spans="1:3" x14ac:dyDescent="0.2">
      <c r="A15173" s="82"/>
      <c r="B15173" s="82"/>
      <c r="C15173" s="82"/>
    </row>
    <row r="15174" spans="1:3" x14ac:dyDescent="0.2">
      <c r="A15174" s="82"/>
      <c r="B15174" s="82"/>
      <c r="C15174" s="82"/>
    </row>
    <row r="15175" spans="1:3" x14ac:dyDescent="0.2">
      <c r="A15175" s="82"/>
      <c r="B15175" s="82"/>
      <c r="C15175" s="82"/>
    </row>
    <row r="15176" spans="1:3" x14ac:dyDescent="0.2">
      <c r="A15176" s="82"/>
      <c r="B15176" s="82"/>
      <c r="C15176" s="82"/>
    </row>
    <row r="15177" spans="1:3" x14ac:dyDescent="0.2">
      <c r="A15177" s="82"/>
      <c r="B15177" s="82"/>
      <c r="C15177" s="82"/>
    </row>
    <row r="15178" spans="1:3" x14ac:dyDescent="0.2">
      <c r="A15178" s="82"/>
      <c r="B15178" s="82"/>
      <c r="C15178" s="82"/>
    </row>
    <row r="15179" spans="1:3" x14ac:dyDescent="0.2">
      <c r="A15179" s="82"/>
      <c r="B15179" s="82"/>
      <c r="C15179" s="82"/>
    </row>
    <row r="15180" spans="1:3" x14ac:dyDescent="0.2">
      <c r="A15180" s="82"/>
      <c r="B15180" s="82"/>
      <c r="C15180" s="82"/>
    </row>
    <row r="15181" spans="1:3" x14ac:dyDescent="0.2">
      <c r="A15181" s="82"/>
      <c r="B15181" s="82"/>
      <c r="C15181" s="82"/>
    </row>
    <row r="15182" spans="1:3" x14ac:dyDescent="0.2">
      <c r="A15182" s="82"/>
      <c r="B15182" s="82"/>
      <c r="C15182" s="82"/>
    </row>
    <row r="15183" spans="1:3" x14ac:dyDescent="0.2">
      <c r="A15183" s="82"/>
      <c r="B15183" s="82"/>
      <c r="C15183" s="82"/>
    </row>
    <row r="15184" spans="1:3" x14ac:dyDescent="0.2">
      <c r="A15184" s="82"/>
      <c r="B15184" s="82"/>
      <c r="C15184" s="82"/>
    </row>
    <row r="15185" spans="1:3" x14ac:dyDescent="0.2">
      <c r="A15185" s="82"/>
      <c r="B15185" s="82"/>
      <c r="C15185" s="82"/>
    </row>
    <row r="15186" spans="1:3" x14ac:dyDescent="0.2">
      <c r="A15186" s="82"/>
      <c r="B15186" s="82"/>
      <c r="C15186" s="82"/>
    </row>
    <row r="15187" spans="1:3" x14ac:dyDescent="0.2">
      <c r="A15187" s="82"/>
      <c r="B15187" s="82"/>
      <c r="C15187" s="82"/>
    </row>
    <row r="15188" spans="1:3" x14ac:dyDescent="0.2">
      <c r="A15188" s="82"/>
      <c r="B15188" s="82"/>
      <c r="C15188" s="82"/>
    </row>
    <row r="15189" spans="1:3" x14ac:dyDescent="0.2">
      <c r="A15189" s="82"/>
      <c r="B15189" s="82"/>
      <c r="C15189" s="82"/>
    </row>
    <row r="15190" spans="1:3" x14ac:dyDescent="0.2">
      <c r="A15190" s="82"/>
      <c r="B15190" s="82"/>
      <c r="C15190" s="82"/>
    </row>
    <row r="15191" spans="1:3" x14ac:dyDescent="0.2">
      <c r="A15191" s="82"/>
      <c r="B15191" s="82"/>
      <c r="C15191" s="82"/>
    </row>
    <row r="15192" spans="1:3" x14ac:dyDescent="0.2">
      <c r="A15192" s="82"/>
      <c r="B15192" s="82"/>
      <c r="C15192" s="82"/>
    </row>
    <row r="15193" spans="1:3" x14ac:dyDescent="0.2">
      <c r="A15193" s="82"/>
      <c r="B15193" s="82"/>
      <c r="C15193" s="82"/>
    </row>
    <row r="15194" spans="1:3" x14ac:dyDescent="0.2">
      <c r="A15194" s="82"/>
      <c r="B15194" s="82"/>
      <c r="C15194" s="82"/>
    </row>
    <row r="15195" spans="1:3" x14ac:dyDescent="0.2">
      <c r="A15195" s="82"/>
      <c r="B15195" s="82"/>
      <c r="C15195" s="82"/>
    </row>
    <row r="15196" spans="1:3" x14ac:dyDescent="0.2">
      <c r="A15196" s="82"/>
      <c r="B15196" s="82"/>
      <c r="C15196" s="82"/>
    </row>
    <row r="15197" spans="1:3" x14ac:dyDescent="0.2">
      <c r="A15197" s="82"/>
      <c r="B15197" s="82"/>
      <c r="C15197" s="82"/>
    </row>
    <row r="15198" spans="1:3" x14ac:dyDescent="0.2">
      <c r="A15198" s="82"/>
      <c r="B15198" s="82"/>
      <c r="C15198" s="82"/>
    </row>
    <row r="15199" spans="1:3" x14ac:dyDescent="0.2">
      <c r="A15199" s="82"/>
      <c r="B15199" s="82"/>
      <c r="C15199" s="82"/>
    </row>
    <row r="15200" spans="1:3" x14ac:dyDescent="0.2">
      <c r="A15200" s="82"/>
      <c r="B15200" s="82"/>
      <c r="C15200" s="82"/>
    </row>
    <row r="15201" spans="1:3" x14ac:dyDescent="0.2">
      <c r="A15201" s="82"/>
      <c r="B15201" s="82"/>
      <c r="C15201" s="82"/>
    </row>
    <row r="15202" spans="1:3" x14ac:dyDescent="0.2">
      <c r="A15202" s="82"/>
      <c r="B15202" s="82"/>
      <c r="C15202" s="82"/>
    </row>
    <row r="15203" spans="1:3" x14ac:dyDescent="0.2">
      <c r="A15203" s="82"/>
      <c r="B15203" s="82"/>
      <c r="C15203" s="82"/>
    </row>
    <row r="15204" spans="1:3" x14ac:dyDescent="0.2">
      <c r="A15204" s="82"/>
      <c r="B15204" s="82"/>
      <c r="C15204" s="82"/>
    </row>
    <row r="15205" spans="1:3" x14ac:dyDescent="0.2">
      <c r="A15205" s="82"/>
      <c r="B15205" s="82"/>
      <c r="C15205" s="82"/>
    </row>
    <row r="15206" spans="1:3" x14ac:dyDescent="0.2">
      <c r="A15206" s="82"/>
      <c r="B15206" s="82"/>
      <c r="C15206" s="82"/>
    </row>
    <row r="15207" spans="1:3" x14ac:dyDescent="0.2">
      <c r="A15207" s="82"/>
      <c r="B15207" s="82"/>
      <c r="C15207" s="82"/>
    </row>
    <row r="15208" spans="1:3" x14ac:dyDescent="0.2">
      <c r="A15208" s="82"/>
      <c r="B15208" s="82"/>
      <c r="C15208" s="82"/>
    </row>
    <row r="15209" spans="1:3" x14ac:dyDescent="0.2">
      <c r="A15209" s="82"/>
      <c r="B15209" s="82"/>
      <c r="C15209" s="82"/>
    </row>
    <row r="15210" spans="1:3" x14ac:dyDescent="0.2">
      <c r="A15210" s="82"/>
      <c r="B15210" s="82"/>
      <c r="C15210" s="82"/>
    </row>
    <row r="15211" spans="1:3" x14ac:dyDescent="0.2">
      <c r="A15211" s="82"/>
      <c r="B15211" s="82"/>
      <c r="C15211" s="82"/>
    </row>
    <row r="15212" spans="1:3" x14ac:dyDescent="0.2">
      <c r="A15212" s="82"/>
      <c r="B15212" s="82"/>
      <c r="C15212" s="82"/>
    </row>
    <row r="15213" spans="1:3" x14ac:dyDescent="0.2">
      <c r="A15213" s="82"/>
      <c r="B15213" s="82"/>
      <c r="C15213" s="82"/>
    </row>
    <row r="15214" spans="1:3" x14ac:dyDescent="0.2">
      <c r="A15214" s="82"/>
      <c r="B15214" s="82"/>
      <c r="C15214" s="82"/>
    </row>
    <row r="15215" spans="1:3" x14ac:dyDescent="0.2">
      <c r="A15215" s="82"/>
      <c r="B15215" s="82"/>
      <c r="C15215" s="82"/>
    </row>
    <row r="15216" spans="1:3" x14ac:dyDescent="0.2">
      <c r="A15216" s="82"/>
      <c r="B15216" s="82"/>
      <c r="C15216" s="82"/>
    </row>
    <row r="15217" spans="1:3" x14ac:dyDescent="0.2">
      <c r="A15217" s="82"/>
      <c r="B15217" s="82"/>
      <c r="C15217" s="82"/>
    </row>
    <row r="15218" spans="1:3" x14ac:dyDescent="0.2">
      <c r="A15218" s="82"/>
      <c r="B15218" s="82"/>
      <c r="C15218" s="82"/>
    </row>
    <row r="15219" spans="1:3" x14ac:dyDescent="0.2">
      <c r="A15219" s="82"/>
      <c r="B15219" s="82"/>
      <c r="C15219" s="82"/>
    </row>
    <row r="15220" spans="1:3" x14ac:dyDescent="0.2">
      <c r="A15220" s="82"/>
      <c r="B15220" s="82"/>
      <c r="C15220" s="82"/>
    </row>
    <row r="15221" spans="1:3" x14ac:dyDescent="0.2">
      <c r="A15221" s="82"/>
      <c r="B15221" s="82"/>
      <c r="C15221" s="82"/>
    </row>
    <row r="15222" spans="1:3" x14ac:dyDescent="0.2">
      <c r="A15222" s="82"/>
      <c r="B15222" s="82"/>
      <c r="C15222" s="82"/>
    </row>
    <row r="15223" spans="1:3" x14ac:dyDescent="0.2">
      <c r="A15223" s="82"/>
      <c r="B15223" s="82"/>
      <c r="C15223" s="82"/>
    </row>
    <row r="15224" spans="1:3" x14ac:dyDescent="0.2">
      <c r="A15224" s="82"/>
      <c r="B15224" s="82"/>
      <c r="C15224" s="82"/>
    </row>
    <row r="15225" spans="1:3" x14ac:dyDescent="0.2">
      <c r="A15225" s="82"/>
      <c r="B15225" s="82"/>
      <c r="C15225" s="82"/>
    </row>
    <row r="15226" spans="1:3" x14ac:dyDescent="0.2">
      <c r="A15226" s="82"/>
      <c r="B15226" s="82"/>
      <c r="C15226" s="82"/>
    </row>
    <row r="15227" spans="1:3" x14ac:dyDescent="0.2">
      <c r="A15227" s="82"/>
      <c r="B15227" s="82"/>
      <c r="C15227" s="82"/>
    </row>
    <row r="15228" spans="1:3" x14ac:dyDescent="0.2">
      <c r="A15228" s="82"/>
      <c r="B15228" s="82"/>
      <c r="C15228" s="82"/>
    </row>
    <row r="15229" spans="1:3" x14ac:dyDescent="0.2">
      <c r="A15229" s="82"/>
      <c r="B15229" s="82"/>
      <c r="C15229" s="82"/>
    </row>
    <row r="15230" spans="1:3" x14ac:dyDescent="0.2">
      <c r="A15230" s="82"/>
      <c r="B15230" s="82"/>
      <c r="C15230" s="82"/>
    </row>
    <row r="15231" spans="1:3" x14ac:dyDescent="0.2">
      <c r="A15231" s="82"/>
      <c r="B15231" s="82"/>
      <c r="C15231" s="82"/>
    </row>
    <row r="15232" spans="1:3" x14ac:dyDescent="0.2">
      <c r="A15232" s="82"/>
      <c r="B15232" s="82"/>
      <c r="C15232" s="82"/>
    </row>
    <row r="15233" spans="1:3" x14ac:dyDescent="0.2">
      <c r="A15233" s="82"/>
      <c r="B15233" s="82"/>
      <c r="C15233" s="82"/>
    </row>
    <row r="15234" spans="1:3" x14ac:dyDescent="0.2">
      <c r="A15234" s="82"/>
      <c r="B15234" s="82"/>
      <c r="C15234" s="82"/>
    </row>
    <row r="15235" spans="1:3" x14ac:dyDescent="0.2">
      <c r="A15235" s="82"/>
      <c r="B15235" s="82"/>
      <c r="C15235" s="82"/>
    </row>
    <row r="15236" spans="1:3" x14ac:dyDescent="0.2">
      <c r="A15236" s="82"/>
      <c r="B15236" s="82"/>
      <c r="C15236" s="82"/>
    </row>
    <row r="15237" spans="1:3" x14ac:dyDescent="0.2">
      <c r="A15237" s="82"/>
      <c r="B15237" s="82"/>
      <c r="C15237" s="82"/>
    </row>
    <row r="15238" spans="1:3" x14ac:dyDescent="0.2">
      <c r="A15238" s="82"/>
      <c r="B15238" s="82"/>
      <c r="C15238" s="82"/>
    </row>
    <row r="15239" spans="1:3" x14ac:dyDescent="0.2">
      <c r="A15239" s="82"/>
      <c r="B15239" s="82"/>
      <c r="C15239" s="82"/>
    </row>
    <row r="15240" spans="1:3" x14ac:dyDescent="0.2">
      <c r="A15240" s="82"/>
      <c r="B15240" s="82"/>
      <c r="C15240" s="82"/>
    </row>
    <row r="15241" spans="1:3" x14ac:dyDescent="0.2">
      <c r="A15241" s="82"/>
      <c r="B15241" s="82"/>
      <c r="C15241" s="82"/>
    </row>
    <row r="15242" spans="1:3" x14ac:dyDescent="0.2">
      <c r="A15242" s="82"/>
      <c r="B15242" s="82"/>
      <c r="C15242" s="82"/>
    </row>
    <row r="15243" spans="1:3" x14ac:dyDescent="0.2">
      <c r="A15243" s="82"/>
      <c r="B15243" s="82"/>
      <c r="C15243" s="82"/>
    </row>
    <row r="15244" spans="1:3" x14ac:dyDescent="0.2">
      <c r="A15244" s="82"/>
      <c r="B15244" s="82"/>
      <c r="C15244" s="82"/>
    </row>
    <row r="15245" spans="1:3" x14ac:dyDescent="0.2">
      <c r="A15245" s="82"/>
      <c r="B15245" s="82"/>
      <c r="C15245" s="82"/>
    </row>
    <row r="15246" spans="1:3" x14ac:dyDescent="0.2">
      <c r="A15246" s="82"/>
      <c r="B15246" s="82"/>
      <c r="C15246" s="82"/>
    </row>
    <row r="15247" spans="1:3" x14ac:dyDescent="0.2">
      <c r="A15247" s="82"/>
      <c r="B15247" s="82"/>
      <c r="C15247" s="82"/>
    </row>
    <row r="15248" spans="1:3" x14ac:dyDescent="0.2">
      <c r="A15248" s="82"/>
      <c r="B15248" s="82"/>
      <c r="C15248" s="82"/>
    </row>
    <row r="15249" spans="1:3" x14ac:dyDescent="0.2">
      <c r="A15249" s="82"/>
      <c r="B15249" s="82"/>
      <c r="C15249" s="82"/>
    </row>
    <row r="15250" spans="1:3" x14ac:dyDescent="0.2">
      <c r="A15250" s="82"/>
      <c r="B15250" s="82"/>
      <c r="C15250" s="82"/>
    </row>
    <row r="15251" spans="1:3" x14ac:dyDescent="0.2">
      <c r="A15251" s="82"/>
      <c r="B15251" s="82"/>
      <c r="C15251" s="82"/>
    </row>
    <row r="15252" spans="1:3" x14ac:dyDescent="0.2">
      <c r="A15252" s="82"/>
      <c r="B15252" s="82"/>
      <c r="C15252" s="82"/>
    </row>
    <row r="15253" spans="1:3" x14ac:dyDescent="0.2">
      <c r="A15253" s="82"/>
      <c r="B15253" s="82"/>
      <c r="C15253" s="82"/>
    </row>
    <row r="15254" spans="1:3" x14ac:dyDescent="0.2">
      <c r="A15254" s="82"/>
      <c r="B15254" s="82"/>
      <c r="C15254" s="82"/>
    </row>
    <row r="15255" spans="1:3" x14ac:dyDescent="0.2">
      <c r="A15255" s="82"/>
      <c r="B15255" s="82"/>
      <c r="C15255" s="82"/>
    </row>
    <row r="15256" spans="1:3" x14ac:dyDescent="0.2">
      <c r="A15256" s="82"/>
      <c r="B15256" s="82"/>
      <c r="C15256" s="82"/>
    </row>
    <row r="15257" spans="1:3" x14ac:dyDescent="0.2">
      <c r="A15257" s="82"/>
      <c r="B15257" s="82"/>
      <c r="C15257" s="82"/>
    </row>
    <row r="15258" spans="1:3" x14ac:dyDescent="0.2">
      <c r="A15258" s="82"/>
      <c r="B15258" s="82"/>
      <c r="C15258" s="82"/>
    </row>
    <row r="15259" spans="1:3" x14ac:dyDescent="0.2">
      <c r="A15259" s="82"/>
      <c r="B15259" s="82"/>
      <c r="C15259" s="82"/>
    </row>
    <row r="15260" spans="1:3" x14ac:dyDescent="0.2">
      <c r="A15260" s="82"/>
      <c r="B15260" s="82"/>
      <c r="C15260" s="82"/>
    </row>
    <row r="15261" spans="1:3" x14ac:dyDescent="0.2">
      <c r="A15261" s="82"/>
      <c r="B15261" s="82"/>
      <c r="C15261" s="82"/>
    </row>
    <row r="15262" spans="1:3" x14ac:dyDescent="0.2">
      <c r="A15262" s="82"/>
      <c r="B15262" s="82"/>
      <c r="C15262" s="82"/>
    </row>
    <row r="15263" spans="1:3" x14ac:dyDescent="0.2">
      <c r="A15263" s="82"/>
      <c r="B15263" s="82"/>
      <c r="C15263" s="82"/>
    </row>
    <row r="15264" spans="1:3" x14ac:dyDescent="0.2">
      <c r="A15264" s="82"/>
      <c r="B15264" s="82"/>
      <c r="C15264" s="82"/>
    </row>
    <row r="15265" spans="1:3" x14ac:dyDescent="0.2">
      <c r="A15265" s="82"/>
      <c r="B15265" s="82"/>
      <c r="C15265" s="82"/>
    </row>
    <row r="15266" spans="1:3" x14ac:dyDescent="0.2">
      <c r="A15266" s="82"/>
      <c r="B15266" s="82"/>
      <c r="C15266" s="82"/>
    </row>
    <row r="15267" spans="1:3" x14ac:dyDescent="0.2">
      <c r="A15267" s="82"/>
      <c r="B15267" s="82"/>
      <c r="C15267" s="82"/>
    </row>
    <row r="15268" spans="1:3" x14ac:dyDescent="0.2">
      <c r="A15268" s="82"/>
      <c r="B15268" s="82"/>
      <c r="C15268" s="82"/>
    </row>
    <row r="15269" spans="1:3" x14ac:dyDescent="0.2">
      <c r="A15269" s="82"/>
      <c r="B15269" s="82"/>
      <c r="C15269" s="82"/>
    </row>
    <row r="15270" spans="1:3" x14ac:dyDescent="0.2">
      <c r="A15270" s="82"/>
      <c r="B15270" s="82"/>
      <c r="C15270" s="82"/>
    </row>
    <row r="15271" spans="1:3" x14ac:dyDescent="0.2">
      <c r="A15271" s="82"/>
      <c r="B15271" s="82"/>
      <c r="C15271" s="82"/>
    </row>
    <row r="15272" spans="1:3" x14ac:dyDescent="0.2">
      <c r="A15272" s="82"/>
      <c r="B15272" s="82"/>
      <c r="C15272" s="82"/>
    </row>
    <row r="15273" spans="1:3" x14ac:dyDescent="0.2">
      <c r="A15273" s="82"/>
      <c r="B15273" s="82"/>
      <c r="C15273" s="82"/>
    </row>
    <row r="15274" spans="1:3" x14ac:dyDescent="0.2">
      <c r="A15274" s="82"/>
      <c r="B15274" s="82"/>
      <c r="C15274" s="82"/>
    </row>
    <row r="15275" spans="1:3" x14ac:dyDescent="0.2">
      <c r="A15275" s="82"/>
      <c r="B15275" s="82"/>
      <c r="C15275" s="82"/>
    </row>
    <row r="15276" spans="1:3" x14ac:dyDescent="0.2">
      <c r="A15276" s="82"/>
      <c r="B15276" s="82"/>
      <c r="C15276" s="82"/>
    </row>
    <row r="15277" spans="1:3" x14ac:dyDescent="0.2">
      <c r="A15277" s="82"/>
      <c r="B15277" s="82"/>
      <c r="C15277" s="82"/>
    </row>
    <row r="15278" spans="1:3" x14ac:dyDescent="0.2">
      <c r="A15278" s="82"/>
      <c r="B15278" s="82"/>
      <c r="C15278" s="82"/>
    </row>
    <row r="15279" spans="1:3" x14ac:dyDescent="0.2">
      <c r="A15279" s="82"/>
      <c r="B15279" s="82"/>
      <c r="C15279" s="82"/>
    </row>
    <row r="15280" spans="1:3" x14ac:dyDescent="0.2">
      <c r="A15280" s="82"/>
      <c r="B15280" s="82"/>
      <c r="C15280" s="82"/>
    </row>
    <row r="15281" spans="1:3" x14ac:dyDescent="0.2">
      <c r="A15281" s="82"/>
      <c r="B15281" s="82"/>
      <c r="C15281" s="82"/>
    </row>
    <row r="15282" spans="1:3" x14ac:dyDescent="0.2">
      <c r="A15282" s="82"/>
      <c r="B15282" s="82"/>
      <c r="C15282" s="82"/>
    </row>
    <row r="15283" spans="1:3" x14ac:dyDescent="0.2">
      <c r="A15283" s="82"/>
      <c r="B15283" s="82"/>
      <c r="C15283" s="82"/>
    </row>
    <row r="15284" spans="1:3" x14ac:dyDescent="0.2">
      <c r="A15284" s="82"/>
      <c r="B15284" s="82"/>
      <c r="C15284" s="82"/>
    </row>
    <row r="15285" spans="1:3" x14ac:dyDescent="0.2">
      <c r="A15285" s="82"/>
      <c r="B15285" s="82"/>
      <c r="C15285" s="82"/>
    </row>
    <row r="15286" spans="1:3" x14ac:dyDescent="0.2">
      <c r="A15286" s="82"/>
      <c r="B15286" s="82"/>
      <c r="C15286" s="82"/>
    </row>
    <row r="15287" spans="1:3" x14ac:dyDescent="0.2">
      <c r="A15287" s="82"/>
      <c r="B15287" s="82"/>
      <c r="C15287" s="82"/>
    </row>
    <row r="15288" spans="1:3" x14ac:dyDescent="0.2">
      <c r="A15288" s="82"/>
      <c r="B15288" s="82"/>
      <c r="C15288" s="82"/>
    </row>
    <row r="15289" spans="1:3" x14ac:dyDescent="0.2">
      <c r="A15289" s="82"/>
      <c r="B15289" s="82"/>
      <c r="C15289" s="82"/>
    </row>
    <row r="15290" spans="1:3" x14ac:dyDescent="0.2">
      <c r="A15290" s="82"/>
      <c r="B15290" s="82"/>
      <c r="C15290" s="82"/>
    </row>
    <row r="15291" spans="1:3" x14ac:dyDescent="0.2">
      <c r="A15291" s="82"/>
      <c r="B15291" s="82"/>
      <c r="C15291" s="82"/>
    </row>
    <row r="15292" spans="1:3" x14ac:dyDescent="0.2">
      <c r="A15292" s="82"/>
      <c r="B15292" s="82"/>
      <c r="C15292" s="82"/>
    </row>
    <row r="15293" spans="1:3" x14ac:dyDescent="0.2">
      <c r="A15293" s="82"/>
      <c r="B15293" s="82"/>
      <c r="C15293" s="82"/>
    </row>
    <row r="15294" spans="1:3" x14ac:dyDescent="0.2">
      <c r="A15294" s="82"/>
      <c r="B15294" s="82"/>
      <c r="C15294" s="82"/>
    </row>
    <row r="15295" spans="1:3" x14ac:dyDescent="0.2">
      <c r="A15295" s="82"/>
      <c r="B15295" s="82"/>
      <c r="C15295" s="82"/>
    </row>
    <row r="15296" spans="1:3" x14ac:dyDescent="0.2">
      <c r="A15296" s="82"/>
      <c r="B15296" s="82"/>
      <c r="C15296" s="82"/>
    </row>
    <row r="15297" spans="1:3" x14ac:dyDescent="0.2">
      <c r="A15297" s="82"/>
      <c r="B15297" s="82"/>
      <c r="C15297" s="82"/>
    </row>
    <row r="15298" spans="1:3" x14ac:dyDescent="0.2">
      <c r="A15298" s="82"/>
      <c r="B15298" s="82"/>
      <c r="C15298" s="82"/>
    </row>
    <row r="15299" spans="1:3" x14ac:dyDescent="0.2">
      <c r="A15299" s="82"/>
      <c r="B15299" s="82"/>
      <c r="C15299" s="82"/>
    </row>
    <row r="15300" spans="1:3" x14ac:dyDescent="0.2">
      <c r="A15300" s="82"/>
      <c r="B15300" s="82"/>
      <c r="C15300" s="82"/>
    </row>
    <row r="15301" spans="1:3" x14ac:dyDescent="0.2">
      <c r="A15301" s="82"/>
      <c r="B15301" s="82"/>
      <c r="C15301" s="82"/>
    </row>
    <row r="15302" spans="1:3" x14ac:dyDescent="0.2">
      <c r="A15302" s="82"/>
      <c r="B15302" s="82"/>
      <c r="C15302" s="82"/>
    </row>
    <row r="15303" spans="1:3" x14ac:dyDescent="0.2">
      <c r="A15303" s="82"/>
      <c r="B15303" s="82"/>
      <c r="C15303" s="82"/>
    </row>
    <row r="15304" spans="1:3" x14ac:dyDescent="0.2">
      <c r="A15304" s="82"/>
      <c r="B15304" s="82"/>
      <c r="C15304" s="82"/>
    </row>
    <row r="15305" spans="1:3" x14ac:dyDescent="0.2">
      <c r="A15305" s="82"/>
      <c r="B15305" s="82"/>
      <c r="C15305" s="82"/>
    </row>
    <row r="15306" spans="1:3" x14ac:dyDescent="0.2">
      <c r="A15306" s="82"/>
      <c r="B15306" s="82"/>
      <c r="C15306" s="82"/>
    </row>
    <row r="15307" spans="1:3" x14ac:dyDescent="0.2">
      <c r="A15307" s="82"/>
      <c r="B15307" s="82"/>
      <c r="C15307" s="82"/>
    </row>
    <row r="15308" spans="1:3" x14ac:dyDescent="0.2">
      <c r="A15308" s="82"/>
      <c r="B15308" s="82"/>
      <c r="C15308" s="82"/>
    </row>
    <row r="15309" spans="1:3" x14ac:dyDescent="0.2">
      <c r="A15309" s="82"/>
      <c r="B15309" s="82"/>
      <c r="C15309" s="82"/>
    </row>
    <row r="15310" spans="1:3" x14ac:dyDescent="0.2">
      <c r="A15310" s="82"/>
      <c r="B15310" s="82"/>
      <c r="C15310" s="82"/>
    </row>
    <row r="15311" spans="1:3" x14ac:dyDescent="0.2">
      <c r="A15311" s="82"/>
      <c r="B15311" s="82"/>
      <c r="C15311" s="82"/>
    </row>
    <row r="15312" spans="1:3" x14ac:dyDescent="0.2">
      <c r="A15312" s="82"/>
      <c r="B15312" s="82"/>
      <c r="C15312" s="82"/>
    </row>
    <row r="15313" spans="1:3" x14ac:dyDescent="0.2">
      <c r="A15313" s="82"/>
      <c r="B15313" s="82"/>
      <c r="C15313" s="82"/>
    </row>
    <row r="15314" spans="1:3" x14ac:dyDescent="0.2">
      <c r="A15314" s="82"/>
      <c r="B15314" s="82"/>
      <c r="C15314" s="82"/>
    </row>
    <row r="15315" spans="1:3" x14ac:dyDescent="0.2">
      <c r="A15315" s="82"/>
      <c r="B15315" s="82"/>
      <c r="C15315" s="82"/>
    </row>
    <row r="15316" spans="1:3" x14ac:dyDescent="0.2">
      <c r="A15316" s="82"/>
      <c r="B15316" s="82"/>
      <c r="C15316" s="82"/>
    </row>
    <row r="15317" spans="1:3" x14ac:dyDescent="0.2">
      <c r="A15317" s="82"/>
      <c r="B15317" s="82"/>
      <c r="C15317" s="82"/>
    </row>
    <row r="15318" spans="1:3" x14ac:dyDescent="0.2">
      <c r="A15318" s="82"/>
      <c r="B15318" s="82"/>
      <c r="C15318" s="82"/>
    </row>
    <row r="15319" spans="1:3" x14ac:dyDescent="0.2">
      <c r="A15319" s="82"/>
      <c r="B15319" s="82"/>
      <c r="C15319" s="82"/>
    </row>
    <row r="15320" spans="1:3" x14ac:dyDescent="0.2">
      <c r="A15320" s="82"/>
      <c r="B15320" s="82"/>
      <c r="C15320" s="82"/>
    </row>
    <row r="15321" spans="1:3" x14ac:dyDescent="0.2">
      <c r="A15321" s="82"/>
      <c r="B15321" s="82"/>
      <c r="C15321" s="82"/>
    </row>
    <row r="15322" spans="1:3" x14ac:dyDescent="0.2">
      <c r="A15322" s="82"/>
      <c r="B15322" s="82"/>
      <c r="C15322" s="82"/>
    </row>
    <row r="15323" spans="1:3" x14ac:dyDescent="0.2">
      <c r="A15323" s="82"/>
      <c r="B15323" s="82"/>
      <c r="C15323" s="82"/>
    </row>
    <row r="15324" spans="1:3" x14ac:dyDescent="0.2">
      <c r="A15324" s="82"/>
      <c r="B15324" s="82"/>
      <c r="C15324" s="82"/>
    </row>
    <row r="15325" spans="1:3" x14ac:dyDescent="0.2">
      <c r="A15325" s="82"/>
      <c r="B15325" s="82"/>
      <c r="C15325" s="82"/>
    </row>
    <row r="15326" spans="1:3" x14ac:dyDescent="0.2">
      <c r="A15326" s="82"/>
      <c r="B15326" s="82"/>
      <c r="C15326" s="82"/>
    </row>
    <row r="15327" spans="1:3" x14ac:dyDescent="0.2">
      <c r="A15327" s="82"/>
      <c r="B15327" s="82"/>
      <c r="C15327" s="82"/>
    </row>
    <row r="15328" spans="1:3" x14ac:dyDescent="0.2">
      <c r="A15328" s="82"/>
      <c r="B15328" s="82"/>
      <c r="C15328" s="82"/>
    </row>
    <row r="15329" spans="1:3" x14ac:dyDescent="0.2">
      <c r="A15329" s="82"/>
      <c r="B15329" s="82"/>
      <c r="C15329" s="82"/>
    </row>
    <row r="15330" spans="1:3" x14ac:dyDescent="0.2">
      <c r="A15330" s="82"/>
      <c r="B15330" s="82"/>
      <c r="C15330" s="82"/>
    </row>
    <row r="15331" spans="1:3" x14ac:dyDescent="0.2">
      <c r="A15331" s="82"/>
      <c r="B15331" s="82"/>
      <c r="C15331" s="82"/>
    </row>
    <row r="15332" spans="1:3" x14ac:dyDescent="0.2">
      <c r="A15332" s="82"/>
      <c r="B15332" s="82"/>
      <c r="C15332" s="82"/>
    </row>
    <row r="15333" spans="1:3" x14ac:dyDescent="0.2">
      <c r="A15333" s="82"/>
      <c r="B15333" s="82"/>
      <c r="C15333" s="82"/>
    </row>
    <row r="15334" spans="1:3" x14ac:dyDescent="0.2">
      <c r="A15334" s="82"/>
      <c r="B15334" s="82"/>
      <c r="C15334" s="82"/>
    </row>
    <row r="15335" spans="1:3" x14ac:dyDescent="0.2">
      <c r="A15335" s="82"/>
      <c r="B15335" s="82"/>
      <c r="C15335" s="82"/>
    </row>
    <row r="15336" spans="1:3" x14ac:dyDescent="0.2">
      <c r="A15336" s="82"/>
      <c r="B15336" s="82"/>
      <c r="C15336" s="82"/>
    </row>
    <row r="15337" spans="1:3" x14ac:dyDescent="0.2">
      <c r="A15337" s="82"/>
      <c r="B15337" s="82"/>
      <c r="C15337" s="82"/>
    </row>
    <row r="15338" spans="1:3" x14ac:dyDescent="0.2">
      <c r="A15338" s="82"/>
      <c r="B15338" s="82"/>
      <c r="C15338" s="82"/>
    </row>
    <row r="15339" spans="1:3" x14ac:dyDescent="0.2">
      <c r="A15339" s="82"/>
      <c r="B15339" s="82"/>
      <c r="C15339" s="82"/>
    </row>
    <row r="15340" spans="1:3" x14ac:dyDescent="0.2">
      <c r="A15340" s="82"/>
      <c r="B15340" s="82"/>
      <c r="C15340" s="82"/>
    </row>
    <row r="15341" spans="1:3" x14ac:dyDescent="0.2">
      <c r="A15341" s="82"/>
      <c r="B15341" s="82"/>
      <c r="C15341" s="82"/>
    </row>
    <row r="15342" spans="1:3" x14ac:dyDescent="0.2">
      <c r="A15342" s="82"/>
      <c r="B15342" s="82"/>
      <c r="C15342" s="82"/>
    </row>
    <row r="15343" spans="1:3" x14ac:dyDescent="0.2">
      <c r="A15343" s="82"/>
      <c r="B15343" s="82"/>
      <c r="C15343" s="82"/>
    </row>
    <row r="15344" spans="1:3" x14ac:dyDescent="0.2">
      <c r="A15344" s="82"/>
      <c r="B15344" s="82"/>
      <c r="C15344" s="82"/>
    </row>
    <row r="15345" spans="1:3" x14ac:dyDescent="0.2">
      <c r="A15345" s="82"/>
      <c r="B15345" s="82"/>
      <c r="C15345" s="82"/>
    </row>
    <row r="15346" spans="1:3" x14ac:dyDescent="0.2">
      <c r="A15346" s="82"/>
      <c r="B15346" s="82"/>
      <c r="C15346" s="82"/>
    </row>
    <row r="15347" spans="1:3" x14ac:dyDescent="0.2">
      <c r="A15347" s="82"/>
      <c r="B15347" s="82"/>
      <c r="C15347" s="82"/>
    </row>
    <row r="15348" spans="1:3" x14ac:dyDescent="0.2">
      <c r="A15348" s="82"/>
      <c r="B15348" s="82"/>
      <c r="C15348" s="82"/>
    </row>
    <row r="15349" spans="1:3" x14ac:dyDescent="0.2">
      <c r="A15349" s="82"/>
      <c r="B15349" s="82"/>
      <c r="C15349" s="82"/>
    </row>
    <row r="15350" spans="1:3" x14ac:dyDescent="0.2">
      <c r="A15350" s="82"/>
      <c r="B15350" s="82"/>
      <c r="C15350" s="82"/>
    </row>
    <row r="15351" spans="1:3" x14ac:dyDescent="0.2">
      <c r="A15351" s="82"/>
      <c r="B15351" s="82"/>
      <c r="C15351" s="82"/>
    </row>
    <row r="15352" spans="1:3" x14ac:dyDescent="0.2">
      <c r="A15352" s="82"/>
      <c r="B15352" s="82"/>
      <c r="C15352" s="82"/>
    </row>
    <row r="15353" spans="1:3" x14ac:dyDescent="0.2">
      <c r="A15353" s="82"/>
      <c r="B15353" s="82"/>
      <c r="C15353" s="82"/>
    </row>
    <row r="15354" spans="1:3" x14ac:dyDescent="0.2">
      <c r="A15354" s="82"/>
      <c r="B15354" s="82"/>
      <c r="C15354" s="82"/>
    </row>
    <row r="15355" spans="1:3" x14ac:dyDescent="0.2">
      <c r="A15355" s="82"/>
      <c r="B15355" s="82"/>
      <c r="C15355" s="82"/>
    </row>
    <row r="15356" spans="1:3" x14ac:dyDescent="0.2">
      <c r="A15356" s="82"/>
      <c r="B15356" s="82"/>
      <c r="C15356" s="82"/>
    </row>
    <row r="15357" spans="1:3" x14ac:dyDescent="0.2">
      <c r="A15357" s="82"/>
      <c r="B15357" s="82"/>
      <c r="C15357" s="82"/>
    </row>
    <row r="15358" spans="1:3" x14ac:dyDescent="0.2">
      <c r="A15358" s="82"/>
      <c r="B15358" s="82"/>
      <c r="C15358" s="82"/>
    </row>
    <row r="15359" spans="1:3" x14ac:dyDescent="0.2">
      <c r="A15359" s="82"/>
      <c r="B15359" s="82"/>
      <c r="C15359" s="82"/>
    </row>
    <row r="15360" spans="1:3" x14ac:dyDescent="0.2">
      <c r="A15360" s="82"/>
      <c r="B15360" s="82"/>
      <c r="C15360" s="82"/>
    </row>
    <row r="15361" spans="1:3" x14ac:dyDescent="0.2">
      <c r="A15361" s="82"/>
      <c r="B15361" s="82"/>
      <c r="C15361" s="82"/>
    </row>
    <row r="15362" spans="1:3" x14ac:dyDescent="0.2">
      <c r="A15362" s="82"/>
      <c r="B15362" s="82"/>
      <c r="C15362" s="82"/>
    </row>
    <row r="15363" spans="1:3" x14ac:dyDescent="0.2">
      <c r="A15363" s="82"/>
      <c r="B15363" s="82"/>
      <c r="C15363" s="82"/>
    </row>
    <row r="15364" spans="1:3" x14ac:dyDescent="0.2">
      <c r="A15364" s="82"/>
      <c r="B15364" s="82"/>
      <c r="C15364" s="82"/>
    </row>
    <row r="15365" spans="1:3" x14ac:dyDescent="0.2">
      <c r="A15365" s="82"/>
      <c r="B15365" s="82"/>
      <c r="C15365" s="82"/>
    </row>
    <row r="15366" spans="1:3" x14ac:dyDescent="0.2">
      <c r="A15366" s="82"/>
      <c r="B15366" s="82"/>
      <c r="C15366" s="82"/>
    </row>
    <row r="15367" spans="1:3" x14ac:dyDescent="0.2">
      <c r="A15367" s="82"/>
      <c r="B15367" s="82"/>
      <c r="C15367" s="82"/>
    </row>
    <row r="15368" spans="1:3" x14ac:dyDescent="0.2">
      <c r="A15368" s="82"/>
      <c r="B15368" s="82"/>
      <c r="C15368" s="82"/>
    </row>
    <row r="15369" spans="1:3" x14ac:dyDescent="0.2">
      <c r="A15369" s="82"/>
      <c r="B15369" s="82"/>
      <c r="C15369" s="82"/>
    </row>
    <row r="15370" spans="1:3" x14ac:dyDescent="0.2">
      <c r="A15370" s="82"/>
      <c r="B15370" s="82"/>
      <c r="C15370" s="82"/>
    </row>
    <row r="15371" spans="1:3" x14ac:dyDescent="0.2">
      <c r="A15371" s="82"/>
      <c r="B15371" s="82"/>
      <c r="C15371" s="82"/>
    </row>
    <row r="15372" spans="1:3" x14ac:dyDescent="0.2">
      <c r="A15372" s="82"/>
      <c r="B15372" s="82"/>
      <c r="C15372" s="82"/>
    </row>
    <row r="15373" spans="1:3" x14ac:dyDescent="0.2">
      <c r="A15373" s="82"/>
      <c r="B15373" s="82"/>
      <c r="C15373" s="82"/>
    </row>
    <row r="15374" spans="1:3" x14ac:dyDescent="0.2">
      <c r="A15374" s="82"/>
      <c r="B15374" s="82"/>
      <c r="C15374" s="82"/>
    </row>
    <row r="15375" spans="1:3" x14ac:dyDescent="0.2">
      <c r="A15375" s="82"/>
      <c r="B15375" s="82"/>
      <c r="C15375" s="82"/>
    </row>
    <row r="15376" spans="1:3" x14ac:dyDescent="0.2">
      <c r="A15376" s="82"/>
      <c r="B15376" s="82"/>
      <c r="C15376" s="82"/>
    </row>
    <row r="15377" spans="1:3" x14ac:dyDescent="0.2">
      <c r="A15377" s="82"/>
      <c r="B15377" s="82"/>
      <c r="C15377" s="82"/>
    </row>
    <row r="15378" spans="1:3" x14ac:dyDescent="0.2">
      <c r="A15378" s="82"/>
      <c r="B15378" s="82"/>
      <c r="C15378" s="82"/>
    </row>
    <row r="15379" spans="1:3" x14ac:dyDescent="0.2">
      <c r="A15379" s="82"/>
      <c r="B15379" s="82"/>
      <c r="C15379" s="82"/>
    </row>
    <row r="15380" spans="1:3" x14ac:dyDescent="0.2">
      <c r="A15380" s="82"/>
      <c r="B15380" s="82"/>
      <c r="C15380" s="82"/>
    </row>
    <row r="15381" spans="1:3" x14ac:dyDescent="0.2">
      <c r="A15381" s="82"/>
      <c r="B15381" s="82"/>
      <c r="C15381" s="82"/>
    </row>
    <row r="15382" spans="1:3" x14ac:dyDescent="0.2">
      <c r="A15382" s="82"/>
      <c r="B15382" s="82"/>
      <c r="C15382" s="82"/>
    </row>
    <row r="15383" spans="1:3" x14ac:dyDescent="0.2">
      <c r="A15383" s="82"/>
      <c r="B15383" s="82"/>
      <c r="C15383" s="82"/>
    </row>
    <row r="15384" spans="1:3" x14ac:dyDescent="0.2">
      <c r="A15384" s="82"/>
      <c r="B15384" s="82"/>
      <c r="C15384" s="82"/>
    </row>
    <row r="15385" spans="1:3" x14ac:dyDescent="0.2">
      <c r="A15385" s="82"/>
      <c r="B15385" s="82"/>
      <c r="C15385" s="82"/>
    </row>
    <row r="15386" spans="1:3" x14ac:dyDescent="0.2">
      <c r="A15386" s="82"/>
      <c r="B15386" s="82"/>
      <c r="C15386" s="82"/>
    </row>
    <row r="15387" spans="1:3" x14ac:dyDescent="0.2">
      <c r="A15387" s="82"/>
      <c r="B15387" s="82"/>
      <c r="C15387" s="82"/>
    </row>
    <row r="15388" spans="1:3" x14ac:dyDescent="0.2">
      <c r="A15388" s="82"/>
      <c r="B15388" s="82"/>
      <c r="C15388" s="82"/>
    </row>
    <row r="15389" spans="1:3" x14ac:dyDescent="0.2">
      <c r="A15389" s="82"/>
      <c r="B15389" s="82"/>
      <c r="C15389" s="82"/>
    </row>
    <row r="15390" spans="1:3" x14ac:dyDescent="0.2">
      <c r="A15390" s="82"/>
      <c r="B15390" s="82"/>
      <c r="C15390" s="82"/>
    </row>
    <row r="15391" spans="1:3" x14ac:dyDescent="0.2">
      <c r="A15391" s="82"/>
      <c r="B15391" s="82"/>
      <c r="C15391" s="82"/>
    </row>
    <row r="15392" spans="1:3" x14ac:dyDescent="0.2">
      <c r="A15392" s="82"/>
      <c r="B15392" s="82"/>
      <c r="C15392" s="82"/>
    </row>
    <row r="15393" spans="1:3" x14ac:dyDescent="0.2">
      <c r="A15393" s="82"/>
      <c r="B15393" s="82"/>
      <c r="C15393" s="82"/>
    </row>
    <row r="15394" spans="1:3" x14ac:dyDescent="0.2">
      <c r="A15394" s="82"/>
      <c r="B15394" s="82"/>
      <c r="C15394" s="82"/>
    </row>
    <row r="15395" spans="1:3" x14ac:dyDescent="0.2">
      <c r="A15395" s="82"/>
      <c r="B15395" s="82"/>
      <c r="C15395" s="82"/>
    </row>
    <row r="15396" spans="1:3" x14ac:dyDescent="0.2">
      <c r="A15396" s="82"/>
      <c r="B15396" s="82"/>
      <c r="C15396" s="82"/>
    </row>
    <row r="15397" spans="1:3" x14ac:dyDescent="0.2">
      <c r="A15397" s="82"/>
      <c r="B15397" s="82"/>
      <c r="C15397" s="82"/>
    </row>
    <row r="15398" spans="1:3" x14ac:dyDescent="0.2">
      <c r="A15398" s="82"/>
      <c r="B15398" s="82"/>
      <c r="C15398" s="82"/>
    </row>
    <row r="15399" spans="1:3" x14ac:dyDescent="0.2">
      <c r="A15399" s="82"/>
      <c r="B15399" s="82"/>
      <c r="C15399" s="82"/>
    </row>
    <row r="15400" spans="1:3" x14ac:dyDescent="0.2">
      <c r="A15400" s="82"/>
      <c r="B15400" s="82"/>
      <c r="C15400" s="82"/>
    </row>
    <row r="15401" spans="1:3" x14ac:dyDescent="0.2">
      <c r="A15401" s="82"/>
      <c r="B15401" s="82"/>
      <c r="C15401" s="82"/>
    </row>
    <row r="15402" spans="1:3" x14ac:dyDescent="0.2">
      <c r="A15402" s="82"/>
      <c r="B15402" s="82"/>
      <c r="C15402" s="82"/>
    </row>
    <row r="15403" spans="1:3" x14ac:dyDescent="0.2">
      <c r="A15403" s="82"/>
      <c r="B15403" s="82"/>
      <c r="C15403" s="82"/>
    </row>
    <row r="15404" spans="1:3" x14ac:dyDescent="0.2">
      <c r="A15404" s="82"/>
      <c r="B15404" s="82"/>
      <c r="C15404" s="82"/>
    </row>
    <row r="15405" spans="1:3" x14ac:dyDescent="0.2">
      <c r="A15405" s="82"/>
      <c r="B15405" s="82"/>
      <c r="C15405" s="82"/>
    </row>
    <row r="15406" spans="1:3" x14ac:dyDescent="0.2">
      <c r="A15406" s="82"/>
      <c r="B15406" s="82"/>
      <c r="C15406" s="82"/>
    </row>
    <row r="15407" spans="1:3" x14ac:dyDescent="0.2">
      <c r="A15407" s="82"/>
      <c r="B15407" s="82"/>
      <c r="C15407" s="82"/>
    </row>
    <row r="15408" spans="1:3" x14ac:dyDescent="0.2">
      <c r="A15408" s="82"/>
      <c r="B15408" s="82"/>
      <c r="C15408" s="82"/>
    </row>
    <row r="15409" spans="1:3" x14ac:dyDescent="0.2">
      <c r="A15409" s="82"/>
      <c r="B15409" s="82"/>
      <c r="C15409" s="82"/>
    </row>
    <row r="15410" spans="1:3" x14ac:dyDescent="0.2">
      <c r="A15410" s="82"/>
      <c r="B15410" s="82"/>
      <c r="C15410" s="82"/>
    </row>
    <row r="15411" spans="1:3" x14ac:dyDescent="0.2">
      <c r="A15411" s="82"/>
      <c r="B15411" s="82"/>
      <c r="C15411" s="82"/>
    </row>
    <row r="15412" spans="1:3" x14ac:dyDescent="0.2">
      <c r="A15412" s="82"/>
      <c r="B15412" s="82"/>
      <c r="C15412" s="82"/>
    </row>
    <row r="15413" spans="1:3" x14ac:dyDescent="0.2">
      <c r="A15413" s="82"/>
      <c r="B15413" s="82"/>
      <c r="C15413" s="82"/>
    </row>
    <row r="15414" spans="1:3" x14ac:dyDescent="0.2">
      <c r="A15414" s="82"/>
      <c r="B15414" s="82"/>
      <c r="C15414" s="82"/>
    </row>
    <row r="15415" spans="1:3" x14ac:dyDescent="0.2">
      <c r="A15415" s="82"/>
      <c r="B15415" s="82"/>
      <c r="C15415" s="82"/>
    </row>
    <row r="15416" spans="1:3" x14ac:dyDescent="0.2">
      <c r="A15416" s="82"/>
      <c r="B15416" s="82"/>
      <c r="C15416" s="82"/>
    </row>
    <row r="15417" spans="1:3" x14ac:dyDescent="0.2">
      <c r="A15417" s="82"/>
      <c r="B15417" s="82"/>
      <c r="C15417" s="82"/>
    </row>
    <row r="15418" spans="1:3" x14ac:dyDescent="0.2">
      <c r="A15418" s="82"/>
      <c r="B15418" s="82"/>
      <c r="C15418" s="82"/>
    </row>
    <row r="15419" spans="1:3" x14ac:dyDescent="0.2">
      <c r="A15419" s="82"/>
      <c r="B15419" s="82"/>
      <c r="C15419" s="82"/>
    </row>
    <row r="15420" spans="1:3" x14ac:dyDescent="0.2">
      <c r="A15420" s="82"/>
      <c r="B15420" s="82"/>
      <c r="C15420" s="82"/>
    </row>
    <row r="15421" spans="1:3" x14ac:dyDescent="0.2">
      <c r="A15421" s="82"/>
      <c r="B15421" s="82"/>
      <c r="C15421" s="82"/>
    </row>
    <row r="15422" spans="1:3" x14ac:dyDescent="0.2">
      <c r="A15422" s="82"/>
      <c r="B15422" s="82"/>
      <c r="C15422" s="82"/>
    </row>
    <row r="15423" spans="1:3" x14ac:dyDescent="0.2">
      <c r="A15423" s="82"/>
      <c r="B15423" s="82"/>
      <c r="C15423" s="82"/>
    </row>
    <row r="15424" spans="1:3" x14ac:dyDescent="0.2">
      <c r="A15424" s="82"/>
      <c r="B15424" s="82"/>
      <c r="C15424" s="82"/>
    </row>
    <row r="15425" spans="1:3" x14ac:dyDescent="0.2">
      <c r="A15425" s="82"/>
      <c r="B15425" s="82"/>
      <c r="C15425" s="82"/>
    </row>
    <row r="15426" spans="1:3" x14ac:dyDescent="0.2">
      <c r="A15426" s="82"/>
      <c r="B15426" s="82"/>
      <c r="C15426" s="82"/>
    </row>
    <row r="15427" spans="1:3" x14ac:dyDescent="0.2">
      <c r="A15427" s="82"/>
      <c r="B15427" s="82"/>
      <c r="C15427" s="82"/>
    </row>
    <row r="15428" spans="1:3" x14ac:dyDescent="0.2">
      <c r="A15428" s="82"/>
      <c r="B15428" s="82"/>
      <c r="C15428" s="82"/>
    </row>
    <row r="15429" spans="1:3" x14ac:dyDescent="0.2">
      <c r="A15429" s="82"/>
      <c r="B15429" s="82"/>
      <c r="C15429" s="82"/>
    </row>
    <row r="15430" spans="1:3" x14ac:dyDescent="0.2">
      <c r="A15430" s="82"/>
      <c r="B15430" s="82"/>
      <c r="C15430" s="82"/>
    </row>
    <row r="15431" spans="1:3" x14ac:dyDescent="0.2">
      <c r="A15431" s="82"/>
      <c r="B15431" s="82"/>
      <c r="C15431" s="82"/>
    </row>
    <row r="15432" spans="1:3" x14ac:dyDescent="0.2">
      <c r="A15432" s="82"/>
      <c r="B15432" s="82"/>
      <c r="C15432" s="82"/>
    </row>
    <row r="15433" spans="1:3" x14ac:dyDescent="0.2">
      <c r="A15433" s="82"/>
      <c r="B15433" s="82"/>
      <c r="C15433" s="82"/>
    </row>
    <row r="15434" spans="1:3" x14ac:dyDescent="0.2">
      <c r="A15434" s="82"/>
      <c r="B15434" s="82"/>
      <c r="C15434" s="82"/>
    </row>
    <row r="15435" spans="1:3" x14ac:dyDescent="0.2">
      <c r="A15435" s="82"/>
      <c r="B15435" s="82"/>
      <c r="C15435" s="82"/>
    </row>
    <row r="15436" spans="1:3" x14ac:dyDescent="0.2">
      <c r="A15436" s="82"/>
      <c r="B15436" s="82"/>
      <c r="C15436" s="82"/>
    </row>
    <row r="15437" spans="1:3" x14ac:dyDescent="0.2">
      <c r="A15437" s="82"/>
      <c r="B15437" s="82"/>
      <c r="C15437" s="82"/>
    </row>
    <row r="15438" spans="1:3" x14ac:dyDescent="0.2">
      <c r="A15438" s="82"/>
      <c r="B15438" s="82"/>
      <c r="C15438" s="82"/>
    </row>
    <row r="15439" spans="1:3" x14ac:dyDescent="0.2">
      <c r="A15439" s="82"/>
      <c r="B15439" s="82"/>
      <c r="C15439" s="82"/>
    </row>
    <row r="15440" spans="1:3" x14ac:dyDescent="0.2">
      <c r="A15440" s="82"/>
      <c r="B15440" s="82"/>
      <c r="C15440" s="82"/>
    </row>
    <row r="15441" spans="1:3" x14ac:dyDescent="0.2">
      <c r="A15441" s="82"/>
      <c r="B15441" s="82"/>
      <c r="C15441" s="82"/>
    </row>
    <row r="15442" spans="1:3" x14ac:dyDescent="0.2">
      <c r="A15442" s="82"/>
      <c r="B15442" s="82"/>
      <c r="C15442" s="82"/>
    </row>
    <row r="15443" spans="1:3" x14ac:dyDescent="0.2">
      <c r="A15443" s="82"/>
      <c r="B15443" s="82"/>
      <c r="C15443" s="82"/>
    </row>
    <row r="15444" spans="1:3" x14ac:dyDescent="0.2">
      <c r="A15444" s="82"/>
      <c r="B15444" s="82"/>
      <c r="C15444" s="82"/>
    </row>
    <row r="15445" spans="1:3" x14ac:dyDescent="0.2">
      <c r="A15445" s="82"/>
      <c r="B15445" s="82"/>
      <c r="C15445" s="82"/>
    </row>
    <row r="15446" spans="1:3" x14ac:dyDescent="0.2">
      <c r="A15446" s="82"/>
      <c r="B15446" s="82"/>
      <c r="C15446" s="82"/>
    </row>
    <row r="15447" spans="1:3" x14ac:dyDescent="0.2">
      <c r="A15447" s="82"/>
      <c r="B15447" s="82"/>
      <c r="C15447" s="82"/>
    </row>
    <row r="15448" spans="1:3" x14ac:dyDescent="0.2">
      <c r="A15448" s="82"/>
      <c r="B15448" s="82"/>
      <c r="C15448" s="82"/>
    </row>
    <row r="15449" spans="1:3" x14ac:dyDescent="0.2">
      <c r="A15449" s="82"/>
      <c r="B15449" s="82"/>
      <c r="C15449" s="82"/>
    </row>
    <row r="15450" spans="1:3" x14ac:dyDescent="0.2">
      <c r="A15450" s="82"/>
      <c r="B15450" s="82"/>
      <c r="C15450" s="82"/>
    </row>
    <row r="15451" spans="1:3" x14ac:dyDescent="0.2">
      <c r="A15451" s="82"/>
      <c r="B15451" s="82"/>
      <c r="C15451" s="82"/>
    </row>
    <row r="15452" spans="1:3" x14ac:dyDescent="0.2">
      <c r="A15452" s="82"/>
      <c r="B15452" s="82"/>
      <c r="C15452" s="82"/>
    </row>
    <row r="15453" spans="1:3" x14ac:dyDescent="0.2">
      <c r="A15453" s="82"/>
      <c r="B15453" s="82"/>
      <c r="C15453" s="82"/>
    </row>
    <row r="15454" spans="1:3" x14ac:dyDescent="0.2">
      <c r="A15454" s="82"/>
      <c r="B15454" s="82"/>
      <c r="C15454" s="82"/>
    </row>
    <row r="15455" spans="1:3" x14ac:dyDescent="0.2">
      <c r="A15455" s="82"/>
      <c r="B15455" s="82"/>
      <c r="C15455" s="82"/>
    </row>
    <row r="15456" spans="1:3" x14ac:dyDescent="0.2">
      <c r="A15456" s="82"/>
      <c r="B15456" s="82"/>
      <c r="C15456" s="82"/>
    </row>
    <row r="15457" spans="1:3" x14ac:dyDescent="0.2">
      <c r="A15457" s="82"/>
      <c r="B15457" s="82"/>
      <c r="C15457" s="82"/>
    </row>
    <row r="15458" spans="1:3" x14ac:dyDescent="0.2">
      <c r="A15458" s="82"/>
      <c r="B15458" s="82"/>
      <c r="C15458" s="82"/>
    </row>
    <row r="15459" spans="1:3" x14ac:dyDescent="0.2">
      <c r="A15459" s="82"/>
      <c r="B15459" s="82"/>
      <c r="C15459" s="82"/>
    </row>
    <row r="15460" spans="1:3" x14ac:dyDescent="0.2">
      <c r="A15460" s="82"/>
      <c r="B15460" s="82"/>
      <c r="C15460" s="82"/>
    </row>
    <row r="15461" spans="1:3" x14ac:dyDescent="0.2">
      <c r="A15461" s="82"/>
      <c r="B15461" s="82"/>
      <c r="C15461" s="82"/>
    </row>
    <row r="15462" spans="1:3" x14ac:dyDescent="0.2">
      <c r="A15462" s="82"/>
      <c r="B15462" s="82"/>
      <c r="C15462" s="82"/>
    </row>
    <row r="15463" spans="1:3" x14ac:dyDescent="0.2">
      <c r="A15463" s="82"/>
      <c r="B15463" s="82"/>
      <c r="C15463" s="82"/>
    </row>
    <row r="15464" spans="1:3" x14ac:dyDescent="0.2">
      <c r="A15464" s="82"/>
      <c r="B15464" s="82"/>
      <c r="C15464" s="82"/>
    </row>
    <row r="15465" spans="1:3" x14ac:dyDescent="0.2">
      <c r="A15465" s="82"/>
      <c r="B15465" s="82"/>
      <c r="C15465" s="82"/>
    </row>
    <row r="15466" spans="1:3" x14ac:dyDescent="0.2">
      <c r="A15466" s="82"/>
      <c r="B15466" s="82"/>
      <c r="C15466" s="82"/>
    </row>
    <row r="15467" spans="1:3" x14ac:dyDescent="0.2">
      <c r="A15467" s="82"/>
      <c r="B15467" s="82"/>
      <c r="C15467" s="82"/>
    </row>
    <row r="15468" spans="1:3" x14ac:dyDescent="0.2">
      <c r="A15468" s="82"/>
      <c r="B15468" s="82"/>
      <c r="C15468" s="82"/>
    </row>
    <row r="15469" spans="1:3" x14ac:dyDescent="0.2">
      <c r="A15469" s="82"/>
      <c r="B15469" s="82"/>
      <c r="C15469" s="82"/>
    </row>
    <row r="15470" spans="1:3" x14ac:dyDescent="0.2">
      <c r="A15470" s="82"/>
      <c r="B15470" s="82"/>
      <c r="C15470" s="82"/>
    </row>
    <row r="15471" spans="1:3" x14ac:dyDescent="0.2">
      <c r="A15471" s="82"/>
      <c r="B15471" s="82"/>
      <c r="C15471" s="82"/>
    </row>
    <row r="15472" spans="1:3" x14ac:dyDescent="0.2">
      <c r="A15472" s="82"/>
      <c r="B15472" s="82"/>
      <c r="C15472" s="82"/>
    </row>
    <row r="15473" spans="1:3" x14ac:dyDescent="0.2">
      <c r="A15473" s="82"/>
      <c r="B15473" s="82"/>
      <c r="C15473" s="82"/>
    </row>
    <row r="15474" spans="1:3" x14ac:dyDescent="0.2">
      <c r="A15474" s="82"/>
      <c r="B15474" s="82"/>
      <c r="C15474" s="82"/>
    </row>
    <row r="15475" spans="1:3" x14ac:dyDescent="0.2">
      <c r="A15475" s="82"/>
      <c r="B15475" s="82"/>
      <c r="C15475" s="82"/>
    </row>
    <row r="15476" spans="1:3" x14ac:dyDescent="0.2">
      <c r="A15476" s="82"/>
      <c r="B15476" s="82"/>
      <c r="C15476" s="82"/>
    </row>
    <row r="15477" spans="1:3" x14ac:dyDescent="0.2">
      <c r="A15477" s="82"/>
      <c r="B15477" s="82"/>
      <c r="C15477" s="82"/>
    </row>
    <row r="15478" spans="1:3" x14ac:dyDescent="0.2">
      <c r="A15478" s="82"/>
      <c r="B15478" s="82"/>
      <c r="C15478" s="82"/>
    </row>
    <row r="15479" spans="1:3" x14ac:dyDescent="0.2">
      <c r="A15479" s="82"/>
      <c r="B15479" s="82"/>
      <c r="C15479" s="82"/>
    </row>
    <row r="15480" spans="1:3" x14ac:dyDescent="0.2">
      <c r="A15480" s="82"/>
      <c r="B15480" s="82"/>
      <c r="C15480" s="82"/>
    </row>
    <row r="15481" spans="1:3" x14ac:dyDescent="0.2">
      <c r="A15481" s="82"/>
      <c r="B15481" s="82"/>
      <c r="C15481" s="82"/>
    </row>
    <row r="15482" spans="1:3" x14ac:dyDescent="0.2">
      <c r="A15482" s="82"/>
      <c r="B15482" s="82"/>
      <c r="C15482" s="82"/>
    </row>
    <row r="15483" spans="1:3" x14ac:dyDescent="0.2">
      <c r="A15483" s="82"/>
      <c r="B15483" s="82"/>
      <c r="C15483" s="82"/>
    </row>
    <row r="15484" spans="1:3" x14ac:dyDescent="0.2">
      <c r="A15484" s="82"/>
      <c r="B15484" s="82"/>
      <c r="C15484" s="82"/>
    </row>
    <row r="15485" spans="1:3" x14ac:dyDescent="0.2">
      <c r="A15485" s="82"/>
      <c r="B15485" s="82"/>
      <c r="C15485" s="82"/>
    </row>
    <row r="15486" spans="1:3" x14ac:dyDescent="0.2">
      <c r="A15486" s="82"/>
      <c r="B15486" s="82"/>
      <c r="C15486" s="82"/>
    </row>
    <row r="15487" spans="1:3" x14ac:dyDescent="0.2">
      <c r="A15487" s="82"/>
      <c r="B15487" s="82"/>
      <c r="C15487" s="82"/>
    </row>
    <row r="15488" spans="1:3" x14ac:dyDescent="0.2">
      <c r="A15488" s="82"/>
      <c r="B15488" s="82"/>
      <c r="C15488" s="82"/>
    </row>
    <row r="15489" spans="1:3" x14ac:dyDescent="0.2">
      <c r="A15489" s="82"/>
      <c r="B15489" s="82"/>
      <c r="C15489" s="82"/>
    </row>
    <row r="15490" spans="1:3" x14ac:dyDescent="0.2">
      <c r="A15490" s="82"/>
      <c r="B15490" s="82"/>
      <c r="C15490" s="82"/>
    </row>
    <row r="15491" spans="1:3" x14ac:dyDescent="0.2">
      <c r="A15491" s="82"/>
      <c r="B15491" s="82"/>
      <c r="C15491" s="82"/>
    </row>
    <row r="15492" spans="1:3" x14ac:dyDescent="0.2">
      <c r="A15492" s="82"/>
      <c r="B15492" s="82"/>
      <c r="C15492" s="82"/>
    </row>
    <row r="15493" spans="1:3" x14ac:dyDescent="0.2">
      <c r="A15493" s="82"/>
      <c r="B15493" s="82"/>
      <c r="C15493" s="82"/>
    </row>
    <row r="15494" spans="1:3" x14ac:dyDescent="0.2">
      <c r="A15494" s="82"/>
      <c r="B15494" s="82"/>
      <c r="C15494" s="82"/>
    </row>
    <row r="15495" spans="1:3" x14ac:dyDescent="0.2">
      <c r="A15495" s="82"/>
      <c r="B15495" s="82"/>
      <c r="C15495" s="82"/>
    </row>
    <row r="15496" spans="1:3" x14ac:dyDescent="0.2">
      <c r="A15496" s="82"/>
      <c r="B15496" s="82"/>
      <c r="C15496" s="82"/>
    </row>
    <row r="15497" spans="1:3" x14ac:dyDescent="0.2">
      <c r="A15497" s="82"/>
      <c r="B15497" s="82"/>
      <c r="C15497" s="82"/>
    </row>
    <row r="15498" spans="1:3" x14ac:dyDescent="0.2">
      <c r="A15498" s="82"/>
      <c r="B15498" s="82"/>
      <c r="C15498" s="82"/>
    </row>
    <row r="15499" spans="1:3" x14ac:dyDescent="0.2">
      <c r="A15499" s="82"/>
      <c r="B15499" s="82"/>
      <c r="C15499" s="82"/>
    </row>
    <row r="15500" spans="1:3" x14ac:dyDescent="0.2">
      <c r="A15500" s="82"/>
      <c r="B15500" s="82"/>
      <c r="C15500" s="82"/>
    </row>
    <row r="15501" spans="1:3" x14ac:dyDescent="0.2">
      <c r="A15501" s="82"/>
      <c r="B15501" s="82"/>
      <c r="C15501" s="82"/>
    </row>
    <row r="15502" spans="1:3" x14ac:dyDescent="0.2">
      <c r="A15502" s="82"/>
      <c r="B15502" s="82"/>
      <c r="C15502" s="82"/>
    </row>
    <row r="15503" spans="1:3" x14ac:dyDescent="0.2">
      <c r="A15503" s="82"/>
      <c r="B15503" s="82"/>
      <c r="C15503" s="82"/>
    </row>
    <row r="15504" spans="1:3" x14ac:dyDescent="0.2">
      <c r="A15504" s="82"/>
      <c r="B15504" s="82"/>
      <c r="C15504" s="82"/>
    </row>
    <row r="15505" spans="1:3" x14ac:dyDescent="0.2">
      <c r="A15505" s="82"/>
      <c r="B15505" s="82"/>
      <c r="C15505" s="82"/>
    </row>
    <row r="15506" spans="1:3" x14ac:dyDescent="0.2">
      <c r="A15506" s="82"/>
      <c r="B15506" s="82"/>
      <c r="C15506" s="82"/>
    </row>
    <row r="15507" spans="1:3" x14ac:dyDescent="0.2">
      <c r="A15507" s="82"/>
      <c r="B15507" s="82"/>
      <c r="C15507" s="82"/>
    </row>
    <row r="15508" spans="1:3" x14ac:dyDescent="0.2">
      <c r="A15508" s="82"/>
      <c r="B15508" s="82"/>
      <c r="C15508" s="82"/>
    </row>
    <row r="15509" spans="1:3" x14ac:dyDescent="0.2">
      <c r="A15509" s="82"/>
      <c r="B15509" s="82"/>
      <c r="C15509" s="82"/>
    </row>
    <row r="15510" spans="1:3" x14ac:dyDescent="0.2">
      <c r="A15510" s="82"/>
      <c r="B15510" s="82"/>
      <c r="C15510" s="82"/>
    </row>
    <row r="15511" spans="1:3" x14ac:dyDescent="0.2">
      <c r="A15511" s="82"/>
      <c r="B15511" s="82"/>
      <c r="C15511" s="82"/>
    </row>
    <row r="15512" spans="1:3" x14ac:dyDescent="0.2">
      <c r="A15512" s="82"/>
      <c r="B15512" s="82"/>
      <c r="C15512" s="82"/>
    </row>
    <row r="15513" spans="1:3" x14ac:dyDescent="0.2">
      <c r="A15513" s="82"/>
      <c r="B15513" s="82"/>
      <c r="C15513" s="82"/>
    </row>
    <row r="15514" spans="1:3" x14ac:dyDescent="0.2">
      <c r="A15514" s="82"/>
      <c r="B15514" s="82"/>
      <c r="C15514" s="82"/>
    </row>
    <row r="15515" spans="1:3" x14ac:dyDescent="0.2">
      <c r="A15515" s="82"/>
      <c r="B15515" s="82"/>
      <c r="C15515" s="82"/>
    </row>
    <row r="15516" spans="1:3" x14ac:dyDescent="0.2">
      <c r="A15516" s="82"/>
      <c r="B15516" s="82"/>
      <c r="C15516" s="82"/>
    </row>
    <row r="15517" spans="1:3" x14ac:dyDescent="0.2">
      <c r="A15517" s="82"/>
      <c r="B15517" s="82"/>
      <c r="C15517" s="82"/>
    </row>
    <row r="15518" spans="1:3" x14ac:dyDescent="0.2">
      <c r="A15518" s="82"/>
      <c r="B15518" s="82"/>
      <c r="C15518" s="82"/>
    </row>
    <row r="15519" spans="1:3" x14ac:dyDescent="0.2">
      <c r="A15519" s="82"/>
      <c r="B15519" s="82"/>
      <c r="C15519" s="82"/>
    </row>
    <row r="15520" spans="1:3" x14ac:dyDescent="0.2">
      <c r="A15520" s="82"/>
      <c r="B15520" s="82"/>
      <c r="C15520" s="82"/>
    </row>
    <row r="15521" spans="1:3" x14ac:dyDescent="0.2">
      <c r="A15521" s="82"/>
      <c r="B15521" s="82"/>
      <c r="C15521" s="82"/>
    </row>
    <row r="15522" spans="1:3" x14ac:dyDescent="0.2">
      <c r="A15522" s="82"/>
      <c r="B15522" s="82"/>
      <c r="C15522" s="82"/>
    </row>
    <row r="15523" spans="1:3" x14ac:dyDescent="0.2">
      <c r="A15523" s="82"/>
      <c r="B15523" s="82"/>
      <c r="C15523" s="82"/>
    </row>
    <row r="15524" spans="1:3" x14ac:dyDescent="0.2">
      <c r="A15524" s="82"/>
      <c r="B15524" s="82"/>
      <c r="C15524" s="82"/>
    </row>
    <row r="15525" spans="1:3" x14ac:dyDescent="0.2">
      <c r="A15525" s="82"/>
      <c r="B15525" s="82"/>
      <c r="C15525" s="82"/>
    </row>
    <row r="15526" spans="1:3" x14ac:dyDescent="0.2">
      <c r="A15526" s="82"/>
      <c r="B15526" s="82"/>
      <c r="C15526" s="82"/>
    </row>
    <row r="15527" spans="1:3" x14ac:dyDescent="0.2">
      <c r="A15527" s="82"/>
      <c r="B15527" s="82"/>
      <c r="C15527" s="82"/>
    </row>
    <row r="15528" spans="1:3" x14ac:dyDescent="0.2">
      <c r="A15528" s="82"/>
      <c r="B15528" s="82"/>
      <c r="C15528" s="82"/>
    </row>
    <row r="15529" spans="1:3" x14ac:dyDescent="0.2">
      <c r="A15529" s="82"/>
      <c r="B15529" s="82"/>
      <c r="C15529" s="82"/>
    </row>
    <row r="15530" spans="1:3" x14ac:dyDescent="0.2">
      <c r="A15530" s="82"/>
      <c r="B15530" s="82"/>
      <c r="C15530" s="82"/>
    </row>
    <row r="15531" spans="1:3" x14ac:dyDescent="0.2">
      <c r="A15531" s="82"/>
      <c r="B15531" s="82"/>
      <c r="C15531" s="82"/>
    </row>
    <row r="15532" spans="1:3" x14ac:dyDescent="0.2">
      <c r="A15532" s="82"/>
      <c r="B15532" s="82"/>
      <c r="C15532" s="82"/>
    </row>
    <row r="15533" spans="1:3" x14ac:dyDescent="0.2">
      <c r="A15533" s="82"/>
      <c r="B15533" s="82"/>
      <c r="C15533" s="82"/>
    </row>
    <row r="15534" spans="1:3" x14ac:dyDescent="0.2">
      <c r="A15534" s="82"/>
      <c r="B15534" s="82"/>
      <c r="C15534" s="82"/>
    </row>
    <row r="15535" spans="1:3" x14ac:dyDescent="0.2">
      <c r="A15535" s="82"/>
      <c r="B15535" s="82"/>
      <c r="C15535" s="82"/>
    </row>
    <row r="15536" spans="1:3" x14ac:dyDescent="0.2">
      <c r="A15536" s="82"/>
      <c r="B15536" s="82"/>
      <c r="C15536" s="82"/>
    </row>
    <row r="15537" spans="1:3" x14ac:dyDescent="0.2">
      <c r="A15537" s="82"/>
      <c r="B15537" s="82"/>
      <c r="C15537" s="82"/>
    </row>
    <row r="15538" spans="1:3" x14ac:dyDescent="0.2">
      <c r="A15538" s="82"/>
      <c r="B15538" s="82"/>
      <c r="C15538" s="82"/>
    </row>
    <row r="15539" spans="1:3" x14ac:dyDescent="0.2">
      <c r="A15539" s="82"/>
      <c r="B15539" s="82"/>
      <c r="C15539" s="82"/>
    </row>
    <row r="15540" spans="1:3" x14ac:dyDescent="0.2">
      <c r="A15540" s="82"/>
      <c r="B15540" s="82"/>
      <c r="C15540" s="82"/>
    </row>
    <row r="15541" spans="1:3" x14ac:dyDescent="0.2">
      <c r="A15541" s="82"/>
      <c r="B15541" s="82"/>
      <c r="C15541" s="82"/>
    </row>
    <row r="15542" spans="1:3" x14ac:dyDescent="0.2">
      <c r="A15542" s="82"/>
      <c r="B15542" s="82"/>
      <c r="C15542" s="82"/>
    </row>
    <row r="15543" spans="1:3" x14ac:dyDescent="0.2">
      <c r="A15543" s="82"/>
      <c r="B15543" s="82"/>
      <c r="C15543" s="82"/>
    </row>
    <row r="15544" spans="1:3" x14ac:dyDescent="0.2">
      <c r="A15544" s="82"/>
      <c r="B15544" s="82"/>
      <c r="C15544" s="82"/>
    </row>
    <row r="15545" spans="1:3" x14ac:dyDescent="0.2">
      <c r="A15545" s="82"/>
      <c r="B15545" s="82"/>
      <c r="C15545" s="82"/>
    </row>
    <row r="15546" spans="1:3" x14ac:dyDescent="0.2">
      <c r="A15546" s="82"/>
      <c r="B15546" s="82"/>
      <c r="C15546" s="82"/>
    </row>
    <row r="15547" spans="1:3" x14ac:dyDescent="0.2">
      <c r="A15547" s="82"/>
      <c r="B15547" s="82"/>
      <c r="C15547" s="82"/>
    </row>
    <row r="15548" spans="1:3" x14ac:dyDescent="0.2">
      <c r="A15548" s="82"/>
      <c r="B15548" s="82"/>
      <c r="C15548" s="82"/>
    </row>
    <row r="15549" spans="1:3" x14ac:dyDescent="0.2">
      <c r="A15549" s="82"/>
      <c r="B15549" s="82"/>
      <c r="C15549" s="82"/>
    </row>
    <row r="15550" spans="1:3" x14ac:dyDescent="0.2">
      <c r="A15550" s="82"/>
      <c r="B15550" s="82"/>
      <c r="C15550" s="82"/>
    </row>
    <row r="15551" spans="1:3" x14ac:dyDescent="0.2">
      <c r="A15551" s="82"/>
      <c r="B15551" s="82"/>
      <c r="C15551" s="82"/>
    </row>
    <row r="15552" spans="1:3" x14ac:dyDescent="0.2">
      <c r="A15552" s="82"/>
      <c r="B15552" s="82"/>
      <c r="C15552" s="82"/>
    </row>
    <row r="15553" spans="1:3" x14ac:dyDescent="0.2">
      <c r="A15553" s="82"/>
      <c r="B15553" s="82"/>
      <c r="C15553" s="82"/>
    </row>
    <row r="15554" spans="1:3" x14ac:dyDescent="0.2">
      <c r="A15554" s="82"/>
      <c r="B15554" s="82"/>
      <c r="C15554" s="82"/>
    </row>
    <row r="15555" spans="1:3" x14ac:dyDescent="0.2">
      <c r="A15555" s="82"/>
      <c r="B15555" s="82"/>
      <c r="C15555" s="82"/>
    </row>
    <row r="15556" spans="1:3" x14ac:dyDescent="0.2">
      <c r="A15556" s="82"/>
      <c r="B15556" s="82"/>
      <c r="C15556" s="82"/>
    </row>
    <row r="15557" spans="1:3" x14ac:dyDescent="0.2">
      <c r="A15557" s="82"/>
      <c r="B15557" s="82"/>
      <c r="C15557" s="82"/>
    </row>
    <row r="15558" spans="1:3" x14ac:dyDescent="0.2">
      <c r="A15558" s="82"/>
      <c r="B15558" s="82"/>
      <c r="C15558" s="82"/>
    </row>
    <row r="15559" spans="1:3" x14ac:dyDescent="0.2">
      <c r="A15559" s="82"/>
      <c r="B15559" s="82"/>
      <c r="C15559" s="82"/>
    </row>
    <row r="15560" spans="1:3" x14ac:dyDescent="0.2">
      <c r="A15560" s="82"/>
      <c r="B15560" s="82"/>
      <c r="C15560" s="82"/>
    </row>
    <row r="15561" spans="1:3" x14ac:dyDescent="0.2">
      <c r="A15561" s="82"/>
      <c r="B15561" s="82"/>
      <c r="C15561" s="82"/>
    </row>
    <row r="15562" spans="1:3" x14ac:dyDescent="0.2">
      <c r="A15562" s="82"/>
      <c r="B15562" s="82"/>
      <c r="C15562" s="82"/>
    </row>
    <row r="15563" spans="1:3" x14ac:dyDescent="0.2">
      <c r="A15563" s="82"/>
      <c r="B15563" s="82"/>
      <c r="C15563" s="82"/>
    </row>
    <row r="15564" spans="1:3" x14ac:dyDescent="0.2">
      <c r="A15564" s="82"/>
      <c r="B15564" s="82"/>
      <c r="C15564" s="82"/>
    </row>
    <row r="15565" spans="1:3" x14ac:dyDescent="0.2">
      <c r="A15565" s="82"/>
      <c r="B15565" s="82"/>
      <c r="C15565" s="82"/>
    </row>
    <row r="15566" spans="1:3" x14ac:dyDescent="0.2">
      <c r="A15566" s="82"/>
      <c r="B15566" s="82"/>
      <c r="C15566" s="82"/>
    </row>
    <row r="15567" spans="1:3" x14ac:dyDescent="0.2">
      <c r="A15567" s="82"/>
      <c r="B15567" s="82"/>
      <c r="C15567" s="82"/>
    </row>
    <row r="15568" spans="1:3" x14ac:dyDescent="0.2">
      <c r="A15568" s="82"/>
      <c r="B15568" s="82"/>
      <c r="C15568" s="82"/>
    </row>
    <row r="15569" spans="1:3" x14ac:dyDescent="0.2">
      <c r="A15569" s="82"/>
      <c r="B15569" s="82"/>
      <c r="C15569" s="82"/>
    </row>
    <row r="15570" spans="1:3" x14ac:dyDescent="0.2">
      <c r="A15570" s="82"/>
      <c r="B15570" s="82"/>
      <c r="C15570" s="82"/>
    </row>
    <row r="15571" spans="1:3" x14ac:dyDescent="0.2">
      <c r="A15571" s="82"/>
      <c r="B15571" s="82"/>
      <c r="C15571" s="82"/>
    </row>
    <row r="15572" spans="1:3" x14ac:dyDescent="0.2">
      <c r="A15572" s="82"/>
      <c r="B15572" s="82"/>
      <c r="C15572" s="82"/>
    </row>
    <row r="15573" spans="1:3" x14ac:dyDescent="0.2">
      <c r="A15573" s="82"/>
      <c r="B15573" s="82"/>
      <c r="C15573" s="82"/>
    </row>
    <row r="15574" spans="1:3" x14ac:dyDescent="0.2">
      <c r="A15574" s="82"/>
      <c r="B15574" s="82"/>
      <c r="C15574" s="82"/>
    </row>
    <row r="15575" spans="1:3" x14ac:dyDescent="0.2">
      <c r="A15575" s="82"/>
      <c r="B15575" s="82"/>
      <c r="C15575" s="82"/>
    </row>
    <row r="15576" spans="1:3" x14ac:dyDescent="0.2">
      <c r="A15576" s="82"/>
      <c r="B15576" s="82"/>
      <c r="C15576" s="82"/>
    </row>
    <row r="15577" spans="1:3" x14ac:dyDescent="0.2">
      <c r="A15577" s="82"/>
      <c r="B15577" s="82"/>
      <c r="C15577" s="82"/>
    </row>
    <row r="15578" spans="1:3" x14ac:dyDescent="0.2">
      <c r="A15578" s="82"/>
      <c r="B15578" s="82"/>
      <c r="C15578" s="82"/>
    </row>
    <row r="15579" spans="1:3" x14ac:dyDescent="0.2">
      <c r="A15579" s="82"/>
      <c r="B15579" s="82"/>
      <c r="C15579" s="82"/>
    </row>
    <row r="15580" spans="1:3" x14ac:dyDescent="0.2">
      <c r="A15580" s="82"/>
      <c r="B15580" s="82"/>
      <c r="C15580" s="82"/>
    </row>
    <row r="15581" spans="1:3" x14ac:dyDescent="0.2">
      <c r="A15581" s="82"/>
      <c r="B15581" s="82"/>
      <c r="C15581" s="82"/>
    </row>
    <row r="15582" spans="1:3" x14ac:dyDescent="0.2">
      <c r="A15582" s="82"/>
      <c r="B15582" s="82"/>
      <c r="C15582" s="82"/>
    </row>
    <row r="15583" spans="1:3" x14ac:dyDescent="0.2">
      <c r="A15583" s="82"/>
      <c r="B15583" s="82"/>
      <c r="C15583" s="82"/>
    </row>
    <row r="15584" spans="1:3" x14ac:dyDescent="0.2">
      <c r="A15584" s="82"/>
      <c r="B15584" s="82"/>
      <c r="C15584" s="82"/>
    </row>
    <row r="15585" spans="1:3" x14ac:dyDescent="0.2">
      <c r="A15585" s="82"/>
      <c r="B15585" s="82"/>
      <c r="C15585" s="82"/>
    </row>
    <row r="15586" spans="1:3" x14ac:dyDescent="0.2">
      <c r="A15586" s="82"/>
      <c r="B15586" s="82"/>
      <c r="C15586" s="82"/>
    </row>
    <row r="15587" spans="1:3" x14ac:dyDescent="0.2">
      <c r="A15587" s="82"/>
      <c r="B15587" s="82"/>
      <c r="C15587" s="82"/>
    </row>
    <row r="15588" spans="1:3" x14ac:dyDescent="0.2">
      <c r="A15588" s="82"/>
      <c r="B15588" s="82"/>
      <c r="C15588" s="82"/>
    </row>
    <row r="15589" spans="1:3" x14ac:dyDescent="0.2">
      <c r="A15589" s="82"/>
      <c r="B15589" s="82"/>
      <c r="C15589" s="82"/>
    </row>
    <row r="15590" spans="1:3" x14ac:dyDescent="0.2">
      <c r="A15590" s="82"/>
      <c r="B15590" s="82"/>
      <c r="C15590" s="82"/>
    </row>
    <row r="15591" spans="1:3" x14ac:dyDescent="0.2">
      <c r="A15591" s="82"/>
      <c r="B15591" s="82"/>
      <c r="C15591" s="82"/>
    </row>
    <row r="15592" spans="1:3" x14ac:dyDescent="0.2">
      <c r="A15592" s="82"/>
      <c r="B15592" s="82"/>
      <c r="C15592" s="82"/>
    </row>
    <row r="15593" spans="1:3" x14ac:dyDescent="0.2">
      <c r="A15593" s="82"/>
      <c r="B15593" s="82"/>
      <c r="C15593" s="82"/>
    </row>
    <row r="15594" spans="1:3" x14ac:dyDescent="0.2">
      <c r="A15594" s="82"/>
      <c r="B15594" s="82"/>
      <c r="C15594" s="82"/>
    </row>
    <row r="15595" spans="1:3" x14ac:dyDescent="0.2">
      <c r="A15595" s="82"/>
      <c r="B15595" s="82"/>
      <c r="C15595" s="82"/>
    </row>
    <row r="15596" spans="1:3" x14ac:dyDescent="0.2">
      <c r="A15596" s="82"/>
      <c r="B15596" s="82"/>
      <c r="C15596" s="82"/>
    </row>
    <row r="15597" spans="1:3" x14ac:dyDescent="0.2">
      <c r="A15597" s="82"/>
      <c r="B15597" s="82"/>
      <c r="C15597" s="82"/>
    </row>
    <row r="15598" spans="1:3" x14ac:dyDescent="0.2">
      <c r="A15598" s="82"/>
      <c r="B15598" s="82"/>
      <c r="C15598" s="82"/>
    </row>
    <row r="15599" spans="1:3" x14ac:dyDescent="0.2">
      <c r="A15599" s="82"/>
      <c r="B15599" s="82"/>
      <c r="C15599" s="82"/>
    </row>
    <row r="15600" spans="1:3" x14ac:dyDescent="0.2">
      <c r="A15600" s="82"/>
      <c r="B15600" s="82"/>
      <c r="C15600" s="82"/>
    </row>
    <row r="15601" spans="1:3" x14ac:dyDescent="0.2">
      <c r="A15601" s="82"/>
      <c r="B15601" s="82"/>
      <c r="C15601" s="82"/>
    </row>
    <row r="15602" spans="1:3" x14ac:dyDescent="0.2">
      <c r="A15602" s="82"/>
      <c r="B15602" s="82"/>
      <c r="C15602" s="82"/>
    </row>
    <row r="15603" spans="1:3" x14ac:dyDescent="0.2">
      <c r="A15603" s="82"/>
      <c r="B15603" s="82"/>
      <c r="C15603" s="82"/>
    </row>
    <row r="15604" spans="1:3" x14ac:dyDescent="0.2">
      <c r="A15604" s="82"/>
      <c r="B15604" s="82"/>
      <c r="C15604" s="82"/>
    </row>
    <row r="15605" spans="1:3" x14ac:dyDescent="0.2">
      <c r="A15605" s="82"/>
      <c r="B15605" s="82"/>
      <c r="C15605" s="82"/>
    </row>
    <row r="15606" spans="1:3" x14ac:dyDescent="0.2">
      <c r="A15606" s="82"/>
      <c r="B15606" s="82"/>
      <c r="C15606" s="82"/>
    </row>
    <row r="15607" spans="1:3" x14ac:dyDescent="0.2">
      <c r="A15607" s="82"/>
      <c r="B15607" s="82"/>
      <c r="C15607" s="82"/>
    </row>
    <row r="15608" spans="1:3" x14ac:dyDescent="0.2">
      <c r="A15608" s="82"/>
      <c r="B15608" s="82"/>
      <c r="C15608" s="82"/>
    </row>
    <row r="15609" spans="1:3" x14ac:dyDescent="0.2">
      <c r="A15609" s="82"/>
      <c r="B15609" s="82"/>
      <c r="C15609" s="82"/>
    </row>
    <row r="15610" spans="1:3" x14ac:dyDescent="0.2">
      <c r="A15610" s="82"/>
      <c r="B15610" s="82"/>
      <c r="C15610" s="82"/>
    </row>
    <row r="15611" spans="1:3" x14ac:dyDescent="0.2">
      <c r="A15611" s="82"/>
      <c r="B15611" s="82"/>
      <c r="C15611" s="82"/>
    </row>
    <row r="15612" spans="1:3" x14ac:dyDescent="0.2">
      <c r="A15612" s="82"/>
      <c r="B15612" s="82"/>
      <c r="C15612" s="82"/>
    </row>
    <row r="15613" spans="1:3" x14ac:dyDescent="0.2">
      <c r="A15613" s="82"/>
      <c r="B15613" s="82"/>
      <c r="C15613" s="82"/>
    </row>
    <row r="15614" spans="1:3" x14ac:dyDescent="0.2">
      <c r="A15614" s="82"/>
      <c r="B15614" s="82"/>
      <c r="C15614" s="82"/>
    </row>
    <row r="15615" spans="1:3" x14ac:dyDescent="0.2">
      <c r="A15615" s="82"/>
      <c r="B15615" s="82"/>
      <c r="C15615" s="82"/>
    </row>
    <row r="15616" spans="1:3" x14ac:dyDescent="0.2">
      <c r="A15616" s="82"/>
      <c r="B15616" s="82"/>
      <c r="C15616" s="82"/>
    </row>
    <row r="15617" spans="1:3" x14ac:dyDescent="0.2">
      <c r="A15617" s="82"/>
      <c r="B15617" s="82"/>
      <c r="C15617" s="82"/>
    </row>
    <row r="15618" spans="1:3" x14ac:dyDescent="0.2">
      <c r="A15618" s="82"/>
      <c r="B15618" s="82"/>
      <c r="C15618" s="82"/>
    </row>
    <row r="15619" spans="1:3" x14ac:dyDescent="0.2">
      <c r="A15619" s="82"/>
      <c r="B15619" s="82"/>
      <c r="C15619" s="82"/>
    </row>
    <row r="15620" spans="1:3" x14ac:dyDescent="0.2">
      <c r="A15620" s="82"/>
      <c r="B15620" s="82"/>
      <c r="C15620" s="82"/>
    </row>
    <row r="15621" spans="1:3" x14ac:dyDescent="0.2">
      <c r="A15621" s="82"/>
      <c r="B15621" s="82"/>
      <c r="C15621" s="82"/>
    </row>
    <row r="15622" spans="1:3" x14ac:dyDescent="0.2">
      <c r="A15622" s="82"/>
      <c r="B15622" s="82"/>
      <c r="C15622" s="82"/>
    </row>
    <row r="15623" spans="1:3" x14ac:dyDescent="0.2">
      <c r="A15623" s="82"/>
      <c r="B15623" s="82"/>
      <c r="C15623" s="82"/>
    </row>
    <row r="15624" spans="1:3" x14ac:dyDescent="0.2">
      <c r="A15624" s="82"/>
      <c r="B15624" s="82"/>
      <c r="C15624" s="82"/>
    </row>
    <row r="15625" spans="1:3" x14ac:dyDescent="0.2">
      <c r="A15625" s="82"/>
      <c r="B15625" s="82"/>
      <c r="C15625" s="82"/>
    </row>
    <row r="15626" spans="1:3" x14ac:dyDescent="0.2">
      <c r="A15626" s="82"/>
      <c r="B15626" s="82"/>
      <c r="C15626" s="82"/>
    </row>
    <row r="15627" spans="1:3" x14ac:dyDescent="0.2">
      <c r="A15627" s="82"/>
      <c r="B15627" s="82"/>
      <c r="C15627" s="82"/>
    </row>
    <row r="15628" spans="1:3" x14ac:dyDescent="0.2">
      <c r="A15628" s="82"/>
      <c r="B15628" s="82"/>
      <c r="C15628" s="82"/>
    </row>
    <row r="15629" spans="1:3" x14ac:dyDescent="0.2">
      <c r="A15629" s="82"/>
      <c r="B15629" s="82"/>
      <c r="C15629" s="82"/>
    </row>
    <row r="15630" spans="1:3" x14ac:dyDescent="0.2">
      <c r="A15630" s="82"/>
      <c r="B15630" s="82"/>
      <c r="C15630" s="82"/>
    </row>
    <row r="15631" spans="1:3" x14ac:dyDescent="0.2">
      <c r="A15631" s="82"/>
      <c r="B15631" s="82"/>
      <c r="C15631" s="82"/>
    </row>
    <row r="15632" spans="1:3" x14ac:dyDescent="0.2">
      <c r="A15632" s="82"/>
      <c r="B15632" s="82"/>
      <c r="C15632" s="82"/>
    </row>
    <row r="15633" spans="1:3" x14ac:dyDescent="0.2">
      <c r="A15633" s="82"/>
      <c r="B15633" s="82"/>
      <c r="C15633" s="82"/>
    </row>
    <row r="15634" spans="1:3" x14ac:dyDescent="0.2">
      <c r="A15634" s="82"/>
      <c r="B15634" s="82"/>
      <c r="C15634" s="82"/>
    </row>
    <row r="15635" spans="1:3" x14ac:dyDescent="0.2">
      <c r="A15635" s="82"/>
      <c r="B15635" s="82"/>
      <c r="C15635" s="82"/>
    </row>
    <row r="15636" spans="1:3" x14ac:dyDescent="0.2">
      <c r="A15636" s="82"/>
      <c r="B15636" s="82"/>
      <c r="C15636" s="82"/>
    </row>
    <row r="15637" spans="1:3" x14ac:dyDescent="0.2">
      <c r="A15637" s="82"/>
      <c r="B15637" s="82"/>
      <c r="C15637" s="82"/>
    </row>
    <row r="15638" spans="1:3" x14ac:dyDescent="0.2">
      <c r="A15638" s="82"/>
      <c r="B15638" s="82"/>
      <c r="C15638" s="82"/>
    </row>
    <row r="15639" spans="1:3" x14ac:dyDescent="0.2">
      <c r="A15639" s="82"/>
      <c r="B15639" s="82"/>
      <c r="C15639" s="82"/>
    </row>
    <row r="15640" spans="1:3" x14ac:dyDescent="0.2">
      <c r="A15640" s="82"/>
      <c r="B15640" s="82"/>
      <c r="C15640" s="82"/>
    </row>
    <row r="15641" spans="1:3" x14ac:dyDescent="0.2">
      <c r="A15641" s="82"/>
      <c r="B15641" s="82"/>
      <c r="C15641" s="82"/>
    </row>
    <row r="15642" spans="1:3" x14ac:dyDescent="0.2">
      <c r="A15642" s="82"/>
      <c r="B15642" s="82"/>
      <c r="C15642" s="82"/>
    </row>
    <row r="15643" spans="1:3" x14ac:dyDescent="0.2">
      <c r="A15643" s="82"/>
      <c r="B15643" s="82"/>
      <c r="C15643" s="82"/>
    </row>
    <row r="15644" spans="1:3" x14ac:dyDescent="0.2">
      <c r="A15644" s="82"/>
      <c r="B15644" s="82"/>
      <c r="C15644" s="82"/>
    </row>
    <row r="15645" spans="1:3" x14ac:dyDescent="0.2">
      <c r="A15645" s="82"/>
      <c r="B15645" s="82"/>
      <c r="C15645" s="82"/>
    </row>
    <row r="15646" spans="1:3" x14ac:dyDescent="0.2">
      <c r="A15646" s="82"/>
      <c r="B15646" s="82"/>
      <c r="C15646" s="82"/>
    </row>
    <row r="15647" spans="1:3" x14ac:dyDescent="0.2">
      <c r="A15647" s="82"/>
      <c r="B15647" s="82"/>
      <c r="C15647" s="82"/>
    </row>
    <row r="15648" spans="1:3" x14ac:dyDescent="0.2">
      <c r="A15648" s="82"/>
      <c r="B15648" s="82"/>
      <c r="C15648" s="82"/>
    </row>
    <row r="15649" spans="1:3" x14ac:dyDescent="0.2">
      <c r="A15649" s="82"/>
      <c r="B15649" s="82"/>
      <c r="C15649" s="82"/>
    </row>
    <row r="15650" spans="1:3" x14ac:dyDescent="0.2">
      <c r="A15650" s="82"/>
      <c r="B15650" s="82"/>
      <c r="C15650" s="82"/>
    </row>
    <row r="15651" spans="1:3" x14ac:dyDescent="0.2">
      <c r="A15651" s="82"/>
      <c r="B15651" s="82"/>
      <c r="C15651" s="82"/>
    </row>
    <row r="15652" spans="1:3" x14ac:dyDescent="0.2">
      <c r="A15652" s="82"/>
      <c r="B15652" s="82"/>
      <c r="C15652" s="82"/>
    </row>
    <row r="15653" spans="1:3" x14ac:dyDescent="0.2">
      <c r="A15653" s="82"/>
      <c r="B15653" s="82"/>
      <c r="C15653" s="82"/>
    </row>
    <row r="15654" spans="1:3" x14ac:dyDescent="0.2">
      <c r="A15654" s="82"/>
      <c r="B15654" s="82"/>
      <c r="C15654" s="82"/>
    </row>
    <row r="15655" spans="1:3" x14ac:dyDescent="0.2">
      <c r="A15655" s="82"/>
      <c r="B15655" s="82"/>
      <c r="C15655" s="82"/>
    </row>
    <row r="15656" spans="1:3" x14ac:dyDescent="0.2">
      <c r="A15656" s="82"/>
      <c r="B15656" s="82"/>
      <c r="C15656" s="82"/>
    </row>
    <row r="15657" spans="1:3" x14ac:dyDescent="0.2">
      <c r="A15657" s="82"/>
      <c r="B15657" s="82"/>
      <c r="C15657" s="82"/>
    </row>
    <row r="15658" spans="1:3" x14ac:dyDescent="0.2">
      <c r="A15658" s="82"/>
      <c r="B15658" s="82"/>
      <c r="C15658" s="82"/>
    </row>
    <row r="15659" spans="1:3" x14ac:dyDescent="0.2">
      <c r="A15659" s="82"/>
      <c r="B15659" s="82"/>
      <c r="C15659" s="82"/>
    </row>
    <row r="15660" spans="1:3" x14ac:dyDescent="0.2">
      <c r="A15660" s="82"/>
      <c r="B15660" s="82"/>
      <c r="C15660" s="82"/>
    </row>
    <row r="15661" spans="1:3" x14ac:dyDescent="0.2">
      <c r="A15661" s="82"/>
      <c r="B15661" s="82"/>
      <c r="C15661" s="82"/>
    </row>
    <row r="15662" spans="1:3" x14ac:dyDescent="0.2">
      <c r="A15662" s="82"/>
      <c r="B15662" s="82"/>
      <c r="C15662" s="82"/>
    </row>
    <row r="15663" spans="1:3" x14ac:dyDescent="0.2">
      <c r="A15663" s="82"/>
      <c r="B15663" s="82"/>
      <c r="C15663" s="82"/>
    </row>
    <row r="15664" spans="1:3" x14ac:dyDescent="0.2">
      <c r="A15664" s="82"/>
      <c r="B15664" s="82"/>
      <c r="C15664" s="82"/>
    </row>
    <row r="15665" spans="1:3" x14ac:dyDescent="0.2">
      <c r="A15665" s="82"/>
      <c r="B15665" s="82"/>
      <c r="C15665" s="82"/>
    </row>
    <row r="15666" spans="1:3" x14ac:dyDescent="0.2">
      <c r="A15666" s="82"/>
      <c r="B15666" s="82"/>
      <c r="C15666" s="82"/>
    </row>
    <row r="15667" spans="1:3" x14ac:dyDescent="0.2">
      <c r="A15667" s="82"/>
      <c r="B15667" s="82"/>
      <c r="C15667" s="82"/>
    </row>
    <row r="15668" spans="1:3" x14ac:dyDescent="0.2">
      <c r="A15668" s="82"/>
      <c r="B15668" s="82"/>
      <c r="C15668" s="82"/>
    </row>
    <row r="15669" spans="1:3" x14ac:dyDescent="0.2">
      <c r="A15669" s="82"/>
      <c r="B15669" s="82"/>
      <c r="C15669" s="82"/>
    </row>
    <row r="15670" spans="1:3" x14ac:dyDescent="0.2">
      <c r="A15670" s="82"/>
      <c r="B15670" s="82"/>
      <c r="C15670" s="82"/>
    </row>
    <row r="15671" spans="1:3" x14ac:dyDescent="0.2">
      <c r="A15671" s="82"/>
      <c r="B15671" s="82"/>
      <c r="C15671" s="82"/>
    </row>
    <row r="15672" spans="1:3" x14ac:dyDescent="0.2">
      <c r="A15672" s="82"/>
      <c r="B15672" s="82"/>
      <c r="C15672" s="82"/>
    </row>
    <row r="15673" spans="1:3" x14ac:dyDescent="0.2">
      <c r="A15673" s="82"/>
      <c r="B15673" s="82"/>
      <c r="C15673" s="82"/>
    </row>
    <row r="15674" spans="1:3" x14ac:dyDescent="0.2">
      <c r="A15674" s="82"/>
      <c r="B15674" s="82"/>
      <c r="C15674" s="82"/>
    </row>
    <row r="15675" spans="1:3" x14ac:dyDescent="0.2">
      <c r="A15675" s="82"/>
      <c r="B15675" s="82"/>
      <c r="C15675" s="82"/>
    </row>
    <row r="15676" spans="1:3" x14ac:dyDescent="0.2">
      <c r="A15676" s="82"/>
      <c r="B15676" s="82"/>
      <c r="C15676" s="82"/>
    </row>
    <row r="15677" spans="1:3" x14ac:dyDescent="0.2">
      <c r="A15677" s="82"/>
      <c r="B15677" s="82"/>
      <c r="C15677" s="82"/>
    </row>
    <row r="15678" spans="1:3" x14ac:dyDescent="0.2">
      <c r="A15678" s="82"/>
      <c r="B15678" s="82"/>
      <c r="C15678" s="82"/>
    </row>
    <row r="15679" spans="1:3" x14ac:dyDescent="0.2">
      <c r="A15679" s="82"/>
      <c r="B15679" s="82"/>
      <c r="C15679" s="82"/>
    </row>
    <row r="15680" spans="1:3" x14ac:dyDescent="0.2">
      <c r="A15680" s="82"/>
      <c r="B15680" s="82"/>
      <c r="C15680" s="82"/>
    </row>
    <row r="15681" spans="1:3" x14ac:dyDescent="0.2">
      <c r="A15681" s="82"/>
      <c r="B15681" s="82"/>
      <c r="C15681" s="82"/>
    </row>
    <row r="15682" spans="1:3" x14ac:dyDescent="0.2">
      <c r="A15682" s="82"/>
      <c r="B15682" s="82"/>
      <c r="C15682" s="82"/>
    </row>
    <row r="15683" spans="1:3" x14ac:dyDescent="0.2">
      <c r="A15683" s="82"/>
      <c r="B15683" s="82"/>
      <c r="C15683" s="82"/>
    </row>
    <row r="15684" spans="1:3" x14ac:dyDescent="0.2">
      <c r="A15684" s="82"/>
      <c r="B15684" s="82"/>
      <c r="C15684" s="82"/>
    </row>
    <row r="15685" spans="1:3" x14ac:dyDescent="0.2">
      <c r="A15685" s="82"/>
      <c r="B15685" s="82"/>
      <c r="C15685" s="82"/>
    </row>
    <row r="15686" spans="1:3" x14ac:dyDescent="0.2">
      <c r="A15686" s="82"/>
      <c r="B15686" s="82"/>
      <c r="C15686" s="82"/>
    </row>
    <row r="15687" spans="1:3" x14ac:dyDescent="0.2">
      <c r="A15687" s="82"/>
      <c r="B15687" s="82"/>
      <c r="C15687" s="82"/>
    </row>
    <row r="15688" spans="1:3" x14ac:dyDescent="0.2">
      <c r="A15688" s="82"/>
      <c r="B15688" s="82"/>
      <c r="C15688" s="82"/>
    </row>
    <row r="15689" spans="1:3" x14ac:dyDescent="0.2">
      <c r="A15689" s="82"/>
      <c r="B15689" s="82"/>
      <c r="C15689" s="82"/>
    </row>
    <row r="15690" spans="1:3" x14ac:dyDescent="0.2">
      <c r="A15690" s="82"/>
      <c r="B15690" s="82"/>
      <c r="C15690" s="82"/>
    </row>
    <row r="15691" spans="1:3" x14ac:dyDescent="0.2">
      <c r="A15691" s="82"/>
      <c r="B15691" s="82"/>
      <c r="C15691" s="82"/>
    </row>
    <row r="15692" spans="1:3" x14ac:dyDescent="0.2">
      <c r="A15692" s="82"/>
      <c r="B15692" s="82"/>
      <c r="C15692" s="82"/>
    </row>
    <row r="15693" spans="1:3" x14ac:dyDescent="0.2">
      <c r="A15693" s="82"/>
      <c r="B15693" s="82"/>
      <c r="C15693" s="82"/>
    </row>
    <row r="15694" spans="1:3" x14ac:dyDescent="0.2">
      <c r="A15694" s="82"/>
      <c r="B15694" s="82"/>
      <c r="C15694" s="82"/>
    </row>
    <row r="15695" spans="1:3" x14ac:dyDescent="0.2">
      <c r="A15695" s="82"/>
      <c r="B15695" s="82"/>
      <c r="C15695" s="82"/>
    </row>
    <row r="15696" spans="1:3" x14ac:dyDescent="0.2">
      <c r="A15696" s="82"/>
      <c r="B15696" s="82"/>
      <c r="C15696" s="82"/>
    </row>
    <row r="15697" spans="1:3" x14ac:dyDescent="0.2">
      <c r="A15697" s="82"/>
      <c r="B15697" s="82"/>
      <c r="C15697" s="82"/>
    </row>
    <row r="15698" spans="1:3" x14ac:dyDescent="0.2">
      <c r="A15698" s="82"/>
      <c r="B15698" s="82"/>
      <c r="C15698" s="82"/>
    </row>
    <row r="15699" spans="1:3" x14ac:dyDescent="0.2">
      <c r="A15699" s="82"/>
      <c r="B15699" s="82"/>
      <c r="C15699" s="82"/>
    </row>
    <row r="15700" spans="1:3" x14ac:dyDescent="0.2">
      <c r="A15700" s="82"/>
      <c r="B15700" s="82"/>
      <c r="C15700" s="82"/>
    </row>
    <row r="15701" spans="1:3" x14ac:dyDescent="0.2">
      <c r="A15701" s="82"/>
      <c r="B15701" s="82"/>
      <c r="C15701" s="82"/>
    </row>
    <row r="15702" spans="1:3" x14ac:dyDescent="0.2">
      <c r="A15702" s="82"/>
      <c r="B15702" s="82"/>
      <c r="C15702" s="82"/>
    </row>
    <row r="15703" spans="1:3" x14ac:dyDescent="0.2">
      <c r="A15703" s="82"/>
      <c r="B15703" s="82"/>
      <c r="C15703" s="82"/>
    </row>
    <row r="15704" spans="1:3" x14ac:dyDescent="0.2">
      <c r="A15704" s="82"/>
      <c r="B15704" s="82"/>
      <c r="C15704" s="82"/>
    </row>
    <row r="15705" spans="1:3" x14ac:dyDescent="0.2">
      <c r="A15705" s="82"/>
      <c r="B15705" s="82"/>
      <c r="C15705" s="82"/>
    </row>
    <row r="15706" spans="1:3" x14ac:dyDescent="0.2">
      <c r="A15706" s="82"/>
      <c r="B15706" s="82"/>
      <c r="C15706" s="82"/>
    </row>
    <row r="15707" spans="1:3" x14ac:dyDescent="0.2">
      <c r="A15707" s="82"/>
      <c r="B15707" s="82"/>
      <c r="C15707" s="82"/>
    </row>
    <row r="15708" spans="1:3" x14ac:dyDescent="0.2">
      <c r="A15708" s="82"/>
      <c r="B15708" s="82"/>
      <c r="C15708" s="82"/>
    </row>
    <row r="15709" spans="1:3" x14ac:dyDescent="0.2">
      <c r="A15709" s="82"/>
      <c r="B15709" s="82"/>
      <c r="C15709" s="82"/>
    </row>
    <row r="15710" spans="1:3" x14ac:dyDescent="0.2">
      <c r="A15710" s="82"/>
      <c r="B15710" s="82"/>
      <c r="C15710" s="82"/>
    </row>
    <row r="15711" spans="1:3" x14ac:dyDescent="0.2">
      <c r="A15711" s="82"/>
      <c r="B15711" s="82"/>
      <c r="C15711" s="82"/>
    </row>
    <row r="15712" spans="1:3" x14ac:dyDescent="0.2">
      <c r="A15712" s="82"/>
      <c r="B15712" s="82"/>
      <c r="C15712" s="82"/>
    </row>
    <row r="15713" spans="1:3" x14ac:dyDescent="0.2">
      <c r="A15713" s="82"/>
      <c r="B15713" s="82"/>
      <c r="C15713" s="82"/>
    </row>
    <row r="15714" spans="1:3" x14ac:dyDescent="0.2">
      <c r="A15714" s="82"/>
      <c r="B15714" s="82"/>
      <c r="C15714" s="82"/>
    </row>
    <row r="15715" spans="1:3" x14ac:dyDescent="0.2">
      <c r="A15715" s="82"/>
      <c r="B15715" s="82"/>
      <c r="C15715" s="82"/>
    </row>
    <row r="15716" spans="1:3" x14ac:dyDescent="0.2">
      <c r="A15716" s="82"/>
      <c r="B15716" s="82"/>
      <c r="C15716" s="82"/>
    </row>
    <row r="15717" spans="1:3" x14ac:dyDescent="0.2">
      <c r="A15717" s="82"/>
      <c r="B15717" s="82"/>
      <c r="C15717" s="82"/>
    </row>
    <row r="15718" spans="1:3" x14ac:dyDescent="0.2">
      <c r="A15718" s="82"/>
      <c r="B15718" s="82"/>
      <c r="C15718" s="82"/>
    </row>
    <row r="15719" spans="1:3" x14ac:dyDescent="0.2">
      <c r="A15719" s="82"/>
      <c r="B15719" s="82"/>
      <c r="C15719" s="82"/>
    </row>
    <row r="15720" spans="1:3" x14ac:dyDescent="0.2">
      <c r="A15720" s="82"/>
      <c r="B15720" s="82"/>
      <c r="C15720" s="82"/>
    </row>
    <row r="15721" spans="1:3" x14ac:dyDescent="0.2">
      <c r="A15721" s="82"/>
      <c r="B15721" s="82"/>
      <c r="C15721" s="82"/>
    </row>
    <row r="15722" spans="1:3" x14ac:dyDescent="0.2">
      <c r="A15722" s="82"/>
      <c r="B15722" s="82"/>
      <c r="C15722" s="82"/>
    </row>
    <row r="15723" spans="1:3" x14ac:dyDescent="0.2">
      <c r="A15723" s="82"/>
      <c r="B15723" s="82"/>
      <c r="C15723" s="82"/>
    </row>
    <row r="15724" spans="1:3" x14ac:dyDescent="0.2">
      <c r="A15724" s="82"/>
      <c r="B15724" s="82"/>
      <c r="C15724" s="82"/>
    </row>
    <row r="15725" spans="1:3" x14ac:dyDescent="0.2">
      <c r="A15725" s="82"/>
      <c r="B15725" s="82"/>
      <c r="C15725" s="82"/>
    </row>
    <row r="15726" spans="1:3" x14ac:dyDescent="0.2">
      <c r="A15726" s="82"/>
      <c r="B15726" s="82"/>
      <c r="C15726" s="82"/>
    </row>
    <row r="15727" spans="1:3" x14ac:dyDescent="0.2">
      <c r="A15727" s="82"/>
      <c r="B15727" s="82"/>
      <c r="C15727" s="82"/>
    </row>
    <row r="15728" spans="1:3" x14ac:dyDescent="0.2">
      <c r="A15728" s="82"/>
      <c r="B15728" s="82"/>
      <c r="C15728" s="82"/>
    </row>
    <row r="15729" spans="1:3" x14ac:dyDescent="0.2">
      <c r="A15729" s="82"/>
      <c r="B15729" s="82"/>
      <c r="C15729" s="82"/>
    </row>
    <row r="15730" spans="1:3" x14ac:dyDescent="0.2">
      <c r="A15730" s="82"/>
      <c r="B15730" s="82"/>
      <c r="C15730" s="82"/>
    </row>
    <row r="15731" spans="1:3" x14ac:dyDescent="0.2">
      <c r="A15731" s="82"/>
      <c r="B15731" s="82"/>
      <c r="C15731" s="82"/>
    </row>
    <row r="15732" spans="1:3" x14ac:dyDescent="0.2">
      <c r="A15732" s="82"/>
      <c r="B15732" s="82"/>
      <c r="C15732" s="82"/>
    </row>
    <row r="15733" spans="1:3" x14ac:dyDescent="0.2">
      <c r="A15733" s="82"/>
      <c r="B15733" s="82"/>
      <c r="C15733" s="82"/>
    </row>
    <row r="15734" spans="1:3" x14ac:dyDescent="0.2">
      <c r="A15734" s="82"/>
      <c r="B15734" s="82"/>
      <c r="C15734" s="82"/>
    </row>
    <row r="15735" spans="1:3" x14ac:dyDescent="0.2">
      <c r="A15735" s="82"/>
      <c r="B15735" s="82"/>
      <c r="C15735" s="82"/>
    </row>
    <row r="15736" spans="1:3" x14ac:dyDescent="0.2">
      <c r="A15736" s="82"/>
      <c r="B15736" s="82"/>
      <c r="C15736" s="82"/>
    </row>
    <row r="15737" spans="1:3" x14ac:dyDescent="0.2">
      <c r="A15737" s="82"/>
      <c r="B15737" s="82"/>
      <c r="C15737" s="82"/>
    </row>
    <row r="15738" spans="1:3" x14ac:dyDescent="0.2">
      <c r="A15738" s="82"/>
      <c r="B15738" s="82"/>
      <c r="C15738" s="82"/>
    </row>
    <row r="15739" spans="1:3" x14ac:dyDescent="0.2">
      <c r="A15739" s="82"/>
      <c r="B15739" s="82"/>
      <c r="C15739" s="82"/>
    </row>
    <row r="15740" spans="1:3" x14ac:dyDescent="0.2">
      <c r="A15740" s="82"/>
      <c r="B15740" s="82"/>
      <c r="C15740" s="82"/>
    </row>
    <row r="15741" spans="1:3" x14ac:dyDescent="0.2">
      <c r="A15741" s="82"/>
      <c r="B15741" s="82"/>
      <c r="C15741" s="82"/>
    </row>
    <row r="15742" spans="1:3" x14ac:dyDescent="0.2">
      <c r="A15742" s="82"/>
      <c r="B15742" s="82"/>
      <c r="C15742" s="82"/>
    </row>
    <row r="15743" spans="1:3" x14ac:dyDescent="0.2">
      <c r="A15743" s="82"/>
      <c r="B15743" s="82"/>
      <c r="C15743" s="82"/>
    </row>
    <row r="15744" spans="1:3" x14ac:dyDescent="0.2">
      <c r="A15744" s="82"/>
      <c r="B15744" s="82"/>
      <c r="C15744" s="82"/>
    </row>
    <row r="15745" spans="1:3" x14ac:dyDescent="0.2">
      <c r="A15745" s="82"/>
      <c r="B15745" s="82"/>
      <c r="C15745" s="82"/>
    </row>
    <row r="15746" spans="1:3" x14ac:dyDescent="0.2">
      <c r="A15746" s="82"/>
      <c r="B15746" s="82"/>
      <c r="C15746" s="82"/>
    </row>
    <row r="15747" spans="1:3" x14ac:dyDescent="0.2">
      <c r="A15747" s="82"/>
      <c r="B15747" s="82"/>
      <c r="C15747" s="82"/>
    </row>
    <row r="15748" spans="1:3" x14ac:dyDescent="0.2">
      <c r="A15748" s="82"/>
      <c r="B15748" s="82"/>
      <c r="C15748" s="82"/>
    </row>
    <row r="15749" spans="1:3" x14ac:dyDescent="0.2">
      <c r="A15749" s="82"/>
      <c r="B15749" s="82"/>
      <c r="C15749" s="82"/>
    </row>
    <row r="15750" spans="1:3" x14ac:dyDescent="0.2">
      <c r="A15750" s="82"/>
      <c r="B15750" s="82"/>
      <c r="C15750" s="82"/>
    </row>
    <row r="15751" spans="1:3" x14ac:dyDescent="0.2">
      <c r="A15751" s="82"/>
      <c r="B15751" s="82"/>
      <c r="C15751" s="82"/>
    </row>
    <row r="15752" spans="1:3" x14ac:dyDescent="0.2">
      <c r="A15752" s="82"/>
      <c r="B15752" s="82"/>
      <c r="C15752" s="82"/>
    </row>
    <row r="15753" spans="1:3" x14ac:dyDescent="0.2">
      <c r="A15753" s="82"/>
      <c r="B15753" s="82"/>
      <c r="C15753" s="82"/>
    </row>
    <row r="15754" spans="1:3" x14ac:dyDescent="0.2">
      <c r="A15754" s="82"/>
      <c r="B15754" s="82"/>
      <c r="C15754" s="82"/>
    </row>
    <row r="15755" spans="1:3" x14ac:dyDescent="0.2">
      <c r="A15755" s="82"/>
      <c r="B15755" s="82"/>
      <c r="C15755" s="82"/>
    </row>
    <row r="15756" spans="1:3" x14ac:dyDescent="0.2">
      <c r="A15756" s="82"/>
      <c r="B15756" s="82"/>
      <c r="C15756" s="82"/>
    </row>
    <row r="15757" spans="1:3" x14ac:dyDescent="0.2">
      <c r="A15757" s="82"/>
      <c r="B15757" s="82"/>
      <c r="C15757" s="82"/>
    </row>
    <row r="15758" spans="1:3" x14ac:dyDescent="0.2">
      <c r="A15758" s="82"/>
      <c r="B15758" s="82"/>
      <c r="C15758" s="82"/>
    </row>
    <row r="15759" spans="1:3" x14ac:dyDescent="0.2">
      <c r="A15759" s="82"/>
      <c r="B15759" s="82"/>
      <c r="C15759" s="82"/>
    </row>
    <row r="15760" spans="1:3" x14ac:dyDescent="0.2">
      <c r="A15760" s="82"/>
      <c r="B15760" s="82"/>
      <c r="C15760" s="82"/>
    </row>
    <row r="15761" spans="1:3" x14ac:dyDescent="0.2">
      <c r="A15761" s="82"/>
      <c r="B15761" s="82"/>
      <c r="C15761" s="82"/>
    </row>
    <row r="15762" spans="1:3" x14ac:dyDescent="0.2">
      <c r="A15762" s="82"/>
      <c r="B15762" s="82"/>
      <c r="C15762" s="82"/>
    </row>
    <row r="15763" spans="1:3" x14ac:dyDescent="0.2">
      <c r="A15763" s="82"/>
      <c r="B15763" s="82"/>
      <c r="C15763" s="82"/>
    </row>
    <row r="15764" spans="1:3" x14ac:dyDescent="0.2">
      <c r="A15764" s="82"/>
      <c r="B15764" s="82"/>
      <c r="C15764" s="82"/>
    </row>
    <row r="15765" spans="1:3" x14ac:dyDescent="0.2">
      <c r="A15765" s="82"/>
      <c r="B15765" s="82"/>
      <c r="C15765" s="82"/>
    </row>
    <row r="15766" spans="1:3" x14ac:dyDescent="0.2">
      <c r="A15766" s="82"/>
      <c r="B15766" s="82"/>
      <c r="C15766" s="82"/>
    </row>
    <row r="15767" spans="1:3" x14ac:dyDescent="0.2">
      <c r="A15767" s="82"/>
      <c r="B15767" s="82"/>
      <c r="C15767" s="82"/>
    </row>
    <row r="15768" spans="1:3" x14ac:dyDescent="0.2">
      <c r="A15768" s="82"/>
      <c r="B15768" s="82"/>
      <c r="C15768" s="82"/>
    </row>
    <row r="15769" spans="1:3" x14ac:dyDescent="0.2">
      <c r="A15769" s="82"/>
      <c r="B15769" s="82"/>
      <c r="C15769" s="82"/>
    </row>
    <row r="15770" spans="1:3" x14ac:dyDescent="0.2">
      <c r="A15770" s="82"/>
      <c r="B15770" s="82"/>
      <c r="C15770" s="82"/>
    </row>
    <row r="15771" spans="1:3" x14ac:dyDescent="0.2">
      <c r="A15771" s="82"/>
      <c r="B15771" s="82"/>
      <c r="C15771" s="82"/>
    </row>
    <row r="15772" spans="1:3" x14ac:dyDescent="0.2">
      <c r="A15772" s="82"/>
      <c r="B15772" s="82"/>
      <c r="C15772" s="82"/>
    </row>
    <row r="15773" spans="1:3" x14ac:dyDescent="0.2">
      <c r="A15773" s="82"/>
      <c r="B15773" s="82"/>
      <c r="C15773" s="82"/>
    </row>
    <row r="15774" spans="1:3" x14ac:dyDescent="0.2">
      <c r="A15774" s="82"/>
      <c r="B15774" s="82"/>
      <c r="C15774" s="82"/>
    </row>
    <row r="15775" spans="1:3" x14ac:dyDescent="0.2">
      <c r="A15775" s="82"/>
      <c r="B15775" s="82"/>
      <c r="C15775" s="82"/>
    </row>
    <row r="15776" spans="1:3" x14ac:dyDescent="0.2">
      <c r="A15776" s="82"/>
      <c r="B15776" s="82"/>
      <c r="C15776" s="82"/>
    </row>
    <row r="15777" spans="1:3" x14ac:dyDescent="0.2">
      <c r="A15777" s="82"/>
      <c r="B15777" s="82"/>
      <c r="C15777" s="82"/>
    </row>
    <row r="15778" spans="1:3" x14ac:dyDescent="0.2">
      <c r="A15778" s="82"/>
      <c r="B15778" s="82"/>
      <c r="C15778" s="82"/>
    </row>
    <row r="15779" spans="1:3" x14ac:dyDescent="0.2">
      <c r="A15779" s="82"/>
      <c r="B15779" s="82"/>
      <c r="C15779" s="82"/>
    </row>
    <row r="15780" spans="1:3" x14ac:dyDescent="0.2">
      <c r="A15780" s="82"/>
      <c r="B15780" s="82"/>
      <c r="C15780" s="82"/>
    </row>
    <row r="15781" spans="1:3" x14ac:dyDescent="0.2">
      <c r="A15781" s="82"/>
      <c r="B15781" s="82"/>
      <c r="C15781" s="82"/>
    </row>
    <row r="15782" spans="1:3" x14ac:dyDescent="0.2">
      <c r="A15782" s="82"/>
      <c r="B15782" s="82"/>
      <c r="C15782" s="82"/>
    </row>
    <row r="15783" spans="1:3" x14ac:dyDescent="0.2">
      <c r="A15783" s="82"/>
      <c r="B15783" s="82"/>
      <c r="C15783" s="82"/>
    </row>
    <row r="15784" spans="1:3" x14ac:dyDescent="0.2">
      <c r="A15784" s="82"/>
      <c r="B15784" s="82"/>
      <c r="C15784" s="82"/>
    </row>
    <row r="15785" spans="1:3" x14ac:dyDescent="0.2">
      <c r="A15785" s="82"/>
      <c r="B15785" s="82"/>
      <c r="C15785" s="82"/>
    </row>
    <row r="15786" spans="1:3" x14ac:dyDescent="0.2">
      <c r="A15786" s="82"/>
      <c r="B15786" s="82"/>
      <c r="C15786" s="82"/>
    </row>
    <row r="15787" spans="1:3" x14ac:dyDescent="0.2">
      <c r="A15787" s="82"/>
      <c r="B15787" s="82"/>
      <c r="C15787" s="82"/>
    </row>
    <row r="15788" spans="1:3" x14ac:dyDescent="0.2">
      <c r="A15788" s="82"/>
      <c r="B15788" s="82"/>
      <c r="C15788" s="82"/>
    </row>
    <row r="15789" spans="1:3" x14ac:dyDescent="0.2">
      <c r="A15789" s="82"/>
      <c r="B15789" s="82"/>
      <c r="C15789" s="82"/>
    </row>
    <row r="15790" spans="1:3" x14ac:dyDescent="0.2">
      <c r="A15790" s="82"/>
      <c r="B15790" s="82"/>
      <c r="C15790" s="82"/>
    </row>
    <row r="15791" spans="1:3" x14ac:dyDescent="0.2">
      <c r="A15791" s="82"/>
      <c r="B15791" s="82"/>
      <c r="C15791" s="82"/>
    </row>
    <row r="15792" spans="1:3" x14ac:dyDescent="0.2">
      <c r="A15792" s="82"/>
      <c r="B15792" s="82"/>
      <c r="C15792" s="82"/>
    </row>
    <row r="15793" spans="1:3" x14ac:dyDescent="0.2">
      <c r="A15793" s="82"/>
      <c r="B15793" s="82"/>
      <c r="C15793" s="82"/>
    </row>
    <row r="15794" spans="1:3" x14ac:dyDescent="0.2">
      <c r="A15794" s="82"/>
      <c r="B15794" s="82"/>
      <c r="C15794" s="82"/>
    </row>
    <row r="15795" spans="1:3" x14ac:dyDescent="0.2">
      <c r="A15795" s="82"/>
      <c r="B15795" s="82"/>
      <c r="C15795" s="82"/>
    </row>
    <row r="15796" spans="1:3" x14ac:dyDescent="0.2">
      <c r="A15796" s="82"/>
      <c r="B15796" s="82"/>
      <c r="C15796" s="82"/>
    </row>
    <row r="15797" spans="1:3" x14ac:dyDescent="0.2">
      <c r="A15797" s="82"/>
      <c r="B15797" s="82"/>
      <c r="C15797" s="82"/>
    </row>
    <row r="15798" spans="1:3" x14ac:dyDescent="0.2">
      <c r="A15798" s="82"/>
      <c r="B15798" s="82"/>
      <c r="C15798" s="82"/>
    </row>
    <row r="15799" spans="1:3" x14ac:dyDescent="0.2">
      <c r="A15799" s="82"/>
      <c r="B15799" s="82"/>
      <c r="C15799" s="82"/>
    </row>
    <row r="15800" spans="1:3" x14ac:dyDescent="0.2">
      <c r="A15800" s="82"/>
      <c r="B15800" s="82"/>
      <c r="C15800" s="82"/>
    </row>
    <row r="15801" spans="1:3" x14ac:dyDescent="0.2">
      <c r="A15801" s="82"/>
      <c r="B15801" s="82"/>
      <c r="C15801" s="82"/>
    </row>
    <row r="15802" spans="1:3" x14ac:dyDescent="0.2">
      <c r="A15802" s="82"/>
      <c r="B15802" s="82"/>
      <c r="C15802" s="82"/>
    </row>
    <row r="15803" spans="1:3" x14ac:dyDescent="0.2">
      <c r="A15803" s="82"/>
      <c r="B15803" s="82"/>
      <c r="C15803" s="82"/>
    </row>
    <row r="15804" spans="1:3" x14ac:dyDescent="0.2">
      <c r="A15804" s="82"/>
      <c r="B15804" s="82"/>
      <c r="C15804" s="82"/>
    </row>
    <row r="15805" spans="1:3" x14ac:dyDescent="0.2">
      <c r="A15805" s="82"/>
      <c r="B15805" s="82"/>
      <c r="C15805" s="82"/>
    </row>
    <row r="15806" spans="1:3" x14ac:dyDescent="0.2">
      <c r="A15806" s="82"/>
      <c r="B15806" s="82"/>
      <c r="C15806" s="82"/>
    </row>
    <row r="15807" spans="1:3" x14ac:dyDescent="0.2">
      <c r="A15807" s="82"/>
      <c r="B15807" s="82"/>
      <c r="C15807" s="82"/>
    </row>
    <row r="15808" spans="1:3" x14ac:dyDescent="0.2">
      <c r="A15808" s="82"/>
      <c r="B15808" s="82"/>
      <c r="C15808" s="82"/>
    </row>
    <row r="15809" spans="1:3" x14ac:dyDescent="0.2">
      <c r="A15809" s="82"/>
      <c r="B15809" s="82"/>
      <c r="C15809" s="82"/>
    </row>
    <row r="15810" spans="1:3" x14ac:dyDescent="0.2">
      <c r="A15810" s="82"/>
      <c r="B15810" s="82"/>
      <c r="C15810" s="82"/>
    </row>
    <row r="15811" spans="1:3" x14ac:dyDescent="0.2">
      <c r="A15811" s="82"/>
      <c r="B15811" s="82"/>
      <c r="C15811" s="82"/>
    </row>
    <row r="15812" spans="1:3" x14ac:dyDescent="0.2">
      <c r="A15812" s="82"/>
      <c r="B15812" s="82"/>
      <c r="C15812" s="82"/>
    </row>
    <row r="15813" spans="1:3" x14ac:dyDescent="0.2">
      <c r="A15813" s="82"/>
      <c r="B15813" s="82"/>
      <c r="C15813" s="82"/>
    </row>
    <row r="15814" spans="1:3" x14ac:dyDescent="0.2">
      <c r="A15814" s="82"/>
      <c r="B15814" s="82"/>
      <c r="C15814" s="82"/>
    </row>
    <row r="15815" spans="1:3" x14ac:dyDescent="0.2">
      <c r="A15815" s="82"/>
      <c r="B15815" s="82"/>
      <c r="C15815" s="82"/>
    </row>
    <row r="15816" spans="1:3" x14ac:dyDescent="0.2">
      <c r="A15816" s="82"/>
      <c r="B15816" s="82"/>
      <c r="C15816" s="82"/>
    </row>
    <row r="15817" spans="1:3" x14ac:dyDescent="0.2">
      <c r="A15817" s="82"/>
      <c r="B15817" s="82"/>
      <c r="C15817" s="82"/>
    </row>
    <row r="15818" spans="1:3" x14ac:dyDescent="0.2">
      <c r="A15818" s="82"/>
      <c r="B15818" s="82"/>
      <c r="C15818" s="82"/>
    </row>
    <row r="15819" spans="1:3" x14ac:dyDescent="0.2">
      <c r="A15819" s="82"/>
      <c r="B15819" s="82"/>
      <c r="C15819" s="82"/>
    </row>
    <row r="15820" spans="1:3" x14ac:dyDescent="0.2">
      <c r="A15820" s="82"/>
      <c r="B15820" s="82"/>
      <c r="C15820" s="82"/>
    </row>
    <row r="15821" spans="1:3" x14ac:dyDescent="0.2">
      <c r="A15821" s="82"/>
      <c r="B15821" s="82"/>
      <c r="C15821" s="82"/>
    </row>
    <row r="15822" spans="1:3" x14ac:dyDescent="0.2">
      <c r="A15822" s="82"/>
      <c r="B15822" s="82"/>
      <c r="C15822" s="82"/>
    </row>
    <row r="15823" spans="1:3" x14ac:dyDescent="0.2">
      <c r="A15823" s="82"/>
      <c r="B15823" s="82"/>
      <c r="C15823" s="82"/>
    </row>
    <row r="15824" spans="1:3" x14ac:dyDescent="0.2">
      <c r="A15824" s="82"/>
      <c r="B15824" s="82"/>
      <c r="C15824" s="82"/>
    </row>
    <row r="15825" spans="1:3" x14ac:dyDescent="0.2">
      <c r="A15825" s="82"/>
      <c r="B15825" s="82"/>
      <c r="C15825" s="82"/>
    </row>
    <row r="15826" spans="1:3" x14ac:dyDescent="0.2">
      <c r="A15826" s="82"/>
      <c r="B15826" s="82"/>
      <c r="C15826" s="82"/>
    </row>
    <row r="15827" spans="1:3" x14ac:dyDescent="0.2">
      <c r="A15827" s="82"/>
      <c r="B15827" s="82"/>
      <c r="C15827" s="82"/>
    </row>
    <row r="15828" spans="1:3" x14ac:dyDescent="0.2">
      <c r="A15828" s="82"/>
      <c r="B15828" s="82"/>
      <c r="C15828" s="82"/>
    </row>
    <row r="15829" spans="1:3" x14ac:dyDescent="0.2">
      <c r="A15829" s="82"/>
      <c r="B15829" s="82"/>
      <c r="C15829" s="82"/>
    </row>
    <row r="15830" spans="1:3" x14ac:dyDescent="0.2">
      <c r="A15830" s="82"/>
      <c r="B15830" s="82"/>
      <c r="C15830" s="82"/>
    </row>
    <row r="15831" spans="1:3" x14ac:dyDescent="0.2">
      <c r="A15831" s="82"/>
      <c r="B15831" s="82"/>
      <c r="C15831" s="82"/>
    </row>
    <row r="15832" spans="1:3" x14ac:dyDescent="0.2">
      <c r="A15832" s="82"/>
      <c r="B15832" s="82"/>
      <c r="C15832" s="82"/>
    </row>
    <row r="15833" spans="1:3" x14ac:dyDescent="0.2">
      <c r="A15833" s="82"/>
      <c r="B15833" s="82"/>
      <c r="C15833" s="82"/>
    </row>
    <row r="15834" spans="1:3" x14ac:dyDescent="0.2">
      <c r="A15834" s="82"/>
      <c r="B15834" s="82"/>
      <c r="C15834" s="82"/>
    </row>
    <row r="15835" spans="1:3" x14ac:dyDescent="0.2">
      <c r="A15835" s="82"/>
      <c r="B15835" s="82"/>
      <c r="C15835" s="82"/>
    </row>
    <row r="15836" spans="1:3" x14ac:dyDescent="0.2">
      <c r="A15836" s="82"/>
      <c r="B15836" s="82"/>
      <c r="C15836" s="82"/>
    </row>
    <row r="15837" spans="1:3" x14ac:dyDescent="0.2">
      <c r="A15837" s="82"/>
      <c r="B15837" s="82"/>
      <c r="C15837" s="82"/>
    </row>
    <row r="15838" spans="1:3" x14ac:dyDescent="0.2">
      <c r="A15838" s="82"/>
      <c r="B15838" s="82"/>
      <c r="C15838" s="82"/>
    </row>
    <row r="15839" spans="1:3" x14ac:dyDescent="0.2">
      <c r="A15839" s="82"/>
      <c r="B15839" s="82"/>
      <c r="C15839" s="82"/>
    </row>
    <row r="15840" spans="1:3" x14ac:dyDescent="0.2">
      <c r="A15840" s="82"/>
      <c r="B15840" s="82"/>
      <c r="C15840" s="82"/>
    </row>
    <row r="15841" spans="1:3" x14ac:dyDescent="0.2">
      <c r="A15841" s="82"/>
      <c r="B15841" s="82"/>
      <c r="C15841" s="82"/>
    </row>
    <row r="15842" spans="1:3" x14ac:dyDescent="0.2">
      <c r="A15842" s="82"/>
      <c r="B15842" s="82"/>
      <c r="C15842" s="82"/>
    </row>
    <row r="15843" spans="1:3" x14ac:dyDescent="0.2">
      <c r="A15843" s="82"/>
      <c r="B15843" s="82"/>
      <c r="C15843" s="82"/>
    </row>
    <row r="15844" spans="1:3" x14ac:dyDescent="0.2">
      <c r="A15844" s="82"/>
      <c r="B15844" s="82"/>
      <c r="C15844" s="82"/>
    </row>
    <row r="15845" spans="1:3" x14ac:dyDescent="0.2">
      <c r="A15845" s="82"/>
      <c r="B15845" s="82"/>
      <c r="C15845" s="82"/>
    </row>
    <row r="15846" spans="1:3" x14ac:dyDescent="0.2">
      <c r="A15846" s="82"/>
      <c r="B15846" s="82"/>
      <c r="C15846" s="82"/>
    </row>
    <row r="15847" spans="1:3" x14ac:dyDescent="0.2">
      <c r="A15847" s="82"/>
      <c r="B15847" s="82"/>
      <c r="C15847" s="82"/>
    </row>
  </sheetData>
  <sheetProtection algorithmName="SHA-512" hashValue="Ud2gWd5igB9qj4AoDcCeQQWBFjGQNITMDfvEJYamZgDji+sjy2D5alD79Re9LT8BPQMiRlToDKoiWYvtLXKaLA==" saltValue="0ZpPGN5qaDdixsDRfH2KEQ==" spinCount="100000" sheet="1" objects="1" scenarios="1"/>
  <mergeCells count="4">
    <mergeCell ref="C14:AC14"/>
    <mergeCell ref="A14:B14"/>
    <mergeCell ref="AD14:BD14"/>
    <mergeCell ref="A1:A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264CF3-13C8-4C93-AF57-C65CBB98FC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Prepare Gantt Chart</vt:lpstr>
      <vt:lpstr>Project types</vt:lpstr>
      <vt:lpstr>Cost graph</vt:lpstr>
      <vt:lpstr>Gantt Chart</vt:lpstr>
      <vt:lpstr>Transpose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Reviewer</dc:creator>
  <cp:keywords/>
  <dc:description/>
  <cp:lastModifiedBy>Ervin, Stephen M.</cp:lastModifiedBy>
  <cp:revision/>
  <cp:lastPrinted>2025-01-21T23:35:58Z</cp:lastPrinted>
  <dcterms:created xsi:type="dcterms:W3CDTF">2023-10-04T18:32:50Z</dcterms:created>
  <dcterms:modified xsi:type="dcterms:W3CDTF">2026-03-18T16:12:42Z</dcterms:modified>
  <cp:category/>
  <cp:contentStatus/>
</cp:coreProperties>
</file>